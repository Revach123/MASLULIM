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dsgo74\Desktop\הורדות PRN\"/>
    </mc:Choice>
  </mc:AlternateContent>
  <xr:revisionPtr revIDLastSave="0" documentId="13_ncr:1_{BEF9A8E4-25C7-4F68-8FE7-21F3B6F6CE00}" xr6:coauthVersionLast="36" xr6:coauthVersionMax="36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5" hidden="1">'איגרות חוב'!$A$1:$AJ$1</definedName>
    <definedName name="_xlnm._FilterDatabase" localSheetId="3" hidden="1">'איגרות חוב ממשלתיות'!$A$1:$AD$1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ויהש'!$A$1:$Z$1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" i="23" l="1"/>
  <c r="B32" i="2" l="1"/>
  <c r="C30" i="2"/>
  <c r="B29" i="2"/>
  <c r="D29" i="2" s="1"/>
  <c r="B28" i="2"/>
  <c r="D28" i="2" s="1"/>
  <c r="D27" i="2"/>
  <c r="B27" i="2"/>
  <c r="D26" i="2"/>
  <c r="B26" i="2"/>
  <c r="B25" i="2"/>
  <c r="D25" i="2" s="1"/>
  <c r="B24" i="2"/>
  <c r="D24" i="2" s="1"/>
  <c r="B23" i="2"/>
  <c r="D23" i="2" s="1"/>
  <c r="D22" i="2"/>
  <c r="B22" i="2"/>
  <c r="B21" i="2"/>
  <c r="D21" i="2" s="1"/>
  <c r="B20" i="2"/>
  <c r="D20" i="2" s="1"/>
  <c r="D19" i="2"/>
  <c r="B19" i="2"/>
  <c r="D18" i="2"/>
  <c r="B18" i="2"/>
  <c r="B17" i="2"/>
  <c r="D17" i="2" s="1"/>
  <c r="B16" i="2"/>
  <c r="D16" i="2" s="1"/>
  <c r="D15" i="2"/>
  <c r="B15" i="2"/>
  <c r="D14" i="2"/>
  <c r="B14" i="2"/>
  <c r="B13" i="2"/>
  <c r="D13" i="2" s="1"/>
  <c r="B12" i="2"/>
  <c r="D12" i="2" s="1"/>
  <c r="D11" i="2"/>
  <c r="B11" i="2"/>
  <c r="D10" i="2"/>
  <c r="B10" i="2"/>
  <c r="B9" i="2"/>
  <c r="D9" i="2" s="1"/>
  <c r="B8" i="2"/>
  <c r="D8" i="2" s="1"/>
  <c r="D7" i="2"/>
  <c r="B7" i="2"/>
  <c r="D6" i="2"/>
  <c r="B6" i="2"/>
  <c r="B5" i="2"/>
  <c r="D5" i="2" s="1"/>
  <c r="B4" i="2"/>
  <c r="D4" i="2" s="1"/>
  <c r="D3" i="2"/>
  <c r="B3" i="2"/>
  <c r="B30" i="2" s="1"/>
  <c r="D13" i="38"/>
  <c r="D15" i="38" s="1"/>
  <c r="E28" i="2" l="1"/>
  <c r="E24" i="2"/>
  <c r="E20" i="2"/>
  <c r="E16" i="2"/>
  <c r="E12" i="2"/>
  <c r="E8" i="2"/>
  <c r="E4" i="2"/>
  <c r="E18" i="2"/>
  <c r="E14" i="2"/>
  <c r="E10" i="2"/>
  <c r="E6" i="2"/>
  <c r="E27" i="2"/>
  <c r="E23" i="2"/>
  <c r="E19" i="2"/>
  <c r="E15" i="2"/>
  <c r="E11" i="2"/>
  <c r="E3" i="2"/>
  <c r="E29" i="2"/>
  <c r="E25" i="2"/>
  <c r="E21" i="2"/>
  <c r="E17" i="2"/>
  <c r="E13" i="2"/>
  <c r="E9" i="2"/>
  <c r="E5" i="2"/>
  <c r="E26" i="2"/>
  <c r="E22" i="2"/>
  <c r="E7" i="2"/>
  <c r="D30" i="2"/>
  <c r="E30" i="2" l="1"/>
</calcChain>
</file>

<file path=xl/sharedStrings.xml><?xml version="1.0" encoding="utf-8"?>
<sst xmlns="http://schemas.openxmlformats.org/spreadsheetml/2006/main" count="16426" uniqueCount="2812">
  <si>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</si>
  <si>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</si>
  <si>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</si>
  <si>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</si>
  <si>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</si>
  <si>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</si>
  <si>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</si>
  <si>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</si>
  <si>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</si>
  <si>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</si>
  <si>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</si>
  <si>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</si>
  <si>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</si>
  <si>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</si>
  <si>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</si>
  <si>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</si>
  <si>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</si>
  <si>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</si>
  <si>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</si>
  <si>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</si>
  <si>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</si>
  <si>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</si>
  <si>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</si>
  <si>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</si>
  <si>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</si>
  <si>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</si>
  <si>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</si>
  <si>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ISRAEL 5 1/2 03/12/34</t>
  </si>
  <si>
    <t>US46514BRL35</t>
  </si>
  <si>
    <t>צמוד מט"ח בריבית קבועה</t>
  </si>
  <si>
    <t>ישראל</t>
  </si>
  <si>
    <t>אחר</t>
  </si>
  <si>
    <t>BBB+</t>
  </si>
  <si>
    <t>Moodys</t>
  </si>
  <si>
    <t>USD</t>
  </si>
  <si>
    <t>12/03/2034</t>
  </si>
  <si>
    <t>שווי הוגן</t>
  </si>
  <si>
    <t>בנק ישראל- מק"מ</t>
  </si>
  <si>
    <t>מ.ק.מ. 1215</t>
  </si>
  <si>
    <t>IL0082512174</t>
  </si>
  <si>
    <t>מק"מ קצר משנים עשר חודשים</t>
  </si>
  <si>
    <t>TASE </t>
  </si>
  <si>
    <t>RF</t>
  </si>
  <si>
    <t>פנימי</t>
  </si>
  <si>
    <t>ILS</t>
  </si>
  <si>
    <t>03/12/2025</t>
  </si>
  <si>
    <t>מ.ק.מ. 315</t>
  </si>
  <si>
    <t>IL0082503181</t>
  </si>
  <si>
    <t>05/03/2025</t>
  </si>
  <si>
    <t>מ.ק.מ. 415</t>
  </si>
  <si>
    <t>IL0082504171</t>
  </si>
  <si>
    <t>02/04/2025</t>
  </si>
  <si>
    <t>מלווה קצר מועד 515</t>
  </si>
  <si>
    <t>IL0082505160</t>
  </si>
  <si>
    <t>07/05/2025</t>
  </si>
  <si>
    <t>מלווה קצר מועד 615</t>
  </si>
  <si>
    <t>IL0082506150</t>
  </si>
  <si>
    <t>04/06/2025</t>
  </si>
  <si>
    <t>מלווה קצר מועד 715</t>
  </si>
  <si>
    <t>IL0082507141</t>
  </si>
  <si>
    <t>02/07/2025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</si>
  <si>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</si>
  <si>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</si>
  <si>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</si>
  <si>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</si>
  <si>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</si>
  <si>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</si>
  <si>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</si>
  <si>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</si>
  <si>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</si>
  <si>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</si>
  <si>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</si>
  <si>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</si>
  <si>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</si>
  <si>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</si>
  <si>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</si>
  <si>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</si>
  <si>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</si>
  <si>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0226</t>
  </si>
  <si>
    <t>IL0011746976</t>
  </si>
  <si>
    <t>27/02/2026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</si>
  <si>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</si>
  <si>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</si>
  <si>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</si>
  <si>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</si>
  <si>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</si>
  <si>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</si>
  <si>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</si>
  <si>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</si>
  <si>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</si>
  <si>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</si>
  <si>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</si>
  <si>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</si>
  <si>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</si>
  <si>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</si>
  <si>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</si>
  <si>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</si>
  <si>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</si>
  <si>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</si>
  <si>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</si>
  <si>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</si>
  <si>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</si>
  <si>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</si>
  <si>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</si>
  <si>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</si>
  <si>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ISRAEL 5 3/8 03/12/29</t>
  </si>
  <si>
    <t>US46514BRN90</t>
  </si>
  <si>
    <t>12/03/2029</t>
  </si>
  <si>
    <t>ISRELE</t>
  </si>
  <si>
    <t>ISRAEL 6 1/2 11/06/31</t>
  </si>
  <si>
    <t>XS2715285230</t>
  </si>
  <si>
    <t>06/11/2031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</si>
  <si>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</si>
  <si>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</si>
  <si>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</si>
  <si>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</si>
  <si>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</si>
  <si>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</si>
  <si>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ממשלתי שקלי  1026</t>
  </si>
  <si>
    <t>IL0010994569</t>
  </si>
  <si>
    <t>30/10/2026</t>
  </si>
  <si>
    <t>US TREASURY Bills</t>
  </si>
  <si>
    <t>T 3.875% 08/34</t>
  </si>
  <si>
    <t>US91282CLF67</t>
  </si>
  <si>
    <t>חו"ל</t>
  </si>
  <si>
    <t>ארה"ב</t>
  </si>
  <si>
    <t>AA+</t>
  </si>
  <si>
    <t>Fitch</t>
  </si>
  <si>
    <t>15/08/2034</t>
  </si>
  <si>
    <t>T-3 3/8 15/05/33</t>
  </si>
  <si>
    <t>US91282CHC82</t>
  </si>
  <si>
    <t>FOREIGN_GOV_SEC</t>
  </si>
  <si>
    <t>AAA</t>
  </si>
  <si>
    <t>15/05/2033</t>
  </si>
  <si>
    <t>ממשל שקלית 0825</t>
  </si>
  <si>
    <t>IL0011355570</t>
  </si>
  <si>
    <t>31/08/2025</t>
  </si>
  <si>
    <t>מלווה קצר מועד 1115</t>
  </si>
  <si>
    <t>IL0082511184</t>
  </si>
  <si>
    <t>05/11/2025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</si>
  <si>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</si>
  <si>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</si>
  <si>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</si>
  <si>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</si>
  <si>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</si>
  <si>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</si>
  <si>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</si>
  <si>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</si>
  <si>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</si>
  <si>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</si>
  <si>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</si>
  <si>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</si>
  <si>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</si>
  <si>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</si>
  <si>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</si>
  <si>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</si>
  <si>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</si>
  <si>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</si>
  <si>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</si>
  <si>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</si>
  <si>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31/12/2024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</si>
  <si>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</si>
  <si>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</si>
  <si>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</si>
  <si>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</si>
  <si>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</si>
  <si>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</si>
  <si>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</si>
  <si>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</si>
  <si>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</si>
  <si>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</si>
  <si>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</si>
  <si>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</si>
  <si>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</si>
  <si>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</si>
  <si>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</si>
  <si>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</si>
  <si>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</si>
  <si>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</si>
  <si>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</si>
  <si>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</si>
  <si>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</si>
  <si>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</si>
  <si>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</si>
  <si>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</si>
  <si>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</si>
  <si>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</si>
  <si>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</si>
  <si>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</si>
  <si>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</si>
  <si>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</si>
  <si>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</si>
  <si>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</si>
  <si>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</si>
  <si>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</si>
  <si>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</si>
  <si>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</si>
  <si>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</si>
  <si>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</si>
  <si>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</si>
  <si>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</si>
  <si>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</si>
  <si>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</si>
  <si>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</si>
  <si>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</si>
  <si>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</si>
  <si>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</si>
  <si>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</si>
  <si>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</si>
  <si>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</si>
  <si>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</si>
  <si>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</si>
  <si>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</si>
  <si>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</si>
  <si>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</si>
  <si>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</si>
  <si>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</si>
  <si>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</si>
  <si>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</si>
  <si>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</si>
  <si>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</si>
  <si>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</si>
  <si>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</si>
  <si>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</si>
  <si>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</si>
  <si>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</si>
  <si>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</si>
  <si>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</si>
  <si>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</si>
  <si>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</si>
  <si>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</si>
  <si>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</si>
  <si>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</si>
  <si>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</si>
  <si>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</si>
  <si>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</si>
  <si>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</si>
  <si>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</si>
  <si>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</si>
  <si>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</si>
  <si>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</si>
  <si>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</si>
  <si>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</si>
  <si>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</si>
  <si>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</si>
  <si>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</si>
  <si>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</si>
  <si>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</si>
  <si>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</si>
  <si>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</si>
  <si>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</si>
  <si>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</si>
  <si>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</si>
  <si>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</si>
  <si>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</si>
  <si>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</si>
  <si>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</si>
  <si>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</si>
  <si>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</si>
  <si>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</si>
  <si>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</si>
  <si>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</si>
  <si>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</si>
  <si>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</si>
  <si>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</si>
  <si>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</si>
  <si>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</si>
  <si>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</si>
  <si>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</si>
  <si>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</si>
  <si>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</si>
  <si>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</si>
  <si>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</si>
  <si>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</si>
  <si>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</si>
  <si>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</si>
  <si>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</si>
  <si>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</si>
  <si>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</si>
  <si>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</si>
  <si>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</si>
  <si>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</si>
  <si>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</si>
  <si>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</si>
  <si>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</si>
  <si>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</si>
  <si>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</si>
  <si>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</si>
  <si>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</si>
  <si>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</si>
  <si>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</si>
  <si>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</si>
  <si>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</si>
  <si>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</si>
  <si>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</si>
  <si>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</si>
  <si>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</si>
  <si>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</si>
  <si>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</si>
  <si>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</si>
  <si>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</si>
  <si>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</si>
  <si>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</si>
  <si>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</si>
  <si>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</si>
  <si>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</si>
  <si>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</si>
  <si>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</si>
  <si>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</si>
  <si>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</si>
  <si>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</si>
  <si>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</si>
  <si>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</si>
  <si>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</si>
  <si>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</si>
  <si>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</si>
  <si>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</si>
  <si>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</si>
  <si>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</si>
  <si>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</si>
  <si>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</si>
  <si>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</si>
  <si>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</si>
  <si>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</si>
  <si>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</si>
  <si>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</si>
  <si>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</si>
  <si>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</si>
  <si>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</si>
  <si>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</si>
  <si>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</si>
  <si>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</si>
  <si>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</si>
  <si>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</si>
  <si>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</si>
  <si>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</si>
  <si>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</si>
  <si>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</si>
  <si>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</si>
  <si>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</si>
  <si>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</si>
  <si>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</si>
  <si>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</si>
  <si>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</si>
  <si>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</si>
  <si>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</si>
  <si>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</si>
  <si>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</si>
  <si>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</si>
  <si>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</si>
  <si>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</si>
  <si>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</si>
  <si>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</si>
  <si>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</si>
  <si>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</si>
  <si>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</si>
  <si>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</si>
  <si>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</si>
  <si>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</si>
  <si>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</si>
  <si>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</si>
  <si>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</si>
  <si>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</si>
  <si>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</si>
  <si>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</si>
  <si>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</si>
  <si>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</si>
  <si>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</si>
  <si>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</si>
  <si>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</si>
  <si>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</si>
  <si>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</si>
  <si>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</si>
  <si>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</si>
  <si>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</si>
  <si>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</si>
  <si>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</si>
  <si>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</si>
  <si>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</si>
  <si>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</si>
  <si>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</si>
  <si>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</si>
  <si>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</si>
  <si>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</si>
  <si>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</si>
  <si>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</si>
  <si>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</si>
  <si>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</si>
  <si>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</si>
  <si>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</si>
  <si>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</si>
  <si>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</si>
  <si>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</si>
  <si>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</si>
  <si>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</si>
  <si>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</si>
  <si>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</si>
  <si>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</si>
  <si>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</si>
  <si>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</si>
  <si>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</si>
  <si>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</si>
  <si>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</si>
  <si>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</si>
  <si>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</si>
  <si>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</si>
  <si>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</si>
  <si>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</si>
  <si>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</si>
  <si>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</si>
  <si>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</si>
  <si>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</si>
  <si>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</si>
  <si>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</si>
  <si>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</si>
  <si>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</si>
  <si>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</si>
  <si>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</si>
  <si>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</si>
  <si>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</si>
  <si>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</si>
  <si>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</si>
  <si>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</si>
  <si>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</si>
  <si>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</si>
  <si>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</si>
  <si>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</si>
  <si>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</si>
  <si>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</si>
  <si>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</si>
  <si>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</si>
  <si>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</si>
  <si>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</si>
  <si>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</si>
  <si>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</si>
  <si>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</si>
  <si>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</si>
  <si>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</si>
  <si>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</si>
  <si>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</si>
  <si>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</si>
  <si>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</si>
  <si>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</si>
  <si>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</si>
  <si>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</si>
  <si>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</si>
  <si>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</si>
  <si>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</si>
  <si>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</si>
  <si>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</si>
  <si>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</si>
  <si>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</si>
  <si>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</si>
  <si>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</si>
  <si>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</si>
  <si>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</si>
  <si>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</si>
  <si>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</si>
  <si>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</si>
  <si>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</si>
  <si>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</si>
  <si>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</si>
  <si>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</si>
  <si>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</si>
  <si>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</si>
  <si>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</si>
  <si>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</si>
  <si>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</si>
  <si>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</si>
  <si>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</si>
  <si>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</si>
  <si>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</si>
  <si>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</si>
  <si>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</si>
  <si>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</si>
  <si>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</si>
  <si>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</si>
  <si>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</si>
  <si>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</si>
  <si>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</si>
  <si>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</si>
  <si>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</si>
  <si>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</si>
  <si>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</si>
  <si>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</si>
  <si>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</si>
  <si>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</si>
  <si>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</si>
  <si>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</si>
  <si>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</si>
  <si>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</si>
  <si>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</si>
  <si>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</si>
  <si>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</si>
  <si>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</si>
  <si>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</si>
  <si>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</si>
  <si>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</si>
  <si>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</si>
  <si>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</si>
  <si>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</si>
  <si>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</si>
  <si>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</si>
  <si>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</si>
  <si>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</si>
  <si>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</si>
  <si>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</si>
  <si>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</si>
  <si>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</si>
  <si>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</si>
  <si>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</si>
  <si>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</si>
  <si>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</si>
  <si>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</si>
  <si>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</si>
  <si>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</si>
  <si>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</si>
  <si>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</si>
  <si>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</si>
  <si>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</si>
  <si>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</si>
  <si>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</si>
  <si>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</si>
  <si>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</si>
  <si>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</si>
  <si>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</si>
  <si>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</si>
  <si>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</si>
  <si>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</si>
  <si>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</si>
  <si>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</si>
  <si>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</si>
  <si>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</si>
  <si>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</si>
  <si>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</si>
  <si>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</si>
  <si>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</si>
  <si>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</si>
  <si>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</si>
  <si>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</si>
  <si>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</si>
  <si>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</si>
  <si>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</si>
  <si>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</si>
  <si>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</si>
  <si>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</si>
  <si>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</si>
  <si>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</si>
  <si>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</si>
  <si>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</si>
  <si>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</si>
  <si>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</si>
  <si>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</si>
  <si>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</si>
  <si>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</si>
  <si>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</si>
  <si>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</si>
  <si>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</si>
  <si>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</si>
  <si>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</si>
  <si>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</si>
  <si>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</si>
  <si>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</si>
  <si>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</si>
  <si>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</si>
  <si>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</si>
  <si>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</si>
  <si>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</si>
  <si>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</si>
  <si>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</si>
  <si>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</si>
  <si>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</si>
  <si>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</si>
  <si>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</si>
  <si>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</si>
  <si>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</si>
  <si>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</si>
  <si>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</si>
  <si>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</si>
  <si>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</si>
  <si>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</si>
  <si>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</si>
  <si>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</si>
  <si>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</si>
  <si>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</si>
  <si>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</si>
  <si>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</si>
  <si>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</si>
  <si>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</si>
  <si>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</si>
  <si>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</si>
  <si>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</si>
  <si>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</si>
  <si>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</si>
  <si>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</si>
  <si>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</si>
  <si>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</si>
  <si>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</si>
  <si>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</si>
  <si>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</si>
  <si>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</si>
  <si>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</si>
  <si>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</si>
  <si>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</si>
  <si>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</si>
  <si>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</si>
  <si>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</si>
  <si>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</si>
  <si>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</si>
  <si>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</si>
  <si>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</si>
  <si>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</si>
  <si>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</si>
  <si>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</si>
  <si>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</si>
  <si>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</si>
  <si>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</si>
  <si>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</si>
  <si>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</si>
  <si>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</si>
  <si>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</si>
  <si>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</si>
  <si>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</si>
  <si>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</si>
  <si>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</si>
  <si>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</si>
  <si>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</si>
  <si>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</si>
  <si>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</si>
  <si>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</si>
  <si>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</si>
  <si>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</si>
  <si>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</si>
  <si>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</si>
  <si>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</si>
  <si>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</si>
  <si>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</si>
  <si>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</si>
  <si>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</si>
  <si>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</si>
  <si>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</si>
  <si>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</si>
  <si>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</si>
  <si>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</si>
  <si>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</si>
  <si>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</si>
  <si>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</si>
  <si>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</si>
  <si>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</si>
  <si>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</si>
  <si>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</si>
  <si>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</si>
  <si>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</si>
  <si>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</si>
  <si>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</si>
  <si>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</si>
  <si>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</si>
  <si>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</si>
  <si>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</si>
  <si>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</si>
  <si>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</si>
  <si>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</si>
  <si>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</si>
  <si>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</si>
  <si>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</si>
  <si>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</si>
  <si>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</si>
  <si>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</si>
  <si>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</si>
  <si>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</si>
  <si>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</si>
  <si>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</si>
  <si>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</si>
  <si>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</si>
  <si>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</si>
  <si>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</si>
  <si>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</si>
  <si>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</si>
  <si>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</si>
  <si>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</si>
  <si>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</si>
  <si>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</si>
  <si>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</si>
  <si>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</si>
  <si>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</si>
  <si>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</si>
  <si>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</si>
  <si>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</si>
  <si>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</si>
  <si>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</si>
  <si>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</si>
  <si>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</si>
  <si>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</si>
  <si>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</si>
  <si>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</si>
  <si>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</si>
  <si>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</si>
  <si>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</si>
  <si>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</si>
  <si>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</si>
  <si>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</si>
  <si>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</si>
  <si>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</si>
  <si>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</si>
  <si>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</si>
  <si>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</si>
  <si>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</si>
  <si>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</si>
  <si>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</si>
  <si>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</si>
  <si>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</si>
  <si>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</si>
  <si>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</si>
  <si>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</si>
  <si>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</si>
  <si>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</si>
  <si>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</si>
  <si>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</si>
  <si>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</si>
  <si>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</si>
  <si>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</si>
  <si>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</si>
  <si>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</si>
  <si>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</si>
  <si>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</si>
  <si>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</si>
  <si>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</si>
  <si>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</si>
  <si>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</si>
  <si>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</si>
  <si>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</si>
  <si>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</si>
  <si>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</si>
  <si>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</si>
  <si>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</si>
  <si>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</si>
  <si>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</si>
  <si>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</si>
  <si>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</si>
  <si>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</si>
  <si>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</si>
  <si>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</si>
  <si>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</si>
  <si>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</si>
  <si>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</si>
  <si>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</si>
  <si>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</si>
  <si>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</si>
  <si>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</si>
  <si>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</si>
  <si>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</si>
  <si>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</si>
  <si>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</si>
  <si>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</si>
  <si>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</si>
  <si>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</si>
  <si>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</si>
  <si>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</si>
  <si>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</si>
  <si>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</si>
  <si>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</si>
  <si>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</si>
  <si>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</si>
  <si>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</si>
  <si>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</si>
  <si>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</si>
  <si>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</si>
  <si>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</si>
  <si>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</si>
  <si>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</si>
  <si>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</si>
  <si>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</si>
  <si>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</si>
  <si>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</si>
  <si>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</si>
  <si>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</si>
  <si>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</si>
  <si>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</si>
  <si>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</si>
  <si>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</si>
  <si>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</si>
  <si>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</si>
  <si>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</si>
  <si>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</si>
  <si>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</si>
  <si>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</si>
  <si>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</si>
  <si>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</si>
  <si>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</si>
  <si>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</si>
  <si>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</si>
  <si>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</si>
  <si>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</si>
  <si>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</si>
  <si>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</si>
  <si>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</si>
  <si>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</si>
  <si>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</si>
  <si>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</si>
  <si>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</si>
  <si>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</si>
  <si>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</si>
  <si>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</si>
  <si>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</si>
  <si>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</si>
  <si>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</si>
  <si>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</si>
  <si>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</si>
  <si>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</si>
  <si>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</si>
  <si>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</si>
  <si>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</si>
  <si>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</si>
  <si>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</si>
  <si>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</si>
  <si>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</si>
  <si>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</si>
  <si>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</si>
  <si>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</si>
  <si>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</si>
  <si>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</si>
  <si>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</si>
  <si>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</si>
  <si>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</si>
  <si>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</si>
  <si>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</si>
  <si>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</si>
  <si>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</si>
  <si>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</si>
  <si>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</si>
  <si>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</si>
  <si>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</si>
  <si>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</si>
  <si>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</si>
  <si>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</si>
  <si>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</si>
  <si>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</si>
  <si>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</si>
  <si>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</si>
  <si>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</si>
  <si>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</si>
  <si>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</si>
  <si>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</si>
  <si>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</si>
  <si>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</si>
  <si>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</si>
  <si>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</si>
  <si>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</si>
  <si>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</si>
  <si>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</si>
  <si>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</si>
  <si>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</si>
  <si>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</si>
  <si>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</si>
  <si>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</si>
  <si>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</si>
  <si>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</si>
  <si>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</si>
  <si>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</si>
  <si>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</si>
  <si>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</si>
  <si>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</si>
  <si>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</si>
  <si>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</si>
  <si>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</si>
  <si>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</si>
  <si>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</si>
  <si>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</si>
  <si>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</si>
  <si>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</si>
  <si>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</si>
  <si>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</si>
  <si>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</si>
  <si>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</si>
  <si>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</si>
  <si>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</si>
  <si>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</si>
  <si>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</si>
  <si>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</si>
  <si>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</si>
  <si>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</si>
  <si>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</si>
  <si>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</si>
  <si>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</si>
  <si>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</si>
  <si>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</si>
  <si>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</si>
  <si>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</si>
  <si>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</si>
  <si>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</si>
  <si>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</si>
  <si>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</si>
  <si>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</si>
  <si>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</si>
  <si>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</si>
  <si>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</si>
  <si>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</si>
  <si>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</si>
  <si>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</si>
  <si>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</si>
  <si>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</si>
  <si>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</si>
  <si>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</si>
  <si>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</si>
  <si>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</si>
  <si>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</si>
  <si>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</si>
  <si>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</si>
  <si>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</si>
  <si>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</si>
  <si>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</si>
  <si>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</si>
  <si>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</si>
  <si>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</si>
  <si>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</si>
  <si>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</si>
  <si>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</si>
  <si>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</si>
  <si>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</si>
  <si>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</si>
  <si>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</si>
  <si>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</si>
  <si>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</si>
  <si>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</si>
  <si>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</si>
  <si>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</si>
  <si>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</si>
  <si>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</si>
  <si>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</si>
  <si>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</si>
  <si>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</si>
  <si>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</si>
  <si>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</si>
  <si>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</si>
  <si>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</si>
  <si>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</si>
  <si>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</si>
  <si>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</si>
  <si>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</si>
  <si>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</si>
  <si>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</si>
  <si>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</si>
  <si>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</si>
  <si>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</si>
  <si>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</si>
  <si>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</si>
  <si>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</si>
  <si>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</si>
  <si>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</si>
  <si>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</si>
  <si>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</si>
  <si>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</si>
  <si>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</si>
  <si>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</si>
  <si>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</si>
  <si>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</si>
  <si>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</si>
  <si>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</si>
  <si>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</si>
  <si>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</si>
  <si>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</si>
  <si>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</si>
  <si>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</si>
  <si>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</si>
  <si>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</si>
  <si>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</si>
  <si>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</si>
  <si>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</si>
  <si>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</si>
  <si>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</si>
  <si>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</si>
  <si>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</si>
  <si>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</si>
  <si>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</si>
  <si>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</si>
  <si>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</si>
  <si>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</si>
  <si>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</si>
  <si>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</si>
  <si>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</si>
  <si>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</si>
  <si>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</si>
  <si>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</si>
  <si>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</si>
  <si>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</si>
  <si>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</si>
  <si>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</si>
  <si>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</si>
  <si>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</si>
  <si>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</si>
  <si>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</si>
  <si>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</si>
  <si>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</si>
  <si>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</si>
  <si>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</si>
  <si>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</si>
  <si>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</si>
  <si>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</si>
  <si>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</si>
  <si>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</si>
  <si>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</si>
  <si>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</si>
  <si>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</si>
  <si>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</si>
  <si>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</si>
  <si>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</si>
  <si>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</si>
  <si>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</si>
  <si>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</si>
  <si>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</si>
  <si>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</si>
  <si>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</si>
  <si>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</si>
  <si>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</si>
  <si>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</si>
  <si>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</si>
  <si>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</si>
  <si>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</si>
  <si>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</si>
  <si>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</si>
  <si>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</si>
  <si>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</si>
  <si>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</si>
  <si>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</si>
  <si>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</si>
  <si>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</si>
  <si>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</si>
  <si>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</si>
  <si>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</si>
  <si>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</si>
  <si>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</si>
  <si>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</si>
  <si>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</si>
  <si>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</si>
  <si>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</si>
  <si>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</si>
  <si>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</si>
  <si>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</si>
  <si>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</si>
  <si>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</si>
  <si>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</si>
  <si>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</si>
  <si>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</si>
  <si>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</si>
  <si>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</si>
  <si>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</si>
  <si>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</si>
  <si>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</si>
  <si>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</si>
  <si>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</si>
  <si>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</si>
  <si>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</si>
  <si>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</si>
  <si>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</si>
  <si>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</si>
  <si>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</si>
  <si>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</si>
  <si>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</si>
  <si>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</si>
  <si>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</si>
  <si>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</si>
  <si>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</si>
  <si>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</si>
  <si>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</si>
  <si>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</si>
  <si>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</si>
  <si>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</si>
  <si>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</si>
  <si>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</si>
  <si>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</si>
  <si>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</si>
  <si>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</si>
  <si>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</si>
  <si>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</si>
  <si>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</si>
  <si>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</si>
  <si>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</si>
  <si>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</si>
  <si>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</si>
  <si>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</si>
  <si>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</si>
  <si>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</si>
  <si>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</si>
  <si>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</si>
  <si>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</si>
  <si>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</si>
  <si>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</si>
  <si>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</si>
  <si>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</si>
  <si>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</si>
  <si>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</si>
  <si>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</si>
  <si>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</si>
  <si>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</si>
  <si>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</si>
  <si>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</si>
  <si>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</si>
  <si>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</si>
  <si>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</si>
  <si>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</si>
  <si>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</si>
  <si>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</si>
  <si>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</si>
  <si>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</si>
  <si>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</si>
  <si>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</si>
  <si>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</si>
  <si>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</si>
  <si>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</si>
  <si>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</si>
  <si>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</si>
  <si>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</si>
  <si>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</si>
  <si>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</si>
  <si>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</si>
  <si>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</si>
  <si>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</si>
  <si>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</si>
  <si>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</si>
  <si>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</si>
  <si>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</si>
  <si>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</si>
  <si>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</si>
  <si>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</si>
  <si>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</si>
  <si>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</si>
  <si>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</si>
  <si>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</si>
  <si>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</si>
  <si>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</si>
  <si>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</si>
  <si>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</si>
  <si>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</si>
  <si>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</si>
  <si>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</si>
  <si>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</si>
  <si>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</si>
  <si>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</si>
  <si>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</si>
  <si>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</si>
  <si>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</si>
  <si>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</si>
  <si>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</si>
  <si>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</si>
  <si>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</si>
  <si>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</si>
  <si>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</si>
  <si>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</si>
  <si>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</si>
  <si>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</si>
  <si>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</si>
  <si>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</si>
  <si>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</si>
  <si>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</si>
  <si>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</si>
  <si>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</si>
  <si>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</si>
  <si>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</si>
  <si>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</si>
  <si>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</si>
  <si>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</si>
  <si>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</si>
  <si>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</si>
  <si>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</si>
  <si>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</si>
  <si>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</si>
  <si>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</si>
  <si>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</si>
  <si>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</si>
  <si>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</si>
  <si>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</si>
  <si>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</si>
  <si>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</si>
  <si>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</si>
  <si>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</si>
  <si>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</si>
  <si>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</si>
  <si>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</si>
  <si>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</si>
  <si>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</si>
  <si>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</si>
  <si>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</si>
  <si>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</si>
  <si>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</si>
  <si>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</si>
  <si>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</si>
  <si>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</si>
  <si>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</si>
  <si>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</si>
  <si>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</si>
  <si>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</si>
  <si>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</si>
  <si>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</si>
  <si>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</si>
  <si>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</si>
  <si>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</si>
  <si>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</si>
  <si>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</si>
  <si>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גמול פועלים סהר</t>
  </si>
  <si>
    <t>33-414</t>
  </si>
  <si>
    <t>AUD</t>
  </si>
  <si>
    <t>HKD</t>
  </si>
  <si>
    <t>SGD</t>
  </si>
  <si>
    <t>EUR</t>
  </si>
  <si>
    <t>JPY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</si>
  <si>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</si>
  <si>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</si>
  <si>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</si>
  <si>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</si>
  <si>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</si>
  <si>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</si>
  <si>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</si>
  <si>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</si>
  <si>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</si>
  <si>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</si>
  <si>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</si>
  <si>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</si>
  <si>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</si>
  <si>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</si>
  <si>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</si>
  <si>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</si>
  <si>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</si>
  <si>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</si>
  <si>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</si>
  <si>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</si>
  <si>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</si>
  <si>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</si>
  <si>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</si>
  <si>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</si>
  <si>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</si>
  <si>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</si>
  <si>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</si>
  <si>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</si>
  <si>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</si>
  <si>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</si>
  <si>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</si>
  <si>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</si>
  <si>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</si>
  <si>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</si>
  <si>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</si>
  <si>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</si>
  <si>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</si>
  <si>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</si>
  <si>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</si>
  <si>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</si>
  <si>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</si>
  <si>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</si>
  <si>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</si>
  <si>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</si>
  <si>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</si>
  <si>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</si>
  <si>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</si>
  <si>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</si>
  <si>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</si>
  <si>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</si>
  <si>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</si>
  <si>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</si>
  <si>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</si>
  <si>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</si>
  <si>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</si>
  <si>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</si>
  <si>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</si>
  <si>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</si>
  <si>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</si>
  <si>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</si>
  <si>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</si>
  <si>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</si>
  <si>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</si>
  <si>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</si>
  <si>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</si>
  <si>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</si>
  <si>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</si>
  <si>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</si>
  <si>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</si>
  <si>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</si>
  <si>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</si>
  <si>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</si>
  <si>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</si>
  <si>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</si>
  <si>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</si>
  <si>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</si>
  <si>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</si>
  <si>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</si>
  <si>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</si>
  <si>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</si>
  <si>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</si>
  <si>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</si>
  <si>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</si>
  <si>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</si>
  <si>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</si>
  <si>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</si>
  <si>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</si>
  <si>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</si>
  <si>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</si>
  <si>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</si>
  <si>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</si>
  <si>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</si>
  <si>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</si>
  <si>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</si>
  <si>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</si>
  <si>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</si>
  <si>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</si>
  <si>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</si>
  <si>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</si>
  <si>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</si>
  <si>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</si>
  <si>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</si>
  <si>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</si>
  <si>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</si>
  <si>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</si>
  <si>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</si>
  <si>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</si>
  <si>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</si>
  <si>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</si>
  <si>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</si>
  <si>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</si>
  <si>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</si>
  <si>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</si>
  <si>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</si>
  <si>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</si>
  <si>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520027954</t>
  </si>
  <si>
    <t>הלוואות עמיתים ל.צ</t>
  </si>
  <si>
    <t>300202086</t>
  </si>
  <si>
    <t>אנשים פרטיים </t>
  </si>
  <si>
    <t>30/10/2017</t>
  </si>
  <si>
    <t>N/R</t>
  </si>
  <si>
    <t>other</t>
  </si>
  <si>
    <t>הלוואה לעמית</t>
  </si>
  <si>
    <t>מערכת פריים</t>
  </si>
  <si>
    <t>אי תלות</t>
  </si>
  <si>
    <t xml:space="preserve">31/03/2024 </t>
  </si>
  <si>
    <t>שגריר רכב</t>
  </si>
  <si>
    <t>515158665</t>
  </si>
  <si>
    <t>ח.פ</t>
  </si>
  <si>
    <t>שגריר כתב אופציה ל.ס</t>
  </si>
  <si>
    <t>IL0011383796</t>
  </si>
  <si>
    <t>08/06/2025</t>
  </si>
  <si>
    <t>29/06/2022</t>
  </si>
  <si>
    <t>06/08/2024</t>
  </si>
  <si>
    <t>Scoutcam LTD</t>
  </si>
  <si>
    <t>549300FBP1ANSJE5TE25</t>
  </si>
  <si>
    <t>SCOUTCAM OP</t>
  </si>
  <si>
    <t>299942610</t>
  </si>
  <si>
    <t>31/03/2026</t>
  </si>
  <si>
    <t>30/04/2023</t>
  </si>
  <si>
    <t>שווי הוגן (בש"ח)</t>
  </si>
  <si>
    <t>הראל קרנות נאמנות בע"מ</t>
  </si>
  <si>
    <t>511776783</t>
  </si>
  <si>
    <t>3 i   Corps Liquid)י0A) הראל</t>
  </si>
  <si>
    <t>IL0051297708</t>
  </si>
  <si>
    <t>מניות בישראל</t>
  </si>
  <si>
    <t>מגדל קרנות נאמנות בע"מ</t>
  </si>
  <si>
    <t>511303661</t>
  </si>
  <si>
    <t>MTF מחקה )4A( ת"א 90</t>
  </si>
  <si>
    <t>IL0051306202</t>
  </si>
  <si>
    <t>MTF מחקה IBOX $ מנוטרלת מטח</t>
  </si>
  <si>
    <t>IL0051212079</t>
  </si>
  <si>
    <t>פסגות קרנות נאמנות בע"מ</t>
  </si>
  <si>
    <t>513765339</t>
  </si>
  <si>
    <t>PTFי )4A( ת"א 90</t>
  </si>
  <si>
    <t>IL0051309198</t>
  </si>
  <si>
    <t>אי בי אי ניהול קרנות נאמנות בע"מ</t>
  </si>
  <si>
    <t>510791031</t>
  </si>
  <si>
    <t>איביאי מחקה אינדקס בנק ישראל</t>
  </si>
  <si>
    <t>IL0051341688</t>
  </si>
  <si>
    <t>הראל Htfי )4A( ת"א 90</t>
  </si>
  <si>
    <t>IL0051306384</t>
  </si>
  <si>
    <t>מנגנון מרווח AA PTF</t>
  </si>
  <si>
    <t>IL0051307036</t>
  </si>
  <si>
    <t xml:space="preserve">אג"ח בישראל - חברות והמרה  </t>
  </si>
  <si>
    <t>CIFC Senior Secured Corporate</t>
  </si>
  <si>
    <t>3912000TN89ESDWHS93</t>
  </si>
  <si>
    <t>CIFC SEN SEC CORP LN ISRLP</t>
  </si>
  <si>
    <t>XD1119644098</t>
  </si>
  <si>
    <t>CREDIT SUISSE</t>
  </si>
  <si>
    <t>EXD7DEVFDH4HOFFQ7349</t>
  </si>
  <si>
    <t>CSNGSMU LX Equity</t>
  </si>
  <si>
    <t>LU0635707705</t>
  </si>
  <si>
    <t>Fidelity Fund Management</t>
  </si>
  <si>
    <t>549300JFYFTF85QAQR28</t>
  </si>
  <si>
    <t>Fidelity Funds - US High Yield Fund</t>
  </si>
  <si>
    <t>LU0891474172</t>
  </si>
  <si>
    <t>Invesco investment management limited</t>
  </si>
  <si>
    <t>ECPGFXU8A2SHKVVGJI15</t>
  </si>
  <si>
    <t>IUSSENG LX Equity</t>
  </si>
  <si>
    <t>LU0564079282</t>
  </si>
  <si>
    <t>ISE </t>
  </si>
  <si>
    <t>Kotak</t>
  </si>
  <si>
    <t>213800SJ3IH3EXMXSJ47</t>
  </si>
  <si>
    <t>KOTAK FUNDS - I</t>
  </si>
  <si>
    <t>LU0675383409</t>
  </si>
  <si>
    <t>Nomura asset management</t>
  </si>
  <si>
    <t>549300LNIUIPKJOPIK90</t>
  </si>
  <si>
    <t>NOMURA-US HIGH YLD BD-I USD</t>
  </si>
  <si>
    <t>IE00B3RW8498</t>
  </si>
  <si>
    <t>Straffan Asset Management Ltd</t>
  </si>
  <si>
    <t>28068</t>
  </si>
  <si>
    <t>THE FOUR ELEMENTS</t>
  </si>
  <si>
    <t>KYG1367R1083</t>
  </si>
  <si>
    <t>MTF ת"א 100 קרן נאמנות</t>
  </si>
  <si>
    <t>IL0051098890</t>
  </si>
  <si>
    <t>הראל S&amp;P 500</t>
  </si>
  <si>
    <t>IL0051292758</t>
  </si>
  <si>
    <t>מניות בחו"ל חשופות מט"ח</t>
  </si>
  <si>
    <t>מיטב קרנות נאמנות בע"מ</t>
  </si>
  <si>
    <t>513534974</t>
  </si>
  <si>
    <t>תכלית 500 SP</t>
  </si>
  <si>
    <t>IL0051139983</t>
  </si>
  <si>
    <t>MTF מחקה (S&amp;P 500 (4D</t>
  </si>
  <si>
    <t>IL0051226277</t>
  </si>
  <si>
    <t>SP 500 PTF פסגות</t>
  </si>
  <si>
    <t>IL0051274699</t>
  </si>
  <si>
    <t xml:space="preserve">BlackRock  Asset Managment </t>
  </si>
  <si>
    <t>254900UWHMJRRODS3Z64</t>
  </si>
  <si>
    <t>ITB US</t>
  </si>
  <si>
    <t>US4642887529</t>
  </si>
  <si>
    <t>קסם קרנות נאמנות בע"מ</t>
  </si>
  <si>
    <t>510938608</t>
  </si>
  <si>
    <t>KSM.CSI300 (4D) ETF</t>
  </si>
  <si>
    <t>IL0011627838</t>
  </si>
  <si>
    <t>MTF סל תא 125</t>
  </si>
  <si>
    <t>IL0011502833</t>
  </si>
  <si>
    <t>MTF סל תא 90</t>
  </si>
  <si>
    <t>IL0011502593</t>
  </si>
  <si>
    <t>הראל סל NDX 100</t>
  </si>
  <si>
    <t>IL0011490385</t>
  </si>
  <si>
    <t>הראל סל SP500</t>
  </si>
  <si>
    <t>IL0011490203</t>
  </si>
  <si>
    <t>הראל סל תא 90</t>
  </si>
  <si>
    <t>IL0011489312</t>
  </si>
  <si>
    <t>הראל קרן סל תא 125</t>
  </si>
  <si>
    <t>IL0011488991</t>
  </si>
  <si>
    <t>מור ניהול קרנות נאמנות בע"מ</t>
  </si>
  <si>
    <t>514884485</t>
  </si>
  <si>
    <t>מור סל (A4) ת"א -125</t>
  </si>
  <si>
    <t>IL0011961534</t>
  </si>
  <si>
    <t>מור סל )4D(י NASDAQ 100</t>
  </si>
  <si>
    <t>IL0011658361</t>
  </si>
  <si>
    <t>קסם קרן סל תא 125</t>
  </si>
  <si>
    <t>IL0011463564</t>
  </si>
  <si>
    <t>קסם תא 90</t>
  </si>
  <si>
    <t>IL0011463317</t>
  </si>
  <si>
    <t>קסם תא נדלן</t>
  </si>
  <si>
    <t>IL0011465478</t>
  </si>
  <si>
    <t>תכלית סל תא 90</t>
  </si>
  <si>
    <t>IL0011437832</t>
  </si>
  <si>
    <t>MTF סל S&amp;P Industria מנוטרל מטח</t>
  </si>
  <si>
    <t>IL0011504573</t>
  </si>
  <si>
    <t xml:space="preserve">מניות בחו"ל משולבת </t>
  </si>
  <si>
    <t>MTF סל‏ צריכה בסיס SP ממ</t>
  </si>
  <si>
    <t>IL0011506891</t>
  </si>
  <si>
    <t>MTF&amp;SPUSA</t>
  </si>
  <si>
    <t>IL0011505646</t>
  </si>
  <si>
    <t>MTF2000RUSS ממ</t>
  </si>
  <si>
    <t>IL0011505497</t>
  </si>
  <si>
    <t>MTF600STX ממ</t>
  </si>
  <si>
    <t>IL0011506149</t>
  </si>
  <si>
    <t>NIKKEI225.MTFמגדל קרן סל ממ</t>
  </si>
  <si>
    <t>IL0011505315</t>
  </si>
  <si>
    <t>SP ENERGY סל MTF</t>
  </si>
  <si>
    <t>IL 0011507212</t>
  </si>
  <si>
    <t>הראל סל SP EX TEC SFTR</t>
  </si>
  <si>
    <t>IL0011840928</t>
  </si>
  <si>
    <t>הראל סל פיננסים ארהב P IXM&amp;S PR</t>
  </si>
  <si>
    <t>IL0011498974</t>
  </si>
  <si>
    <t>הראל סל תלבונד ש 50</t>
  </si>
  <si>
    <t>IL0011507139</t>
  </si>
  <si>
    <t>מור סל )4A(י NASDAQ 100 מנוטרל</t>
  </si>
  <si>
    <t>IL0011658445</t>
  </si>
  <si>
    <t>מור סל S&amp;P 500 ממ</t>
  </si>
  <si>
    <t>IL0011658288</t>
  </si>
  <si>
    <t>פסגות סל מנוטרלת P HEALTH CARES</t>
  </si>
  <si>
    <t>IL0011482127</t>
  </si>
  <si>
    <t>תכ.SPMIDCA400ממ</t>
  </si>
  <si>
    <t>IL0011449555</t>
  </si>
  <si>
    <t>תכלית סל (40) ת"א נפט וגז</t>
  </si>
  <si>
    <t>IL0011448078</t>
  </si>
  <si>
    <t>תכלית סל (HANGSENG '(4A מנוטרלת מט"ח</t>
  </si>
  <si>
    <t>IL0011437428</t>
  </si>
  <si>
    <t>תכלית סל NDX BIO</t>
  </si>
  <si>
    <t>IL0011448649</t>
  </si>
  <si>
    <t>תכלית סל פוטסי 100 מנוטרלת</t>
  </si>
  <si>
    <t>IL0011451270</t>
  </si>
  <si>
    <t>תכלית תל בונד 60</t>
  </si>
  <si>
    <t>IL0011451015</t>
  </si>
  <si>
    <t>Amundi Asset Management</t>
  </si>
  <si>
    <t>213800VZW861M5FHMD50</t>
  </si>
  <si>
    <t>AMUNDI S&amp;P 500 UCITS ETF</t>
  </si>
  <si>
    <t>LU1681049018</t>
  </si>
  <si>
    <t>CNDX LN Equity</t>
  </si>
  <si>
    <t>IE00B53SZB19</t>
  </si>
  <si>
    <t>ISHARES EURO STOXX 50 DE</t>
  </si>
  <si>
    <t>DE0005933956</t>
  </si>
  <si>
    <t>ISHARES S&amp;P 500 INDUSTRIAL</t>
  </si>
  <si>
    <t>IE00B4LN9N13</t>
  </si>
  <si>
    <t>ISHARES S&amp;P US BANKS UCITS</t>
  </si>
  <si>
    <t>IE00BD3V0810</t>
  </si>
  <si>
    <t>ISHARES USD CROP BOND UCITS ET</t>
  </si>
  <si>
    <t>IE00BYXYYJ35</t>
  </si>
  <si>
    <t>ISHARES USD SHORT DURATION COR</t>
  </si>
  <si>
    <t>IE00BYXYYP94</t>
  </si>
  <si>
    <t>KraneShares CSI China Internet</t>
  </si>
  <si>
    <t>635400XKS4TFYYAQ1K41</t>
  </si>
  <si>
    <t>KRANESHARES CSI CHINA INTERNET</t>
  </si>
  <si>
    <t>IE00BFXR7892</t>
  </si>
  <si>
    <t>KRANESHARES</t>
  </si>
  <si>
    <t>549300VLDRC0RUX0E553</t>
  </si>
  <si>
    <t>KRANESHARES Csi China Internet Etf</t>
  </si>
  <si>
    <t>US5007673065</t>
  </si>
  <si>
    <t>LYXOR ETF</t>
  </si>
  <si>
    <t>Lyxor S&amp;P 500 Ucits Etf - c-eu</t>
  </si>
  <si>
    <t>LU1135865084</t>
  </si>
  <si>
    <t>NEXT FUNDS TOPIX EXCHANGE TRAD</t>
  </si>
  <si>
    <t>JP3027630007</t>
  </si>
  <si>
    <t>SOURCE S&amp;P 500 UCITS EFT</t>
  </si>
  <si>
    <t>IE00B3YCGJ38</t>
  </si>
  <si>
    <t>State Street Corp</t>
  </si>
  <si>
    <t>07F5H7W3ET8ZLWNMFP29</t>
  </si>
  <si>
    <t>SPDR BLOOMBERG SASB U.S. HIGH</t>
  </si>
  <si>
    <t>IE0004TYCC17</t>
  </si>
  <si>
    <t>NYSE </t>
  </si>
  <si>
    <t>SPDR BLOOMBERG SASB US CORPORA</t>
  </si>
  <si>
    <t>IE00BLF7VX27</t>
  </si>
  <si>
    <t>SPDR PORTFOLIO S&amp;P 500 ETF</t>
  </si>
  <si>
    <t>US78464A8541</t>
  </si>
  <si>
    <t>SPDR S&amp;P 500 UCITS EFT</t>
  </si>
  <si>
    <t>IE000XZSV718</t>
  </si>
  <si>
    <t>SPDR S&amp;P U.S. ENERGY SELECT SE</t>
  </si>
  <si>
    <t>IE00BWBXM492</t>
  </si>
  <si>
    <t>SPDR S&amp;P U.S. FINANCIALS SELEC</t>
  </si>
  <si>
    <t>IE00BWBXM500</t>
  </si>
  <si>
    <t>Vanguard Group</t>
  </si>
  <si>
    <t>549300Y88GQ3VLJIBX57</t>
  </si>
  <si>
    <t>VANGUARD FTSE EMERGING MARKETS</t>
  </si>
  <si>
    <t>IE00BK5BR733</t>
  </si>
  <si>
    <t>VANGUARD S&amp;P 50</t>
  </si>
  <si>
    <t>us9229083632</t>
  </si>
  <si>
    <t>VANGUARD USD CORPORATE BOND UC</t>
  </si>
  <si>
    <t>IE00BGYWFK87</t>
  </si>
  <si>
    <t>WisdomTree Europe ltd</t>
  </si>
  <si>
    <t>213800B789JS6Y4H8936</t>
  </si>
  <si>
    <t>WisdomTree Japan Hedged</t>
  </si>
  <si>
    <t>US97717W8516</t>
  </si>
  <si>
    <t>FEZ_Spdr Euro Stoxx 50 etf</t>
  </si>
  <si>
    <t>US78463X2027</t>
  </si>
  <si>
    <t>Global X Defense Tech ETF</t>
  </si>
  <si>
    <t>GLOBAL X DEFENSE TECH ETF</t>
  </si>
  <si>
    <t>US37960A5294</t>
  </si>
  <si>
    <t>ISHARES 5-10 YEAR INVESTMENT</t>
  </si>
  <si>
    <t>US4642886380</t>
  </si>
  <si>
    <t>ISHARES M. SOUTH KO EWY</t>
  </si>
  <si>
    <t>US4642867729</t>
  </si>
  <si>
    <t>ISHARES MSCI EMERGING MARKETS</t>
  </si>
  <si>
    <t>US46434G7640</t>
  </si>
  <si>
    <t>ISHARES MSCI INDIA ETF</t>
  </si>
  <si>
    <t>US46429B5984</t>
  </si>
  <si>
    <t>ISHARES MSFI TAIWAN ETF</t>
  </si>
  <si>
    <t>US46434G7723</t>
  </si>
  <si>
    <t>ISHARES RUSSEL MIDCAP GRWTH</t>
  </si>
  <si>
    <t>US4642874816</t>
  </si>
  <si>
    <t>NERGY S.SECTOR SPDR</t>
  </si>
  <si>
    <t>US81369Y5069</t>
  </si>
  <si>
    <t>SPDR BARCLAYS INTERMEDIATE</t>
  </si>
  <si>
    <t>US78464A3757</t>
  </si>
  <si>
    <t>SPDR MSCI EUROPE HEALTH CARE U</t>
  </si>
  <si>
    <t>IE00BKWQ0H23</t>
  </si>
  <si>
    <t>Spdr s&amp;p homebuilders etf</t>
  </si>
  <si>
    <t>US78464A8889</t>
  </si>
  <si>
    <t>Van Eck ETF</t>
  </si>
  <si>
    <t>549300ZLFKNTXC51ZN76</t>
  </si>
  <si>
    <t>VANECK VECTORS MORNINGSTAR WID</t>
  </si>
  <si>
    <t>US92189F6438</t>
  </si>
  <si>
    <t>VANECK VECTORS SEMICONDUCTOR</t>
  </si>
  <si>
    <t>US92189F6768</t>
  </si>
  <si>
    <t>קסם.תלבונד ש 50</t>
  </si>
  <si>
    <t>IL0011507626</t>
  </si>
  <si>
    <t>תכלית סל תל בונד שקלי 50</t>
  </si>
  <si>
    <t>IL0011693335</t>
  </si>
  <si>
    <t>קסם NDX100 ETF</t>
  </si>
  <si>
    <t>IL0011465056</t>
  </si>
  <si>
    <t>INVESCO KBW BANK ETF</t>
  </si>
  <si>
    <t>US46138E6288</t>
  </si>
  <si>
    <t>IVV US iShares S&amp;P 500 Index F</t>
  </si>
  <si>
    <t>US4642872000</t>
  </si>
  <si>
    <t>Powershares  QQQ NAS1</t>
  </si>
  <si>
    <t>US46090E1038</t>
  </si>
  <si>
    <t>SPDR S&amp;P US TECHNOLOGY SELECT</t>
  </si>
  <si>
    <t>IE00BWBXM948</t>
  </si>
  <si>
    <t>WISDOMTREE JAPAN EQUITY UCITS</t>
  </si>
  <si>
    <t>IE00BYQCZD50</t>
  </si>
  <si>
    <t>MTF סל (S&amp;P 500 (4D</t>
  </si>
  <si>
    <t>IL0011503336</t>
  </si>
  <si>
    <t>מור סל )4D(י S&amp;P 500</t>
  </si>
  <si>
    <t>IL0011658106</t>
  </si>
  <si>
    <t>פסגות קרן סל SP500</t>
  </si>
  <si>
    <t>IL0011481624</t>
  </si>
  <si>
    <t>תכלית 500 PR P&amp;S</t>
  </si>
  <si>
    <t>IL0011443855</t>
  </si>
  <si>
    <t>SPDR S&amp;P 500 ETF TRUST</t>
  </si>
  <si>
    <t>US78462F1030</t>
  </si>
  <si>
    <t>נובה מכשירי מדידה בע"מ</t>
  </si>
  <si>
    <t>511812463</t>
  </si>
  <si>
    <t>Nova measuring inst</t>
  </si>
  <si>
    <t>IL0010845571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</si>
  <si>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</si>
  <si>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</si>
  <si>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</si>
  <si>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</si>
  <si>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</si>
  <si>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</si>
  <si>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</si>
  <si>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</si>
  <si>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</si>
  <si>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</si>
  <si>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</si>
  <si>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</si>
  <si>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</si>
  <si>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</si>
  <si>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</si>
  <si>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</si>
  <si>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</si>
  <si>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</si>
  <si>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</si>
  <si>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</si>
  <si>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</si>
  <si>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</si>
  <si>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</si>
  <si>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</si>
  <si>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</si>
  <si>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</si>
  <si>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</si>
  <si>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</si>
  <si>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</si>
  <si>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</si>
  <si>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</si>
  <si>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</si>
  <si>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</si>
  <si>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</si>
  <si>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</si>
  <si>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</si>
  <si>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</si>
  <si>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</si>
  <si>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</si>
  <si>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</si>
  <si>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</si>
  <si>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</si>
  <si>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</si>
  <si>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</si>
  <si>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טרמינל איקס אונליין בע"מ</t>
  </si>
  <si>
    <t>515722536</t>
  </si>
  <si>
    <t>טרמינל איקס אונליין בעמ</t>
  </si>
  <si>
    <t>IL0011787145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</si>
  <si>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</si>
  <si>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</si>
  <si>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</si>
  <si>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</si>
  <si>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</si>
  <si>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</si>
  <si>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</si>
  <si>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</si>
  <si>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</si>
  <si>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</si>
  <si>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</si>
  <si>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</si>
  <si>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</si>
  <si>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</si>
  <si>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</si>
  <si>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</si>
  <si>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</si>
  <si>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</si>
  <si>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</si>
  <si>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</si>
  <si>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</si>
  <si>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</si>
  <si>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</si>
  <si>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</si>
  <si>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</si>
  <si>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</si>
  <si>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</si>
  <si>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נאוויטס פטרוליום, שותפות מוגבלת</t>
  </si>
  <si>
    <t>550263107</t>
  </si>
  <si>
    <t>נאוויטס פט יהש</t>
  </si>
  <si>
    <t>IL0011419699</t>
  </si>
  <si>
    <t>נובה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</si>
  <si>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</si>
  <si>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</si>
  <si>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</si>
  <si>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</si>
  <si>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</si>
  <si>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</si>
  <si>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</si>
  <si>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</si>
  <si>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</si>
  <si>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</si>
  <si>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</si>
  <si>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</si>
  <si>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</si>
  <si>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</si>
  <si>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</si>
  <si>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</si>
  <si>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</si>
  <si>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</si>
  <si>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</si>
  <si>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</si>
  <si>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</si>
  <si>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</si>
  <si>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</si>
  <si>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</si>
  <si>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</si>
  <si>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</si>
  <si>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</si>
  <si>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</si>
  <si>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</si>
  <si>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</si>
  <si>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</si>
  <si>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</si>
  <si>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</si>
  <si>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</si>
  <si>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</si>
  <si>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איי.סי.אל גרופ בע"מ (דואלי)</t>
  </si>
  <si>
    <t>520027830</t>
  </si>
  <si>
    <t>איי.סי.אל</t>
  </si>
  <si>
    <t>IL0002810146</t>
  </si>
  <si>
    <t xml:space="preserve">אלמור חשמל התקנות ושירותים (1986) בע"מ </t>
  </si>
  <si>
    <t>511164907</t>
  </si>
  <si>
    <t>אלמור חשמל</t>
  </si>
  <si>
    <t>IL0011424541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</si>
  <si>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</si>
  <si>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</si>
  <si>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</si>
  <si>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</si>
  <si>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</si>
  <si>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</si>
  <si>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</si>
  <si>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</si>
  <si>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קבוצת דלק בע"מ</t>
  </si>
  <si>
    <t>520044322</t>
  </si>
  <si>
    <t>דלק קבוצה</t>
  </si>
  <si>
    <t>IL0010841281</t>
  </si>
  <si>
    <t>דלתא-גליל תעשיות בע"מ</t>
  </si>
  <si>
    <t>520025602</t>
  </si>
  <si>
    <t>דלתא גליל</t>
  </si>
  <si>
    <t>IL0006270347</t>
  </si>
  <si>
    <t>הראל השקעות בביטוח ושרותים פיננסים בע"מ</t>
  </si>
  <si>
    <t>520033986</t>
  </si>
  <si>
    <t>הראל השקעות</t>
  </si>
  <si>
    <t>IL0005850180</t>
  </si>
  <si>
    <t>טאואר סמיקונדקטור בע"מ</t>
  </si>
  <si>
    <t>520041997</t>
  </si>
  <si>
    <t>טאואר</t>
  </si>
  <si>
    <t>IL0010823792</t>
  </si>
  <si>
    <t>מניבים קרן הריט החדשה בע"מ</t>
  </si>
  <si>
    <t>515327120</t>
  </si>
  <si>
    <t>מניבים ריט</t>
  </si>
  <si>
    <t>IL0011405730</t>
  </si>
  <si>
    <t>סאמיט אחזקות נדל"ן בע"מ</t>
  </si>
  <si>
    <t>520043720</t>
  </si>
  <si>
    <t>סאמיט</t>
  </si>
  <si>
    <t>IL0010816861</t>
  </si>
  <si>
    <t>סלקום ישראל בע"מ</t>
  </si>
  <si>
    <t>511930125</t>
  </si>
  <si>
    <t>סלקום</t>
  </si>
  <si>
    <t>IL0011015349</t>
  </si>
  <si>
    <t>פז חברת הנפט בע"מ</t>
  </si>
  <si>
    <t>510216054</t>
  </si>
  <si>
    <t>פז נפט</t>
  </si>
  <si>
    <t>IL0011000077</t>
  </si>
  <si>
    <t>קמטק בע"מ</t>
  </si>
  <si>
    <t>511235434</t>
  </si>
  <si>
    <t>קמטק</t>
  </si>
  <si>
    <t>IL0010952641</t>
  </si>
  <si>
    <t>רבוע כחול נדל"ן בע"מ</t>
  </si>
  <si>
    <t>513765859</t>
  </si>
  <si>
    <t>רבוע נדלן</t>
  </si>
  <si>
    <t>IL0010985658</t>
  </si>
  <si>
    <t>רשת חנויות רמי לוי שיווק השיקמה 2006 בע"מ</t>
  </si>
  <si>
    <t>513770669</t>
  </si>
  <si>
    <t>רמי לוי</t>
  </si>
  <si>
    <t>IL0011042491</t>
  </si>
  <si>
    <t>שטראוס גרופ בע"מ</t>
  </si>
  <si>
    <t>520003781</t>
  </si>
  <si>
    <t>שטראוס</t>
  </si>
  <si>
    <t>IL0007460160</t>
  </si>
  <si>
    <t>Advanced Micro Devices inc</t>
  </si>
  <si>
    <t>R2I72C950HOYXII45366</t>
  </si>
  <si>
    <t>ADVANCED MICRO DEVICES INC</t>
  </si>
  <si>
    <t>US0079031078</t>
  </si>
  <si>
    <t>amazon.com</t>
  </si>
  <si>
    <t>ZXTILKJKG63JELOEG630</t>
  </si>
  <si>
    <t>AMAZON.COM INC</t>
  </si>
  <si>
    <t>US0231351067</t>
  </si>
  <si>
    <t>ASML HOLDING NV-NY</t>
  </si>
  <si>
    <t>724500Y6DUVHQD6OXN27</t>
  </si>
  <si>
    <t>Asml Holding NV</t>
  </si>
  <si>
    <t>USN070592100</t>
  </si>
  <si>
    <t>ATERIAN INC</t>
  </si>
  <si>
    <t>11303</t>
  </si>
  <si>
    <t>US02156U2006</t>
  </si>
  <si>
    <t>Broadcom Inc</t>
  </si>
  <si>
    <t>549300WV6GIDOZJTV909</t>
  </si>
  <si>
    <t>BROADCOM LTD</t>
  </si>
  <si>
    <t>US11135F1012</t>
  </si>
  <si>
    <t>CAMTEK LTDQ</t>
  </si>
  <si>
    <t>COSTCO WHOLESAL</t>
  </si>
  <si>
    <t>29DX7H14B9S6O3FD6V18</t>
  </si>
  <si>
    <t>US22160K1051</t>
  </si>
  <si>
    <t>Food &amp; Staples Retailing Consumer Staples Distribution &amp; Retail</t>
  </si>
  <si>
    <t>ALPHABET INC</t>
  </si>
  <si>
    <t>5493006MHB84DD0ZWV18</t>
  </si>
  <si>
    <t>Google Inc</t>
  </si>
  <si>
    <t>US38259P5089</t>
  </si>
  <si>
    <t>Google Us Class c</t>
  </si>
  <si>
    <t>US02079K1079</t>
  </si>
  <si>
    <t>JD.com Inc</t>
  </si>
  <si>
    <t>549300HVTWB0GJZ16V92</t>
  </si>
  <si>
    <t>JD.COM INC-CL A</t>
  </si>
  <si>
    <t>KYG8208B1014</t>
  </si>
  <si>
    <t>MASTERCARD INC</t>
  </si>
  <si>
    <t>AR5L2ODV9HN37376R084</t>
  </si>
  <si>
    <t>MASTERCARD UNC</t>
  </si>
  <si>
    <t>US57636Q1040</t>
  </si>
  <si>
    <t>Diversified Financial Services Financial Services</t>
  </si>
  <si>
    <t>MICROSOFT CORP</t>
  </si>
  <si>
    <t>INR2EJN1ERAN0W5ZP974</t>
  </si>
  <si>
    <t>Microsoft crop</t>
  </si>
  <si>
    <t>US5949181045</t>
  </si>
  <si>
    <t>NICE SYS ADR</t>
  </si>
  <si>
    <t>US6536561086</t>
  </si>
  <si>
    <t>NVIDIA CORP</t>
  </si>
  <si>
    <t>549300S4KLFTLO7GSQ80</t>
  </si>
  <si>
    <t>Nvidia corp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</si>
  <si>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</si>
  <si>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</si>
  <si>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</si>
  <si>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</si>
  <si>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</si>
  <si>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Samsung Electronics co ltd</t>
  </si>
  <si>
    <t>9884007ER46L6N7EI764</t>
  </si>
  <si>
    <t>Samsung Electronics Co Lt</t>
  </si>
  <si>
    <t>US7960508882</t>
  </si>
  <si>
    <t>SCOUTCAM מניה פיקטיבית</t>
  </si>
  <si>
    <t>us81063v1052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</si>
  <si>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</si>
  <si>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</si>
  <si>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</si>
  <si>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</si>
  <si>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</si>
  <si>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</si>
  <si>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</si>
  <si>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Wal-Mart Stores</t>
  </si>
  <si>
    <t>Y87794H0US1R65VBXU25</t>
  </si>
  <si>
    <t>WMT US Wal-Mart Stores Inc</t>
  </si>
  <si>
    <t>US9311421039</t>
  </si>
  <si>
    <t>Adobe Inc</t>
  </si>
  <si>
    <t>FU4LY2G4933NH2E1CP29</t>
  </si>
  <si>
    <t>ADOBE INC</t>
  </si>
  <si>
    <t>US00724F1012</t>
  </si>
  <si>
    <t>APPLE COMPUTER INC</t>
  </si>
  <si>
    <t>HWUPKR0MPOU8FGXBT394</t>
  </si>
  <si>
    <t>APPLE INC</t>
  </si>
  <si>
    <t>US0378331005</t>
  </si>
  <si>
    <t>APPLIED MATERIALS</t>
  </si>
  <si>
    <t>41BNNE1AFPNAZELZ6K07</t>
  </si>
  <si>
    <t>APPLIED MATERIALS INC</t>
  </si>
  <si>
    <t>US0382221051</t>
  </si>
  <si>
    <t>Semiconductors &amp; Semiconductor</t>
  </si>
  <si>
    <t>BERKSHIRE HATHAWAY FIN</t>
  </si>
  <si>
    <t>5493000C01ZX7D35SD85</t>
  </si>
  <si>
    <t>BERKSHIRE HATHAWAY INC</t>
  </si>
  <si>
    <t>US0846702076</t>
  </si>
  <si>
    <t>Delta Air Lines, Inc</t>
  </si>
  <si>
    <t>Q2CCMS6R0AS67HJMBN42</t>
  </si>
  <si>
    <t>DELTA AIR LINES INC</t>
  </si>
  <si>
    <t>US2473617023</t>
  </si>
  <si>
    <t>D.R Horton inc</t>
  </si>
  <si>
    <t>529900ZIUEYVSB8QDD25</t>
  </si>
  <si>
    <t>DR HORTON INC</t>
  </si>
  <si>
    <t>US23331A1097</t>
  </si>
  <si>
    <t>EXXON MOBIL CORP</t>
  </si>
  <si>
    <t>J3WHBG0MTS7O8ZVMDC91</t>
  </si>
  <si>
    <t>US30231G1022</t>
  </si>
  <si>
    <t>Meta Platforms Inc</t>
  </si>
  <si>
    <t>BQ4BKCS1HXDV9HN80Z93</t>
  </si>
  <si>
    <t>Facebook Inc</t>
  </si>
  <si>
    <t>US30303M1027</t>
  </si>
  <si>
    <t>Freeport- McmoRan Copper &amp; Gold Inc</t>
  </si>
  <si>
    <t>549300IRDTHJQ1PVET45</t>
  </si>
  <si>
    <t>FREEPORT MCMORAN INC</t>
  </si>
  <si>
    <t>US35671D8570</t>
  </si>
  <si>
    <t>GENERAL ELEC CAP</t>
  </si>
  <si>
    <t>254900DP080RU6OK2553</t>
  </si>
  <si>
    <t>GENERAL ELECTRIC CO</t>
  </si>
  <si>
    <t>US3696043013</t>
  </si>
  <si>
    <t>Ibi Lion SA Sociedad</t>
  </si>
  <si>
    <t>959800EJ2LEQTV090B71</t>
  </si>
  <si>
    <t>IBI lion SASoc</t>
  </si>
  <si>
    <t>ES0105633004</t>
  </si>
  <si>
    <t>IBI LION SOCIMI SA RIGHTS -נייר זכויות</t>
  </si>
  <si>
    <t>ES0605633967</t>
  </si>
  <si>
    <t>Real Estate Management &amp; Dev</t>
  </si>
  <si>
    <t>invesco</t>
  </si>
  <si>
    <t>549300FEA3DT84FOZ304</t>
  </si>
  <si>
    <t>INVESCO TECHNOLOGY S&amp;P US SELE</t>
  </si>
  <si>
    <t>IE083VSSL01</t>
  </si>
  <si>
    <t>Technology Hardware Storage</t>
  </si>
  <si>
    <t>JP MORGAN ASSET MANAGEMENT</t>
  </si>
  <si>
    <t>8I5DZWZKVSZI1NUHU748</t>
  </si>
  <si>
    <t>JPMORGAN CHASE &amp; CO</t>
  </si>
  <si>
    <t>US46625H1005</t>
  </si>
  <si>
    <t>LINDE AG</t>
  </si>
  <si>
    <t>5299003QR1WT0EF88V51</t>
  </si>
  <si>
    <t>LINDE PLC</t>
  </si>
  <si>
    <t>IE000S9YS762</t>
  </si>
  <si>
    <t>Materials</t>
  </si>
  <si>
    <t>MCKESSON CORP</t>
  </si>
  <si>
    <t>549300WZWOM80UCFSF54</t>
  </si>
  <si>
    <t>US58155Q1031</t>
  </si>
  <si>
    <t>NIKE INC</t>
  </si>
  <si>
    <t>787RXPR0UX0O0XUXPZ81</t>
  </si>
  <si>
    <t>US6541061031</t>
  </si>
  <si>
    <t>ORACLE CORP</t>
  </si>
  <si>
    <t>1Z4GXXU7ZHVWFCD8TV52</t>
  </si>
  <si>
    <t>US68389X1054</t>
  </si>
  <si>
    <t>Software &amp; Services</t>
  </si>
  <si>
    <t>Palo alto networks inc</t>
  </si>
  <si>
    <t>549300QXR2YVZV231H43</t>
  </si>
  <si>
    <t>PALO ALTO NETWORKS INC</t>
  </si>
  <si>
    <t>US6974351057</t>
  </si>
  <si>
    <t>SHELL INTERNATIONAL FIN</t>
  </si>
  <si>
    <t>21380068P1DRHMJ8KU70</t>
  </si>
  <si>
    <t>SHELL PLC</t>
  </si>
  <si>
    <t>GB00BP6MXD84</t>
  </si>
  <si>
    <t>TAIWAN Semiconductor</t>
  </si>
  <si>
    <t>549300KB6NK5SBD14S87</t>
  </si>
  <si>
    <t>TAIWAN SEMICON ADR</t>
  </si>
  <si>
    <t>US8740391003</t>
  </si>
  <si>
    <t>UBER TECHNOLOGIE</t>
  </si>
  <si>
    <t>549300B2FTG34FILDR98</t>
  </si>
  <si>
    <t>UBER TECHNOLOGIES INC</t>
  </si>
  <si>
    <t>US90353T1007</t>
  </si>
  <si>
    <t>UNITEDHEALTH GROUP</t>
  </si>
  <si>
    <t>549300GHBMY8T5GXDE41</t>
  </si>
  <si>
    <t>UNITEDHEALTH GROUP INC</t>
  </si>
  <si>
    <t>US91324P1021</t>
  </si>
  <si>
    <t>Walt Disney Company</t>
  </si>
  <si>
    <t>549300GZKULIZ0WOW665</t>
  </si>
  <si>
    <t>WALT DISNEY CO</t>
  </si>
  <si>
    <t>US2546871060</t>
  </si>
  <si>
    <t>WELLS FARGO COMPANY</t>
  </si>
  <si>
    <t>PBLD0EJDB5FWOLXP3B76</t>
  </si>
  <si>
    <t>WELLS FARGO &amp; CO</t>
  </si>
  <si>
    <t>us9497461015</t>
  </si>
  <si>
    <t>אבגול תעשיות 1953 בע"מ</t>
  </si>
  <si>
    <t>510119068</t>
  </si>
  <si>
    <t>אבגול אג"ח ד' 5</t>
  </si>
  <si>
    <t>IL0011404170</t>
  </si>
  <si>
    <t>A+</t>
  </si>
  <si>
    <t>31/12/2025</t>
  </si>
  <si>
    <t xml:space="preserve">אול-יר  הולדינגס לימיטד </t>
  </si>
  <si>
    <t>1841580</t>
  </si>
  <si>
    <t>אול-יר אג"ח ה' חסום 2040720</t>
  </si>
  <si>
    <t>IL001433047</t>
  </si>
  <si>
    <t>A-</t>
  </si>
  <si>
    <t>31/07/2024</t>
  </si>
  <si>
    <t>איירפורט סיטי בע"מ</t>
  </si>
  <si>
    <t>511659401</t>
  </si>
  <si>
    <t>איירפורט אגח ה</t>
  </si>
  <si>
    <t>IL0011334872</t>
  </si>
  <si>
    <t>AA</t>
  </si>
  <si>
    <t>איירפורט אגח י</t>
  </si>
  <si>
    <t>IL0011959819</t>
  </si>
  <si>
    <t>30/04/2029</t>
  </si>
  <si>
    <t>אלדן תחבורה בע"מ</t>
  </si>
  <si>
    <t>510454333</t>
  </si>
  <si>
    <t>אלדן תחבורה אגח ח</t>
  </si>
  <si>
    <t>IL0011924425</t>
  </si>
  <si>
    <t>30/09/2029</t>
  </si>
  <si>
    <t>אלוני חץ אגח טו</t>
  </si>
  <si>
    <t>IL0011894149</t>
  </si>
  <si>
    <t>AA-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</si>
  <si>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</si>
  <si>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</si>
  <si>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</si>
  <si>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</si>
  <si>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</si>
  <si>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</si>
  <si>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</si>
  <si>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</si>
  <si>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10/01/2031</t>
  </si>
  <si>
    <t>אמות אגח ד</t>
  </si>
  <si>
    <t>IL0011331498</t>
  </si>
  <si>
    <t>02/07/2028</t>
  </si>
  <si>
    <t>אמות אגח ח</t>
  </si>
  <si>
    <t>IL0011727828</t>
  </si>
  <si>
    <t>05/01/2032</t>
  </si>
  <si>
    <t>אנלייט אנר אגח ו</t>
  </si>
  <si>
    <t>IL0072001733</t>
  </si>
  <si>
    <t>A</t>
  </si>
  <si>
    <t>01/09/2026</t>
  </si>
  <si>
    <t>אנרג'יקס אגח א</t>
  </si>
  <si>
    <t>IL0011617516</t>
  </si>
  <si>
    <t>01/08/2030</t>
  </si>
  <si>
    <t>בתי זקוק לנפט בע"מ</t>
  </si>
  <si>
    <t>520036658</t>
  </si>
  <si>
    <t>בזן  אגח ט</t>
  </si>
  <si>
    <t>IL0025904611</t>
  </si>
  <si>
    <t>30/09/2025</t>
  </si>
  <si>
    <t>בזן אגח יב</t>
  </si>
  <si>
    <t>IL0025905782</t>
  </si>
  <si>
    <t>25/09/2029</t>
  </si>
  <si>
    <t>בזק אגח 9</t>
  </si>
  <si>
    <t>IL0023001766</t>
  </si>
  <si>
    <t>01/12/2025</t>
  </si>
  <si>
    <t>ביג אגח ז</t>
  </si>
  <si>
    <t>IL0011360844</t>
  </si>
  <si>
    <t>11/05/2025</t>
  </si>
  <si>
    <t>ביג אגח טו</t>
  </si>
  <si>
    <t>IL0011622219</t>
  </si>
  <si>
    <t>31/01/2030</t>
  </si>
  <si>
    <t>ביג אגח כ</t>
  </si>
  <si>
    <t>IL0011861882</t>
  </si>
  <si>
    <t>01/05/2033</t>
  </si>
  <si>
    <t>הבינלאומי הראשון הנפקות בע"מ</t>
  </si>
  <si>
    <t>513141879</t>
  </si>
  <si>
    <t>בינל הנפק אגח י</t>
  </si>
  <si>
    <t>IL0011602906</t>
  </si>
  <si>
    <t>10/09/2025</t>
  </si>
  <si>
    <t>פז בית זיקוק לנפט-אשדוד בע"מ</t>
  </si>
  <si>
    <t>513775163</t>
  </si>
  <si>
    <t>בית זיקוק אשדוד אגח 2</t>
  </si>
  <si>
    <t>IL0011994881</t>
  </si>
  <si>
    <t>חברת גב-ים לקרקעות בע"מ</t>
  </si>
  <si>
    <t>520001736</t>
  </si>
  <si>
    <t>גב ים אגח ט</t>
  </si>
  <si>
    <t>IL0075902192</t>
  </si>
  <si>
    <t>30/06/2033</t>
  </si>
  <si>
    <t>גב ים סד' ו'</t>
  </si>
  <si>
    <t>IL0075901285</t>
  </si>
  <si>
    <t>ג'י סיטי בע"מ</t>
  </si>
  <si>
    <t>520033234</t>
  </si>
  <si>
    <t>ג'י סיטי אגח יב</t>
  </si>
  <si>
    <t>IL0012606039</t>
  </si>
  <si>
    <t>30/06/2027</t>
  </si>
  <si>
    <t>דור אלון אנרגיה בישראל (1988) בע"מ</t>
  </si>
  <si>
    <t>520043878</t>
  </si>
  <si>
    <t>דור אלון אגח ז</t>
  </si>
  <si>
    <t>IL0011577009</t>
  </si>
  <si>
    <t>30/09/2027</t>
  </si>
  <si>
    <t>דיסקונט מנפיקים בע"מ</t>
  </si>
  <si>
    <t>520029935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</si>
  <si>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</si>
  <si>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</si>
  <si>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</si>
  <si>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</si>
  <si>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</si>
  <si>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</si>
  <si>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דלתא אגח א</t>
  </si>
  <si>
    <t>IL0062701441</t>
  </si>
  <si>
    <t>31/08/2028</t>
  </si>
  <si>
    <t>חברת הכשרת הישוב בישראל בע"מ</t>
  </si>
  <si>
    <t>520020116</t>
  </si>
  <si>
    <t>הכשרת ישוב אגח 21</t>
  </si>
  <si>
    <t>IL0061202243</t>
  </si>
  <si>
    <t>31/12/2027</t>
  </si>
  <si>
    <t>הכשרת ישוב אגח 22</t>
  </si>
  <si>
    <t>IL0061202409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</si>
  <si>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</si>
  <si>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</si>
  <si>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</si>
  <si>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</si>
  <si>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</si>
  <si>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טז</t>
  </si>
  <si>
    <t>IL0011576019</t>
  </si>
  <si>
    <t>30/06/2026</t>
  </si>
  <si>
    <t>הראל הנפ אגח יד</t>
  </si>
  <si>
    <t>IL0011431223</t>
  </si>
  <si>
    <t>31/12/2030</t>
  </si>
  <si>
    <t>הראל השקעות אגח א</t>
  </si>
  <si>
    <t>IL0058501102</t>
  </si>
  <si>
    <t>31/12/2035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</si>
  <si>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</si>
  <si>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</si>
  <si>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</si>
  <si>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</si>
  <si>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</si>
  <si>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</si>
  <si>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</si>
  <si>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    אגח 29</t>
  </si>
  <si>
    <t>IL0060002362</t>
  </si>
  <si>
    <t>01/03/2026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</si>
  <si>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</si>
  <si>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</si>
  <si>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</si>
  <si>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</si>
  <si>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</si>
  <si>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</si>
  <si>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33</t>
  </si>
  <si>
    <t>IL0060003923</t>
  </si>
  <si>
    <t>30/05/2036</t>
  </si>
  <si>
    <t>חשמל אגח 34</t>
  </si>
  <si>
    <t>IL0011967812</t>
  </si>
  <si>
    <t>12/06/2033</t>
  </si>
  <si>
    <t>ישראמקו נגב 2 שותפות מוגבלת</t>
  </si>
  <si>
    <t>550010003</t>
  </si>
  <si>
    <t>ישראמקו נגב 2 א</t>
  </si>
  <si>
    <t>IL0023201747</t>
  </si>
  <si>
    <t>10/10/2025</t>
  </si>
  <si>
    <t>ישרס חברה להשקעות בע"מ</t>
  </si>
  <si>
    <t>520017807</t>
  </si>
  <si>
    <t>ישרס אגח טו</t>
  </si>
  <si>
    <t>IL0061302076</t>
  </si>
  <si>
    <t>16/05/2027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</si>
  <si>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</si>
  <si>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</si>
  <si>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</si>
  <si>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</si>
  <si>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</si>
  <si>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</si>
  <si>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</si>
  <si>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</si>
  <si>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</si>
  <si>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</si>
  <si>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</si>
  <si>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</si>
  <si>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</si>
  <si>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</si>
  <si>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</si>
  <si>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</si>
  <si>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מבנה נדל"ן (כ.ד)  בע"מ</t>
  </si>
  <si>
    <t>520024126</t>
  </si>
  <si>
    <t>מבני תעש אגח כג</t>
  </si>
  <si>
    <t>IL0022605450</t>
  </si>
  <si>
    <t>30/09/2026</t>
  </si>
  <si>
    <t>מבני תעשיה אגח טז</t>
  </si>
  <si>
    <t>IL0022604388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</si>
  <si>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</si>
  <si>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</si>
  <si>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</si>
  <si>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</si>
  <si>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</si>
  <si>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</si>
  <si>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01/01/2034</t>
  </si>
  <si>
    <t>מגדל הון אגח ט</t>
  </si>
  <si>
    <t>IL0011856288</t>
  </si>
  <si>
    <t>31/03/2028</t>
  </si>
  <si>
    <t>מגדל הון אגח יג 31/12/2032</t>
  </si>
  <si>
    <t>IL0012075136</t>
  </si>
  <si>
    <t>31/12/2032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</si>
  <si>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</si>
  <si>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</si>
  <si>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</si>
  <si>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</si>
  <si>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</si>
  <si>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</si>
  <si>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</si>
  <si>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</si>
  <si>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</si>
  <si>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</si>
  <si>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</si>
  <si>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</si>
  <si>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</si>
  <si>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 אגח 67</t>
  </si>
  <si>
    <t>IL0011968075</t>
  </si>
  <si>
    <t>מז טפ הנ אגח 68</t>
  </si>
  <si>
    <t>IL0012021429</t>
  </si>
  <si>
    <t>25/12/2033</t>
  </si>
  <si>
    <t>מז טפ הנפ אגח61</t>
  </si>
  <si>
    <t>IL0023104644</t>
  </si>
  <si>
    <t>04/12/2026</t>
  </si>
  <si>
    <t>מז טפחות הנפ אגח57</t>
  </si>
  <si>
    <t>IL0023104230</t>
  </si>
  <si>
    <t>02/03/2025</t>
  </si>
  <si>
    <t>מזרחי טפחות הנ אגח 66</t>
  </si>
  <si>
    <t>IL0011916678</t>
  </si>
  <si>
    <t>08/12/2031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</si>
  <si>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</si>
  <si>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</si>
  <si>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</si>
  <si>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</si>
  <si>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</si>
  <si>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ג</t>
  </si>
  <si>
    <t>IL0011712143</t>
  </si>
  <si>
    <t>מימון ישיר אגח ו  חסום עד 13.9.2025</t>
  </si>
  <si>
    <t>IL0011916595</t>
  </si>
  <si>
    <t>מימון ישיר אגח ו חסום עד 23.01.25</t>
  </si>
  <si>
    <t>מימון ישיר ד</t>
  </si>
  <si>
    <t>IL0011756603</t>
  </si>
  <si>
    <t>01/02/2026</t>
  </si>
  <si>
    <t>מליסרון  אגח יח</t>
  </si>
  <si>
    <t>IL0032303724</t>
  </si>
  <si>
    <t>מליסרון  אגח כא</t>
  </si>
  <si>
    <t>IL0011946386</t>
  </si>
  <si>
    <t>01/01/2037</t>
  </si>
  <si>
    <t>מליסרון אגח יא</t>
  </si>
  <si>
    <t>IL0032302080</t>
  </si>
  <si>
    <t>10/07/2025</t>
  </si>
  <si>
    <t>מנורה מבטחים החזקות בע"מ</t>
  </si>
  <si>
    <t>520007469</t>
  </si>
  <si>
    <t>מנורה מב  אגח ג</t>
  </si>
  <si>
    <t>IL0056600633</t>
  </si>
  <si>
    <t>חברה לנכסים ולבנין בע"מ</t>
  </si>
  <si>
    <t>520025438</t>
  </si>
  <si>
    <t>נכסים ובנין אגח י</t>
  </si>
  <si>
    <t>IL0011936304</t>
  </si>
  <si>
    <t>01/07/2029</t>
  </si>
  <si>
    <t>נפטא חברה ישראלית לנפט בע"מ</t>
  </si>
  <si>
    <t>520020942</t>
  </si>
  <si>
    <t>נפטא אגח ח</t>
  </si>
  <si>
    <t>IL0064301695</t>
  </si>
  <si>
    <t>26/01/2025</t>
  </si>
  <si>
    <t>סלקום אגח ט</t>
  </si>
  <si>
    <t>IL0011328361</t>
  </si>
  <si>
    <t>06/07/2025</t>
  </si>
  <si>
    <t>סלקום אגח י</t>
  </si>
  <si>
    <t>IL0011392458</t>
  </si>
  <si>
    <t>05/07/2026</t>
  </si>
  <si>
    <t>עזריאלי אגח ד</t>
  </si>
  <si>
    <t>IL0011386500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</si>
  <si>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</si>
  <si>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</si>
  <si>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</si>
  <si>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</si>
  <si>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</si>
  <si>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</si>
  <si>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</si>
  <si>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</si>
  <si>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</si>
  <si>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</si>
  <si>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</si>
  <si>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</si>
  <si>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</si>
  <si>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</si>
  <si>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</si>
  <si>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</si>
  <si>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</si>
  <si>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פורמולה אג"ח ג</t>
  </si>
  <si>
    <t>IL0025602090</t>
  </si>
  <si>
    <t>01/12/2026</t>
  </si>
  <si>
    <t>פז נפט  ו</t>
  </si>
  <si>
    <t>IL0011395428</t>
  </si>
  <si>
    <t>30/11/2028</t>
  </si>
  <si>
    <t>הפניקס גיוסי הון (2009) בע"מ</t>
  </si>
  <si>
    <t>514290345</t>
  </si>
  <si>
    <t>פניקס הון אגח טו</t>
  </si>
  <si>
    <t>IL0012019530</t>
  </si>
  <si>
    <t>30/06/2030</t>
  </si>
  <si>
    <t>פניקס הון אגח יא</t>
  </si>
  <si>
    <t>IL0011593592</t>
  </si>
  <si>
    <t>פתאל נכסים(אירופה)בע"מ</t>
  </si>
  <si>
    <t>515328250</t>
  </si>
  <si>
    <t>פתאל אירו אגח א</t>
  </si>
  <si>
    <t>IL0011375123</t>
  </si>
  <si>
    <t>15/08/2025</t>
  </si>
  <si>
    <t>קרסו מוטורס בע"מ</t>
  </si>
  <si>
    <t>514065283</t>
  </si>
  <si>
    <t>קרסו מוטורס   אגח ג</t>
  </si>
  <si>
    <t>IL0011418295</t>
  </si>
  <si>
    <t>01/09/2027</t>
  </si>
  <si>
    <t>רבוע נדלן אגח ו</t>
  </si>
  <si>
    <t>IL0011406076</t>
  </si>
  <si>
    <t>30/11/2026</t>
  </si>
  <si>
    <t>רבוע נדלן אגח ז</t>
  </si>
  <si>
    <t>IL0011406159</t>
  </si>
  <si>
    <t>ריט 1 בע"מ</t>
  </si>
  <si>
    <t>513821488</t>
  </si>
  <si>
    <t>ריט 1 סד ה</t>
  </si>
  <si>
    <t>IL0011367534</t>
  </si>
  <si>
    <t>20/09/2028</t>
  </si>
  <si>
    <t>שופרסל אגח ד</t>
  </si>
  <si>
    <t>IL0077701915</t>
  </si>
  <si>
    <t>08/10/2029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</si>
  <si>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</si>
  <si>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</si>
  <si>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</si>
  <si>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</si>
  <si>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</si>
  <si>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</si>
  <si>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</si>
  <si>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יז</t>
  </si>
  <si>
    <t>IL0014102995</t>
  </si>
  <si>
    <t>21/06/2026</t>
  </si>
  <si>
    <t>שלמה החז אגח יח</t>
  </si>
  <si>
    <t>IL0014103076</t>
  </si>
  <si>
    <t>שלמה החז אגח יט</t>
  </si>
  <si>
    <t>IL0011927311</t>
  </si>
  <si>
    <t>21/12/2031</t>
  </si>
  <si>
    <t>תמר פטרוליום בעמ</t>
  </si>
  <si>
    <t>515334662</t>
  </si>
  <si>
    <t>תמר פטרוליום אגח א</t>
  </si>
  <si>
    <t>IL0011413320</t>
  </si>
  <si>
    <t>30/08/2028</t>
  </si>
  <si>
    <t>אדמה פתרונות לחקלאות בע"מ</t>
  </si>
  <si>
    <t>520043605</t>
  </si>
  <si>
    <t>אדמה אגח ב</t>
  </si>
  <si>
    <t>IL0011109159</t>
  </si>
  <si>
    <t>30/11/2036</t>
  </si>
  <si>
    <t>אלביט מערכות ב' 1.08%</t>
  </si>
  <si>
    <t>IL0011782351</t>
  </si>
  <si>
    <t>אלבר שירותי מימונית בע"מ</t>
  </si>
  <si>
    <t>512025891</t>
  </si>
  <si>
    <t>אלבר אג"ח יח</t>
  </si>
  <si>
    <t>IL0011587404</t>
  </si>
  <si>
    <t>13/01/2027</t>
  </si>
  <si>
    <t>אלון רבוע כחול ישראל בעמ</t>
  </si>
  <si>
    <t>520042847</t>
  </si>
  <si>
    <t>אלון רבוע כחול אגח ו</t>
  </si>
  <si>
    <t>IL0011691271</t>
  </si>
  <si>
    <t>אלרוב נדל"ן ומלונאות בע"מ</t>
  </si>
  <si>
    <t>520038894</t>
  </si>
  <si>
    <t>אלרוב נדלן אג"ח ו</t>
  </si>
  <si>
    <t>IL0038701855</t>
  </si>
  <si>
    <t>01/10/2027</t>
  </si>
  <si>
    <t>אמות אגח ו</t>
  </si>
  <si>
    <t>IL0011586091</t>
  </si>
  <si>
    <t>03/10/2029</t>
  </si>
  <si>
    <t>אמות אגח ז</t>
  </si>
  <si>
    <t>IL0011628661</t>
  </si>
  <si>
    <t>אפי נכסים בע"מ</t>
  </si>
  <si>
    <t>510560188</t>
  </si>
  <si>
    <t>אפי נכסים אגח 8</t>
  </si>
  <si>
    <t>IL0011422313</t>
  </si>
  <si>
    <t>15/10/2026</t>
  </si>
  <si>
    <t>אפי נכסים אגח יג</t>
  </si>
  <si>
    <t>IL0011782922</t>
  </si>
  <si>
    <t>בזק אגח 11</t>
  </si>
  <si>
    <t>IL0023002343</t>
  </si>
  <si>
    <t>02/06/2030</t>
  </si>
  <si>
    <t>בזק אגח 12</t>
  </si>
  <si>
    <t>IL0023002426</t>
  </si>
  <si>
    <t>בי קומיוניקיישנס בע"מ לשעבר סמייל 012</t>
  </si>
  <si>
    <t>512832742</t>
  </si>
  <si>
    <t>בי קומיוניקיישנס אגח ז</t>
  </si>
  <si>
    <t>IL0012109885</t>
  </si>
  <si>
    <t>30/11/2029</t>
  </si>
  <si>
    <t>ביג אג"ח כ"א</t>
  </si>
  <si>
    <t>IL0012022179</t>
  </si>
  <si>
    <t>03/07/2030</t>
  </si>
  <si>
    <t>ביג אגח יד</t>
  </si>
  <si>
    <t>IL0011615122</t>
  </si>
  <si>
    <t>30/11/2025</t>
  </si>
  <si>
    <t>גב ים אגח ח</t>
  </si>
  <si>
    <t>IL0075901517</t>
  </si>
  <si>
    <t>ג'נריישן קפיטל בע"מ</t>
  </si>
  <si>
    <t>515846558</t>
  </si>
  <si>
    <t>ג'נריישן קפיטל אגח ב</t>
  </si>
  <si>
    <t>IL0011775264</t>
  </si>
  <si>
    <t>30/06/2031</t>
  </si>
  <si>
    <t>דיסקונט אגח יד</t>
  </si>
  <si>
    <t>IL0074801635</t>
  </si>
  <si>
    <t>05/12/2030</t>
  </si>
  <si>
    <t>דלק קב אגח לז</t>
  </si>
  <si>
    <t>IL0011928897</t>
  </si>
  <si>
    <t>31/01/2029</t>
  </si>
  <si>
    <t>הראל הנפק אגח כ 31/12/2036</t>
  </si>
  <si>
    <t>IL0012079849</t>
  </si>
  <si>
    <t>חשמל אגח 35</t>
  </si>
  <si>
    <t>IL0011967994</t>
  </si>
  <si>
    <t>12/06/2037</t>
  </si>
  <si>
    <t>ישרס אגח טז</t>
  </si>
  <si>
    <t>IL0061302233</t>
  </si>
  <si>
    <t>30/07/2031</t>
  </si>
  <si>
    <t>כלל מימון אגח יב</t>
  </si>
  <si>
    <t>IL0011799280</t>
  </si>
  <si>
    <t>31/03/2032</t>
  </si>
  <si>
    <t>לאומי אגח 184</t>
  </si>
  <si>
    <t>IL0060406043</t>
  </si>
  <si>
    <t>05/05/2030</t>
  </si>
  <si>
    <t>מבנה אגח כה</t>
  </si>
  <si>
    <t>IL0022606367</t>
  </si>
  <si>
    <t>30/09/2033</t>
  </si>
  <si>
    <t>מבני תעשיה  אגח כ</t>
  </si>
  <si>
    <t>IL0022604958</t>
  </si>
  <si>
    <t>31/12/2029</t>
  </si>
  <si>
    <t>מז טפ הנ אגח 70</t>
  </si>
  <si>
    <t>IL0012138835</t>
  </si>
  <si>
    <t>28/11/2036</t>
  </si>
  <si>
    <t>מזרחי טפחות הנפק אגח 64</t>
  </si>
  <si>
    <t>IL0023105559</t>
  </si>
  <si>
    <t>13/04/2031</t>
  </si>
  <si>
    <t>מימון ישיר אגח ה</t>
  </si>
  <si>
    <t>IL0011828311</t>
  </si>
  <si>
    <t>31/07/2031</t>
  </si>
  <si>
    <t>מליסרון אגח יז</t>
  </si>
  <si>
    <t>IL0032302734</t>
  </si>
  <si>
    <t>01/01/2032</t>
  </si>
  <si>
    <t>מקורות חברת מים בע"מ</t>
  </si>
  <si>
    <t>520010869</t>
  </si>
  <si>
    <t>מקורות אגח 11</t>
  </si>
  <si>
    <t>IL0011584765</t>
  </si>
  <si>
    <t>31/12/2053</t>
  </si>
  <si>
    <t>נכסים ובנין אגח יא</t>
  </si>
  <si>
    <t>IL0012055666</t>
  </si>
  <si>
    <t>24/12/2027</t>
  </si>
  <si>
    <t>סלקום אגח יב</t>
  </si>
  <si>
    <t>IL0011430803</t>
  </si>
  <si>
    <t>05/01/2028</t>
  </si>
  <si>
    <t>עזריאלי אגח ו</t>
  </si>
  <si>
    <t>IL0011566119</t>
  </si>
  <si>
    <t>פז נפט  אגח ח</t>
  </si>
  <si>
    <t>IL0011628174</t>
  </si>
  <si>
    <t>פסיפיק אוק אסאואר(בי וי איי) הולדינגס</t>
  </si>
  <si>
    <t>1900288</t>
  </si>
  <si>
    <t>פסיפיק אגח ג</t>
  </si>
  <si>
    <t>IL0011976805</t>
  </si>
  <si>
    <t>שופרסל אגח ז</t>
  </si>
  <si>
    <t>IL0077702582</t>
  </si>
  <si>
    <t>20/08/2030</t>
  </si>
  <si>
    <t>שטראוס אגח ו</t>
  </si>
  <si>
    <t>IL0074604211</t>
  </si>
  <si>
    <t>30/06/2037</t>
  </si>
  <si>
    <t>שיכון ובינוי בע"מ</t>
  </si>
  <si>
    <t>520036104</t>
  </si>
  <si>
    <t>שיכון ובינוי אגח 10</t>
  </si>
  <si>
    <t>IL0011751323</t>
  </si>
  <si>
    <t>30/04/2030</t>
  </si>
  <si>
    <t>שיכון ובינוי אגח 8</t>
  </si>
  <si>
    <t>IL0011358889</t>
  </si>
  <si>
    <t>01/05/2029</t>
  </si>
  <si>
    <t>Bank of America</t>
  </si>
  <si>
    <t>254900ARY41P4V1JL861</t>
  </si>
  <si>
    <t>BAC 2.884 10/22/30</t>
  </si>
  <si>
    <t>US06051GHX07</t>
  </si>
  <si>
    <t>22/10/2030</t>
  </si>
  <si>
    <t>IDBILI 5 3/8 01/26/28</t>
  </si>
  <si>
    <t>IL0011920878</t>
  </si>
  <si>
    <t>26/01/2028</t>
  </si>
  <si>
    <t>JPMORGAN</t>
  </si>
  <si>
    <t>JPM 4.493 03/24/31</t>
  </si>
  <si>
    <t>US48647PBJ49</t>
  </si>
  <si>
    <t>24/03/2030</t>
  </si>
  <si>
    <t>אלבר אגח יט</t>
  </si>
  <si>
    <t>IL0011918245</t>
  </si>
  <si>
    <t>15/05/2028</t>
  </si>
  <si>
    <t>אלוני חץ אגח יג</t>
  </si>
  <si>
    <t>IL0011894065</t>
  </si>
  <si>
    <t>ביג אגח טז</t>
  </si>
  <si>
    <t>IL0011684425</t>
  </si>
  <si>
    <t>28/08/2028</t>
  </si>
  <si>
    <t>וילאר אינטרנשיונל בע"מ</t>
  </si>
  <si>
    <t>520038910</t>
  </si>
  <si>
    <t>וילאר אינטרנ' ח'</t>
  </si>
  <si>
    <t>IL0041601563</t>
  </si>
  <si>
    <t>27/06/2025</t>
  </si>
  <si>
    <t>חברה לישראל אגח 12</t>
  </si>
  <si>
    <t>IL0057602513</t>
  </si>
  <si>
    <t>יוניברסל מוטורס  ישראל בע"מ</t>
  </si>
  <si>
    <t>511809071</t>
  </si>
  <si>
    <t>יוניברסל אגח ה</t>
  </si>
  <si>
    <t>IL0011926081</t>
  </si>
  <si>
    <t>10/02/2031</t>
  </si>
  <si>
    <t>ישראמקו אגח ג</t>
  </si>
  <si>
    <t>IL0023202323</t>
  </si>
  <si>
    <t>10/10/2030</t>
  </si>
  <si>
    <t>לאומי   אגח 179</t>
  </si>
  <si>
    <t>IL0060403727</t>
  </si>
  <si>
    <t>מגדל הון  אגח ח</t>
  </si>
  <si>
    <t>IL0011829558</t>
  </si>
  <si>
    <t>מיטב דש השקעות בע"מ</t>
  </si>
  <si>
    <t>520043795</t>
  </si>
  <si>
    <t>מיטב דש אגח ד</t>
  </si>
  <si>
    <t>IL0011613713</t>
  </si>
  <si>
    <t>10/12/2029</t>
  </si>
  <si>
    <t>מיטב השקעות אג3</t>
  </si>
  <si>
    <t>IL0011217630</t>
  </si>
  <si>
    <t>10/12/2025</t>
  </si>
  <si>
    <t>מליסרון אגח כ</t>
  </si>
  <si>
    <t>IL0032304227</t>
  </si>
  <si>
    <t>01/07/2030</t>
  </si>
  <si>
    <t>מנורה מבטחים גיוס הון בע"מ</t>
  </si>
  <si>
    <t>513937714</t>
  </si>
  <si>
    <t>מנורה הון התחייבות ו'2030</t>
  </si>
  <si>
    <t>IL0011602419</t>
  </si>
  <si>
    <t>עזריאלי קבוצה אגח ב סחיר</t>
  </si>
  <si>
    <t>IL0011344368</t>
  </si>
  <si>
    <t>01/04/2025</t>
  </si>
  <si>
    <t>פניקס הון אגח יג</t>
  </si>
  <si>
    <t>IL0011881351</t>
  </si>
  <si>
    <t>פתאל החזקות 1998 בע"מ</t>
  </si>
  <si>
    <t>512607888</t>
  </si>
  <si>
    <t>פתאל החז  אגח ב</t>
  </si>
  <si>
    <t>IL0011508129</t>
  </si>
  <si>
    <t>31/12/2026</t>
  </si>
  <si>
    <t>פתאל החזקות אגח ג</t>
  </si>
  <si>
    <t>IL0011617854</t>
  </si>
  <si>
    <t>31/08/2031</t>
  </si>
  <si>
    <t>שופרסל אגח ו</t>
  </si>
  <si>
    <t>IL0077702178</t>
  </si>
  <si>
    <t>08/10/2028</t>
  </si>
  <si>
    <t>שלמה החז אגח כ</t>
  </si>
  <si>
    <t>IL0011927493</t>
  </si>
  <si>
    <t>תמר פטרו אגח ב</t>
  </si>
  <si>
    <t>IL0011435935</t>
  </si>
  <si>
    <t>חוזים עתידיים בחול</t>
  </si>
  <si>
    <t>10527</t>
  </si>
  <si>
    <t>S&amp;P 500 EMINI FUT MAR25</t>
  </si>
  <si>
    <t>ESH5</t>
  </si>
  <si>
    <t>ביג אפ 7</t>
  </si>
  <si>
    <t>IL0012143454</t>
  </si>
  <si>
    <t>01/06/2026</t>
  </si>
  <si>
    <t>בית בכפר בע"מ</t>
  </si>
  <si>
    <t>511605719</t>
  </si>
  <si>
    <t>בית בכפר   אר 1</t>
  </si>
  <si>
    <t>IL0011836645</t>
  </si>
  <si>
    <t>IL0011836561</t>
  </si>
  <si>
    <t>30/01/2025</t>
  </si>
  <si>
    <t>זוז פאוור בע"מ</t>
  </si>
  <si>
    <t>514881564</t>
  </si>
  <si>
    <t>זוז פאוור אופ 3</t>
  </si>
  <si>
    <t>IL0011853210</t>
  </si>
  <si>
    <t>IL0011741845</t>
  </si>
  <si>
    <t>20/03/2025</t>
  </si>
  <si>
    <t>ביונ תלת מימד בע"מ</t>
  </si>
  <si>
    <t>514669506</t>
  </si>
  <si>
    <t>ביונ תלת מימד אופציה 2</t>
  </si>
  <si>
    <t>IL0011755878</t>
  </si>
  <si>
    <t>IL0011755613</t>
  </si>
  <si>
    <t>סקודיקס בע"מ</t>
  </si>
  <si>
    <t>513973297</t>
  </si>
  <si>
    <t>סקודיקס    אפ</t>
  </si>
  <si>
    <t>IL0011785081</t>
  </si>
  <si>
    <t>IL0011784902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</si>
  <si>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</si>
  <si>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</si>
  <si>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</si>
  <si>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</si>
  <si>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</si>
  <si>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</si>
  <si>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NAV
(במטבע הדיווח של קרן ההשקעה)</t>
  </si>
  <si>
    <t>Klirmark</t>
  </si>
  <si>
    <t>CO-101523</t>
  </si>
  <si>
    <t>Klirmark Fund IV</t>
  </si>
  <si>
    <t>כתובת: ז'בוטינסקי 2 , רמת גן , ישראל</t>
  </si>
  <si>
    <t>19/04/2023</t>
  </si>
  <si>
    <t>30/12/2024</t>
  </si>
  <si>
    <t>אביב קרן הון סיכון</t>
  </si>
  <si>
    <t>513592659</t>
  </si>
  <si>
    <t>11/07/2001</t>
  </si>
  <si>
    <t>25/06/2020</t>
  </si>
  <si>
    <t>יסודות נדלן</t>
  </si>
  <si>
    <t>550257125</t>
  </si>
  <si>
    <t>יסודות נדל"ן ג' פיתוח ושותפות</t>
  </si>
  <si>
    <t>כתובת: בר כוכבא 23, בני ברק, ישראל</t>
  </si>
  <si>
    <t>02/12/2019</t>
  </si>
  <si>
    <t>28/11/2024</t>
  </si>
  <si>
    <t>MEDICA 2</t>
  </si>
  <si>
    <t>27366</t>
  </si>
  <si>
    <t>מדיקה ק.הון 2</t>
  </si>
  <si>
    <t>31/12/2013</t>
  </si>
  <si>
    <t>28/07/2019</t>
  </si>
  <si>
    <t>פרגין קרן הון סיכון</t>
  </si>
  <si>
    <t>513014886</t>
  </si>
  <si>
    <t>18/04/2001</t>
  </si>
  <si>
    <t>אלפא</t>
  </si>
  <si>
    <t>513834986</t>
  </si>
  <si>
    <t>קרן גידור אלפא</t>
  </si>
  <si>
    <t>כתובת: אבא אבן 10 , הרצליה</t>
  </si>
  <si>
    <t>25/05/2017</t>
  </si>
  <si>
    <t>16/12/2024</t>
  </si>
  <si>
    <t>נוקד</t>
  </si>
  <si>
    <t>515419356</t>
  </si>
  <si>
    <t>קרן גידור נוקד שותפות מוגבלת</t>
  </si>
  <si>
    <t>כתובת:  הארבעה 30 תל אביב</t>
  </si>
  <si>
    <t>27/06/2018</t>
  </si>
  <si>
    <t>קרן נוקד אגח</t>
  </si>
  <si>
    <t>31/10/2023</t>
  </si>
  <si>
    <t>Kedma Capital</t>
  </si>
  <si>
    <t>540286333</t>
  </si>
  <si>
    <t>קרן קדמה 4</t>
  </si>
  <si>
    <t>מנחם בגין 132, מגדלי עזריאלי, תל אביב</t>
  </si>
  <si>
    <t>23/12/2024</t>
  </si>
  <si>
    <t>תש"י</t>
  </si>
  <si>
    <t>550243026</t>
  </si>
  <si>
    <t>תשתיות ישראל  4-אקדמאים</t>
  </si>
  <si>
    <t>כתובת:  השלושה 2 ת, תל אביב</t>
  </si>
  <si>
    <t>30/11/2021</t>
  </si>
  <si>
    <t>Ares Capital Europe</t>
  </si>
  <si>
    <t>11273</t>
  </si>
  <si>
    <t>ARES CAPITAL EUROPE VI</t>
  </si>
  <si>
    <t>דלאוור</t>
  </si>
  <si>
    <t>Address: 14-16 Avenue Pasteur, Luxembourg L-2310</t>
  </si>
  <si>
    <t>08/11/2023</t>
  </si>
  <si>
    <t>18/12/2024</t>
  </si>
  <si>
    <t>CVC EUDL IV</t>
  </si>
  <si>
    <t>Address: 3, rue Gabriel Lippmann, L - 5365 Munsbach, Grand-Duché de Luxembourg</t>
  </si>
  <si>
    <t>12/12/2024</t>
  </si>
  <si>
    <t>Electra</t>
  </si>
  <si>
    <t>89410</t>
  </si>
  <si>
    <t>ELECTRA CAPITAL PM FEEDER 3</t>
  </si>
  <si>
    <t>Address: 4890 West Kennedy blvd. Tampa, FL 33609 USA</t>
  </si>
  <si>
    <t>08/05/2023</t>
  </si>
  <si>
    <t>08/12/2024</t>
  </si>
  <si>
    <t>520039967</t>
  </si>
  <si>
    <t>ELECTRA MULTI FAMILY NADLAN 2 NEW</t>
  </si>
  <si>
    <t>Address: 1331 South Killian Drive, Suite A, Lake Park, FL 33403</t>
  </si>
  <si>
    <t>28/05/2019</t>
  </si>
  <si>
    <t>2138005O9XJIJN4JPN90</t>
  </si>
  <si>
    <t>Electra UK Fund I</t>
  </si>
  <si>
    <t>Address: 1331 South Killian Drive, Suite A, Lake Park, FL 33403
Grand Cayman, KY1-1001</t>
  </si>
  <si>
    <t>14/03/2024</t>
  </si>
  <si>
    <t>Faro Point</t>
  </si>
  <si>
    <t>86-2034928</t>
  </si>
  <si>
    <t>Faro Point FIVF III (F-5)</t>
  </si>
  <si>
    <t>Address: 5 Marine View Plz. , Hoboken, NJ 07030, USA</t>
  </si>
  <si>
    <t>19/10/2022</t>
  </si>
  <si>
    <t>פורמה</t>
  </si>
  <si>
    <t>530278654</t>
  </si>
  <si>
    <t>FORMA FUND</t>
  </si>
  <si>
    <t>Address: 20 Raul Valenberg , Tel Aviv, Israel</t>
  </si>
  <si>
    <t>16/06/2017</t>
  </si>
  <si>
    <t>Hamilton</t>
  </si>
  <si>
    <t xml:space="preserve">98-1588386 </t>
  </si>
  <si>
    <t>HAMILTON LANE STRATEGIC OPPOTUNITI</t>
  </si>
  <si>
    <t>Address: 610 Fifth Avenue , New York , NY 10020</t>
  </si>
  <si>
    <t>HAMILTON STRATEGIC OPP 2020 VI</t>
  </si>
  <si>
    <t>24/03/2021</t>
  </si>
  <si>
    <t>15/12/2024</t>
  </si>
  <si>
    <t>HAMILTON TON LANE</t>
  </si>
  <si>
    <t>06/08/2018</t>
  </si>
  <si>
    <t>22/12/2024</t>
  </si>
  <si>
    <t>HarbourVest</t>
  </si>
  <si>
    <t>27330</t>
  </si>
  <si>
    <t>Harbourvest 2018 Global Fund L.P</t>
  </si>
  <si>
    <t>Address: One Financial Center, Boston, Massachusetts 02111</t>
  </si>
  <si>
    <t>20/05/2020</t>
  </si>
  <si>
    <t>29/12/2024</t>
  </si>
  <si>
    <t>Invesco Direct Lending II</t>
  </si>
  <si>
    <t>כתובת: 225 Liberty st. , New York, NY , 10281</t>
  </si>
  <si>
    <t>09/04/2024</t>
  </si>
  <si>
    <t>LLCP</t>
  </si>
  <si>
    <t>820734071</t>
  </si>
  <si>
    <t>LLCP VI</t>
  </si>
  <si>
    <t>Address: 345 N Maple Dr. Ste. 300 Beverly Hills, CA 90210</t>
  </si>
  <si>
    <t>12/09/2018</t>
  </si>
  <si>
    <t>MV Credit</t>
  </si>
  <si>
    <t>2016 2429 508</t>
  </si>
  <si>
    <t>MV CREDIT SENIOR II</t>
  </si>
  <si>
    <t>לוקסמבורג</t>
  </si>
  <si>
    <t>Address: 8 rue lou Hemmer, L-1748 senningerberg, Luxembourg</t>
  </si>
  <si>
    <t>26/07/2021</t>
  </si>
  <si>
    <t>11/12/2024</t>
  </si>
  <si>
    <t>Starlight Bond</t>
  </si>
  <si>
    <t>90109</t>
  </si>
  <si>
    <t>Starlight Bond FP I LP</t>
  </si>
  <si>
    <t>Address: 1400-3280 Bloor Street West, Centre Tower Toronto, Ontario</t>
  </si>
  <si>
    <t>24/01/2023</t>
  </si>
  <si>
    <t>19/11/2024</t>
  </si>
  <si>
    <t>Vestar</t>
  </si>
  <si>
    <t>549300DYMC8BGZZC8844</t>
  </si>
  <si>
    <t>VESTAR VII A</t>
  </si>
  <si>
    <t>Address: 245 Park Avenue, New York, NY  10167</t>
  </si>
  <si>
    <t>11/03/2020</t>
  </si>
  <si>
    <t>ויולה</t>
  </si>
  <si>
    <t>12169</t>
  </si>
  <si>
    <t>VIOLA CREDIT ALF II</t>
  </si>
  <si>
    <t>Address: 12 Aba Even, Herzelia Pituach, Israel</t>
  </si>
  <si>
    <t>19/01/2022</t>
  </si>
  <si>
    <t>אי.בי.אי שותפויות נדל"ן בע"מ</t>
  </si>
  <si>
    <t>550270045</t>
  </si>
  <si>
    <t>IBI PILLAR</t>
  </si>
  <si>
    <t>22/07/2021</t>
  </si>
  <si>
    <t>נוקד אקוויטי השקעות בע"מ</t>
  </si>
  <si>
    <t>קרן גידור - נוקד</t>
  </si>
  <si>
    <t>31/08/2017</t>
  </si>
  <si>
    <t>אדאקום טכנולוגיות בע"מ</t>
  </si>
  <si>
    <t>520036419</t>
  </si>
  <si>
    <t>אדאקום</t>
  </si>
  <si>
    <t>IL0002390123</t>
  </si>
  <si>
    <t>אפאר</t>
  </si>
  <si>
    <t>516072931</t>
  </si>
  <si>
    <t>IL0002940174</t>
  </si>
  <si>
    <t>10/11/2024</t>
  </si>
  <si>
    <t>ג'נריישן ניהול בע"מ</t>
  </si>
  <si>
    <t>515785012</t>
  </si>
  <si>
    <t>ג'נריישן ניהול בע"מ (מחר השתלמות)</t>
  </si>
  <si>
    <t>560930</t>
  </si>
  <si>
    <t>18/04/2021</t>
  </si>
  <si>
    <t>08/10/2024</t>
  </si>
  <si>
    <t>אלון חברת הדלק לישראל בע"מ</t>
  </si>
  <si>
    <t>520041690</t>
  </si>
  <si>
    <t>מניות לא סחירות אלון דלק</t>
  </si>
  <si>
    <t>44867</t>
  </si>
  <si>
    <t>06/11/2017</t>
  </si>
  <si>
    <t>18/08/2019</t>
  </si>
  <si>
    <t>רייכרט תעשיות בע"מ</t>
  </si>
  <si>
    <t>520039652</t>
  </si>
  <si>
    <t>רייכרט</t>
  </si>
  <si>
    <t>4760101</t>
  </si>
  <si>
    <t>27/02/2014</t>
  </si>
  <si>
    <t>30/09/2015</t>
  </si>
  <si>
    <t>LUSIX</t>
  </si>
  <si>
    <t>89830</t>
  </si>
  <si>
    <t>62020318</t>
  </si>
  <si>
    <t>13/03/2022</t>
  </si>
  <si>
    <t>27/08/2024</t>
  </si>
  <si>
    <t>אפיקס פראם מ"ר</t>
  </si>
  <si>
    <t>10956</t>
  </si>
  <si>
    <t>98251</t>
  </si>
  <si>
    <t>05/02/2021</t>
  </si>
  <si>
    <t>וואסט פייר</t>
  </si>
  <si>
    <t>10959</t>
  </si>
  <si>
    <t>98244</t>
  </si>
  <si>
    <t>27/01/2023</t>
  </si>
  <si>
    <t>אדאקום הנפקה פרטית</t>
  </si>
  <si>
    <t>2390318</t>
  </si>
  <si>
    <t>30/06/2004</t>
  </si>
  <si>
    <t>אינטרנט גולד - קווי זהב בע"מ</t>
  </si>
  <si>
    <t>520044264</t>
  </si>
  <si>
    <t>אינטרנט זהב אגח ד</t>
  </si>
  <si>
    <t>IL0011316143</t>
  </si>
  <si>
    <t>02/03/2017</t>
  </si>
  <si>
    <t>R/S</t>
  </si>
  <si>
    <t>15/09/2022</t>
  </si>
  <si>
    <t>02/02/2021</t>
  </si>
  <si>
    <t>אלון חברת הדלק אגח סד' א</t>
  </si>
  <si>
    <t>IL0011015679</t>
  </si>
  <si>
    <t>31/05/2016</t>
  </si>
  <si>
    <t>D</t>
  </si>
  <si>
    <t>31/08/2023</t>
  </si>
  <si>
    <t>תעשיות אלקטרוכימיות (1952) בע"מ</t>
  </si>
  <si>
    <t>520019423</t>
  </si>
  <si>
    <t>אלקטרוכימיות תעשיות 6.5% 99/2004</t>
  </si>
  <si>
    <t>7505019</t>
  </si>
  <si>
    <t>25/06/2004</t>
  </si>
  <si>
    <t>וי.אי.די. התפלת מי אשקלון</t>
  </si>
  <si>
    <t>513102384</t>
  </si>
  <si>
    <t>וי.אי.די. אג"ח מאוחד 0706</t>
  </si>
  <si>
    <t>IL0010979974</t>
  </si>
  <si>
    <t>22/10/2025</t>
  </si>
  <si>
    <t>כלל תעשיות בע"מ</t>
  </si>
  <si>
    <t>520021874</t>
  </si>
  <si>
    <t>כלל תעש אגח טז-רמ</t>
  </si>
  <si>
    <t>IL0060802381</t>
  </si>
  <si>
    <t>29/12/2019</t>
  </si>
  <si>
    <t>מפעלי פלדה מאוחדים בע"מ</t>
  </si>
  <si>
    <t>520022492</t>
  </si>
  <si>
    <t>מ.פלדה אג-1 מפ1/00</t>
  </si>
  <si>
    <t>3980042</t>
  </si>
  <si>
    <t>31/01/2001</t>
  </si>
  <si>
    <t>10/12/2018</t>
  </si>
  <si>
    <t>מפעלי פלדה אג1</t>
  </si>
  <si>
    <t>IL0039800185</t>
  </si>
  <si>
    <t>מקורות אגח 8 רמ</t>
  </si>
  <si>
    <t>IL0011243461</t>
  </si>
  <si>
    <t>22/09/2016</t>
  </si>
  <si>
    <t>14/07/2048</t>
  </si>
  <si>
    <t>מת"ם - מרכז תעשיות מדע חיפה בע"מ</t>
  </si>
  <si>
    <t>510687403</t>
  </si>
  <si>
    <t>מתם מרכז תעשיות מדע חיפה אגח א ר.מ</t>
  </si>
  <si>
    <t>IL0011389991</t>
  </si>
  <si>
    <t>05/12/2018</t>
  </si>
  <si>
    <t>20/07/2040</t>
  </si>
  <si>
    <t>קאר אנד גו 4.95% 2009</t>
  </si>
  <si>
    <t>1088210</t>
  </si>
  <si>
    <t>01/11/2011</t>
  </si>
  <si>
    <t>אגד חברה לתחבורה בע"מ</t>
  </si>
  <si>
    <t>570012377</t>
  </si>
  <si>
    <t>אגד אגח 1-רמ</t>
  </si>
  <si>
    <t>IL0011987877</t>
  </si>
  <si>
    <t>16/08/2023</t>
  </si>
  <si>
    <t xml:space="preserve">גדות מסופים כימיקלים (1985) בע"מ </t>
  </si>
  <si>
    <t>520040775</t>
  </si>
  <si>
    <t>גדות מספ אגח א רמ</t>
  </si>
  <si>
    <t>IL0011623209</t>
  </si>
  <si>
    <t>16/01/2020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</si>
  <si>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</si>
  <si>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</si>
  <si>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</si>
  <si>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</si>
  <si>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</si>
  <si>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</si>
  <si>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27/10/2021</t>
  </si>
  <si>
    <t>אלה פקדונות בע"מ</t>
  </si>
  <si>
    <t>515666881</t>
  </si>
  <si>
    <t>אלה פקדון אגח ה</t>
  </si>
  <si>
    <t>IL0011625774</t>
  </si>
  <si>
    <t>USD ILS</t>
  </si>
  <si>
    <t>18/09/2024</t>
  </si>
  <si>
    <t>17/09/2025</t>
  </si>
  <si>
    <t>NA</t>
  </si>
  <si>
    <t>POALILIT</t>
  </si>
  <si>
    <t>39.010%</t>
  </si>
  <si>
    <t>13/11/2024</t>
  </si>
  <si>
    <t>21/01/2025</t>
  </si>
  <si>
    <t>36.640%</t>
  </si>
  <si>
    <t>EUR ILS</t>
  </si>
  <si>
    <t>9.090%</t>
  </si>
  <si>
    <t>3/12/2024</t>
  </si>
  <si>
    <t>0.680%</t>
  </si>
  <si>
    <t>3.250%</t>
  </si>
  <si>
    <t>0.420%</t>
  </si>
  <si>
    <t>14.940%</t>
  </si>
  <si>
    <t>1.840%</t>
  </si>
  <si>
    <t>49.500%</t>
  </si>
  <si>
    <t>50.500%</t>
  </si>
  <si>
    <t>20.820%</t>
  </si>
  <si>
    <t>35.930%</t>
  </si>
  <si>
    <t>25.770%</t>
  </si>
  <si>
    <t>4/12/2024</t>
  </si>
  <si>
    <t>5.730%</t>
  </si>
  <si>
    <t>6.520%</t>
  </si>
  <si>
    <t>16.680%</t>
  </si>
  <si>
    <t>דרור יעקובסון</t>
  </si>
  <si>
    <t>052-5321699</t>
  </si>
  <si>
    <t>drorja@gmail.com</t>
  </si>
  <si>
    <t>GZYUYYBVN9JCLNYWZ615</t>
  </si>
  <si>
    <t>23-2962336</t>
  </si>
  <si>
    <t>Hamilton Co-invest IV</t>
  </si>
  <si>
    <t>Hamilton Strategic Opp 2018 IV</t>
  </si>
  <si>
    <t>קדמה 4</t>
  </si>
  <si>
    <t>B278095</t>
  </si>
  <si>
    <t>Invesco</t>
  </si>
  <si>
    <t>sctc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</si>
</sst>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##########0"/>
    <numFmt numFmtId="169" formatCode="###,###,###,##0.0000"/>
    <numFmt numFmtId="170" formatCode="###,###,###,##0.000"/>
    <numFmt numFmtId="171" formatCode="###,###,###,##0.000000"/>
    <numFmt numFmtId="172" formatCode="_ * #,##0.000000_ ;_ * \-#,##0.000000_ ;_ * &quot;-&quot;??_ ;_ @_ "/>
  </numFmts>
  <fonts count="32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Calibri"/>
      <family val="2"/>
    </font>
    <font>
      <sz val="11"/>
      <color rgb="FF000000"/>
      <name val="Arial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77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15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3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3" xfId="4" applyNumberFormat="1" applyFont="1" applyFill="1" applyBorder="1" applyAlignment="1">
      <alignment horizontal="center" vertical="center" wrapText="1"/>
    </xf>
    <xf numFmtId="167" fontId="26" fillId="0" borderId="0" xfId="4" applyNumberFormat="1" applyFont="1" applyFill="1" applyBorder="1" applyAlignment="1">
      <alignment horizontal="center"/>
    </xf>
    <xf numFmtId="167" fontId="0" fillId="0" borderId="0" xfId="4" applyNumberFormat="1" applyFont="1" applyFill="1" applyBorder="1"/>
    <xf numFmtId="167" fontId="4" fillId="0" borderId="0" xfId="4" applyNumberFormat="1" applyFont="1" applyFill="1" applyBorder="1"/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7" fontId="3" fillId="0" borderId="0" xfId="4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7" fontId="0" fillId="0" borderId="0" xfId="0" applyNumberFormat="1" applyFont="1" applyFill="1" applyBorder="1"/>
    <xf numFmtId="167" fontId="4" fillId="0" borderId="0" xfId="4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4" fontId="7" fillId="3" borderId="3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/>
    <xf numFmtId="14" fontId="7" fillId="3" borderId="9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14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10" fontId="7" fillId="3" borderId="3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168" fontId="28" fillId="0" borderId="0" xfId="0" applyNumberFormat="1" applyFont="1" applyAlignment="1">
      <alignment horizontal="right"/>
    </xf>
    <xf numFmtId="0" fontId="28" fillId="0" borderId="0" xfId="0" applyFont="1" applyAlignment="1">
      <alignment horizontal="right"/>
    </xf>
    <xf numFmtId="169" fontId="28" fillId="0" borderId="0" xfId="0" applyNumberFormat="1" applyFont="1" applyAlignment="1">
      <alignment horizontal="right"/>
    </xf>
    <xf numFmtId="170" fontId="28" fillId="0" borderId="0" xfId="0" applyNumberFormat="1" applyFont="1" applyAlignment="1">
      <alignment horizontal="right"/>
    </xf>
    <xf numFmtId="171" fontId="28" fillId="0" borderId="0" xfId="0" applyNumberFormat="1" applyFont="1" applyAlignment="1">
      <alignment horizontal="right"/>
    </xf>
    <xf numFmtId="172" fontId="28" fillId="0" borderId="0" xfId="0" applyNumberFormat="1" applyFont="1" applyAlignment="1">
      <alignment horizontal="right"/>
    </xf>
    <xf numFmtId="168" fontId="28" fillId="0" borderId="0" xfId="0" applyNumberFormat="1" applyFont="1" applyFill="1" applyAlignment="1">
      <alignment horizontal="right"/>
    </xf>
    <xf numFmtId="0" fontId="28" fillId="0" borderId="0" xfId="0" applyFont="1" applyFill="1" applyAlignment="1">
      <alignment horizontal="right"/>
    </xf>
    <xf numFmtId="169" fontId="28" fillId="0" borderId="0" xfId="0" applyNumberFormat="1" applyFont="1" applyFill="1" applyAlignment="1">
      <alignment horizontal="right"/>
    </xf>
    <xf numFmtId="170" fontId="28" fillId="0" borderId="0" xfId="0" applyNumberFormat="1" applyFont="1" applyFill="1" applyAlignment="1">
      <alignment horizontal="right"/>
    </xf>
    <xf numFmtId="172" fontId="28" fillId="0" borderId="0" xfId="0" applyNumberFormat="1" applyFont="1" applyFill="1" applyAlignment="1">
      <alignment horizontal="right"/>
    </xf>
    <xf numFmtId="14" fontId="4" fillId="0" borderId="0" xfId="0" applyNumberFormat="1" applyFont="1" applyFill="1" applyBorder="1" applyProtection="1">
      <protection locked="0"/>
    </xf>
    <xf numFmtId="0" fontId="2" fillId="0" borderId="0" xfId="0" applyFont="1"/>
    <xf numFmtId="0" fontId="2" fillId="0" borderId="0" xfId="0" applyFont="1" applyProtection="1">
      <protection locked="0"/>
    </xf>
    <xf numFmtId="43" fontId="9" fillId="0" borderId="0" xfId="1"/>
    <xf numFmtId="43" fontId="29" fillId="0" borderId="21" xfId="1" applyFont="1" applyFill="1" applyBorder="1" applyAlignment="1">
      <alignment horizontal="right" vertical="center" wrapText="1"/>
    </xf>
    <xf numFmtId="4" fontId="29" fillId="0" borderId="21" xfId="0" applyNumberFormat="1" applyFont="1" applyBorder="1" applyAlignment="1">
      <alignment horizontal="right" vertical="center" wrapText="1"/>
    </xf>
    <xf numFmtId="10" fontId="30" fillId="0" borderId="0" xfId="4" applyNumberFormat="1" applyFont="1" applyFill="1" applyBorder="1" applyAlignment="1" applyProtection="1">
      <alignment horizontal="right" vertical="center" wrapText="1"/>
    </xf>
    <xf numFmtId="14" fontId="2" fillId="0" borderId="0" xfId="0" applyNumberFormat="1" applyFont="1"/>
    <xf numFmtId="0" fontId="3" fillId="0" borderId="0" xfId="0" applyFont="1" applyProtection="1">
      <protection locked="0"/>
    </xf>
    <xf numFmtId="0" fontId="31" fillId="0" borderId="21" xfId="0" applyFont="1" applyBorder="1" applyAlignment="1">
      <alignment vertical="center" wrapText="1"/>
    </xf>
    <xf numFmtId="14" fontId="2" fillId="0" borderId="0" xfId="0" applyNumberFormat="1" applyFont="1" applyProtection="1">
      <protection locked="0"/>
    </xf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XCEL\account\Name\ALL\PDF%20&#1491;&#1493;&#1495;&#1493;&#1514;%20&#1500;&#1488;&#1493;&#1510;&#1512;%202024&#1488;&#1511;&#1505;&#1500;\&#1488;&#1511;&#1505;&#1500;%20&#1512;&#1513;&#1497;&#1502;&#1493;&#1514;%20&#1504;&#1497;&#1506;%20032024\Hamahar%20hishtalmut\520027954_gm_01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15" sqref="D1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4" t="s">
        <v>194</v>
      </c>
      <c r="B1" s="35"/>
      <c r="C1" s="35"/>
      <c r="D1" s="35"/>
    </row>
    <row r="3" spans="1:8">
      <c r="A3" t="s">
        <v>195</v>
      </c>
      <c r="D3" s="103" t="s">
        <v>196</v>
      </c>
    </row>
    <row r="5" spans="1:8">
      <c r="A5" t="s">
        <v>197</v>
      </c>
      <c r="D5" s="103" t="s">
        <v>1221</v>
      </c>
    </row>
    <row r="7" spans="1:8">
      <c r="A7" t="s">
        <v>198</v>
      </c>
      <c r="D7" s="103" t="s">
        <v>1227</v>
      </c>
    </row>
    <row r="8" spans="1:8">
      <c r="D8" s="33"/>
      <c r="E8" s="33"/>
      <c r="F8" s="33"/>
      <c r="G8" s="33"/>
      <c r="H8" s="33"/>
    </row>
    <row r="9" spans="1:8">
      <c r="A9" t="s">
        <v>199</v>
      </c>
      <c r="D9" s="103">
        <v>2024</v>
      </c>
    </row>
    <row r="11" spans="1:8">
      <c r="A11" t="s">
        <v>200</v>
      </c>
      <c r="D11" s="103" t="s">
        <v>1252</v>
      </c>
    </row>
    <row r="13" spans="1:8">
      <c r="A13" t="s">
        <v>201</v>
      </c>
      <c r="D13" s="104">
        <f>IFERROR(VLOOKUP(D11,'File Name Info'!A35:B121,2,0),"תא מחושב")</f>
        <v>520027954</v>
      </c>
    </row>
    <row r="15" spans="1:8" ht="15">
      <c r="A15" s="20" t="s">
        <v>202</v>
      </c>
      <c r="D15" s="104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520027954_gm_p_0424.xlsx</v>
      </c>
    </row>
    <row r="16" spans="1:8" ht="15">
      <c r="A16" s="20"/>
      <c r="D16" s="33"/>
      <c r="E16" s="33"/>
      <c r="F16" s="33"/>
      <c r="G16" s="33"/>
      <c r="H16" s="33"/>
    </row>
    <row r="17" spans="1:8" ht="15">
      <c r="A17" s="20" t="s">
        <v>203</v>
      </c>
      <c r="B17" s="18" t="s">
        <v>204</v>
      </c>
      <c r="C17" s="18"/>
      <c r="D17" s="105" t="s">
        <v>2801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205</v>
      </c>
      <c r="C19" s="18"/>
      <c r="D19" s="105" t="s">
        <v>2802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206</v>
      </c>
      <c r="C21" s="18"/>
      <c r="D21" s="106" t="s">
        <v>2803</v>
      </c>
    </row>
    <row r="22" spans="1:8">
      <c r="A22" s="16"/>
      <c r="B22" s="17"/>
      <c r="C22" s="17"/>
    </row>
    <row r="23" spans="1:8" ht="15">
      <c r="A23" s="20" t="s">
        <v>207</v>
      </c>
      <c r="D23" t="s">
        <v>208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C34" sqref="C34"/>
    </sheetView>
  </sheetViews>
  <sheetFormatPr defaultColWidth="9" defaultRowHeight="12.75"/>
  <cols>
    <col min="1" max="1" width="42.75" style="9" customWidth="1"/>
    <col min="2" max="2" width="13" style="139" customWidth="1"/>
    <col min="3" max="3" width="13" style="10" customWidth="1"/>
    <col min="4" max="4" width="13" style="139" customWidth="1"/>
    <col min="5" max="5" width="13" style="144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6"/>
      <c r="B1" s="136"/>
      <c r="C1" s="107" t="s">
        <v>1192</v>
      </c>
      <c r="D1" s="140"/>
      <c r="E1" s="141"/>
    </row>
    <row r="2" spans="1:5" ht="39.75" customHeight="1">
      <c r="A2" s="46"/>
      <c r="B2" s="136" t="s">
        <v>36</v>
      </c>
      <c r="C2" s="47" t="s">
        <v>916</v>
      </c>
      <c r="D2" s="136" t="s">
        <v>22</v>
      </c>
      <c r="E2" s="141" t="s">
        <v>1193</v>
      </c>
    </row>
    <row r="3" spans="1:5">
      <c r="A3" s="49" t="s">
        <v>969</v>
      </c>
      <c r="B3" s="137">
        <f>SUM('מזומנים ושווי מזומנים'!O:O)</f>
        <v>68919.378000000012</v>
      </c>
      <c r="C3" s="50"/>
      <c r="D3" s="137">
        <f>B3+C3</f>
        <v>68919.378000000012</v>
      </c>
      <c r="E3" s="142">
        <f>SUM('מזומנים ושווי מזומנים'!O:O)/B30</f>
        <v>2.6828754613651237E-2</v>
      </c>
    </row>
    <row r="4" spans="1:5">
      <c r="A4" s="49" t="s">
        <v>979</v>
      </c>
      <c r="B4" s="137">
        <f>SUM('איגרות חוב ממשלתיות'!U:U)</f>
        <v>669996.97000000009</v>
      </c>
      <c r="C4" s="50"/>
      <c r="D4" s="137">
        <f t="shared" ref="D4:D29" si="0">B4+C4</f>
        <v>669996.97000000009</v>
      </c>
      <c r="E4" s="142">
        <f>SUM('איגרות חוב ממשלתיות'!U:U)/B30</f>
        <v>0.26081466231485501</v>
      </c>
    </row>
    <row r="5" spans="1:5">
      <c r="A5" s="49" t="s">
        <v>984</v>
      </c>
      <c r="B5" s="137">
        <f>SUM('ניירות ערך מסחריים'!AD:AD)</f>
        <v>0</v>
      </c>
      <c r="C5" s="50"/>
      <c r="D5" s="137">
        <f t="shared" si="0"/>
        <v>0</v>
      </c>
      <c r="E5" s="142">
        <f>SUM('ניירות ערך מסחריים'!AD:AD)/B30</f>
        <v>0</v>
      </c>
    </row>
    <row r="6" spans="1:5">
      <c r="A6" s="49" t="s">
        <v>985</v>
      </c>
      <c r="B6" s="137">
        <f>SUM('איגרות חוב'!AD:AD)</f>
        <v>320717.86299999984</v>
      </c>
      <c r="C6" s="50"/>
      <c r="D6" s="137">
        <f t="shared" si="0"/>
        <v>320717.86299999984</v>
      </c>
      <c r="E6" s="142">
        <f>SUM('איגרות חוב'!AD:AD)/B30</f>
        <v>0.12484820809963795</v>
      </c>
    </row>
    <row r="7" spans="1:5">
      <c r="A7" s="49" t="s">
        <v>992</v>
      </c>
      <c r="B7" s="137">
        <f>SUM('מניות מבכ ויהש'!U:U)</f>
        <v>407858.64600000024</v>
      </c>
      <c r="C7" s="50"/>
      <c r="D7" s="137">
        <f t="shared" si="0"/>
        <v>407858.64600000024</v>
      </c>
      <c r="E7" s="142">
        <f>SUM('מניות מבכ ויהש'!U:U)/B30</f>
        <v>0.15877014343614726</v>
      </c>
    </row>
    <row r="8" spans="1:5">
      <c r="A8" s="49" t="s">
        <v>489</v>
      </c>
      <c r="B8" s="137">
        <f>SUM('קרנות סל'!T:T)</f>
        <v>734584.98400000017</v>
      </c>
      <c r="C8" s="50"/>
      <c r="D8" s="137">
        <f t="shared" si="0"/>
        <v>734584.98400000017</v>
      </c>
      <c r="E8" s="142">
        <f>SUM('קרנות סל'!T:T)/B30</f>
        <v>0.28595731491669762</v>
      </c>
    </row>
    <row r="9" spans="1:5">
      <c r="A9" s="49" t="s">
        <v>1005</v>
      </c>
      <c r="B9" s="137">
        <f>SUM('קרנות נאמנות'!T:T)</f>
        <v>175786.99700000003</v>
      </c>
      <c r="C9" s="50"/>
      <c r="D9" s="137">
        <f t="shared" si="0"/>
        <v>175786.99700000003</v>
      </c>
      <c r="E9" s="142">
        <f>SUM('קרנות נאמנות'!T:T)/B30</f>
        <v>6.8429900902234581E-2</v>
      </c>
    </row>
    <row r="10" spans="1:5">
      <c r="A10" s="49" t="s">
        <v>1137</v>
      </c>
      <c r="B10" s="137">
        <f>SUM('כתבי אופציה'!W:W)</f>
        <v>258.32599999999996</v>
      </c>
      <c r="C10" s="50"/>
      <c r="D10" s="137">
        <f t="shared" si="0"/>
        <v>258.32599999999996</v>
      </c>
      <c r="E10" s="142">
        <f>SUM('כתבי אופציה'!W:W)/B30</f>
        <v>1.0056046739606482E-4</v>
      </c>
    </row>
    <row r="11" spans="1:5">
      <c r="A11" s="49" t="s">
        <v>1008</v>
      </c>
      <c r="B11" s="137">
        <f>SUM(אופציות!V:V)</f>
        <v>0</v>
      </c>
      <c r="C11" s="50"/>
      <c r="D11" s="137">
        <f t="shared" si="0"/>
        <v>0</v>
      </c>
      <c r="E11" s="142">
        <f>SUM(אופציות!V:V)/B30</f>
        <v>0</v>
      </c>
    </row>
    <row r="12" spans="1:5">
      <c r="A12" s="49" t="s">
        <v>1142</v>
      </c>
      <c r="B12" s="137">
        <f>SUM('חוזים עתידיים'!R:R)</f>
        <v>-3999.518</v>
      </c>
      <c r="C12" s="50"/>
      <c r="D12" s="137">
        <f t="shared" si="0"/>
        <v>-3999.518</v>
      </c>
      <c r="E12" s="142">
        <f>SUM('חוזים עתידיים'!R:R)/B30</f>
        <v>-1.5569218717394859E-3</v>
      </c>
    </row>
    <row r="13" spans="1:5">
      <c r="A13" s="49" t="s">
        <v>1013</v>
      </c>
      <c r="B13" s="137">
        <f>SUM('מוצרים מובנים'!Z:Z)</f>
        <v>1465.4259999999999</v>
      </c>
      <c r="C13" s="50"/>
      <c r="D13" s="137">
        <f t="shared" si="0"/>
        <v>1465.4259999999999</v>
      </c>
      <c r="E13" s="142">
        <f>SUM('מוצרים מובנים'!Z:Z)/B30</f>
        <v>5.7045718779505622E-4</v>
      </c>
    </row>
    <row r="14" spans="1:5">
      <c r="A14" s="49" t="s">
        <v>1020</v>
      </c>
      <c r="B14" s="137">
        <f>SUM('לא סחיר איגרות חוב ממשלתיות'!U:U)</f>
        <v>0</v>
      </c>
      <c r="C14" s="50"/>
      <c r="D14" s="137">
        <f t="shared" si="0"/>
        <v>0</v>
      </c>
      <c r="E14" s="142">
        <f>SUM('לא סחיר איגרות חוב ממשלתיות'!U:U)/B30</f>
        <v>0</v>
      </c>
    </row>
    <row r="15" spans="1:5">
      <c r="A15" s="49" t="s">
        <v>1021</v>
      </c>
      <c r="B15" s="137">
        <f>SUM('לא סחיר איגרות חוב מיועדות'!N:N)</f>
        <v>0</v>
      </c>
      <c r="C15" s="50"/>
      <c r="D15" s="137">
        <f t="shared" si="0"/>
        <v>0</v>
      </c>
      <c r="E15" s="142">
        <f>SUM('לא סחיר איגרות חוב מיועדות'!N:N)/B30</f>
        <v>0</v>
      </c>
    </row>
    <row r="16" spans="1:5">
      <c r="A16" s="49" t="s">
        <v>1027</v>
      </c>
      <c r="B16" s="137">
        <f>SUM('אפיק השקעה מובטח תשואה'!F:F)</f>
        <v>0</v>
      </c>
      <c r="C16" s="50"/>
      <c r="D16" s="137">
        <f t="shared" si="0"/>
        <v>0</v>
      </c>
      <c r="E16" s="142">
        <f>SUM('אפיק השקעה מובטח תשואה'!F:F)/B30</f>
        <v>0</v>
      </c>
    </row>
    <row r="17" spans="1:5">
      <c r="A17" s="49" t="s">
        <v>1031</v>
      </c>
      <c r="B17" s="137">
        <f>SUM('לא סחיר ניירות ערך מסחריים'!AI:AI)</f>
        <v>0</v>
      </c>
      <c r="C17" s="50"/>
      <c r="D17" s="137">
        <f t="shared" si="0"/>
        <v>0</v>
      </c>
      <c r="E17" s="142">
        <f>SUM('לא סחיר ניירות ערך מסחריים'!AI:AI)/B30</f>
        <v>0</v>
      </c>
    </row>
    <row r="18" spans="1:5">
      <c r="A18" s="49" t="s">
        <v>1033</v>
      </c>
      <c r="B18" s="137">
        <f>SUM('לא סחיר איגרות חוב'!AG:AG)</f>
        <v>10509.019000000002</v>
      </c>
      <c r="C18" s="50"/>
      <c r="D18" s="137">
        <f t="shared" si="0"/>
        <v>10509.019000000002</v>
      </c>
      <c r="E18" s="142">
        <f>SUM('לא סחיר איגרות חוב'!AG:AG)/B30</f>
        <v>4.0909233391688256E-3</v>
      </c>
    </row>
    <row r="19" spans="1:5">
      <c r="A19" s="49" t="s">
        <v>1036</v>
      </c>
      <c r="B19" s="137">
        <f>SUM('לא סחיר מניות מבכ ויהש'!X:X)</f>
        <v>1143.2239999999999</v>
      </c>
      <c r="C19" s="50"/>
      <c r="D19" s="137">
        <f t="shared" si="0"/>
        <v>1143.2239999999999</v>
      </c>
      <c r="E19" s="142">
        <f>SUM('לא סחיר מניות מבכ ויהש'!X:X)/B30</f>
        <v>4.4503123873864352E-4</v>
      </c>
    </row>
    <row r="20" spans="1:5">
      <c r="A20" s="49" t="s">
        <v>793</v>
      </c>
      <c r="B20" s="137">
        <f>SUM('קרנות השקעה'!W:W)</f>
        <v>133936.14500000002</v>
      </c>
      <c r="C20" s="50"/>
      <c r="D20" s="137">
        <f t="shared" si="0"/>
        <v>133936.14500000002</v>
      </c>
      <c r="E20" s="142">
        <f>SUM('קרנות השקעה'!W:W)/B30</f>
        <v>5.213831105822532E-2</v>
      </c>
    </row>
    <row r="21" spans="1:5">
      <c r="A21" s="49" t="s">
        <v>1153</v>
      </c>
      <c r="B21" s="137">
        <f>SUM('לא סחיר כתבי אופציה'!Z:Z)</f>
        <v>98.654000000000011</v>
      </c>
      <c r="C21" s="50"/>
      <c r="D21" s="137">
        <f t="shared" si="0"/>
        <v>98.654000000000011</v>
      </c>
      <c r="E21" s="142">
        <f>SUM('לא סחיר כתבי אופציה'!Z:Z)/B30</f>
        <v>3.8403770237960487E-5</v>
      </c>
    </row>
    <row r="22" spans="1:5">
      <c r="A22" s="49" t="s">
        <v>1051</v>
      </c>
      <c r="B22" s="137">
        <f>SUM('לא סחיר אופציות'!Z:Z)</f>
        <v>0</v>
      </c>
      <c r="C22" s="50"/>
      <c r="D22" s="137">
        <f t="shared" si="0"/>
        <v>0</v>
      </c>
      <c r="E22" s="142">
        <f>SUM('לא סחיר אופציות'!Z:Z)/B30</f>
        <v>0</v>
      </c>
    </row>
    <row r="23" spans="1:5">
      <c r="A23" s="49" t="s">
        <v>1060</v>
      </c>
      <c r="B23" s="137">
        <f>SUM('לא סחיר נגזרים אחרים'!R:R)</f>
        <v>14713.148999999999</v>
      </c>
      <c r="C23" s="50"/>
      <c r="D23" s="137">
        <f t="shared" si="0"/>
        <v>14713.148999999999</v>
      </c>
      <c r="E23" s="142">
        <f>SUM('לא סחיר נגזרים אחרים'!R:R)/B30</f>
        <v>5.7274960333375032E-3</v>
      </c>
    </row>
    <row r="24" spans="1:5">
      <c r="A24" s="49" t="s">
        <v>1053</v>
      </c>
      <c r="B24" s="137">
        <f>SUM(הלוואות!AT:AT)</f>
        <v>33429.391000000003</v>
      </c>
      <c r="C24" s="50"/>
      <c r="D24" s="137">
        <f t="shared" si="0"/>
        <v>33429.391000000003</v>
      </c>
      <c r="E24" s="142">
        <f>SUM(הלוואות!AT:AT)/B30</f>
        <v>1.301330560503319E-2</v>
      </c>
    </row>
    <row r="25" spans="1:5">
      <c r="A25" s="49" t="s">
        <v>1072</v>
      </c>
      <c r="B25" s="137">
        <f>SUM('לא סחיר מוצרים מובנים'!AB:AB)</f>
        <v>0</v>
      </c>
      <c r="C25" s="50"/>
      <c r="D25" s="137">
        <f t="shared" si="0"/>
        <v>0</v>
      </c>
      <c r="E25" s="142">
        <f>SUM('לא סחיר מוצרים מובנים'!AB:AB)/B30</f>
        <v>0</v>
      </c>
    </row>
    <row r="26" spans="1:5">
      <c r="A26" s="49" t="s">
        <v>1077</v>
      </c>
      <c r="B26" s="137">
        <f>SUM('פיקדונות מעל 3 חודשים'!T:T)</f>
        <v>0</v>
      </c>
      <c r="C26" s="50"/>
      <c r="D26" s="137">
        <f t="shared" si="0"/>
        <v>0</v>
      </c>
      <c r="E26" s="142">
        <f>SUM('פיקדונות מעל 3 חודשים'!T:T)/B30</f>
        <v>0</v>
      </c>
    </row>
    <row r="27" spans="1:5">
      <c r="A27" s="49" t="s">
        <v>1080</v>
      </c>
      <c r="B27" s="137">
        <f>SUM('זכויות מקרקעין'!S:S)</f>
        <v>0</v>
      </c>
      <c r="C27" s="50"/>
      <c r="D27" s="137">
        <f t="shared" si="0"/>
        <v>0</v>
      </c>
      <c r="E27" s="142">
        <f>SUM('זכויות מקרקעין'!S:S)/B30</f>
        <v>0</v>
      </c>
    </row>
    <row r="28" spans="1:5">
      <c r="A28" s="49" t="s">
        <v>1115</v>
      </c>
      <c r="B28" s="137">
        <f>SUM('השקעה בחברות מוחזקות'!U:U)</f>
        <v>0</v>
      </c>
      <c r="C28" s="50"/>
      <c r="D28" s="137">
        <f t="shared" si="0"/>
        <v>0</v>
      </c>
      <c r="E28" s="142">
        <f>SUM('השקעה בחברות מוחזקות'!U:U)/B30</f>
        <v>0</v>
      </c>
    </row>
    <row r="29" spans="1:5">
      <c r="A29" s="49" t="s">
        <v>1083</v>
      </c>
      <c r="B29" s="137">
        <f>SUM('נכסים אחרים'!N:N)</f>
        <v>-556.29000000000008</v>
      </c>
      <c r="C29" s="50"/>
      <c r="D29" s="137">
        <f t="shared" si="0"/>
        <v>-556.29000000000008</v>
      </c>
      <c r="E29" s="142">
        <f>SUM('נכסים אחרים'!N:N)/B30</f>
        <v>-2.1655111141641537E-4</v>
      </c>
    </row>
    <row r="30" spans="1:5">
      <c r="A30" s="48" t="s">
        <v>1194</v>
      </c>
      <c r="B30" s="138">
        <f>IF(SUM(B3:B29)=0,0.0001,SUM(B3:B29))</f>
        <v>2568862.3639999996</v>
      </c>
      <c r="C30" s="51">
        <f t="shared" ref="C30:E30" si="1">SUM(C3:C29)</f>
        <v>0</v>
      </c>
      <c r="D30" s="138">
        <f t="shared" si="1"/>
        <v>2568862.3639999996</v>
      </c>
      <c r="E30" s="143">
        <f t="shared" si="1"/>
        <v>1.0000000000000002</v>
      </c>
    </row>
    <row r="31" spans="1:5">
      <c r="A31" s="49" t="s">
        <v>1191</v>
      </c>
      <c r="B31" s="137"/>
      <c r="C31" s="50"/>
      <c r="D31" s="137"/>
      <c r="E31" s="142"/>
    </row>
    <row r="32" spans="1:5">
      <c r="A32" s="49" t="s">
        <v>1195</v>
      </c>
      <c r="B32" s="137">
        <f>SUM('יתרות התחייבות להשקעה'!O:O)</f>
        <v>71751628.288202003</v>
      </c>
      <c r="C32" s="50"/>
      <c r="D32" s="137"/>
      <c r="E32" s="142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33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7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186</v>
      </c>
      <c r="D1" s="22" t="s">
        <v>187</v>
      </c>
      <c r="E1" s="22" t="s">
        <v>188</v>
      </c>
      <c r="F1" s="22" t="s">
        <v>5</v>
      </c>
      <c r="G1" s="22" t="s">
        <v>6</v>
      </c>
      <c r="H1" s="22" t="s">
        <v>145</v>
      </c>
      <c r="I1" s="22" t="s">
        <v>190</v>
      </c>
      <c r="J1" s="22" t="s">
        <v>10</v>
      </c>
      <c r="K1" s="22" t="s">
        <v>11</v>
      </c>
      <c r="L1" s="22" t="s">
        <v>155</v>
      </c>
      <c r="M1" s="161" t="s">
        <v>18</v>
      </c>
      <c r="N1" s="163" t="s">
        <v>14</v>
      </c>
      <c r="O1" s="22" t="s">
        <v>20</v>
      </c>
      <c r="P1" s="167" t="s">
        <v>24</v>
      </c>
      <c r="Q1" s="167" t="s">
        <v>25</v>
      </c>
    </row>
    <row r="2" spans="1:17">
      <c r="A2" s="2">
        <v>288</v>
      </c>
      <c r="B2" s="2">
        <v>288</v>
      </c>
      <c r="C2" s="2" t="s">
        <v>1196</v>
      </c>
      <c r="D2" s="2" t="s">
        <v>1197</v>
      </c>
      <c r="E2" s="4" t="s">
        <v>333</v>
      </c>
      <c r="F2" s="2" t="s">
        <v>970</v>
      </c>
      <c r="G2" s="2" t="s">
        <v>30</v>
      </c>
      <c r="H2" s="2" t="s">
        <v>159</v>
      </c>
      <c r="I2" s="2" t="s">
        <v>132</v>
      </c>
      <c r="J2" s="2" t="s">
        <v>431</v>
      </c>
      <c r="K2" s="2" t="s">
        <v>44</v>
      </c>
      <c r="L2" s="154">
        <v>16702.828000000001</v>
      </c>
      <c r="M2" s="162">
        <v>1</v>
      </c>
      <c r="N2" s="164">
        <v>0</v>
      </c>
      <c r="O2" s="155">
        <v>16702.828000000001</v>
      </c>
      <c r="P2" s="168">
        <v>0.26513248447793503</v>
      </c>
      <c r="Q2" s="168">
        <v>6.88393224537072E-3</v>
      </c>
    </row>
    <row r="3" spans="1:17">
      <c r="A3" s="2">
        <v>288</v>
      </c>
      <c r="B3" s="2">
        <v>288</v>
      </c>
      <c r="C3" s="2" t="s">
        <v>1198</v>
      </c>
      <c r="D3" s="2" t="s">
        <v>1199</v>
      </c>
      <c r="E3" s="21" t="s">
        <v>333</v>
      </c>
      <c r="F3" s="2" t="s">
        <v>972</v>
      </c>
      <c r="G3" s="2" t="s">
        <v>30</v>
      </c>
      <c r="H3" s="2" t="s">
        <v>159</v>
      </c>
      <c r="I3" s="2" t="s">
        <v>132</v>
      </c>
      <c r="J3" s="2" t="s">
        <v>431</v>
      </c>
      <c r="K3" s="2" t="s">
        <v>1200</v>
      </c>
      <c r="L3" s="155">
        <v>1E-3</v>
      </c>
      <c r="M3" s="162">
        <v>2.2642000000000002</v>
      </c>
      <c r="N3" s="165">
        <v>0</v>
      </c>
      <c r="O3" s="155">
        <v>2E-3</v>
      </c>
      <c r="P3" s="168">
        <v>2.5877374027438101E-8</v>
      </c>
      <c r="Q3" s="168">
        <v>6.7188330333707104E-10</v>
      </c>
    </row>
    <row r="4" spans="1:17">
      <c r="A4" s="2">
        <v>288</v>
      </c>
      <c r="B4" s="2">
        <v>288</v>
      </c>
      <c r="C4" s="2" t="s">
        <v>1198</v>
      </c>
      <c r="D4" s="2" t="s">
        <v>1199</v>
      </c>
      <c r="E4" s="21" t="s">
        <v>333</v>
      </c>
      <c r="F4" s="2" t="s">
        <v>972</v>
      </c>
      <c r="G4" s="2" t="s">
        <v>30</v>
      </c>
      <c r="H4" s="2" t="s">
        <v>159</v>
      </c>
      <c r="I4" s="2" t="s">
        <v>132</v>
      </c>
      <c r="J4" s="2" t="s">
        <v>431</v>
      </c>
      <c r="K4" s="2" t="s">
        <v>34</v>
      </c>
      <c r="L4" s="155">
        <v>2918.538</v>
      </c>
      <c r="M4" s="162">
        <v>3.6469999999999998</v>
      </c>
      <c r="N4" s="165">
        <v>3.7645600000000001E-2</v>
      </c>
      <c r="O4" s="155">
        <v>10643.91</v>
      </c>
      <c r="P4" s="168">
        <v>0.16895618772634899</v>
      </c>
      <c r="Q4" s="168">
        <v>4.3867991168057502E-3</v>
      </c>
    </row>
    <row r="5" spans="1:17">
      <c r="A5" s="2">
        <v>288</v>
      </c>
      <c r="B5" s="2">
        <v>288</v>
      </c>
      <c r="C5" s="2" t="s">
        <v>1198</v>
      </c>
      <c r="D5" s="2" t="s">
        <v>1199</v>
      </c>
      <c r="E5" s="21" t="s">
        <v>333</v>
      </c>
      <c r="F5" s="2" t="s">
        <v>972</v>
      </c>
      <c r="G5" s="2" t="s">
        <v>30</v>
      </c>
      <c r="H5" s="2" t="s">
        <v>159</v>
      </c>
      <c r="I5" s="2" t="s">
        <v>132</v>
      </c>
      <c r="J5" s="2" t="s">
        <v>431</v>
      </c>
      <c r="K5" s="2" t="s">
        <v>1201</v>
      </c>
      <c r="L5" s="155">
        <v>9.6389999999999993</v>
      </c>
      <c r="M5" s="162">
        <v>0.47010000000000002</v>
      </c>
      <c r="N5" s="165">
        <v>0</v>
      </c>
      <c r="O5" s="155">
        <v>4.5309999999999997</v>
      </c>
      <c r="P5" s="168">
        <v>7.19278293514817E-5</v>
      </c>
      <c r="Q5" s="168">
        <v>1.8675429560703E-6</v>
      </c>
    </row>
    <row r="6" spans="1:17">
      <c r="A6" s="2">
        <v>288</v>
      </c>
      <c r="B6" s="2">
        <v>288</v>
      </c>
      <c r="C6" s="2" t="s">
        <v>1198</v>
      </c>
      <c r="D6" s="2" t="s">
        <v>1199</v>
      </c>
      <c r="E6" s="21" t="s">
        <v>333</v>
      </c>
      <c r="F6" s="2" t="s">
        <v>972</v>
      </c>
      <c r="G6" s="2" t="s">
        <v>30</v>
      </c>
      <c r="H6" s="2" t="s">
        <v>159</v>
      </c>
      <c r="I6" s="2" t="s">
        <v>132</v>
      </c>
      <c r="J6" s="2" t="s">
        <v>431</v>
      </c>
      <c r="K6" s="2" t="s">
        <v>1202</v>
      </c>
      <c r="L6" s="155">
        <v>16.574999999999999</v>
      </c>
      <c r="M6" s="162">
        <v>2.6802000000000001</v>
      </c>
      <c r="N6" s="165">
        <v>0</v>
      </c>
      <c r="O6" s="155">
        <v>44.423000000000002</v>
      </c>
      <c r="P6" s="168">
        <v>7.0515271064134797E-4</v>
      </c>
      <c r="Q6" s="168">
        <v>1.8308671199807399E-5</v>
      </c>
    </row>
    <row r="7" spans="1:17">
      <c r="A7" s="2">
        <v>288</v>
      </c>
      <c r="B7" s="2">
        <v>288</v>
      </c>
      <c r="C7" s="2" t="s">
        <v>1198</v>
      </c>
      <c r="D7" s="2" t="s">
        <v>1199</v>
      </c>
      <c r="E7" s="21" t="s">
        <v>333</v>
      </c>
      <c r="F7" s="2" t="s">
        <v>972</v>
      </c>
      <c r="G7" s="2" t="s">
        <v>30</v>
      </c>
      <c r="H7" s="2" t="s">
        <v>159</v>
      </c>
      <c r="I7" s="2" t="s">
        <v>132</v>
      </c>
      <c r="J7" s="2" t="s">
        <v>431</v>
      </c>
      <c r="K7" s="2" t="s">
        <v>1203</v>
      </c>
      <c r="L7" s="155">
        <v>36.404000000000003</v>
      </c>
      <c r="M7" s="162">
        <v>3.7964000000000002</v>
      </c>
      <c r="N7" s="165">
        <v>0</v>
      </c>
      <c r="O7" s="155">
        <v>138.20500000000001</v>
      </c>
      <c r="P7" s="168">
        <v>2.19380392198238E-3</v>
      </c>
      <c r="Q7" s="168">
        <v>5.69601932720245E-5</v>
      </c>
    </row>
    <row r="8" spans="1:17">
      <c r="A8" s="2">
        <v>288</v>
      </c>
      <c r="B8" s="2">
        <v>288</v>
      </c>
      <c r="C8" s="2" t="s">
        <v>1198</v>
      </c>
      <c r="D8" s="2" t="s">
        <v>1199</v>
      </c>
      <c r="E8" s="21" t="s">
        <v>333</v>
      </c>
      <c r="F8" s="2" t="s">
        <v>972</v>
      </c>
      <c r="G8" s="2" t="s">
        <v>30</v>
      </c>
      <c r="H8" s="2" t="s">
        <v>159</v>
      </c>
      <c r="I8" s="2" t="s">
        <v>132</v>
      </c>
      <c r="J8" s="2" t="s">
        <v>431</v>
      </c>
      <c r="K8" s="2" t="s">
        <v>1204</v>
      </c>
      <c r="L8" s="155">
        <v>11299.519</v>
      </c>
      <c r="M8" s="162">
        <v>2.3285E-2</v>
      </c>
      <c r="N8" s="165">
        <v>0</v>
      </c>
      <c r="O8" s="155">
        <v>263.10899999999998</v>
      </c>
      <c r="P8" s="168">
        <v>4.1764677879213797E-3</v>
      </c>
      <c r="Q8" s="168">
        <v>1.0843832031233701E-4</v>
      </c>
    </row>
    <row r="9" spans="1:17">
      <c r="A9" s="2">
        <v>288</v>
      </c>
      <c r="B9" s="2">
        <v>288</v>
      </c>
      <c r="C9" s="2" t="s">
        <v>1198</v>
      </c>
      <c r="D9" s="2" t="s">
        <v>1199</v>
      </c>
      <c r="E9" s="21" t="s">
        <v>333</v>
      </c>
      <c r="F9" s="2" t="s">
        <v>972</v>
      </c>
      <c r="G9" s="2" t="s">
        <v>30</v>
      </c>
      <c r="H9" s="2" t="s">
        <v>159</v>
      </c>
      <c r="I9" s="2" t="s">
        <v>132</v>
      </c>
      <c r="J9" s="2" t="s">
        <v>431</v>
      </c>
      <c r="K9" s="2" t="s">
        <v>1205</v>
      </c>
      <c r="L9" s="155">
        <v>146.846</v>
      </c>
      <c r="M9" s="162">
        <v>4.5743</v>
      </c>
      <c r="N9" s="165">
        <v>0</v>
      </c>
      <c r="O9" s="155">
        <v>671.72</v>
      </c>
      <c r="P9" s="168">
        <v>1.0662546243639799E-2</v>
      </c>
      <c r="Q9" s="168">
        <v>2.7684365440500098E-4</v>
      </c>
    </row>
    <row r="10" spans="1:17">
      <c r="A10" s="2">
        <v>288</v>
      </c>
      <c r="B10" s="2">
        <v>288</v>
      </c>
      <c r="C10" s="2" t="s">
        <v>1198</v>
      </c>
      <c r="D10" s="2" t="s">
        <v>1199</v>
      </c>
      <c r="E10" s="21" t="s">
        <v>333</v>
      </c>
      <c r="F10" s="2" t="s">
        <v>970</v>
      </c>
      <c r="G10" s="2" t="s">
        <v>30</v>
      </c>
      <c r="H10" s="2" t="s">
        <v>159</v>
      </c>
      <c r="I10" s="2" t="s">
        <v>132</v>
      </c>
      <c r="J10" s="2" t="s">
        <v>431</v>
      </c>
      <c r="K10" s="2" t="s">
        <v>44</v>
      </c>
      <c r="L10" s="155">
        <v>1279.347</v>
      </c>
      <c r="M10" s="162">
        <v>1</v>
      </c>
      <c r="N10" s="165">
        <v>0</v>
      </c>
      <c r="O10" s="155">
        <v>1279.347</v>
      </c>
      <c r="P10" s="168">
        <v>2.0307720488376101E-2</v>
      </c>
      <c r="Q10" s="168">
        <v>5.2727213783395005E-4</v>
      </c>
    </row>
    <row r="11" spans="1:17">
      <c r="A11" s="2">
        <v>288</v>
      </c>
      <c r="B11" s="2">
        <v>288</v>
      </c>
      <c r="C11" s="2" t="s">
        <v>1198</v>
      </c>
      <c r="D11" s="2" t="s">
        <v>1199</v>
      </c>
      <c r="E11" s="21" t="s">
        <v>333</v>
      </c>
      <c r="F11" s="2" t="s">
        <v>973</v>
      </c>
      <c r="G11" s="2" t="s">
        <v>30</v>
      </c>
      <c r="H11" s="2" t="s">
        <v>159</v>
      </c>
      <c r="I11" s="2" t="s">
        <v>132</v>
      </c>
      <c r="J11" s="2" t="s">
        <v>431</v>
      </c>
      <c r="K11" s="2" t="s">
        <v>44</v>
      </c>
      <c r="L11" s="155">
        <v>27200.723999999998</v>
      </c>
      <c r="M11" s="162">
        <v>1</v>
      </c>
      <c r="N11" s="165">
        <v>4.0300000000000002E-2</v>
      </c>
      <c r="O11" s="155">
        <v>27200.723999999998</v>
      </c>
      <c r="P11" s="168">
        <v>0.43177092157721197</v>
      </c>
      <c r="Q11" s="168">
        <v>1.1210553001498201E-2</v>
      </c>
    </row>
    <row r="12" spans="1:17">
      <c r="A12" s="2">
        <v>288</v>
      </c>
      <c r="B12" s="2">
        <v>288</v>
      </c>
      <c r="C12" s="2" t="s">
        <v>1198</v>
      </c>
      <c r="D12" s="2" t="s">
        <v>1199</v>
      </c>
      <c r="E12" s="21" t="s">
        <v>333</v>
      </c>
      <c r="F12" s="2" t="s">
        <v>972</v>
      </c>
      <c r="G12" s="2" t="s">
        <v>30</v>
      </c>
      <c r="H12" s="2" t="s">
        <v>159</v>
      </c>
      <c r="I12" s="2" t="s">
        <v>132</v>
      </c>
      <c r="J12" s="2" t="s">
        <v>431</v>
      </c>
      <c r="K12" s="2" t="s">
        <v>1206</v>
      </c>
      <c r="L12" s="155">
        <v>0</v>
      </c>
      <c r="M12" s="162">
        <v>4.0278</v>
      </c>
      <c r="N12" s="165">
        <v>0</v>
      </c>
      <c r="O12" s="155">
        <v>1E-3</v>
      </c>
      <c r="P12" s="168">
        <v>1.21477101002475E-8</v>
      </c>
      <c r="Q12" s="168">
        <v>3.15404630372513E-10</v>
      </c>
    </row>
    <row r="13" spans="1:17">
      <c r="A13" s="2">
        <v>288</v>
      </c>
      <c r="B13" s="2">
        <v>288</v>
      </c>
      <c r="C13" s="2" t="s">
        <v>1198</v>
      </c>
      <c r="D13" s="2" t="s">
        <v>1199</v>
      </c>
      <c r="E13" s="21" t="s">
        <v>333</v>
      </c>
      <c r="F13" s="2" t="s">
        <v>972</v>
      </c>
      <c r="G13" s="2" t="s">
        <v>30</v>
      </c>
      <c r="H13" s="2" t="s">
        <v>159</v>
      </c>
      <c r="I13" s="2" t="s">
        <v>132</v>
      </c>
      <c r="J13" s="2" t="s">
        <v>431</v>
      </c>
      <c r="K13" s="2" t="s">
        <v>34</v>
      </c>
      <c r="L13" s="155">
        <v>97.04</v>
      </c>
      <c r="M13" s="162">
        <v>3.6469999999999998</v>
      </c>
      <c r="N13" s="165">
        <v>3.7645600000000001E-2</v>
      </c>
      <c r="O13" s="155">
        <v>353.90600000000001</v>
      </c>
      <c r="P13" s="168">
        <v>5.6177247496956703E-3</v>
      </c>
      <c r="Q13" s="168">
        <v>1.4585929229379499E-4</v>
      </c>
    </row>
    <row r="14" spans="1:17">
      <c r="A14" s="2">
        <v>288</v>
      </c>
      <c r="B14" s="2">
        <v>288</v>
      </c>
      <c r="C14" s="2" t="s">
        <v>1198</v>
      </c>
      <c r="D14" s="2" t="s">
        <v>1199</v>
      </c>
      <c r="E14" s="21" t="s">
        <v>333</v>
      </c>
      <c r="F14" s="2" t="s">
        <v>972</v>
      </c>
      <c r="G14" s="2" t="s">
        <v>30</v>
      </c>
      <c r="H14" s="2" t="s">
        <v>159</v>
      </c>
      <c r="I14" s="2" t="s">
        <v>132</v>
      </c>
      <c r="J14" s="2" t="s">
        <v>431</v>
      </c>
      <c r="K14" s="2" t="s">
        <v>1205</v>
      </c>
      <c r="L14" s="155">
        <v>5.7770000000000001</v>
      </c>
      <c r="M14" s="162">
        <v>4.5743</v>
      </c>
      <c r="N14" s="165">
        <v>0</v>
      </c>
      <c r="O14" s="155">
        <v>26.425000000000001</v>
      </c>
      <c r="P14" s="168">
        <v>4.19455263299719E-4</v>
      </c>
      <c r="Q14" s="168">
        <v>1.08907877441163E-5</v>
      </c>
    </row>
    <row r="15" spans="1:17">
      <c r="A15" s="2">
        <v>288</v>
      </c>
      <c r="B15" s="2">
        <v>288</v>
      </c>
      <c r="C15" s="2" t="s">
        <v>1198</v>
      </c>
      <c r="D15" s="2" t="s">
        <v>1199</v>
      </c>
      <c r="E15" s="21" t="s">
        <v>333</v>
      </c>
      <c r="F15" s="2" t="s">
        <v>973</v>
      </c>
      <c r="G15" s="2" t="s">
        <v>30</v>
      </c>
      <c r="H15" s="2" t="s">
        <v>159</v>
      </c>
      <c r="I15" s="2" t="s">
        <v>132</v>
      </c>
      <c r="J15" s="2" t="s">
        <v>431</v>
      </c>
      <c r="K15" s="2" t="s">
        <v>44</v>
      </c>
      <c r="L15" s="155">
        <v>5668.915</v>
      </c>
      <c r="M15" s="162">
        <v>1</v>
      </c>
      <c r="N15" s="165">
        <v>4.0300000000000002E-2</v>
      </c>
      <c r="O15" s="155">
        <v>5668.915</v>
      </c>
      <c r="P15" s="168">
        <v>8.9985570627128003E-2</v>
      </c>
      <c r="Q15" s="168">
        <v>2.3363963585145801E-3</v>
      </c>
    </row>
    <row r="16" spans="1:17">
      <c r="A16" s="2">
        <v>288</v>
      </c>
      <c r="B16" s="2">
        <v>288</v>
      </c>
      <c r="C16" s="2" t="s">
        <v>1196</v>
      </c>
      <c r="D16" s="2" t="s">
        <v>1197</v>
      </c>
      <c r="E16" s="21" t="s">
        <v>333</v>
      </c>
      <c r="F16" s="2" t="s">
        <v>970</v>
      </c>
      <c r="G16" s="2" t="s">
        <v>30</v>
      </c>
      <c r="H16" s="2" t="s">
        <v>159</v>
      </c>
      <c r="I16" s="2" t="s">
        <v>132</v>
      </c>
      <c r="J16" s="2" t="s">
        <v>431</v>
      </c>
      <c r="K16" s="2" t="s">
        <v>44</v>
      </c>
      <c r="L16" s="155">
        <v>0</v>
      </c>
      <c r="M16" s="162">
        <v>1</v>
      </c>
      <c r="N16" s="165">
        <v>0</v>
      </c>
      <c r="O16" s="155">
        <v>0</v>
      </c>
      <c r="P16" s="168">
        <v>-1.4286157377571602E-9</v>
      </c>
      <c r="Q16" s="168">
        <v>-3.7092753695403998E-11</v>
      </c>
    </row>
    <row r="17" spans="1:17">
      <c r="A17" s="2">
        <v>288</v>
      </c>
      <c r="B17" s="2">
        <v>1451</v>
      </c>
      <c r="C17" s="2" t="s">
        <v>1198</v>
      </c>
      <c r="D17" s="2" t="s">
        <v>1199</v>
      </c>
      <c r="E17" s="21" t="s">
        <v>333</v>
      </c>
      <c r="F17" s="2" t="s">
        <v>972</v>
      </c>
      <c r="G17" s="2" t="s">
        <v>30</v>
      </c>
      <c r="H17" s="2" t="s">
        <v>159</v>
      </c>
      <c r="I17" s="2" t="s">
        <v>132</v>
      </c>
      <c r="J17" s="2" t="s">
        <v>431</v>
      </c>
      <c r="K17" s="2" t="s">
        <v>34</v>
      </c>
      <c r="L17" s="155">
        <v>7.77</v>
      </c>
      <c r="M17" s="162">
        <v>3.6469999999999998</v>
      </c>
      <c r="N17" s="165">
        <v>3.7645600000000001E-2</v>
      </c>
      <c r="O17" s="155">
        <v>28.338999999999999</v>
      </c>
      <c r="P17" s="168">
        <v>2.25300600784701E-2</v>
      </c>
      <c r="Q17" s="168">
        <v>5.5642553916808403E-4</v>
      </c>
    </row>
    <row r="18" spans="1:17">
      <c r="A18" s="2">
        <v>288</v>
      </c>
      <c r="B18" s="2">
        <v>1451</v>
      </c>
      <c r="C18" s="2" t="s">
        <v>1198</v>
      </c>
      <c r="D18" s="2" t="s">
        <v>1199</v>
      </c>
      <c r="E18" s="21" t="s">
        <v>333</v>
      </c>
      <c r="F18" s="2" t="s">
        <v>972</v>
      </c>
      <c r="G18" s="2" t="s">
        <v>30</v>
      </c>
      <c r="H18" s="2" t="s">
        <v>159</v>
      </c>
      <c r="I18" s="2" t="s">
        <v>132</v>
      </c>
      <c r="J18" s="2" t="s">
        <v>431</v>
      </c>
      <c r="K18" s="2" t="s">
        <v>1203</v>
      </c>
      <c r="L18" s="155">
        <v>0</v>
      </c>
      <c r="M18" s="162">
        <v>3.7964000000000002</v>
      </c>
      <c r="N18" s="165">
        <v>0</v>
      </c>
      <c r="O18" s="155">
        <v>1E-3</v>
      </c>
      <c r="P18" s="168">
        <v>1.14693195865805E-6</v>
      </c>
      <c r="Q18" s="168">
        <v>2.83258114387036E-8</v>
      </c>
    </row>
    <row r="19" spans="1:17">
      <c r="A19" s="2">
        <v>288</v>
      </c>
      <c r="B19" s="2">
        <v>1451</v>
      </c>
      <c r="C19" s="2" t="s">
        <v>1198</v>
      </c>
      <c r="D19" s="2" t="s">
        <v>1199</v>
      </c>
      <c r="E19" s="21" t="s">
        <v>333</v>
      </c>
      <c r="F19" s="2" t="s">
        <v>973</v>
      </c>
      <c r="G19" s="2" t="s">
        <v>30</v>
      </c>
      <c r="H19" s="2" t="s">
        <v>159</v>
      </c>
      <c r="I19" s="2" t="s">
        <v>132</v>
      </c>
      <c r="J19" s="2" t="s">
        <v>431</v>
      </c>
      <c r="K19" s="2" t="s">
        <v>44</v>
      </c>
      <c r="L19" s="155">
        <v>756.74099999999999</v>
      </c>
      <c r="M19" s="162">
        <v>1</v>
      </c>
      <c r="N19" s="165">
        <v>4.0300000000000002E-2</v>
      </c>
      <c r="O19" s="155">
        <v>756.74099999999999</v>
      </c>
      <c r="P19" s="168">
        <v>0.60162968958709795</v>
      </c>
      <c r="Q19" s="168">
        <v>1.4858465678390701E-2</v>
      </c>
    </row>
    <row r="20" spans="1:17">
      <c r="A20" s="2">
        <v>288</v>
      </c>
      <c r="B20" s="2">
        <v>1451</v>
      </c>
      <c r="C20" s="2" t="s">
        <v>1196</v>
      </c>
      <c r="D20" s="2" t="s">
        <v>1197</v>
      </c>
      <c r="E20" s="21" t="s">
        <v>333</v>
      </c>
      <c r="F20" s="2" t="s">
        <v>970</v>
      </c>
      <c r="G20" s="2" t="s">
        <v>30</v>
      </c>
      <c r="H20" s="2" t="s">
        <v>159</v>
      </c>
      <c r="I20" s="2" t="s">
        <v>132</v>
      </c>
      <c r="J20" s="2" t="s">
        <v>431</v>
      </c>
      <c r="K20" s="2" t="s">
        <v>44</v>
      </c>
      <c r="L20" s="155">
        <v>472.73700000000002</v>
      </c>
      <c r="M20" s="162">
        <v>1</v>
      </c>
      <c r="N20" s="165">
        <v>0</v>
      </c>
      <c r="O20" s="155">
        <v>472.73700000000002</v>
      </c>
      <c r="P20" s="168">
        <v>0.37583910340247301</v>
      </c>
      <c r="Q20" s="168">
        <v>9.2821091032514597E-3</v>
      </c>
    </row>
    <row r="21" spans="1:17">
      <c r="A21" s="2">
        <v>288</v>
      </c>
      <c r="B21" s="2">
        <v>1452</v>
      </c>
      <c r="C21" s="2" t="s">
        <v>1198</v>
      </c>
      <c r="D21" s="2" t="s">
        <v>1199</v>
      </c>
      <c r="E21" s="4" t="s">
        <v>333</v>
      </c>
      <c r="F21" s="2" t="s">
        <v>972</v>
      </c>
      <c r="G21" s="2" t="s">
        <v>30</v>
      </c>
      <c r="H21" s="2" t="s">
        <v>159</v>
      </c>
      <c r="I21" s="2" t="s">
        <v>132</v>
      </c>
      <c r="J21" s="2" t="s">
        <v>431</v>
      </c>
      <c r="K21" s="2" t="s">
        <v>34</v>
      </c>
      <c r="L21" s="155">
        <v>32.606999999999999</v>
      </c>
      <c r="M21" s="162">
        <v>3.6469999999999998</v>
      </c>
      <c r="N21" s="166">
        <v>3.7645600000000001E-2</v>
      </c>
      <c r="O21" s="155">
        <v>118.91800000000001</v>
      </c>
      <c r="P21" s="168">
        <v>2.77803465092861E-2</v>
      </c>
      <c r="Q21" s="168">
        <v>1.9821924975822001E-3</v>
      </c>
    </row>
    <row r="22" spans="1:17">
      <c r="A22" s="2">
        <v>288</v>
      </c>
      <c r="B22" s="2">
        <v>1452</v>
      </c>
      <c r="C22" s="2" t="s">
        <v>1198</v>
      </c>
      <c r="D22" s="2" t="s">
        <v>1199</v>
      </c>
      <c r="E22" s="4" t="s">
        <v>333</v>
      </c>
      <c r="F22" s="2" t="s">
        <v>972</v>
      </c>
      <c r="G22" s="2" t="s">
        <v>30</v>
      </c>
      <c r="H22" s="2" t="s">
        <v>159</v>
      </c>
      <c r="I22" s="2" t="s">
        <v>132</v>
      </c>
      <c r="J22" s="2" t="s">
        <v>431</v>
      </c>
      <c r="K22" s="2" t="s">
        <v>1201</v>
      </c>
      <c r="L22" s="155">
        <v>9.5760000000000005</v>
      </c>
      <c r="M22" s="162">
        <v>0.47010000000000002</v>
      </c>
      <c r="N22" s="166">
        <v>0</v>
      </c>
      <c r="O22" s="155">
        <v>4.5019999999999998</v>
      </c>
      <c r="P22" s="168">
        <v>1.05168999318223E-3</v>
      </c>
      <c r="Q22" s="168">
        <v>7.5040533190299299E-5</v>
      </c>
    </row>
    <row r="23" spans="1:17">
      <c r="A23" s="2">
        <v>288</v>
      </c>
      <c r="B23" s="2">
        <v>1452</v>
      </c>
      <c r="C23" s="2" t="s">
        <v>1198</v>
      </c>
      <c r="D23" s="2" t="s">
        <v>1199</v>
      </c>
      <c r="E23" s="4" t="s">
        <v>333</v>
      </c>
      <c r="F23" s="2" t="s">
        <v>972</v>
      </c>
      <c r="G23" s="2" t="s">
        <v>30</v>
      </c>
      <c r="H23" s="2" t="s">
        <v>159</v>
      </c>
      <c r="I23" s="2" t="s">
        <v>132</v>
      </c>
      <c r="J23" s="2" t="s">
        <v>431</v>
      </c>
      <c r="L23" s="155">
        <v>1.2</v>
      </c>
      <c r="M23" s="162">
        <v>0.50009999999999999</v>
      </c>
      <c r="N23" s="166">
        <v>0</v>
      </c>
      <c r="O23" s="155">
        <v>0.6</v>
      </c>
      <c r="P23" s="168">
        <v>1.4019408324443899E-4</v>
      </c>
      <c r="Q23" s="168">
        <v>1.0003174723528E-5</v>
      </c>
    </row>
    <row r="24" spans="1:17">
      <c r="A24" s="2">
        <v>288</v>
      </c>
      <c r="B24" s="2">
        <v>1452</v>
      </c>
      <c r="C24" s="2" t="s">
        <v>1198</v>
      </c>
      <c r="D24" s="2" t="s">
        <v>1199</v>
      </c>
      <c r="E24" s="4" t="s">
        <v>333</v>
      </c>
      <c r="F24" s="2" t="s">
        <v>972</v>
      </c>
      <c r="G24" s="2" t="s">
        <v>30</v>
      </c>
      <c r="H24" s="2" t="s">
        <v>159</v>
      </c>
      <c r="I24" s="2" t="s">
        <v>132</v>
      </c>
      <c r="J24" s="2" t="s">
        <v>431</v>
      </c>
      <c r="K24" s="2" t="s">
        <v>1203</v>
      </c>
      <c r="L24" s="155">
        <v>31.82</v>
      </c>
      <c r="M24" s="162">
        <v>3.7964000000000002</v>
      </c>
      <c r="N24" s="166">
        <v>0</v>
      </c>
      <c r="O24" s="155">
        <v>120.8</v>
      </c>
      <c r="P24" s="168">
        <v>2.82202057528964E-2</v>
      </c>
      <c r="Q24" s="168">
        <v>2.0135774802131799E-3</v>
      </c>
    </row>
    <row r="25" spans="1:17">
      <c r="A25" s="2">
        <v>288</v>
      </c>
      <c r="B25" s="2">
        <v>1452</v>
      </c>
      <c r="C25" s="2" t="s">
        <v>1198</v>
      </c>
      <c r="D25" s="2" t="s">
        <v>1199</v>
      </c>
      <c r="E25" s="4" t="s">
        <v>333</v>
      </c>
      <c r="F25" s="2" t="s">
        <v>972</v>
      </c>
      <c r="G25" s="2" t="s">
        <v>30</v>
      </c>
      <c r="H25" s="2" t="s">
        <v>159</v>
      </c>
      <c r="I25" s="2" t="s">
        <v>132</v>
      </c>
      <c r="J25" s="2" t="s">
        <v>431</v>
      </c>
      <c r="K25" s="2" t="s">
        <v>1204</v>
      </c>
      <c r="L25" s="155">
        <v>72.418000000000006</v>
      </c>
      <c r="M25" s="162">
        <v>2.3285E-2</v>
      </c>
      <c r="N25" s="166">
        <v>0</v>
      </c>
      <c r="O25" s="155">
        <v>1.6859999999999999</v>
      </c>
      <c r="P25" s="168">
        <v>3.9392725740818399E-4</v>
      </c>
      <c r="Q25" s="168">
        <v>2.81076283179774E-5</v>
      </c>
    </row>
    <row r="26" spans="1:17">
      <c r="A26" s="2">
        <v>288</v>
      </c>
      <c r="B26" s="2">
        <v>1452</v>
      </c>
      <c r="C26" s="2" t="s">
        <v>1198</v>
      </c>
      <c r="D26" s="2" t="s">
        <v>1199</v>
      </c>
      <c r="E26" s="4" t="s">
        <v>333</v>
      </c>
      <c r="F26" s="2" t="s">
        <v>972</v>
      </c>
      <c r="G26" s="2" t="s">
        <v>30</v>
      </c>
      <c r="H26" s="2" t="s">
        <v>159</v>
      </c>
      <c r="I26" s="2" t="s">
        <v>132</v>
      </c>
      <c r="J26" s="2" t="s">
        <v>431</v>
      </c>
      <c r="K26" s="2" t="s">
        <v>1205</v>
      </c>
      <c r="L26" s="155">
        <v>0.99199999999999999</v>
      </c>
      <c r="M26" s="162">
        <v>4.5743</v>
      </c>
      <c r="N26" s="166">
        <v>0</v>
      </c>
      <c r="O26" s="155">
        <v>4.5380000000000003</v>
      </c>
      <c r="P26" s="168">
        <v>1.0602033879831599E-3</v>
      </c>
      <c r="Q26" s="168">
        <v>7.5647983759633003E-5</v>
      </c>
    </row>
    <row r="27" spans="1:17">
      <c r="A27" s="2">
        <v>288</v>
      </c>
      <c r="B27" s="2">
        <v>1452</v>
      </c>
      <c r="C27" s="2" t="s">
        <v>1198</v>
      </c>
      <c r="D27" s="2" t="s">
        <v>1199</v>
      </c>
      <c r="E27" s="4" t="s">
        <v>333</v>
      </c>
      <c r="F27" s="2" t="s">
        <v>970</v>
      </c>
      <c r="G27" s="2" t="s">
        <v>30</v>
      </c>
      <c r="H27" s="2" t="s">
        <v>159</v>
      </c>
      <c r="I27" s="2" t="s">
        <v>132</v>
      </c>
      <c r="J27" s="2" t="s">
        <v>431</v>
      </c>
      <c r="K27" s="2" t="s">
        <v>44</v>
      </c>
      <c r="L27" s="155">
        <v>68.733999999999995</v>
      </c>
      <c r="M27" s="162">
        <v>1</v>
      </c>
      <c r="N27" s="166">
        <v>0</v>
      </c>
      <c r="O27" s="155">
        <v>68.733999999999995</v>
      </c>
      <c r="P27" s="168">
        <v>1.60568410028369E-2</v>
      </c>
      <c r="Q27" s="168">
        <v>1.14569304454336E-3</v>
      </c>
    </row>
    <row r="28" spans="1:17">
      <c r="A28" s="2">
        <v>288</v>
      </c>
      <c r="B28" s="2">
        <v>1452</v>
      </c>
      <c r="C28" s="2" t="s">
        <v>1198</v>
      </c>
      <c r="D28" s="2" t="s">
        <v>1199</v>
      </c>
      <c r="E28" s="4" t="s">
        <v>333</v>
      </c>
      <c r="F28" s="2" t="s">
        <v>973</v>
      </c>
      <c r="G28" s="2" t="s">
        <v>30</v>
      </c>
      <c r="H28" s="2" t="s">
        <v>159</v>
      </c>
      <c r="I28" s="2" t="s">
        <v>132</v>
      </c>
      <c r="J28" s="2" t="s">
        <v>431</v>
      </c>
      <c r="K28" s="2" t="s">
        <v>44</v>
      </c>
      <c r="L28" s="155">
        <v>2770.6309999999999</v>
      </c>
      <c r="M28" s="162">
        <v>1</v>
      </c>
      <c r="N28" s="166">
        <v>4.0300000000000002E-2</v>
      </c>
      <c r="O28" s="155">
        <v>2770.6309999999999</v>
      </c>
      <c r="P28" s="168">
        <v>0.64724742071844399</v>
      </c>
      <c r="Q28" s="168">
        <v>4.6182612625032302E-2</v>
      </c>
    </row>
    <row r="29" spans="1:17">
      <c r="A29" s="2">
        <v>288</v>
      </c>
      <c r="B29" s="2">
        <v>1452</v>
      </c>
      <c r="C29" s="2" t="s">
        <v>1198</v>
      </c>
      <c r="D29" s="2" t="s">
        <v>1199</v>
      </c>
      <c r="E29" s="4" t="s">
        <v>333</v>
      </c>
      <c r="F29" s="2" t="s">
        <v>972</v>
      </c>
      <c r="G29" s="2" t="s">
        <v>30</v>
      </c>
      <c r="H29" s="2" t="s">
        <v>159</v>
      </c>
      <c r="I29" s="2" t="s">
        <v>132</v>
      </c>
      <c r="J29" s="2" t="s">
        <v>431</v>
      </c>
      <c r="K29" s="2" t="s">
        <v>1206</v>
      </c>
      <c r="L29" s="155">
        <v>1E-3</v>
      </c>
      <c r="M29" s="162">
        <v>4.0278</v>
      </c>
      <c r="N29" s="166">
        <v>0</v>
      </c>
      <c r="O29" s="155">
        <v>3.0000000000000001E-3</v>
      </c>
      <c r="P29" s="168">
        <v>6.8688232653323402E-7</v>
      </c>
      <c r="Q29" s="168">
        <v>4.9010655569788E-8</v>
      </c>
    </row>
    <row r="30" spans="1:17">
      <c r="A30" s="2">
        <v>288</v>
      </c>
      <c r="B30" s="2">
        <v>1452</v>
      </c>
      <c r="C30" s="2" t="s">
        <v>1196</v>
      </c>
      <c r="D30" s="2" t="s">
        <v>1197</v>
      </c>
      <c r="E30" s="4" t="s">
        <v>333</v>
      </c>
      <c r="F30" s="2" t="s">
        <v>970</v>
      </c>
      <c r="G30" s="2" t="s">
        <v>30</v>
      </c>
      <c r="H30" s="2" t="s">
        <v>159</v>
      </c>
      <c r="I30" s="2" t="s">
        <v>132</v>
      </c>
      <c r="J30" s="2" t="s">
        <v>431</v>
      </c>
      <c r="K30" s="2" t="s">
        <v>44</v>
      </c>
      <c r="L30" s="155">
        <v>1190.2249999999999</v>
      </c>
      <c r="M30" s="162">
        <v>1</v>
      </c>
      <c r="N30" s="166">
        <v>0</v>
      </c>
      <c r="O30" s="155">
        <v>1190.2249999999999</v>
      </c>
      <c r="P30" s="168">
        <v>0.27804848441239199</v>
      </c>
      <c r="Q30" s="168">
        <v>1.98394076755707E-2</v>
      </c>
    </row>
    <row r="31" spans="1:17">
      <c r="A31" s="2">
        <v>288</v>
      </c>
      <c r="B31" s="2">
        <v>15046</v>
      </c>
      <c r="C31" s="2" t="s">
        <v>1196</v>
      </c>
      <c r="D31" s="2" t="s">
        <v>1197</v>
      </c>
      <c r="E31" s="4" t="s">
        <v>333</v>
      </c>
      <c r="F31" s="2" t="s">
        <v>970</v>
      </c>
      <c r="G31" s="2" t="s">
        <v>30</v>
      </c>
      <c r="H31" s="2" t="s">
        <v>159</v>
      </c>
      <c r="I31" s="2" t="s">
        <v>132</v>
      </c>
      <c r="J31" s="2" t="s">
        <v>431</v>
      </c>
      <c r="K31" s="2" t="s">
        <v>44</v>
      </c>
      <c r="L31" s="155">
        <v>222.61099999999999</v>
      </c>
      <c r="M31" s="162">
        <v>1</v>
      </c>
      <c r="N31" s="166">
        <v>0</v>
      </c>
      <c r="O31" s="155">
        <v>222.61099999999999</v>
      </c>
      <c r="P31" s="168">
        <v>0.58141627788486405</v>
      </c>
      <c r="Q31" s="168">
        <v>1.31906395551783E-2</v>
      </c>
    </row>
    <row r="32" spans="1:17">
      <c r="A32" s="2">
        <v>288</v>
      </c>
      <c r="B32" s="2">
        <v>15046</v>
      </c>
      <c r="C32" s="2" t="s">
        <v>1198</v>
      </c>
      <c r="D32" s="2" t="s">
        <v>1199</v>
      </c>
      <c r="E32" s="4" t="s">
        <v>333</v>
      </c>
      <c r="F32" s="2" t="s">
        <v>972</v>
      </c>
      <c r="G32" s="2" t="s">
        <v>30</v>
      </c>
      <c r="H32" s="2" t="s">
        <v>159</v>
      </c>
      <c r="I32" s="2" t="s">
        <v>132</v>
      </c>
      <c r="J32" s="2" t="s">
        <v>431</v>
      </c>
      <c r="K32" s="2" t="s">
        <v>34</v>
      </c>
      <c r="L32" s="155">
        <v>1.1599999999999999</v>
      </c>
      <c r="M32" s="162">
        <v>3.6469999999999998</v>
      </c>
      <c r="N32" s="166">
        <v>3.7645600000000001E-2</v>
      </c>
      <c r="O32" s="155">
        <v>4.2320000000000002</v>
      </c>
      <c r="P32" s="168">
        <v>1.10520723037341E-2</v>
      </c>
      <c r="Q32" s="168">
        <v>2.50739285502417E-4</v>
      </c>
    </row>
    <row r="33" spans="1:17">
      <c r="A33" s="2">
        <v>288</v>
      </c>
      <c r="B33" s="2">
        <v>15046</v>
      </c>
      <c r="C33" s="2" t="s">
        <v>1198</v>
      </c>
      <c r="D33" s="2" t="s">
        <v>1199</v>
      </c>
      <c r="E33" s="4" t="s">
        <v>333</v>
      </c>
      <c r="F33" s="2" t="s">
        <v>973</v>
      </c>
      <c r="G33" s="2" t="s">
        <v>30</v>
      </c>
      <c r="H33" s="2" t="s">
        <v>159</v>
      </c>
      <c r="I33" s="2" t="s">
        <v>132</v>
      </c>
      <c r="J33" s="2" t="s">
        <v>431</v>
      </c>
      <c r="K33" s="2" t="s">
        <v>44</v>
      </c>
      <c r="L33" s="155">
        <v>156.03399999999999</v>
      </c>
      <c r="M33" s="162">
        <v>1</v>
      </c>
      <c r="N33" s="166">
        <v>4.0300000000000002E-2</v>
      </c>
      <c r="O33" s="155">
        <v>156.03399999999999</v>
      </c>
      <c r="P33" s="168">
        <v>0.407531649811401</v>
      </c>
      <c r="Q33" s="168">
        <v>9.2457045054625299E-3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zoomScale="70" zoomScaleNormal="70" workbookViewId="0">
      <selection activeCell="H43" sqref="H43"/>
    </sheetView>
  </sheetViews>
  <sheetFormatPr defaultColWidth="9" defaultRowHeight="14.25"/>
  <cols>
    <col min="1" max="14" width="11.625" style="4" customWidth="1"/>
    <col min="15" max="15" width="11.625" style="148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3" t="s">
        <v>14</v>
      </c>
      <c r="P1" s="167" t="s">
        <v>15</v>
      </c>
      <c r="Q1" s="22" t="s">
        <v>16</v>
      </c>
      <c r="R1" s="22" t="s">
        <v>17</v>
      </c>
      <c r="S1" s="161" t="s">
        <v>18</v>
      </c>
      <c r="T1" s="172" t="s">
        <v>19</v>
      </c>
      <c r="U1" s="22" t="s">
        <v>20</v>
      </c>
      <c r="V1" s="22" t="s">
        <v>21</v>
      </c>
      <c r="W1" s="22" t="s">
        <v>22</v>
      </c>
      <c r="X1" s="167" t="s">
        <v>23</v>
      </c>
      <c r="Y1" s="167" t="s">
        <v>24</v>
      </c>
      <c r="Z1" s="167" t="s">
        <v>25</v>
      </c>
    </row>
    <row r="2" spans="1:26">
      <c r="A2" s="21">
        <v>288</v>
      </c>
      <c r="B2" s="21">
        <v>288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4" t="s">
        <v>34</v>
      </c>
      <c r="M2" s="156">
        <v>7.1879999999999997</v>
      </c>
      <c r="N2" s="4" t="s">
        <v>35</v>
      </c>
      <c r="O2" s="165">
        <v>5.5E-2</v>
      </c>
      <c r="P2" s="170">
        <v>5.883E-2</v>
      </c>
      <c r="R2" s="156">
        <v>1820000</v>
      </c>
      <c r="S2" s="171">
        <v>3.6469999999999998</v>
      </c>
      <c r="T2" s="173">
        <v>99.397999999999996</v>
      </c>
      <c r="U2" s="156">
        <v>6597.5550000000003</v>
      </c>
      <c r="W2" s="21" t="s">
        <v>36</v>
      </c>
      <c r="X2" s="174">
        <v>6.0700000000000001E-4</v>
      </c>
      <c r="Y2" s="170">
        <v>1.04541329726019E-2</v>
      </c>
      <c r="Z2" s="170">
        <v>2.7191277737104299E-3</v>
      </c>
    </row>
    <row r="3" spans="1:26">
      <c r="A3" s="21">
        <v>288</v>
      </c>
      <c r="B3" s="21">
        <v>288</v>
      </c>
      <c r="C3" s="21" t="s">
        <v>37</v>
      </c>
      <c r="D3" s="21" t="s">
        <v>38</v>
      </c>
      <c r="E3" s="21" t="s">
        <v>39</v>
      </c>
      <c r="F3" s="21" t="s">
        <v>40</v>
      </c>
      <c r="G3" s="21" t="s">
        <v>30</v>
      </c>
      <c r="H3" s="21" t="s">
        <v>30</v>
      </c>
      <c r="I3" s="21" t="s">
        <v>41</v>
      </c>
      <c r="J3" s="21" t="s">
        <v>42</v>
      </c>
      <c r="K3" s="21" t="s">
        <v>43</v>
      </c>
      <c r="L3" s="4" t="s">
        <v>44</v>
      </c>
      <c r="M3" s="156">
        <v>0.91800000000000004</v>
      </c>
      <c r="N3" s="4" t="s">
        <v>45</v>
      </c>
      <c r="O3" s="165">
        <v>0</v>
      </c>
      <c r="P3" s="170">
        <v>4.2049999999999997E-2</v>
      </c>
      <c r="R3" s="156">
        <v>15000000</v>
      </c>
      <c r="S3" s="171">
        <v>1</v>
      </c>
      <c r="T3" s="173">
        <v>96.29</v>
      </c>
      <c r="U3" s="156">
        <v>14443.5</v>
      </c>
      <c r="W3" s="21" t="s">
        <v>36</v>
      </c>
      <c r="X3" s="174">
        <v>1.0709999999999999E-3</v>
      </c>
      <c r="Y3" s="170">
        <v>2.2886396412611001E-2</v>
      </c>
      <c r="Z3" s="170">
        <v>5.9527687555507598E-3</v>
      </c>
    </row>
    <row r="4" spans="1:26">
      <c r="A4" s="21">
        <v>288</v>
      </c>
      <c r="B4" s="21">
        <v>288</v>
      </c>
      <c r="C4" s="21" t="s">
        <v>37</v>
      </c>
      <c r="D4" s="21" t="s">
        <v>46</v>
      </c>
      <c r="E4" s="21" t="s">
        <v>47</v>
      </c>
      <c r="F4" s="21" t="s">
        <v>40</v>
      </c>
      <c r="G4" s="21" t="s">
        <v>30</v>
      </c>
      <c r="H4" s="21" t="s">
        <v>30</v>
      </c>
      <c r="I4" s="21" t="s">
        <v>41</v>
      </c>
      <c r="J4" s="21" t="s">
        <v>42</v>
      </c>
      <c r="K4" s="21" t="s">
        <v>43</v>
      </c>
      <c r="L4" s="4" t="s">
        <v>44</v>
      </c>
      <c r="M4" s="156">
        <v>0.17</v>
      </c>
      <c r="N4" s="4" t="s">
        <v>48</v>
      </c>
      <c r="O4" s="165">
        <v>0</v>
      </c>
      <c r="P4" s="170">
        <v>4.3360000000000003E-2</v>
      </c>
      <c r="R4" s="156">
        <v>12500000</v>
      </c>
      <c r="S4" s="171">
        <v>1</v>
      </c>
      <c r="T4" s="173">
        <v>99.27</v>
      </c>
      <c r="U4" s="156">
        <v>12408.75</v>
      </c>
      <c r="W4" s="21" t="s">
        <v>36</v>
      </c>
      <c r="X4" s="174">
        <v>3.57E-4</v>
      </c>
      <c r="Y4" s="170">
        <v>1.9662240556997002E-2</v>
      </c>
      <c r="Z4" s="170">
        <v>5.1141634157538304E-3</v>
      </c>
    </row>
    <row r="5" spans="1:26">
      <c r="A5" s="21">
        <v>288</v>
      </c>
      <c r="B5" s="21">
        <v>288</v>
      </c>
      <c r="C5" s="21" t="s">
        <v>37</v>
      </c>
      <c r="D5" s="21" t="s">
        <v>49</v>
      </c>
      <c r="E5" s="21" t="s">
        <v>50</v>
      </c>
      <c r="F5" s="21" t="s">
        <v>40</v>
      </c>
      <c r="G5" s="21" t="s">
        <v>30</v>
      </c>
      <c r="H5" s="21" t="s">
        <v>30</v>
      </c>
      <c r="I5" s="21" t="s">
        <v>41</v>
      </c>
      <c r="J5" s="21" t="s">
        <v>42</v>
      </c>
      <c r="K5" s="21" t="s">
        <v>43</v>
      </c>
      <c r="L5" s="4" t="s">
        <v>44</v>
      </c>
      <c r="M5" s="156">
        <v>0.247</v>
      </c>
      <c r="N5" s="4" t="s">
        <v>51</v>
      </c>
      <c r="O5" s="165">
        <v>0</v>
      </c>
      <c r="P5" s="170">
        <v>4.24E-2</v>
      </c>
      <c r="R5" s="156">
        <v>10000000</v>
      </c>
      <c r="S5" s="171">
        <v>1</v>
      </c>
      <c r="T5" s="173">
        <v>98.97</v>
      </c>
      <c r="U5" s="156">
        <v>9897</v>
      </c>
      <c r="W5" s="21" t="s">
        <v>36</v>
      </c>
      <c r="X5" s="174">
        <v>8.3299999999999997E-4</v>
      </c>
      <c r="Y5" s="170">
        <v>1.5682256052591902E-2</v>
      </c>
      <c r="Z5" s="170">
        <v>4.0789664813712604E-3</v>
      </c>
    </row>
    <row r="6" spans="1:26">
      <c r="A6" s="21">
        <v>288</v>
      </c>
      <c r="B6" s="21">
        <v>288</v>
      </c>
      <c r="C6" s="21" t="s">
        <v>37</v>
      </c>
      <c r="D6" s="21" t="s">
        <v>52</v>
      </c>
      <c r="E6" s="21" t="s">
        <v>53</v>
      </c>
      <c r="F6" s="21" t="s">
        <v>40</v>
      </c>
      <c r="G6" s="21" t="s">
        <v>30</v>
      </c>
      <c r="H6" s="21" t="s">
        <v>30</v>
      </c>
      <c r="I6" s="21" t="s">
        <v>41</v>
      </c>
      <c r="J6" s="21" t="s">
        <v>42</v>
      </c>
      <c r="K6" s="21" t="s">
        <v>43</v>
      </c>
      <c r="L6" s="4" t="s">
        <v>44</v>
      </c>
      <c r="M6" s="156">
        <v>0.34200000000000003</v>
      </c>
      <c r="N6" s="4" t="s">
        <v>54</v>
      </c>
      <c r="O6" s="165">
        <v>0</v>
      </c>
      <c r="P6" s="170">
        <v>4.2909999999999997E-2</v>
      </c>
      <c r="R6" s="156">
        <v>17800000</v>
      </c>
      <c r="S6" s="171">
        <v>1</v>
      </c>
      <c r="T6" s="173">
        <v>98.56</v>
      </c>
      <c r="U6" s="156">
        <v>17543.68</v>
      </c>
      <c r="W6" s="21" t="s">
        <v>36</v>
      </c>
      <c r="X6" s="174">
        <v>1.271E-3</v>
      </c>
      <c r="Y6" s="170">
        <v>2.7798775574895001E-2</v>
      </c>
      <c r="Z6" s="170">
        <v>7.2304822350109602E-3</v>
      </c>
    </row>
    <row r="7" spans="1:26">
      <c r="A7" s="21">
        <v>288</v>
      </c>
      <c r="B7" s="21">
        <v>288</v>
      </c>
      <c r="C7" s="21" t="s">
        <v>37</v>
      </c>
      <c r="D7" s="21" t="s">
        <v>55</v>
      </c>
      <c r="E7" s="21" t="s">
        <v>56</v>
      </c>
      <c r="F7" s="21" t="s">
        <v>40</v>
      </c>
      <c r="G7" s="21" t="s">
        <v>30</v>
      </c>
      <c r="H7" s="21" t="s">
        <v>30</v>
      </c>
      <c r="I7" s="21" t="s">
        <v>41</v>
      </c>
      <c r="J7" s="21" t="s">
        <v>42</v>
      </c>
      <c r="K7" s="21" t="s">
        <v>43</v>
      </c>
      <c r="L7" s="4" t="s">
        <v>44</v>
      </c>
      <c r="M7" s="156">
        <v>0.41899999999999998</v>
      </c>
      <c r="N7" s="4" t="s">
        <v>57</v>
      </c>
      <c r="O7" s="165">
        <v>0</v>
      </c>
      <c r="P7" s="170">
        <v>4.2729999999999997E-2</v>
      </c>
      <c r="R7" s="156">
        <v>50500000</v>
      </c>
      <c r="S7" s="171">
        <v>1</v>
      </c>
      <c r="T7" s="173">
        <v>98.25</v>
      </c>
      <c r="U7" s="156">
        <v>49616.25</v>
      </c>
      <c r="W7" s="21" t="s">
        <v>36</v>
      </c>
      <c r="X7" s="174">
        <v>4.2079999999999999E-3</v>
      </c>
      <c r="Y7" s="170">
        <v>7.8619251982359598E-2</v>
      </c>
      <c r="Z7" s="170">
        <v>2.0448926005995498E-2</v>
      </c>
    </row>
    <row r="8" spans="1:26">
      <c r="A8" s="21">
        <v>288</v>
      </c>
      <c r="B8" s="21">
        <v>288</v>
      </c>
      <c r="C8" s="21" t="s">
        <v>37</v>
      </c>
      <c r="D8" s="21" t="s">
        <v>58</v>
      </c>
      <c r="E8" s="21" t="s">
        <v>59</v>
      </c>
      <c r="F8" s="21" t="s">
        <v>40</v>
      </c>
      <c r="G8" s="21" t="s">
        <v>30</v>
      </c>
      <c r="H8" s="21" t="s">
        <v>30</v>
      </c>
      <c r="I8" s="21" t="s">
        <v>41</v>
      </c>
      <c r="J8" s="21" t="s">
        <v>42</v>
      </c>
      <c r="K8" s="21" t="s">
        <v>43</v>
      </c>
      <c r="L8" s="4" t="s">
        <v>44</v>
      </c>
      <c r="M8" s="156">
        <v>0.496</v>
      </c>
      <c r="N8" s="4" t="s">
        <v>60</v>
      </c>
      <c r="O8" s="165">
        <v>0</v>
      </c>
      <c r="P8" s="170">
        <v>4.2630000000000001E-2</v>
      </c>
      <c r="R8" s="156">
        <v>50000000</v>
      </c>
      <c r="S8" s="171">
        <v>1</v>
      </c>
      <c r="T8" s="173">
        <v>97.94</v>
      </c>
      <c r="U8" s="156">
        <v>48970</v>
      </c>
      <c r="W8" s="21" t="s">
        <v>36</v>
      </c>
      <c r="X8" s="174">
        <v>4.1669999999999997E-3</v>
      </c>
      <c r="Y8" s="170">
        <v>7.7595238849694395E-2</v>
      </c>
      <c r="Z8" s="170">
        <v>2.0182579427377102E-2</v>
      </c>
    </row>
    <row r="9" spans="1:26">
      <c r="A9" s="21">
        <v>288</v>
      </c>
      <c r="B9" s="21">
        <v>288</v>
      </c>
      <c r="C9" s="21" t="s">
        <v>61</v>
      </c>
      <c r="D9" s="21" t="s">
        <v>62</v>
      </c>
      <c r="E9" s="21" t="s">
        <v>63</v>
      </c>
      <c r="F9" s="21" t="s">
        <v>64</v>
      </c>
      <c r="G9" s="21" t="s">
        <v>30</v>
      </c>
      <c r="H9" s="21" t="s">
        <v>30</v>
      </c>
      <c r="I9" s="21" t="s">
        <v>65</v>
      </c>
      <c r="J9" s="21" t="s">
        <v>42</v>
      </c>
      <c r="K9" s="21" t="s">
        <v>43</v>
      </c>
      <c r="L9" s="4" t="s">
        <v>44</v>
      </c>
      <c r="M9" s="156">
        <v>2.3860000000000001</v>
      </c>
      <c r="N9" s="4" t="s">
        <v>66</v>
      </c>
      <c r="O9" s="165">
        <v>7.4999999999999997E-3</v>
      </c>
      <c r="P9" s="170">
        <v>1.7919999999999998E-2</v>
      </c>
      <c r="R9" s="156">
        <v>21400000</v>
      </c>
      <c r="S9" s="171">
        <v>1</v>
      </c>
      <c r="T9" s="173">
        <v>114.17</v>
      </c>
      <c r="U9" s="156">
        <v>24432.38</v>
      </c>
      <c r="W9" s="21" t="s">
        <v>36</v>
      </c>
      <c r="X9" s="174">
        <v>9.6000000000000002E-4</v>
      </c>
      <c r="Y9" s="170">
        <v>3.8714240591515098E-2</v>
      </c>
      <c r="Z9" s="170">
        <v>1.0069602817027999E-2</v>
      </c>
    </row>
    <row r="10" spans="1:26">
      <c r="A10" s="21">
        <v>288</v>
      </c>
      <c r="B10" s="21">
        <v>288</v>
      </c>
      <c r="C10" s="21" t="s">
        <v>61</v>
      </c>
      <c r="D10" s="21" t="s">
        <v>67</v>
      </c>
      <c r="E10" s="21" t="s">
        <v>68</v>
      </c>
      <c r="F10" s="21" t="s">
        <v>64</v>
      </c>
      <c r="G10" s="21" t="s">
        <v>30</v>
      </c>
      <c r="H10" s="21" t="s">
        <v>30</v>
      </c>
      <c r="I10" s="21" t="s">
        <v>65</v>
      </c>
      <c r="J10" s="21" t="s">
        <v>42</v>
      </c>
      <c r="K10" s="21" t="s">
        <v>43</v>
      </c>
      <c r="L10" s="4" t="s">
        <v>44</v>
      </c>
      <c r="M10" s="156">
        <v>0.82699999999999996</v>
      </c>
      <c r="N10" s="4" t="s">
        <v>69</v>
      </c>
      <c r="O10" s="165">
        <v>7.4999999999999997E-3</v>
      </c>
      <c r="P10" s="170">
        <v>1.5730000000000001E-2</v>
      </c>
      <c r="R10" s="156">
        <v>4340269</v>
      </c>
      <c r="S10" s="171">
        <v>1</v>
      </c>
      <c r="T10" s="173">
        <v>115.16</v>
      </c>
      <c r="U10" s="156">
        <v>4998.2539999999999</v>
      </c>
      <c r="W10" s="21" t="s">
        <v>36</v>
      </c>
      <c r="X10" s="174">
        <v>2.0000000000000001E-4</v>
      </c>
      <c r="Y10" s="170">
        <v>7.9199652015831297E-3</v>
      </c>
      <c r="Z10" s="170">
        <v>2.0599888487055499E-3</v>
      </c>
    </row>
    <row r="11" spans="1:26">
      <c r="A11" s="21">
        <v>288</v>
      </c>
      <c r="B11" s="21">
        <v>288</v>
      </c>
      <c r="C11" s="21" t="s">
        <v>61</v>
      </c>
      <c r="D11" s="21" t="s">
        <v>70</v>
      </c>
      <c r="E11" s="21" t="s">
        <v>71</v>
      </c>
      <c r="F11" s="21" t="s">
        <v>64</v>
      </c>
      <c r="G11" s="21" t="s">
        <v>30</v>
      </c>
      <c r="H11" s="21" t="s">
        <v>30</v>
      </c>
      <c r="I11" s="21" t="s">
        <v>65</v>
      </c>
      <c r="J11" s="21" t="s">
        <v>42</v>
      </c>
      <c r="K11" s="21" t="s">
        <v>43</v>
      </c>
      <c r="L11" s="4" t="s">
        <v>44</v>
      </c>
      <c r="M11" s="156">
        <v>6.89</v>
      </c>
      <c r="N11" s="4" t="s">
        <v>72</v>
      </c>
      <c r="O11" s="165">
        <v>1E-3</v>
      </c>
      <c r="P11" s="170">
        <v>1.8689999999999998E-2</v>
      </c>
      <c r="R11" s="156">
        <v>23915000</v>
      </c>
      <c r="S11" s="171">
        <v>1</v>
      </c>
      <c r="T11" s="173">
        <v>102.23</v>
      </c>
      <c r="U11" s="156">
        <v>24448.304</v>
      </c>
      <c r="W11" s="21" t="s">
        <v>36</v>
      </c>
      <c r="X11" s="174">
        <v>7.7899999999999996E-4</v>
      </c>
      <c r="Y11" s="170">
        <v>3.8739473701195799E-2</v>
      </c>
      <c r="Z11" s="170">
        <v>1.00761659676526E-2</v>
      </c>
    </row>
    <row r="12" spans="1:26">
      <c r="A12" s="21">
        <v>288</v>
      </c>
      <c r="B12" s="21">
        <v>288</v>
      </c>
      <c r="C12" s="21" t="s">
        <v>73</v>
      </c>
      <c r="D12" s="21" t="s">
        <v>74</v>
      </c>
      <c r="E12" s="21" t="s">
        <v>75</v>
      </c>
      <c r="F12" s="21" t="s">
        <v>76</v>
      </c>
      <c r="G12" s="21" t="s">
        <v>30</v>
      </c>
      <c r="H12" s="21" t="s">
        <v>30</v>
      </c>
      <c r="I12" s="21" t="s">
        <v>65</v>
      </c>
      <c r="J12" s="21" t="s">
        <v>42</v>
      </c>
      <c r="K12" s="21" t="s">
        <v>43</v>
      </c>
      <c r="L12" s="4" t="s">
        <v>44</v>
      </c>
      <c r="M12" s="156">
        <v>3.6040000000000001</v>
      </c>
      <c r="N12" s="4" t="s">
        <v>77</v>
      </c>
      <c r="O12" s="165">
        <v>2.2499999999999999E-2</v>
      </c>
      <c r="P12" s="170">
        <v>4.2549999999999998E-2</v>
      </c>
      <c r="R12" s="156">
        <v>6494561</v>
      </c>
      <c r="S12" s="171">
        <v>1</v>
      </c>
      <c r="T12" s="173">
        <v>93.76</v>
      </c>
      <c r="U12" s="156">
        <v>6089.3</v>
      </c>
      <c r="W12" s="21" t="s">
        <v>36</v>
      </c>
      <c r="X12" s="174">
        <v>1.8699999999999999E-4</v>
      </c>
      <c r="Y12" s="170">
        <v>9.6487792213381697E-3</v>
      </c>
      <c r="Z12" s="170">
        <v>2.50965466307924E-3</v>
      </c>
    </row>
    <row r="13" spans="1:26">
      <c r="A13" s="21">
        <v>288</v>
      </c>
      <c r="B13" s="21">
        <v>288</v>
      </c>
      <c r="C13" s="21" t="s">
        <v>73</v>
      </c>
      <c r="D13" s="21" t="s">
        <v>78</v>
      </c>
      <c r="E13" s="21" t="s">
        <v>79</v>
      </c>
      <c r="F13" s="21" t="s">
        <v>76</v>
      </c>
      <c r="G13" s="21" t="s">
        <v>30</v>
      </c>
      <c r="H13" s="21" t="s">
        <v>30</v>
      </c>
      <c r="I13" s="21" t="s">
        <v>65</v>
      </c>
      <c r="J13" s="21" t="s">
        <v>42</v>
      </c>
      <c r="K13" s="21" t="s">
        <v>43</v>
      </c>
      <c r="L13" s="4" t="s">
        <v>44</v>
      </c>
      <c r="M13" s="156">
        <v>1.1479999999999999</v>
      </c>
      <c r="N13" s="4" t="s">
        <v>80</v>
      </c>
      <c r="O13" s="165">
        <v>5.0000000000000001E-3</v>
      </c>
      <c r="P13" s="170">
        <v>4.206E-2</v>
      </c>
      <c r="R13" s="156">
        <v>17000000</v>
      </c>
      <c r="S13" s="171">
        <v>1</v>
      </c>
      <c r="T13" s="173">
        <v>96.32</v>
      </c>
      <c r="U13" s="156">
        <v>16374.4</v>
      </c>
      <c r="W13" s="21" t="s">
        <v>36</v>
      </c>
      <c r="X13" s="174">
        <v>6.1200000000000002E-4</v>
      </c>
      <c r="Y13" s="170">
        <v>2.59459971211034E-2</v>
      </c>
      <c r="Z13" s="170">
        <v>6.7485731790002702E-3</v>
      </c>
    </row>
    <row r="14" spans="1:26">
      <c r="A14" s="21">
        <v>288</v>
      </c>
      <c r="B14" s="21">
        <v>288</v>
      </c>
      <c r="C14" s="21" t="s">
        <v>73</v>
      </c>
      <c r="D14" s="21" t="s">
        <v>81</v>
      </c>
      <c r="E14" s="21" t="s">
        <v>82</v>
      </c>
      <c r="F14" s="21" t="s">
        <v>76</v>
      </c>
      <c r="G14" s="21" t="s">
        <v>30</v>
      </c>
      <c r="H14" s="21" t="s">
        <v>30</v>
      </c>
      <c r="I14" s="21" t="s">
        <v>65</v>
      </c>
      <c r="J14" s="21" t="s">
        <v>42</v>
      </c>
      <c r="K14" s="21" t="s">
        <v>43</v>
      </c>
      <c r="L14" s="4" t="s">
        <v>44</v>
      </c>
      <c r="M14" s="156">
        <v>8.3070000000000004</v>
      </c>
      <c r="N14" s="4" t="s">
        <v>83</v>
      </c>
      <c r="O14" s="165">
        <v>0.04</v>
      </c>
      <c r="P14" s="170">
        <v>4.48E-2</v>
      </c>
      <c r="R14" s="156">
        <v>4113000</v>
      </c>
      <c r="S14" s="171">
        <v>1</v>
      </c>
      <c r="T14" s="173">
        <v>99.13</v>
      </c>
      <c r="U14" s="156">
        <v>4077.2170000000001</v>
      </c>
      <c r="W14" s="21" t="s">
        <v>36</v>
      </c>
      <c r="X14" s="174">
        <v>1.7699999999999999E-4</v>
      </c>
      <c r="Y14" s="170">
        <v>6.46053949760079E-3</v>
      </c>
      <c r="Z14" s="170">
        <v>1.68039113593821E-3</v>
      </c>
    </row>
    <row r="15" spans="1:26">
      <c r="A15" s="21">
        <v>288</v>
      </c>
      <c r="B15" s="21">
        <v>288</v>
      </c>
      <c r="C15" s="21" t="s">
        <v>73</v>
      </c>
      <c r="D15" s="21" t="s">
        <v>84</v>
      </c>
      <c r="E15" s="21" t="s">
        <v>85</v>
      </c>
      <c r="F15" s="21" t="s">
        <v>76</v>
      </c>
      <c r="G15" s="21" t="s">
        <v>30</v>
      </c>
      <c r="H15" s="21" t="s">
        <v>30</v>
      </c>
      <c r="I15" s="21" t="s">
        <v>65</v>
      </c>
      <c r="J15" s="21" t="s">
        <v>42</v>
      </c>
      <c r="K15" s="21" t="s">
        <v>43</v>
      </c>
      <c r="L15" s="4" t="s">
        <v>44</v>
      </c>
      <c r="M15" s="156">
        <v>14.43</v>
      </c>
      <c r="N15" s="4" t="s">
        <v>86</v>
      </c>
      <c r="O15" s="165">
        <v>3.7499999999999999E-2</v>
      </c>
      <c r="P15" s="170">
        <v>4.7570000000000001E-2</v>
      </c>
      <c r="R15" s="156">
        <v>11296884</v>
      </c>
      <c r="S15" s="171">
        <v>1</v>
      </c>
      <c r="T15" s="173">
        <v>89.17</v>
      </c>
      <c r="U15" s="156">
        <v>10073.431</v>
      </c>
      <c r="W15" s="21" t="s">
        <v>36</v>
      </c>
      <c r="X15" s="174">
        <v>4.2999999999999999E-4</v>
      </c>
      <c r="Y15" s="170">
        <v>1.5961819897733098E-2</v>
      </c>
      <c r="Z15" s="170">
        <v>4.1516812457463798E-3</v>
      </c>
    </row>
    <row r="16" spans="1:26">
      <c r="A16" s="21">
        <v>288</v>
      </c>
      <c r="B16" s="21">
        <v>288</v>
      </c>
      <c r="C16" s="21" t="s">
        <v>73</v>
      </c>
      <c r="D16" s="21" t="s">
        <v>87</v>
      </c>
      <c r="E16" s="21" t="s">
        <v>88</v>
      </c>
      <c r="F16" s="21" t="s">
        <v>76</v>
      </c>
      <c r="G16" s="21" t="s">
        <v>30</v>
      </c>
      <c r="H16" s="21" t="s">
        <v>30</v>
      </c>
      <c r="I16" s="21" t="s">
        <v>65</v>
      </c>
      <c r="J16" s="21" t="s">
        <v>42</v>
      </c>
      <c r="K16" s="21" t="s">
        <v>43</v>
      </c>
      <c r="L16" s="4" t="s">
        <v>44</v>
      </c>
      <c r="M16" s="156">
        <v>11.263999999999999</v>
      </c>
      <c r="N16" s="4" t="s">
        <v>89</v>
      </c>
      <c r="O16" s="165">
        <v>5.5E-2</v>
      </c>
      <c r="P16" s="170">
        <v>4.6489999999999997E-2</v>
      </c>
      <c r="R16" s="156">
        <v>11755811</v>
      </c>
      <c r="S16" s="171">
        <v>1</v>
      </c>
      <c r="T16" s="173">
        <v>114.94</v>
      </c>
      <c r="U16" s="156">
        <v>13512.129000000001</v>
      </c>
      <c r="W16" s="21" t="s">
        <v>36</v>
      </c>
      <c r="X16" s="174">
        <v>4.84E-4</v>
      </c>
      <c r="Y16" s="170">
        <v>2.1410596075187801E-2</v>
      </c>
      <c r="Z16" s="170">
        <v>5.5689119884275804E-3</v>
      </c>
    </row>
    <row r="17" spans="1:26">
      <c r="A17" s="21">
        <v>288</v>
      </c>
      <c r="B17" s="21">
        <v>288</v>
      </c>
      <c r="C17" s="21" t="s">
        <v>61</v>
      </c>
      <c r="D17" s="21" t="s">
        <v>90</v>
      </c>
      <c r="E17" s="21" t="s">
        <v>91</v>
      </c>
      <c r="F17" s="21" t="s">
        <v>64</v>
      </c>
      <c r="G17" s="21" t="s">
        <v>30</v>
      </c>
      <c r="H17" s="21" t="s">
        <v>30</v>
      </c>
      <c r="I17" s="21" t="s">
        <v>65</v>
      </c>
      <c r="J17" s="21" t="s">
        <v>42</v>
      </c>
      <c r="K17" s="21" t="s">
        <v>43</v>
      </c>
      <c r="L17" s="4" t="s">
        <v>44</v>
      </c>
      <c r="M17" s="156">
        <v>4.3600000000000003</v>
      </c>
      <c r="N17" s="4" t="s">
        <v>92</v>
      </c>
      <c r="O17" s="165">
        <v>5.0000000000000001E-3</v>
      </c>
      <c r="P17" s="170">
        <v>1.7690000000000001E-2</v>
      </c>
      <c r="R17" s="156">
        <v>17878000</v>
      </c>
      <c r="S17" s="171">
        <v>1</v>
      </c>
      <c r="T17" s="173">
        <v>109.52</v>
      </c>
      <c r="U17" s="156">
        <v>19579.986000000001</v>
      </c>
      <c r="W17" s="21" t="s">
        <v>36</v>
      </c>
      <c r="X17" s="174">
        <v>6.4999999999999997E-4</v>
      </c>
      <c r="Y17" s="170">
        <v>3.1025396350940902E-2</v>
      </c>
      <c r="Z17" s="170">
        <v>8.0697287024484206E-3</v>
      </c>
    </row>
    <row r="18" spans="1:26">
      <c r="A18" s="21">
        <v>288</v>
      </c>
      <c r="B18" s="21">
        <v>288</v>
      </c>
      <c r="C18" s="21" t="s">
        <v>61</v>
      </c>
      <c r="D18" s="21" t="s">
        <v>93</v>
      </c>
      <c r="E18" s="21" t="s">
        <v>94</v>
      </c>
      <c r="F18" s="21" t="s">
        <v>64</v>
      </c>
      <c r="G18" s="21" t="s">
        <v>30</v>
      </c>
      <c r="H18" s="21" t="s">
        <v>30</v>
      </c>
      <c r="I18" s="21" t="s">
        <v>65</v>
      </c>
      <c r="J18" s="21" t="s">
        <v>42</v>
      </c>
      <c r="K18" s="21" t="s">
        <v>43</v>
      </c>
      <c r="L18" s="4" t="s">
        <v>44</v>
      </c>
      <c r="M18" s="156">
        <v>1.5740000000000001</v>
      </c>
      <c r="N18" s="4" t="s">
        <v>95</v>
      </c>
      <c r="O18" s="165">
        <v>1E-3</v>
      </c>
      <c r="P18" s="170">
        <v>1.7819999999999999E-2</v>
      </c>
      <c r="R18" s="156">
        <v>23674056</v>
      </c>
      <c r="S18" s="171">
        <v>1</v>
      </c>
      <c r="T18" s="173">
        <v>112.4</v>
      </c>
      <c r="U18" s="156">
        <v>26609.638999999999</v>
      </c>
      <c r="W18" s="21" t="s">
        <v>36</v>
      </c>
      <c r="X18" s="174">
        <v>1.1720000000000001E-3</v>
      </c>
      <c r="Y18" s="170">
        <v>4.2164208486089601E-2</v>
      </c>
      <c r="Z18" s="170">
        <v>1.0966942036371399E-2</v>
      </c>
    </row>
    <row r="19" spans="1:26">
      <c r="A19" s="21">
        <v>288</v>
      </c>
      <c r="B19" s="21">
        <v>288</v>
      </c>
      <c r="C19" s="21" t="s">
        <v>61</v>
      </c>
      <c r="D19" s="21" t="s">
        <v>96</v>
      </c>
      <c r="E19" s="21" t="s">
        <v>97</v>
      </c>
      <c r="F19" s="21" t="s">
        <v>64</v>
      </c>
      <c r="G19" s="21" t="s">
        <v>30</v>
      </c>
      <c r="H19" s="21" t="s">
        <v>30</v>
      </c>
      <c r="I19" s="21" t="s">
        <v>65</v>
      </c>
      <c r="J19" s="21" t="s">
        <v>42</v>
      </c>
      <c r="K19" s="21" t="s">
        <v>43</v>
      </c>
      <c r="L19" s="4" t="s">
        <v>44</v>
      </c>
      <c r="M19" s="156">
        <v>3.7639999999999998</v>
      </c>
      <c r="N19" s="4" t="s">
        <v>98</v>
      </c>
      <c r="O19" s="165">
        <v>1.0999999999999999E-2</v>
      </c>
      <c r="P19" s="170">
        <v>1.7909999999999999E-2</v>
      </c>
      <c r="R19" s="156">
        <v>34079522</v>
      </c>
      <c r="S19" s="171">
        <v>1</v>
      </c>
      <c r="T19" s="173">
        <v>101.87</v>
      </c>
      <c r="U19" s="156">
        <v>34716.809000000001</v>
      </c>
      <c r="W19" s="21" t="s">
        <v>36</v>
      </c>
      <c r="X19" s="174">
        <v>1.3810000000000001E-3</v>
      </c>
      <c r="Y19" s="170">
        <v>5.50103959815922E-2</v>
      </c>
      <c r="Z19" s="170">
        <v>1.4308244973387599E-2</v>
      </c>
    </row>
    <row r="20" spans="1:26">
      <c r="A20" s="4">
        <v>288</v>
      </c>
      <c r="B20" s="4">
        <v>288</v>
      </c>
      <c r="C20" s="4" t="s">
        <v>73</v>
      </c>
      <c r="D20" s="4" t="s">
        <v>99</v>
      </c>
      <c r="E20" s="4" t="s">
        <v>100</v>
      </c>
      <c r="F20" s="21" t="s">
        <v>76</v>
      </c>
      <c r="G20" s="21" t="s">
        <v>30</v>
      </c>
      <c r="H20" s="21" t="s">
        <v>30</v>
      </c>
      <c r="I20" s="21" t="s">
        <v>65</v>
      </c>
      <c r="J20" s="4" t="s">
        <v>42</v>
      </c>
      <c r="K20" s="21" t="s">
        <v>43</v>
      </c>
      <c r="L20" s="4" t="s">
        <v>44</v>
      </c>
      <c r="M20" s="156">
        <v>5.0789999999999997</v>
      </c>
      <c r="N20" s="4" t="s">
        <v>101</v>
      </c>
      <c r="O20" s="165">
        <v>0.01</v>
      </c>
      <c r="P20" s="170">
        <v>4.2810000000000001E-2</v>
      </c>
      <c r="R20" s="156">
        <v>46500000</v>
      </c>
      <c r="S20" s="171">
        <v>1</v>
      </c>
      <c r="T20" s="173">
        <v>85.63</v>
      </c>
      <c r="U20" s="156">
        <v>39817.949999999997</v>
      </c>
      <c r="W20" s="21" t="s">
        <v>36</v>
      </c>
      <c r="X20" s="174">
        <v>1.232E-3</v>
      </c>
      <c r="Y20" s="170">
        <v>6.3093390662756599E-2</v>
      </c>
      <c r="Z20" s="170">
        <v>1.6410637911176799E-2</v>
      </c>
    </row>
    <row r="21" spans="1:26">
      <c r="A21" s="4">
        <v>288</v>
      </c>
      <c r="B21" s="4">
        <v>288</v>
      </c>
      <c r="C21" s="4" t="s">
        <v>73</v>
      </c>
      <c r="D21" s="4" t="s">
        <v>102</v>
      </c>
      <c r="E21" s="4" t="s">
        <v>103</v>
      </c>
      <c r="F21" s="4" t="s">
        <v>76</v>
      </c>
      <c r="G21" s="4" t="s">
        <v>30</v>
      </c>
      <c r="H21" s="4" t="s">
        <v>30</v>
      </c>
      <c r="I21" s="4" t="s">
        <v>65</v>
      </c>
      <c r="J21" s="4" t="s">
        <v>42</v>
      </c>
      <c r="K21" s="4" t="s">
        <v>43</v>
      </c>
      <c r="L21" s="21" t="s">
        <v>44</v>
      </c>
      <c r="M21" s="156">
        <v>6.9249999999999998</v>
      </c>
      <c r="N21" s="4" t="s">
        <v>104</v>
      </c>
      <c r="O21" s="169">
        <v>1.2999999999999999E-2</v>
      </c>
      <c r="P21" s="170">
        <v>4.3479999999999998E-2</v>
      </c>
      <c r="R21" s="156">
        <v>47983000</v>
      </c>
      <c r="S21" s="171">
        <v>1</v>
      </c>
      <c r="T21" s="173">
        <v>82.08</v>
      </c>
      <c r="U21" s="156">
        <v>39384.446000000004</v>
      </c>
      <c r="W21" s="4" t="s">
        <v>36</v>
      </c>
      <c r="X21" s="170">
        <v>1.4760000000000001E-3</v>
      </c>
      <c r="Y21" s="170">
        <v>6.2406484079456502E-2</v>
      </c>
      <c r="Z21" s="170">
        <v>1.62319729971671E-2</v>
      </c>
    </row>
    <row r="22" spans="1:26">
      <c r="A22" s="4">
        <v>288</v>
      </c>
      <c r="B22" s="4">
        <v>288</v>
      </c>
      <c r="C22" s="4" t="s">
        <v>26</v>
      </c>
      <c r="D22" s="4" t="s">
        <v>105</v>
      </c>
      <c r="E22" s="4" t="s">
        <v>106</v>
      </c>
      <c r="F22" s="4" t="s">
        <v>29</v>
      </c>
      <c r="G22" s="4" t="s">
        <v>30</v>
      </c>
      <c r="H22" s="4" t="s">
        <v>30</v>
      </c>
      <c r="I22" s="4" t="s">
        <v>31</v>
      </c>
      <c r="J22" s="4" t="s">
        <v>32</v>
      </c>
      <c r="K22" s="4" t="s">
        <v>33</v>
      </c>
      <c r="L22" s="21" t="s">
        <v>34</v>
      </c>
      <c r="M22" s="156">
        <v>3.75</v>
      </c>
      <c r="N22" s="4" t="s">
        <v>107</v>
      </c>
      <c r="O22" s="169">
        <v>5.3749999999999999E-2</v>
      </c>
      <c r="P22" s="170">
        <v>5.4579999999999997E-2</v>
      </c>
      <c r="R22" s="156">
        <v>400000</v>
      </c>
      <c r="S22" s="171">
        <v>3.6469999999999998</v>
      </c>
      <c r="T22" s="173">
        <v>101.401</v>
      </c>
      <c r="U22" s="156">
        <v>1479.2439999999999</v>
      </c>
      <c r="W22" s="4" t="s">
        <v>36</v>
      </c>
      <c r="X22" s="170">
        <v>2.0000000000000001E-4</v>
      </c>
      <c r="Y22" s="170">
        <v>2.3439302074554102E-3</v>
      </c>
      <c r="Z22" s="170">
        <v>6.0965799300949602E-4</v>
      </c>
    </row>
    <row r="23" spans="1:26">
      <c r="A23" s="4">
        <v>288</v>
      </c>
      <c r="B23" s="4">
        <v>288</v>
      </c>
      <c r="C23" s="4" t="s">
        <v>108</v>
      </c>
      <c r="D23" s="4" t="s">
        <v>109</v>
      </c>
      <c r="E23" s="4" t="s">
        <v>110</v>
      </c>
      <c r="F23" s="4" t="s">
        <v>29</v>
      </c>
      <c r="G23" s="4" t="s">
        <v>30</v>
      </c>
      <c r="H23" s="4" t="s">
        <v>30</v>
      </c>
      <c r="I23" s="4" t="s">
        <v>31</v>
      </c>
      <c r="J23" s="4" t="s">
        <v>32</v>
      </c>
      <c r="K23" s="4" t="s">
        <v>33</v>
      </c>
      <c r="L23" s="21" t="s">
        <v>34</v>
      </c>
      <c r="M23" s="156">
        <v>5.6059999999999999</v>
      </c>
      <c r="N23" s="4" t="s">
        <v>111</v>
      </c>
      <c r="O23" s="169">
        <v>6.5000000000000002E-2</v>
      </c>
      <c r="P23" s="170">
        <v>5.7729999999999997E-2</v>
      </c>
      <c r="R23" s="156">
        <v>500000</v>
      </c>
      <c r="S23" s="171">
        <v>3.6469999999999998</v>
      </c>
      <c r="T23" s="173">
        <v>105.18899999999999</v>
      </c>
      <c r="U23" s="156">
        <v>1918.125</v>
      </c>
      <c r="W23" s="4" t="s">
        <v>36</v>
      </c>
      <c r="X23" s="170">
        <v>6.2500000000000001E-4</v>
      </c>
      <c r="Y23" s="170">
        <v>3.0393582260460502E-3</v>
      </c>
      <c r="Z23" s="170">
        <v>7.9053933868608399E-4</v>
      </c>
    </row>
    <row r="24" spans="1:26">
      <c r="A24" s="4">
        <v>288</v>
      </c>
      <c r="B24" s="4">
        <v>288</v>
      </c>
      <c r="C24" s="4" t="s">
        <v>37</v>
      </c>
      <c r="D24" s="4" t="s">
        <v>46</v>
      </c>
      <c r="E24" s="4" t="s">
        <v>47</v>
      </c>
      <c r="F24" s="4" t="s">
        <v>40</v>
      </c>
      <c r="G24" s="4" t="s">
        <v>30</v>
      </c>
      <c r="H24" s="4" t="s">
        <v>30</v>
      </c>
      <c r="I24" s="4" t="s">
        <v>41</v>
      </c>
      <c r="J24" s="4" t="s">
        <v>42</v>
      </c>
      <c r="K24" s="4" t="s">
        <v>43</v>
      </c>
      <c r="L24" s="21" t="s">
        <v>44</v>
      </c>
      <c r="M24" s="156">
        <v>0.17</v>
      </c>
      <c r="N24" s="4" t="s">
        <v>48</v>
      </c>
      <c r="O24" s="169">
        <v>0</v>
      </c>
      <c r="P24" s="170">
        <v>4.3360000000000003E-2</v>
      </c>
      <c r="R24" s="156">
        <v>5831169</v>
      </c>
      <c r="S24" s="171">
        <v>1</v>
      </c>
      <c r="T24" s="173">
        <v>99.27</v>
      </c>
      <c r="U24" s="156">
        <v>5788.6009999999997</v>
      </c>
      <c r="W24" s="4" t="s">
        <v>36</v>
      </c>
      <c r="X24" s="170">
        <v>1.6699999999999999E-4</v>
      </c>
      <c r="Y24" s="170">
        <v>9.1723078085203108E-3</v>
      </c>
      <c r="Z24" s="170">
        <v>2.3857240936702301E-3</v>
      </c>
    </row>
    <row r="25" spans="1:26">
      <c r="A25" s="4">
        <v>288</v>
      </c>
      <c r="B25" s="4">
        <v>288</v>
      </c>
      <c r="C25" s="4" t="s">
        <v>61</v>
      </c>
      <c r="D25" s="4" t="s">
        <v>62</v>
      </c>
      <c r="E25" s="4" t="s">
        <v>63</v>
      </c>
      <c r="F25" s="4" t="s">
        <v>64</v>
      </c>
      <c r="G25" s="4" t="s">
        <v>30</v>
      </c>
      <c r="H25" s="4" t="s">
        <v>30</v>
      </c>
      <c r="I25" s="4" t="s">
        <v>65</v>
      </c>
      <c r="J25" s="4" t="s">
        <v>42</v>
      </c>
      <c r="K25" s="4" t="s">
        <v>43</v>
      </c>
      <c r="L25" s="21" t="s">
        <v>44</v>
      </c>
      <c r="M25" s="156">
        <v>2.3860000000000001</v>
      </c>
      <c r="N25" s="4" t="s">
        <v>66</v>
      </c>
      <c r="O25" s="169">
        <v>7.4999999999999997E-3</v>
      </c>
      <c r="P25" s="170">
        <v>1.7919999999999998E-2</v>
      </c>
      <c r="R25" s="156">
        <v>24406095</v>
      </c>
      <c r="S25" s="171">
        <v>1</v>
      </c>
      <c r="T25" s="173">
        <v>114.17</v>
      </c>
      <c r="U25" s="156">
        <v>27864.438999999998</v>
      </c>
      <c r="W25" s="4" t="s">
        <v>36</v>
      </c>
      <c r="X25" s="170">
        <v>1.0950000000000001E-3</v>
      </c>
      <c r="Y25" s="170">
        <v>4.41524969032418E-2</v>
      </c>
      <c r="Z25" s="170">
        <v>1.14840973347968E-2</v>
      </c>
    </row>
    <row r="26" spans="1:26">
      <c r="A26" s="4">
        <v>288</v>
      </c>
      <c r="B26" s="4">
        <v>288</v>
      </c>
      <c r="C26" s="4" t="s">
        <v>61</v>
      </c>
      <c r="D26" s="4" t="s">
        <v>70</v>
      </c>
      <c r="E26" s="4" t="s">
        <v>71</v>
      </c>
      <c r="F26" s="4" t="s">
        <v>64</v>
      </c>
      <c r="G26" s="4" t="s">
        <v>30</v>
      </c>
      <c r="H26" s="4" t="s">
        <v>30</v>
      </c>
      <c r="I26" s="4" t="s">
        <v>65</v>
      </c>
      <c r="J26" s="4" t="s">
        <v>42</v>
      </c>
      <c r="K26" s="4" t="s">
        <v>43</v>
      </c>
      <c r="L26" s="21" t="s">
        <v>44</v>
      </c>
      <c r="M26" s="156">
        <v>6.89</v>
      </c>
      <c r="N26" s="4" t="s">
        <v>72</v>
      </c>
      <c r="O26" s="169">
        <v>1E-3</v>
      </c>
      <c r="P26" s="170">
        <v>1.8689999999999998E-2</v>
      </c>
      <c r="R26" s="156">
        <v>13980000</v>
      </c>
      <c r="S26" s="171">
        <v>1</v>
      </c>
      <c r="T26" s="173">
        <v>102.23</v>
      </c>
      <c r="U26" s="156">
        <v>14291.754000000001</v>
      </c>
      <c r="W26" s="4" t="s">
        <v>36</v>
      </c>
      <c r="X26" s="170">
        <v>4.55E-4</v>
      </c>
      <c r="Y26" s="170">
        <v>2.2645947829509398E-2</v>
      </c>
      <c r="Z26" s="170">
        <v>5.8902278999700599E-3</v>
      </c>
    </row>
    <row r="27" spans="1:26">
      <c r="A27" s="4">
        <v>288</v>
      </c>
      <c r="B27" s="4">
        <v>288</v>
      </c>
      <c r="C27" s="4" t="s">
        <v>73</v>
      </c>
      <c r="D27" s="4" t="s">
        <v>74</v>
      </c>
      <c r="E27" s="4" t="s">
        <v>75</v>
      </c>
      <c r="F27" s="4" t="s">
        <v>76</v>
      </c>
      <c r="G27" s="4" t="s">
        <v>30</v>
      </c>
      <c r="H27" s="4" t="s">
        <v>30</v>
      </c>
      <c r="I27" s="4" t="s">
        <v>65</v>
      </c>
      <c r="J27" s="4" t="s">
        <v>42</v>
      </c>
      <c r="K27" s="4" t="s">
        <v>43</v>
      </c>
      <c r="L27" s="4" t="s">
        <v>44</v>
      </c>
      <c r="M27" s="156">
        <v>3.6040000000000001</v>
      </c>
      <c r="N27" s="4" t="s">
        <v>77</v>
      </c>
      <c r="O27" s="169">
        <v>2.2499999999999999E-2</v>
      </c>
      <c r="P27" s="170">
        <v>4.2549999999999998E-2</v>
      </c>
      <c r="R27" s="156">
        <v>16545000</v>
      </c>
      <c r="S27" s="171">
        <v>1</v>
      </c>
      <c r="T27" s="173">
        <v>93.76</v>
      </c>
      <c r="U27" s="156">
        <v>15512.592000000001</v>
      </c>
      <c r="W27" s="4" t="s">
        <v>36</v>
      </c>
      <c r="X27" s="170">
        <v>4.7699999999999999E-4</v>
      </c>
      <c r="Y27" s="170">
        <v>2.4580422328320601E-2</v>
      </c>
      <c r="Z27" s="170">
        <v>6.3933861581477198E-3</v>
      </c>
    </row>
    <row r="28" spans="1:26">
      <c r="A28" s="4">
        <v>288</v>
      </c>
      <c r="B28" s="4">
        <v>288</v>
      </c>
      <c r="C28" s="4" t="s">
        <v>73</v>
      </c>
      <c r="D28" s="4" t="s">
        <v>78</v>
      </c>
      <c r="E28" s="4" t="s">
        <v>79</v>
      </c>
      <c r="F28" s="4" t="s">
        <v>76</v>
      </c>
      <c r="G28" s="4" t="s">
        <v>30</v>
      </c>
      <c r="H28" s="4" t="s">
        <v>30</v>
      </c>
      <c r="I28" s="4" t="s">
        <v>65</v>
      </c>
      <c r="J28" s="4" t="s">
        <v>42</v>
      </c>
      <c r="K28" s="4" t="s">
        <v>43</v>
      </c>
      <c r="L28" s="4" t="s">
        <v>44</v>
      </c>
      <c r="M28" s="156">
        <v>1.1479999999999999</v>
      </c>
      <c r="N28" s="4" t="s">
        <v>80</v>
      </c>
      <c r="O28" s="169">
        <v>5.0000000000000001E-3</v>
      </c>
      <c r="P28" s="170">
        <v>4.206E-2</v>
      </c>
      <c r="R28" s="156">
        <v>5700000</v>
      </c>
      <c r="S28" s="171">
        <v>1</v>
      </c>
      <c r="T28" s="173">
        <v>96.32</v>
      </c>
      <c r="U28" s="156">
        <v>5490.24</v>
      </c>
      <c r="W28" s="4" t="s">
        <v>36</v>
      </c>
      <c r="X28" s="170">
        <v>2.05E-4</v>
      </c>
      <c r="Y28" s="170">
        <v>8.6995402111935093E-3</v>
      </c>
      <c r="Z28" s="170">
        <v>2.2627568894295E-3</v>
      </c>
    </row>
    <row r="29" spans="1:26">
      <c r="A29" s="4">
        <v>288</v>
      </c>
      <c r="B29" s="4">
        <v>288</v>
      </c>
      <c r="C29" s="4" t="s">
        <v>73</v>
      </c>
      <c r="D29" s="4" t="s">
        <v>112</v>
      </c>
      <c r="E29" s="4" t="s">
        <v>113</v>
      </c>
      <c r="F29" s="4" t="s">
        <v>76</v>
      </c>
      <c r="G29" s="4" t="s">
        <v>30</v>
      </c>
      <c r="H29" s="4" t="s">
        <v>30</v>
      </c>
      <c r="I29" s="4" t="s">
        <v>65</v>
      </c>
      <c r="J29" s="4" t="s">
        <v>42</v>
      </c>
      <c r="K29" s="4" t="s">
        <v>43</v>
      </c>
      <c r="L29" s="4" t="s">
        <v>44</v>
      </c>
      <c r="M29" s="156">
        <v>3.8050000000000002</v>
      </c>
      <c r="N29" s="4" t="s">
        <v>114</v>
      </c>
      <c r="O29" s="169">
        <v>3.7499999999999999E-2</v>
      </c>
      <c r="P29" s="170">
        <v>4.2509999999999999E-2</v>
      </c>
      <c r="R29" s="156">
        <v>5950000</v>
      </c>
      <c r="S29" s="171">
        <v>1</v>
      </c>
      <c r="T29" s="173">
        <v>101.27</v>
      </c>
      <c r="U29" s="156">
        <v>6025.5649999999996</v>
      </c>
      <c r="W29" s="4" t="s">
        <v>36</v>
      </c>
      <c r="X29" s="170">
        <v>1.6799999999999999E-4</v>
      </c>
      <c r="Y29" s="170">
        <v>9.5477875307200099E-3</v>
      </c>
      <c r="Z29" s="170">
        <v>2.4833866491183001E-3</v>
      </c>
    </row>
    <row r="30" spans="1:26">
      <c r="A30" s="4">
        <v>288</v>
      </c>
      <c r="B30" s="4">
        <v>288</v>
      </c>
      <c r="C30" s="4" t="s">
        <v>73</v>
      </c>
      <c r="D30" s="4" t="s">
        <v>115</v>
      </c>
      <c r="E30" s="4" t="s">
        <v>116</v>
      </c>
      <c r="F30" s="4" t="s">
        <v>76</v>
      </c>
      <c r="G30" s="4" t="s">
        <v>30</v>
      </c>
      <c r="H30" s="4" t="s">
        <v>30</v>
      </c>
      <c r="I30" s="4" t="s">
        <v>65</v>
      </c>
      <c r="J30" s="4" t="s">
        <v>42</v>
      </c>
      <c r="K30" s="4" t="s">
        <v>43</v>
      </c>
      <c r="L30" s="4" t="s">
        <v>44</v>
      </c>
      <c r="M30" s="156">
        <v>2.181</v>
      </c>
      <c r="N30" s="4" t="s">
        <v>117</v>
      </c>
      <c r="O30" s="169">
        <v>0.02</v>
      </c>
      <c r="P30" s="170">
        <v>4.2720000000000001E-2</v>
      </c>
      <c r="R30" s="156">
        <v>6485000</v>
      </c>
      <c r="S30" s="171">
        <v>1</v>
      </c>
      <c r="T30" s="173">
        <v>96.74</v>
      </c>
      <c r="U30" s="156">
        <v>6273.5889999999999</v>
      </c>
      <c r="W30" s="4" t="s">
        <v>36</v>
      </c>
      <c r="X30" s="170">
        <v>2.5099999999999998E-4</v>
      </c>
      <c r="Y30" s="170">
        <v>9.9407930753484895E-3</v>
      </c>
      <c r="Z30" s="170">
        <v>2.5856076840355098E-3</v>
      </c>
    </row>
    <row r="31" spans="1:26">
      <c r="A31" s="4">
        <v>288</v>
      </c>
      <c r="B31" s="4">
        <v>288</v>
      </c>
      <c r="C31" s="4" t="s">
        <v>73</v>
      </c>
      <c r="D31" s="4" t="s">
        <v>81</v>
      </c>
      <c r="E31" s="4" t="s">
        <v>82</v>
      </c>
      <c r="F31" s="4" t="s">
        <v>76</v>
      </c>
      <c r="G31" s="4" t="s">
        <v>30</v>
      </c>
      <c r="H31" s="4" t="s">
        <v>30</v>
      </c>
      <c r="I31" s="4" t="s">
        <v>65</v>
      </c>
      <c r="J31" s="4" t="s">
        <v>42</v>
      </c>
      <c r="K31" s="4" t="s">
        <v>43</v>
      </c>
      <c r="L31" s="4" t="s">
        <v>44</v>
      </c>
      <c r="M31" s="156">
        <v>8.3070000000000004</v>
      </c>
      <c r="N31" s="4" t="s">
        <v>83</v>
      </c>
      <c r="O31" s="169">
        <v>0.04</v>
      </c>
      <c r="P31" s="170">
        <v>4.48E-2</v>
      </c>
      <c r="R31" s="156">
        <v>16200000</v>
      </c>
      <c r="S31" s="171">
        <v>1</v>
      </c>
      <c r="T31" s="173">
        <v>99.13</v>
      </c>
      <c r="U31" s="156">
        <v>16059.06</v>
      </c>
      <c r="W31" s="4" t="s">
        <v>36</v>
      </c>
      <c r="X31" s="170">
        <v>6.96E-4</v>
      </c>
      <c r="Y31" s="170">
        <v>2.5446326248755799E-2</v>
      </c>
      <c r="Z31" s="170">
        <v>6.6186084128857202E-3</v>
      </c>
    </row>
    <row r="32" spans="1:26">
      <c r="A32" s="4">
        <v>288</v>
      </c>
      <c r="B32" s="4">
        <v>288</v>
      </c>
      <c r="C32" s="4" t="s">
        <v>73</v>
      </c>
      <c r="D32" s="4" t="s">
        <v>118</v>
      </c>
      <c r="E32" s="4" t="s">
        <v>119</v>
      </c>
      <c r="F32" s="4" t="s">
        <v>76</v>
      </c>
      <c r="G32" s="4" t="s">
        <v>30</v>
      </c>
      <c r="H32" s="4" t="s">
        <v>30</v>
      </c>
      <c r="I32" s="4" t="s">
        <v>65</v>
      </c>
      <c r="J32" s="4" t="s">
        <v>42</v>
      </c>
      <c r="K32" s="4" t="s">
        <v>43</v>
      </c>
      <c r="L32" s="4" t="s">
        <v>44</v>
      </c>
      <c r="M32" s="156">
        <v>1.7669999999999999</v>
      </c>
      <c r="N32" s="4" t="s">
        <v>120</v>
      </c>
      <c r="O32" s="169">
        <v>6.25E-2</v>
      </c>
      <c r="P32" s="170">
        <v>4.2500000000000003E-2</v>
      </c>
      <c r="R32" s="156">
        <v>7200000</v>
      </c>
      <c r="S32" s="171">
        <v>1</v>
      </c>
      <c r="T32" s="173">
        <v>104.49</v>
      </c>
      <c r="U32" s="156">
        <v>7523.28</v>
      </c>
      <c r="W32" s="4" t="s">
        <v>36</v>
      </c>
      <c r="X32" s="170">
        <v>4.8299999999999998E-4</v>
      </c>
      <c r="Y32" s="170">
        <v>1.19209864924061E-2</v>
      </c>
      <c r="Z32" s="170">
        <v>3.10065746690622E-3</v>
      </c>
    </row>
    <row r="33" spans="1:26">
      <c r="A33" s="4">
        <v>288</v>
      </c>
      <c r="B33" s="4">
        <v>288</v>
      </c>
      <c r="C33" s="4" t="s">
        <v>61</v>
      </c>
      <c r="D33" s="4" t="s">
        <v>90</v>
      </c>
      <c r="E33" s="4" t="s">
        <v>91</v>
      </c>
      <c r="F33" s="4" t="s">
        <v>64</v>
      </c>
      <c r="G33" s="4" t="s">
        <v>30</v>
      </c>
      <c r="H33" s="4" t="s">
        <v>30</v>
      </c>
      <c r="I33" s="4" t="s">
        <v>65</v>
      </c>
      <c r="J33" s="4" t="s">
        <v>42</v>
      </c>
      <c r="K33" s="4" t="s">
        <v>43</v>
      </c>
      <c r="L33" s="4" t="s">
        <v>44</v>
      </c>
      <c r="M33" s="156">
        <v>4.3600000000000003</v>
      </c>
      <c r="N33" s="4" t="s">
        <v>92</v>
      </c>
      <c r="O33" s="169">
        <v>5.0000000000000001E-3</v>
      </c>
      <c r="P33" s="170">
        <v>1.7690000000000001E-2</v>
      </c>
      <c r="R33" s="156">
        <v>15300000</v>
      </c>
      <c r="S33" s="171">
        <v>1</v>
      </c>
      <c r="T33" s="173">
        <v>109.52</v>
      </c>
      <c r="U33" s="156">
        <v>16756.560000000001</v>
      </c>
      <c r="W33" s="4" t="s">
        <v>36</v>
      </c>
      <c r="X33" s="170">
        <v>5.5699999999999999E-4</v>
      </c>
      <c r="Y33" s="170">
        <v>2.6551547386139199E-2</v>
      </c>
      <c r="Z33" s="170">
        <v>6.90607725402511E-3</v>
      </c>
    </row>
    <row r="34" spans="1:26">
      <c r="A34" s="4">
        <v>288</v>
      </c>
      <c r="B34" s="4">
        <v>288</v>
      </c>
      <c r="C34" s="4" t="s">
        <v>61</v>
      </c>
      <c r="D34" s="4" t="s">
        <v>96</v>
      </c>
      <c r="E34" s="4" t="s">
        <v>97</v>
      </c>
      <c r="F34" s="4" t="s">
        <v>64</v>
      </c>
      <c r="G34" s="4" t="s">
        <v>30</v>
      </c>
      <c r="H34" s="4" t="s">
        <v>30</v>
      </c>
      <c r="I34" s="4" t="s">
        <v>65</v>
      </c>
      <c r="J34" s="4" t="s">
        <v>42</v>
      </c>
      <c r="K34" s="4" t="s">
        <v>43</v>
      </c>
      <c r="L34" s="4" t="s">
        <v>44</v>
      </c>
      <c r="M34" s="156">
        <v>3.7639999999999998</v>
      </c>
      <c r="N34" s="4" t="s">
        <v>98</v>
      </c>
      <c r="O34" s="169">
        <v>1.0999999999999999E-2</v>
      </c>
      <c r="P34" s="170">
        <v>1.7909999999999999E-2</v>
      </c>
      <c r="R34" s="156">
        <v>16500000</v>
      </c>
      <c r="S34" s="171">
        <v>1</v>
      </c>
      <c r="T34" s="173">
        <v>101.87</v>
      </c>
      <c r="U34" s="156">
        <v>16808.55</v>
      </c>
      <c r="W34" s="4" t="s">
        <v>36</v>
      </c>
      <c r="X34" s="170">
        <v>6.69E-4</v>
      </c>
      <c r="Y34" s="170">
        <v>2.6633927955218101E-2</v>
      </c>
      <c r="Z34" s="170">
        <v>6.92750450140982E-3</v>
      </c>
    </row>
    <row r="35" spans="1:26">
      <c r="A35" s="4">
        <v>288</v>
      </c>
      <c r="B35" s="4">
        <v>288</v>
      </c>
      <c r="C35" s="4" t="s">
        <v>73</v>
      </c>
      <c r="D35" s="4" t="s">
        <v>99</v>
      </c>
      <c r="E35" s="4" t="s">
        <v>100</v>
      </c>
      <c r="F35" s="4" t="s">
        <v>76</v>
      </c>
      <c r="G35" s="4" t="s">
        <v>30</v>
      </c>
      <c r="H35" s="4" t="s">
        <v>30</v>
      </c>
      <c r="I35" s="4" t="s">
        <v>65</v>
      </c>
      <c r="J35" s="4" t="s">
        <v>42</v>
      </c>
      <c r="K35" s="4" t="s">
        <v>43</v>
      </c>
      <c r="L35" s="4" t="s">
        <v>44</v>
      </c>
      <c r="M35" s="156">
        <v>5.0789999999999997</v>
      </c>
      <c r="N35" s="4" t="s">
        <v>101</v>
      </c>
      <c r="O35" s="169">
        <v>0.01</v>
      </c>
      <c r="P35" s="170">
        <v>4.2810000000000001E-2</v>
      </c>
      <c r="R35" s="156">
        <v>24249768</v>
      </c>
      <c r="S35" s="171">
        <v>1</v>
      </c>
      <c r="T35" s="173">
        <v>85.63</v>
      </c>
      <c r="U35" s="156">
        <v>20765.076000000001</v>
      </c>
      <c r="W35" s="4" t="s">
        <v>36</v>
      </c>
      <c r="X35" s="170">
        <v>6.4199999999999999E-4</v>
      </c>
      <c r="Y35" s="170">
        <v>3.2903227653875503E-2</v>
      </c>
      <c r="Z35" s="170">
        <v>8.5581540231837103E-3</v>
      </c>
    </row>
    <row r="36" spans="1:26">
      <c r="A36" s="4">
        <v>288</v>
      </c>
      <c r="B36" s="4">
        <v>288</v>
      </c>
      <c r="C36" s="4" t="s">
        <v>73</v>
      </c>
      <c r="D36" s="4" t="s">
        <v>102</v>
      </c>
      <c r="E36" s="4" t="s">
        <v>103</v>
      </c>
      <c r="F36" s="4" t="s">
        <v>76</v>
      </c>
      <c r="G36" s="4" t="s">
        <v>30</v>
      </c>
      <c r="H36" s="4" t="s">
        <v>30</v>
      </c>
      <c r="I36" s="4" t="s">
        <v>65</v>
      </c>
      <c r="J36" s="4" t="s">
        <v>42</v>
      </c>
      <c r="K36" s="4" t="s">
        <v>43</v>
      </c>
      <c r="L36" s="4" t="s">
        <v>44</v>
      </c>
      <c r="M36" s="156">
        <v>6.9249999999999998</v>
      </c>
      <c r="N36" s="4" t="s">
        <v>104</v>
      </c>
      <c r="O36" s="169">
        <v>1.2999999999999999E-2</v>
      </c>
      <c r="P36" s="170">
        <v>4.3479999999999998E-2</v>
      </c>
      <c r="R36" s="156">
        <v>29115000</v>
      </c>
      <c r="S36" s="171">
        <v>1</v>
      </c>
      <c r="T36" s="173">
        <v>82.08</v>
      </c>
      <c r="U36" s="156">
        <v>23897.592000000001</v>
      </c>
      <c r="W36" s="4" t="s">
        <v>36</v>
      </c>
      <c r="X36" s="170">
        <v>8.9599999999999999E-4</v>
      </c>
      <c r="Y36" s="170">
        <v>3.7866844173423397E-2</v>
      </c>
      <c r="Z36" s="170">
        <v>9.8491943774362007E-3</v>
      </c>
    </row>
    <row r="37" spans="1:26">
      <c r="A37" s="4">
        <v>288</v>
      </c>
      <c r="B37" s="4">
        <v>288</v>
      </c>
      <c r="C37" s="4" t="s">
        <v>121</v>
      </c>
      <c r="D37" s="4" t="s">
        <v>122</v>
      </c>
      <c r="E37" s="4" t="s">
        <v>123</v>
      </c>
      <c r="F37" s="4" t="s">
        <v>29</v>
      </c>
      <c r="G37" s="4" t="s">
        <v>124</v>
      </c>
      <c r="H37" s="4" t="s">
        <v>125</v>
      </c>
      <c r="I37" s="4" t="s">
        <v>31</v>
      </c>
      <c r="J37" s="4" t="s">
        <v>126</v>
      </c>
      <c r="K37" s="4" t="s">
        <v>127</v>
      </c>
      <c r="L37" s="4" t="s">
        <v>34</v>
      </c>
      <c r="M37" s="156">
        <v>7.9470000000000001</v>
      </c>
      <c r="N37" s="4" t="s">
        <v>128</v>
      </c>
      <c r="O37" s="169">
        <v>3.875E-2</v>
      </c>
      <c r="P37" s="170">
        <v>4.5710000000000001E-2</v>
      </c>
      <c r="R37" s="156">
        <v>4600000</v>
      </c>
      <c r="S37" s="171">
        <v>3.6469999999999998</v>
      </c>
      <c r="T37" s="173">
        <v>96.106999999999999</v>
      </c>
      <c r="U37" s="156">
        <v>16123.102999999999</v>
      </c>
      <c r="W37" s="4" t="s">
        <v>36</v>
      </c>
      <c r="X37" s="170">
        <v>3.6000000000000001E-5</v>
      </c>
      <c r="Y37" s="170">
        <v>2.5547804617599399E-2</v>
      </c>
      <c r="Z37" s="170">
        <v>6.6450030122156296E-3</v>
      </c>
    </row>
    <row r="38" spans="1:26">
      <c r="A38" s="4">
        <v>288</v>
      </c>
      <c r="B38" s="4">
        <v>288</v>
      </c>
      <c r="C38" s="4" t="s">
        <v>121</v>
      </c>
      <c r="D38" s="4" t="s">
        <v>122</v>
      </c>
      <c r="E38" s="4" t="s">
        <v>123</v>
      </c>
      <c r="F38" s="4" t="s">
        <v>29</v>
      </c>
      <c r="G38" s="4" t="s">
        <v>124</v>
      </c>
      <c r="H38" s="4" t="s">
        <v>125</v>
      </c>
      <c r="I38" s="4" t="s">
        <v>31</v>
      </c>
      <c r="J38" s="4" t="s">
        <v>126</v>
      </c>
      <c r="K38" s="4" t="s">
        <v>127</v>
      </c>
      <c r="L38" s="4" t="s">
        <v>34</v>
      </c>
      <c r="M38" s="156">
        <v>7.9470000000000001</v>
      </c>
      <c r="N38" s="4" t="s">
        <v>128</v>
      </c>
      <c r="O38" s="169">
        <v>3.875E-2</v>
      </c>
      <c r="P38" s="170">
        <v>4.5710000000000001E-2</v>
      </c>
      <c r="R38" s="156">
        <v>925000</v>
      </c>
      <c r="S38" s="171">
        <v>3.6469999999999998</v>
      </c>
      <c r="T38" s="173">
        <v>96.106999999999999</v>
      </c>
      <c r="U38" s="156">
        <v>3242.1460000000002</v>
      </c>
      <c r="W38" s="4" t="s">
        <v>36</v>
      </c>
      <c r="X38" s="170">
        <v>6.9999999999999999E-6</v>
      </c>
      <c r="Y38" s="170">
        <v>5.1373302763650999E-3</v>
      </c>
      <c r="Z38" s="170">
        <v>1.3362234318042301E-3</v>
      </c>
    </row>
    <row r="39" spans="1:26">
      <c r="A39" s="4">
        <v>288</v>
      </c>
      <c r="B39" s="4">
        <v>288</v>
      </c>
      <c r="C39" s="4" t="s">
        <v>121</v>
      </c>
      <c r="D39" s="4" t="s">
        <v>129</v>
      </c>
      <c r="E39" s="4" t="s">
        <v>130</v>
      </c>
      <c r="F39" s="4" t="s">
        <v>29</v>
      </c>
      <c r="G39" s="4" t="s">
        <v>124</v>
      </c>
      <c r="H39" s="4" t="s">
        <v>125</v>
      </c>
      <c r="I39" s="4" t="s">
        <v>131</v>
      </c>
      <c r="J39" s="4" t="s">
        <v>132</v>
      </c>
      <c r="K39" s="4" t="s">
        <v>33</v>
      </c>
      <c r="L39" s="4" t="s">
        <v>34</v>
      </c>
      <c r="M39" s="156">
        <v>7.2709999999999999</v>
      </c>
      <c r="N39" s="4" t="s">
        <v>133</v>
      </c>
      <c r="O39" s="169">
        <v>3.3750000000000002E-2</v>
      </c>
      <c r="P39" s="170">
        <v>4.5440000000000001E-2</v>
      </c>
      <c r="R39" s="156">
        <v>500000</v>
      </c>
      <c r="S39" s="171">
        <v>3.6469999999999998</v>
      </c>
      <c r="T39" s="173">
        <v>92.400999999999996</v>
      </c>
      <c r="U39" s="156">
        <v>1684.925</v>
      </c>
      <c r="W39" s="4" t="s">
        <v>36</v>
      </c>
      <c r="X39" s="170">
        <v>5.0000000000000004E-6</v>
      </c>
      <c r="Y39" s="170">
        <v>2.6698418060180202E-3</v>
      </c>
      <c r="Z39" s="170">
        <v>6.9442784257506903E-4</v>
      </c>
    </row>
    <row r="40" spans="1:26">
      <c r="A40" s="4">
        <v>288</v>
      </c>
      <c r="B40" s="4">
        <v>1451</v>
      </c>
      <c r="C40" s="4" t="s">
        <v>37</v>
      </c>
      <c r="D40" s="4" t="s">
        <v>52</v>
      </c>
      <c r="E40" s="4" t="s">
        <v>53</v>
      </c>
      <c r="F40" s="4" t="s">
        <v>40</v>
      </c>
      <c r="G40" s="4" t="s">
        <v>30</v>
      </c>
      <c r="H40" s="4" t="s">
        <v>30</v>
      </c>
      <c r="I40" s="4" t="s">
        <v>41</v>
      </c>
      <c r="J40" s="4" t="s">
        <v>42</v>
      </c>
      <c r="K40" s="4" t="s">
        <v>43</v>
      </c>
      <c r="L40" s="4" t="s">
        <v>44</v>
      </c>
      <c r="M40" s="156">
        <v>0.34200000000000003</v>
      </c>
      <c r="N40" s="4" t="s">
        <v>54</v>
      </c>
      <c r="O40" s="169">
        <v>0</v>
      </c>
      <c r="P40" s="170">
        <v>4.2909999999999997E-2</v>
      </c>
      <c r="R40" s="156">
        <v>1480000</v>
      </c>
      <c r="S40" s="171">
        <v>1</v>
      </c>
      <c r="T40" s="173">
        <v>98.56</v>
      </c>
      <c r="U40" s="156">
        <v>1458.6880000000001</v>
      </c>
      <c r="W40" s="4" t="s">
        <v>36</v>
      </c>
      <c r="X40" s="170">
        <v>1.06E-4</v>
      </c>
      <c r="Y40" s="170">
        <v>5.2140377357643798E-2</v>
      </c>
      <c r="Z40" s="170">
        <v>2.8641068017276599E-2</v>
      </c>
    </row>
    <row r="41" spans="1:26">
      <c r="A41" s="4">
        <v>288</v>
      </c>
      <c r="B41" s="4">
        <v>1451</v>
      </c>
      <c r="C41" s="4" t="s">
        <v>61</v>
      </c>
      <c r="D41" s="4" t="s">
        <v>62</v>
      </c>
      <c r="E41" s="4" t="s">
        <v>63</v>
      </c>
      <c r="F41" s="4" t="s">
        <v>64</v>
      </c>
      <c r="G41" s="4" t="s">
        <v>30</v>
      </c>
      <c r="H41" s="4" t="s">
        <v>30</v>
      </c>
      <c r="I41" s="4" t="s">
        <v>65</v>
      </c>
      <c r="J41" s="4" t="s">
        <v>42</v>
      </c>
      <c r="K41" s="4" t="s">
        <v>43</v>
      </c>
      <c r="L41" s="4" t="s">
        <v>44</v>
      </c>
      <c r="M41" s="156">
        <v>2.3860000000000001</v>
      </c>
      <c r="N41" s="4" t="s">
        <v>66</v>
      </c>
      <c r="O41" s="169">
        <v>7.4999999999999997E-3</v>
      </c>
      <c r="P41" s="170">
        <v>1.7919999999999998E-2</v>
      </c>
      <c r="R41" s="156">
        <v>1030000</v>
      </c>
      <c r="S41" s="171">
        <v>1</v>
      </c>
      <c r="T41" s="173">
        <v>114.17</v>
      </c>
      <c r="U41" s="156">
        <v>1175.951</v>
      </c>
      <c r="W41" s="4" t="s">
        <v>36</v>
      </c>
      <c r="X41" s="170">
        <v>4.6E-5</v>
      </c>
      <c r="Y41" s="170">
        <v>4.2034025709472199E-2</v>
      </c>
      <c r="Z41" s="170">
        <v>2.30895795235063E-2</v>
      </c>
    </row>
    <row r="42" spans="1:26">
      <c r="A42" s="4">
        <v>288</v>
      </c>
      <c r="B42" s="4">
        <v>1451</v>
      </c>
      <c r="C42" s="4" t="s">
        <v>61</v>
      </c>
      <c r="D42" s="4" t="s">
        <v>67</v>
      </c>
      <c r="E42" s="4" t="s">
        <v>68</v>
      </c>
      <c r="F42" s="4" t="s">
        <v>64</v>
      </c>
      <c r="G42" s="4" t="s">
        <v>30</v>
      </c>
      <c r="H42" s="4" t="s">
        <v>30</v>
      </c>
      <c r="I42" s="4" t="s">
        <v>65</v>
      </c>
      <c r="J42" s="4" t="s">
        <v>42</v>
      </c>
      <c r="K42" s="4" t="s">
        <v>43</v>
      </c>
      <c r="L42" s="4" t="s">
        <v>44</v>
      </c>
      <c r="M42" s="156">
        <v>0.82699999999999996</v>
      </c>
      <c r="N42" s="4" t="s">
        <v>69</v>
      </c>
      <c r="O42" s="169">
        <v>7.4999999999999997E-3</v>
      </c>
      <c r="P42" s="170">
        <v>1.5730000000000001E-2</v>
      </c>
      <c r="R42" s="156">
        <v>898848</v>
      </c>
      <c r="S42" s="171">
        <v>1</v>
      </c>
      <c r="T42" s="173">
        <v>115.16</v>
      </c>
      <c r="U42" s="156">
        <v>1035.1130000000001</v>
      </c>
      <c r="W42" s="4" t="s">
        <v>36</v>
      </c>
      <c r="X42" s="170">
        <v>4.1E-5</v>
      </c>
      <c r="Y42" s="170">
        <v>3.6999825206959498E-2</v>
      </c>
      <c r="Z42" s="170">
        <v>2.0324258551314801E-2</v>
      </c>
    </row>
    <row r="43" spans="1:26">
      <c r="A43" s="4">
        <v>288</v>
      </c>
      <c r="B43" s="4">
        <v>1451</v>
      </c>
      <c r="C43" s="4" t="s">
        <v>61</v>
      </c>
      <c r="D43" s="4" t="s">
        <v>70</v>
      </c>
      <c r="E43" s="4" t="s">
        <v>71</v>
      </c>
      <c r="F43" s="4" t="s">
        <v>64</v>
      </c>
      <c r="G43" s="4" t="s">
        <v>30</v>
      </c>
      <c r="H43" s="4" t="s">
        <v>30</v>
      </c>
      <c r="I43" s="4" t="s">
        <v>65</v>
      </c>
      <c r="J43" s="4" t="s">
        <v>42</v>
      </c>
      <c r="K43" s="4" t="s">
        <v>43</v>
      </c>
      <c r="L43" s="4" t="s">
        <v>44</v>
      </c>
      <c r="M43" s="156">
        <v>6.89</v>
      </c>
      <c r="N43" s="4" t="s">
        <v>72</v>
      </c>
      <c r="O43" s="169">
        <v>1E-3</v>
      </c>
      <c r="P43" s="170">
        <v>1.8689999999999998E-2</v>
      </c>
      <c r="R43" s="156">
        <v>275000</v>
      </c>
      <c r="S43" s="171">
        <v>1</v>
      </c>
      <c r="T43" s="173">
        <v>102.23</v>
      </c>
      <c r="U43" s="156">
        <v>281.13200000000001</v>
      </c>
      <c r="W43" s="4" t="s">
        <v>36</v>
      </c>
      <c r="X43" s="170">
        <v>9.0000000000000002E-6</v>
      </c>
      <c r="Y43" s="170">
        <v>1.00489992633776E-2</v>
      </c>
      <c r="Z43" s="170">
        <v>5.5199844342086798E-3</v>
      </c>
    </row>
    <row r="44" spans="1:26">
      <c r="A44" s="4">
        <v>288</v>
      </c>
      <c r="B44" s="4">
        <v>1451</v>
      </c>
      <c r="C44" s="4" t="s">
        <v>73</v>
      </c>
      <c r="D44" s="4" t="s">
        <v>74</v>
      </c>
      <c r="E44" s="4" t="s">
        <v>75</v>
      </c>
      <c r="F44" s="4" t="s">
        <v>76</v>
      </c>
      <c r="G44" s="4" t="s">
        <v>30</v>
      </c>
      <c r="H44" s="4" t="s">
        <v>30</v>
      </c>
      <c r="I44" s="4" t="s">
        <v>65</v>
      </c>
      <c r="J44" s="4" t="s">
        <v>42</v>
      </c>
      <c r="K44" s="4" t="s">
        <v>43</v>
      </c>
      <c r="L44" s="4" t="s">
        <v>44</v>
      </c>
      <c r="M44" s="156">
        <v>3.6040000000000001</v>
      </c>
      <c r="N44" s="4" t="s">
        <v>77</v>
      </c>
      <c r="O44" s="169">
        <v>2.2499999999999999E-2</v>
      </c>
      <c r="P44" s="170">
        <v>4.2549999999999998E-2</v>
      </c>
      <c r="R44" s="156">
        <v>544000</v>
      </c>
      <c r="S44" s="171">
        <v>1</v>
      </c>
      <c r="T44" s="173">
        <v>93.76</v>
      </c>
      <c r="U44" s="156">
        <v>510.05399999999997</v>
      </c>
      <c r="W44" s="4" t="s">
        <v>36</v>
      </c>
      <c r="X44" s="170">
        <v>1.5999999999999999E-5</v>
      </c>
      <c r="Y44" s="170">
        <v>1.8231745848959199E-2</v>
      </c>
      <c r="Z44" s="170">
        <v>1.00148234323661E-2</v>
      </c>
    </row>
    <row r="45" spans="1:26">
      <c r="A45" s="4">
        <v>288</v>
      </c>
      <c r="B45" s="4">
        <v>1451</v>
      </c>
      <c r="C45" s="4" t="s">
        <v>73</v>
      </c>
      <c r="D45" s="4" t="s">
        <v>78</v>
      </c>
      <c r="E45" s="4" t="s">
        <v>79</v>
      </c>
      <c r="F45" s="4" t="s">
        <v>76</v>
      </c>
      <c r="G45" s="4" t="s">
        <v>30</v>
      </c>
      <c r="H45" s="4" t="s">
        <v>30</v>
      </c>
      <c r="I45" s="4" t="s">
        <v>65</v>
      </c>
      <c r="J45" s="4" t="s">
        <v>42</v>
      </c>
      <c r="K45" s="4" t="s">
        <v>43</v>
      </c>
      <c r="L45" s="4" t="s">
        <v>44</v>
      </c>
      <c r="M45" s="156">
        <v>1.1479999999999999</v>
      </c>
      <c r="N45" s="4" t="s">
        <v>80</v>
      </c>
      <c r="O45" s="169">
        <v>5.0000000000000001E-3</v>
      </c>
      <c r="P45" s="170">
        <v>4.206E-2</v>
      </c>
      <c r="R45" s="156">
        <v>2593685</v>
      </c>
      <c r="S45" s="171">
        <v>1</v>
      </c>
      <c r="T45" s="173">
        <v>96.32</v>
      </c>
      <c r="U45" s="156">
        <v>2498.2370000000001</v>
      </c>
      <c r="W45" s="4" t="s">
        <v>36</v>
      </c>
      <c r="X45" s="170">
        <v>9.2999999999999997E-5</v>
      </c>
      <c r="Y45" s="170">
        <v>8.9298767349738906E-2</v>
      </c>
      <c r="Z45" s="170">
        <v>4.9052427296019101E-2</v>
      </c>
    </row>
    <row r="46" spans="1:26">
      <c r="A46" s="4">
        <v>288</v>
      </c>
      <c r="B46" s="4">
        <v>1451</v>
      </c>
      <c r="C46" s="4" t="s">
        <v>73</v>
      </c>
      <c r="D46" s="4" t="s">
        <v>81</v>
      </c>
      <c r="E46" s="4" t="s">
        <v>82</v>
      </c>
      <c r="F46" s="4" t="s">
        <v>76</v>
      </c>
      <c r="G46" s="4" t="s">
        <v>30</v>
      </c>
      <c r="H46" s="4" t="s">
        <v>30</v>
      </c>
      <c r="I46" s="4" t="s">
        <v>65</v>
      </c>
      <c r="J46" s="4" t="s">
        <v>42</v>
      </c>
      <c r="K46" s="4" t="s">
        <v>43</v>
      </c>
      <c r="L46" s="4" t="s">
        <v>44</v>
      </c>
      <c r="M46" s="156">
        <v>8.3070000000000004</v>
      </c>
      <c r="N46" s="4" t="s">
        <v>83</v>
      </c>
      <c r="O46" s="169">
        <v>0.04</v>
      </c>
      <c r="P46" s="170">
        <v>4.48E-2</v>
      </c>
      <c r="R46" s="156">
        <v>254000</v>
      </c>
      <c r="S46" s="171">
        <v>1</v>
      </c>
      <c r="T46" s="173">
        <v>99.13</v>
      </c>
      <c r="U46" s="156">
        <v>251.79</v>
      </c>
      <c r="W46" s="4" t="s">
        <v>36</v>
      </c>
      <c r="X46" s="170">
        <v>1.1E-5</v>
      </c>
      <c r="Y46" s="170">
        <v>9.00016730305357E-3</v>
      </c>
      <c r="Z46" s="170">
        <v>4.9438538222592197E-3</v>
      </c>
    </row>
    <row r="47" spans="1:26">
      <c r="A47" s="4">
        <v>288</v>
      </c>
      <c r="B47" s="4">
        <v>1451</v>
      </c>
      <c r="C47" s="4" t="s">
        <v>73</v>
      </c>
      <c r="D47" s="4" t="s">
        <v>84</v>
      </c>
      <c r="E47" s="4" t="s">
        <v>85</v>
      </c>
      <c r="F47" s="4" t="s">
        <v>76</v>
      </c>
      <c r="G47" s="4" t="s">
        <v>30</v>
      </c>
      <c r="H47" s="4" t="s">
        <v>30</v>
      </c>
      <c r="I47" s="4" t="s">
        <v>65</v>
      </c>
      <c r="J47" s="4" t="s">
        <v>42</v>
      </c>
      <c r="K47" s="4" t="s">
        <v>43</v>
      </c>
      <c r="L47" s="4" t="s">
        <v>44</v>
      </c>
      <c r="M47" s="156">
        <v>14.43</v>
      </c>
      <c r="N47" s="4" t="s">
        <v>86</v>
      </c>
      <c r="O47" s="169">
        <v>3.7499999999999999E-2</v>
      </c>
      <c r="P47" s="170">
        <v>4.7570000000000001E-2</v>
      </c>
      <c r="R47" s="156">
        <v>650810</v>
      </c>
      <c r="S47" s="171">
        <v>1</v>
      </c>
      <c r="T47" s="173">
        <v>89.17</v>
      </c>
      <c r="U47" s="156">
        <v>580.327</v>
      </c>
      <c r="W47" s="4" t="s">
        <v>36</v>
      </c>
      <c r="X47" s="170">
        <v>2.5000000000000001E-5</v>
      </c>
      <c r="Y47" s="170">
        <v>2.0743629353030899E-2</v>
      </c>
      <c r="Z47" s="170">
        <v>1.13946183233412E-2</v>
      </c>
    </row>
    <row r="48" spans="1:26">
      <c r="A48" s="4">
        <v>288</v>
      </c>
      <c r="B48" s="4">
        <v>1451</v>
      </c>
      <c r="C48" s="4" t="s">
        <v>73</v>
      </c>
      <c r="D48" s="4" t="s">
        <v>134</v>
      </c>
      <c r="E48" s="4" t="s">
        <v>135</v>
      </c>
      <c r="F48" s="4" t="s">
        <v>76</v>
      </c>
      <c r="G48" s="4" t="s">
        <v>30</v>
      </c>
      <c r="H48" s="4" t="s">
        <v>30</v>
      </c>
      <c r="I48" s="4" t="s">
        <v>65</v>
      </c>
      <c r="J48" s="4" t="s">
        <v>42</v>
      </c>
      <c r="K48" s="4" t="s">
        <v>43</v>
      </c>
      <c r="L48" s="4" t="s">
        <v>44</v>
      </c>
      <c r="M48" s="156">
        <v>0.66</v>
      </c>
      <c r="N48" s="4" t="s">
        <v>136</v>
      </c>
      <c r="O48" s="169">
        <v>1.7500000000000002E-2</v>
      </c>
      <c r="P48" s="170">
        <v>4.147E-2</v>
      </c>
      <c r="R48" s="156">
        <v>1077647</v>
      </c>
      <c r="S48" s="171">
        <v>1</v>
      </c>
      <c r="T48" s="173">
        <v>99.05</v>
      </c>
      <c r="U48" s="156">
        <v>1067.4090000000001</v>
      </c>
      <c r="W48" s="4" t="s">
        <v>36</v>
      </c>
      <c r="X48" s="170">
        <v>4.5000000000000003E-5</v>
      </c>
      <c r="Y48" s="170">
        <v>3.8154236194832998E-2</v>
      </c>
      <c r="Z48" s="170">
        <v>2.09583844494989E-2</v>
      </c>
    </row>
    <row r="49" spans="1:26">
      <c r="A49" s="4">
        <v>288</v>
      </c>
      <c r="B49" s="4">
        <v>1451</v>
      </c>
      <c r="C49" s="4" t="s">
        <v>73</v>
      </c>
      <c r="D49" s="4" t="s">
        <v>87</v>
      </c>
      <c r="E49" s="4" t="s">
        <v>88</v>
      </c>
      <c r="F49" s="4" t="s">
        <v>76</v>
      </c>
      <c r="G49" s="4" t="s">
        <v>30</v>
      </c>
      <c r="H49" s="4" t="s">
        <v>30</v>
      </c>
      <c r="I49" s="4" t="s">
        <v>65</v>
      </c>
      <c r="J49" s="4" t="s">
        <v>42</v>
      </c>
      <c r="K49" s="4" t="s">
        <v>43</v>
      </c>
      <c r="L49" s="4" t="s">
        <v>44</v>
      </c>
      <c r="M49" s="156">
        <v>11.263999999999999</v>
      </c>
      <c r="N49" s="4" t="s">
        <v>89</v>
      </c>
      <c r="O49" s="169">
        <v>5.5E-2</v>
      </c>
      <c r="P49" s="170">
        <v>4.6489999999999997E-2</v>
      </c>
      <c r="R49" s="156">
        <v>344183</v>
      </c>
      <c r="S49" s="171">
        <v>1</v>
      </c>
      <c r="T49" s="173">
        <v>114.94</v>
      </c>
      <c r="U49" s="156">
        <v>395.60399999999998</v>
      </c>
      <c r="W49" s="4" t="s">
        <v>36</v>
      </c>
      <c r="X49" s="170">
        <v>1.4E-5</v>
      </c>
      <c r="Y49" s="170">
        <v>1.41407475253096E-2</v>
      </c>
      <c r="Z49" s="170">
        <v>7.7676099064164497E-3</v>
      </c>
    </row>
    <row r="50" spans="1:26">
      <c r="A50" s="4">
        <v>288</v>
      </c>
      <c r="B50" s="4">
        <v>1451</v>
      </c>
      <c r="C50" s="4" t="s">
        <v>61</v>
      </c>
      <c r="D50" s="4" t="s">
        <v>90</v>
      </c>
      <c r="E50" s="4" t="s">
        <v>91</v>
      </c>
      <c r="F50" s="4" t="s">
        <v>64</v>
      </c>
      <c r="G50" s="4" t="s">
        <v>30</v>
      </c>
      <c r="H50" s="4" t="s">
        <v>30</v>
      </c>
      <c r="I50" s="4" t="s">
        <v>65</v>
      </c>
      <c r="J50" s="4" t="s">
        <v>42</v>
      </c>
      <c r="K50" s="4" t="s">
        <v>43</v>
      </c>
      <c r="L50" s="4" t="s">
        <v>44</v>
      </c>
      <c r="M50" s="156">
        <v>4.3600000000000003</v>
      </c>
      <c r="N50" s="4" t="s">
        <v>92</v>
      </c>
      <c r="O50" s="169">
        <v>5.0000000000000001E-3</v>
      </c>
      <c r="P50" s="170">
        <v>1.7690000000000001E-2</v>
      </c>
      <c r="R50" s="156">
        <v>3838000</v>
      </c>
      <c r="S50" s="171">
        <v>1</v>
      </c>
      <c r="T50" s="173">
        <v>109.52</v>
      </c>
      <c r="U50" s="156">
        <v>4203.3779999999997</v>
      </c>
      <c r="W50" s="4" t="s">
        <v>36</v>
      </c>
      <c r="X50" s="170">
        <v>1.3999999999999999E-4</v>
      </c>
      <c r="Y50" s="170">
        <v>0.150248507042402</v>
      </c>
      <c r="Z50" s="170">
        <v>8.2532538653842802E-2</v>
      </c>
    </row>
    <row r="51" spans="1:26">
      <c r="A51" s="4">
        <v>288</v>
      </c>
      <c r="B51" s="4">
        <v>1451</v>
      </c>
      <c r="C51" s="4" t="s">
        <v>61</v>
      </c>
      <c r="D51" s="4" t="s">
        <v>93</v>
      </c>
      <c r="E51" s="4" t="s">
        <v>94</v>
      </c>
      <c r="F51" s="4" t="s">
        <v>64</v>
      </c>
      <c r="G51" s="4" t="s">
        <v>30</v>
      </c>
      <c r="H51" s="4" t="s">
        <v>30</v>
      </c>
      <c r="I51" s="4" t="s">
        <v>65</v>
      </c>
      <c r="J51" s="4" t="s">
        <v>42</v>
      </c>
      <c r="K51" s="4" t="s">
        <v>43</v>
      </c>
      <c r="L51" s="4" t="s">
        <v>44</v>
      </c>
      <c r="M51" s="156">
        <v>1.5740000000000001</v>
      </c>
      <c r="N51" s="4" t="s">
        <v>95</v>
      </c>
      <c r="O51" s="169">
        <v>1E-3</v>
      </c>
      <c r="P51" s="170">
        <v>1.7819999999999999E-2</v>
      </c>
      <c r="R51" s="156">
        <v>2621081</v>
      </c>
      <c r="S51" s="171">
        <v>1</v>
      </c>
      <c r="T51" s="173">
        <v>112.4</v>
      </c>
      <c r="U51" s="156">
        <v>2946.0949999999998</v>
      </c>
      <c r="W51" s="4" t="s">
        <v>36</v>
      </c>
      <c r="X51" s="170">
        <v>1.2999999999999999E-4</v>
      </c>
      <c r="Y51" s="170">
        <v>0.105307308571569</v>
      </c>
      <c r="Z51" s="170">
        <v>5.7846029130674499E-2</v>
      </c>
    </row>
    <row r="52" spans="1:26">
      <c r="A52" s="4">
        <v>288</v>
      </c>
      <c r="B52" s="4">
        <v>1451</v>
      </c>
      <c r="C52" s="4" t="s">
        <v>61</v>
      </c>
      <c r="D52" s="4" t="s">
        <v>96</v>
      </c>
      <c r="E52" s="4" t="s">
        <v>97</v>
      </c>
      <c r="F52" s="4" t="s">
        <v>64</v>
      </c>
      <c r="G52" s="4" t="s">
        <v>30</v>
      </c>
      <c r="H52" s="4" t="s">
        <v>30</v>
      </c>
      <c r="I52" s="4" t="s">
        <v>65</v>
      </c>
      <c r="J52" s="4" t="s">
        <v>42</v>
      </c>
      <c r="K52" s="4" t="s">
        <v>43</v>
      </c>
      <c r="L52" s="4" t="s">
        <v>44</v>
      </c>
      <c r="M52" s="156">
        <v>3.7639999999999998</v>
      </c>
      <c r="N52" s="4" t="s">
        <v>98</v>
      </c>
      <c r="O52" s="169">
        <v>1.0999999999999999E-2</v>
      </c>
      <c r="P52" s="170">
        <v>1.7909999999999999E-2</v>
      </c>
      <c r="R52" s="156">
        <v>2012075</v>
      </c>
      <c r="S52" s="171">
        <v>1</v>
      </c>
      <c r="T52" s="173">
        <v>101.87</v>
      </c>
      <c r="U52" s="156">
        <v>2049.701</v>
      </c>
      <c r="W52" s="4" t="s">
        <v>36</v>
      </c>
      <c r="X52" s="170">
        <v>8.2000000000000001E-5</v>
      </c>
      <c r="Y52" s="170">
        <v>7.3265957704879606E-2</v>
      </c>
      <c r="Z52" s="170">
        <v>4.0245494649622703E-2</v>
      </c>
    </row>
    <row r="53" spans="1:26">
      <c r="A53" s="4">
        <v>288</v>
      </c>
      <c r="B53" s="4">
        <v>1451</v>
      </c>
      <c r="C53" s="4" t="s">
        <v>73</v>
      </c>
      <c r="D53" s="4" t="s">
        <v>99</v>
      </c>
      <c r="E53" s="4" t="s">
        <v>100</v>
      </c>
      <c r="F53" s="4" t="s">
        <v>76</v>
      </c>
      <c r="G53" s="4" t="s">
        <v>30</v>
      </c>
      <c r="H53" s="4" t="s">
        <v>30</v>
      </c>
      <c r="I53" s="4" t="s">
        <v>65</v>
      </c>
      <c r="J53" s="4" t="s">
        <v>42</v>
      </c>
      <c r="K53" s="4" t="s">
        <v>43</v>
      </c>
      <c r="L53" s="4" t="s">
        <v>44</v>
      </c>
      <c r="M53" s="156">
        <v>5.0789999999999997</v>
      </c>
      <c r="N53" s="4" t="s">
        <v>101</v>
      </c>
      <c r="O53" s="169">
        <v>0.01</v>
      </c>
      <c r="P53" s="170">
        <v>4.2810000000000001E-2</v>
      </c>
      <c r="R53" s="156">
        <v>7260000</v>
      </c>
      <c r="S53" s="171">
        <v>1</v>
      </c>
      <c r="T53" s="173">
        <v>85.63</v>
      </c>
      <c r="U53" s="156">
        <v>6216.7380000000003</v>
      </c>
      <c r="W53" s="4" t="s">
        <v>36</v>
      </c>
      <c r="X53" s="170">
        <v>1.92E-4</v>
      </c>
      <c r="Y53" s="170">
        <v>0.22221548765301699</v>
      </c>
      <c r="Z53" s="170">
        <v>0.122064496248401</v>
      </c>
    </row>
    <row r="54" spans="1:26">
      <c r="A54" s="4">
        <v>288</v>
      </c>
      <c r="B54" s="4">
        <v>1451</v>
      </c>
      <c r="C54" s="4" t="s">
        <v>73</v>
      </c>
      <c r="D54" s="4" t="s">
        <v>102</v>
      </c>
      <c r="E54" s="4" t="s">
        <v>103</v>
      </c>
      <c r="F54" s="4" t="s">
        <v>76</v>
      </c>
      <c r="G54" s="4" t="s">
        <v>30</v>
      </c>
      <c r="H54" s="4" t="s">
        <v>30</v>
      </c>
      <c r="I54" s="4" t="s">
        <v>65</v>
      </c>
      <c r="J54" s="4" t="s">
        <v>42</v>
      </c>
      <c r="K54" s="4" t="s">
        <v>43</v>
      </c>
      <c r="L54" s="4" t="s">
        <v>44</v>
      </c>
      <c r="M54" s="156">
        <v>6.9249999999999998</v>
      </c>
      <c r="N54" s="4" t="s">
        <v>104</v>
      </c>
      <c r="O54" s="169">
        <v>1.2999999999999999E-2</v>
      </c>
      <c r="P54" s="170">
        <v>4.3479999999999998E-2</v>
      </c>
      <c r="R54" s="156">
        <v>3555000</v>
      </c>
      <c r="S54" s="171">
        <v>1</v>
      </c>
      <c r="T54" s="173">
        <v>82.08</v>
      </c>
      <c r="U54" s="156">
        <v>2917.944</v>
      </c>
      <c r="W54" s="4" t="s">
        <v>36</v>
      </c>
      <c r="X54" s="170">
        <v>1.0900000000000001E-4</v>
      </c>
      <c r="Y54" s="170">
        <v>0.104301057709718</v>
      </c>
      <c r="Z54" s="170">
        <v>5.7293288609081602E-2</v>
      </c>
    </row>
    <row r="55" spans="1:26">
      <c r="A55" s="4">
        <v>288</v>
      </c>
      <c r="B55" s="4">
        <v>1451</v>
      </c>
      <c r="C55" s="4" t="s">
        <v>121</v>
      </c>
      <c r="D55" s="4" t="s">
        <v>122</v>
      </c>
      <c r="E55" s="4" t="s">
        <v>123</v>
      </c>
      <c r="F55" s="4" t="s">
        <v>29</v>
      </c>
      <c r="G55" s="4" t="s">
        <v>124</v>
      </c>
      <c r="H55" s="4" t="s">
        <v>125</v>
      </c>
      <c r="I55" s="4" t="s">
        <v>31</v>
      </c>
      <c r="J55" s="4" t="s">
        <v>126</v>
      </c>
      <c r="K55" s="4" t="s">
        <v>127</v>
      </c>
      <c r="L55" s="4" t="s">
        <v>34</v>
      </c>
      <c r="M55" s="156">
        <v>7.9470000000000001</v>
      </c>
      <c r="N55" s="4" t="s">
        <v>128</v>
      </c>
      <c r="O55" s="169">
        <v>3.875E-2</v>
      </c>
      <c r="P55" s="170">
        <v>4.5710000000000001E-2</v>
      </c>
      <c r="R55" s="156">
        <v>110700</v>
      </c>
      <c r="S55" s="171">
        <v>3.6469999999999998</v>
      </c>
      <c r="T55" s="173">
        <v>96.106999999999999</v>
      </c>
      <c r="U55" s="156">
        <v>388.00599999999997</v>
      </c>
      <c r="W55" s="4" t="s">
        <v>36</v>
      </c>
      <c r="X55" s="170">
        <v>9.9999999999999995E-7</v>
      </c>
      <c r="Y55" s="170">
        <v>1.38691602060373E-2</v>
      </c>
      <c r="Z55" s="170">
        <v>7.6184251233729298E-3</v>
      </c>
    </row>
    <row r="56" spans="1:26">
      <c r="A56" s="4">
        <v>288</v>
      </c>
      <c r="B56" s="4">
        <v>1452</v>
      </c>
      <c r="C56" s="4" t="s">
        <v>37</v>
      </c>
      <c r="D56" s="4" t="s">
        <v>38</v>
      </c>
      <c r="E56" s="4" t="s">
        <v>39</v>
      </c>
      <c r="F56" s="4" t="s">
        <v>40</v>
      </c>
      <c r="G56" s="4" t="s">
        <v>30</v>
      </c>
      <c r="H56" s="4" t="s">
        <v>30</v>
      </c>
      <c r="I56" s="4" t="s">
        <v>41</v>
      </c>
      <c r="J56" s="4" t="s">
        <v>42</v>
      </c>
      <c r="K56" s="4" t="s">
        <v>43</v>
      </c>
      <c r="L56" s="4" t="s">
        <v>44</v>
      </c>
      <c r="M56" s="156">
        <v>0.91800000000000004</v>
      </c>
      <c r="N56" s="4" t="s">
        <v>45</v>
      </c>
      <c r="O56" s="169">
        <v>0</v>
      </c>
      <c r="P56" s="170">
        <v>4.2049999999999997E-2</v>
      </c>
      <c r="R56" s="156">
        <v>5500000</v>
      </c>
      <c r="S56" s="171">
        <v>1</v>
      </c>
      <c r="T56" s="173">
        <v>96.29</v>
      </c>
      <c r="U56" s="156">
        <v>5295.95</v>
      </c>
      <c r="W56" s="4" t="s">
        <v>36</v>
      </c>
      <c r="X56" s="170">
        <v>3.9300000000000001E-4</v>
      </c>
      <c r="Y56" s="170">
        <v>0.48473819954304598</v>
      </c>
      <c r="Z56" s="170">
        <v>8.8276200055102894E-2</v>
      </c>
    </row>
    <row r="57" spans="1:26">
      <c r="A57" s="4">
        <v>288</v>
      </c>
      <c r="B57" s="4">
        <v>1452</v>
      </c>
      <c r="C57" s="4" t="s">
        <v>37</v>
      </c>
      <c r="D57" s="4" t="s">
        <v>137</v>
      </c>
      <c r="E57" s="4" t="s">
        <v>138</v>
      </c>
      <c r="F57" s="4" t="s">
        <v>40</v>
      </c>
      <c r="G57" s="4" t="s">
        <v>30</v>
      </c>
      <c r="H57" s="4" t="s">
        <v>30</v>
      </c>
      <c r="I57" s="4" t="s">
        <v>41</v>
      </c>
      <c r="J57" s="4" t="s">
        <v>42</v>
      </c>
      <c r="K57" s="4" t="s">
        <v>43</v>
      </c>
      <c r="L57" s="4" t="s">
        <v>44</v>
      </c>
      <c r="M57" s="156">
        <v>0.84099999999999997</v>
      </c>
      <c r="N57" s="4" t="s">
        <v>139</v>
      </c>
      <c r="O57" s="169">
        <v>0</v>
      </c>
      <c r="P57" s="170">
        <v>4.2099999999999999E-2</v>
      </c>
      <c r="R57" s="156">
        <v>940000</v>
      </c>
      <c r="S57" s="171">
        <v>1</v>
      </c>
      <c r="T57" s="173">
        <v>96.58</v>
      </c>
      <c r="U57" s="156">
        <v>907.85199999999998</v>
      </c>
      <c r="W57" s="4" t="s">
        <v>36</v>
      </c>
      <c r="X57" s="170">
        <v>6.7000000000000002E-5</v>
      </c>
      <c r="Y57" s="170">
        <v>8.3095675739301406E-2</v>
      </c>
      <c r="Z57" s="170">
        <v>1.5132643769753399E-2</v>
      </c>
    </row>
    <row r="58" spans="1:26">
      <c r="A58" s="4">
        <v>288</v>
      </c>
      <c r="B58" s="4">
        <v>1452</v>
      </c>
      <c r="C58" s="4" t="s">
        <v>37</v>
      </c>
      <c r="D58" s="4" t="s">
        <v>52</v>
      </c>
      <c r="E58" s="4" t="s">
        <v>53</v>
      </c>
      <c r="F58" s="4" t="s">
        <v>40</v>
      </c>
      <c r="G58" s="4" t="s">
        <v>30</v>
      </c>
      <c r="H58" s="4" t="s">
        <v>30</v>
      </c>
      <c r="I58" s="4" t="s">
        <v>41</v>
      </c>
      <c r="J58" s="4" t="s">
        <v>42</v>
      </c>
      <c r="K58" s="4" t="s">
        <v>43</v>
      </c>
      <c r="L58" s="4" t="s">
        <v>44</v>
      </c>
      <c r="M58" s="156">
        <v>0.34200000000000003</v>
      </c>
      <c r="N58" s="4" t="s">
        <v>54</v>
      </c>
      <c r="O58" s="169">
        <v>0</v>
      </c>
      <c r="P58" s="170">
        <v>4.2909999999999997E-2</v>
      </c>
      <c r="R58" s="156">
        <v>1800000</v>
      </c>
      <c r="S58" s="171">
        <v>1</v>
      </c>
      <c r="T58" s="173">
        <v>98.56</v>
      </c>
      <c r="U58" s="156">
        <v>1774.08</v>
      </c>
      <c r="W58" s="4" t="s">
        <v>36</v>
      </c>
      <c r="X58" s="170">
        <v>1.2899999999999999E-4</v>
      </c>
      <c r="Y58" s="170">
        <v>0.162381507575662</v>
      </c>
      <c r="Z58" s="170">
        <v>2.95714727279821E-2</v>
      </c>
    </row>
    <row r="59" spans="1:26">
      <c r="A59" s="4">
        <v>288</v>
      </c>
      <c r="B59" s="4">
        <v>1452</v>
      </c>
      <c r="C59" s="4" t="s">
        <v>37</v>
      </c>
      <c r="D59" s="4" t="s">
        <v>55</v>
      </c>
      <c r="E59" s="4" t="s">
        <v>56</v>
      </c>
      <c r="F59" s="4" t="s">
        <v>40</v>
      </c>
      <c r="G59" s="4" t="s">
        <v>30</v>
      </c>
      <c r="H59" s="4" t="s">
        <v>30</v>
      </c>
      <c r="I59" s="4" t="s">
        <v>41</v>
      </c>
      <c r="J59" s="4" t="s">
        <v>42</v>
      </c>
      <c r="K59" s="4" t="s">
        <v>43</v>
      </c>
      <c r="L59" s="4" t="s">
        <v>44</v>
      </c>
      <c r="M59" s="156">
        <v>0.41899999999999998</v>
      </c>
      <c r="N59" s="4" t="s">
        <v>57</v>
      </c>
      <c r="O59" s="169">
        <v>0</v>
      </c>
      <c r="P59" s="170">
        <v>4.2729999999999997E-2</v>
      </c>
      <c r="R59" s="156">
        <v>3000000</v>
      </c>
      <c r="S59" s="171">
        <v>1</v>
      </c>
      <c r="T59" s="173">
        <v>98.25</v>
      </c>
      <c r="U59" s="156">
        <v>2947.5</v>
      </c>
      <c r="W59" s="4" t="s">
        <v>36</v>
      </c>
      <c r="X59" s="170">
        <v>2.5000000000000001E-4</v>
      </c>
      <c r="Y59" s="170">
        <v>0.26978461714199098</v>
      </c>
      <c r="Z59" s="170">
        <v>4.91307696753965E-2</v>
      </c>
    </row>
    <row r="60" spans="1:26">
      <c r="X60" s="153"/>
    </row>
    <row r="61" spans="1:26">
      <c r="X61" s="153"/>
    </row>
    <row r="62" spans="1:26">
      <c r="X62" s="153"/>
    </row>
    <row r="63" spans="1:26">
      <c r="X63" s="153"/>
    </row>
    <row r="64" spans="1:26">
      <c r="X64" s="153"/>
    </row>
    <row r="65" spans="24:24">
      <c r="X65" s="153"/>
    </row>
    <row r="66" spans="24:24">
      <c r="X66" s="153"/>
    </row>
    <row r="67" spans="24:24">
      <c r="X67" s="153"/>
    </row>
    <row r="68" spans="24:24">
      <c r="X68" s="153"/>
    </row>
    <row r="69" spans="24:24">
      <c r="X69" s="153"/>
    </row>
    <row r="70" spans="24:24">
      <c r="X70" s="153"/>
    </row>
    <row r="71" spans="24:24">
      <c r="X71" s="153"/>
    </row>
    <row r="72" spans="24:24">
      <c r="X72" s="153"/>
    </row>
    <row r="73" spans="24:24">
      <c r="X73" s="153"/>
    </row>
    <row r="74" spans="24:24">
      <c r="X74" s="153"/>
    </row>
    <row r="75" spans="24:24">
      <c r="X75" s="153"/>
    </row>
    <row r="76" spans="24:24">
      <c r="X76" s="153"/>
    </row>
    <row r="77" spans="24:24">
      <c r="X77" s="153"/>
    </row>
    <row r="78" spans="24:24">
      <c r="X78" s="153"/>
    </row>
    <row r="79" spans="24:24">
      <c r="X79" s="153"/>
    </row>
    <row r="80" spans="24:24">
      <c r="X80" s="153"/>
    </row>
    <row r="81" spans="24:24">
      <c r="X81" s="153"/>
    </row>
    <row r="82" spans="24:24">
      <c r="X82" s="153"/>
    </row>
    <row r="83" spans="24:24">
      <c r="X83" s="153"/>
    </row>
    <row r="84" spans="24:24">
      <c r="X84" s="153"/>
    </row>
    <row r="85" spans="24:24">
      <c r="X85" s="153"/>
    </row>
    <row r="86" spans="24:24">
      <c r="X86" s="153"/>
    </row>
    <row r="87" spans="24:24">
      <c r="X87" s="153"/>
    </row>
    <row r="88" spans="24:24">
      <c r="X88" s="153"/>
    </row>
    <row r="89" spans="24:24">
      <c r="X89" s="153"/>
    </row>
    <row r="90" spans="24:24">
      <c r="X90" s="153"/>
    </row>
    <row r="91" spans="24:24">
      <c r="X91" s="153"/>
    </row>
    <row r="92" spans="24:24">
      <c r="X92" s="153"/>
    </row>
    <row r="93" spans="24:24">
      <c r="X93" s="153"/>
    </row>
    <row r="94" spans="24:24">
      <c r="X94" s="153"/>
    </row>
    <row r="95" spans="24:24">
      <c r="X95" s="153"/>
    </row>
    <row r="96" spans="24:24">
      <c r="X96" s="153"/>
    </row>
    <row r="97" spans="24:24">
      <c r="X97" s="153"/>
    </row>
    <row r="98" spans="24:24">
      <c r="X98" s="153"/>
    </row>
    <row r="99" spans="24:24">
      <c r="X99" s="153"/>
    </row>
    <row r="100" spans="24:24">
      <c r="X100" s="153"/>
    </row>
    <row r="101" spans="24:24">
      <c r="X101" s="153"/>
    </row>
    <row r="102" spans="24:24">
      <c r="X102" s="153"/>
    </row>
    <row r="103" spans="24:24">
      <c r="X103" s="153"/>
    </row>
    <row r="104" spans="24:24">
      <c r="X104" s="153"/>
    </row>
    <row r="105" spans="24:24">
      <c r="X105" s="153"/>
    </row>
    <row r="106" spans="24:24">
      <c r="X106" s="153"/>
    </row>
    <row r="107" spans="24:24">
      <c r="X107" s="153"/>
    </row>
    <row r="108" spans="24:24">
      <c r="X108" s="153"/>
    </row>
    <row r="109" spans="24:24">
      <c r="X109" s="153"/>
    </row>
    <row r="110" spans="24:24">
      <c r="X110" s="153"/>
    </row>
    <row r="111" spans="24:24">
      <c r="X111" s="153"/>
    </row>
    <row r="112" spans="24:24">
      <c r="X112" s="153"/>
    </row>
    <row r="113" spans="24:24">
      <c r="X113" s="153"/>
    </row>
    <row r="114" spans="24:24">
      <c r="X114" s="153"/>
    </row>
    <row r="115" spans="24:24">
      <c r="X115" s="153"/>
    </row>
    <row r="116" spans="24:24">
      <c r="X116" s="153"/>
    </row>
    <row r="117" spans="24:24">
      <c r="X117" s="153"/>
    </row>
    <row r="118" spans="24:24">
      <c r="X118" s="153"/>
    </row>
    <row r="119" spans="24:24">
      <c r="X119" s="153"/>
    </row>
    <row r="120" spans="24:24">
      <c r="X120" s="153"/>
    </row>
    <row r="121" spans="24:24">
      <c r="X121" s="153"/>
    </row>
    <row r="122" spans="24:24">
      <c r="X122" s="153"/>
    </row>
    <row r="123" spans="24:24">
      <c r="X123" s="153"/>
    </row>
    <row r="124" spans="24:24">
      <c r="X124" s="153"/>
    </row>
    <row r="125" spans="24:24">
      <c r="X125" s="153"/>
    </row>
    <row r="126" spans="24:24">
      <c r="X126" s="153"/>
    </row>
    <row r="127" spans="24:24">
      <c r="X127" s="153"/>
    </row>
    <row r="128" spans="24:24">
      <c r="X128" s="153"/>
    </row>
    <row r="129" spans="24:24">
      <c r="X129" s="153"/>
    </row>
    <row r="130" spans="24:24">
      <c r="X130" s="153"/>
    </row>
    <row r="131" spans="24:24">
      <c r="X131" s="153"/>
    </row>
    <row r="132" spans="24:24">
      <c r="X132" s="153"/>
    </row>
    <row r="133" spans="24:24">
      <c r="X133" s="153"/>
    </row>
    <row r="134" spans="24:24">
      <c r="X134" s="153"/>
    </row>
    <row r="135" spans="24:24">
      <c r="X135" s="153"/>
    </row>
    <row r="136" spans="24:24">
      <c r="X136" s="153"/>
    </row>
    <row r="137" spans="24:24">
      <c r="X137" s="153"/>
    </row>
    <row r="138" spans="24:24">
      <c r="X138" s="153"/>
    </row>
    <row r="139" spans="24:24">
      <c r="X139" s="153"/>
    </row>
    <row r="140" spans="24:24">
      <c r="X140" s="153"/>
    </row>
    <row r="141" spans="24:24">
      <c r="X141" s="153"/>
    </row>
    <row r="142" spans="24:24">
      <c r="X142" s="153"/>
    </row>
    <row r="143" spans="24:24">
      <c r="X143" s="153"/>
    </row>
    <row r="144" spans="24:24">
      <c r="X144" s="153"/>
    </row>
    <row r="145" spans="24:24">
      <c r="X145" s="153"/>
    </row>
    <row r="146" spans="24:24">
      <c r="X146" s="153"/>
    </row>
    <row r="147" spans="24:24">
      <c r="X147" s="153"/>
    </row>
    <row r="148" spans="24:24">
      <c r="X148" s="153"/>
    </row>
    <row r="149" spans="24:24">
      <c r="X149" s="153"/>
    </row>
    <row r="150" spans="24:24">
      <c r="X150" s="153"/>
    </row>
    <row r="151" spans="24:24">
      <c r="X151" s="153"/>
    </row>
    <row r="152" spans="24:24">
      <c r="X152" s="153"/>
    </row>
    <row r="153" spans="24:24">
      <c r="X153" s="153"/>
    </row>
    <row r="154" spans="24:24">
      <c r="X154" s="153"/>
    </row>
    <row r="155" spans="24:24">
      <c r="X155" s="153"/>
    </row>
    <row r="156" spans="24:24">
      <c r="X156" s="153"/>
    </row>
    <row r="157" spans="24:24">
      <c r="X157" s="153"/>
    </row>
    <row r="158" spans="24:24">
      <c r="X158" s="153"/>
    </row>
    <row r="159" spans="24:24">
      <c r="X159" s="153"/>
    </row>
    <row r="160" spans="24:24">
      <c r="X160" s="153"/>
    </row>
    <row r="161" spans="24:24">
      <c r="X161" s="153"/>
    </row>
    <row r="162" spans="24:24">
      <c r="X162" s="153"/>
    </row>
    <row r="163" spans="24:24">
      <c r="X163" s="153"/>
    </row>
    <row r="164" spans="24:24">
      <c r="X164" s="153"/>
    </row>
    <row r="165" spans="24:24">
      <c r="X165" s="153"/>
    </row>
    <row r="166" spans="24:24">
      <c r="X166" s="153"/>
    </row>
    <row r="167" spans="24:24">
      <c r="X167" s="153"/>
    </row>
    <row r="168" spans="24:24">
      <c r="X168" s="153"/>
    </row>
    <row r="169" spans="24:24">
      <c r="X169" s="153"/>
    </row>
    <row r="170" spans="24:24">
      <c r="X170" s="153"/>
    </row>
    <row r="171" spans="24:24">
      <c r="X171" s="153"/>
    </row>
    <row r="172" spans="24:24">
      <c r="X172" s="153"/>
    </row>
    <row r="173" spans="24:24">
      <c r="X173" s="153"/>
    </row>
    <row r="174" spans="24:24">
      <c r="X174" s="153"/>
    </row>
    <row r="175" spans="24:24">
      <c r="X175" s="153"/>
    </row>
    <row r="176" spans="24:24">
      <c r="X176" s="153"/>
    </row>
    <row r="177" spans="24:24">
      <c r="X177" s="153"/>
    </row>
    <row r="178" spans="24:24">
      <c r="X178" s="153"/>
    </row>
    <row r="179" spans="24:24">
      <c r="X179" s="153"/>
    </row>
    <row r="180" spans="24:24">
      <c r="X180" s="153"/>
    </row>
    <row r="181" spans="24:24">
      <c r="X181" s="153"/>
    </row>
    <row r="182" spans="24:24">
      <c r="X182" s="153"/>
    </row>
    <row r="183" spans="24:24">
      <c r="X183" s="153"/>
    </row>
    <row r="184" spans="24:24">
      <c r="X184" s="153"/>
    </row>
    <row r="185" spans="24:24">
      <c r="X185" s="153"/>
    </row>
    <row r="186" spans="24:24">
      <c r="X186" s="153"/>
    </row>
    <row r="187" spans="24:24">
      <c r="X187" s="153"/>
    </row>
    <row r="188" spans="24:24">
      <c r="X188" s="153"/>
    </row>
    <row r="189" spans="24:24">
      <c r="X189" s="153"/>
    </row>
    <row r="190" spans="24:24">
      <c r="X190" s="153"/>
    </row>
    <row r="191" spans="24:24">
      <c r="X191" s="153"/>
    </row>
    <row r="192" spans="24:24">
      <c r="X192" s="153"/>
    </row>
    <row r="193" spans="24:24">
      <c r="X193" s="153"/>
    </row>
    <row r="194" spans="24:24">
      <c r="X194" s="153"/>
    </row>
    <row r="195" spans="24:24">
      <c r="X195" s="153"/>
    </row>
    <row r="196" spans="24:24">
      <c r="X196" s="153"/>
    </row>
    <row r="197" spans="24:24">
      <c r="X197" s="153"/>
    </row>
    <row r="198" spans="24:24">
      <c r="X198" s="153"/>
    </row>
    <row r="199" spans="24:24">
      <c r="X199" s="153"/>
    </row>
    <row r="200" spans="24:24">
      <c r="X200" s="153"/>
    </row>
    <row r="201" spans="24:24">
      <c r="X201" s="153"/>
    </row>
    <row r="202" spans="24:24">
      <c r="X202" s="153"/>
    </row>
    <row r="203" spans="24:24">
      <c r="X203" s="153"/>
    </row>
    <row r="204" spans="24:24">
      <c r="X204" s="153"/>
    </row>
    <row r="205" spans="24:24">
      <c r="X205" s="153"/>
    </row>
    <row r="206" spans="24:24">
      <c r="X206" s="153"/>
    </row>
    <row r="207" spans="24:24">
      <c r="X207" s="153"/>
    </row>
    <row r="208" spans="24:24">
      <c r="X208" s="153"/>
    </row>
    <row r="209" spans="24:24">
      <c r="X209" s="153"/>
    </row>
    <row r="210" spans="24:24">
      <c r="X210" s="153"/>
    </row>
    <row r="211" spans="24:24">
      <c r="X211" s="153"/>
    </row>
    <row r="212" spans="24:24">
      <c r="X212" s="153"/>
    </row>
    <row r="213" spans="24:24">
      <c r="X213" s="153"/>
    </row>
    <row r="214" spans="24:24">
      <c r="X214" s="153"/>
    </row>
    <row r="215" spans="24:24">
      <c r="X215" s="153"/>
    </row>
    <row r="216" spans="24:24">
      <c r="X216" s="153"/>
    </row>
    <row r="217" spans="24:24">
      <c r="X217" s="153"/>
    </row>
    <row r="218" spans="24:24">
      <c r="X218" s="153"/>
    </row>
    <row r="219" spans="24:24">
      <c r="X219" s="153"/>
    </row>
    <row r="220" spans="24:24">
      <c r="X220" s="153"/>
    </row>
    <row r="221" spans="24:24">
      <c r="X221" s="153"/>
    </row>
    <row r="222" spans="24:24">
      <c r="X222" s="153"/>
    </row>
    <row r="223" spans="24:24">
      <c r="X223" s="153"/>
    </row>
    <row r="224" spans="24:24">
      <c r="X224" s="153"/>
    </row>
    <row r="225" spans="24:24">
      <c r="X225" s="153"/>
    </row>
    <row r="226" spans="24:24">
      <c r="X226" s="153"/>
    </row>
    <row r="227" spans="24:24">
      <c r="X227" s="153"/>
    </row>
    <row r="228" spans="24:24">
      <c r="X228" s="153"/>
    </row>
    <row r="229" spans="24:24">
      <c r="X229" s="153"/>
    </row>
    <row r="230" spans="24:24">
      <c r="X230" s="153"/>
    </row>
    <row r="231" spans="24:24">
      <c r="X231" s="153"/>
    </row>
    <row r="232" spans="24:24">
      <c r="X232" s="153"/>
    </row>
    <row r="233" spans="24:24">
      <c r="X233" s="153"/>
    </row>
    <row r="234" spans="24:24">
      <c r="X234" s="153"/>
    </row>
    <row r="235" spans="24:24">
      <c r="X235" s="153"/>
    </row>
    <row r="236" spans="24:24">
      <c r="X236" s="153"/>
    </row>
    <row r="237" spans="24:24">
      <c r="X237" s="153"/>
    </row>
    <row r="238" spans="24:24">
      <c r="X238" s="153"/>
    </row>
    <row r="239" spans="24:24">
      <c r="X239" s="153"/>
    </row>
    <row r="240" spans="24:24">
      <c r="X240" s="153"/>
    </row>
    <row r="241" spans="24:24">
      <c r="X241" s="153"/>
    </row>
    <row r="242" spans="24:24">
      <c r="X242" s="153"/>
    </row>
    <row r="243" spans="24:24">
      <c r="X243" s="153"/>
    </row>
    <row r="244" spans="24:24">
      <c r="X244" s="153"/>
    </row>
    <row r="245" spans="24:24">
      <c r="X245" s="153"/>
    </row>
    <row r="246" spans="24:24">
      <c r="X246" s="153"/>
    </row>
    <row r="247" spans="24:24">
      <c r="X247" s="153"/>
    </row>
    <row r="248" spans="24:24">
      <c r="X248" s="153"/>
    </row>
    <row r="249" spans="24:24">
      <c r="X249" s="153"/>
    </row>
    <row r="250" spans="24:24">
      <c r="X250" s="153"/>
    </row>
    <row r="251" spans="24:24">
      <c r="X251" s="153"/>
    </row>
    <row r="252" spans="24:24">
      <c r="X252" s="153"/>
    </row>
    <row r="253" spans="24:24">
      <c r="X253" s="153"/>
    </row>
    <row r="254" spans="24:24">
      <c r="X254" s="153"/>
    </row>
    <row r="255" spans="24:24">
      <c r="X255" s="153"/>
    </row>
    <row r="256" spans="24:24">
      <c r="X256" s="153"/>
    </row>
    <row r="257" spans="24:24">
      <c r="X257" s="153"/>
    </row>
    <row r="258" spans="24:24">
      <c r="X258" s="153"/>
    </row>
    <row r="259" spans="24:24">
      <c r="X259" s="153"/>
    </row>
    <row r="260" spans="24:24">
      <c r="X260" s="153"/>
    </row>
    <row r="261" spans="24:24">
      <c r="X261" s="153"/>
    </row>
    <row r="262" spans="24:24">
      <c r="X262" s="153"/>
    </row>
    <row r="263" spans="24:24">
      <c r="X263" s="153"/>
    </row>
    <row r="264" spans="24:24">
      <c r="X264" s="153"/>
    </row>
    <row r="265" spans="24:24">
      <c r="X265" s="153"/>
    </row>
    <row r="266" spans="24:24">
      <c r="X266" s="153"/>
    </row>
    <row r="267" spans="24:24">
      <c r="X267" s="153"/>
    </row>
    <row r="268" spans="24:24">
      <c r="X268" s="153"/>
    </row>
    <row r="269" spans="24:24">
      <c r="X269" s="153"/>
    </row>
    <row r="270" spans="24:24">
      <c r="X270" s="153"/>
    </row>
    <row r="271" spans="24:24">
      <c r="X271" s="153"/>
    </row>
    <row r="272" spans="24:24">
      <c r="X272" s="153"/>
    </row>
    <row r="273" spans="24:24">
      <c r="X273" s="153"/>
    </row>
    <row r="274" spans="24:24">
      <c r="X274" s="153"/>
    </row>
    <row r="275" spans="24:24">
      <c r="X275" s="153"/>
    </row>
    <row r="276" spans="24:24">
      <c r="X276" s="153"/>
    </row>
    <row r="277" spans="24:24">
      <c r="X277" s="153"/>
    </row>
    <row r="278" spans="24:24">
      <c r="X278" s="153"/>
    </row>
    <row r="279" spans="24:24">
      <c r="X279" s="153"/>
    </row>
    <row r="280" spans="24:24">
      <c r="X280" s="153"/>
    </row>
    <row r="281" spans="24:24">
      <c r="X281" s="153"/>
    </row>
    <row r="282" spans="24:24">
      <c r="X282" s="153"/>
    </row>
    <row r="283" spans="24:24">
      <c r="X283" s="153"/>
    </row>
    <row r="284" spans="24:24">
      <c r="X284" s="153"/>
    </row>
    <row r="285" spans="24:24">
      <c r="X285" s="153"/>
    </row>
    <row r="286" spans="24:24">
      <c r="X286" s="153"/>
    </row>
    <row r="287" spans="24:24">
      <c r="X287" s="153"/>
    </row>
    <row r="288" spans="24:24">
      <c r="X288" s="153"/>
    </row>
    <row r="289" spans="24:24">
      <c r="X289" s="153"/>
    </row>
    <row r="290" spans="24:24">
      <c r="X290" s="153"/>
    </row>
    <row r="291" spans="24:24">
      <c r="X291" s="153"/>
    </row>
    <row r="292" spans="24:24">
      <c r="X292" s="153"/>
    </row>
    <row r="293" spans="24:24">
      <c r="X293" s="153"/>
    </row>
    <row r="294" spans="24:24">
      <c r="X294" s="153"/>
    </row>
    <row r="295" spans="24:24">
      <c r="X295" s="153"/>
    </row>
    <row r="296" spans="24:24">
      <c r="X296" s="153"/>
    </row>
    <row r="297" spans="24:24">
      <c r="X297" s="153"/>
    </row>
    <row r="298" spans="24:24">
      <c r="X298" s="153"/>
    </row>
    <row r="299" spans="24:24">
      <c r="X299" s="153"/>
    </row>
    <row r="300" spans="24:24">
      <c r="X300" s="153"/>
    </row>
    <row r="301" spans="24:24">
      <c r="X301" s="153"/>
    </row>
    <row r="302" spans="24:24">
      <c r="X302" s="153"/>
    </row>
    <row r="303" spans="24:24">
      <c r="X303" s="153"/>
    </row>
    <row r="304" spans="24:24">
      <c r="X304" s="153"/>
    </row>
    <row r="305" spans="24:24">
      <c r="X305" s="153"/>
    </row>
    <row r="306" spans="24:24">
      <c r="X306" s="153"/>
    </row>
    <row r="307" spans="24:24">
      <c r="X307" s="153"/>
    </row>
    <row r="308" spans="24:24">
      <c r="X308" s="153"/>
    </row>
    <row r="309" spans="24:24">
      <c r="X309" s="153"/>
    </row>
    <row r="310" spans="24:24">
      <c r="X310" s="153"/>
    </row>
    <row r="311" spans="24:24">
      <c r="X311" s="153"/>
    </row>
    <row r="312" spans="24:24">
      <c r="X312" s="153"/>
    </row>
    <row r="313" spans="24:24">
      <c r="X313" s="153"/>
    </row>
    <row r="314" spans="24:24">
      <c r="X314" s="153"/>
    </row>
    <row r="315" spans="24:24">
      <c r="X315" s="153"/>
    </row>
    <row r="316" spans="24:24">
      <c r="X316" s="153"/>
    </row>
    <row r="317" spans="24:24">
      <c r="X317" s="153"/>
    </row>
    <row r="318" spans="24:24">
      <c r="X318" s="153"/>
    </row>
    <row r="319" spans="24:24">
      <c r="X319" s="153"/>
    </row>
    <row r="320" spans="24:24">
      <c r="X320" s="153"/>
    </row>
    <row r="321" spans="24:24">
      <c r="X321" s="153"/>
    </row>
    <row r="322" spans="24:24">
      <c r="X322" s="153"/>
    </row>
    <row r="323" spans="24:24">
      <c r="X323" s="153"/>
    </row>
    <row r="324" spans="24:24">
      <c r="X324" s="153"/>
    </row>
    <row r="325" spans="24:24">
      <c r="X325" s="153"/>
    </row>
    <row r="326" spans="24:24">
      <c r="X326" s="153"/>
    </row>
    <row r="327" spans="24:24">
      <c r="X327" s="153"/>
    </row>
    <row r="328" spans="24:24">
      <c r="X328" s="153"/>
    </row>
    <row r="329" spans="24:24">
      <c r="X329" s="153"/>
    </row>
    <row r="330" spans="24:24">
      <c r="X330" s="153"/>
    </row>
    <row r="331" spans="24:24">
      <c r="X331" s="153"/>
    </row>
    <row r="332" spans="24:24">
      <c r="X332" s="153"/>
    </row>
    <row r="333" spans="24:24">
      <c r="X333" s="153"/>
    </row>
    <row r="334" spans="24:24">
      <c r="X334" s="153"/>
    </row>
    <row r="335" spans="24:24">
      <c r="X335" s="153"/>
    </row>
    <row r="336" spans="24:24">
      <c r="X336" s="153"/>
    </row>
    <row r="337" spans="24:24">
      <c r="X337" s="153"/>
    </row>
    <row r="338" spans="24:24">
      <c r="X338" s="153"/>
    </row>
    <row r="339" spans="24:24">
      <c r="X339" s="153"/>
    </row>
    <row r="340" spans="24:24">
      <c r="X340" s="153"/>
    </row>
    <row r="341" spans="24:24">
      <c r="X341" s="153"/>
    </row>
    <row r="342" spans="24:24">
      <c r="X342" s="153"/>
    </row>
    <row r="343" spans="24:24">
      <c r="X343" s="153"/>
    </row>
    <row r="344" spans="24:24">
      <c r="X344" s="153"/>
    </row>
    <row r="345" spans="24:24">
      <c r="X345" s="153"/>
    </row>
    <row r="346" spans="24:24">
      <c r="X346" s="153"/>
    </row>
    <row r="347" spans="24:24">
      <c r="X347" s="153"/>
    </row>
    <row r="348" spans="24:24">
      <c r="X348" s="153"/>
    </row>
    <row r="349" spans="24:24">
      <c r="X349" s="153"/>
    </row>
    <row r="350" spans="24:24">
      <c r="X350" s="153"/>
    </row>
    <row r="351" spans="24:24">
      <c r="X351" s="153"/>
    </row>
    <row r="352" spans="24:24">
      <c r="X352" s="153"/>
    </row>
    <row r="353" spans="24:24">
      <c r="X353" s="153"/>
    </row>
    <row r="354" spans="24:24">
      <c r="X354" s="153"/>
    </row>
    <row r="355" spans="24:24">
      <c r="X355" s="153"/>
    </row>
    <row r="356" spans="24:24">
      <c r="X356" s="153"/>
    </row>
    <row r="357" spans="24:24">
      <c r="X357" s="153"/>
    </row>
    <row r="358" spans="24:24">
      <c r="X358" s="153"/>
    </row>
    <row r="359" spans="24:24">
      <c r="X359" s="153"/>
    </row>
    <row r="360" spans="24:24">
      <c r="X360" s="153"/>
    </row>
    <row r="361" spans="24:24">
      <c r="X361" s="153"/>
    </row>
    <row r="362" spans="24:24">
      <c r="X362" s="153"/>
    </row>
    <row r="363" spans="24:24">
      <c r="X363" s="153"/>
    </row>
    <row r="364" spans="24:24">
      <c r="X364" s="153"/>
    </row>
    <row r="365" spans="24:24">
      <c r="X365" s="153"/>
    </row>
    <row r="366" spans="24:24">
      <c r="X366" s="153"/>
    </row>
    <row r="367" spans="24:24">
      <c r="X367" s="153"/>
    </row>
    <row r="368" spans="24:24">
      <c r="X368" s="153"/>
    </row>
    <row r="369" spans="24:24">
      <c r="X369" s="153"/>
    </row>
    <row r="370" spans="24:24">
      <c r="X370" s="153"/>
    </row>
    <row r="371" spans="24:24">
      <c r="X371" s="153"/>
    </row>
    <row r="372" spans="24:24">
      <c r="X372" s="153"/>
    </row>
    <row r="373" spans="24:24">
      <c r="X373" s="153"/>
    </row>
    <row r="374" spans="24:24">
      <c r="X374" s="153"/>
    </row>
    <row r="375" spans="24:24">
      <c r="X375" s="153"/>
    </row>
    <row r="376" spans="24:24">
      <c r="X376" s="153"/>
    </row>
    <row r="377" spans="24:24">
      <c r="X377" s="153"/>
    </row>
    <row r="378" spans="24:24">
      <c r="X378" s="153"/>
    </row>
    <row r="379" spans="24:24">
      <c r="X379" s="153"/>
    </row>
    <row r="380" spans="24:24">
      <c r="X380" s="153"/>
    </row>
    <row r="381" spans="24:24">
      <c r="X381" s="153"/>
    </row>
    <row r="382" spans="24:24">
      <c r="X382" s="153"/>
    </row>
    <row r="383" spans="24:24">
      <c r="X383" s="153"/>
    </row>
    <row r="384" spans="24:24">
      <c r="X384" s="153"/>
    </row>
    <row r="385" spans="24:24">
      <c r="X385" s="153"/>
    </row>
    <row r="386" spans="24:24">
      <c r="X386" s="153"/>
    </row>
    <row r="387" spans="24:24">
      <c r="X387" s="153"/>
    </row>
    <row r="388" spans="24:24">
      <c r="X388" s="153"/>
    </row>
    <row r="389" spans="24:24">
      <c r="X389" s="153"/>
    </row>
    <row r="390" spans="24:24">
      <c r="X390" s="153"/>
    </row>
    <row r="391" spans="24:24">
      <c r="X391" s="153"/>
    </row>
    <row r="392" spans="24:24">
      <c r="X392" s="153"/>
    </row>
    <row r="393" spans="24:24">
      <c r="X393" s="153"/>
    </row>
    <row r="394" spans="24:24">
      <c r="X394" s="153"/>
    </row>
    <row r="395" spans="24:24">
      <c r="X395" s="153"/>
    </row>
    <row r="396" spans="24:24">
      <c r="X396" s="153"/>
    </row>
    <row r="397" spans="24:24">
      <c r="X397" s="153"/>
    </row>
    <row r="398" spans="24:24">
      <c r="X398" s="153"/>
    </row>
    <row r="399" spans="24:24">
      <c r="X399" s="153"/>
    </row>
    <row r="400" spans="24:24">
      <c r="X400" s="153"/>
    </row>
    <row r="401" spans="24:24">
      <c r="X401" s="153"/>
    </row>
    <row r="402" spans="24:24">
      <c r="X402" s="153"/>
    </row>
    <row r="403" spans="24:24">
      <c r="X403" s="153"/>
    </row>
    <row r="404" spans="24:24">
      <c r="X404" s="153"/>
    </row>
    <row r="405" spans="24:24">
      <c r="X405" s="153"/>
    </row>
    <row r="406" spans="24:24">
      <c r="X406" s="153"/>
    </row>
    <row r="407" spans="24:24">
      <c r="X407" s="153"/>
    </row>
    <row r="408" spans="24:24">
      <c r="X408" s="153"/>
    </row>
    <row r="409" spans="24:24">
      <c r="X409" s="153"/>
    </row>
    <row r="410" spans="24:24">
      <c r="X410" s="153"/>
    </row>
    <row r="411" spans="24:24">
      <c r="X411" s="153"/>
    </row>
    <row r="412" spans="24:24">
      <c r="X412" s="153"/>
    </row>
    <row r="413" spans="24:24">
      <c r="X413" s="153"/>
    </row>
    <row r="414" spans="24:24">
      <c r="X414" s="153"/>
    </row>
    <row r="415" spans="24:24">
      <c r="X415" s="153"/>
    </row>
    <row r="416" spans="24:24">
      <c r="X416" s="153"/>
    </row>
    <row r="417" spans="24:24">
      <c r="X417" s="153"/>
    </row>
    <row r="418" spans="24:24">
      <c r="X418" s="153"/>
    </row>
    <row r="419" spans="24:24">
      <c r="X419" s="153"/>
    </row>
    <row r="420" spans="24:24">
      <c r="X420" s="153"/>
    </row>
    <row r="421" spans="24:24">
      <c r="X421" s="153"/>
    </row>
    <row r="422" spans="24:24">
      <c r="X422" s="153"/>
    </row>
    <row r="423" spans="24:24">
      <c r="X423" s="153"/>
    </row>
    <row r="424" spans="24:24">
      <c r="X424" s="153"/>
    </row>
    <row r="425" spans="24:24">
      <c r="X425" s="153"/>
    </row>
    <row r="426" spans="24:24">
      <c r="X426" s="153"/>
    </row>
    <row r="427" spans="24:24">
      <c r="X427" s="153"/>
    </row>
    <row r="428" spans="24:24">
      <c r="X428" s="153"/>
    </row>
    <row r="429" spans="24:24">
      <c r="X429" s="153"/>
    </row>
    <row r="430" spans="24:24">
      <c r="X430" s="153"/>
    </row>
    <row r="431" spans="24:24">
      <c r="X431" s="153"/>
    </row>
    <row r="432" spans="24:24">
      <c r="X432" s="153"/>
    </row>
    <row r="433" spans="24:24">
      <c r="X433" s="153"/>
    </row>
    <row r="434" spans="24:24">
      <c r="X434" s="153"/>
    </row>
    <row r="435" spans="24:24">
      <c r="X435" s="153"/>
    </row>
    <row r="436" spans="24:24">
      <c r="X436" s="153"/>
    </row>
    <row r="437" spans="24:24">
      <c r="X437" s="153"/>
    </row>
    <row r="438" spans="24:24">
      <c r="X438" s="153"/>
    </row>
    <row r="439" spans="24:24">
      <c r="X439" s="153"/>
    </row>
    <row r="440" spans="24:24">
      <c r="X440" s="153"/>
    </row>
    <row r="441" spans="24:24">
      <c r="X441" s="153"/>
    </row>
    <row r="442" spans="24:24">
      <c r="X442" s="153"/>
    </row>
    <row r="443" spans="24:24">
      <c r="X443" s="153"/>
    </row>
    <row r="444" spans="24:24">
      <c r="X444" s="153"/>
    </row>
    <row r="445" spans="24:24">
      <c r="X445" s="153"/>
    </row>
    <row r="446" spans="24:24">
      <c r="X446" s="153"/>
    </row>
    <row r="447" spans="24:24">
      <c r="X447" s="153"/>
    </row>
    <row r="448" spans="24:24">
      <c r="X448" s="153"/>
    </row>
    <row r="449" spans="24:24">
      <c r="X449" s="153"/>
    </row>
    <row r="450" spans="24:24">
      <c r="X450" s="153"/>
    </row>
    <row r="451" spans="24:24">
      <c r="X451" s="153"/>
    </row>
    <row r="452" spans="24:24">
      <c r="X452" s="153"/>
    </row>
    <row r="453" spans="24:24">
      <c r="X453" s="153"/>
    </row>
    <row r="454" spans="24:24">
      <c r="X454" s="153"/>
    </row>
    <row r="455" spans="24:24">
      <c r="X455" s="153"/>
    </row>
    <row r="456" spans="24:24">
      <c r="X456" s="153"/>
    </row>
    <row r="457" spans="24:24">
      <c r="X457" s="153"/>
    </row>
    <row r="458" spans="24:24">
      <c r="X458" s="153"/>
    </row>
    <row r="459" spans="24:24">
      <c r="X459" s="153"/>
    </row>
    <row r="460" spans="24:24">
      <c r="X460" s="153"/>
    </row>
    <row r="461" spans="24:24">
      <c r="X461" s="153"/>
    </row>
    <row r="462" spans="24:24">
      <c r="X462" s="153"/>
    </row>
    <row r="463" spans="24:24">
      <c r="X463" s="153"/>
    </row>
    <row r="464" spans="24:24">
      <c r="X464" s="153"/>
    </row>
    <row r="465" spans="24:24">
      <c r="X465" s="153"/>
    </row>
    <row r="466" spans="24:24">
      <c r="X466" s="153"/>
    </row>
    <row r="467" spans="24:24">
      <c r="X467" s="153"/>
    </row>
    <row r="468" spans="24:24">
      <c r="X468" s="153"/>
    </row>
    <row r="469" spans="24:24">
      <c r="X469" s="153"/>
    </row>
    <row r="470" spans="24:24">
      <c r="X470" s="153"/>
    </row>
    <row r="471" spans="24:24">
      <c r="X471" s="153"/>
    </row>
    <row r="472" spans="24:24">
      <c r="X472" s="153"/>
    </row>
    <row r="473" spans="24:24">
      <c r="X473" s="153"/>
    </row>
    <row r="474" spans="24:24">
      <c r="X474" s="153"/>
    </row>
    <row r="475" spans="24:24">
      <c r="X475" s="153"/>
    </row>
    <row r="476" spans="24:24">
      <c r="X476" s="153"/>
    </row>
    <row r="477" spans="24:24">
      <c r="X477" s="153"/>
    </row>
    <row r="478" spans="24:24">
      <c r="X478" s="153"/>
    </row>
    <row r="479" spans="24:24">
      <c r="X479" s="153"/>
    </row>
    <row r="480" spans="24:24">
      <c r="X480" s="153"/>
    </row>
    <row r="481" spans="24:24">
      <c r="X481" s="153"/>
    </row>
    <row r="482" spans="24:24">
      <c r="X482" s="153"/>
    </row>
    <row r="483" spans="24:24">
      <c r="X483" s="153"/>
    </row>
    <row r="484" spans="24:24">
      <c r="X484" s="153"/>
    </row>
    <row r="485" spans="24:24">
      <c r="X485" s="153"/>
    </row>
    <row r="486" spans="24:24">
      <c r="X486" s="153"/>
    </row>
    <row r="487" spans="24:24">
      <c r="X487" s="153"/>
    </row>
    <row r="488" spans="24:24">
      <c r="X488" s="153"/>
    </row>
    <row r="489" spans="24:24">
      <c r="X489" s="153"/>
    </row>
    <row r="490" spans="24:24">
      <c r="X490" s="153"/>
    </row>
    <row r="491" spans="24:24">
      <c r="X491" s="153"/>
    </row>
    <row r="492" spans="24:24">
      <c r="X492" s="153"/>
    </row>
    <row r="493" spans="24:24">
      <c r="X493" s="153"/>
    </row>
    <row r="494" spans="24:24">
      <c r="X494" s="153"/>
    </row>
    <row r="495" spans="24:24">
      <c r="X495" s="153"/>
    </row>
    <row r="496" spans="24:24">
      <c r="X496" s="153"/>
    </row>
    <row r="497" spans="24:24">
      <c r="X497" s="153"/>
    </row>
    <row r="498" spans="24:24">
      <c r="X498" s="153"/>
    </row>
    <row r="499" spans="24:24">
      <c r="X499" s="153"/>
    </row>
    <row r="500" spans="24:24">
      <c r="X500" s="153"/>
    </row>
    <row r="501" spans="24:24">
      <c r="X501" s="153"/>
    </row>
    <row r="502" spans="24:24">
      <c r="X502" s="153"/>
    </row>
    <row r="503" spans="24:24">
      <c r="X503" s="153"/>
    </row>
    <row r="504" spans="24:24">
      <c r="X504" s="153"/>
    </row>
    <row r="505" spans="24:24">
      <c r="X505" s="153"/>
    </row>
    <row r="506" spans="24:24">
      <c r="X506" s="153"/>
    </row>
    <row r="507" spans="24:24">
      <c r="X507" s="153"/>
    </row>
    <row r="508" spans="24:24">
      <c r="X508" s="153"/>
    </row>
    <row r="509" spans="24:24">
      <c r="X509" s="153"/>
    </row>
    <row r="510" spans="24:24">
      <c r="X510" s="153"/>
    </row>
    <row r="511" spans="24:24">
      <c r="X511" s="153"/>
    </row>
    <row r="512" spans="24:24">
      <c r="X512" s="153"/>
    </row>
    <row r="513" spans="24:24">
      <c r="X513" s="153"/>
    </row>
    <row r="514" spans="24:24">
      <c r="X514" s="153"/>
    </row>
    <row r="515" spans="24:24">
      <c r="X515" s="153"/>
    </row>
    <row r="516" spans="24:24">
      <c r="X516" s="153"/>
    </row>
    <row r="517" spans="24:24">
      <c r="X517" s="153"/>
    </row>
    <row r="518" spans="24:24">
      <c r="X518" s="153"/>
    </row>
    <row r="519" spans="24:24">
      <c r="X519" s="153"/>
    </row>
    <row r="520" spans="24:24">
      <c r="X520" s="153"/>
    </row>
    <row r="521" spans="24:24">
      <c r="X521" s="153"/>
    </row>
    <row r="522" spans="24:24">
      <c r="X522" s="153"/>
    </row>
    <row r="523" spans="24:24">
      <c r="X523" s="153"/>
    </row>
    <row r="524" spans="24:24">
      <c r="X524" s="153"/>
    </row>
    <row r="525" spans="24:24">
      <c r="X525" s="153"/>
    </row>
    <row r="526" spans="24:24">
      <c r="X526" s="153"/>
    </row>
    <row r="527" spans="24:24">
      <c r="X527" s="153"/>
    </row>
    <row r="528" spans="24:24">
      <c r="X528" s="153"/>
    </row>
    <row r="529" spans="24:24">
      <c r="X529" s="153"/>
    </row>
    <row r="530" spans="24:24">
      <c r="X530" s="153"/>
    </row>
    <row r="531" spans="24:24">
      <c r="X531" s="153"/>
    </row>
    <row r="532" spans="24:24">
      <c r="X532" s="153"/>
    </row>
    <row r="533" spans="24:24">
      <c r="X533" s="153"/>
    </row>
    <row r="534" spans="24:24">
      <c r="X534" s="153"/>
    </row>
    <row r="535" spans="24:24">
      <c r="X535" s="153"/>
    </row>
    <row r="536" spans="24:24">
      <c r="X536" s="153"/>
    </row>
    <row r="537" spans="24:24">
      <c r="X537" s="153"/>
    </row>
    <row r="538" spans="24:24">
      <c r="X538" s="153"/>
    </row>
    <row r="539" spans="24:24">
      <c r="X539" s="153"/>
    </row>
    <row r="540" spans="24:24">
      <c r="X540" s="153"/>
    </row>
    <row r="541" spans="24:24">
      <c r="X541" s="153"/>
    </row>
    <row r="542" spans="24:24">
      <c r="X542" s="153"/>
    </row>
    <row r="543" spans="24:24">
      <c r="X543" s="153"/>
    </row>
    <row r="544" spans="24:24">
      <c r="X544" s="153"/>
    </row>
    <row r="545" spans="24:24">
      <c r="X545" s="153"/>
    </row>
    <row r="546" spans="24:24">
      <c r="X546" s="153"/>
    </row>
    <row r="547" spans="24:24">
      <c r="X547" s="153"/>
    </row>
    <row r="548" spans="24:24">
      <c r="X548" s="153"/>
    </row>
    <row r="549" spans="24:24">
      <c r="X549" s="153"/>
    </row>
    <row r="550" spans="24:24">
      <c r="X550" s="153"/>
    </row>
    <row r="551" spans="24:24">
      <c r="X551" s="153"/>
    </row>
    <row r="552" spans="24:24">
      <c r="X552" s="153"/>
    </row>
    <row r="553" spans="24:24">
      <c r="X553" s="153"/>
    </row>
    <row r="554" spans="24:24">
      <c r="X554" s="153"/>
    </row>
    <row r="555" spans="24:24">
      <c r="X555" s="153"/>
    </row>
    <row r="556" spans="24:24">
      <c r="X556" s="153"/>
    </row>
    <row r="557" spans="24:24">
      <c r="X557" s="153"/>
    </row>
    <row r="558" spans="24:24">
      <c r="X558" s="153"/>
    </row>
    <row r="559" spans="24:24">
      <c r="X559" s="153"/>
    </row>
    <row r="560" spans="24:24">
      <c r="X560" s="153"/>
    </row>
    <row r="561" spans="24:24">
      <c r="X561" s="153"/>
    </row>
    <row r="562" spans="24:24">
      <c r="X562" s="153"/>
    </row>
    <row r="563" spans="24:24">
      <c r="X563" s="153"/>
    </row>
    <row r="564" spans="24:24">
      <c r="X564" s="153"/>
    </row>
    <row r="565" spans="24:24">
      <c r="X565" s="153"/>
    </row>
    <row r="566" spans="24:24">
      <c r="X566" s="153"/>
    </row>
    <row r="567" spans="24:24">
      <c r="X567" s="153"/>
    </row>
    <row r="568" spans="24:24">
      <c r="X568" s="153"/>
    </row>
    <row r="569" spans="24:24">
      <c r="X569" s="153"/>
    </row>
    <row r="570" spans="24:24">
      <c r="X570" s="153"/>
    </row>
    <row r="571" spans="24:24">
      <c r="X571" s="153"/>
    </row>
    <row r="572" spans="24:24">
      <c r="X572" s="153"/>
    </row>
    <row r="573" spans="24:24">
      <c r="X573" s="153"/>
    </row>
    <row r="574" spans="24:24">
      <c r="X574" s="153"/>
    </row>
    <row r="575" spans="24:24">
      <c r="X575" s="153"/>
    </row>
    <row r="576" spans="24:24">
      <c r="X576" s="153"/>
    </row>
    <row r="577" spans="24:24">
      <c r="X577" s="153"/>
    </row>
    <row r="578" spans="24:24">
      <c r="X578" s="153"/>
    </row>
    <row r="579" spans="24:24">
      <c r="X579" s="153"/>
    </row>
    <row r="580" spans="24:24">
      <c r="X580" s="153"/>
    </row>
    <row r="581" spans="24:24">
      <c r="X581" s="153"/>
    </row>
    <row r="582" spans="24:24">
      <c r="X582" s="153"/>
    </row>
    <row r="583" spans="24:24">
      <c r="X583" s="153"/>
    </row>
    <row r="584" spans="24:24">
      <c r="X584" s="153"/>
    </row>
    <row r="585" spans="24:24">
      <c r="X585" s="153"/>
    </row>
    <row r="586" spans="24:24">
      <c r="X586" s="153"/>
    </row>
    <row r="587" spans="24:24">
      <c r="X587" s="153"/>
    </row>
    <row r="588" spans="24:24">
      <c r="X588" s="153"/>
    </row>
    <row r="589" spans="24:24">
      <c r="X589" s="153"/>
    </row>
    <row r="590" spans="24:24">
      <c r="X590" s="153"/>
    </row>
    <row r="591" spans="24:24">
      <c r="X591" s="153"/>
    </row>
    <row r="592" spans="24:24">
      <c r="X592" s="153"/>
    </row>
    <row r="593" spans="24:24">
      <c r="X593" s="153"/>
    </row>
    <row r="594" spans="24:24">
      <c r="X594" s="153"/>
    </row>
    <row r="595" spans="24:24">
      <c r="X595" s="153"/>
    </row>
    <row r="596" spans="24:24">
      <c r="X596" s="153"/>
    </row>
    <row r="597" spans="24:24">
      <c r="X597" s="153"/>
    </row>
    <row r="598" spans="24:24">
      <c r="X598" s="153"/>
    </row>
    <row r="599" spans="24:24">
      <c r="X599" s="153"/>
    </row>
    <row r="600" spans="24:24">
      <c r="X600" s="153"/>
    </row>
    <row r="601" spans="24:24">
      <c r="X601" s="153"/>
    </row>
    <row r="602" spans="24:24">
      <c r="X602" s="153"/>
    </row>
    <row r="603" spans="24:24">
      <c r="X603" s="153"/>
    </row>
    <row r="604" spans="24:24">
      <c r="X604" s="153"/>
    </row>
    <row r="605" spans="24:24">
      <c r="X605" s="153"/>
    </row>
    <row r="606" spans="24:24">
      <c r="X606" s="153"/>
    </row>
    <row r="607" spans="24:24">
      <c r="X607" s="153"/>
    </row>
    <row r="608" spans="24:24">
      <c r="X608" s="153"/>
    </row>
    <row r="609" spans="24:24">
      <c r="X609" s="153"/>
    </row>
    <row r="610" spans="24:24">
      <c r="X610" s="153"/>
    </row>
    <row r="611" spans="24:24">
      <c r="X611" s="153"/>
    </row>
    <row r="612" spans="24:24">
      <c r="X612" s="153"/>
    </row>
    <row r="613" spans="24:24">
      <c r="X613" s="153"/>
    </row>
    <row r="614" spans="24:24">
      <c r="X614" s="153"/>
    </row>
    <row r="615" spans="24:24">
      <c r="X615" s="153"/>
    </row>
    <row r="616" spans="24:24">
      <c r="X616" s="153"/>
    </row>
    <row r="617" spans="24:24">
      <c r="X617" s="153"/>
    </row>
    <row r="618" spans="24:24">
      <c r="X618" s="153"/>
    </row>
    <row r="619" spans="24:24">
      <c r="X619" s="153"/>
    </row>
    <row r="620" spans="24:24">
      <c r="X620" s="153"/>
    </row>
    <row r="621" spans="24:24">
      <c r="X621" s="153"/>
    </row>
    <row r="622" spans="24:24">
      <c r="X622" s="153"/>
    </row>
    <row r="623" spans="24:24">
      <c r="X623" s="153"/>
    </row>
    <row r="624" spans="24:24">
      <c r="X624" s="153"/>
    </row>
    <row r="625" spans="24:24">
      <c r="X625" s="153"/>
    </row>
    <row r="626" spans="24:24">
      <c r="X626" s="153"/>
    </row>
    <row r="627" spans="24:24">
      <c r="X627" s="153"/>
    </row>
    <row r="628" spans="24:24">
      <c r="X628" s="153"/>
    </row>
    <row r="629" spans="24:24">
      <c r="X629" s="153"/>
    </row>
    <row r="630" spans="24:24">
      <c r="X630" s="153"/>
    </row>
    <row r="631" spans="24:24">
      <c r="X631" s="153"/>
    </row>
    <row r="632" spans="24:24">
      <c r="X632" s="153"/>
    </row>
    <row r="633" spans="24:24">
      <c r="X633" s="153"/>
    </row>
    <row r="634" spans="24:24">
      <c r="X634" s="153"/>
    </row>
    <row r="635" spans="24:24">
      <c r="X635" s="153"/>
    </row>
    <row r="636" spans="24:24">
      <c r="X636" s="153"/>
    </row>
    <row r="637" spans="24:24">
      <c r="X637" s="153"/>
    </row>
    <row r="638" spans="24:24">
      <c r="X638" s="153"/>
    </row>
    <row r="639" spans="24:24">
      <c r="X639" s="153"/>
    </row>
    <row r="640" spans="24:24">
      <c r="X640" s="153"/>
    </row>
    <row r="641" spans="24:24">
      <c r="X641" s="153"/>
    </row>
    <row r="642" spans="24:24">
      <c r="X642" s="153"/>
    </row>
    <row r="643" spans="24:24">
      <c r="X643" s="153"/>
    </row>
    <row r="644" spans="24:24">
      <c r="X644" s="153"/>
    </row>
    <row r="645" spans="24:24">
      <c r="X645" s="153"/>
    </row>
    <row r="646" spans="24:24">
      <c r="X646" s="153"/>
    </row>
    <row r="647" spans="24:24">
      <c r="X647" s="153"/>
    </row>
    <row r="648" spans="24:24">
      <c r="X648" s="153"/>
    </row>
    <row r="649" spans="24:24">
      <c r="X649" s="153"/>
    </row>
    <row r="650" spans="24:24">
      <c r="X650" s="153"/>
    </row>
    <row r="651" spans="24:24">
      <c r="X651" s="153"/>
    </row>
    <row r="652" spans="24:24">
      <c r="X652" s="153"/>
    </row>
    <row r="653" spans="24:24">
      <c r="X653" s="153"/>
    </row>
    <row r="654" spans="24:24">
      <c r="X654" s="153"/>
    </row>
    <row r="655" spans="24:24">
      <c r="X655" s="153"/>
    </row>
    <row r="656" spans="24:24">
      <c r="X656" s="153"/>
    </row>
    <row r="657" spans="24:24">
      <c r="X657" s="153"/>
    </row>
    <row r="658" spans="24:24">
      <c r="X658" s="153"/>
    </row>
    <row r="659" spans="24:24">
      <c r="X659" s="153"/>
    </row>
    <row r="660" spans="24:24">
      <c r="X660" s="153"/>
    </row>
    <row r="661" spans="24:24">
      <c r="X661" s="153"/>
    </row>
    <row r="662" spans="24:24">
      <c r="X662" s="153"/>
    </row>
    <row r="663" spans="24:24">
      <c r="X663" s="153"/>
    </row>
    <row r="664" spans="24:24">
      <c r="X664" s="153"/>
    </row>
    <row r="665" spans="24:24">
      <c r="X665" s="153"/>
    </row>
    <row r="666" spans="24:24">
      <c r="X666" s="153"/>
    </row>
    <row r="667" spans="24:24">
      <c r="X667" s="153"/>
    </row>
    <row r="668" spans="24:24">
      <c r="X668" s="153"/>
    </row>
    <row r="669" spans="24:24">
      <c r="X669" s="153"/>
    </row>
    <row r="670" spans="24:24">
      <c r="X670" s="153"/>
    </row>
    <row r="671" spans="24:24">
      <c r="X671" s="153"/>
    </row>
    <row r="672" spans="24:24">
      <c r="X672" s="153"/>
    </row>
    <row r="673" spans="24:24">
      <c r="X673" s="153"/>
    </row>
    <row r="674" spans="24:24">
      <c r="X674" s="153"/>
    </row>
    <row r="675" spans="24:24">
      <c r="X675" s="153"/>
    </row>
    <row r="676" spans="24:24">
      <c r="X676" s="153"/>
    </row>
    <row r="677" spans="24:24">
      <c r="X677" s="153"/>
    </row>
    <row r="678" spans="24:24">
      <c r="X678" s="153"/>
    </row>
    <row r="679" spans="24:24">
      <c r="X679" s="153"/>
    </row>
    <row r="680" spans="24:24">
      <c r="X680" s="153"/>
    </row>
    <row r="681" spans="24:24">
      <c r="X681" s="153"/>
    </row>
    <row r="682" spans="24:24">
      <c r="X682" s="153"/>
    </row>
    <row r="683" spans="24:24">
      <c r="X683" s="153"/>
    </row>
    <row r="684" spans="24:24">
      <c r="X684" s="153"/>
    </row>
    <row r="685" spans="24:24">
      <c r="X685" s="153"/>
    </row>
    <row r="686" spans="24:24">
      <c r="X686" s="153"/>
    </row>
    <row r="687" spans="24:24">
      <c r="X687" s="153"/>
    </row>
    <row r="688" spans="24:24">
      <c r="X688" s="153"/>
    </row>
    <row r="689" spans="24:24">
      <c r="X689" s="153"/>
    </row>
    <row r="690" spans="24:24">
      <c r="X690" s="153"/>
    </row>
    <row r="691" spans="24:24">
      <c r="X691" s="153"/>
    </row>
    <row r="692" spans="24:24">
      <c r="X692" s="153"/>
    </row>
    <row r="693" spans="24:24">
      <c r="X693" s="153"/>
    </row>
    <row r="694" spans="24:24">
      <c r="X694" s="153"/>
    </row>
    <row r="695" spans="24:24">
      <c r="X695" s="153"/>
    </row>
    <row r="696" spans="24:24">
      <c r="X696" s="153"/>
    </row>
    <row r="697" spans="24:24">
      <c r="X697" s="153"/>
    </row>
    <row r="698" spans="24:24">
      <c r="X698" s="153"/>
    </row>
    <row r="699" spans="24:24">
      <c r="X699" s="153"/>
    </row>
    <row r="700" spans="24:24">
      <c r="X700" s="153"/>
    </row>
    <row r="701" spans="24:24">
      <c r="X701" s="153"/>
    </row>
    <row r="702" spans="24:24">
      <c r="X702" s="153"/>
    </row>
    <row r="703" spans="24:24">
      <c r="X703" s="153"/>
    </row>
    <row r="704" spans="24:24">
      <c r="X704" s="153"/>
    </row>
    <row r="705" spans="24:24">
      <c r="X705" s="153"/>
    </row>
    <row r="706" spans="24:24">
      <c r="X706" s="153"/>
    </row>
    <row r="707" spans="24:24">
      <c r="X707" s="153"/>
    </row>
    <row r="708" spans="24:24">
      <c r="X708" s="153"/>
    </row>
    <row r="709" spans="24:24">
      <c r="X709" s="153"/>
    </row>
    <row r="710" spans="24:24">
      <c r="X710" s="153"/>
    </row>
    <row r="711" spans="24:24">
      <c r="X711" s="153"/>
    </row>
    <row r="712" spans="24:24">
      <c r="X712" s="153"/>
    </row>
    <row r="713" spans="24:24">
      <c r="X713" s="153"/>
    </row>
    <row r="714" spans="24:24">
      <c r="X714" s="153"/>
    </row>
    <row r="715" spans="24:24">
      <c r="X715" s="153"/>
    </row>
    <row r="716" spans="24:24">
      <c r="X716" s="153"/>
    </row>
    <row r="717" spans="24:24">
      <c r="X717" s="153"/>
    </row>
    <row r="718" spans="24:24">
      <c r="X718" s="153"/>
    </row>
    <row r="719" spans="24:24">
      <c r="X719" s="153"/>
    </row>
    <row r="720" spans="24:24">
      <c r="X720" s="153"/>
    </row>
    <row r="721" spans="24:24">
      <c r="X721" s="153"/>
    </row>
    <row r="722" spans="24:24">
      <c r="X722" s="153"/>
    </row>
    <row r="723" spans="24:24">
      <c r="X723" s="153"/>
    </row>
    <row r="724" spans="24:24">
      <c r="X724" s="153"/>
    </row>
    <row r="725" spans="24:24">
      <c r="X725" s="153"/>
    </row>
    <row r="726" spans="24:24">
      <c r="X726" s="153"/>
    </row>
    <row r="727" spans="24:24">
      <c r="X727" s="153"/>
    </row>
    <row r="728" spans="24:24">
      <c r="X728" s="153"/>
    </row>
    <row r="729" spans="24:24">
      <c r="X729" s="153"/>
    </row>
    <row r="730" spans="24:24">
      <c r="X730" s="153"/>
    </row>
    <row r="731" spans="24:24">
      <c r="X731" s="153"/>
    </row>
    <row r="732" spans="24:24">
      <c r="X732" s="153"/>
    </row>
    <row r="733" spans="24:24">
      <c r="X733" s="153"/>
    </row>
    <row r="734" spans="24:24">
      <c r="X734" s="153"/>
    </row>
    <row r="735" spans="24:24">
      <c r="X735" s="153"/>
    </row>
    <row r="736" spans="24:24">
      <c r="X736" s="153"/>
    </row>
    <row r="737" spans="24:24">
      <c r="X737" s="153"/>
    </row>
    <row r="738" spans="24:24">
      <c r="X738" s="153"/>
    </row>
    <row r="739" spans="24:24">
      <c r="X739" s="153"/>
    </row>
    <row r="740" spans="24:24">
      <c r="X740" s="153"/>
    </row>
    <row r="741" spans="24:24">
      <c r="X741" s="153"/>
    </row>
    <row r="742" spans="24:24">
      <c r="X742" s="153"/>
    </row>
    <row r="743" spans="24:24">
      <c r="X743" s="153"/>
    </row>
    <row r="744" spans="24:24">
      <c r="X744" s="153"/>
    </row>
    <row r="745" spans="24:24">
      <c r="X745" s="153"/>
    </row>
    <row r="746" spans="24:24">
      <c r="X746" s="153"/>
    </row>
    <row r="747" spans="24:24">
      <c r="X747" s="153"/>
    </row>
    <row r="748" spans="24:24">
      <c r="X748" s="153"/>
    </row>
    <row r="749" spans="24:24">
      <c r="X749" s="153"/>
    </row>
    <row r="750" spans="24:24">
      <c r="X750" s="153"/>
    </row>
    <row r="751" spans="24:24">
      <c r="X751" s="153"/>
    </row>
    <row r="752" spans="24:24">
      <c r="X752" s="153"/>
    </row>
    <row r="753" spans="24:24">
      <c r="X753" s="153"/>
    </row>
    <row r="754" spans="24:24">
      <c r="X754" s="153"/>
    </row>
    <row r="755" spans="24:24">
      <c r="X755" s="153"/>
    </row>
    <row r="756" spans="24:24">
      <c r="X756" s="153"/>
    </row>
    <row r="757" spans="24:24">
      <c r="X757" s="153"/>
    </row>
    <row r="758" spans="24:24">
      <c r="X758" s="153"/>
    </row>
    <row r="759" spans="24:24">
      <c r="X759" s="153"/>
    </row>
    <row r="760" spans="24:24">
      <c r="X760" s="153"/>
    </row>
    <row r="761" spans="24:24">
      <c r="X761" s="153"/>
    </row>
    <row r="762" spans="24:24">
      <c r="X762" s="153"/>
    </row>
    <row r="763" spans="24:24">
      <c r="X763" s="153"/>
    </row>
    <row r="764" spans="24:24">
      <c r="X764" s="153"/>
    </row>
    <row r="765" spans="24:24">
      <c r="X765" s="153"/>
    </row>
    <row r="766" spans="24:24">
      <c r="X766" s="153"/>
    </row>
    <row r="767" spans="24:24">
      <c r="X767" s="153"/>
    </row>
    <row r="768" spans="24:24">
      <c r="X768" s="153"/>
    </row>
    <row r="769" spans="24:24">
      <c r="X769" s="153"/>
    </row>
    <row r="770" spans="24:24">
      <c r="X770" s="153"/>
    </row>
    <row r="771" spans="24:24">
      <c r="X771" s="153"/>
    </row>
    <row r="772" spans="24:24">
      <c r="X772" s="153"/>
    </row>
    <row r="773" spans="24:24">
      <c r="X773" s="153"/>
    </row>
    <row r="774" spans="24:24">
      <c r="X774" s="153"/>
    </row>
    <row r="775" spans="24:24">
      <c r="X775" s="153"/>
    </row>
    <row r="776" spans="24:24">
      <c r="X776" s="153"/>
    </row>
    <row r="777" spans="24:24">
      <c r="X777" s="153"/>
    </row>
    <row r="778" spans="24:24">
      <c r="X778" s="153"/>
    </row>
    <row r="779" spans="24:24">
      <c r="X779" s="153"/>
    </row>
    <row r="780" spans="24:24">
      <c r="X780" s="153"/>
    </row>
    <row r="781" spans="24:24">
      <c r="X781" s="153"/>
    </row>
    <row r="782" spans="24:24">
      <c r="X782" s="153"/>
    </row>
    <row r="783" spans="24:24">
      <c r="X783" s="153"/>
    </row>
    <row r="784" spans="24:24">
      <c r="X784" s="153"/>
    </row>
    <row r="785" spans="24:24">
      <c r="X785" s="153"/>
    </row>
    <row r="786" spans="24:24">
      <c r="X786" s="153"/>
    </row>
    <row r="787" spans="24:24">
      <c r="X787" s="153"/>
    </row>
    <row r="788" spans="24:24">
      <c r="X788" s="153"/>
    </row>
    <row r="789" spans="24:24">
      <c r="X789" s="153"/>
    </row>
    <row r="790" spans="24:24">
      <c r="X790" s="153"/>
    </row>
    <row r="791" spans="24:24">
      <c r="X791" s="153"/>
    </row>
    <row r="792" spans="24:24">
      <c r="X792" s="153"/>
    </row>
    <row r="793" spans="24:24">
      <c r="X793" s="153"/>
    </row>
    <row r="794" spans="24:24">
      <c r="X794" s="153"/>
    </row>
    <row r="795" spans="24:24">
      <c r="X795" s="153"/>
    </row>
    <row r="796" spans="24:24">
      <c r="X796" s="153"/>
    </row>
    <row r="797" spans="24:24">
      <c r="X797" s="153"/>
    </row>
    <row r="798" spans="24:24">
      <c r="X798" s="153"/>
    </row>
    <row r="799" spans="24:24">
      <c r="X799" s="153"/>
    </row>
    <row r="800" spans="24:24">
      <c r="X800" s="153"/>
    </row>
    <row r="801" spans="24:24">
      <c r="X801" s="153"/>
    </row>
    <row r="802" spans="24:24">
      <c r="X802" s="153"/>
    </row>
    <row r="803" spans="24:24">
      <c r="X803" s="153"/>
    </row>
    <row r="804" spans="24:24">
      <c r="X804" s="153"/>
    </row>
    <row r="805" spans="24:24">
      <c r="X805" s="153"/>
    </row>
    <row r="806" spans="24:24">
      <c r="X806" s="153"/>
    </row>
    <row r="807" spans="24:24">
      <c r="X807" s="153"/>
    </row>
    <row r="808" spans="24:24">
      <c r="X808" s="153"/>
    </row>
    <row r="809" spans="24:24">
      <c r="X809" s="153"/>
    </row>
    <row r="810" spans="24:24">
      <c r="X810" s="153"/>
    </row>
    <row r="811" spans="24:24">
      <c r="X811" s="153"/>
    </row>
    <row r="812" spans="24:24">
      <c r="X812" s="153"/>
    </row>
    <row r="813" spans="24:24">
      <c r="X813" s="153"/>
    </row>
    <row r="814" spans="24:24">
      <c r="X814" s="153"/>
    </row>
    <row r="815" spans="24:24">
      <c r="X815" s="153"/>
    </row>
    <row r="816" spans="24:24">
      <c r="X816" s="153"/>
    </row>
    <row r="817" spans="24:24">
      <c r="X817" s="153"/>
    </row>
    <row r="818" spans="24:24">
      <c r="X818" s="153"/>
    </row>
    <row r="819" spans="24:24">
      <c r="X819" s="153"/>
    </row>
    <row r="820" spans="24:24">
      <c r="X820" s="153"/>
    </row>
    <row r="821" spans="24:24">
      <c r="X821" s="153"/>
    </row>
    <row r="822" spans="24:24">
      <c r="X822" s="153"/>
    </row>
    <row r="823" spans="24:24">
      <c r="X823" s="153"/>
    </row>
    <row r="824" spans="24:24">
      <c r="X824" s="153"/>
    </row>
    <row r="825" spans="24:24">
      <c r="X825" s="153"/>
    </row>
    <row r="826" spans="24:24">
      <c r="X826" s="153"/>
    </row>
    <row r="827" spans="24:24">
      <c r="X827" s="153"/>
    </row>
    <row r="828" spans="24:24">
      <c r="X828" s="153"/>
    </row>
    <row r="829" spans="24:24">
      <c r="X829" s="153"/>
    </row>
    <row r="830" spans="24:24">
      <c r="X830" s="153"/>
    </row>
    <row r="831" spans="24:24">
      <c r="X831" s="153"/>
    </row>
    <row r="832" spans="24:24">
      <c r="X832" s="153"/>
    </row>
    <row r="833" spans="24:24">
      <c r="X833" s="153"/>
    </row>
    <row r="834" spans="24:24">
      <c r="X834" s="153"/>
    </row>
    <row r="835" spans="24:24">
      <c r="X835" s="153"/>
    </row>
    <row r="836" spans="24:24">
      <c r="X836" s="153"/>
    </row>
    <row r="837" spans="24:24">
      <c r="X837" s="153"/>
    </row>
    <row r="838" spans="24:24">
      <c r="X838" s="153"/>
    </row>
    <row r="839" spans="24:24">
      <c r="X839" s="153"/>
    </row>
    <row r="840" spans="24:24">
      <c r="X840" s="153"/>
    </row>
    <row r="841" spans="24:24">
      <c r="X841" s="153"/>
    </row>
    <row r="842" spans="24:24">
      <c r="X842" s="153"/>
    </row>
    <row r="843" spans="24:24">
      <c r="X843" s="153"/>
    </row>
    <row r="844" spans="24:24">
      <c r="X844" s="153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A33" sqref="AA33"/>
    </sheetView>
  </sheetViews>
  <sheetFormatPr defaultColWidth="11.625" defaultRowHeight="14.25"/>
  <cols>
    <col min="1" max="21" width="11.625" style="4" customWidth="1"/>
    <col min="22" max="22" width="11.625" style="148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166</v>
      </c>
      <c r="E1" s="22" t="s">
        <v>167</v>
      </c>
      <c r="F1" s="22" t="s">
        <v>3</v>
      </c>
      <c r="G1" s="22" t="s">
        <v>4</v>
      </c>
      <c r="H1" s="22" t="s">
        <v>168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169</v>
      </c>
      <c r="N1" s="22" t="s">
        <v>145</v>
      </c>
      <c r="O1" s="22" t="s">
        <v>9</v>
      </c>
      <c r="P1" s="22" t="s">
        <v>10</v>
      </c>
      <c r="Q1" s="22" t="s">
        <v>193</v>
      </c>
      <c r="R1" s="22" t="s">
        <v>11</v>
      </c>
      <c r="S1" s="22" t="s">
        <v>12</v>
      </c>
      <c r="T1" s="22" t="s">
        <v>928</v>
      </c>
      <c r="U1" s="22" t="s">
        <v>13</v>
      </c>
      <c r="V1" s="145" t="s">
        <v>14</v>
      </c>
      <c r="W1" s="22" t="s">
        <v>15</v>
      </c>
      <c r="X1" s="22" t="s">
        <v>428</v>
      </c>
      <c r="Y1" s="22" t="s">
        <v>849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185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49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49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49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49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49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49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49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49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49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49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49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49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49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49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49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49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49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49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2"/>
  <sheetViews>
    <sheetView rightToLeft="1" topLeftCell="A181" zoomScale="70" zoomScaleNormal="70" workbookViewId="0">
      <selection activeCell="H119" sqref="H119"/>
    </sheetView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7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166</v>
      </c>
      <c r="E1" s="22" t="s">
        <v>167</v>
      </c>
      <c r="F1" s="22" t="s">
        <v>3</v>
      </c>
      <c r="G1" s="22" t="s">
        <v>4</v>
      </c>
      <c r="H1" s="22" t="s">
        <v>168</v>
      </c>
      <c r="I1" s="22" t="s">
        <v>5</v>
      </c>
      <c r="J1" s="22" t="s">
        <v>6</v>
      </c>
      <c r="K1" s="22" t="s">
        <v>7</v>
      </c>
      <c r="L1" s="22" t="s">
        <v>344</v>
      </c>
      <c r="M1" s="22" t="s">
        <v>8</v>
      </c>
      <c r="N1" s="22" t="s">
        <v>169</v>
      </c>
      <c r="O1" s="22" t="s">
        <v>145</v>
      </c>
      <c r="P1" s="22" t="s">
        <v>9</v>
      </c>
      <c r="Q1" s="22" t="s">
        <v>10</v>
      </c>
      <c r="R1" s="22" t="s">
        <v>193</v>
      </c>
      <c r="S1" s="22" t="s">
        <v>11</v>
      </c>
      <c r="T1" s="22" t="s">
        <v>12</v>
      </c>
      <c r="U1" s="22" t="s">
        <v>13</v>
      </c>
      <c r="V1" s="163" t="s">
        <v>14</v>
      </c>
      <c r="W1" s="167" t="s">
        <v>15</v>
      </c>
      <c r="X1" s="22" t="s">
        <v>428</v>
      </c>
      <c r="Y1" s="22" t="s">
        <v>849</v>
      </c>
      <c r="Z1" s="22" t="s">
        <v>17</v>
      </c>
      <c r="AA1" s="161" t="s">
        <v>18</v>
      </c>
      <c r="AB1" s="172" t="s">
        <v>19</v>
      </c>
      <c r="AC1" s="22" t="s">
        <v>16</v>
      </c>
      <c r="AD1" s="22" t="s">
        <v>20</v>
      </c>
      <c r="AE1" s="22" t="s">
        <v>21</v>
      </c>
      <c r="AF1" s="22" t="s">
        <v>185</v>
      </c>
      <c r="AG1" s="22" t="s">
        <v>22</v>
      </c>
      <c r="AH1" s="167" t="s">
        <v>23</v>
      </c>
      <c r="AI1" s="167" t="s">
        <v>24</v>
      </c>
      <c r="AJ1" s="167" t="s">
        <v>25</v>
      </c>
    </row>
    <row r="2" spans="1:36">
      <c r="A2" s="2">
        <v>288</v>
      </c>
      <c r="B2" s="23">
        <v>288</v>
      </c>
      <c r="C2" s="23" t="s">
        <v>1952</v>
      </c>
      <c r="D2" s="23" t="s">
        <v>1953</v>
      </c>
      <c r="E2" s="21" t="s">
        <v>1333</v>
      </c>
      <c r="F2" s="23" t="s">
        <v>1954</v>
      </c>
      <c r="G2" s="23" t="s">
        <v>1955</v>
      </c>
      <c r="H2" s="21" t="s">
        <v>339</v>
      </c>
      <c r="I2" s="30" t="s">
        <v>774</v>
      </c>
      <c r="J2" s="21" t="s">
        <v>30</v>
      </c>
      <c r="K2" s="21" t="s">
        <v>30</v>
      </c>
      <c r="L2" s="23" t="s">
        <v>345</v>
      </c>
      <c r="M2" s="21" t="s">
        <v>65</v>
      </c>
      <c r="N2" s="23" t="s">
        <v>482</v>
      </c>
      <c r="O2" s="23" t="s">
        <v>159</v>
      </c>
      <c r="P2" s="23" t="s">
        <v>1956</v>
      </c>
      <c r="Q2" s="23" t="s">
        <v>431</v>
      </c>
      <c r="R2" s="23" t="s">
        <v>424</v>
      </c>
      <c r="S2" s="21" t="s">
        <v>44</v>
      </c>
      <c r="T2" s="157">
        <v>0.98499999999999999</v>
      </c>
      <c r="U2" s="23" t="s">
        <v>1957</v>
      </c>
      <c r="V2" s="175">
        <v>3.9E-2</v>
      </c>
      <c r="W2" s="176">
        <v>6.3500000000000001E-2</v>
      </c>
      <c r="X2" s="21" t="s">
        <v>430</v>
      </c>
      <c r="Y2" s="21" t="s">
        <v>159</v>
      </c>
      <c r="Z2" s="157">
        <v>195600</v>
      </c>
      <c r="AA2" s="177">
        <v>1</v>
      </c>
      <c r="AB2" s="178">
        <v>97.45</v>
      </c>
      <c r="AC2" s="23"/>
      <c r="AD2" s="157">
        <v>190.61199999999999</v>
      </c>
      <c r="AE2" s="23"/>
      <c r="AF2" s="30"/>
      <c r="AG2" s="21" t="s">
        <v>36</v>
      </c>
      <c r="AH2" s="168">
        <v>2.4810000000000001E-3</v>
      </c>
      <c r="AI2" s="168">
        <v>6.1979029301526998E-4</v>
      </c>
      <c r="AJ2" s="168">
        <v>7.8559237621545505E-5</v>
      </c>
    </row>
    <row r="3" spans="1:36">
      <c r="A3" s="23">
        <v>288</v>
      </c>
      <c r="B3" s="23">
        <v>288</v>
      </c>
      <c r="C3" s="23" t="s">
        <v>1958</v>
      </c>
      <c r="D3" s="23" t="s">
        <v>1959</v>
      </c>
      <c r="E3" s="21" t="s">
        <v>331</v>
      </c>
      <c r="F3" s="23" t="s">
        <v>1960</v>
      </c>
      <c r="G3" s="23" t="s">
        <v>1961</v>
      </c>
      <c r="H3" s="21" t="s">
        <v>339</v>
      </c>
      <c r="I3" s="23" t="s">
        <v>986</v>
      </c>
      <c r="J3" s="21" t="s">
        <v>30</v>
      </c>
      <c r="K3" s="21" t="s">
        <v>30</v>
      </c>
      <c r="L3" s="23" t="s">
        <v>347</v>
      </c>
      <c r="M3" s="21" t="s">
        <v>65</v>
      </c>
      <c r="N3" s="23" t="s">
        <v>481</v>
      </c>
      <c r="O3" s="23" t="s">
        <v>159</v>
      </c>
      <c r="P3" s="23" t="s">
        <v>1962</v>
      </c>
      <c r="Q3" s="23" t="s">
        <v>433</v>
      </c>
      <c r="R3" s="23" t="s">
        <v>424</v>
      </c>
      <c r="S3" s="21" t="s">
        <v>44</v>
      </c>
      <c r="T3" s="157">
        <v>0.69</v>
      </c>
      <c r="U3" s="23" t="s">
        <v>1963</v>
      </c>
      <c r="V3" s="175">
        <v>7.0000000000000007E-2</v>
      </c>
      <c r="W3" s="176">
        <v>1.814E-2</v>
      </c>
      <c r="X3" s="21" t="s">
        <v>429</v>
      </c>
      <c r="Y3" s="21" t="s">
        <v>159</v>
      </c>
      <c r="Z3" s="157">
        <v>212996.5</v>
      </c>
      <c r="AA3" s="177">
        <v>1</v>
      </c>
      <c r="AB3" s="178">
        <v>0.92</v>
      </c>
      <c r="AC3" s="23"/>
      <c r="AD3" s="157">
        <v>1.96</v>
      </c>
      <c r="AE3" s="23"/>
      <c r="AG3" s="21" t="s">
        <v>36</v>
      </c>
      <c r="AH3" s="168">
        <v>0</v>
      </c>
      <c r="AI3" s="168">
        <v>6.3716860775190996E-6</v>
      </c>
      <c r="AJ3" s="168">
        <v>8.0761961949827499E-7</v>
      </c>
    </row>
    <row r="4" spans="1:36">
      <c r="A4" s="23">
        <v>288</v>
      </c>
      <c r="B4" s="23">
        <v>288</v>
      </c>
      <c r="C4" s="23" t="s">
        <v>1964</v>
      </c>
      <c r="D4" s="23" t="s">
        <v>1965</v>
      </c>
      <c r="E4" s="21" t="s">
        <v>1333</v>
      </c>
      <c r="F4" s="23" t="s">
        <v>1966</v>
      </c>
      <c r="G4" s="23" t="s">
        <v>1967</v>
      </c>
      <c r="H4" s="21" t="s">
        <v>339</v>
      </c>
      <c r="I4" s="23" t="s">
        <v>773</v>
      </c>
      <c r="J4" s="21" t="s">
        <v>30</v>
      </c>
      <c r="K4" s="21" t="s">
        <v>30</v>
      </c>
      <c r="L4" s="23" t="s">
        <v>345</v>
      </c>
      <c r="M4" s="21" t="s">
        <v>65</v>
      </c>
      <c r="N4" s="23" t="s">
        <v>480</v>
      </c>
      <c r="O4" s="23" t="s">
        <v>159</v>
      </c>
      <c r="P4" s="23" t="s">
        <v>1968</v>
      </c>
      <c r="Q4" s="23" t="s">
        <v>431</v>
      </c>
      <c r="R4" s="23" t="s">
        <v>424</v>
      </c>
      <c r="S4" s="21" t="s">
        <v>44</v>
      </c>
      <c r="T4" s="157">
        <v>1.9319999999999999</v>
      </c>
      <c r="U4" s="23" t="s">
        <v>114</v>
      </c>
      <c r="V4" s="175">
        <v>2.3400000000000001E-2</v>
      </c>
      <c r="W4" s="176">
        <v>2.674E-2</v>
      </c>
      <c r="X4" s="21" t="s">
        <v>430</v>
      </c>
      <c r="Y4" s="21" t="s">
        <v>159</v>
      </c>
      <c r="Z4" s="157">
        <v>3561844</v>
      </c>
      <c r="AA4" s="177">
        <v>1</v>
      </c>
      <c r="AB4" s="178">
        <v>116.51</v>
      </c>
      <c r="AC4" s="23"/>
      <c r="AD4" s="157">
        <v>4149.9040000000005</v>
      </c>
      <c r="AE4" s="23"/>
      <c r="AG4" s="21" t="s">
        <v>36</v>
      </c>
      <c r="AH4" s="168">
        <v>1.688E-3</v>
      </c>
      <c r="AI4" s="168">
        <v>1.34937348794046E-2</v>
      </c>
      <c r="AJ4" s="168">
        <v>1.7103487046176899E-3</v>
      </c>
    </row>
    <row r="5" spans="1:36">
      <c r="A5" s="23">
        <v>288</v>
      </c>
      <c r="B5" s="23">
        <v>288</v>
      </c>
      <c r="C5" s="23" t="s">
        <v>1964</v>
      </c>
      <c r="D5" s="23" t="s">
        <v>1965</v>
      </c>
      <c r="E5" s="21" t="s">
        <v>1333</v>
      </c>
      <c r="F5" s="23" t="s">
        <v>1969</v>
      </c>
      <c r="G5" s="23" t="s">
        <v>1970</v>
      </c>
      <c r="H5" s="21" t="s">
        <v>339</v>
      </c>
      <c r="I5" s="23" t="s">
        <v>986</v>
      </c>
      <c r="J5" s="21" t="s">
        <v>30</v>
      </c>
      <c r="K5" s="21" t="s">
        <v>30</v>
      </c>
      <c r="L5" s="23" t="s">
        <v>345</v>
      </c>
      <c r="M5" s="21" t="s">
        <v>65</v>
      </c>
      <c r="N5" s="23" t="s">
        <v>480</v>
      </c>
      <c r="O5" s="23" t="s">
        <v>159</v>
      </c>
      <c r="P5" s="23" t="s">
        <v>1968</v>
      </c>
      <c r="Q5" s="23" t="s">
        <v>431</v>
      </c>
      <c r="R5" s="23" t="s">
        <v>424</v>
      </c>
      <c r="S5" s="21" t="s">
        <v>44</v>
      </c>
      <c r="T5" s="157">
        <v>2.5049999999999999</v>
      </c>
      <c r="U5" s="23" t="s">
        <v>1971</v>
      </c>
      <c r="V5" s="175">
        <v>0.05</v>
      </c>
      <c r="W5" s="176">
        <v>4.9320000000000003E-2</v>
      </c>
      <c r="X5" s="21" t="s">
        <v>430</v>
      </c>
      <c r="Y5" s="21" t="s">
        <v>159</v>
      </c>
      <c r="Z5" s="157">
        <v>3000000</v>
      </c>
      <c r="AA5" s="177">
        <v>1</v>
      </c>
      <c r="AB5" s="178">
        <v>101.17</v>
      </c>
      <c r="AC5" s="23"/>
      <c r="AD5" s="157">
        <v>3035.1</v>
      </c>
      <c r="AE5" s="23"/>
      <c r="AG5" s="21" t="s">
        <v>36</v>
      </c>
      <c r="AH5" s="168">
        <v>7.4999999999999997E-3</v>
      </c>
      <c r="AI5" s="168">
        <v>9.8688621102460596E-3</v>
      </c>
      <c r="AJ5" s="168">
        <v>1.25089129712134E-3</v>
      </c>
    </row>
    <row r="6" spans="1:36">
      <c r="A6" s="23">
        <v>288</v>
      </c>
      <c r="B6" s="23">
        <v>288</v>
      </c>
      <c r="C6" s="23" t="s">
        <v>1972</v>
      </c>
      <c r="D6" s="23" t="s">
        <v>1973</v>
      </c>
      <c r="E6" s="21" t="s">
        <v>1333</v>
      </c>
      <c r="F6" s="23" t="s">
        <v>1974</v>
      </c>
      <c r="G6" s="23" t="s">
        <v>1975</v>
      </c>
      <c r="H6" s="21" t="s">
        <v>339</v>
      </c>
      <c r="I6" s="23" t="s">
        <v>773</v>
      </c>
      <c r="J6" s="21" t="s">
        <v>30</v>
      </c>
      <c r="K6" s="21" t="s">
        <v>30</v>
      </c>
      <c r="L6" s="23" t="s">
        <v>345</v>
      </c>
      <c r="M6" s="21" t="s">
        <v>65</v>
      </c>
      <c r="N6" s="23" t="s">
        <v>494</v>
      </c>
      <c r="O6" s="23" t="s">
        <v>159</v>
      </c>
      <c r="P6" s="23" t="s">
        <v>1956</v>
      </c>
      <c r="Q6" s="23" t="s">
        <v>431</v>
      </c>
      <c r="R6" s="23" t="s">
        <v>424</v>
      </c>
      <c r="S6" s="21" t="s">
        <v>44</v>
      </c>
      <c r="T6" s="157">
        <v>2.6259999999999999</v>
      </c>
      <c r="U6" s="23" t="s">
        <v>1976</v>
      </c>
      <c r="V6" s="175">
        <v>3.2300000000000002E-2</v>
      </c>
      <c r="W6" s="176">
        <v>2.9780000000000001E-2</v>
      </c>
      <c r="X6" s="21" t="s">
        <v>430</v>
      </c>
      <c r="Y6" s="21" t="s">
        <v>159</v>
      </c>
      <c r="Z6" s="155">
        <v>596400</v>
      </c>
      <c r="AA6" s="162">
        <v>1</v>
      </c>
      <c r="AB6" s="179">
        <v>108.49</v>
      </c>
      <c r="AC6" s="23"/>
      <c r="AD6" s="155">
        <v>647.03399999999999</v>
      </c>
      <c r="AG6" s="2" t="s">
        <v>36</v>
      </c>
      <c r="AH6" s="168">
        <v>1.1559999999999999E-3</v>
      </c>
      <c r="AI6" s="168">
        <v>2.1038822046823202E-3</v>
      </c>
      <c r="AJ6" s="168">
        <v>2.6666984608825998E-4</v>
      </c>
    </row>
    <row r="7" spans="1:36">
      <c r="A7" s="23">
        <v>288</v>
      </c>
      <c r="B7" s="23">
        <v>288</v>
      </c>
      <c r="C7" s="23" t="s">
        <v>1608</v>
      </c>
      <c r="D7" s="23" t="s">
        <v>1609</v>
      </c>
      <c r="E7" s="21" t="s">
        <v>1333</v>
      </c>
      <c r="F7" s="23" t="s">
        <v>1977</v>
      </c>
      <c r="G7" s="23" t="s">
        <v>1978</v>
      </c>
      <c r="H7" s="21" t="s">
        <v>339</v>
      </c>
      <c r="I7" s="23" t="s">
        <v>773</v>
      </c>
      <c r="J7" s="21" t="s">
        <v>30</v>
      </c>
      <c r="K7" s="21" t="s">
        <v>30</v>
      </c>
      <c r="L7" s="23" t="s">
        <v>345</v>
      </c>
      <c r="M7" s="21" t="s">
        <v>65</v>
      </c>
      <c r="N7" s="23" t="s">
        <v>480</v>
      </c>
      <c r="O7" s="23" t="s">
        <v>159</v>
      </c>
      <c r="P7" s="23" t="s">
        <v>1979</v>
      </c>
      <c r="Q7" s="23" t="s">
        <v>431</v>
      </c>
      <c r="R7" s="23" t="s">
        <v>424</v>
      </c>
      <c r="S7" s="21" t="s">
        <v>44</v>
      </c>
      <c r="T7" s="157">
        <v>6.7370000000000001</v>
      </c>
      <c r="U7" s="23" t="s">
        <v>1980</v>
      </c>
      <c r="V7" s="175">
        <v>2.5600000000000001E-2</v>
      </c>
      <c r="W7" s="176">
        <v>3.4340000000000002E-2</v>
      </c>
      <c r="X7" s="21" t="s">
        <v>430</v>
      </c>
      <c r="Y7" s="21" t="s">
        <v>159</v>
      </c>
      <c r="Z7" s="155">
        <v>1620000</v>
      </c>
      <c r="AA7" s="162">
        <v>1</v>
      </c>
      <c r="AB7" s="179">
        <v>103.64</v>
      </c>
      <c r="AC7" s="23"/>
      <c r="AD7" s="155">
        <v>1678.9680000000001</v>
      </c>
      <c r="AG7" s="2" t="s">
        <v>36</v>
      </c>
      <c r="AH7" s="168">
        <v>1.542E-3</v>
      </c>
      <c r="AI7" s="168">
        <v>5.4592941515981697E-3</v>
      </c>
      <c r="AJ7" s="168">
        <v>6.9197273873850202E-4</v>
      </c>
    </row>
    <row r="8" spans="1:36">
      <c r="A8" s="23">
        <v>288</v>
      </c>
      <c r="B8" s="23">
        <v>288</v>
      </c>
      <c r="C8" s="23" t="s">
        <v>1608</v>
      </c>
      <c r="D8" s="23" t="s">
        <v>1609</v>
      </c>
      <c r="E8" s="21" t="s">
        <v>1333</v>
      </c>
      <c r="F8" s="23" t="s">
        <v>1981</v>
      </c>
      <c r="G8" s="23" t="s">
        <v>1982</v>
      </c>
      <c r="H8" s="21" t="s">
        <v>339</v>
      </c>
      <c r="I8" s="23" t="s">
        <v>986</v>
      </c>
      <c r="J8" s="21" t="s">
        <v>30</v>
      </c>
      <c r="K8" s="21" t="s">
        <v>30</v>
      </c>
      <c r="L8" s="23" t="s">
        <v>345</v>
      </c>
      <c r="M8" s="21" t="s">
        <v>65</v>
      </c>
      <c r="N8" s="23" t="s">
        <v>480</v>
      </c>
      <c r="O8" s="23" t="s">
        <v>159</v>
      </c>
      <c r="P8" s="23" t="s">
        <v>1979</v>
      </c>
      <c r="Q8" s="23" t="s">
        <v>431</v>
      </c>
      <c r="R8" s="23" t="s">
        <v>424</v>
      </c>
      <c r="S8" s="21" t="s">
        <v>44</v>
      </c>
      <c r="T8" s="157">
        <v>4.0880000000000001</v>
      </c>
      <c r="U8" s="23" t="s">
        <v>1983</v>
      </c>
      <c r="V8" s="175">
        <v>2.41E-2</v>
      </c>
      <c r="W8" s="176">
        <v>5.2479999999999999E-2</v>
      </c>
      <c r="X8" s="21" t="s">
        <v>430</v>
      </c>
      <c r="Y8" s="21" t="s">
        <v>159</v>
      </c>
      <c r="Z8" s="157">
        <v>1600000</v>
      </c>
      <c r="AA8" s="177">
        <v>1</v>
      </c>
      <c r="AB8" s="178">
        <v>91.16</v>
      </c>
      <c r="AC8" s="23"/>
      <c r="AD8" s="157">
        <v>1458.56</v>
      </c>
      <c r="AE8" s="23"/>
      <c r="AG8" s="21" t="s">
        <v>36</v>
      </c>
      <c r="AH8" s="168">
        <v>7.7899999999999996E-4</v>
      </c>
      <c r="AI8" s="168">
        <v>4.7426205131694196E-3</v>
      </c>
      <c r="AJ8" s="168">
        <v>6.01133409221872E-4</v>
      </c>
    </row>
    <row r="9" spans="1:36">
      <c r="A9" s="23">
        <v>288</v>
      </c>
      <c r="B9" s="23">
        <v>288</v>
      </c>
      <c r="C9" s="23" t="s">
        <v>1984</v>
      </c>
      <c r="D9" s="23" t="s">
        <v>1985</v>
      </c>
      <c r="E9" s="21" t="s">
        <v>1333</v>
      </c>
      <c r="F9" s="23" t="s">
        <v>1986</v>
      </c>
      <c r="G9" s="23" t="s">
        <v>1987</v>
      </c>
      <c r="H9" s="21" t="s">
        <v>339</v>
      </c>
      <c r="I9" s="23" t="s">
        <v>986</v>
      </c>
      <c r="J9" s="21" t="s">
        <v>30</v>
      </c>
      <c r="K9" s="21" t="s">
        <v>30</v>
      </c>
      <c r="L9" s="23" t="s">
        <v>345</v>
      </c>
      <c r="M9" s="21" t="s">
        <v>65</v>
      </c>
      <c r="N9" s="23" t="s">
        <v>467</v>
      </c>
      <c r="O9" s="23" t="s">
        <v>159</v>
      </c>
      <c r="P9" s="23" t="s">
        <v>1956</v>
      </c>
      <c r="Q9" s="23" t="s">
        <v>431</v>
      </c>
      <c r="R9" s="23" t="s">
        <v>424</v>
      </c>
      <c r="S9" s="21" t="s">
        <v>44</v>
      </c>
      <c r="T9" s="157">
        <v>2.7090000000000001</v>
      </c>
      <c r="U9" s="23" t="s">
        <v>1988</v>
      </c>
      <c r="V9" s="175">
        <v>0.04</v>
      </c>
      <c r="W9" s="176">
        <v>5.1769999999999997E-2</v>
      </c>
      <c r="X9" s="21" t="s">
        <v>430</v>
      </c>
      <c r="Y9" s="21" t="s">
        <v>159</v>
      </c>
      <c r="Z9" s="157">
        <v>4057375.65</v>
      </c>
      <c r="AA9" s="177">
        <v>1</v>
      </c>
      <c r="AB9" s="178">
        <v>98.91</v>
      </c>
      <c r="AC9" s="23"/>
      <c r="AD9" s="157">
        <v>4013.15</v>
      </c>
      <c r="AE9" s="23"/>
      <c r="AG9" s="21" t="s">
        <v>36</v>
      </c>
      <c r="AH9" s="168">
        <v>5.9890000000000004E-3</v>
      </c>
      <c r="AI9" s="168">
        <v>1.30490680697141E-2</v>
      </c>
      <c r="AJ9" s="168">
        <v>1.65398659963063E-3</v>
      </c>
    </row>
    <row r="10" spans="1:36">
      <c r="A10" s="23">
        <v>288</v>
      </c>
      <c r="B10" s="23">
        <v>288</v>
      </c>
      <c r="C10" s="23" t="s">
        <v>1612</v>
      </c>
      <c r="D10" s="23" t="s">
        <v>1613</v>
      </c>
      <c r="E10" s="21" t="s">
        <v>1333</v>
      </c>
      <c r="F10" s="23" t="s">
        <v>1989</v>
      </c>
      <c r="G10" s="23" t="s">
        <v>1990</v>
      </c>
      <c r="H10" s="21" t="s">
        <v>339</v>
      </c>
      <c r="I10" s="23" t="s">
        <v>773</v>
      </c>
      <c r="J10" s="21" t="s">
        <v>30</v>
      </c>
      <c r="K10" s="21" t="s">
        <v>30</v>
      </c>
      <c r="L10" s="23" t="s">
        <v>345</v>
      </c>
      <c r="M10" s="21" t="s">
        <v>65</v>
      </c>
      <c r="N10" s="23" t="s">
        <v>480</v>
      </c>
      <c r="O10" s="23" t="s">
        <v>159</v>
      </c>
      <c r="P10" s="23" t="s">
        <v>1968</v>
      </c>
      <c r="Q10" s="23" t="s">
        <v>431</v>
      </c>
      <c r="R10" s="23" t="s">
        <v>424</v>
      </c>
      <c r="S10" s="21" t="s">
        <v>44</v>
      </c>
      <c r="T10" s="157">
        <v>1.929</v>
      </c>
      <c r="U10" s="23" t="s">
        <v>1991</v>
      </c>
      <c r="V10" s="175">
        <v>3.2000000000000001E-2</v>
      </c>
      <c r="W10" s="176">
        <v>2.4420000000000001E-2</v>
      </c>
      <c r="X10" s="21" t="s">
        <v>430</v>
      </c>
      <c r="Y10" s="21" t="s">
        <v>159</v>
      </c>
      <c r="Z10" s="157">
        <v>2686800</v>
      </c>
      <c r="AA10" s="177">
        <v>1</v>
      </c>
      <c r="AB10" s="178">
        <v>118.5</v>
      </c>
      <c r="AC10" s="23"/>
      <c r="AD10" s="157">
        <v>3183.8580000000002</v>
      </c>
      <c r="AE10" s="23"/>
      <c r="AG10" s="21" t="s">
        <v>36</v>
      </c>
      <c r="AH10" s="168">
        <v>4.8659999999999997E-3</v>
      </c>
      <c r="AI10" s="168">
        <v>1.03525602387413E-2</v>
      </c>
      <c r="AJ10" s="168">
        <v>1.3122006732793499E-3</v>
      </c>
    </row>
    <row r="11" spans="1:36">
      <c r="A11" s="23">
        <v>288</v>
      </c>
      <c r="B11" s="23">
        <v>288</v>
      </c>
      <c r="C11" s="23" t="s">
        <v>1612</v>
      </c>
      <c r="D11" s="23" t="s">
        <v>1613</v>
      </c>
      <c r="E11" s="21" t="s">
        <v>1333</v>
      </c>
      <c r="F11" s="23" t="s">
        <v>1992</v>
      </c>
      <c r="G11" s="23" t="s">
        <v>1993</v>
      </c>
      <c r="H11" s="21" t="s">
        <v>339</v>
      </c>
      <c r="I11" s="23" t="s">
        <v>773</v>
      </c>
      <c r="J11" s="21" t="s">
        <v>30</v>
      </c>
      <c r="K11" s="21" t="s">
        <v>30</v>
      </c>
      <c r="L11" s="23" t="s">
        <v>345</v>
      </c>
      <c r="M11" s="21" t="s">
        <v>65</v>
      </c>
      <c r="N11" s="23" t="s">
        <v>480</v>
      </c>
      <c r="O11" s="23" t="s">
        <v>159</v>
      </c>
      <c r="P11" s="23" t="s">
        <v>1968</v>
      </c>
      <c r="Q11" s="23" t="s">
        <v>431</v>
      </c>
      <c r="R11" s="23" t="s">
        <v>424</v>
      </c>
      <c r="S11" s="21" t="s">
        <v>44</v>
      </c>
      <c r="T11" s="157">
        <v>5.3639999999999999</v>
      </c>
      <c r="U11" s="23" t="s">
        <v>1994</v>
      </c>
      <c r="V11" s="175">
        <v>9.1999999999999998E-3</v>
      </c>
      <c r="W11" s="176">
        <v>2.8989999999999998E-2</v>
      </c>
      <c r="X11" s="21" t="s">
        <v>430</v>
      </c>
      <c r="Y11" s="21" t="s">
        <v>159</v>
      </c>
      <c r="Z11" s="157">
        <v>587250</v>
      </c>
      <c r="AA11" s="177">
        <v>1</v>
      </c>
      <c r="AB11" s="178">
        <v>103.99</v>
      </c>
      <c r="AC11" s="157">
        <v>6.2380000000000004</v>
      </c>
      <c r="AD11" s="157">
        <v>616.91899999999998</v>
      </c>
      <c r="AE11" s="23"/>
      <c r="AG11" s="21" t="s">
        <v>36</v>
      </c>
      <c r="AH11" s="168">
        <v>2.2699999999999999E-4</v>
      </c>
      <c r="AI11" s="168">
        <v>2.0059604843320599E-3</v>
      </c>
      <c r="AJ11" s="168">
        <v>2.54258138799522E-4</v>
      </c>
    </row>
    <row r="12" spans="1:36">
      <c r="A12" s="23">
        <v>288</v>
      </c>
      <c r="B12" s="23">
        <v>288</v>
      </c>
      <c r="C12" s="23" t="s">
        <v>1616</v>
      </c>
      <c r="D12" s="23" t="s">
        <v>1617</v>
      </c>
      <c r="E12" s="21" t="s">
        <v>1333</v>
      </c>
      <c r="F12" s="23" t="s">
        <v>1995</v>
      </c>
      <c r="G12" s="23" t="s">
        <v>1996</v>
      </c>
      <c r="H12" s="21" t="s">
        <v>339</v>
      </c>
      <c r="I12" s="23" t="s">
        <v>986</v>
      </c>
      <c r="J12" s="21" t="s">
        <v>30</v>
      </c>
      <c r="K12" s="21" t="s">
        <v>125</v>
      </c>
      <c r="L12" s="23" t="s">
        <v>345</v>
      </c>
      <c r="M12" s="21" t="s">
        <v>65</v>
      </c>
      <c r="N12" s="23" t="s">
        <v>457</v>
      </c>
      <c r="O12" s="23" t="s">
        <v>159</v>
      </c>
      <c r="P12" s="23" t="s">
        <v>1997</v>
      </c>
      <c r="Q12" s="23" t="s">
        <v>433</v>
      </c>
      <c r="R12" s="23" t="s">
        <v>424</v>
      </c>
      <c r="S12" s="21" t="s">
        <v>44</v>
      </c>
      <c r="T12" s="157">
        <v>1.4850000000000001</v>
      </c>
      <c r="U12" s="23" t="s">
        <v>1998</v>
      </c>
      <c r="V12" s="175">
        <v>3.4500000000000003E-2</v>
      </c>
      <c r="W12" s="176">
        <v>5.194E-2</v>
      </c>
      <c r="X12" s="21" t="s">
        <v>430</v>
      </c>
      <c r="Y12" s="21" t="s">
        <v>159</v>
      </c>
      <c r="Z12" s="157">
        <v>1630434.8</v>
      </c>
      <c r="AA12" s="177">
        <v>1</v>
      </c>
      <c r="AB12" s="178">
        <v>98.71</v>
      </c>
      <c r="AC12" s="23"/>
      <c r="AD12" s="157">
        <v>1609.402</v>
      </c>
      <c r="AE12" s="23"/>
      <c r="AG12" s="21" t="s">
        <v>36</v>
      </c>
      <c r="AH12" s="168">
        <v>2.5370000000000002E-3</v>
      </c>
      <c r="AI12" s="168">
        <v>5.2330955499642201E-3</v>
      </c>
      <c r="AJ12" s="168">
        <v>6.6330176745082298E-4</v>
      </c>
    </row>
    <row r="13" spans="1:36">
      <c r="A13" s="23">
        <v>288</v>
      </c>
      <c r="B13" s="23">
        <v>288</v>
      </c>
      <c r="C13" s="23" t="s">
        <v>1620</v>
      </c>
      <c r="D13" s="23" t="s">
        <v>1621</v>
      </c>
      <c r="E13" s="21" t="s">
        <v>1333</v>
      </c>
      <c r="F13" s="23" t="s">
        <v>1999</v>
      </c>
      <c r="G13" s="23" t="s">
        <v>2000</v>
      </c>
      <c r="H13" s="21" t="s">
        <v>339</v>
      </c>
      <c r="I13" s="23" t="s">
        <v>986</v>
      </c>
      <c r="J13" s="21" t="s">
        <v>30</v>
      </c>
      <c r="K13" s="21" t="s">
        <v>30</v>
      </c>
      <c r="L13" s="23" t="s">
        <v>345</v>
      </c>
      <c r="M13" s="21" t="s">
        <v>65</v>
      </c>
      <c r="N13" s="23" t="s">
        <v>457</v>
      </c>
      <c r="O13" s="23" t="s">
        <v>159</v>
      </c>
      <c r="P13" s="23" t="s">
        <v>1997</v>
      </c>
      <c r="Q13" s="23" t="s">
        <v>431</v>
      </c>
      <c r="R13" s="23" t="s">
        <v>424</v>
      </c>
      <c r="S13" s="21" t="s">
        <v>44</v>
      </c>
      <c r="T13" s="157">
        <v>2.6240000000000001</v>
      </c>
      <c r="U13" s="23" t="s">
        <v>2001</v>
      </c>
      <c r="V13" s="175">
        <v>2.0500000000000001E-2</v>
      </c>
      <c r="W13" s="176">
        <v>5.1389999999999998E-2</v>
      </c>
      <c r="X13" s="21" t="s">
        <v>430</v>
      </c>
      <c r="Y13" s="21" t="s">
        <v>159</v>
      </c>
      <c r="Z13" s="157">
        <v>1350000.52</v>
      </c>
      <c r="AA13" s="177">
        <v>1</v>
      </c>
      <c r="AB13" s="178">
        <v>93.15</v>
      </c>
      <c r="AC13" s="23"/>
      <c r="AD13" s="157">
        <v>1257.5250000000001</v>
      </c>
      <c r="AE13" s="23"/>
      <c r="AG13" s="21" t="s">
        <v>36</v>
      </c>
      <c r="AH13" s="168">
        <v>3.0200000000000001E-3</v>
      </c>
      <c r="AI13" s="168">
        <v>4.0889412557960601E-3</v>
      </c>
      <c r="AJ13" s="168">
        <v>5.1827870064223396E-4</v>
      </c>
    </row>
    <row r="14" spans="1:36">
      <c r="A14" s="23">
        <v>288</v>
      </c>
      <c r="B14" s="23">
        <v>288</v>
      </c>
      <c r="C14" s="23" t="s">
        <v>2002</v>
      </c>
      <c r="D14" s="23" t="s">
        <v>2003</v>
      </c>
      <c r="E14" s="21" t="s">
        <v>1333</v>
      </c>
      <c r="F14" s="23" t="s">
        <v>2004</v>
      </c>
      <c r="G14" s="23" t="s">
        <v>2005</v>
      </c>
      <c r="H14" s="21" t="s">
        <v>339</v>
      </c>
      <c r="I14" s="23" t="s">
        <v>774</v>
      </c>
      <c r="J14" s="21" t="s">
        <v>30</v>
      </c>
      <c r="K14" s="21" t="s">
        <v>30</v>
      </c>
      <c r="L14" s="23" t="s">
        <v>345</v>
      </c>
      <c r="M14" s="21" t="s">
        <v>65</v>
      </c>
      <c r="N14" s="23" t="s">
        <v>456</v>
      </c>
      <c r="O14" s="23" t="s">
        <v>159</v>
      </c>
      <c r="P14" s="23" t="s">
        <v>1956</v>
      </c>
      <c r="Q14" s="23" t="s">
        <v>431</v>
      </c>
      <c r="R14" s="23" t="s">
        <v>424</v>
      </c>
      <c r="S14" s="21" t="s">
        <v>44</v>
      </c>
      <c r="T14" s="157">
        <v>0.48499999999999999</v>
      </c>
      <c r="U14" s="23" t="s">
        <v>2006</v>
      </c>
      <c r="V14" s="175">
        <v>4.7E-2</v>
      </c>
      <c r="W14" s="176">
        <v>5.704E-2</v>
      </c>
      <c r="X14" s="21" t="s">
        <v>430</v>
      </c>
      <c r="Y14" s="21" t="s">
        <v>159</v>
      </c>
      <c r="Z14" s="157">
        <v>1235294.1100000001</v>
      </c>
      <c r="AA14" s="177">
        <v>1</v>
      </c>
      <c r="AB14" s="178">
        <v>100.61</v>
      </c>
      <c r="AC14" s="23"/>
      <c r="AD14" s="157">
        <v>1242.829</v>
      </c>
      <c r="AE14" s="23"/>
      <c r="AG14" s="21" t="s">
        <v>36</v>
      </c>
      <c r="AH14" s="168">
        <v>5.0369999999999998E-3</v>
      </c>
      <c r="AI14" s="168">
        <v>4.0411558154050901E-3</v>
      </c>
      <c r="AJ14" s="168">
        <v>5.1222183300679298E-4</v>
      </c>
    </row>
    <row r="15" spans="1:36">
      <c r="A15" s="23">
        <v>288</v>
      </c>
      <c r="B15" s="23">
        <v>288</v>
      </c>
      <c r="C15" s="23" t="s">
        <v>2002</v>
      </c>
      <c r="D15" s="23" t="s">
        <v>2003</v>
      </c>
      <c r="E15" s="21" t="s">
        <v>1333</v>
      </c>
      <c r="F15" s="23" t="s">
        <v>2007</v>
      </c>
      <c r="G15" s="23" t="s">
        <v>2008</v>
      </c>
      <c r="H15" s="21" t="s">
        <v>339</v>
      </c>
      <c r="I15" s="23" t="s">
        <v>986</v>
      </c>
      <c r="J15" s="21" t="s">
        <v>30</v>
      </c>
      <c r="K15" s="21" t="s">
        <v>30</v>
      </c>
      <c r="L15" s="23" t="s">
        <v>345</v>
      </c>
      <c r="M15" s="21" t="s">
        <v>65</v>
      </c>
      <c r="N15" s="23" t="s">
        <v>456</v>
      </c>
      <c r="O15" s="23" t="s">
        <v>159</v>
      </c>
      <c r="P15" s="23" t="s">
        <v>1956</v>
      </c>
      <c r="Q15" s="23" t="s">
        <v>431</v>
      </c>
      <c r="R15" s="23" t="s">
        <v>424</v>
      </c>
      <c r="S15" s="21" t="s">
        <v>44</v>
      </c>
      <c r="T15" s="157">
        <v>2.9350000000000001</v>
      </c>
      <c r="U15" s="23" t="s">
        <v>2009</v>
      </c>
      <c r="V15" s="175">
        <v>0.05</v>
      </c>
      <c r="W15" s="176">
        <v>5.4080000000000003E-2</v>
      </c>
      <c r="X15" s="21" t="s">
        <v>430</v>
      </c>
      <c r="Y15" s="21" t="s">
        <v>159</v>
      </c>
      <c r="Z15" s="157">
        <v>1410000</v>
      </c>
      <c r="AA15" s="177">
        <v>1</v>
      </c>
      <c r="AB15" s="178">
        <v>100.36</v>
      </c>
      <c r="AC15" s="23"/>
      <c r="AD15" s="157">
        <v>1415.076</v>
      </c>
      <c r="AE15" s="23"/>
      <c r="AG15" s="21" t="s">
        <v>36</v>
      </c>
      <c r="AH15" s="168">
        <v>1.3619999999999999E-3</v>
      </c>
      <c r="AI15" s="168">
        <v>4.6012289280480201E-3</v>
      </c>
      <c r="AJ15" s="168">
        <v>5.8321183920308402E-4</v>
      </c>
    </row>
    <row r="16" spans="1:36">
      <c r="A16" s="23">
        <v>288</v>
      </c>
      <c r="B16" s="23">
        <v>288</v>
      </c>
      <c r="C16" s="23" t="s">
        <v>1628</v>
      </c>
      <c r="D16" s="23" t="s">
        <v>1629</v>
      </c>
      <c r="E16" s="21" t="s">
        <v>1333</v>
      </c>
      <c r="F16" s="23" t="s">
        <v>2010</v>
      </c>
      <c r="G16" s="23" t="s">
        <v>2011</v>
      </c>
      <c r="H16" s="21" t="s">
        <v>339</v>
      </c>
      <c r="I16" s="23" t="s">
        <v>986</v>
      </c>
      <c r="J16" s="21" t="s">
        <v>30</v>
      </c>
      <c r="K16" s="21" t="s">
        <v>30</v>
      </c>
      <c r="L16" s="23" t="s">
        <v>345</v>
      </c>
      <c r="M16" s="21" t="s">
        <v>65</v>
      </c>
      <c r="N16" s="23" t="s">
        <v>501</v>
      </c>
      <c r="O16" s="23" t="s">
        <v>159</v>
      </c>
      <c r="P16" s="23" t="s">
        <v>1968</v>
      </c>
      <c r="Q16" s="23" t="s">
        <v>431</v>
      </c>
      <c r="R16" s="23" t="s">
        <v>424</v>
      </c>
      <c r="S16" s="21" t="s">
        <v>44</v>
      </c>
      <c r="T16" s="157">
        <v>0.90300000000000002</v>
      </c>
      <c r="U16" s="23" t="s">
        <v>2012</v>
      </c>
      <c r="V16" s="175">
        <v>3.6499999999999998E-2</v>
      </c>
      <c r="W16" s="176">
        <v>4.4740000000000002E-2</v>
      </c>
      <c r="X16" s="21" t="s">
        <v>430</v>
      </c>
      <c r="Y16" s="21" t="s">
        <v>159</v>
      </c>
      <c r="Z16" s="157">
        <v>83333.33</v>
      </c>
      <c r="AA16" s="177">
        <v>1</v>
      </c>
      <c r="AB16" s="178">
        <v>99.62</v>
      </c>
      <c r="AC16" s="23"/>
      <c r="AD16" s="157">
        <v>83.016999999999996</v>
      </c>
      <c r="AE16" s="23"/>
      <c r="AG16" s="21" t="s">
        <v>36</v>
      </c>
      <c r="AH16" s="168">
        <v>1.56E-4</v>
      </c>
      <c r="AI16" s="168">
        <v>2.6993509387314798E-4</v>
      </c>
      <c r="AJ16" s="168">
        <v>3.4214629401193898E-5</v>
      </c>
    </row>
    <row r="17" spans="1:36">
      <c r="A17" s="23">
        <v>288</v>
      </c>
      <c r="B17" s="23">
        <v>288</v>
      </c>
      <c r="C17" s="23" t="s">
        <v>1727</v>
      </c>
      <c r="D17" s="23" t="s">
        <v>1728</v>
      </c>
      <c r="E17" s="21" t="s">
        <v>1333</v>
      </c>
      <c r="F17" s="23" t="s">
        <v>2013</v>
      </c>
      <c r="G17" s="23" t="s">
        <v>2014</v>
      </c>
      <c r="H17" s="21" t="s">
        <v>339</v>
      </c>
      <c r="I17" s="23" t="s">
        <v>773</v>
      </c>
      <c r="J17" s="21" t="s">
        <v>30</v>
      </c>
      <c r="K17" s="21" t="s">
        <v>30</v>
      </c>
      <c r="L17" s="23" t="s">
        <v>345</v>
      </c>
      <c r="M17" s="21" t="s">
        <v>65</v>
      </c>
      <c r="N17" s="23" t="s">
        <v>480</v>
      </c>
      <c r="O17" s="23" t="s">
        <v>159</v>
      </c>
      <c r="P17" s="23" t="s">
        <v>1979</v>
      </c>
      <c r="Q17" s="23" t="s">
        <v>431</v>
      </c>
      <c r="R17" s="23" t="s">
        <v>424</v>
      </c>
      <c r="S17" s="21" t="s">
        <v>44</v>
      </c>
      <c r="T17" s="157">
        <v>0.35299999999999998</v>
      </c>
      <c r="U17" s="23" t="s">
        <v>2015</v>
      </c>
      <c r="V17" s="175">
        <v>2.5000000000000001E-2</v>
      </c>
      <c r="W17" s="176">
        <v>3.1620000000000002E-2</v>
      </c>
      <c r="X17" s="21" t="s">
        <v>430</v>
      </c>
      <c r="Y17" s="21" t="s">
        <v>159</v>
      </c>
      <c r="Z17" s="157">
        <v>1300329.1100000001</v>
      </c>
      <c r="AA17" s="177">
        <v>1</v>
      </c>
      <c r="AB17" s="178">
        <v>115.6</v>
      </c>
      <c r="AC17" s="23"/>
      <c r="AD17" s="157">
        <v>1503.18</v>
      </c>
      <c r="AE17" s="23"/>
      <c r="AG17" s="21" t="s">
        <v>36</v>
      </c>
      <c r="AH17" s="168">
        <v>5.522E-3</v>
      </c>
      <c r="AI17" s="168">
        <v>4.88770735702794E-3</v>
      </c>
      <c r="AJ17" s="168">
        <v>6.1952335816249096E-4</v>
      </c>
    </row>
    <row r="18" spans="1:36">
      <c r="A18" s="23">
        <v>288</v>
      </c>
      <c r="B18" s="23">
        <v>288</v>
      </c>
      <c r="C18" s="23" t="s">
        <v>1727</v>
      </c>
      <c r="D18" s="23" t="s">
        <v>1728</v>
      </c>
      <c r="E18" s="21" t="s">
        <v>1333</v>
      </c>
      <c r="F18" s="23" t="s">
        <v>2016</v>
      </c>
      <c r="G18" s="23" t="s">
        <v>2017</v>
      </c>
      <c r="H18" s="21" t="s">
        <v>339</v>
      </c>
      <c r="I18" s="23" t="s">
        <v>773</v>
      </c>
      <c r="J18" s="21" t="s">
        <v>30</v>
      </c>
      <c r="K18" s="21" t="s">
        <v>30</v>
      </c>
      <c r="L18" s="23" t="s">
        <v>345</v>
      </c>
      <c r="M18" s="21" t="s">
        <v>65</v>
      </c>
      <c r="N18" s="23" t="s">
        <v>480</v>
      </c>
      <c r="O18" s="23" t="s">
        <v>159</v>
      </c>
      <c r="P18" s="23" t="s">
        <v>1979</v>
      </c>
      <c r="Q18" s="23" t="s">
        <v>433</v>
      </c>
      <c r="R18" s="23" t="s">
        <v>424</v>
      </c>
      <c r="S18" s="21" t="s">
        <v>44</v>
      </c>
      <c r="T18" s="157">
        <v>4.2210000000000001</v>
      </c>
      <c r="U18" s="23" t="s">
        <v>2018</v>
      </c>
      <c r="V18" s="175">
        <v>1.17E-2</v>
      </c>
      <c r="W18" s="176">
        <v>2.8000000000000001E-2</v>
      </c>
      <c r="X18" s="21" t="s">
        <v>430</v>
      </c>
      <c r="Y18" s="21" t="s">
        <v>159</v>
      </c>
      <c r="Z18" s="157">
        <v>839160</v>
      </c>
      <c r="AA18" s="177">
        <v>1</v>
      </c>
      <c r="AB18" s="178">
        <v>107.59</v>
      </c>
      <c r="AC18" s="23"/>
      <c r="AD18" s="157">
        <v>902.85199999999998</v>
      </c>
      <c r="AE18" s="23"/>
      <c r="AG18" s="21" t="s">
        <v>36</v>
      </c>
      <c r="AH18" s="168">
        <v>1.219E-3</v>
      </c>
      <c r="AI18" s="168">
        <v>2.9356938163362799E-3</v>
      </c>
      <c r="AJ18" s="168">
        <v>3.7210306566705397E-4</v>
      </c>
    </row>
    <row r="19" spans="1:36">
      <c r="A19" s="23">
        <v>288</v>
      </c>
      <c r="B19" s="23">
        <v>288</v>
      </c>
      <c r="C19" s="23" t="s">
        <v>1727</v>
      </c>
      <c r="D19" s="23" t="s">
        <v>1728</v>
      </c>
      <c r="E19" s="21" t="s">
        <v>1333</v>
      </c>
      <c r="F19" s="23" t="s">
        <v>2019</v>
      </c>
      <c r="G19" s="23" t="s">
        <v>2020</v>
      </c>
      <c r="H19" s="21" t="s">
        <v>339</v>
      </c>
      <c r="I19" s="23" t="s">
        <v>773</v>
      </c>
      <c r="J19" s="21" t="s">
        <v>30</v>
      </c>
      <c r="K19" s="21" t="s">
        <v>30</v>
      </c>
      <c r="L19" s="23" t="s">
        <v>345</v>
      </c>
      <c r="M19" s="21" t="s">
        <v>65</v>
      </c>
      <c r="N19" s="23" t="s">
        <v>480</v>
      </c>
      <c r="O19" s="23" t="s">
        <v>159</v>
      </c>
      <c r="P19" s="23" t="s">
        <v>1979</v>
      </c>
      <c r="Q19" s="23" t="s">
        <v>431</v>
      </c>
      <c r="R19" s="23" t="s">
        <v>424</v>
      </c>
      <c r="S19" s="21" t="s">
        <v>44</v>
      </c>
      <c r="T19" s="157">
        <v>5.1269999999999998</v>
      </c>
      <c r="U19" s="23" t="s">
        <v>2021</v>
      </c>
      <c r="V19" s="175">
        <v>1.8700000000000001E-2</v>
      </c>
      <c r="W19" s="176">
        <v>3.0720000000000001E-2</v>
      </c>
      <c r="X19" s="21" t="s">
        <v>430</v>
      </c>
      <c r="Y19" s="21" t="s">
        <v>159</v>
      </c>
      <c r="Z19" s="157">
        <v>3354844.26</v>
      </c>
      <c r="AA19" s="177">
        <v>1</v>
      </c>
      <c r="AB19" s="178">
        <v>104.45</v>
      </c>
      <c r="AC19" s="23"/>
      <c r="AD19" s="157">
        <v>3504.1350000000002</v>
      </c>
      <c r="AE19" s="23"/>
      <c r="AG19" s="21" t="s">
        <v>36</v>
      </c>
      <c r="AH19" s="168">
        <v>3.2780000000000001E-3</v>
      </c>
      <c r="AI19" s="168">
        <v>1.13939650913436E-2</v>
      </c>
      <c r="AJ19" s="168">
        <v>1.4442001127636299E-3</v>
      </c>
    </row>
    <row r="20" spans="1:36">
      <c r="A20" s="2">
        <v>288</v>
      </c>
      <c r="B20" s="2">
        <v>288</v>
      </c>
      <c r="C20" s="2" t="s">
        <v>2022</v>
      </c>
      <c r="D20" s="2" t="s">
        <v>2023</v>
      </c>
      <c r="E20" s="21" t="s">
        <v>1333</v>
      </c>
      <c r="F20" s="2" t="s">
        <v>2024</v>
      </c>
      <c r="G20" s="2" t="s">
        <v>2025</v>
      </c>
      <c r="H20" s="21" t="s">
        <v>339</v>
      </c>
      <c r="I20" s="23" t="s">
        <v>773</v>
      </c>
      <c r="J20" s="21" t="s">
        <v>30</v>
      </c>
      <c r="K20" s="21" t="s">
        <v>30</v>
      </c>
      <c r="L20" s="23" t="s">
        <v>345</v>
      </c>
      <c r="M20" s="21" t="s">
        <v>65</v>
      </c>
      <c r="N20" s="23" t="s">
        <v>464</v>
      </c>
      <c r="O20" s="23" t="s">
        <v>159</v>
      </c>
      <c r="P20" s="2" t="s">
        <v>132</v>
      </c>
      <c r="Q20" s="23" t="s">
        <v>431</v>
      </c>
      <c r="R20" s="23" t="s">
        <v>424</v>
      </c>
      <c r="S20" s="2" t="s">
        <v>44</v>
      </c>
      <c r="T20" s="155">
        <v>0.68799999999999994</v>
      </c>
      <c r="U20" s="2" t="s">
        <v>2026</v>
      </c>
      <c r="V20" s="166">
        <v>1E-3</v>
      </c>
      <c r="W20" s="168">
        <v>2.2620000000000001E-2</v>
      </c>
      <c r="X20" s="21" t="s">
        <v>430</v>
      </c>
      <c r="Y20" s="21" t="s">
        <v>159</v>
      </c>
      <c r="Z20" s="155">
        <v>2674000</v>
      </c>
      <c r="AA20" s="162">
        <v>1</v>
      </c>
      <c r="AB20" s="179">
        <v>112.9</v>
      </c>
      <c r="AD20" s="155">
        <v>3018.9459999999999</v>
      </c>
      <c r="AG20" s="2" t="s">
        <v>36</v>
      </c>
      <c r="AH20" s="168">
        <v>1.7830000000000001E-3</v>
      </c>
      <c r="AI20" s="168">
        <v>9.8163361313560998E-3</v>
      </c>
      <c r="AJ20" s="168">
        <v>1.24423355997473E-3</v>
      </c>
    </row>
    <row r="21" spans="1:36">
      <c r="A21" s="2">
        <v>288</v>
      </c>
      <c r="B21" s="2">
        <v>288</v>
      </c>
      <c r="C21" s="2" t="s">
        <v>2027</v>
      </c>
      <c r="D21" s="2" t="s">
        <v>2028</v>
      </c>
      <c r="E21" s="4" t="s">
        <v>1333</v>
      </c>
      <c r="F21" s="2" t="s">
        <v>2029</v>
      </c>
      <c r="G21" s="2" t="s">
        <v>2030</v>
      </c>
      <c r="H21" s="4" t="s">
        <v>339</v>
      </c>
      <c r="I21" s="2" t="s">
        <v>986</v>
      </c>
      <c r="J21" s="2" t="s">
        <v>30</v>
      </c>
      <c r="K21" s="2" t="s">
        <v>30</v>
      </c>
      <c r="L21" s="2" t="s">
        <v>345</v>
      </c>
      <c r="M21" s="4" t="s">
        <v>65</v>
      </c>
      <c r="N21" s="2" t="s">
        <v>456</v>
      </c>
      <c r="O21" s="2" t="s">
        <v>159</v>
      </c>
      <c r="P21" s="2" t="s">
        <v>1962</v>
      </c>
      <c r="Q21" s="2" t="s">
        <v>433</v>
      </c>
      <c r="R21" s="2" t="s">
        <v>424</v>
      </c>
      <c r="S21" s="2" t="s">
        <v>44</v>
      </c>
      <c r="T21" s="155">
        <v>2.87</v>
      </c>
      <c r="U21" s="2" t="s">
        <v>1971</v>
      </c>
      <c r="V21" s="166">
        <v>7.2499999999999995E-2</v>
      </c>
      <c r="W21" s="168">
        <v>5.8200000000000002E-2</v>
      </c>
      <c r="X21" s="4" t="s">
        <v>430</v>
      </c>
      <c r="Y21" s="4" t="s">
        <v>159</v>
      </c>
      <c r="Z21" s="155">
        <v>1343724.3</v>
      </c>
      <c r="AA21" s="162">
        <v>1</v>
      </c>
      <c r="AB21" s="179">
        <v>106.14</v>
      </c>
      <c r="AD21" s="155">
        <v>1426.229</v>
      </c>
      <c r="AG21" s="2" t="s">
        <v>36</v>
      </c>
      <c r="AH21" s="168">
        <v>1.866E-3</v>
      </c>
      <c r="AI21" s="168">
        <v>4.6374936781336303E-3</v>
      </c>
      <c r="AJ21" s="168">
        <v>5.8780844413763497E-4</v>
      </c>
    </row>
    <row r="22" spans="1:36">
      <c r="A22" s="2">
        <v>288</v>
      </c>
      <c r="B22" s="2">
        <v>288</v>
      </c>
      <c r="C22" s="2" t="s">
        <v>2031</v>
      </c>
      <c r="D22" s="2" t="s">
        <v>2032</v>
      </c>
      <c r="E22" s="4" t="s">
        <v>1333</v>
      </c>
      <c r="F22" s="2" t="s">
        <v>2033</v>
      </c>
      <c r="G22" s="2" t="s">
        <v>2034</v>
      </c>
      <c r="H22" s="4" t="s">
        <v>339</v>
      </c>
      <c r="I22" s="2" t="s">
        <v>773</v>
      </c>
      <c r="J22" s="2" t="s">
        <v>30</v>
      </c>
      <c r="K22" s="2" t="s">
        <v>30</v>
      </c>
      <c r="L22" s="2" t="s">
        <v>345</v>
      </c>
      <c r="M22" s="4" t="s">
        <v>65</v>
      </c>
      <c r="N22" s="2" t="s">
        <v>480</v>
      </c>
      <c r="O22" s="2" t="s">
        <v>159</v>
      </c>
      <c r="P22" s="2" t="s">
        <v>1968</v>
      </c>
      <c r="Q22" s="2" t="s">
        <v>431</v>
      </c>
      <c r="R22" s="2" t="s">
        <v>424</v>
      </c>
      <c r="S22" s="2" t="s">
        <v>44</v>
      </c>
      <c r="T22" s="155">
        <v>3.7469999999999999</v>
      </c>
      <c r="U22" s="2" t="s">
        <v>2035</v>
      </c>
      <c r="V22" s="166">
        <v>5.0000000000000001E-3</v>
      </c>
      <c r="W22" s="168">
        <v>2.8590000000000001E-2</v>
      </c>
      <c r="X22" s="4" t="s">
        <v>430</v>
      </c>
      <c r="Y22" s="4" t="s">
        <v>159</v>
      </c>
      <c r="Z22" s="155">
        <v>940429.02</v>
      </c>
      <c r="AA22" s="162">
        <v>1</v>
      </c>
      <c r="AB22" s="179">
        <v>105.22</v>
      </c>
      <c r="AD22" s="155">
        <v>989.51900000000001</v>
      </c>
      <c r="AG22" s="2" t="s">
        <v>36</v>
      </c>
      <c r="AH22" s="168">
        <v>5.8399999999999999E-4</v>
      </c>
      <c r="AI22" s="168">
        <v>3.2174988173394002E-3</v>
      </c>
      <c r="AJ22" s="168">
        <v>4.0782222146254298E-4</v>
      </c>
    </row>
    <row r="23" spans="1:36">
      <c r="A23" s="2">
        <v>288</v>
      </c>
      <c r="B23" s="2">
        <v>288</v>
      </c>
      <c r="C23" s="2" t="s">
        <v>2031</v>
      </c>
      <c r="D23" s="2" t="s">
        <v>2032</v>
      </c>
      <c r="E23" s="4" t="s">
        <v>1333</v>
      </c>
      <c r="F23" s="2" t="s">
        <v>2036</v>
      </c>
      <c r="G23" s="2" t="s">
        <v>2037</v>
      </c>
      <c r="H23" s="4" t="s">
        <v>339</v>
      </c>
      <c r="I23" s="2" t="s">
        <v>773</v>
      </c>
      <c r="J23" s="2" t="s">
        <v>30</v>
      </c>
      <c r="K23" s="2" t="s">
        <v>30</v>
      </c>
      <c r="L23" s="2" t="s">
        <v>345</v>
      </c>
      <c r="M23" s="2" t="s">
        <v>65</v>
      </c>
      <c r="N23" s="2" t="s">
        <v>480</v>
      </c>
      <c r="O23" s="2" t="s">
        <v>159</v>
      </c>
      <c r="P23" s="2" t="s">
        <v>1968</v>
      </c>
      <c r="Q23" s="2" t="s">
        <v>431</v>
      </c>
      <c r="R23" s="2" t="s">
        <v>424</v>
      </c>
      <c r="S23" s="2" t="s">
        <v>44</v>
      </c>
      <c r="T23" s="155">
        <v>0.72899999999999998</v>
      </c>
      <c r="U23" s="2" t="s">
        <v>1343</v>
      </c>
      <c r="V23" s="166">
        <v>4.7500000000000001E-2</v>
      </c>
      <c r="W23" s="168">
        <v>2.5069999999999999E-2</v>
      </c>
      <c r="X23" s="4" t="s">
        <v>430</v>
      </c>
      <c r="Y23" s="4" t="s">
        <v>159</v>
      </c>
      <c r="Z23" s="155">
        <v>1044730.77</v>
      </c>
      <c r="AA23" s="162">
        <v>1</v>
      </c>
      <c r="AB23" s="179">
        <v>143.82</v>
      </c>
      <c r="AD23" s="155">
        <v>1502.5319999999999</v>
      </c>
      <c r="AG23" s="2" t="s">
        <v>36</v>
      </c>
      <c r="AH23" s="168">
        <v>1.093E-3</v>
      </c>
      <c r="AI23" s="168">
        <v>4.8855981962582697E-3</v>
      </c>
      <c r="AJ23" s="168">
        <v>6.1925601925132503E-4</v>
      </c>
    </row>
    <row r="24" spans="1:36">
      <c r="A24" s="2">
        <v>288</v>
      </c>
      <c r="B24" s="2">
        <v>288</v>
      </c>
      <c r="C24" s="2" t="s">
        <v>2038</v>
      </c>
      <c r="D24" s="2" t="s">
        <v>2039</v>
      </c>
      <c r="E24" s="4" t="s">
        <v>1333</v>
      </c>
      <c r="F24" s="2" t="s">
        <v>2040</v>
      </c>
      <c r="G24" s="2" t="s">
        <v>2041</v>
      </c>
      <c r="H24" s="2" t="s">
        <v>339</v>
      </c>
      <c r="I24" s="2" t="s">
        <v>773</v>
      </c>
      <c r="J24" s="2" t="s">
        <v>30</v>
      </c>
      <c r="K24" s="2" t="s">
        <v>316</v>
      </c>
      <c r="L24" s="2" t="s">
        <v>345</v>
      </c>
      <c r="M24" s="2" t="s">
        <v>65</v>
      </c>
      <c r="N24" s="2" t="s">
        <v>481</v>
      </c>
      <c r="O24" s="2" t="s">
        <v>159</v>
      </c>
      <c r="P24" s="2" t="s">
        <v>1962</v>
      </c>
      <c r="Q24" s="2" t="s">
        <v>431</v>
      </c>
      <c r="R24" s="2" t="s">
        <v>424</v>
      </c>
      <c r="S24" s="2" t="s">
        <v>44</v>
      </c>
      <c r="T24" s="155">
        <v>1.641</v>
      </c>
      <c r="U24" s="2" t="s">
        <v>2042</v>
      </c>
      <c r="V24" s="166">
        <v>0.04</v>
      </c>
      <c r="W24" s="168">
        <v>3.8879999999999998E-2</v>
      </c>
      <c r="X24" s="4" t="s">
        <v>430</v>
      </c>
      <c r="Y24" s="4" t="s">
        <v>159</v>
      </c>
      <c r="Z24" s="155">
        <v>2700000</v>
      </c>
      <c r="AA24" s="162">
        <v>1</v>
      </c>
      <c r="AB24" s="179">
        <v>115.3</v>
      </c>
      <c r="AD24" s="155">
        <v>3113.1</v>
      </c>
      <c r="AG24" s="2" t="s">
        <v>36</v>
      </c>
      <c r="AH24" s="168">
        <v>1.4790000000000001E-3</v>
      </c>
      <c r="AI24" s="168">
        <v>1.0122485135714499E-2</v>
      </c>
      <c r="AJ24" s="168">
        <v>1.28303835032403E-3</v>
      </c>
    </row>
    <row r="25" spans="1:36">
      <c r="A25" s="2">
        <v>288</v>
      </c>
      <c r="B25" s="2">
        <v>288</v>
      </c>
      <c r="C25" s="2" t="s">
        <v>2043</v>
      </c>
      <c r="D25" s="2" t="s">
        <v>2044</v>
      </c>
      <c r="E25" s="4" t="s">
        <v>1333</v>
      </c>
      <c r="F25" s="2" t="s">
        <v>2045</v>
      </c>
      <c r="G25" s="2" t="s">
        <v>2046</v>
      </c>
      <c r="H25" s="2" t="s">
        <v>339</v>
      </c>
      <c r="I25" s="2" t="s">
        <v>986</v>
      </c>
      <c r="J25" s="2" t="s">
        <v>30</v>
      </c>
      <c r="K25" s="2" t="s">
        <v>30</v>
      </c>
      <c r="L25" s="2" t="s">
        <v>345</v>
      </c>
      <c r="M25" s="2" t="s">
        <v>65</v>
      </c>
      <c r="N25" s="2" t="s">
        <v>456</v>
      </c>
      <c r="O25" s="2" t="s">
        <v>159</v>
      </c>
      <c r="P25" s="2" t="s">
        <v>1997</v>
      </c>
      <c r="Q25" s="2" t="s">
        <v>433</v>
      </c>
      <c r="R25" s="2" t="s">
        <v>424</v>
      </c>
      <c r="S25" s="2" t="s">
        <v>44</v>
      </c>
      <c r="T25" s="155">
        <v>1.6759999999999999</v>
      </c>
      <c r="U25" s="2" t="s">
        <v>2047</v>
      </c>
      <c r="V25" s="166">
        <v>3.2899999999999999E-2</v>
      </c>
      <c r="W25" s="168">
        <v>4.9000000000000002E-2</v>
      </c>
      <c r="X25" s="4" t="s">
        <v>430</v>
      </c>
      <c r="Y25" s="4" t="s">
        <v>159</v>
      </c>
      <c r="Z25" s="155">
        <v>478999.99</v>
      </c>
      <c r="AA25" s="162">
        <v>1</v>
      </c>
      <c r="AB25" s="179">
        <v>98.29</v>
      </c>
      <c r="AD25" s="155">
        <v>470.80900000000003</v>
      </c>
      <c r="AG25" s="2" t="s">
        <v>36</v>
      </c>
      <c r="AH25" s="168">
        <v>6.7000000000000002E-4</v>
      </c>
      <c r="AI25" s="168">
        <v>1.53087212650259E-3</v>
      </c>
      <c r="AJ25" s="168">
        <v>1.94040062436335E-4</v>
      </c>
    </row>
    <row r="26" spans="1:36">
      <c r="A26" s="2">
        <v>288</v>
      </c>
      <c r="B26" s="2">
        <v>288</v>
      </c>
      <c r="C26" s="2" t="s">
        <v>2048</v>
      </c>
      <c r="D26" s="2" t="s">
        <v>2049</v>
      </c>
      <c r="E26" s="4" t="s">
        <v>1333</v>
      </c>
      <c r="F26" s="2" t="s">
        <v>2050</v>
      </c>
      <c r="G26" s="2" t="s">
        <v>2051</v>
      </c>
      <c r="H26" s="2" t="s">
        <v>339</v>
      </c>
      <c r="I26" s="2" t="s">
        <v>773</v>
      </c>
      <c r="J26" s="2" t="s">
        <v>30</v>
      </c>
      <c r="K26" s="2" t="s">
        <v>30</v>
      </c>
      <c r="L26" s="2" t="s">
        <v>345</v>
      </c>
      <c r="M26" s="2" t="s">
        <v>65</v>
      </c>
      <c r="N26" s="2" t="s">
        <v>464</v>
      </c>
      <c r="O26" s="2" t="s">
        <v>159</v>
      </c>
      <c r="P26" s="2" t="s">
        <v>132</v>
      </c>
      <c r="Q26" s="2" t="s">
        <v>431</v>
      </c>
      <c r="R26" s="2" t="s">
        <v>424</v>
      </c>
      <c r="S26" s="2" t="s">
        <v>44</v>
      </c>
      <c r="T26" s="155">
        <v>3.738</v>
      </c>
      <c r="U26" s="2" t="s">
        <v>2052</v>
      </c>
      <c r="V26" s="166">
        <v>2E-3</v>
      </c>
      <c r="W26" s="168">
        <v>2.384E-2</v>
      </c>
      <c r="X26" s="4" t="s">
        <v>430</v>
      </c>
      <c r="Y26" s="4" t="s">
        <v>159</v>
      </c>
      <c r="Z26" s="155">
        <v>3574015.71</v>
      </c>
      <c r="AA26" s="162">
        <v>1</v>
      </c>
      <c r="AB26" s="179">
        <v>103.66</v>
      </c>
      <c r="AD26" s="155">
        <v>3704.8249999999998</v>
      </c>
      <c r="AG26" s="2" t="s">
        <v>36</v>
      </c>
      <c r="AH26" s="168">
        <v>9.8299999999999993E-4</v>
      </c>
      <c r="AI26" s="168">
        <v>1.20465236594388E-2</v>
      </c>
      <c r="AJ26" s="168">
        <v>1.52691277249821E-3</v>
      </c>
    </row>
    <row r="27" spans="1:36">
      <c r="A27" s="2">
        <v>288</v>
      </c>
      <c r="B27" s="2">
        <v>288</v>
      </c>
      <c r="C27" s="2" t="s">
        <v>2048</v>
      </c>
      <c r="D27" s="2" t="s">
        <v>2049</v>
      </c>
      <c r="E27" s="4" t="s">
        <v>1333</v>
      </c>
      <c r="F27" s="2" t="s">
        <v>2053</v>
      </c>
      <c r="G27" s="2" t="s">
        <v>2054</v>
      </c>
      <c r="H27" s="2" t="s">
        <v>339</v>
      </c>
      <c r="I27" s="2" t="s">
        <v>773</v>
      </c>
      <c r="J27" s="2" t="s">
        <v>30</v>
      </c>
      <c r="K27" s="2" t="s">
        <v>30</v>
      </c>
      <c r="L27" s="2" t="s">
        <v>345</v>
      </c>
      <c r="M27" s="2" t="s">
        <v>65</v>
      </c>
      <c r="N27" s="2" t="s">
        <v>464</v>
      </c>
      <c r="O27" s="2" t="s">
        <v>159</v>
      </c>
      <c r="P27" s="2" t="s">
        <v>132</v>
      </c>
      <c r="Q27" s="2" t="s">
        <v>431</v>
      </c>
      <c r="R27" s="2" t="s">
        <v>424</v>
      </c>
      <c r="S27" s="2" t="s">
        <v>44</v>
      </c>
      <c r="T27" s="155">
        <v>4.8170000000000002</v>
      </c>
      <c r="U27" s="2" t="s">
        <v>2055</v>
      </c>
      <c r="V27" s="166">
        <v>2.47E-2</v>
      </c>
      <c r="W27" s="168">
        <v>2.4309999999999998E-2</v>
      </c>
      <c r="X27" s="4" t="s">
        <v>430</v>
      </c>
      <c r="Y27" s="4" t="s">
        <v>159</v>
      </c>
      <c r="Z27" s="155">
        <v>3900000</v>
      </c>
      <c r="AA27" s="162">
        <v>1</v>
      </c>
      <c r="AB27" s="179">
        <v>104.01</v>
      </c>
      <c r="AD27" s="155">
        <v>4056.39</v>
      </c>
      <c r="AG27" s="2" t="s">
        <v>36</v>
      </c>
      <c r="AH27" s="168">
        <v>1.364E-3</v>
      </c>
      <c r="AI27" s="168">
        <v>1.3189665439485E-2</v>
      </c>
      <c r="AJ27" s="168">
        <v>1.67180750180556E-3</v>
      </c>
    </row>
    <row r="28" spans="1:36">
      <c r="A28" s="2">
        <v>288</v>
      </c>
      <c r="B28" s="2">
        <v>288</v>
      </c>
      <c r="C28" s="2" t="s">
        <v>1739</v>
      </c>
      <c r="D28" s="2" t="s">
        <v>1740</v>
      </c>
      <c r="E28" s="4" t="s">
        <v>1333</v>
      </c>
      <c r="F28" s="2" t="s">
        <v>2056</v>
      </c>
      <c r="G28" s="2" t="s">
        <v>2057</v>
      </c>
      <c r="H28" s="2" t="s">
        <v>339</v>
      </c>
      <c r="I28" s="2" t="s">
        <v>986</v>
      </c>
      <c r="J28" s="2" t="s">
        <v>30</v>
      </c>
      <c r="K28" s="2" t="s">
        <v>30</v>
      </c>
      <c r="L28" s="2" t="s">
        <v>345</v>
      </c>
      <c r="M28" s="2" t="s">
        <v>65</v>
      </c>
      <c r="N28" s="2" t="s">
        <v>453</v>
      </c>
      <c r="O28" s="2" t="s">
        <v>159</v>
      </c>
      <c r="P28" s="2" t="s">
        <v>1979</v>
      </c>
      <c r="Q28" s="2" t="s">
        <v>431</v>
      </c>
      <c r="R28" s="2" t="s">
        <v>424</v>
      </c>
      <c r="S28" s="2" t="s">
        <v>44</v>
      </c>
      <c r="T28" s="155">
        <v>2.0129999999999999</v>
      </c>
      <c r="U28" s="2" t="s">
        <v>2058</v>
      </c>
      <c r="V28" s="166">
        <v>0.05</v>
      </c>
      <c r="W28" s="168">
        <v>4.9630000000000001E-2</v>
      </c>
      <c r="X28" s="4" t="s">
        <v>430</v>
      </c>
      <c r="Y28" s="4" t="s">
        <v>159</v>
      </c>
      <c r="Z28" s="155">
        <v>1666668.61</v>
      </c>
      <c r="AA28" s="162">
        <v>1</v>
      </c>
      <c r="AB28" s="179">
        <v>101.87</v>
      </c>
      <c r="AD28" s="155">
        <v>1697.835</v>
      </c>
      <c r="AG28" s="2" t="s">
        <v>36</v>
      </c>
      <c r="AH28" s="168">
        <v>7.4679999999999998E-3</v>
      </c>
      <c r="AI28" s="168">
        <v>5.5206426773327204E-3</v>
      </c>
      <c r="AJ28" s="168">
        <v>6.99748745341421E-4</v>
      </c>
    </row>
    <row r="29" spans="1:36">
      <c r="A29" s="2">
        <v>288</v>
      </c>
      <c r="B29" s="2">
        <v>288</v>
      </c>
      <c r="C29" s="2" t="s">
        <v>2059</v>
      </c>
      <c r="D29" s="2" t="s">
        <v>2060</v>
      </c>
      <c r="E29" s="4" t="s">
        <v>1333</v>
      </c>
      <c r="F29" s="2" t="s">
        <v>2061</v>
      </c>
      <c r="G29" s="2" t="s">
        <v>2062</v>
      </c>
      <c r="H29" s="2" t="s">
        <v>339</v>
      </c>
      <c r="I29" s="2" t="s">
        <v>773</v>
      </c>
      <c r="J29" s="2" t="s">
        <v>30</v>
      </c>
      <c r="K29" s="2" t="s">
        <v>30</v>
      </c>
      <c r="L29" s="2" t="s">
        <v>345</v>
      </c>
      <c r="M29" s="2" t="s">
        <v>65</v>
      </c>
      <c r="N29" s="2" t="s">
        <v>480</v>
      </c>
      <c r="O29" s="2" t="s">
        <v>159</v>
      </c>
      <c r="P29" s="2" t="s">
        <v>1997</v>
      </c>
      <c r="Q29" s="2" t="s">
        <v>431</v>
      </c>
      <c r="R29" s="2" t="s">
        <v>424</v>
      </c>
      <c r="S29" s="2" t="s">
        <v>44</v>
      </c>
      <c r="T29" s="155">
        <v>2.7250000000000001</v>
      </c>
      <c r="U29" s="2" t="s">
        <v>2063</v>
      </c>
      <c r="V29" s="166">
        <v>1.7999999999999999E-2</v>
      </c>
      <c r="W29" s="168">
        <v>2.852E-2</v>
      </c>
      <c r="X29" s="4" t="s">
        <v>430</v>
      </c>
      <c r="Y29" s="4" t="s">
        <v>159</v>
      </c>
      <c r="Z29" s="155">
        <v>1659495.24</v>
      </c>
      <c r="AA29" s="162">
        <v>1</v>
      </c>
      <c r="AB29" s="179">
        <v>113.09</v>
      </c>
      <c r="AD29" s="155">
        <v>1876.723</v>
      </c>
      <c r="AG29" s="2" t="s">
        <v>36</v>
      </c>
      <c r="AH29" s="168">
        <v>2.2439999999999999E-3</v>
      </c>
      <c r="AI29" s="168">
        <v>6.1023103533321202E-3</v>
      </c>
      <c r="AJ29" s="168">
        <v>7.73475890943043E-4</v>
      </c>
    </row>
    <row r="30" spans="1:36">
      <c r="A30" s="2">
        <v>288</v>
      </c>
      <c r="B30" s="2">
        <v>288</v>
      </c>
      <c r="C30" s="2" t="s">
        <v>2059</v>
      </c>
      <c r="D30" s="2" t="s">
        <v>2060</v>
      </c>
      <c r="E30" s="4" t="s">
        <v>1333</v>
      </c>
      <c r="F30" s="2" t="s">
        <v>2064</v>
      </c>
      <c r="G30" s="2" t="s">
        <v>2065</v>
      </c>
      <c r="H30" s="2" t="s">
        <v>339</v>
      </c>
      <c r="I30" s="2" t="s">
        <v>773</v>
      </c>
      <c r="J30" s="2" t="s">
        <v>30</v>
      </c>
      <c r="K30" s="2" t="s">
        <v>30</v>
      </c>
      <c r="L30" s="2" t="s">
        <v>345</v>
      </c>
      <c r="M30" s="2" t="s">
        <v>65</v>
      </c>
      <c r="N30" s="2" t="s">
        <v>480</v>
      </c>
      <c r="O30" s="2" t="s">
        <v>159</v>
      </c>
      <c r="P30" s="2" t="s">
        <v>1962</v>
      </c>
      <c r="Q30" s="2" t="s">
        <v>431</v>
      </c>
      <c r="R30" s="2" t="s">
        <v>424</v>
      </c>
      <c r="S30" s="2" t="s">
        <v>44</v>
      </c>
      <c r="T30" s="155">
        <v>1.458</v>
      </c>
      <c r="U30" s="2" t="s">
        <v>2042</v>
      </c>
      <c r="V30" s="166">
        <v>2.2499999999999999E-2</v>
      </c>
      <c r="W30" s="168">
        <v>2.929E-2</v>
      </c>
      <c r="X30" s="4" t="s">
        <v>430</v>
      </c>
      <c r="Y30" s="4" t="s">
        <v>159</v>
      </c>
      <c r="Z30" s="155">
        <v>840000.24</v>
      </c>
      <c r="AA30" s="162">
        <v>1</v>
      </c>
      <c r="AB30" s="179">
        <v>114.85</v>
      </c>
      <c r="AD30" s="155">
        <v>964.74</v>
      </c>
      <c r="AG30" s="2" t="s">
        <v>36</v>
      </c>
      <c r="AH30" s="168">
        <v>2.2430000000000002E-3</v>
      </c>
      <c r="AI30" s="168">
        <v>3.1369275320391201E-3</v>
      </c>
      <c r="AJ30" s="168">
        <v>3.9760970471500802E-4</v>
      </c>
    </row>
    <row r="31" spans="1:36">
      <c r="A31" s="2">
        <v>288</v>
      </c>
      <c r="B31" s="2">
        <v>288</v>
      </c>
      <c r="C31" s="2" t="s">
        <v>1640</v>
      </c>
      <c r="D31" s="2" t="s">
        <v>1641</v>
      </c>
      <c r="E31" s="4" t="s">
        <v>1333</v>
      </c>
      <c r="F31" s="2" t="s">
        <v>2066</v>
      </c>
      <c r="G31" s="2" t="s">
        <v>2067</v>
      </c>
      <c r="H31" s="2" t="s">
        <v>339</v>
      </c>
      <c r="I31" s="2" t="s">
        <v>773</v>
      </c>
      <c r="J31" s="2" t="s">
        <v>30</v>
      </c>
      <c r="K31" s="2" t="s">
        <v>30</v>
      </c>
      <c r="L31" s="2" t="s">
        <v>345</v>
      </c>
      <c r="M31" s="2" t="s">
        <v>65</v>
      </c>
      <c r="N31" s="2" t="s">
        <v>461</v>
      </c>
      <c r="O31" s="2" t="s">
        <v>159</v>
      </c>
      <c r="P31" s="2" t="s">
        <v>1968</v>
      </c>
      <c r="Q31" s="2" t="s">
        <v>431</v>
      </c>
      <c r="R31" s="2" t="s">
        <v>424</v>
      </c>
      <c r="S31" s="2" t="s">
        <v>44</v>
      </c>
      <c r="T31" s="155">
        <v>4.2949999999999999</v>
      </c>
      <c r="U31" s="2" t="s">
        <v>2068</v>
      </c>
      <c r="V31" s="166">
        <v>4.4000000000000003E-3</v>
      </c>
      <c r="W31" s="168">
        <v>2.496E-2</v>
      </c>
      <c r="X31" s="4" t="s">
        <v>430</v>
      </c>
      <c r="Y31" s="4" t="s">
        <v>159</v>
      </c>
      <c r="Z31" s="155">
        <v>1235977.58</v>
      </c>
      <c r="AA31" s="162">
        <v>1</v>
      </c>
      <c r="AB31" s="179">
        <v>105.47</v>
      </c>
      <c r="AD31" s="155">
        <v>1303.586</v>
      </c>
      <c r="AG31" s="2" t="s">
        <v>36</v>
      </c>
      <c r="AH31" s="168">
        <v>1.449E-3</v>
      </c>
      <c r="AI31" s="168">
        <v>4.2387091290711203E-3</v>
      </c>
      <c r="AJ31" s="168">
        <v>5.3726197623928996E-4</v>
      </c>
    </row>
    <row r="32" spans="1:36">
      <c r="A32" s="2">
        <v>288</v>
      </c>
      <c r="B32" s="2">
        <v>288</v>
      </c>
      <c r="C32" s="2" t="s">
        <v>2069</v>
      </c>
      <c r="D32" s="2" t="s">
        <v>2070</v>
      </c>
      <c r="E32" s="4" t="s">
        <v>1333</v>
      </c>
      <c r="F32" s="2" t="s">
        <v>2071</v>
      </c>
      <c r="G32" s="2" t="s">
        <v>2072</v>
      </c>
      <c r="H32" s="2" t="s">
        <v>339</v>
      </c>
      <c r="I32" s="2" t="s">
        <v>986</v>
      </c>
      <c r="J32" s="2" t="s">
        <v>30</v>
      </c>
      <c r="K32" s="2" t="s">
        <v>30</v>
      </c>
      <c r="L32" s="2" t="s">
        <v>345</v>
      </c>
      <c r="M32" s="2" t="s">
        <v>65</v>
      </c>
      <c r="N32" s="2" t="s">
        <v>461</v>
      </c>
      <c r="O32" s="2" t="s">
        <v>159</v>
      </c>
      <c r="P32" s="2" t="s">
        <v>1979</v>
      </c>
      <c r="Q32" s="2" t="s">
        <v>431</v>
      </c>
      <c r="R32" s="2" t="s">
        <v>424</v>
      </c>
      <c r="S32" s="2" t="s">
        <v>44</v>
      </c>
      <c r="T32" s="155">
        <v>1.4690000000000001</v>
      </c>
      <c r="U32" s="2" t="s">
        <v>2073</v>
      </c>
      <c r="V32" s="166">
        <v>2.9100000000000001E-2</v>
      </c>
      <c r="W32" s="168">
        <v>4.8120000000000003E-2</v>
      </c>
      <c r="X32" s="4" t="s">
        <v>430</v>
      </c>
      <c r="Y32" s="4" t="s">
        <v>159</v>
      </c>
      <c r="Z32" s="155">
        <v>50000</v>
      </c>
      <c r="AA32" s="162">
        <v>1</v>
      </c>
      <c r="AB32" s="179">
        <v>97.39</v>
      </c>
      <c r="AD32" s="155">
        <v>48.695</v>
      </c>
      <c r="AG32" s="2" t="s">
        <v>36</v>
      </c>
      <c r="AH32" s="168">
        <v>8.2999999999999998E-5</v>
      </c>
      <c r="AI32" s="168">
        <v>1.5833555416903299E-4</v>
      </c>
      <c r="AJ32" s="168">
        <v>2.0069240457752201E-5</v>
      </c>
    </row>
    <row r="33" spans="1:36">
      <c r="A33" s="2">
        <v>288</v>
      </c>
      <c r="B33" s="2">
        <v>288</v>
      </c>
      <c r="C33" s="2" t="s">
        <v>2069</v>
      </c>
      <c r="D33" s="2" t="s">
        <v>2070</v>
      </c>
      <c r="E33" s="4" t="s">
        <v>1333</v>
      </c>
      <c r="F33" s="2" t="s">
        <v>2074</v>
      </c>
      <c r="G33" s="2" t="s">
        <v>2075</v>
      </c>
      <c r="H33" s="2" t="s">
        <v>339</v>
      </c>
      <c r="I33" s="2" t="s">
        <v>986</v>
      </c>
      <c r="J33" s="2" t="s">
        <v>30</v>
      </c>
      <c r="K33" s="2" t="s">
        <v>30</v>
      </c>
      <c r="L33" s="2" t="s">
        <v>345</v>
      </c>
      <c r="M33" s="2" t="s">
        <v>65</v>
      </c>
      <c r="N33" s="2" t="s">
        <v>461</v>
      </c>
      <c r="O33" s="2" t="s">
        <v>159</v>
      </c>
      <c r="P33" s="2" t="s">
        <v>1979</v>
      </c>
      <c r="Q33" s="2" t="s">
        <v>431</v>
      </c>
      <c r="R33" s="2" t="s">
        <v>424</v>
      </c>
      <c r="S33" s="2" t="s">
        <v>44</v>
      </c>
      <c r="T33" s="155">
        <v>5.4950000000000001</v>
      </c>
      <c r="U33" s="2" t="s">
        <v>2076</v>
      </c>
      <c r="V33" s="166">
        <v>3.0499999999999999E-2</v>
      </c>
      <c r="W33" s="168">
        <v>4.9079999999999999E-2</v>
      </c>
      <c r="X33" s="4" t="s">
        <v>430</v>
      </c>
      <c r="Y33" s="4" t="s">
        <v>159</v>
      </c>
      <c r="Z33" s="155">
        <v>5200000</v>
      </c>
      <c r="AA33" s="162">
        <v>1</v>
      </c>
      <c r="AB33" s="179">
        <v>90.73</v>
      </c>
      <c r="AD33" s="155">
        <v>4717.96</v>
      </c>
      <c r="AG33" s="2" t="s">
        <v>36</v>
      </c>
      <c r="AH33" s="168">
        <v>7.1339999999999997E-3</v>
      </c>
      <c r="AI33" s="168">
        <v>1.53408114004997E-2</v>
      </c>
      <c r="AJ33" s="168">
        <v>1.9444680913863199E-3</v>
      </c>
    </row>
    <row r="34" spans="1:36">
      <c r="A34" s="2">
        <v>288</v>
      </c>
      <c r="B34" s="2">
        <v>288</v>
      </c>
      <c r="C34" s="2" t="s">
        <v>1743</v>
      </c>
      <c r="D34" s="2" t="s">
        <v>1744</v>
      </c>
      <c r="E34" s="4" t="s">
        <v>1333</v>
      </c>
      <c r="F34" s="2" t="s">
        <v>2077</v>
      </c>
      <c r="G34" s="2" t="s">
        <v>2078</v>
      </c>
      <c r="H34" s="2" t="s">
        <v>339</v>
      </c>
      <c r="I34" s="2" t="s">
        <v>986</v>
      </c>
      <c r="J34" s="2" t="s">
        <v>30</v>
      </c>
      <c r="K34" s="2" t="s">
        <v>30</v>
      </c>
      <c r="L34" s="2" t="s">
        <v>345</v>
      </c>
      <c r="M34" s="2" t="s">
        <v>65</v>
      </c>
      <c r="N34" s="2" t="s">
        <v>461</v>
      </c>
      <c r="O34" s="2" t="s">
        <v>159</v>
      </c>
      <c r="P34" s="2" t="s">
        <v>1968</v>
      </c>
      <c r="Q34" s="2" t="s">
        <v>433</v>
      </c>
      <c r="R34" s="2" t="s">
        <v>424</v>
      </c>
      <c r="S34" s="2" t="s">
        <v>44</v>
      </c>
      <c r="T34" s="155">
        <v>5.093</v>
      </c>
      <c r="U34" s="2" t="s">
        <v>2079</v>
      </c>
      <c r="V34" s="166">
        <v>1.95E-2</v>
      </c>
      <c r="W34" s="168">
        <v>4.8559999999999999E-2</v>
      </c>
      <c r="X34" s="4" t="s">
        <v>430</v>
      </c>
      <c r="Y34" s="4" t="s">
        <v>159</v>
      </c>
      <c r="Z34" s="155">
        <v>0.1</v>
      </c>
      <c r="AA34" s="162">
        <v>1</v>
      </c>
      <c r="AB34" s="179">
        <v>86.35</v>
      </c>
      <c r="AD34" s="155">
        <v>0</v>
      </c>
      <c r="AG34" s="2" t="s">
        <v>36</v>
      </c>
      <c r="AH34" s="168">
        <v>0</v>
      </c>
      <c r="AI34" s="168">
        <v>2.8077369550253603E-10</v>
      </c>
      <c r="AJ34" s="168">
        <v>3.5588436462201596E-11</v>
      </c>
    </row>
    <row r="35" spans="1:36">
      <c r="A35" s="2">
        <v>288</v>
      </c>
      <c r="B35" s="2">
        <v>288</v>
      </c>
      <c r="C35" s="2" t="s">
        <v>2080</v>
      </c>
      <c r="D35" s="2" t="s">
        <v>2081</v>
      </c>
      <c r="E35" s="4" t="s">
        <v>1333</v>
      </c>
      <c r="F35" s="2" t="s">
        <v>2082</v>
      </c>
      <c r="G35" s="2" t="s">
        <v>2083</v>
      </c>
      <c r="H35" s="2" t="s">
        <v>339</v>
      </c>
      <c r="I35" s="2" t="s">
        <v>986</v>
      </c>
      <c r="J35" s="2" t="s">
        <v>30</v>
      </c>
      <c r="K35" s="2" t="s">
        <v>30</v>
      </c>
      <c r="L35" s="2" t="s">
        <v>345</v>
      </c>
      <c r="M35" s="2" t="s">
        <v>65</v>
      </c>
      <c r="N35" s="2" t="s">
        <v>467</v>
      </c>
      <c r="O35" s="2" t="s">
        <v>159</v>
      </c>
      <c r="P35" s="2" t="s">
        <v>1956</v>
      </c>
      <c r="Q35" s="2" t="s">
        <v>431</v>
      </c>
      <c r="R35" s="2" t="s">
        <v>424</v>
      </c>
      <c r="S35" s="2" t="s">
        <v>44</v>
      </c>
      <c r="T35" s="155">
        <v>2.1040000000000001</v>
      </c>
      <c r="U35" s="2" t="s">
        <v>2084</v>
      </c>
      <c r="V35" s="166">
        <v>2.1999999999999999E-2</v>
      </c>
      <c r="W35" s="168">
        <v>4.913E-2</v>
      </c>
      <c r="X35" s="4" t="s">
        <v>430</v>
      </c>
      <c r="Y35" s="4" t="s">
        <v>159</v>
      </c>
      <c r="Z35" s="155">
        <v>3347068.16</v>
      </c>
      <c r="AA35" s="162">
        <v>1</v>
      </c>
      <c r="AB35" s="179">
        <v>94.62</v>
      </c>
      <c r="AD35" s="155">
        <v>3166.9960000000001</v>
      </c>
      <c r="AG35" s="2" t="s">
        <v>36</v>
      </c>
      <c r="AH35" s="168">
        <v>3.088E-3</v>
      </c>
      <c r="AI35" s="168">
        <v>1.0297731795213899E-2</v>
      </c>
      <c r="AJ35" s="168">
        <v>1.3052510957011999E-3</v>
      </c>
    </row>
    <row r="36" spans="1:36">
      <c r="A36" s="2">
        <v>288</v>
      </c>
      <c r="B36" s="2">
        <v>288</v>
      </c>
      <c r="C36" s="2" t="s">
        <v>2085</v>
      </c>
      <c r="D36" s="2" t="s">
        <v>2086</v>
      </c>
      <c r="E36" s="4" t="s">
        <v>1333</v>
      </c>
      <c r="F36" s="2" t="s">
        <v>2087</v>
      </c>
      <c r="G36" s="2" t="s">
        <v>2088</v>
      </c>
      <c r="H36" s="2" t="s">
        <v>339</v>
      </c>
      <c r="I36" s="2" t="s">
        <v>773</v>
      </c>
      <c r="J36" s="2" t="s">
        <v>30</v>
      </c>
      <c r="K36" s="2" t="s">
        <v>30</v>
      </c>
      <c r="L36" s="2" t="s">
        <v>345</v>
      </c>
      <c r="M36" s="2" t="s">
        <v>65</v>
      </c>
      <c r="N36" s="2" t="s">
        <v>456</v>
      </c>
      <c r="O36" s="2" t="s">
        <v>159</v>
      </c>
      <c r="P36" s="2" t="s">
        <v>126</v>
      </c>
      <c r="Q36" s="2" t="s">
        <v>431</v>
      </c>
      <c r="R36" s="2" t="s">
        <v>424</v>
      </c>
      <c r="S36" s="2" t="s">
        <v>44</v>
      </c>
      <c r="T36" s="155">
        <v>0.64500000000000002</v>
      </c>
      <c r="U36" s="2" t="s">
        <v>2089</v>
      </c>
      <c r="V36" s="166">
        <v>4.4999999999999998E-2</v>
      </c>
      <c r="W36" s="168">
        <v>2.8240000000000001E-2</v>
      </c>
      <c r="X36" s="4" t="s">
        <v>430</v>
      </c>
      <c r="Y36" s="4" t="s">
        <v>159</v>
      </c>
      <c r="Z36" s="155">
        <v>6601552</v>
      </c>
      <c r="AA36" s="162">
        <v>1</v>
      </c>
      <c r="AB36" s="179">
        <v>119.91</v>
      </c>
      <c r="AD36" s="155">
        <v>7915.9210000000003</v>
      </c>
      <c r="AG36" s="2" t="s">
        <v>36</v>
      </c>
      <c r="AH36" s="168">
        <v>2.2339999999999999E-3</v>
      </c>
      <c r="AI36" s="168">
        <v>2.5739228643597099E-2</v>
      </c>
      <c r="AJ36" s="168">
        <v>3.2624812004885899E-3</v>
      </c>
    </row>
    <row r="37" spans="1:36">
      <c r="A37" s="2">
        <v>288</v>
      </c>
      <c r="B37" s="2">
        <v>288</v>
      </c>
      <c r="C37" s="2" t="s">
        <v>2085</v>
      </c>
      <c r="D37" s="2" t="s">
        <v>2086</v>
      </c>
      <c r="E37" s="4" t="s">
        <v>1333</v>
      </c>
      <c r="F37" s="2" t="s">
        <v>2090</v>
      </c>
      <c r="G37" s="2" t="s">
        <v>2091</v>
      </c>
      <c r="H37" s="2" t="s">
        <v>339</v>
      </c>
      <c r="I37" s="2" t="s">
        <v>773</v>
      </c>
      <c r="J37" s="2" t="s">
        <v>30</v>
      </c>
      <c r="K37" s="2" t="s">
        <v>30</v>
      </c>
      <c r="L37" s="2" t="s">
        <v>345</v>
      </c>
      <c r="M37" s="2" t="s">
        <v>65</v>
      </c>
      <c r="N37" s="2" t="s">
        <v>456</v>
      </c>
      <c r="O37" s="2" t="s">
        <v>159</v>
      </c>
      <c r="P37" s="2" t="s">
        <v>126</v>
      </c>
      <c r="Q37" s="2" t="s">
        <v>431</v>
      </c>
      <c r="R37" s="2" t="s">
        <v>424</v>
      </c>
      <c r="S37" s="2" t="s">
        <v>44</v>
      </c>
      <c r="T37" s="155">
        <v>3.1850000000000001</v>
      </c>
      <c r="U37" s="2" t="s">
        <v>2092</v>
      </c>
      <c r="V37" s="166">
        <v>3.85E-2</v>
      </c>
      <c r="W37" s="168">
        <v>2.4279999999999999E-2</v>
      </c>
      <c r="X37" s="4" t="s">
        <v>430</v>
      </c>
      <c r="Y37" s="4" t="s">
        <v>159</v>
      </c>
      <c r="Z37" s="155">
        <v>1272340.45</v>
      </c>
      <c r="AA37" s="162">
        <v>1</v>
      </c>
      <c r="AB37" s="179">
        <v>122.39</v>
      </c>
      <c r="AD37" s="155">
        <v>1557.2170000000001</v>
      </c>
      <c r="AG37" s="2" t="s">
        <v>36</v>
      </c>
      <c r="AH37" s="168">
        <v>4.9799999999999996E-4</v>
      </c>
      <c r="AI37" s="168">
        <v>5.0634129200884297E-3</v>
      </c>
      <c r="AJ37" s="168">
        <v>6.41794270171687E-4</v>
      </c>
    </row>
    <row r="38" spans="1:36">
      <c r="A38" s="2">
        <v>288</v>
      </c>
      <c r="B38" s="2">
        <v>288</v>
      </c>
      <c r="C38" s="2" t="s">
        <v>2085</v>
      </c>
      <c r="D38" s="2" t="s">
        <v>2086</v>
      </c>
      <c r="E38" s="4" t="s">
        <v>1333</v>
      </c>
      <c r="F38" s="2" t="s">
        <v>2093</v>
      </c>
      <c r="G38" s="2" t="s">
        <v>2094</v>
      </c>
      <c r="H38" s="2" t="s">
        <v>339</v>
      </c>
      <c r="I38" s="2" t="s">
        <v>773</v>
      </c>
      <c r="J38" s="2" t="s">
        <v>30</v>
      </c>
      <c r="K38" s="2" t="s">
        <v>30</v>
      </c>
      <c r="L38" s="2" t="s">
        <v>345</v>
      </c>
      <c r="M38" s="2" t="s">
        <v>65</v>
      </c>
      <c r="N38" s="2" t="s">
        <v>456</v>
      </c>
      <c r="O38" s="2" t="s">
        <v>159</v>
      </c>
      <c r="P38" s="2" t="s">
        <v>126</v>
      </c>
      <c r="Q38" s="2" t="s">
        <v>431</v>
      </c>
      <c r="R38" s="2" t="s">
        <v>424</v>
      </c>
      <c r="S38" s="2" t="s">
        <v>44</v>
      </c>
      <c r="T38" s="155">
        <v>5.55</v>
      </c>
      <c r="U38" s="2" t="s">
        <v>2095</v>
      </c>
      <c r="V38" s="166">
        <v>2.3900000000000001E-2</v>
      </c>
      <c r="W38" s="168">
        <v>2.5940000000000001E-2</v>
      </c>
      <c r="X38" s="4" t="s">
        <v>430</v>
      </c>
      <c r="Y38" s="4" t="s">
        <v>159</v>
      </c>
      <c r="Z38" s="155">
        <v>3200000</v>
      </c>
      <c r="AA38" s="162">
        <v>1</v>
      </c>
      <c r="AB38" s="179">
        <v>114.47</v>
      </c>
      <c r="AD38" s="155">
        <v>3663.04</v>
      </c>
      <c r="AG38" s="2" t="s">
        <v>36</v>
      </c>
      <c r="AH38" s="168">
        <v>8.2299999999999995E-4</v>
      </c>
      <c r="AI38" s="168">
        <v>1.1910657528356801E-2</v>
      </c>
      <c r="AJ38" s="168">
        <v>1.5096915610712501E-3</v>
      </c>
    </row>
    <row r="39" spans="1:36">
      <c r="A39" s="2">
        <v>288</v>
      </c>
      <c r="B39" s="2">
        <v>288</v>
      </c>
      <c r="C39" s="2" t="s">
        <v>2085</v>
      </c>
      <c r="D39" s="2" t="s">
        <v>2086</v>
      </c>
      <c r="E39" s="4" t="s">
        <v>1333</v>
      </c>
      <c r="F39" s="2" t="s">
        <v>2096</v>
      </c>
      <c r="G39" s="2" t="s">
        <v>2097</v>
      </c>
      <c r="H39" s="2" t="s">
        <v>339</v>
      </c>
      <c r="I39" s="2" t="s">
        <v>773</v>
      </c>
      <c r="J39" s="2" t="s">
        <v>30</v>
      </c>
      <c r="K39" s="2" t="s">
        <v>30</v>
      </c>
      <c r="L39" s="2" t="s">
        <v>345</v>
      </c>
      <c r="M39" s="2" t="s">
        <v>65</v>
      </c>
      <c r="N39" s="2" t="s">
        <v>456</v>
      </c>
      <c r="O39" s="2" t="s">
        <v>159</v>
      </c>
      <c r="P39" s="2" t="s">
        <v>126</v>
      </c>
      <c r="Q39" s="2" t="s">
        <v>431</v>
      </c>
      <c r="R39" s="2" t="s">
        <v>424</v>
      </c>
      <c r="S39" s="2" t="s">
        <v>44</v>
      </c>
      <c r="T39" s="155">
        <v>10.53</v>
      </c>
      <c r="U39" s="2" t="s">
        <v>2098</v>
      </c>
      <c r="V39" s="166">
        <v>1.2500000000000001E-2</v>
      </c>
      <c r="W39" s="168">
        <v>3.0120000000000001E-2</v>
      </c>
      <c r="X39" s="4" t="s">
        <v>430</v>
      </c>
      <c r="Y39" s="4" t="s">
        <v>159</v>
      </c>
      <c r="Z39" s="155">
        <v>4750000</v>
      </c>
      <c r="AA39" s="162">
        <v>1</v>
      </c>
      <c r="AB39" s="179">
        <v>95.26</v>
      </c>
      <c r="AD39" s="155">
        <v>4524.8500000000004</v>
      </c>
      <c r="AG39" s="2" t="s">
        <v>36</v>
      </c>
      <c r="AH39" s="168">
        <v>1.1069999999999999E-3</v>
      </c>
      <c r="AI39" s="168">
        <v>1.4712899317830401E-2</v>
      </c>
      <c r="AJ39" s="168">
        <v>1.8648794062072101E-3</v>
      </c>
    </row>
    <row r="40" spans="1:36">
      <c r="A40" s="2">
        <v>288</v>
      </c>
      <c r="B40" s="2">
        <v>288</v>
      </c>
      <c r="C40" s="2" t="s">
        <v>2085</v>
      </c>
      <c r="D40" s="2" t="s">
        <v>2086</v>
      </c>
      <c r="E40" s="4" t="s">
        <v>1333</v>
      </c>
      <c r="F40" s="2" t="s">
        <v>2099</v>
      </c>
      <c r="G40" s="2" t="s">
        <v>2100</v>
      </c>
      <c r="H40" s="2" t="s">
        <v>339</v>
      </c>
      <c r="I40" s="2" t="s">
        <v>773</v>
      </c>
      <c r="J40" s="2" t="s">
        <v>30</v>
      </c>
      <c r="K40" s="2" t="s">
        <v>30</v>
      </c>
      <c r="L40" s="2" t="s">
        <v>345</v>
      </c>
      <c r="M40" s="2" t="s">
        <v>65</v>
      </c>
      <c r="N40" s="2" t="s">
        <v>456</v>
      </c>
      <c r="O40" s="2" t="s">
        <v>159</v>
      </c>
      <c r="P40" s="2" t="s">
        <v>126</v>
      </c>
      <c r="Q40" s="2" t="s">
        <v>431</v>
      </c>
      <c r="R40" s="2" t="s">
        <v>424</v>
      </c>
      <c r="S40" s="2" t="s">
        <v>44</v>
      </c>
      <c r="T40" s="155">
        <v>7.5179999999999998</v>
      </c>
      <c r="U40" s="2" t="s">
        <v>2101</v>
      </c>
      <c r="V40" s="166">
        <v>0.03</v>
      </c>
      <c r="W40" s="168">
        <v>2.87E-2</v>
      </c>
      <c r="X40" s="4" t="s">
        <v>430</v>
      </c>
      <c r="Y40" s="4" t="s">
        <v>159</v>
      </c>
      <c r="Z40" s="155">
        <v>4051000</v>
      </c>
      <c r="AA40" s="162">
        <v>1</v>
      </c>
      <c r="AB40" s="179">
        <v>105.85</v>
      </c>
      <c r="AD40" s="155">
        <v>4287.9840000000004</v>
      </c>
      <c r="AG40" s="2" t="s">
        <v>36</v>
      </c>
      <c r="AH40" s="168">
        <v>9.9299999999999996E-4</v>
      </c>
      <c r="AI40" s="168">
        <v>1.39427095952391E-2</v>
      </c>
      <c r="AJ40" s="168">
        <v>1.76725684239396E-3</v>
      </c>
    </row>
    <row r="41" spans="1:36">
      <c r="A41" s="2">
        <v>288</v>
      </c>
      <c r="B41" s="2">
        <v>288</v>
      </c>
      <c r="C41" s="2" t="s">
        <v>2102</v>
      </c>
      <c r="D41" s="2" t="s">
        <v>2103</v>
      </c>
      <c r="E41" s="4" t="s">
        <v>330</v>
      </c>
      <c r="F41" s="2" t="s">
        <v>2104</v>
      </c>
      <c r="G41" s="2" t="s">
        <v>2105</v>
      </c>
      <c r="H41" s="2" t="s">
        <v>339</v>
      </c>
      <c r="I41" s="2" t="s">
        <v>774</v>
      </c>
      <c r="J41" s="2" t="s">
        <v>30</v>
      </c>
      <c r="K41" s="2" t="s">
        <v>30</v>
      </c>
      <c r="L41" s="2" t="s">
        <v>345</v>
      </c>
      <c r="M41" s="2" t="s">
        <v>65</v>
      </c>
      <c r="N41" s="2" t="s">
        <v>470</v>
      </c>
      <c r="O41" s="2" t="s">
        <v>159</v>
      </c>
      <c r="P41" s="2" t="s">
        <v>1968</v>
      </c>
      <c r="Q41" s="2" t="s">
        <v>431</v>
      </c>
      <c r="R41" s="2" t="s">
        <v>424</v>
      </c>
      <c r="S41" s="2" t="s">
        <v>44</v>
      </c>
      <c r="T41" s="155">
        <v>0.51300000000000001</v>
      </c>
      <c r="U41" s="2" t="s">
        <v>2106</v>
      </c>
      <c r="V41" s="166">
        <v>3.49E-2</v>
      </c>
      <c r="W41" s="168">
        <v>5.8439999999999999E-2</v>
      </c>
      <c r="X41" s="4" t="s">
        <v>430</v>
      </c>
      <c r="Y41" s="4" t="s">
        <v>159</v>
      </c>
      <c r="Z41" s="155">
        <v>300000.07</v>
      </c>
      <c r="AA41" s="162">
        <v>1</v>
      </c>
      <c r="AB41" s="179">
        <v>100.58</v>
      </c>
      <c r="AD41" s="155">
        <v>301.74</v>
      </c>
      <c r="AG41" s="2" t="s">
        <v>36</v>
      </c>
      <c r="AH41" s="168">
        <v>8.9300000000000002E-4</v>
      </c>
      <c r="AI41" s="168">
        <v>9.8113114822337096E-4</v>
      </c>
      <c r="AJ41" s="168">
        <v>1.2435966790670701E-4</v>
      </c>
    </row>
    <row r="42" spans="1:36">
      <c r="A42" s="2">
        <v>288</v>
      </c>
      <c r="B42" s="2">
        <v>288</v>
      </c>
      <c r="C42" s="2" t="s">
        <v>2107</v>
      </c>
      <c r="D42" s="2" t="s">
        <v>2108</v>
      </c>
      <c r="E42" s="4" t="s">
        <v>1333</v>
      </c>
      <c r="F42" s="2" t="s">
        <v>2109</v>
      </c>
      <c r="G42" s="2" t="s">
        <v>2110</v>
      </c>
      <c r="H42" s="2" t="s">
        <v>339</v>
      </c>
      <c r="I42" s="2" t="s">
        <v>773</v>
      </c>
      <c r="J42" s="2" t="s">
        <v>30</v>
      </c>
      <c r="K42" s="2" t="s">
        <v>30</v>
      </c>
      <c r="L42" s="2" t="s">
        <v>345</v>
      </c>
      <c r="M42" s="2" t="s">
        <v>65</v>
      </c>
      <c r="N42" s="2" t="s">
        <v>480</v>
      </c>
      <c r="O42" s="2" t="s">
        <v>159</v>
      </c>
      <c r="P42" s="2" t="s">
        <v>1968</v>
      </c>
      <c r="Q42" s="2" t="s">
        <v>431</v>
      </c>
      <c r="R42" s="2" t="s">
        <v>424</v>
      </c>
      <c r="S42" s="2" t="s">
        <v>44</v>
      </c>
      <c r="T42" s="155">
        <v>2.08</v>
      </c>
      <c r="U42" s="2" t="s">
        <v>2111</v>
      </c>
      <c r="V42" s="166">
        <v>1.5800000000000002E-2</v>
      </c>
      <c r="W42" s="168">
        <v>2.5649999999999999E-2</v>
      </c>
      <c r="X42" s="4" t="s">
        <v>430</v>
      </c>
      <c r="Y42" s="4" t="s">
        <v>159</v>
      </c>
      <c r="Z42" s="155">
        <v>604614.86</v>
      </c>
      <c r="AA42" s="162">
        <v>1</v>
      </c>
      <c r="AB42" s="179">
        <v>114.31</v>
      </c>
      <c r="AD42" s="155">
        <v>691.13499999999999</v>
      </c>
      <c r="AG42" s="2" t="s">
        <v>36</v>
      </c>
      <c r="AH42" s="168">
        <v>1.408E-3</v>
      </c>
      <c r="AI42" s="168">
        <v>2.2472796438021401E-3</v>
      </c>
      <c r="AJ42" s="168">
        <v>2.84845660748619E-4</v>
      </c>
    </row>
    <row r="43" spans="1:36">
      <c r="A43" s="2">
        <v>288</v>
      </c>
      <c r="B43" s="2">
        <v>288</v>
      </c>
      <c r="C43" s="2" t="s">
        <v>2112</v>
      </c>
      <c r="D43" s="2" t="s">
        <v>2113</v>
      </c>
      <c r="E43" s="4" t="s">
        <v>1333</v>
      </c>
      <c r="F43" s="2" t="s">
        <v>2114</v>
      </c>
      <c r="G43" s="2" t="s">
        <v>2115</v>
      </c>
      <c r="H43" s="2" t="s">
        <v>339</v>
      </c>
      <c r="I43" s="2" t="s">
        <v>986</v>
      </c>
      <c r="J43" s="2" t="s">
        <v>30</v>
      </c>
      <c r="K43" s="2" t="s">
        <v>30</v>
      </c>
      <c r="L43" s="2" t="s">
        <v>345</v>
      </c>
      <c r="M43" s="2" t="s">
        <v>65</v>
      </c>
      <c r="N43" s="2" t="s">
        <v>461</v>
      </c>
      <c r="O43" s="2" t="s">
        <v>159</v>
      </c>
      <c r="P43" s="2" t="s">
        <v>1979</v>
      </c>
      <c r="Q43" s="2" t="s">
        <v>431</v>
      </c>
      <c r="R43" s="2" t="s">
        <v>424</v>
      </c>
      <c r="S43" s="2" t="s">
        <v>44</v>
      </c>
      <c r="T43" s="155">
        <v>4.8739999999999997</v>
      </c>
      <c r="U43" s="2" t="s">
        <v>101</v>
      </c>
      <c r="V43" s="166">
        <v>2.64E-2</v>
      </c>
      <c r="W43" s="168">
        <v>4.8840000000000001E-2</v>
      </c>
      <c r="X43" s="4" t="s">
        <v>430</v>
      </c>
      <c r="Y43" s="4" t="s">
        <v>159</v>
      </c>
      <c r="Z43" s="155">
        <v>100000</v>
      </c>
      <c r="AA43" s="162">
        <v>1</v>
      </c>
      <c r="AB43" s="179">
        <v>90.64</v>
      </c>
      <c r="AD43" s="155">
        <v>90.64</v>
      </c>
      <c r="AG43" s="2" t="s">
        <v>36</v>
      </c>
      <c r="AH43" s="168">
        <v>6.0999999999999999E-5</v>
      </c>
      <c r="AI43" s="168">
        <v>2.9472296190329901E-4</v>
      </c>
      <c r="AJ43" s="168">
        <v>3.7356524388349102E-5</v>
      </c>
    </row>
    <row r="44" spans="1:36">
      <c r="A44" s="2">
        <v>288</v>
      </c>
      <c r="B44" s="2">
        <v>288</v>
      </c>
      <c r="C44" s="2" t="s">
        <v>1656</v>
      </c>
      <c r="D44" s="2" t="s">
        <v>1657</v>
      </c>
      <c r="E44" s="4" t="s">
        <v>1333</v>
      </c>
      <c r="F44" s="2" t="s">
        <v>2116</v>
      </c>
      <c r="G44" s="2" t="s">
        <v>2117</v>
      </c>
      <c r="H44" s="2" t="s">
        <v>339</v>
      </c>
      <c r="I44" s="2" t="s">
        <v>986</v>
      </c>
      <c r="J44" s="2" t="s">
        <v>30</v>
      </c>
      <c r="K44" s="2" t="s">
        <v>30</v>
      </c>
      <c r="L44" s="2" t="s">
        <v>345</v>
      </c>
      <c r="M44" s="2" t="s">
        <v>65</v>
      </c>
      <c r="N44" s="2" t="s">
        <v>461</v>
      </c>
      <c r="O44" s="2" t="s">
        <v>159</v>
      </c>
      <c r="P44" s="2" t="s">
        <v>1979</v>
      </c>
      <c r="Q44" s="2" t="s">
        <v>431</v>
      </c>
      <c r="R44" s="2" t="s">
        <v>424</v>
      </c>
      <c r="S44" s="2" t="s">
        <v>44</v>
      </c>
      <c r="T44" s="155">
        <v>2.895</v>
      </c>
      <c r="U44" s="2" t="s">
        <v>2118</v>
      </c>
      <c r="V44" s="166">
        <v>4.7E-2</v>
      </c>
      <c r="W44" s="168">
        <v>4.7309999999999998E-2</v>
      </c>
      <c r="X44" s="4" t="s">
        <v>430</v>
      </c>
      <c r="Y44" s="4" t="s">
        <v>159</v>
      </c>
      <c r="Z44" s="155">
        <v>1700000</v>
      </c>
      <c r="AA44" s="162">
        <v>1</v>
      </c>
      <c r="AB44" s="179">
        <v>103.85</v>
      </c>
      <c r="AD44" s="155">
        <v>1765.45</v>
      </c>
      <c r="AG44" s="2" t="s">
        <v>36</v>
      </c>
      <c r="AH44" s="168">
        <v>1.8910000000000001E-3</v>
      </c>
      <c r="AI44" s="168">
        <v>5.7404970552976499E-3</v>
      </c>
      <c r="AJ44" s="168">
        <v>7.2761557790612305E-4</v>
      </c>
    </row>
    <row r="45" spans="1:36">
      <c r="A45" s="2">
        <v>288</v>
      </c>
      <c r="B45" s="2">
        <v>288</v>
      </c>
      <c r="C45" s="2" t="s">
        <v>1196</v>
      </c>
      <c r="D45" s="2" t="s">
        <v>1660</v>
      </c>
      <c r="E45" s="4" t="s">
        <v>1333</v>
      </c>
      <c r="F45" s="2" t="s">
        <v>2119</v>
      </c>
      <c r="G45" s="2" t="s">
        <v>2120</v>
      </c>
      <c r="H45" s="2" t="s">
        <v>339</v>
      </c>
      <c r="I45" s="2" t="s">
        <v>773</v>
      </c>
      <c r="J45" s="2" t="s">
        <v>30</v>
      </c>
      <c r="K45" s="2" t="s">
        <v>30</v>
      </c>
      <c r="L45" s="2" t="s">
        <v>345</v>
      </c>
      <c r="M45" s="2" t="s">
        <v>65</v>
      </c>
      <c r="N45" s="2" t="s">
        <v>464</v>
      </c>
      <c r="O45" s="2" t="s">
        <v>159</v>
      </c>
      <c r="P45" s="2" t="s">
        <v>132</v>
      </c>
      <c r="Q45" s="2" t="s">
        <v>431</v>
      </c>
      <c r="R45" s="2" t="s">
        <v>424</v>
      </c>
      <c r="S45" s="2" t="s">
        <v>44</v>
      </c>
      <c r="T45" s="155">
        <v>2.8929999999999998</v>
      </c>
      <c r="U45" s="2" t="s">
        <v>2121</v>
      </c>
      <c r="V45" s="166">
        <v>1E-3</v>
      </c>
      <c r="W45" s="168">
        <v>2.1919999999999999E-2</v>
      </c>
      <c r="X45" s="4" t="s">
        <v>430</v>
      </c>
      <c r="Y45" s="4" t="s">
        <v>159</v>
      </c>
      <c r="Z45" s="155">
        <v>1242000</v>
      </c>
      <c r="AA45" s="162">
        <v>1</v>
      </c>
      <c r="AB45" s="179">
        <v>105.89</v>
      </c>
      <c r="AD45" s="155">
        <v>1315.154</v>
      </c>
      <c r="AG45" s="2" t="s">
        <v>36</v>
      </c>
      <c r="AH45" s="168">
        <v>3.9599999999999998E-4</v>
      </c>
      <c r="AI45" s="168">
        <v>4.27632417579853E-3</v>
      </c>
      <c r="AJ45" s="168">
        <v>5.42029733055274E-4</v>
      </c>
    </row>
    <row r="46" spans="1:36">
      <c r="A46" s="2">
        <v>288</v>
      </c>
      <c r="B46" s="2">
        <v>288</v>
      </c>
      <c r="C46" s="2" t="s">
        <v>1196</v>
      </c>
      <c r="D46" s="2" t="s">
        <v>1660</v>
      </c>
      <c r="E46" s="4" t="s">
        <v>1333</v>
      </c>
      <c r="F46" s="2" t="s">
        <v>2122</v>
      </c>
      <c r="G46" s="2" t="s">
        <v>2123</v>
      </c>
      <c r="H46" s="2" t="s">
        <v>339</v>
      </c>
      <c r="I46" s="2" t="s">
        <v>773</v>
      </c>
      <c r="J46" s="2" t="s">
        <v>30</v>
      </c>
      <c r="K46" s="2" t="s">
        <v>30</v>
      </c>
      <c r="L46" s="2" t="s">
        <v>345</v>
      </c>
      <c r="M46" s="2" t="s">
        <v>65</v>
      </c>
      <c r="N46" s="2" t="s">
        <v>464</v>
      </c>
      <c r="O46" s="2" t="s">
        <v>159</v>
      </c>
      <c r="P46" s="2" t="s">
        <v>132</v>
      </c>
      <c r="Q46" s="2" t="s">
        <v>431</v>
      </c>
      <c r="R46" s="2" t="s">
        <v>424</v>
      </c>
      <c r="S46" s="2" t="s">
        <v>44</v>
      </c>
      <c r="T46" s="155">
        <v>4.8490000000000002</v>
      </c>
      <c r="U46" s="2" t="s">
        <v>2124</v>
      </c>
      <c r="V46" s="166">
        <v>2.0199999999999999E-2</v>
      </c>
      <c r="W46" s="168">
        <v>2.4299999999999999E-2</v>
      </c>
      <c r="X46" s="4" t="s">
        <v>430</v>
      </c>
      <c r="Y46" s="4" t="s">
        <v>159</v>
      </c>
      <c r="Z46" s="155">
        <v>4600000</v>
      </c>
      <c r="AA46" s="162">
        <v>1</v>
      </c>
      <c r="AB46" s="179">
        <v>101.65</v>
      </c>
      <c r="AD46" s="155">
        <v>4675.8999999999996</v>
      </c>
      <c r="AG46" s="2" t="s">
        <v>36</v>
      </c>
      <c r="AH46" s="168">
        <v>1.289E-3</v>
      </c>
      <c r="AI46" s="168">
        <v>1.52040500613817E-2</v>
      </c>
      <c r="AJ46" s="168">
        <v>1.92713341115933E-3</v>
      </c>
    </row>
    <row r="47" spans="1:36">
      <c r="A47" s="2">
        <v>288</v>
      </c>
      <c r="B47" s="2">
        <v>288</v>
      </c>
      <c r="C47" s="2" t="s">
        <v>1196</v>
      </c>
      <c r="D47" s="2" t="s">
        <v>1660</v>
      </c>
      <c r="E47" s="4" t="s">
        <v>1333</v>
      </c>
      <c r="F47" s="2" t="s">
        <v>2125</v>
      </c>
      <c r="G47" s="2" t="s">
        <v>2126</v>
      </c>
      <c r="H47" s="2" t="s">
        <v>339</v>
      </c>
      <c r="I47" s="2" t="s">
        <v>773</v>
      </c>
      <c r="J47" s="2" t="s">
        <v>30</v>
      </c>
      <c r="K47" s="2" t="s">
        <v>30</v>
      </c>
      <c r="L47" s="2" t="s">
        <v>345</v>
      </c>
      <c r="M47" s="2" t="s">
        <v>65</v>
      </c>
      <c r="N47" s="2" t="s">
        <v>464</v>
      </c>
      <c r="O47" s="2" t="s">
        <v>159</v>
      </c>
      <c r="P47" s="2" t="s">
        <v>132</v>
      </c>
      <c r="Q47" s="2" t="s">
        <v>431</v>
      </c>
      <c r="R47" s="2" t="s">
        <v>424</v>
      </c>
      <c r="S47" s="2" t="s">
        <v>44</v>
      </c>
      <c r="T47" s="155">
        <v>4.8879999999999999</v>
      </c>
      <c r="U47" s="2" t="s">
        <v>2127</v>
      </c>
      <c r="V47" s="166">
        <v>1E-3</v>
      </c>
      <c r="W47" s="168">
        <v>2.3630000000000002E-2</v>
      </c>
      <c r="X47" s="4" t="s">
        <v>430</v>
      </c>
      <c r="Y47" s="4" t="s">
        <v>159</v>
      </c>
      <c r="Z47" s="155">
        <v>1295000</v>
      </c>
      <c r="AA47" s="162">
        <v>1</v>
      </c>
      <c r="AB47" s="179">
        <v>100.78</v>
      </c>
      <c r="AD47" s="155">
        <v>1305.1010000000001</v>
      </c>
      <c r="AG47" s="2" t="s">
        <v>36</v>
      </c>
      <c r="AH47" s="168">
        <v>5.2099999999999998E-4</v>
      </c>
      <c r="AI47" s="168">
        <v>4.2436367200238004E-3</v>
      </c>
      <c r="AJ47" s="168">
        <v>5.3788655489583903E-4</v>
      </c>
    </row>
    <row r="48" spans="1:36">
      <c r="A48" s="2">
        <v>288</v>
      </c>
      <c r="B48" s="2">
        <v>288</v>
      </c>
      <c r="C48" s="2" t="s">
        <v>2128</v>
      </c>
      <c r="D48" s="2" t="s">
        <v>2129</v>
      </c>
      <c r="E48" s="4" t="s">
        <v>1333</v>
      </c>
      <c r="F48" s="2" t="s">
        <v>2130</v>
      </c>
      <c r="G48" s="2" t="s">
        <v>2131</v>
      </c>
      <c r="H48" s="2" t="s">
        <v>339</v>
      </c>
      <c r="I48" s="2" t="s">
        <v>773</v>
      </c>
      <c r="J48" s="2" t="s">
        <v>30</v>
      </c>
      <c r="K48" s="2" t="s">
        <v>30</v>
      </c>
      <c r="L48" s="2" t="s">
        <v>345</v>
      </c>
      <c r="M48" s="2" t="s">
        <v>65</v>
      </c>
      <c r="N48" s="2" t="s">
        <v>480</v>
      </c>
      <c r="O48" s="2" t="s">
        <v>159</v>
      </c>
      <c r="P48" s="2" t="s">
        <v>1968</v>
      </c>
      <c r="Q48" s="2" t="s">
        <v>431</v>
      </c>
      <c r="R48" s="2" t="s">
        <v>424</v>
      </c>
      <c r="S48" s="2" t="s">
        <v>44</v>
      </c>
      <c r="T48" s="155">
        <v>1.635</v>
      </c>
      <c r="U48" s="2" t="s">
        <v>2132</v>
      </c>
      <c r="V48" s="166">
        <v>2.4E-2</v>
      </c>
      <c r="W48" s="168">
        <v>2.622E-2</v>
      </c>
      <c r="X48" s="4" t="s">
        <v>430</v>
      </c>
      <c r="Y48" s="4" t="s">
        <v>159</v>
      </c>
      <c r="Z48" s="155">
        <v>2837454.58</v>
      </c>
      <c r="AA48" s="162">
        <v>1</v>
      </c>
      <c r="AB48" s="179">
        <v>116.23</v>
      </c>
      <c r="AD48" s="155">
        <v>3297.973</v>
      </c>
      <c r="AG48" s="2" t="s">
        <v>36</v>
      </c>
      <c r="AH48" s="168">
        <v>5.2789999999999998E-3</v>
      </c>
      <c r="AI48" s="168">
        <v>1.07236154668873E-2</v>
      </c>
      <c r="AJ48" s="168">
        <v>1.35923241315514E-3</v>
      </c>
    </row>
    <row r="49" spans="1:36">
      <c r="A49" s="2">
        <v>288</v>
      </c>
      <c r="B49" s="2">
        <v>288</v>
      </c>
      <c r="C49" s="2" t="s">
        <v>2128</v>
      </c>
      <c r="D49" s="2" t="s">
        <v>2129</v>
      </c>
      <c r="E49" s="4" t="s">
        <v>1333</v>
      </c>
      <c r="F49" s="2" t="s">
        <v>2133</v>
      </c>
      <c r="G49" s="2" t="s">
        <v>2134</v>
      </c>
      <c r="H49" s="2" t="s">
        <v>339</v>
      </c>
      <c r="I49" s="2" t="s">
        <v>986</v>
      </c>
      <c r="J49" s="2" t="s">
        <v>30</v>
      </c>
      <c r="K49" s="2" t="s">
        <v>30</v>
      </c>
      <c r="L49" s="2" t="s">
        <v>345</v>
      </c>
      <c r="M49" s="2" t="s">
        <v>65</v>
      </c>
      <c r="N49" s="2" t="s">
        <v>480</v>
      </c>
      <c r="O49" s="2" t="s">
        <v>159</v>
      </c>
      <c r="P49" s="2" t="s">
        <v>1968</v>
      </c>
      <c r="Q49" s="2" t="s">
        <v>431</v>
      </c>
      <c r="R49" s="2" t="s">
        <v>424</v>
      </c>
      <c r="S49" s="2" t="s">
        <v>44</v>
      </c>
      <c r="T49" s="155">
        <v>1.889</v>
      </c>
      <c r="U49" s="2" t="s">
        <v>2084</v>
      </c>
      <c r="V49" s="166">
        <v>5.6500000000000002E-2</v>
      </c>
      <c r="W49" s="168">
        <v>4.7919999999999997E-2</v>
      </c>
      <c r="X49" s="4" t="s">
        <v>430</v>
      </c>
      <c r="Y49" s="4" t="s">
        <v>159</v>
      </c>
      <c r="Z49" s="155">
        <v>187002.74</v>
      </c>
      <c r="AA49" s="162">
        <v>1</v>
      </c>
      <c r="AB49" s="179">
        <v>101.73</v>
      </c>
      <c r="AD49" s="155">
        <v>190.238</v>
      </c>
      <c r="AG49" s="2" t="s">
        <v>36</v>
      </c>
      <c r="AH49" s="168">
        <v>1.1980000000000001E-3</v>
      </c>
      <c r="AI49" s="168">
        <v>6.1857318668737604E-4</v>
      </c>
      <c r="AJ49" s="168">
        <v>7.8404967788182198E-5</v>
      </c>
    </row>
    <row r="50" spans="1:36">
      <c r="A50" s="2">
        <v>288</v>
      </c>
      <c r="B50" s="2">
        <v>288</v>
      </c>
      <c r="C50" s="2" t="s">
        <v>2128</v>
      </c>
      <c r="D50" s="2" t="s">
        <v>2129</v>
      </c>
      <c r="E50" s="4" t="s">
        <v>1333</v>
      </c>
      <c r="F50" s="2" t="s">
        <v>2135</v>
      </c>
      <c r="G50" s="2" t="s">
        <v>2136</v>
      </c>
      <c r="H50" s="2" t="s">
        <v>339</v>
      </c>
      <c r="I50" s="2" t="s">
        <v>773</v>
      </c>
      <c r="J50" s="2" t="s">
        <v>30</v>
      </c>
      <c r="K50" s="2" t="s">
        <v>30</v>
      </c>
      <c r="L50" s="2" t="s">
        <v>345</v>
      </c>
      <c r="M50" s="2" t="s">
        <v>65</v>
      </c>
      <c r="N50" s="2" t="s">
        <v>480</v>
      </c>
      <c r="O50" s="2" t="s">
        <v>159</v>
      </c>
      <c r="P50" s="2" t="s">
        <v>1968</v>
      </c>
      <c r="Q50" s="2" t="s">
        <v>431</v>
      </c>
      <c r="R50" s="2" t="s">
        <v>424</v>
      </c>
      <c r="S50" s="2" t="s">
        <v>44</v>
      </c>
      <c r="T50" s="155">
        <v>1.929</v>
      </c>
      <c r="U50" s="2" t="s">
        <v>2084</v>
      </c>
      <c r="V50" s="166">
        <v>3.6999999999999998E-2</v>
      </c>
      <c r="W50" s="168">
        <v>2.6380000000000001E-2</v>
      </c>
      <c r="X50" s="4" t="s">
        <v>430</v>
      </c>
      <c r="Y50" s="4" t="s">
        <v>159</v>
      </c>
      <c r="Z50" s="155">
        <v>1200000.21</v>
      </c>
      <c r="AA50" s="162">
        <v>1</v>
      </c>
      <c r="AB50" s="179">
        <v>117.74</v>
      </c>
      <c r="AD50" s="155">
        <v>1412.88</v>
      </c>
      <c r="AG50" s="2" t="s">
        <v>36</v>
      </c>
      <c r="AH50" s="168">
        <v>3.9899999999999996E-3</v>
      </c>
      <c r="AI50" s="168">
        <v>4.5940892683733903E-3</v>
      </c>
      <c r="AJ50" s="168">
        <v>5.8230687791660204E-4</v>
      </c>
    </row>
    <row r="51" spans="1:36">
      <c r="A51" s="2">
        <v>288</v>
      </c>
      <c r="B51" s="2">
        <v>288</v>
      </c>
      <c r="C51" s="2" t="s">
        <v>2137</v>
      </c>
      <c r="D51" s="2" t="s">
        <v>2138</v>
      </c>
      <c r="E51" s="4" t="s">
        <v>1333</v>
      </c>
      <c r="F51" s="2" t="s">
        <v>2139</v>
      </c>
      <c r="G51" s="2" t="s">
        <v>2140</v>
      </c>
      <c r="H51" s="2" t="s">
        <v>339</v>
      </c>
      <c r="I51" s="2" t="s">
        <v>986</v>
      </c>
      <c r="J51" s="2" t="s">
        <v>30</v>
      </c>
      <c r="K51" s="2" t="s">
        <v>30</v>
      </c>
      <c r="L51" s="2" t="s">
        <v>345</v>
      </c>
      <c r="M51" s="2" t="s">
        <v>41</v>
      </c>
      <c r="N51" s="2" t="s">
        <v>461</v>
      </c>
      <c r="O51" s="2" t="s">
        <v>159</v>
      </c>
      <c r="P51" s="2" t="s">
        <v>1956</v>
      </c>
      <c r="Q51" s="2" t="s">
        <v>433</v>
      </c>
      <c r="R51" s="2" t="s">
        <v>424</v>
      </c>
      <c r="S51" s="2" t="s">
        <v>44</v>
      </c>
      <c r="T51" s="155">
        <v>7.1070000000000002</v>
      </c>
      <c r="U51" s="2" t="s">
        <v>2141</v>
      </c>
      <c r="V51" s="166">
        <v>6.0699999999999997E-2</v>
      </c>
      <c r="W51" s="168">
        <v>5.5359999999999999E-2</v>
      </c>
      <c r="X51" s="4" t="s">
        <v>430</v>
      </c>
      <c r="Y51" s="4" t="s">
        <v>159</v>
      </c>
      <c r="Z51" s="155">
        <v>1408500</v>
      </c>
      <c r="AA51" s="162">
        <v>1</v>
      </c>
      <c r="AB51" s="179">
        <v>104.27</v>
      </c>
      <c r="AD51" s="155">
        <v>1468.643</v>
      </c>
      <c r="AG51" s="2" t="s">
        <v>36</v>
      </c>
      <c r="AH51" s="168">
        <v>3.1120000000000002E-3</v>
      </c>
      <c r="AI51" s="168">
        <v>4.7754060039982204E-3</v>
      </c>
      <c r="AJ51" s="168">
        <v>6.0528901345379598E-4</v>
      </c>
    </row>
    <row r="52" spans="1:36">
      <c r="A52" s="2">
        <v>288</v>
      </c>
      <c r="B52" s="2">
        <v>288</v>
      </c>
      <c r="C52" s="2" t="s">
        <v>2137</v>
      </c>
      <c r="D52" s="2" t="s">
        <v>2138</v>
      </c>
      <c r="E52" s="4" t="s">
        <v>1333</v>
      </c>
      <c r="F52" s="2" t="s">
        <v>2142</v>
      </c>
      <c r="G52" s="2" t="s">
        <v>2143</v>
      </c>
      <c r="H52" s="2" t="s">
        <v>339</v>
      </c>
      <c r="I52" s="2" t="s">
        <v>986</v>
      </c>
      <c r="J52" s="2" t="s">
        <v>30</v>
      </c>
      <c r="K52" s="2" t="s">
        <v>30</v>
      </c>
      <c r="L52" s="2" t="s">
        <v>345</v>
      </c>
      <c r="M52" s="2" t="s">
        <v>65</v>
      </c>
      <c r="N52" s="2" t="s">
        <v>461</v>
      </c>
      <c r="O52" s="2" t="s">
        <v>159</v>
      </c>
      <c r="P52" s="2" t="s">
        <v>1956</v>
      </c>
      <c r="Q52" s="2" t="s">
        <v>433</v>
      </c>
      <c r="R52" s="2" t="s">
        <v>424</v>
      </c>
      <c r="S52" s="2" t="s">
        <v>44</v>
      </c>
      <c r="T52" s="155">
        <v>3.0510000000000002</v>
      </c>
      <c r="U52" s="2" t="s">
        <v>2144</v>
      </c>
      <c r="V52" s="166">
        <v>3.2599999999999997E-2</v>
      </c>
      <c r="W52" s="168">
        <v>4.9349999999999998E-2</v>
      </c>
      <c r="X52" s="4" t="s">
        <v>430</v>
      </c>
      <c r="Y52" s="4" t="s">
        <v>159</v>
      </c>
      <c r="Z52" s="155">
        <v>1600000</v>
      </c>
      <c r="AA52" s="162">
        <v>1</v>
      </c>
      <c r="AB52" s="179">
        <v>97.53</v>
      </c>
      <c r="AD52" s="155">
        <v>1560.48</v>
      </c>
      <c r="AG52" s="2" t="s">
        <v>36</v>
      </c>
      <c r="AH52" s="168">
        <v>1.6230000000000001E-3</v>
      </c>
      <c r="AI52" s="168">
        <v>5.0740212664481497E-3</v>
      </c>
      <c r="AJ52" s="168">
        <v>6.4313889207337895E-4</v>
      </c>
    </row>
    <row r="53" spans="1:36">
      <c r="A53" s="2">
        <v>288</v>
      </c>
      <c r="B53" s="2">
        <v>288</v>
      </c>
      <c r="C53" s="2" t="s">
        <v>2137</v>
      </c>
      <c r="D53" s="2" t="s">
        <v>2138</v>
      </c>
      <c r="E53" s="4" t="s">
        <v>1333</v>
      </c>
      <c r="F53" s="2" t="s">
        <v>2145</v>
      </c>
      <c r="G53" s="2" t="s">
        <v>2146</v>
      </c>
      <c r="H53" s="2" t="s">
        <v>339</v>
      </c>
      <c r="I53" s="2" t="s">
        <v>986</v>
      </c>
      <c r="J53" s="2" t="s">
        <v>30</v>
      </c>
      <c r="K53" s="2" t="s">
        <v>30</v>
      </c>
      <c r="L53" s="2" t="s">
        <v>345</v>
      </c>
      <c r="M53" s="2" t="s">
        <v>41</v>
      </c>
      <c r="N53" s="2" t="s">
        <v>461</v>
      </c>
      <c r="O53" s="2" t="s">
        <v>159</v>
      </c>
      <c r="P53" s="2" t="s">
        <v>1956</v>
      </c>
      <c r="Q53" s="2" t="s">
        <v>431</v>
      </c>
      <c r="R53" s="2" t="s">
        <v>424</v>
      </c>
      <c r="S53" s="2" t="s">
        <v>44</v>
      </c>
      <c r="T53" s="155">
        <v>6.4870000000000001</v>
      </c>
      <c r="U53" s="2" t="s">
        <v>2147</v>
      </c>
      <c r="V53" s="166">
        <v>6.0699999999999997E-2</v>
      </c>
      <c r="W53" s="168">
        <v>5.4800000000000001E-2</v>
      </c>
      <c r="X53" s="4" t="s">
        <v>430</v>
      </c>
      <c r="Y53" s="4" t="s">
        <v>159</v>
      </c>
      <c r="Z53" s="155">
        <v>1408500</v>
      </c>
      <c r="AA53" s="162">
        <v>1</v>
      </c>
      <c r="AB53" s="179">
        <v>104.26</v>
      </c>
      <c r="AD53" s="155">
        <v>1468.502</v>
      </c>
      <c r="AG53" s="2" t="s">
        <v>36</v>
      </c>
      <c r="AH53" s="168">
        <v>3.1120000000000002E-3</v>
      </c>
      <c r="AI53" s="168">
        <v>4.7749480193426197E-3</v>
      </c>
      <c r="AJ53" s="168">
        <v>6.0523096329426196E-4</v>
      </c>
    </row>
    <row r="54" spans="1:36">
      <c r="A54" s="2">
        <v>288</v>
      </c>
      <c r="B54" s="2">
        <v>288</v>
      </c>
      <c r="C54" s="2" t="s">
        <v>2148</v>
      </c>
      <c r="D54" s="2" t="s">
        <v>2149</v>
      </c>
      <c r="E54" s="4" t="s">
        <v>1333</v>
      </c>
      <c r="F54" s="2" t="s">
        <v>2150</v>
      </c>
      <c r="G54" s="2" t="s">
        <v>2151</v>
      </c>
      <c r="H54" s="2" t="s">
        <v>339</v>
      </c>
      <c r="I54" s="2" t="s">
        <v>773</v>
      </c>
      <c r="J54" s="2" t="s">
        <v>30</v>
      </c>
      <c r="K54" s="2" t="s">
        <v>30</v>
      </c>
      <c r="L54" s="2" t="s">
        <v>345</v>
      </c>
      <c r="M54" s="2" t="s">
        <v>65</v>
      </c>
      <c r="N54" s="2" t="s">
        <v>480</v>
      </c>
      <c r="O54" s="2" t="s">
        <v>159</v>
      </c>
      <c r="P54" s="2" t="s">
        <v>1956</v>
      </c>
      <c r="Q54" s="2" t="s">
        <v>431</v>
      </c>
      <c r="R54" s="2" t="s">
        <v>424</v>
      </c>
      <c r="S54" s="2" t="s">
        <v>44</v>
      </c>
      <c r="T54" s="155">
        <v>1.6160000000000001</v>
      </c>
      <c r="U54" s="2" t="s">
        <v>2152</v>
      </c>
      <c r="V54" s="166">
        <v>2.0500000000000001E-2</v>
      </c>
      <c r="W54" s="168">
        <v>2.8719999999999999E-2</v>
      </c>
      <c r="X54" s="4" t="s">
        <v>430</v>
      </c>
      <c r="Y54" s="4" t="s">
        <v>159</v>
      </c>
      <c r="Z54" s="155">
        <v>1983161.62</v>
      </c>
      <c r="AA54" s="162">
        <v>1</v>
      </c>
      <c r="AB54" s="179">
        <v>116.04</v>
      </c>
      <c r="AD54" s="155">
        <v>2301.261</v>
      </c>
      <c r="AG54" s="2" t="s">
        <v>36</v>
      </c>
      <c r="AH54" s="168">
        <v>2.6259999999999999E-3</v>
      </c>
      <c r="AI54" s="168">
        <v>7.4827270800824396E-3</v>
      </c>
      <c r="AJ54" s="168">
        <v>9.4844553289395804E-4</v>
      </c>
    </row>
    <row r="55" spans="1:36">
      <c r="A55" s="2">
        <v>288</v>
      </c>
      <c r="B55" s="2">
        <v>288</v>
      </c>
      <c r="C55" s="2" t="s">
        <v>2153</v>
      </c>
      <c r="D55" s="2" t="s">
        <v>2154</v>
      </c>
      <c r="E55" s="4" t="s">
        <v>1333</v>
      </c>
      <c r="F55" s="2" t="s">
        <v>2155</v>
      </c>
      <c r="G55" s="2" t="s">
        <v>2156</v>
      </c>
      <c r="H55" s="2" t="s">
        <v>339</v>
      </c>
      <c r="I55" s="2" t="s">
        <v>773</v>
      </c>
      <c r="J55" s="2" t="s">
        <v>30</v>
      </c>
      <c r="K55" s="2" t="s">
        <v>30</v>
      </c>
      <c r="L55" s="2" t="s">
        <v>345</v>
      </c>
      <c r="M55" s="2" t="s">
        <v>65</v>
      </c>
      <c r="N55" s="2" t="s">
        <v>464</v>
      </c>
      <c r="O55" s="2" t="s">
        <v>159</v>
      </c>
      <c r="P55" s="2" t="s">
        <v>132</v>
      </c>
      <c r="Q55" s="2" t="s">
        <v>431</v>
      </c>
      <c r="R55" s="2" t="s">
        <v>424</v>
      </c>
      <c r="S55" s="2" t="s">
        <v>44</v>
      </c>
      <c r="T55" s="155">
        <v>2.7</v>
      </c>
      <c r="U55" s="2" t="s">
        <v>2157</v>
      </c>
      <c r="V55" s="166">
        <v>1.2200000000000001E-2</v>
      </c>
      <c r="W55" s="168">
        <v>2.3820000000000001E-2</v>
      </c>
      <c r="X55" s="4" t="s">
        <v>430</v>
      </c>
      <c r="Y55" s="4" t="s">
        <v>159</v>
      </c>
      <c r="Z55" s="155">
        <v>2000000</v>
      </c>
      <c r="AA55" s="162">
        <v>1</v>
      </c>
      <c r="AB55" s="179">
        <v>113.2</v>
      </c>
      <c r="AD55" s="155">
        <v>2264</v>
      </c>
      <c r="AG55" s="2" t="s">
        <v>36</v>
      </c>
      <c r="AH55" s="168">
        <v>6.6299999999999996E-4</v>
      </c>
      <c r="AI55" s="168">
        <v>7.3615708930832901E-3</v>
      </c>
      <c r="AJ55" s="168">
        <v>9.3308882629327501E-4</v>
      </c>
    </row>
    <row r="56" spans="1:36">
      <c r="A56" s="2">
        <v>288</v>
      </c>
      <c r="B56" s="2">
        <v>288</v>
      </c>
      <c r="C56" s="2" t="s">
        <v>2153</v>
      </c>
      <c r="D56" s="2" t="s">
        <v>2154</v>
      </c>
      <c r="E56" s="4" t="s">
        <v>1333</v>
      </c>
      <c r="F56" s="2" t="s">
        <v>2158</v>
      </c>
      <c r="G56" s="2" t="s">
        <v>2159</v>
      </c>
      <c r="H56" s="2" t="s">
        <v>339</v>
      </c>
      <c r="I56" s="2" t="s">
        <v>773</v>
      </c>
      <c r="J56" s="2" t="s">
        <v>30</v>
      </c>
      <c r="K56" s="2" t="s">
        <v>30</v>
      </c>
      <c r="L56" s="2" t="s">
        <v>345</v>
      </c>
      <c r="M56" s="2" t="s">
        <v>65</v>
      </c>
      <c r="N56" s="2" t="s">
        <v>464</v>
      </c>
      <c r="O56" s="2" t="s">
        <v>159</v>
      </c>
      <c r="P56" s="2" t="s">
        <v>132</v>
      </c>
      <c r="Q56" s="2" t="s">
        <v>431</v>
      </c>
      <c r="R56" s="2" t="s">
        <v>424</v>
      </c>
      <c r="S56" s="2" t="s">
        <v>44</v>
      </c>
      <c r="T56" s="155">
        <v>3.7989999999999999</v>
      </c>
      <c r="U56" s="2" t="s">
        <v>2160</v>
      </c>
      <c r="V56" s="166">
        <v>1E-3</v>
      </c>
      <c r="W56" s="168">
        <v>2.393E-2</v>
      </c>
      <c r="X56" s="4" t="s">
        <v>430</v>
      </c>
      <c r="Y56" s="4" t="s">
        <v>159</v>
      </c>
      <c r="Z56" s="155">
        <v>3308000</v>
      </c>
      <c r="AA56" s="162">
        <v>1</v>
      </c>
      <c r="AB56" s="179">
        <v>103.26</v>
      </c>
      <c r="AD56" s="155">
        <v>3415.8409999999999</v>
      </c>
      <c r="AG56" s="2" t="s">
        <v>36</v>
      </c>
      <c r="AH56" s="168">
        <v>9.7999999999999997E-4</v>
      </c>
      <c r="AI56" s="168">
        <v>1.11068702335187E-2</v>
      </c>
      <c r="AJ56" s="168">
        <v>1.40781046063458E-3</v>
      </c>
    </row>
    <row r="57" spans="1:36">
      <c r="A57" s="2">
        <v>288</v>
      </c>
      <c r="B57" s="2">
        <v>288</v>
      </c>
      <c r="C57" s="2" t="s">
        <v>2153</v>
      </c>
      <c r="D57" s="2" t="s">
        <v>2154</v>
      </c>
      <c r="E57" s="4" t="s">
        <v>1333</v>
      </c>
      <c r="F57" s="2" t="s">
        <v>2161</v>
      </c>
      <c r="G57" s="2" t="s">
        <v>2162</v>
      </c>
      <c r="H57" s="2" t="s">
        <v>339</v>
      </c>
      <c r="I57" s="2" t="s">
        <v>773</v>
      </c>
      <c r="J57" s="2" t="s">
        <v>30</v>
      </c>
      <c r="K57" s="2" t="s">
        <v>30</v>
      </c>
      <c r="L57" s="2" t="s">
        <v>345</v>
      </c>
      <c r="M57" s="2" t="s">
        <v>65</v>
      </c>
      <c r="N57" s="2" t="s">
        <v>464</v>
      </c>
      <c r="O57" s="2" t="s">
        <v>159</v>
      </c>
      <c r="P57" s="2" t="s">
        <v>132</v>
      </c>
      <c r="Q57" s="2" t="s">
        <v>431</v>
      </c>
      <c r="R57" s="2" t="s">
        <v>424</v>
      </c>
      <c r="S57" s="2" t="s">
        <v>44</v>
      </c>
      <c r="T57" s="155">
        <v>4.165</v>
      </c>
      <c r="U57" s="2" t="s">
        <v>2101</v>
      </c>
      <c r="V57" s="166">
        <v>2.06E-2</v>
      </c>
      <c r="W57" s="168">
        <v>2.3900000000000001E-2</v>
      </c>
      <c r="X57" s="4" t="s">
        <v>430</v>
      </c>
      <c r="Y57" s="4" t="s">
        <v>159</v>
      </c>
      <c r="Z57" s="155">
        <v>3150000</v>
      </c>
      <c r="AA57" s="162">
        <v>1</v>
      </c>
      <c r="AB57" s="179">
        <v>104.29</v>
      </c>
      <c r="AD57" s="155">
        <v>3285.1350000000002</v>
      </c>
      <c r="AG57" s="2" t="s">
        <v>36</v>
      </c>
      <c r="AH57" s="168">
        <v>1.75E-3</v>
      </c>
      <c r="AI57" s="168">
        <v>1.0681870227848601E-2</v>
      </c>
      <c r="AJ57" s="168">
        <v>1.35394114901279E-3</v>
      </c>
    </row>
    <row r="58" spans="1:36">
      <c r="A58" s="2">
        <v>288</v>
      </c>
      <c r="B58" s="2">
        <v>288</v>
      </c>
      <c r="C58" s="2" t="s">
        <v>2153</v>
      </c>
      <c r="D58" s="2" t="s">
        <v>2154</v>
      </c>
      <c r="E58" s="4" t="s">
        <v>1333</v>
      </c>
      <c r="F58" s="2" t="s">
        <v>2163</v>
      </c>
      <c r="G58" s="2" t="s">
        <v>2164</v>
      </c>
      <c r="H58" s="2" t="s">
        <v>339</v>
      </c>
      <c r="I58" s="2" t="s">
        <v>773</v>
      </c>
      <c r="J58" s="2" t="s">
        <v>30</v>
      </c>
      <c r="K58" s="2" t="s">
        <v>30</v>
      </c>
      <c r="L58" s="2" t="s">
        <v>345</v>
      </c>
      <c r="M58" s="2" t="s">
        <v>65</v>
      </c>
      <c r="N58" s="2" t="s">
        <v>464</v>
      </c>
      <c r="O58" s="2" t="s">
        <v>159</v>
      </c>
      <c r="P58" s="2" t="s">
        <v>132</v>
      </c>
      <c r="Q58" s="2" t="s">
        <v>431</v>
      </c>
      <c r="R58" s="2" t="s">
        <v>424</v>
      </c>
      <c r="S58" s="2" t="s">
        <v>44</v>
      </c>
      <c r="T58" s="155">
        <v>4.7060000000000004</v>
      </c>
      <c r="U58" s="2" t="s">
        <v>2165</v>
      </c>
      <c r="V58" s="166">
        <v>1.9900000000000001E-2</v>
      </c>
      <c r="W58" s="168">
        <v>2.3980000000000001E-2</v>
      </c>
      <c r="X58" s="4" t="s">
        <v>430</v>
      </c>
      <c r="Y58" s="4" t="s">
        <v>159</v>
      </c>
      <c r="Z58" s="155">
        <v>2070000</v>
      </c>
      <c r="AA58" s="162">
        <v>1</v>
      </c>
      <c r="AB58" s="179">
        <v>101.53</v>
      </c>
      <c r="AD58" s="155">
        <v>2101.6709999999998</v>
      </c>
      <c r="AG58" s="2" t="s">
        <v>36</v>
      </c>
      <c r="AH58" s="168">
        <v>8.52E-4</v>
      </c>
      <c r="AI58" s="168">
        <v>6.8337456097337596E-3</v>
      </c>
      <c r="AJ58" s="168">
        <v>8.6618627501970603E-4</v>
      </c>
    </row>
    <row r="59" spans="1:36">
      <c r="A59" s="2">
        <v>288</v>
      </c>
      <c r="B59" s="2">
        <v>288</v>
      </c>
      <c r="C59" s="2" t="s">
        <v>2153</v>
      </c>
      <c r="D59" s="2" t="s">
        <v>2154</v>
      </c>
      <c r="E59" s="4" t="s">
        <v>1333</v>
      </c>
      <c r="F59" s="2" t="s">
        <v>2166</v>
      </c>
      <c r="G59" s="2" t="s">
        <v>2167</v>
      </c>
      <c r="H59" s="2" t="s">
        <v>339</v>
      </c>
      <c r="I59" s="2" t="s">
        <v>773</v>
      </c>
      <c r="J59" s="2" t="s">
        <v>30</v>
      </c>
      <c r="K59" s="2" t="s">
        <v>30</v>
      </c>
      <c r="L59" s="2" t="s">
        <v>345</v>
      </c>
      <c r="M59" s="2" t="s">
        <v>65</v>
      </c>
      <c r="N59" s="2" t="s">
        <v>464</v>
      </c>
      <c r="O59" s="2" t="s">
        <v>159</v>
      </c>
      <c r="P59" s="2" t="s">
        <v>132</v>
      </c>
      <c r="Q59" s="2" t="s">
        <v>433</v>
      </c>
      <c r="R59" s="2" t="s">
        <v>424</v>
      </c>
      <c r="S59" s="2" t="s">
        <v>44</v>
      </c>
      <c r="T59" s="155">
        <v>1.915</v>
      </c>
      <c r="U59" s="2" t="s">
        <v>2168</v>
      </c>
      <c r="V59" s="166">
        <v>5.0000000000000001E-3</v>
      </c>
      <c r="W59" s="168">
        <v>2.3109999999999999E-2</v>
      </c>
      <c r="X59" s="4" t="s">
        <v>430</v>
      </c>
      <c r="Y59" s="4" t="s">
        <v>159</v>
      </c>
      <c r="Z59" s="155">
        <v>1429000</v>
      </c>
      <c r="AA59" s="162">
        <v>1</v>
      </c>
      <c r="AB59" s="179">
        <v>110.29</v>
      </c>
      <c r="AD59" s="155">
        <v>1576.0440000000001</v>
      </c>
      <c r="AG59" s="2" t="s">
        <v>36</v>
      </c>
      <c r="AH59" s="168">
        <v>1.872E-3</v>
      </c>
      <c r="AI59" s="168">
        <v>5.1246291399185701E-3</v>
      </c>
      <c r="AJ59" s="168">
        <v>6.4955350682660801E-4</v>
      </c>
    </row>
    <row r="60" spans="1:36">
      <c r="A60" s="2">
        <v>288</v>
      </c>
      <c r="B60" s="2">
        <v>288</v>
      </c>
      <c r="C60" s="2" t="s">
        <v>2153</v>
      </c>
      <c r="D60" s="2" t="s">
        <v>2154</v>
      </c>
      <c r="E60" s="4" t="s">
        <v>1333</v>
      </c>
      <c r="F60" s="2" t="s">
        <v>2169</v>
      </c>
      <c r="G60" s="2" t="s">
        <v>2170</v>
      </c>
      <c r="H60" s="2" t="s">
        <v>339</v>
      </c>
      <c r="I60" s="2" t="s">
        <v>773</v>
      </c>
      <c r="J60" s="2" t="s">
        <v>30</v>
      </c>
      <c r="K60" s="2" t="s">
        <v>30</v>
      </c>
      <c r="L60" s="2" t="s">
        <v>345</v>
      </c>
      <c r="M60" s="2" t="s">
        <v>65</v>
      </c>
      <c r="N60" s="2" t="s">
        <v>464</v>
      </c>
      <c r="O60" s="2" t="s">
        <v>159</v>
      </c>
      <c r="P60" s="2" t="s">
        <v>132</v>
      </c>
      <c r="Q60" s="2" t="s">
        <v>433</v>
      </c>
      <c r="R60" s="2" t="s">
        <v>424</v>
      </c>
      <c r="S60" s="2" t="s">
        <v>44</v>
      </c>
      <c r="T60" s="155">
        <v>0.16200000000000001</v>
      </c>
      <c r="U60" s="2" t="s">
        <v>2171</v>
      </c>
      <c r="V60" s="166">
        <v>9.4999999999999998E-3</v>
      </c>
      <c r="W60" s="168">
        <v>3.261E-2</v>
      </c>
      <c r="X60" s="4" t="s">
        <v>430</v>
      </c>
      <c r="Y60" s="4" t="s">
        <v>159</v>
      </c>
      <c r="Z60" s="155">
        <v>548026.30000000005</v>
      </c>
      <c r="AA60" s="162">
        <v>1</v>
      </c>
      <c r="AB60" s="179">
        <v>116.63</v>
      </c>
      <c r="AD60" s="155">
        <v>639.16300000000001</v>
      </c>
      <c r="AG60" s="2" t="s">
        <v>36</v>
      </c>
      <c r="AH60" s="168">
        <v>3.4099999999999998E-3</v>
      </c>
      <c r="AI60" s="168">
        <v>2.0782881091916802E-3</v>
      </c>
      <c r="AJ60" s="168">
        <v>2.6342576070645098E-4</v>
      </c>
    </row>
    <row r="61" spans="1:36">
      <c r="A61" s="2">
        <v>288</v>
      </c>
      <c r="B61" s="2">
        <v>288</v>
      </c>
      <c r="C61" s="2" t="s">
        <v>2153</v>
      </c>
      <c r="D61" s="2" t="s">
        <v>2154</v>
      </c>
      <c r="E61" s="4" t="s">
        <v>1333</v>
      </c>
      <c r="F61" s="2" t="s">
        <v>2172</v>
      </c>
      <c r="G61" s="2" t="s">
        <v>2173</v>
      </c>
      <c r="H61" s="2" t="s">
        <v>339</v>
      </c>
      <c r="I61" s="2" t="s">
        <v>773</v>
      </c>
      <c r="J61" s="2" t="s">
        <v>30</v>
      </c>
      <c r="K61" s="2" t="s">
        <v>30</v>
      </c>
      <c r="L61" s="2" t="s">
        <v>345</v>
      </c>
      <c r="M61" s="2" t="s">
        <v>65</v>
      </c>
      <c r="N61" s="2" t="s">
        <v>464</v>
      </c>
      <c r="O61" s="2" t="s">
        <v>159</v>
      </c>
      <c r="P61" s="2" t="s">
        <v>132</v>
      </c>
      <c r="Q61" s="2" t="s">
        <v>431</v>
      </c>
      <c r="R61" s="2" t="s">
        <v>424</v>
      </c>
      <c r="S61" s="2" t="s">
        <v>44</v>
      </c>
      <c r="T61" s="155">
        <v>3.7749999999999999</v>
      </c>
      <c r="U61" s="2" t="s">
        <v>2174</v>
      </c>
      <c r="V61" s="166">
        <v>1.6400000000000001E-2</v>
      </c>
      <c r="W61" s="168">
        <v>2.4490000000000001E-2</v>
      </c>
      <c r="X61" s="4" t="s">
        <v>430</v>
      </c>
      <c r="Y61" s="4" t="s">
        <v>159</v>
      </c>
      <c r="Z61" s="155">
        <v>2044058.4</v>
      </c>
      <c r="AA61" s="162">
        <v>1</v>
      </c>
      <c r="AB61" s="179">
        <v>103.92</v>
      </c>
      <c r="AD61" s="155">
        <v>2124.1849999999999</v>
      </c>
      <c r="AG61" s="2" t="s">
        <v>36</v>
      </c>
      <c r="AH61" s="168">
        <v>2.1719999999999999E-3</v>
      </c>
      <c r="AI61" s="168">
        <v>6.9069532108628597E-3</v>
      </c>
      <c r="AJ61" s="168">
        <v>8.7546543508016002E-4</v>
      </c>
    </row>
    <row r="62" spans="1:36">
      <c r="A62" s="2">
        <v>288</v>
      </c>
      <c r="B62" s="2">
        <v>288</v>
      </c>
      <c r="C62" s="2" t="s">
        <v>2153</v>
      </c>
      <c r="D62" s="2" t="s">
        <v>2154</v>
      </c>
      <c r="E62" s="4" t="s">
        <v>1333</v>
      </c>
      <c r="F62" s="2" t="s">
        <v>2175</v>
      </c>
      <c r="G62" s="2" t="s">
        <v>2176</v>
      </c>
      <c r="H62" s="2" t="s">
        <v>339</v>
      </c>
      <c r="I62" s="2" t="s">
        <v>773</v>
      </c>
      <c r="J62" s="2" t="s">
        <v>30</v>
      </c>
      <c r="K62" s="2" t="s">
        <v>30</v>
      </c>
      <c r="L62" s="2" t="s">
        <v>345</v>
      </c>
      <c r="M62" s="2" t="s">
        <v>65</v>
      </c>
      <c r="N62" s="2" t="s">
        <v>464</v>
      </c>
      <c r="O62" s="2" t="s">
        <v>159</v>
      </c>
      <c r="P62" s="2" t="s">
        <v>132</v>
      </c>
      <c r="Q62" s="2" t="s">
        <v>431</v>
      </c>
      <c r="R62" s="2" t="s">
        <v>424</v>
      </c>
      <c r="S62" s="2" t="s">
        <v>44</v>
      </c>
      <c r="T62" s="155">
        <v>1.4670000000000001</v>
      </c>
      <c r="U62" s="2" t="s">
        <v>2177</v>
      </c>
      <c r="V62" s="166">
        <v>3.8E-3</v>
      </c>
      <c r="W62" s="168">
        <v>2.2120000000000001E-2</v>
      </c>
      <c r="X62" s="4" t="s">
        <v>430</v>
      </c>
      <c r="Y62" s="4" t="s">
        <v>159</v>
      </c>
      <c r="Z62" s="155">
        <v>5311712</v>
      </c>
      <c r="AA62" s="162">
        <v>1</v>
      </c>
      <c r="AB62" s="179">
        <v>110.77</v>
      </c>
      <c r="AD62" s="155">
        <v>5883.7830000000004</v>
      </c>
      <c r="AG62" s="2" t="s">
        <v>36</v>
      </c>
      <c r="AH62" s="168">
        <v>1.771E-3</v>
      </c>
      <c r="AI62" s="168">
        <v>1.9131576187757501E-2</v>
      </c>
      <c r="AJ62" s="168">
        <v>2.4249525311163798E-3</v>
      </c>
    </row>
    <row r="63" spans="1:36">
      <c r="A63" s="2">
        <v>288</v>
      </c>
      <c r="B63" s="2">
        <v>288</v>
      </c>
      <c r="C63" s="2" t="s">
        <v>2178</v>
      </c>
      <c r="D63" s="2" t="s">
        <v>2179</v>
      </c>
      <c r="E63" s="4" t="s">
        <v>1333</v>
      </c>
      <c r="F63" s="2" t="s">
        <v>2180</v>
      </c>
      <c r="G63" s="2" t="s">
        <v>2181</v>
      </c>
      <c r="H63" s="2" t="s">
        <v>339</v>
      </c>
      <c r="I63" s="2" t="s">
        <v>773</v>
      </c>
      <c r="J63" s="2" t="s">
        <v>30</v>
      </c>
      <c r="K63" s="2" t="s">
        <v>30</v>
      </c>
      <c r="L63" s="2" t="s">
        <v>345</v>
      </c>
      <c r="M63" s="2" t="s">
        <v>65</v>
      </c>
      <c r="N63" s="2" t="s">
        <v>459</v>
      </c>
      <c r="O63" s="2" t="s">
        <v>159</v>
      </c>
      <c r="P63" s="2" t="s">
        <v>1956</v>
      </c>
      <c r="Q63" s="2" t="s">
        <v>433</v>
      </c>
      <c r="R63" s="2" t="s">
        <v>424</v>
      </c>
      <c r="S63" s="2" t="s">
        <v>44</v>
      </c>
      <c r="T63" s="155">
        <v>0.77500000000000002</v>
      </c>
      <c r="U63" s="2" t="s">
        <v>1957</v>
      </c>
      <c r="V63" s="166">
        <v>1.8499999999999999E-2</v>
      </c>
      <c r="W63" s="168">
        <v>2.8639999999999999E-2</v>
      </c>
      <c r="X63" s="4" t="s">
        <v>430</v>
      </c>
      <c r="Y63" s="4" t="s">
        <v>159</v>
      </c>
      <c r="Z63" s="155">
        <v>598641.13</v>
      </c>
      <c r="AA63" s="162">
        <v>1</v>
      </c>
      <c r="AB63" s="179">
        <v>114.36</v>
      </c>
      <c r="AD63" s="155">
        <v>684.60599999999999</v>
      </c>
      <c r="AG63" s="2" t="s">
        <v>36</v>
      </c>
      <c r="AH63" s="168">
        <v>2.3189999999999999E-3</v>
      </c>
      <c r="AI63" s="168">
        <v>2.2260492824014099E-3</v>
      </c>
      <c r="AJ63" s="168">
        <v>2.8215468442184001E-4</v>
      </c>
    </row>
    <row r="64" spans="1:36">
      <c r="A64" s="2">
        <v>288</v>
      </c>
      <c r="B64" s="2">
        <v>288</v>
      </c>
      <c r="C64" s="2" t="s">
        <v>2178</v>
      </c>
      <c r="D64" s="2" t="s">
        <v>2179</v>
      </c>
      <c r="E64" s="4" t="s">
        <v>1333</v>
      </c>
      <c r="F64" s="2" t="s">
        <v>2182</v>
      </c>
      <c r="G64" s="2" t="s">
        <v>2183</v>
      </c>
      <c r="H64" s="2" t="s">
        <v>339</v>
      </c>
      <c r="I64" s="2" t="s">
        <v>773</v>
      </c>
      <c r="J64" s="2" t="s">
        <v>30</v>
      </c>
      <c r="K64" s="2" t="s">
        <v>30</v>
      </c>
      <c r="L64" s="2" t="s">
        <v>347</v>
      </c>
      <c r="M64" s="2" t="s">
        <v>65</v>
      </c>
      <c r="N64" s="2" t="s">
        <v>459</v>
      </c>
      <c r="O64" s="2" t="s">
        <v>159</v>
      </c>
      <c r="P64" s="2" t="s">
        <v>1956</v>
      </c>
      <c r="Q64" s="2" t="s">
        <v>433</v>
      </c>
      <c r="R64" s="2" t="s">
        <v>424</v>
      </c>
      <c r="S64" s="2" t="s">
        <v>44</v>
      </c>
      <c r="T64" s="155">
        <v>1.403</v>
      </c>
      <c r="U64" s="2" t="s">
        <v>117</v>
      </c>
      <c r="V64" s="166">
        <v>3.5400000000000001E-2</v>
      </c>
      <c r="W64" s="168">
        <v>2.9649999999999999E-2</v>
      </c>
      <c r="X64" s="4" t="s">
        <v>430</v>
      </c>
      <c r="Y64" s="4" t="s">
        <v>159</v>
      </c>
      <c r="Z64" s="155">
        <v>2995000</v>
      </c>
      <c r="AA64" s="162">
        <v>1</v>
      </c>
      <c r="AB64" s="179">
        <v>108.84</v>
      </c>
      <c r="AD64" s="155">
        <v>3259.7579999999998</v>
      </c>
      <c r="AG64" s="2" t="s">
        <v>36</v>
      </c>
      <c r="AH64" s="168">
        <v>0</v>
      </c>
      <c r="AI64" s="168">
        <v>1.05993549519856E-2</v>
      </c>
      <c r="AJ64" s="168">
        <v>1.3434822288958101E-3</v>
      </c>
    </row>
    <row r="65" spans="1:36">
      <c r="A65" s="2">
        <v>288</v>
      </c>
      <c r="B65" s="2">
        <v>288</v>
      </c>
      <c r="C65" s="2" t="s">
        <v>2178</v>
      </c>
      <c r="D65" s="2" t="s">
        <v>2179</v>
      </c>
      <c r="E65" s="4" t="s">
        <v>1333</v>
      </c>
      <c r="F65" s="2" t="s">
        <v>2184</v>
      </c>
      <c r="G65" s="2" t="s">
        <v>2183</v>
      </c>
      <c r="H65" s="2" t="s">
        <v>339</v>
      </c>
      <c r="I65" s="2" t="s">
        <v>773</v>
      </c>
      <c r="J65" s="2" t="s">
        <v>30</v>
      </c>
      <c r="K65" s="2" t="s">
        <v>30</v>
      </c>
      <c r="L65" s="2" t="s">
        <v>347</v>
      </c>
      <c r="M65" s="2" t="s">
        <v>65</v>
      </c>
      <c r="N65" s="2" t="s">
        <v>459</v>
      </c>
      <c r="O65" s="2" t="s">
        <v>159</v>
      </c>
      <c r="P65" s="2" t="s">
        <v>1956</v>
      </c>
      <c r="Q65" s="2" t="s">
        <v>433</v>
      </c>
      <c r="R65" s="2" t="s">
        <v>424</v>
      </c>
      <c r="S65" s="2" t="s">
        <v>44</v>
      </c>
      <c r="T65" s="155">
        <v>1.403</v>
      </c>
      <c r="U65" s="2" t="s">
        <v>117</v>
      </c>
      <c r="V65" s="166">
        <v>3.5400000000000001E-2</v>
      </c>
      <c r="W65" s="168">
        <v>2.9649999999999999E-2</v>
      </c>
      <c r="X65" s="4" t="s">
        <v>430</v>
      </c>
      <c r="Y65" s="4" t="s">
        <v>159</v>
      </c>
      <c r="Z65" s="155">
        <v>1231000</v>
      </c>
      <c r="AA65" s="162">
        <v>1</v>
      </c>
      <c r="AB65" s="179">
        <v>108.84</v>
      </c>
      <c r="AD65" s="155">
        <v>1339.82</v>
      </c>
      <c r="AG65" s="2" t="s">
        <v>36</v>
      </c>
      <c r="AH65" s="168">
        <v>0</v>
      </c>
      <c r="AI65" s="168">
        <v>4.3565295311833998E-3</v>
      </c>
      <c r="AJ65" s="168">
        <v>5.5219586770308604E-4</v>
      </c>
    </row>
    <row r="66" spans="1:36">
      <c r="A66" s="2">
        <v>288</v>
      </c>
      <c r="B66" s="2">
        <v>288</v>
      </c>
      <c r="C66" s="2" t="s">
        <v>2178</v>
      </c>
      <c r="D66" s="2" t="s">
        <v>2179</v>
      </c>
      <c r="E66" s="4" t="s">
        <v>1333</v>
      </c>
      <c r="F66" s="2" t="s">
        <v>2185</v>
      </c>
      <c r="G66" s="2" t="s">
        <v>2186</v>
      </c>
      <c r="H66" s="2" t="s">
        <v>339</v>
      </c>
      <c r="I66" s="2" t="s">
        <v>773</v>
      </c>
      <c r="J66" s="2" t="s">
        <v>30</v>
      </c>
      <c r="K66" s="2" t="s">
        <v>30</v>
      </c>
      <c r="L66" s="2" t="s">
        <v>345</v>
      </c>
      <c r="M66" s="2" t="s">
        <v>65</v>
      </c>
      <c r="N66" s="2" t="s">
        <v>459</v>
      </c>
      <c r="O66" s="2" t="s">
        <v>159</v>
      </c>
      <c r="P66" s="2" t="s">
        <v>1956</v>
      </c>
      <c r="Q66" s="2" t="s">
        <v>433</v>
      </c>
      <c r="R66" s="2" t="s">
        <v>424</v>
      </c>
      <c r="S66" s="2" t="s">
        <v>44</v>
      </c>
      <c r="T66" s="155">
        <v>0.40600000000000003</v>
      </c>
      <c r="U66" s="2" t="s">
        <v>2187</v>
      </c>
      <c r="V66" s="166">
        <v>0.01</v>
      </c>
      <c r="W66" s="168">
        <v>4.0169999999999997E-2</v>
      </c>
      <c r="X66" s="4" t="s">
        <v>430</v>
      </c>
      <c r="Y66" s="4" t="s">
        <v>159</v>
      </c>
      <c r="Z66" s="155">
        <v>588240</v>
      </c>
      <c r="AA66" s="162">
        <v>1</v>
      </c>
      <c r="AB66" s="179">
        <v>113.19</v>
      </c>
      <c r="AD66" s="155">
        <v>665.82899999999995</v>
      </c>
      <c r="AG66" s="2" t="s">
        <v>36</v>
      </c>
      <c r="AH66" s="168">
        <v>1.9319999999999999E-3</v>
      </c>
      <c r="AI66" s="168">
        <v>2.1649939602935301E-3</v>
      </c>
      <c r="AJ66" s="168">
        <v>2.7441584176556298E-4</v>
      </c>
    </row>
    <row r="67" spans="1:36">
      <c r="A67" s="2">
        <v>288</v>
      </c>
      <c r="B67" s="2">
        <v>288</v>
      </c>
      <c r="C67" s="2" t="s">
        <v>1675</v>
      </c>
      <c r="D67" s="2" t="s">
        <v>1676</v>
      </c>
      <c r="E67" s="4" t="s">
        <v>1333</v>
      </c>
      <c r="F67" s="2" t="s">
        <v>2188</v>
      </c>
      <c r="G67" s="2" t="s">
        <v>2189</v>
      </c>
      <c r="H67" s="2" t="s">
        <v>339</v>
      </c>
      <c r="I67" s="2" t="s">
        <v>773</v>
      </c>
      <c r="J67" s="2" t="s">
        <v>30</v>
      </c>
      <c r="K67" s="2" t="s">
        <v>30</v>
      </c>
      <c r="L67" s="2" t="s">
        <v>345</v>
      </c>
      <c r="M67" s="2" t="s">
        <v>65</v>
      </c>
      <c r="N67" s="2" t="s">
        <v>480</v>
      </c>
      <c r="O67" s="2" t="s">
        <v>159</v>
      </c>
      <c r="P67" s="2" t="s">
        <v>1968</v>
      </c>
      <c r="Q67" s="2" t="s">
        <v>431</v>
      </c>
      <c r="R67" s="2" t="s">
        <v>424</v>
      </c>
      <c r="S67" s="2" t="s">
        <v>44</v>
      </c>
      <c r="T67" s="155">
        <v>3.3439999999999999</v>
      </c>
      <c r="U67" s="2" t="s">
        <v>1991</v>
      </c>
      <c r="V67" s="166">
        <v>6.4999999999999997E-3</v>
      </c>
      <c r="W67" s="168">
        <v>2.5749999999999999E-2</v>
      </c>
      <c r="X67" s="4" t="s">
        <v>430</v>
      </c>
      <c r="Y67" s="4" t="s">
        <v>159</v>
      </c>
      <c r="Z67" s="155">
        <v>1148936.1599999999</v>
      </c>
      <c r="AA67" s="162">
        <v>1</v>
      </c>
      <c r="AB67" s="179">
        <v>107.93</v>
      </c>
      <c r="AC67" s="155">
        <v>19.021999999999998</v>
      </c>
      <c r="AD67" s="155">
        <v>1259.069</v>
      </c>
      <c r="AG67" s="2" t="s">
        <v>36</v>
      </c>
      <c r="AH67" s="168">
        <v>2.1259999999999999E-3</v>
      </c>
      <c r="AI67" s="168">
        <v>4.0939610508598798E-3</v>
      </c>
      <c r="AJ67" s="168">
        <v>5.1891496629155804E-4</v>
      </c>
    </row>
    <row r="68" spans="1:36">
      <c r="A68" s="2">
        <v>288</v>
      </c>
      <c r="B68" s="2">
        <v>288</v>
      </c>
      <c r="C68" s="2" t="s">
        <v>1675</v>
      </c>
      <c r="D68" s="2" t="s">
        <v>1676</v>
      </c>
      <c r="E68" s="4" t="s">
        <v>1333</v>
      </c>
      <c r="F68" s="2" t="s">
        <v>2190</v>
      </c>
      <c r="G68" s="2" t="s">
        <v>2191</v>
      </c>
      <c r="H68" s="2" t="s">
        <v>339</v>
      </c>
      <c r="I68" s="2" t="s">
        <v>773</v>
      </c>
      <c r="J68" s="2" t="s">
        <v>30</v>
      </c>
      <c r="K68" s="2" t="s">
        <v>30</v>
      </c>
      <c r="L68" s="2" t="s">
        <v>345</v>
      </c>
      <c r="M68" s="2" t="s">
        <v>65</v>
      </c>
      <c r="N68" s="2" t="s">
        <v>480</v>
      </c>
      <c r="O68" s="2" t="s">
        <v>159</v>
      </c>
      <c r="P68" s="2" t="s">
        <v>1968</v>
      </c>
      <c r="Q68" s="2" t="s">
        <v>431</v>
      </c>
      <c r="R68" s="2" t="s">
        <v>424</v>
      </c>
      <c r="S68" s="2" t="s">
        <v>44</v>
      </c>
      <c r="T68" s="155">
        <v>5.968</v>
      </c>
      <c r="U68" s="2" t="s">
        <v>2192</v>
      </c>
      <c r="V68" s="166">
        <v>3.61E-2</v>
      </c>
      <c r="W68" s="168">
        <v>3.091E-2</v>
      </c>
      <c r="X68" s="4" t="s">
        <v>430</v>
      </c>
      <c r="Y68" s="4" t="s">
        <v>159</v>
      </c>
      <c r="Z68" s="155">
        <v>761472.5</v>
      </c>
      <c r="AA68" s="162">
        <v>1</v>
      </c>
      <c r="AB68" s="179">
        <v>109.14</v>
      </c>
      <c r="AC68" s="155">
        <v>16.63</v>
      </c>
      <c r="AD68" s="155">
        <v>847.70100000000002</v>
      </c>
      <c r="AG68" s="2" t="s">
        <v>36</v>
      </c>
      <c r="AH68" s="168">
        <v>4.84E-4</v>
      </c>
      <c r="AI68" s="168">
        <v>2.7563651120996301E-3</v>
      </c>
      <c r="AJ68" s="168">
        <v>3.4937291573205998E-4</v>
      </c>
    </row>
    <row r="69" spans="1:36">
      <c r="A69" s="2">
        <v>288</v>
      </c>
      <c r="B69" s="2">
        <v>288</v>
      </c>
      <c r="C69" s="2" t="s">
        <v>1675</v>
      </c>
      <c r="D69" s="2" t="s">
        <v>1676</v>
      </c>
      <c r="E69" s="4" t="s">
        <v>1333</v>
      </c>
      <c r="F69" s="2" t="s">
        <v>2193</v>
      </c>
      <c r="G69" s="2" t="s">
        <v>2194</v>
      </c>
      <c r="H69" s="2" t="s">
        <v>339</v>
      </c>
      <c r="I69" s="2" t="s">
        <v>773</v>
      </c>
      <c r="J69" s="2" t="s">
        <v>30</v>
      </c>
      <c r="K69" s="2" t="s">
        <v>30</v>
      </c>
      <c r="L69" s="2" t="s">
        <v>345</v>
      </c>
      <c r="M69" s="2" t="s">
        <v>65</v>
      </c>
      <c r="N69" s="2" t="s">
        <v>480</v>
      </c>
      <c r="O69" s="2" t="s">
        <v>159</v>
      </c>
      <c r="P69" s="2" t="s">
        <v>1968</v>
      </c>
      <c r="Q69" s="2" t="s">
        <v>431</v>
      </c>
      <c r="R69" s="2" t="s">
        <v>424</v>
      </c>
      <c r="S69" s="2" t="s">
        <v>44</v>
      </c>
      <c r="T69" s="155">
        <v>0.51800000000000002</v>
      </c>
      <c r="U69" s="2" t="s">
        <v>2195</v>
      </c>
      <c r="V69" s="166">
        <v>2.3E-2</v>
      </c>
      <c r="W69" s="168">
        <v>2.8219999999999999E-2</v>
      </c>
      <c r="X69" s="4" t="s">
        <v>430</v>
      </c>
      <c r="Y69" s="4" t="s">
        <v>159</v>
      </c>
      <c r="Z69" s="155">
        <v>971251.89</v>
      </c>
      <c r="AA69" s="162">
        <v>1</v>
      </c>
      <c r="AB69" s="179">
        <v>116.73</v>
      </c>
      <c r="AC69" s="155">
        <v>27.279</v>
      </c>
      <c r="AD69" s="155">
        <v>1161.021</v>
      </c>
      <c r="AG69" s="2" t="s">
        <v>36</v>
      </c>
      <c r="AH69" s="168">
        <v>1.2210000000000001E-3</v>
      </c>
      <c r="AI69" s="168">
        <v>3.7751504167516802E-3</v>
      </c>
      <c r="AJ69" s="168">
        <v>4.78505297661003E-4</v>
      </c>
    </row>
    <row r="70" spans="1:36">
      <c r="A70" s="2">
        <v>288</v>
      </c>
      <c r="B70" s="2">
        <v>288</v>
      </c>
      <c r="C70" s="2" t="s">
        <v>2196</v>
      </c>
      <c r="D70" s="2" t="s">
        <v>2197</v>
      </c>
      <c r="E70" s="4" t="s">
        <v>1333</v>
      </c>
      <c r="F70" s="2" t="s">
        <v>2198</v>
      </c>
      <c r="G70" s="2" t="s">
        <v>2199</v>
      </c>
      <c r="H70" s="2" t="s">
        <v>339</v>
      </c>
      <c r="I70" s="2" t="s">
        <v>986</v>
      </c>
      <c r="J70" s="2" t="s">
        <v>30</v>
      </c>
      <c r="K70" s="2" t="s">
        <v>30</v>
      </c>
      <c r="L70" s="2" t="s">
        <v>345</v>
      </c>
      <c r="M70" s="2" t="s">
        <v>65</v>
      </c>
      <c r="N70" s="2" t="s">
        <v>461</v>
      </c>
      <c r="O70" s="2" t="s">
        <v>159</v>
      </c>
      <c r="P70" s="2" t="s">
        <v>1968</v>
      </c>
      <c r="Q70" s="2" t="s">
        <v>433</v>
      </c>
      <c r="R70" s="2" t="s">
        <v>424</v>
      </c>
      <c r="S70" s="2" t="s">
        <v>44</v>
      </c>
      <c r="T70" s="155">
        <v>1.228</v>
      </c>
      <c r="U70" s="2" t="s">
        <v>2132</v>
      </c>
      <c r="V70" s="166">
        <v>2.9399999999999999E-2</v>
      </c>
      <c r="W70" s="168">
        <v>4.8009999999999997E-2</v>
      </c>
      <c r="X70" s="4" t="s">
        <v>430</v>
      </c>
      <c r="Y70" s="4" t="s">
        <v>159</v>
      </c>
      <c r="Z70" s="155">
        <v>144240.65</v>
      </c>
      <c r="AA70" s="162">
        <v>1</v>
      </c>
      <c r="AB70" s="179">
        <v>98.54</v>
      </c>
      <c r="AD70" s="155">
        <v>142.13499999999999</v>
      </c>
      <c r="AG70" s="2" t="s">
        <v>36</v>
      </c>
      <c r="AH70" s="168">
        <v>1.3450000000000001E-3</v>
      </c>
      <c r="AI70" s="168">
        <v>4.6216207561310899E-4</v>
      </c>
      <c r="AJ70" s="168">
        <v>5.8579653032517597E-5</v>
      </c>
    </row>
    <row r="71" spans="1:36">
      <c r="A71" s="2">
        <v>288</v>
      </c>
      <c r="B71" s="2">
        <v>288</v>
      </c>
      <c r="C71" s="2" t="s">
        <v>2200</v>
      </c>
      <c r="D71" s="2" t="s">
        <v>2201</v>
      </c>
      <c r="E71" s="4" t="s">
        <v>1333</v>
      </c>
      <c r="F71" s="2" t="s">
        <v>2202</v>
      </c>
      <c r="G71" s="2" t="s">
        <v>2203</v>
      </c>
      <c r="H71" s="2" t="s">
        <v>339</v>
      </c>
      <c r="I71" s="2" t="s">
        <v>773</v>
      </c>
      <c r="J71" s="2" t="s">
        <v>30</v>
      </c>
      <c r="K71" s="2" t="s">
        <v>30</v>
      </c>
      <c r="L71" s="2" t="s">
        <v>345</v>
      </c>
      <c r="M71" s="2" t="s">
        <v>65</v>
      </c>
      <c r="N71" s="2" t="s">
        <v>480</v>
      </c>
      <c r="O71" s="2" t="s">
        <v>159</v>
      </c>
      <c r="P71" s="2" t="s">
        <v>1997</v>
      </c>
      <c r="Q71" s="2" t="s">
        <v>431</v>
      </c>
      <c r="R71" s="2" t="s">
        <v>424</v>
      </c>
      <c r="S71" s="2" t="s">
        <v>44</v>
      </c>
      <c r="T71" s="155">
        <v>3.9359999999999999</v>
      </c>
      <c r="U71" s="2" t="s">
        <v>2204</v>
      </c>
      <c r="V71" s="166">
        <v>3.6200000000000003E-2</v>
      </c>
      <c r="W71" s="168">
        <v>3.0859999999999999E-2</v>
      </c>
      <c r="X71" s="4" t="s">
        <v>430</v>
      </c>
      <c r="Y71" s="4" t="s">
        <v>159</v>
      </c>
      <c r="Z71" s="155">
        <v>643900</v>
      </c>
      <c r="AA71" s="162">
        <v>1</v>
      </c>
      <c r="AB71" s="179">
        <v>108.58</v>
      </c>
      <c r="AD71" s="155">
        <v>699.14700000000005</v>
      </c>
      <c r="AG71" s="2" t="s">
        <v>36</v>
      </c>
      <c r="AH71" s="168">
        <v>3.4900000000000003E-4</v>
      </c>
      <c r="AI71" s="168">
        <v>2.2733292437232999E-3</v>
      </c>
      <c r="AJ71" s="168">
        <v>2.8814748191815799E-4</v>
      </c>
    </row>
    <row r="72" spans="1:36">
      <c r="A72" s="2">
        <v>288</v>
      </c>
      <c r="B72" s="2">
        <v>288</v>
      </c>
      <c r="C72" s="2" t="s">
        <v>2205</v>
      </c>
      <c r="D72" s="2" t="s">
        <v>2206</v>
      </c>
      <c r="E72" s="4" t="s">
        <v>1333</v>
      </c>
      <c r="F72" s="2" t="s">
        <v>2207</v>
      </c>
      <c r="G72" s="2" t="s">
        <v>2208</v>
      </c>
      <c r="H72" s="2" t="s">
        <v>339</v>
      </c>
      <c r="I72" s="2" t="s">
        <v>986</v>
      </c>
      <c r="J72" s="2" t="s">
        <v>30</v>
      </c>
      <c r="K72" s="2" t="s">
        <v>30</v>
      </c>
      <c r="L72" s="2" t="s">
        <v>345</v>
      </c>
      <c r="M72" s="2" t="s">
        <v>65</v>
      </c>
      <c r="N72" s="2" t="s">
        <v>470</v>
      </c>
      <c r="O72" s="2" t="s">
        <v>159</v>
      </c>
      <c r="P72" s="2" t="s">
        <v>1968</v>
      </c>
      <c r="Q72" s="2" t="s">
        <v>431</v>
      </c>
      <c r="R72" s="2" t="s">
        <v>424</v>
      </c>
      <c r="S72" s="2" t="s">
        <v>44</v>
      </c>
      <c r="T72" s="155">
        <v>6.6000000000000003E-2</v>
      </c>
      <c r="U72" s="2" t="s">
        <v>2209</v>
      </c>
      <c r="V72" s="166">
        <v>2.3599999999999999E-2</v>
      </c>
      <c r="W72" s="168">
        <v>4.7329999999999997E-2</v>
      </c>
      <c r="X72" s="4" t="s">
        <v>430</v>
      </c>
      <c r="Y72" s="4" t="s">
        <v>159</v>
      </c>
      <c r="Z72" s="155">
        <v>37488.14</v>
      </c>
      <c r="AA72" s="162">
        <v>1</v>
      </c>
      <c r="AB72" s="179">
        <v>100.86</v>
      </c>
      <c r="AD72" s="155">
        <v>37.811</v>
      </c>
      <c r="AG72" s="2" t="s">
        <v>36</v>
      </c>
      <c r="AH72" s="168">
        <v>1.1900000000000001E-3</v>
      </c>
      <c r="AI72" s="168">
        <v>1.2294388516875701E-4</v>
      </c>
      <c r="AJ72" s="168">
        <v>1.5583299703034301E-5</v>
      </c>
    </row>
    <row r="73" spans="1:36">
      <c r="A73" s="2">
        <v>288</v>
      </c>
      <c r="B73" s="2">
        <v>288</v>
      </c>
      <c r="C73" s="2" t="s">
        <v>1759</v>
      </c>
      <c r="D73" s="2" t="s">
        <v>1760</v>
      </c>
      <c r="E73" s="4" t="s">
        <v>1333</v>
      </c>
      <c r="F73" s="2" t="s">
        <v>2210</v>
      </c>
      <c r="G73" s="2" t="s">
        <v>2211</v>
      </c>
      <c r="H73" s="2" t="s">
        <v>339</v>
      </c>
      <c r="I73" s="2" t="s">
        <v>986</v>
      </c>
      <c r="J73" s="2" t="s">
        <v>30</v>
      </c>
      <c r="K73" s="2" t="s">
        <v>30</v>
      </c>
      <c r="L73" s="2" t="s">
        <v>345</v>
      </c>
      <c r="M73" s="2" t="s">
        <v>65</v>
      </c>
      <c r="N73" s="2" t="s">
        <v>501</v>
      </c>
      <c r="O73" s="2" t="s">
        <v>159</v>
      </c>
      <c r="P73" s="2" t="s">
        <v>1956</v>
      </c>
      <c r="Q73" s="2" t="s">
        <v>431</v>
      </c>
      <c r="R73" s="2" t="s">
        <v>424</v>
      </c>
      <c r="S73" s="2" t="s">
        <v>44</v>
      </c>
      <c r="T73" s="155">
        <v>0.50700000000000001</v>
      </c>
      <c r="U73" s="2" t="s">
        <v>2212</v>
      </c>
      <c r="V73" s="166">
        <v>4.1399999999999999E-2</v>
      </c>
      <c r="W73" s="168">
        <v>4.9869999999999998E-2</v>
      </c>
      <c r="X73" s="4" t="s">
        <v>430</v>
      </c>
      <c r="Y73" s="4" t="s">
        <v>159</v>
      </c>
      <c r="Z73" s="155">
        <v>1000000</v>
      </c>
      <c r="AA73" s="162">
        <v>1</v>
      </c>
      <c r="AB73" s="179">
        <v>99.57</v>
      </c>
      <c r="AC73" s="155">
        <v>20.7</v>
      </c>
      <c r="AD73" s="155">
        <v>1016.4</v>
      </c>
      <c r="AG73" s="2" t="s">
        <v>36</v>
      </c>
      <c r="AH73" s="168">
        <v>8.8839999999999995E-3</v>
      </c>
      <c r="AI73" s="168">
        <v>3.3049031164884501E-3</v>
      </c>
      <c r="AJ73" s="168">
        <v>4.1890083173343E-4</v>
      </c>
    </row>
    <row r="74" spans="1:36">
      <c r="A74" s="2">
        <v>288</v>
      </c>
      <c r="B74" s="2">
        <v>288</v>
      </c>
      <c r="C74" s="2" t="s">
        <v>1759</v>
      </c>
      <c r="D74" s="2" t="s">
        <v>1760</v>
      </c>
      <c r="E74" s="4" t="s">
        <v>1333</v>
      </c>
      <c r="F74" s="2" t="s">
        <v>2213</v>
      </c>
      <c r="G74" s="2" t="s">
        <v>2214</v>
      </c>
      <c r="H74" s="2" t="s">
        <v>339</v>
      </c>
      <c r="I74" s="2" t="s">
        <v>773</v>
      </c>
      <c r="J74" s="2" t="s">
        <v>30</v>
      </c>
      <c r="K74" s="2" t="s">
        <v>30</v>
      </c>
      <c r="L74" s="2" t="s">
        <v>345</v>
      </c>
      <c r="M74" s="2" t="s">
        <v>65</v>
      </c>
      <c r="N74" s="2" t="s">
        <v>501</v>
      </c>
      <c r="O74" s="2" t="s">
        <v>159</v>
      </c>
      <c r="P74" s="2" t="s">
        <v>1956</v>
      </c>
      <c r="Q74" s="2" t="s">
        <v>431</v>
      </c>
      <c r="R74" s="2" t="s">
        <v>424</v>
      </c>
      <c r="S74" s="2" t="s">
        <v>44</v>
      </c>
      <c r="T74" s="155">
        <v>0.995</v>
      </c>
      <c r="U74" s="2" t="s">
        <v>2215</v>
      </c>
      <c r="V74" s="166">
        <v>2.4500000000000001E-2</v>
      </c>
      <c r="W74" s="168">
        <v>3.048E-2</v>
      </c>
      <c r="X74" s="4" t="s">
        <v>430</v>
      </c>
      <c r="Y74" s="4" t="s">
        <v>159</v>
      </c>
      <c r="Z74" s="155">
        <v>509898.86</v>
      </c>
      <c r="AA74" s="162">
        <v>1</v>
      </c>
      <c r="AB74" s="179">
        <v>115.58</v>
      </c>
      <c r="AC74" s="155">
        <v>7.2619999999999996</v>
      </c>
      <c r="AD74" s="155">
        <v>596.60299999999995</v>
      </c>
      <c r="AG74" s="2" t="s">
        <v>36</v>
      </c>
      <c r="AH74" s="168">
        <v>1.2344000000000001E-2</v>
      </c>
      <c r="AI74" s="168">
        <v>1.9399008796680401E-3</v>
      </c>
      <c r="AJ74" s="168">
        <v>2.45884996724742E-4</v>
      </c>
    </row>
    <row r="75" spans="1:36">
      <c r="A75" s="2">
        <v>288</v>
      </c>
      <c r="B75" s="2">
        <v>288</v>
      </c>
      <c r="C75" s="2" t="s">
        <v>1695</v>
      </c>
      <c r="D75" s="2" t="s">
        <v>1696</v>
      </c>
      <c r="E75" s="4" t="s">
        <v>1333</v>
      </c>
      <c r="F75" s="2" t="s">
        <v>2216</v>
      </c>
      <c r="G75" s="2" t="s">
        <v>2217</v>
      </c>
      <c r="H75" s="2" t="s">
        <v>339</v>
      </c>
      <c r="I75" s="2" t="s">
        <v>773</v>
      </c>
      <c r="J75" s="2" t="s">
        <v>30</v>
      </c>
      <c r="K75" s="2" t="s">
        <v>30</v>
      </c>
      <c r="L75" s="2" t="s">
        <v>345</v>
      </c>
      <c r="M75" s="2" t="s">
        <v>65</v>
      </c>
      <c r="N75" s="2" t="s">
        <v>480</v>
      </c>
      <c r="O75" s="2" t="s">
        <v>159</v>
      </c>
      <c r="P75" s="2" t="s">
        <v>126</v>
      </c>
      <c r="Q75" s="2" t="s">
        <v>431</v>
      </c>
      <c r="R75" s="2" t="s">
        <v>424</v>
      </c>
      <c r="S75" s="2" t="s">
        <v>44</v>
      </c>
      <c r="T75" s="155">
        <v>2.9119999999999999</v>
      </c>
      <c r="U75" s="2" t="s">
        <v>2218</v>
      </c>
      <c r="V75" s="166">
        <v>1.34E-2</v>
      </c>
      <c r="W75" s="168">
        <v>2.5749999999999999E-2</v>
      </c>
      <c r="X75" s="4" t="s">
        <v>430</v>
      </c>
      <c r="Y75" s="4" t="s">
        <v>159</v>
      </c>
      <c r="Z75" s="155">
        <v>1523989.57</v>
      </c>
      <c r="AA75" s="162">
        <v>1</v>
      </c>
      <c r="AB75" s="179">
        <v>112.66</v>
      </c>
      <c r="AC75" s="155">
        <v>174.727</v>
      </c>
      <c r="AD75" s="155">
        <v>1891.654</v>
      </c>
      <c r="AG75" s="2" t="s">
        <v>36</v>
      </c>
      <c r="AH75" s="168">
        <v>6.2699999999999995E-4</v>
      </c>
      <c r="AI75" s="168">
        <v>6.1508593366917698E-3</v>
      </c>
      <c r="AJ75" s="168">
        <v>7.7962953865746596E-4</v>
      </c>
    </row>
    <row r="76" spans="1:36">
      <c r="A76" s="2">
        <v>288</v>
      </c>
      <c r="B76" s="2">
        <v>288</v>
      </c>
      <c r="C76" s="2" t="s">
        <v>1695</v>
      </c>
      <c r="D76" s="2" t="s">
        <v>1696</v>
      </c>
      <c r="E76" s="4" t="s">
        <v>1333</v>
      </c>
      <c r="F76" s="2" t="s">
        <v>2219</v>
      </c>
      <c r="G76" s="2" t="s">
        <v>2220</v>
      </c>
      <c r="H76" s="2" t="s">
        <v>339</v>
      </c>
      <c r="I76" s="2" t="s">
        <v>773</v>
      </c>
      <c r="J76" s="2" t="s">
        <v>30</v>
      </c>
      <c r="K76" s="2" t="s">
        <v>30</v>
      </c>
      <c r="L76" s="2" t="s">
        <v>345</v>
      </c>
      <c r="M76" s="2" t="s">
        <v>65</v>
      </c>
      <c r="N76" s="2" t="s">
        <v>480</v>
      </c>
      <c r="O76" s="2" t="s">
        <v>159</v>
      </c>
      <c r="P76" s="2" t="s">
        <v>126</v>
      </c>
      <c r="Q76" s="2" t="s">
        <v>433</v>
      </c>
      <c r="R76" s="2" t="s">
        <v>424</v>
      </c>
      <c r="S76" s="2" t="s">
        <v>44</v>
      </c>
      <c r="T76" s="155">
        <v>2.3159999999999998</v>
      </c>
      <c r="U76" s="2" t="s">
        <v>2084</v>
      </c>
      <c r="V76" s="166">
        <v>1.77E-2</v>
      </c>
      <c r="W76" s="168">
        <v>2.605E-2</v>
      </c>
      <c r="X76" s="4" t="s">
        <v>430</v>
      </c>
      <c r="Y76" s="4" t="s">
        <v>159</v>
      </c>
      <c r="Z76" s="155">
        <v>2500318.59</v>
      </c>
      <c r="AA76" s="162">
        <v>1</v>
      </c>
      <c r="AB76" s="179">
        <v>113.1</v>
      </c>
      <c r="AD76" s="155">
        <v>2827.86</v>
      </c>
      <c r="AG76" s="2" t="s">
        <v>36</v>
      </c>
      <c r="AH76" s="168">
        <v>9.6400000000000001E-4</v>
      </c>
      <c r="AI76" s="168">
        <v>9.1950062987455408E-3</v>
      </c>
      <c r="AJ76" s="168">
        <v>1.16547918367763E-3</v>
      </c>
    </row>
    <row r="77" spans="1:36">
      <c r="A77" s="2">
        <v>288</v>
      </c>
      <c r="B77" s="2">
        <v>288</v>
      </c>
      <c r="C77" s="2" t="s">
        <v>1695</v>
      </c>
      <c r="D77" s="2" t="s">
        <v>1696</v>
      </c>
      <c r="E77" s="4" t="s">
        <v>1333</v>
      </c>
      <c r="F77" s="2" t="s">
        <v>2221</v>
      </c>
      <c r="G77" s="2" t="s">
        <v>2222</v>
      </c>
      <c r="H77" s="2" t="s">
        <v>339</v>
      </c>
      <c r="I77" s="2" t="s">
        <v>773</v>
      </c>
      <c r="J77" s="2" t="s">
        <v>30</v>
      </c>
      <c r="K77" s="2" t="s">
        <v>30</v>
      </c>
      <c r="L77" s="2" t="s">
        <v>345</v>
      </c>
      <c r="M77" s="2" t="s">
        <v>65</v>
      </c>
      <c r="N77" s="2" t="s">
        <v>480</v>
      </c>
      <c r="O77" s="2" t="s">
        <v>159</v>
      </c>
      <c r="P77" s="2" t="s">
        <v>126</v>
      </c>
      <c r="Q77" s="2" t="s">
        <v>431</v>
      </c>
      <c r="R77" s="2" t="s">
        <v>424</v>
      </c>
      <c r="S77" s="2" t="s">
        <v>44</v>
      </c>
      <c r="T77" s="155">
        <v>6.7249999999999996</v>
      </c>
      <c r="U77" s="2" t="s">
        <v>2223</v>
      </c>
      <c r="V77" s="166">
        <v>8.9999999999999993E-3</v>
      </c>
      <c r="W77" s="168">
        <v>2.9850000000000002E-2</v>
      </c>
      <c r="X77" s="4" t="s">
        <v>430</v>
      </c>
      <c r="Y77" s="4" t="s">
        <v>159</v>
      </c>
      <c r="Z77" s="155">
        <v>3136000</v>
      </c>
      <c r="AA77" s="162">
        <v>1</v>
      </c>
      <c r="AB77" s="179">
        <v>98.8</v>
      </c>
      <c r="AC77" s="155">
        <v>16.02</v>
      </c>
      <c r="AD77" s="155">
        <v>3114.3890000000001</v>
      </c>
      <c r="AG77" s="2" t="s">
        <v>36</v>
      </c>
      <c r="AH77" s="168">
        <v>1.14E-3</v>
      </c>
      <c r="AI77" s="168">
        <v>1.01266747930006E-2</v>
      </c>
      <c r="AJ77" s="168">
        <v>1.28356939491443E-3</v>
      </c>
    </row>
    <row r="78" spans="1:36">
      <c r="A78" s="2">
        <v>288</v>
      </c>
      <c r="B78" s="2">
        <v>288</v>
      </c>
      <c r="C78" s="2" t="s">
        <v>1699</v>
      </c>
      <c r="D78" s="2" t="s">
        <v>1700</v>
      </c>
      <c r="E78" s="4" t="s">
        <v>1333</v>
      </c>
      <c r="F78" s="2" t="s">
        <v>2224</v>
      </c>
      <c r="G78" s="2" t="s">
        <v>2225</v>
      </c>
      <c r="H78" s="2" t="s">
        <v>339</v>
      </c>
      <c r="I78" s="2" t="s">
        <v>986</v>
      </c>
      <c r="J78" s="2" t="s">
        <v>30</v>
      </c>
      <c r="K78" s="2" t="s">
        <v>30</v>
      </c>
      <c r="L78" s="2" t="s">
        <v>345</v>
      </c>
      <c r="M78" s="2" t="s">
        <v>65</v>
      </c>
      <c r="N78" s="2" t="s">
        <v>464</v>
      </c>
      <c r="O78" s="2" t="s">
        <v>159</v>
      </c>
      <c r="P78" s="2" t="s">
        <v>132</v>
      </c>
      <c r="Q78" s="2" t="s">
        <v>431</v>
      </c>
      <c r="R78" s="2" t="s">
        <v>424</v>
      </c>
      <c r="S78" s="2" t="s">
        <v>44</v>
      </c>
      <c r="T78" s="155">
        <v>3.665</v>
      </c>
      <c r="U78" s="2" t="s">
        <v>2226</v>
      </c>
      <c r="V78" s="166">
        <v>2.5000000000000001E-2</v>
      </c>
      <c r="W78" s="168">
        <v>4.5699999999999998E-2</v>
      </c>
      <c r="X78" s="4" t="s">
        <v>430</v>
      </c>
      <c r="Y78" s="4" t="s">
        <v>159</v>
      </c>
      <c r="Z78" s="155">
        <v>2132022.2000000002</v>
      </c>
      <c r="AA78" s="162">
        <v>1</v>
      </c>
      <c r="AB78" s="179">
        <v>92.99</v>
      </c>
      <c r="AD78" s="155">
        <v>1982.567</v>
      </c>
      <c r="AG78" s="2" t="s">
        <v>36</v>
      </c>
      <c r="AH78" s="168">
        <v>1.0510000000000001E-3</v>
      </c>
      <c r="AI78" s="168">
        <v>6.4464711959829396E-3</v>
      </c>
      <c r="AJ78" s="168">
        <v>8.17098731962871E-4</v>
      </c>
    </row>
    <row r="79" spans="1:36">
      <c r="A79" s="2">
        <v>288</v>
      </c>
      <c r="B79" s="2">
        <v>288</v>
      </c>
      <c r="C79" s="2" t="s">
        <v>1699</v>
      </c>
      <c r="D79" s="2" t="s">
        <v>1700</v>
      </c>
      <c r="E79" s="4" t="s">
        <v>1333</v>
      </c>
      <c r="F79" s="2" t="s">
        <v>2227</v>
      </c>
      <c r="G79" s="2" t="s">
        <v>2228</v>
      </c>
      <c r="H79" s="2" t="s">
        <v>339</v>
      </c>
      <c r="I79" s="2" t="s">
        <v>773</v>
      </c>
      <c r="J79" s="2" t="s">
        <v>30</v>
      </c>
      <c r="K79" s="2" t="s">
        <v>30</v>
      </c>
      <c r="L79" s="2" t="s">
        <v>345</v>
      </c>
      <c r="M79" s="2" t="s">
        <v>65</v>
      </c>
      <c r="N79" s="2" t="s">
        <v>464</v>
      </c>
      <c r="O79" s="2" t="s">
        <v>159</v>
      </c>
      <c r="P79" s="2" t="s">
        <v>132</v>
      </c>
      <c r="Q79" s="2" t="s">
        <v>431</v>
      </c>
      <c r="R79" s="2" t="s">
        <v>424</v>
      </c>
      <c r="S79" s="2" t="s">
        <v>44</v>
      </c>
      <c r="T79" s="155">
        <v>3.839</v>
      </c>
      <c r="U79" s="2" t="s">
        <v>2226</v>
      </c>
      <c r="V79" s="166">
        <v>1E-3</v>
      </c>
      <c r="W79" s="168">
        <v>2.359E-2</v>
      </c>
      <c r="X79" s="4" t="s">
        <v>430</v>
      </c>
      <c r="Y79" s="4" t="s">
        <v>159</v>
      </c>
      <c r="Z79" s="155">
        <v>3120216.64</v>
      </c>
      <c r="AA79" s="162">
        <v>1</v>
      </c>
      <c r="AB79" s="179">
        <v>103.09</v>
      </c>
      <c r="AD79" s="155">
        <v>3216.6309999999999</v>
      </c>
      <c r="AG79" s="2" t="s">
        <v>36</v>
      </c>
      <c r="AH79" s="168">
        <v>3.1700000000000001E-3</v>
      </c>
      <c r="AI79" s="168">
        <v>1.04591252665414E-2</v>
      </c>
      <c r="AJ79" s="168">
        <v>1.32570793119455E-3</v>
      </c>
    </row>
    <row r="80" spans="1:36">
      <c r="A80" s="2">
        <v>288</v>
      </c>
      <c r="B80" s="2">
        <v>288</v>
      </c>
      <c r="C80" s="2" t="s">
        <v>1699</v>
      </c>
      <c r="D80" s="2" t="s">
        <v>1700</v>
      </c>
      <c r="E80" s="4" t="s">
        <v>1333</v>
      </c>
      <c r="F80" s="2" t="s">
        <v>2229</v>
      </c>
      <c r="G80" s="2" t="s">
        <v>2230</v>
      </c>
      <c r="H80" s="2" t="s">
        <v>339</v>
      </c>
      <c r="I80" s="2" t="s">
        <v>773</v>
      </c>
      <c r="J80" s="2" t="s">
        <v>30</v>
      </c>
      <c r="K80" s="2" t="s">
        <v>30</v>
      </c>
      <c r="L80" s="2" t="s">
        <v>345</v>
      </c>
      <c r="M80" s="2" t="s">
        <v>65</v>
      </c>
      <c r="N80" s="2" t="s">
        <v>464</v>
      </c>
      <c r="O80" s="2" t="s">
        <v>159</v>
      </c>
      <c r="P80" s="2" t="s">
        <v>132</v>
      </c>
      <c r="Q80" s="2" t="s">
        <v>431</v>
      </c>
      <c r="R80" s="2" t="s">
        <v>424</v>
      </c>
      <c r="S80" s="2" t="s">
        <v>44</v>
      </c>
      <c r="T80" s="155">
        <v>4.2240000000000002</v>
      </c>
      <c r="U80" s="2" t="s">
        <v>2231</v>
      </c>
      <c r="V80" s="166">
        <v>1.3899999999999999E-2</v>
      </c>
      <c r="W80" s="168">
        <v>2.298E-2</v>
      </c>
      <c r="X80" s="4" t="s">
        <v>430</v>
      </c>
      <c r="Y80" s="4" t="s">
        <v>159</v>
      </c>
      <c r="Z80" s="155">
        <v>3575200</v>
      </c>
      <c r="AA80" s="162">
        <v>1</v>
      </c>
      <c r="AB80" s="179">
        <v>103.13</v>
      </c>
      <c r="AD80" s="155">
        <v>3687.1039999999998</v>
      </c>
      <c r="AG80" s="2" t="s">
        <v>36</v>
      </c>
      <c r="AH80" s="168">
        <v>2.2339999999999999E-3</v>
      </c>
      <c r="AI80" s="168">
        <v>1.19889027029125E-2</v>
      </c>
      <c r="AJ80" s="168">
        <v>1.51960924021198E-3</v>
      </c>
    </row>
    <row r="81" spans="1:36">
      <c r="A81" s="2">
        <v>288</v>
      </c>
      <c r="B81" s="2">
        <v>288</v>
      </c>
      <c r="C81" s="2" t="s">
        <v>1699</v>
      </c>
      <c r="D81" s="2" t="s">
        <v>1700</v>
      </c>
      <c r="E81" s="4" t="s">
        <v>1333</v>
      </c>
      <c r="F81" s="2" t="s">
        <v>2232</v>
      </c>
      <c r="G81" s="2" t="s">
        <v>2233</v>
      </c>
      <c r="H81" s="2" t="s">
        <v>339</v>
      </c>
      <c r="I81" s="2" t="s">
        <v>773</v>
      </c>
      <c r="J81" s="2" t="s">
        <v>30</v>
      </c>
      <c r="K81" s="2" t="s">
        <v>30</v>
      </c>
      <c r="L81" s="2" t="s">
        <v>345</v>
      </c>
      <c r="M81" s="2" t="s">
        <v>65</v>
      </c>
      <c r="N81" s="2" t="s">
        <v>464</v>
      </c>
      <c r="O81" s="2" t="s">
        <v>159</v>
      </c>
      <c r="P81" s="2" t="s">
        <v>132</v>
      </c>
      <c r="Q81" s="2" t="s">
        <v>431</v>
      </c>
      <c r="R81" s="2" t="s">
        <v>424</v>
      </c>
      <c r="S81" s="2" t="s">
        <v>44</v>
      </c>
      <c r="T81" s="155">
        <v>3.3029999999999999</v>
      </c>
      <c r="U81" s="2" t="s">
        <v>2234</v>
      </c>
      <c r="V81" s="166">
        <v>1.7500000000000002E-2</v>
      </c>
      <c r="W81" s="168">
        <v>2.341E-2</v>
      </c>
      <c r="X81" s="4" t="s">
        <v>430</v>
      </c>
      <c r="Y81" s="4" t="s">
        <v>159</v>
      </c>
      <c r="Z81" s="155">
        <v>4305702.3600000003</v>
      </c>
      <c r="AA81" s="162">
        <v>1</v>
      </c>
      <c r="AB81" s="179">
        <v>112.53</v>
      </c>
      <c r="AD81" s="155">
        <v>4845.2070000000003</v>
      </c>
      <c r="AG81" s="2" t="s">
        <v>36</v>
      </c>
      <c r="AH81" s="168">
        <v>1.9319999999999999E-3</v>
      </c>
      <c r="AI81" s="168">
        <v>1.57545644141181E-2</v>
      </c>
      <c r="AJ81" s="168">
        <v>1.9969118319220799E-3</v>
      </c>
    </row>
    <row r="82" spans="1:36">
      <c r="A82" s="2">
        <v>288</v>
      </c>
      <c r="B82" s="2">
        <v>288</v>
      </c>
      <c r="C82" s="2" t="s">
        <v>1707</v>
      </c>
      <c r="D82" s="2" t="s">
        <v>1708</v>
      </c>
      <c r="E82" s="4" t="s">
        <v>1333</v>
      </c>
      <c r="F82" s="2" t="s">
        <v>2235</v>
      </c>
      <c r="G82" s="2" t="s">
        <v>2236</v>
      </c>
      <c r="H82" s="2" t="s">
        <v>339</v>
      </c>
      <c r="I82" s="2" t="s">
        <v>986</v>
      </c>
      <c r="J82" s="2" t="s">
        <v>30</v>
      </c>
      <c r="K82" s="2" t="s">
        <v>30</v>
      </c>
      <c r="L82" s="2" t="s">
        <v>345</v>
      </c>
      <c r="M82" s="2" t="s">
        <v>65</v>
      </c>
      <c r="N82" s="2" t="s">
        <v>493</v>
      </c>
      <c r="O82" s="2" t="s">
        <v>159</v>
      </c>
      <c r="P82" s="2" t="s">
        <v>1979</v>
      </c>
      <c r="Q82" s="2" t="s">
        <v>431</v>
      </c>
      <c r="R82" s="2" t="s">
        <v>424</v>
      </c>
      <c r="S82" s="2" t="s">
        <v>44</v>
      </c>
      <c r="T82" s="155">
        <v>1.387</v>
      </c>
      <c r="U82" s="2" t="s">
        <v>2237</v>
      </c>
      <c r="V82" s="166">
        <v>2.29E-2</v>
      </c>
      <c r="W82" s="168">
        <v>4.5949999999999998E-2</v>
      </c>
      <c r="X82" s="4" t="s">
        <v>430</v>
      </c>
      <c r="Y82" s="4" t="s">
        <v>159</v>
      </c>
      <c r="Z82" s="155">
        <v>728653.85</v>
      </c>
      <c r="AA82" s="162">
        <v>1</v>
      </c>
      <c r="AB82" s="179">
        <v>97.15</v>
      </c>
      <c r="AD82" s="155">
        <v>707.88699999999994</v>
      </c>
      <c r="AG82" s="2" t="s">
        <v>36</v>
      </c>
      <c r="AH82" s="168">
        <v>2.199E-3</v>
      </c>
      <c r="AI82" s="168">
        <v>2.3017499644674101E-3</v>
      </c>
      <c r="AJ82" s="168">
        <v>2.9174984578134503E-4</v>
      </c>
    </row>
    <row r="83" spans="1:36">
      <c r="A83" s="2">
        <v>288</v>
      </c>
      <c r="B83" s="2">
        <v>288</v>
      </c>
      <c r="C83" s="2" t="s">
        <v>1763</v>
      </c>
      <c r="D83" s="2" t="s">
        <v>1764</v>
      </c>
      <c r="E83" s="4" t="s">
        <v>1333</v>
      </c>
      <c r="F83" s="2" t="s">
        <v>2238</v>
      </c>
      <c r="G83" s="2" t="s">
        <v>2239</v>
      </c>
      <c r="H83" s="2" t="s">
        <v>339</v>
      </c>
      <c r="I83" s="2" t="s">
        <v>773</v>
      </c>
      <c r="J83" s="2" t="s">
        <v>30</v>
      </c>
      <c r="K83" s="2" t="s">
        <v>30</v>
      </c>
      <c r="L83" s="2" t="s">
        <v>345</v>
      </c>
      <c r="M83" s="2" t="s">
        <v>65</v>
      </c>
      <c r="N83" s="2" t="s">
        <v>456</v>
      </c>
      <c r="O83" s="2" t="s">
        <v>159</v>
      </c>
      <c r="P83" s="2" t="s">
        <v>1979</v>
      </c>
      <c r="Q83" s="2" t="s">
        <v>431</v>
      </c>
      <c r="R83" s="2" t="s">
        <v>424</v>
      </c>
      <c r="S83" s="2" t="s">
        <v>44</v>
      </c>
      <c r="T83" s="155">
        <v>2.347</v>
      </c>
      <c r="U83" s="2" t="s">
        <v>2240</v>
      </c>
      <c r="V83" s="166">
        <v>1.9400000000000001E-2</v>
      </c>
      <c r="W83" s="168">
        <v>2.4109999999999999E-2</v>
      </c>
      <c r="X83" s="4" t="s">
        <v>430</v>
      </c>
      <c r="Y83" s="4" t="s">
        <v>159</v>
      </c>
      <c r="Z83" s="155">
        <v>2001247.55</v>
      </c>
      <c r="AA83" s="162">
        <v>1</v>
      </c>
      <c r="AB83" s="179">
        <v>115.11</v>
      </c>
      <c r="AD83" s="155">
        <v>2303.636</v>
      </c>
      <c r="AG83" s="2" t="s">
        <v>36</v>
      </c>
      <c r="AH83" s="168">
        <v>8.3020000000000004E-3</v>
      </c>
      <c r="AI83" s="168">
        <v>7.4904505871509304E-3</v>
      </c>
      <c r="AJ83" s="168">
        <v>9.4942449760815697E-4</v>
      </c>
    </row>
    <row r="84" spans="1:36">
      <c r="A84" s="2">
        <v>288</v>
      </c>
      <c r="B84" s="2">
        <v>288</v>
      </c>
      <c r="C84" s="2" t="s">
        <v>2241</v>
      </c>
      <c r="D84" s="2" t="s">
        <v>2242</v>
      </c>
      <c r="E84" s="4" t="s">
        <v>1333</v>
      </c>
      <c r="F84" s="2" t="s">
        <v>2243</v>
      </c>
      <c r="G84" s="2" t="s">
        <v>2244</v>
      </c>
      <c r="H84" s="2" t="s">
        <v>339</v>
      </c>
      <c r="I84" s="2" t="s">
        <v>986</v>
      </c>
      <c r="J84" s="2" t="s">
        <v>30</v>
      </c>
      <c r="K84" s="2" t="s">
        <v>30</v>
      </c>
      <c r="L84" s="2" t="s">
        <v>345</v>
      </c>
      <c r="M84" s="2" t="s">
        <v>65</v>
      </c>
      <c r="N84" s="2" t="s">
        <v>461</v>
      </c>
      <c r="O84" s="2" t="s">
        <v>159</v>
      </c>
      <c r="P84" s="2" t="s">
        <v>1968</v>
      </c>
      <c r="Q84" s="2" t="s">
        <v>431</v>
      </c>
      <c r="R84" s="2" t="s">
        <v>424</v>
      </c>
      <c r="S84" s="2" t="s">
        <v>44</v>
      </c>
      <c r="T84" s="155">
        <v>4.87</v>
      </c>
      <c r="U84" s="2" t="s">
        <v>2245</v>
      </c>
      <c r="V84" s="166">
        <v>4.6899999999999997E-2</v>
      </c>
      <c r="W84" s="168">
        <v>4.8379999999999999E-2</v>
      </c>
      <c r="X84" s="4" t="s">
        <v>430</v>
      </c>
      <c r="Y84" s="4" t="s">
        <v>159</v>
      </c>
      <c r="Z84" s="155">
        <v>3099000</v>
      </c>
      <c r="AA84" s="162">
        <v>1</v>
      </c>
      <c r="AB84" s="179">
        <v>99.72</v>
      </c>
      <c r="AD84" s="155">
        <v>3090.3229999999999</v>
      </c>
      <c r="AG84" s="2" t="s">
        <v>36</v>
      </c>
      <c r="AH84" s="168">
        <v>6.1980000000000004E-3</v>
      </c>
      <c r="AI84" s="168">
        <v>1.0048423310385E-2</v>
      </c>
      <c r="AJ84" s="168">
        <v>1.2736509162187899E-3</v>
      </c>
    </row>
    <row r="85" spans="1:36">
      <c r="A85" s="2">
        <v>288</v>
      </c>
      <c r="B85" s="2">
        <v>288</v>
      </c>
      <c r="C85" s="2" t="s">
        <v>2241</v>
      </c>
      <c r="D85" s="2" t="s">
        <v>2242</v>
      </c>
      <c r="E85" s="4" t="s">
        <v>1333</v>
      </c>
      <c r="F85" s="2" t="s">
        <v>2246</v>
      </c>
      <c r="G85" s="2" t="s">
        <v>2247</v>
      </c>
      <c r="H85" s="2" t="s">
        <v>339</v>
      </c>
      <c r="I85" s="2" t="s">
        <v>986</v>
      </c>
      <c r="J85" s="2" t="s">
        <v>30</v>
      </c>
      <c r="K85" s="2" t="s">
        <v>30</v>
      </c>
      <c r="L85" s="2" t="s">
        <v>345</v>
      </c>
      <c r="M85" s="2" t="s">
        <v>65</v>
      </c>
      <c r="N85" s="2" t="s">
        <v>461</v>
      </c>
      <c r="O85" s="2" t="s">
        <v>159</v>
      </c>
      <c r="P85" s="2" t="s">
        <v>1968</v>
      </c>
      <c r="Q85" s="2" t="s">
        <v>431</v>
      </c>
      <c r="R85" s="2" t="s">
        <v>424</v>
      </c>
      <c r="S85" s="2" t="s">
        <v>44</v>
      </c>
      <c r="T85" s="155">
        <v>4.0860000000000003</v>
      </c>
      <c r="U85" s="2" t="s">
        <v>1971</v>
      </c>
      <c r="V85" s="166">
        <v>2.6200000000000001E-2</v>
      </c>
      <c r="W85" s="168">
        <v>4.8649999999999999E-2</v>
      </c>
      <c r="X85" s="4" t="s">
        <v>430</v>
      </c>
      <c r="Y85" s="4" t="s">
        <v>159</v>
      </c>
      <c r="Z85" s="155">
        <v>110000</v>
      </c>
      <c r="AA85" s="162">
        <v>1</v>
      </c>
      <c r="AB85" s="179">
        <v>91.99</v>
      </c>
      <c r="AD85" s="155">
        <v>101.18899999999999</v>
      </c>
      <c r="AG85" s="2" t="s">
        <v>36</v>
      </c>
      <c r="AH85" s="168">
        <v>8.5000000000000006E-5</v>
      </c>
      <c r="AI85" s="168">
        <v>3.2902385030927802E-4</v>
      </c>
      <c r="AJ85" s="168">
        <v>4.1704207263158201E-5</v>
      </c>
    </row>
    <row r="86" spans="1:36">
      <c r="A86" s="2">
        <v>288</v>
      </c>
      <c r="B86" s="2">
        <v>288</v>
      </c>
      <c r="C86" s="2" t="s">
        <v>2248</v>
      </c>
      <c r="D86" s="2" t="s">
        <v>2249</v>
      </c>
      <c r="E86" s="4" t="s">
        <v>1333</v>
      </c>
      <c r="F86" s="2" t="s">
        <v>2250</v>
      </c>
      <c r="G86" s="2" t="s">
        <v>2251</v>
      </c>
      <c r="H86" s="2" t="s">
        <v>339</v>
      </c>
      <c r="I86" s="2" t="s">
        <v>986</v>
      </c>
      <c r="J86" s="2" t="s">
        <v>30</v>
      </c>
      <c r="K86" s="2" t="s">
        <v>30</v>
      </c>
      <c r="L86" s="2" t="s">
        <v>345</v>
      </c>
      <c r="M86" s="2" t="s">
        <v>65</v>
      </c>
      <c r="N86" s="2" t="s">
        <v>481</v>
      </c>
      <c r="O86" s="2" t="s">
        <v>159</v>
      </c>
      <c r="P86" s="2" t="s">
        <v>1997</v>
      </c>
      <c r="Q86" s="2" t="s">
        <v>433</v>
      </c>
      <c r="R86" s="2" t="s">
        <v>424</v>
      </c>
      <c r="S86" s="2" t="s">
        <v>44</v>
      </c>
      <c r="T86" s="155">
        <v>0.36399999999999999</v>
      </c>
      <c r="U86" s="2" t="s">
        <v>2252</v>
      </c>
      <c r="V86" s="166">
        <v>3.5000000000000003E-2</v>
      </c>
      <c r="W86" s="168">
        <v>5.552E-2</v>
      </c>
      <c r="X86" s="4" t="s">
        <v>430</v>
      </c>
      <c r="Y86" s="4" t="s">
        <v>159</v>
      </c>
      <c r="Z86" s="155">
        <v>301558.83</v>
      </c>
      <c r="AA86" s="162">
        <v>1</v>
      </c>
      <c r="AB86" s="179">
        <v>100.6</v>
      </c>
      <c r="AD86" s="155">
        <v>303.36799999999999</v>
      </c>
      <c r="AG86" s="2" t="s">
        <v>36</v>
      </c>
      <c r="AH86" s="168">
        <v>3.1459999999999999E-3</v>
      </c>
      <c r="AI86" s="168">
        <v>9.8642508202876895E-4</v>
      </c>
      <c r="AJ86" s="168">
        <v>1.2503068100332701E-4</v>
      </c>
    </row>
    <row r="87" spans="1:36">
      <c r="A87" s="2">
        <v>288</v>
      </c>
      <c r="B87" s="2">
        <v>288</v>
      </c>
      <c r="C87" s="2" t="s">
        <v>2253</v>
      </c>
      <c r="D87" s="2" t="s">
        <v>2254</v>
      </c>
      <c r="E87" s="4" t="s">
        <v>1333</v>
      </c>
      <c r="F87" s="2" t="s">
        <v>2255</v>
      </c>
      <c r="G87" s="2" t="s">
        <v>2256</v>
      </c>
      <c r="H87" s="2" t="s">
        <v>339</v>
      </c>
      <c r="I87" s="2" t="s">
        <v>986</v>
      </c>
      <c r="J87" s="2" t="s">
        <v>30</v>
      </c>
      <c r="K87" s="2" t="s">
        <v>30</v>
      </c>
      <c r="L87" s="2" t="s">
        <v>345</v>
      </c>
      <c r="M87" s="2" t="s">
        <v>65</v>
      </c>
      <c r="N87" s="2" t="s">
        <v>478</v>
      </c>
      <c r="O87" s="2" t="s">
        <v>159</v>
      </c>
      <c r="P87" s="2" t="s">
        <v>1979</v>
      </c>
      <c r="Q87" s="2" t="s">
        <v>431</v>
      </c>
      <c r="R87" s="2" t="s">
        <v>424</v>
      </c>
      <c r="S87" s="2" t="s">
        <v>44</v>
      </c>
      <c r="T87" s="155">
        <v>1.746</v>
      </c>
      <c r="U87" s="2" t="s">
        <v>2257</v>
      </c>
      <c r="V87" s="166">
        <v>2.3E-2</v>
      </c>
      <c r="W87" s="168">
        <v>5.0799999999999998E-2</v>
      </c>
      <c r="X87" s="4" t="s">
        <v>430</v>
      </c>
      <c r="Y87" s="4" t="s">
        <v>159</v>
      </c>
      <c r="Z87" s="155">
        <v>1151612.8999999999</v>
      </c>
      <c r="AA87" s="162">
        <v>1</v>
      </c>
      <c r="AB87" s="179">
        <v>96.16</v>
      </c>
      <c r="AD87" s="155">
        <v>1107.3910000000001</v>
      </c>
      <c r="AG87" s="2" t="s">
        <v>36</v>
      </c>
      <c r="AH87" s="168">
        <v>1.0640000000000001E-3</v>
      </c>
      <c r="AI87" s="168">
        <v>3.6007672670305899E-3</v>
      </c>
      <c r="AJ87" s="168">
        <v>4.5640200328786001E-4</v>
      </c>
    </row>
    <row r="88" spans="1:36">
      <c r="A88" s="2">
        <v>288</v>
      </c>
      <c r="B88" s="2">
        <v>288</v>
      </c>
      <c r="C88" s="2" t="s">
        <v>1771</v>
      </c>
      <c r="D88" s="2" t="s">
        <v>1772</v>
      </c>
      <c r="E88" s="4" t="s">
        <v>1333</v>
      </c>
      <c r="F88" s="2" t="s">
        <v>2258</v>
      </c>
      <c r="G88" s="2" t="s">
        <v>2259</v>
      </c>
      <c r="H88" s="2" t="s">
        <v>339</v>
      </c>
      <c r="I88" s="2" t="s">
        <v>773</v>
      </c>
      <c r="J88" s="2" t="s">
        <v>30</v>
      </c>
      <c r="K88" s="2" t="s">
        <v>30</v>
      </c>
      <c r="L88" s="2" t="s">
        <v>345</v>
      </c>
      <c r="M88" s="2" t="s">
        <v>65</v>
      </c>
      <c r="N88" s="2" t="s">
        <v>480</v>
      </c>
      <c r="O88" s="2" t="s">
        <v>159</v>
      </c>
      <c r="P88" s="2" t="s">
        <v>1979</v>
      </c>
      <c r="Q88" s="2" t="s">
        <v>431</v>
      </c>
      <c r="R88" s="2" t="s">
        <v>424</v>
      </c>
      <c r="S88" s="2" t="s">
        <v>44</v>
      </c>
      <c r="T88" s="155">
        <v>1.39</v>
      </c>
      <c r="U88" s="2" t="s">
        <v>2260</v>
      </c>
      <c r="V88" s="166">
        <v>2.1499999999999998E-2</v>
      </c>
      <c r="W88" s="168">
        <v>2.581E-2</v>
      </c>
      <c r="X88" s="4" t="s">
        <v>430</v>
      </c>
      <c r="Y88" s="4" t="s">
        <v>159</v>
      </c>
      <c r="Z88" s="155">
        <v>2500000</v>
      </c>
      <c r="AA88" s="162">
        <v>1</v>
      </c>
      <c r="AB88" s="179">
        <v>116.4</v>
      </c>
      <c r="AD88" s="155">
        <v>2910</v>
      </c>
      <c r="AG88" s="2" t="s">
        <v>36</v>
      </c>
      <c r="AH88" s="168">
        <v>1.7849999999999999E-3</v>
      </c>
      <c r="AI88" s="168">
        <v>9.4620897963217203E-3</v>
      </c>
      <c r="AJ88" s="168">
        <v>1.1993323694847299E-3</v>
      </c>
    </row>
    <row r="89" spans="1:36">
      <c r="A89" s="2">
        <v>288</v>
      </c>
      <c r="B89" s="2">
        <v>288</v>
      </c>
      <c r="C89" s="2" t="s">
        <v>1771</v>
      </c>
      <c r="D89" s="2" t="s">
        <v>1772</v>
      </c>
      <c r="E89" s="4" t="s">
        <v>1333</v>
      </c>
      <c r="F89" s="2" t="s">
        <v>2261</v>
      </c>
      <c r="G89" s="2" t="s">
        <v>2262</v>
      </c>
      <c r="H89" s="2" t="s">
        <v>339</v>
      </c>
      <c r="I89" s="2" t="s">
        <v>773</v>
      </c>
      <c r="J89" s="2" t="s">
        <v>30</v>
      </c>
      <c r="K89" s="2" t="s">
        <v>30</v>
      </c>
      <c r="L89" s="2" t="s">
        <v>345</v>
      </c>
      <c r="M89" s="2" t="s">
        <v>65</v>
      </c>
      <c r="N89" s="2" t="s">
        <v>480</v>
      </c>
      <c r="O89" s="2" t="s">
        <v>159</v>
      </c>
      <c r="P89" s="2" t="s">
        <v>1968</v>
      </c>
      <c r="Q89" s="2" t="s">
        <v>431</v>
      </c>
      <c r="R89" s="2" t="s">
        <v>424</v>
      </c>
      <c r="S89" s="2" t="s">
        <v>44</v>
      </c>
      <c r="T89" s="155">
        <v>1.405</v>
      </c>
      <c r="U89" s="2" t="s">
        <v>2260</v>
      </c>
      <c r="V89" s="166">
        <v>1.6E-2</v>
      </c>
      <c r="W89" s="168">
        <v>2.5100000000000001E-2</v>
      </c>
      <c r="X89" s="4" t="s">
        <v>430</v>
      </c>
      <c r="Y89" s="4" t="s">
        <v>159</v>
      </c>
      <c r="Z89" s="155">
        <v>246034.23</v>
      </c>
      <c r="AA89" s="162">
        <v>1</v>
      </c>
      <c r="AB89" s="179">
        <v>115.56</v>
      </c>
      <c r="AD89" s="155">
        <v>284.31700000000001</v>
      </c>
      <c r="AG89" s="2" t="s">
        <v>36</v>
      </c>
      <c r="AH89" s="168">
        <v>8.6700000000000004E-4</v>
      </c>
      <c r="AI89" s="168">
        <v>9.2447919673047498E-4</v>
      </c>
      <c r="AJ89" s="168">
        <v>1.17178958287325E-4</v>
      </c>
    </row>
    <row r="90" spans="1:36">
      <c r="A90" s="2">
        <v>288</v>
      </c>
      <c r="B90" s="2">
        <v>288</v>
      </c>
      <c r="C90" s="2" t="s">
        <v>2263</v>
      </c>
      <c r="D90" s="2" t="s">
        <v>2264</v>
      </c>
      <c r="E90" s="4" t="s">
        <v>1333</v>
      </c>
      <c r="F90" s="2" t="s">
        <v>2265</v>
      </c>
      <c r="G90" s="2" t="s">
        <v>2266</v>
      </c>
      <c r="H90" s="2" t="s">
        <v>339</v>
      </c>
      <c r="I90" s="2" t="s">
        <v>773</v>
      </c>
      <c r="J90" s="2" t="s">
        <v>30</v>
      </c>
      <c r="K90" s="2" t="s">
        <v>30</v>
      </c>
      <c r="L90" s="2" t="s">
        <v>345</v>
      </c>
      <c r="M90" s="2" t="s">
        <v>65</v>
      </c>
      <c r="N90" s="2" t="s">
        <v>480</v>
      </c>
      <c r="O90" s="2" t="s">
        <v>159</v>
      </c>
      <c r="P90" s="2" t="s">
        <v>1968</v>
      </c>
      <c r="Q90" s="2" t="s">
        <v>431</v>
      </c>
      <c r="R90" s="2" t="s">
        <v>424</v>
      </c>
      <c r="S90" s="2" t="s">
        <v>44</v>
      </c>
      <c r="T90" s="155">
        <v>1.8819999999999999</v>
      </c>
      <c r="U90" s="2" t="s">
        <v>2267</v>
      </c>
      <c r="V90" s="166">
        <v>0.04</v>
      </c>
      <c r="W90" s="168">
        <v>2.6859999999999998E-2</v>
      </c>
      <c r="X90" s="4" t="s">
        <v>430</v>
      </c>
      <c r="Y90" s="4" t="s">
        <v>159</v>
      </c>
      <c r="Z90" s="155">
        <v>3696429.45</v>
      </c>
      <c r="AA90" s="162">
        <v>1</v>
      </c>
      <c r="AB90" s="179">
        <v>120.13</v>
      </c>
      <c r="AD90" s="155">
        <v>4440.5209999999997</v>
      </c>
      <c r="AG90" s="2" t="s">
        <v>36</v>
      </c>
      <c r="AH90" s="168">
        <v>3.8400000000000001E-3</v>
      </c>
      <c r="AI90" s="168">
        <v>1.44386960788996E-2</v>
      </c>
      <c r="AJ90" s="168">
        <v>1.8301237837869901E-3</v>
      </c>
    </row>
    <row r="91" spans="1:36">
      <c r="A91" s="2">
        <v>288</v>
      </c>
      <c r="B91" s="2">
        <v>288</v>
      </c>
      <c r="C91" s="2" t="s">
        <v>1715</v>
      </c>
      <c r="D91" s="2" t="s">
        <v>1716</v>
      </c>
      <c r="E91" s="4" t="s">
        <v>1333</v>
      </c>
      <c r="F91" s="2" t="s">
        <v>2268</v>
      </c>
      <c r="G91" s="2" t="s">
        <v>2269</v>
      </c>
      <c r="H91" s="2" t="s">
        <v>339</v>
      </c>
      <c r="I91" s="2" t="s">
        <v>773</v>
      </c>
      <c r="J91" s="2" t="s">
        <v>30</v>
      </c>
      <c r="K91" s="2" t="s">
        <v>30</v>
      </c>
      <c r="L91" s="2" t="s">
        <v>345</v>
      </c>
      <c r="M91" s="2" t="s">
        <v>65</v>
      </c>
      <c r="N91" s="2" t="s">
        <v>492</v>
      </c>
      <c r="O91" s="2" t="s">
        <v>159</v>
      </c>
      <c r="P91" s="2" t="s">
        <v>1968</v>
      </c>
      <c r="Q91" s="2" t="s">
        <v>431</v>
      </c>
      <c r="R91" s="2" t="s">
        <v>424</v>
      </c>
      <c r="S91" s="2" t="s">
        <v>44</v>
      </c>
      <c r="T91" s="155">
        <v>2.665</v>
      </c>
      <c r="U91" s="2" t="s">
        <v>2270</v>
      </c>
      <c r="V91" s="166">
        <v>2.9899999999999999E-2</v>
      </c>
      <c r="W91" s="168">
        <v>2.3130000000000001E-2</v>
      </c>
      <c r="X91" s="4" t="s">
        <v>430</v>
      </c>
      <c r="Y91" s="4" t="s">
        <v>159</v>
      </c>
      <c r="Z91" s="155">
        <v>845833.88</v>
      </c>
      <c r="AA91" s="162">
        <v>1</v>
      </c>
      <c r="AB91" s="179">
        <v>117.83</v>
      </c>
      <c r="AD91" s="155">
        <v>996.64599999999996</v>
      </c>
      <c r="AG91" s="2" t="s">
        <v>36</v>
      </c>
      <c r="AH91" s="168">
        <v>5.7299999999999999E-3</v>
      </c>
      <c r="AI91" s="168">
        <v>3.2406716572088499E-3</v>
      </c>
      <c r="AJ91" s="168">
        <v>4.10759409498861E-4</v>
      </c>
    </row>
    <row r="92" spans="1:36">
      <c r="A92" s="2">
        <v>288</v>
      </c>
      <c r="B92" s="2">
        <v>288</v>
      </c>
      <c r="C92" s="2" t="s">
        <v>2271</v>
      </c>
      <c r="D92" s="2" t="s">
        <v>2272</v>
      </c>
      <c r="E92" s="4" t="s">
        <v>1333</v>
      </c>
      <c r="F92" s="2" t="s">
        <v>2273</v>
      </c>
      <c r="G92" s="2" t="s">
        <v>2274</v>
      </c>
      <c r="H92" s="2" t="s">
        <v>339</v>
      </c>
      <c r="I92" s="2" t="s">
        <v>986</v>
      </c>
      <c r="J92" s="2" t="s">
        <v>30</v>
      </c>
      <c r="K92" s="2" t="s">
        <v>30</v>
      </c>
      <c r="L92" s="2" t="s">
        <v>345</v>
      </c>
      <c r="M92" s="2" t="s">
        <v>65</v>
      </c>
      <c r="N92" s="2" t="s">
        <v>456</v>
      </c>
      <c r="O92" s="2" t="s">
        <v>159</v>
      </c>
      <c r="P92" s="2" t="s">
        <v>1962</v>
      </c>
      <c r="Q92" s="2" t="s">
        <v>433</v>
      </c>
      <c r="R92" s="2" t="s">
        <v>424</v>
      </c>
      <c r="S92" s="2" t="s">
        <v>44</v>
      </c>
      <c r="T92" s="155">
        <v>4.202</v>
      </c>
      <c r="U92" s="2" t="s">
        <v>2275</v>
      </c>
      <c r="V92" s="166">
        <v>6.7699999999999996E-2</v>
      </c>
      <c r="W92" s="168">
        <v>5.5649999999999998E-2</v>
      </c>
      <c r="X92" s="4" t="s">
        <v>430</v>
      </c>
      <c r="Y92" s="4" t="s">
        <v>159</v>
      </c>
      <c r="Z92" s="155">
        <v>2900000</v>
      </c>
      <c r="AA92" s="162">
        <v>1</v>
      </c>
      <c r="AB92" s="179">
        <v>105.34</v>
      </c>
      <c r="AD92" s="155">
        <v>3054.86</v>
      </c>
      <c r="AG92" s="2" t="s">
        <v>36</v>
      </c>
      <c r="AH92" s="168">
        <v>3.8670000000000002E-3</v>
      </c>
      <c r="AI92" s="168">
        <v>9.9331132766980607E-3</v>
      </c>
      <c r="AJ92" s="168">
        <v>1.25903521726602E-3</v>
      </c>
    </row>
    <row r="93" spans="1:36">
      <c r="A93" s="2">
        <v>288</v>
      </c>
      <c r="B93" s="2">
        <v>288</v>
      </c>
      <c r="C93" s="2" t="s">
        <v>2276</v>
      </c>
      <c r="D93" s="2" t="s">
        <v>2277</v>
      </c>
      <c r="E93" s="4" t="s">
        <v>1333</v>
      </c>
      <c r="F93" s="2" t="s">
        <v>2278</v>
      </c>
      <c r="G93" s="2" t="s">
        <v>2279</v>
      </c>
      <c r="H93" s="2" t="s">
        <v>339</v>
      </c>
      <c r="I93" s="2" t="s">
        <v>986</v>
      </c>
      <c r="J93" s="2" t="s">
        <v>30</v>
      </c>
      <c r="K93" s="2" t="s">
        <v>30</v>
      </c>
      <c r="L93" s="2" t="s">
        <v>345</v>
      </c>
      <c r="M93" s="2" t="s">
        <v>65</v>
      </c>
      <c r="N93" s="2" t="s">
        <v>494</v>
      </c>
      <c r="O93" s="2" t="s">
        <v>159</v>
      </c>
      <c r="P93" s="2" t="s">
        <v>1968</v>
      </c>
      <c r="Q93" s="2" t="s">
        <v>431</v>
      </c>
      <c r="R93" s="2" t="s">
        <v>424</v>
      </c>
      <c r="S93" s="2" t="s">
        <v>44</v>
      </c>
      <c r="T93" s="155">
        <v>0.82399999999999995</v>
      </c>
      <c r="U93" s="2" t="s">
        <v>2280</v>
      </c>
      <c r="V93" s="166">
        <v>2.7E-2</v>
      </c>
      <c r="W93" s="168">
        <v>5.2560000000000003E-2</v>
      </c>
      <c r="X93" s="4" t="s">
        <v>430</v>
      </c>
      <c r="Y93" s="4" t="s">
        <v>159</v>
      </c>
      <c r="Z93" s="155">
        <v>901652.14</v>
      </c>
      <c r="AA93" s="162">
        <v>1</v>
      </c>
      <c r="AB93" s="179">
        <v>98.09</v>
      </c>
      <c r="AD93" s="155">
        <v>884.43100000000004</v>
      </c>
      <c r="AG93" s="2" t="s">
        <v>36</v>
      </c>
      <c r="AH93" s="168">
        <v>9.6109999999999998E-3</v>
      </c>
      <c r="AI93" s="168">
        <v>2.8757943661901998E-3</v>
      </c>
      <c r="AJ93" s="168">
        <v>3.64510731307423E-4</v>
      </c>
    </row>
    <row r="94" spans="1:36">
      <c r="A94" s="2">
        <v>288</v>
      </c>
      <c r="B94" s="2">
        <v>288</v>
      </c>
      <c r="C94" s="2" t="s">
        <v>2276</v>
      </c>
      <c r="D94" s="2" t="s">
        <v>2277</v>
      </c>
      <c r="E94" s="4" t="s">
        <v>1333</v>
      </c>
      <c r="F94" s="2" t="s">
        <v>2281</v>
      </c>
      <c r="G94" s="2" t="s">
        <v>2282</v>
      </c>
      <c r="H94" s="2" t="s">
        <v>339</v>
      </c>
      <c r="I94" s="2" t="s">
        <v>773</v>
      </c>
      <c r="J94" s="2" t="s">
        <v>30</v>
      </c>
      <c r="K94" s="2" t="s">
        <v>30</v>
      </c>
      <c r="L94" s="2" t="s">
        <v>345</v>
      </c>
      <c r="M94" s="2" t="s">
        <v>65</v>
      </c>
      <c r="N94" s="2" t="s">
        <v>494</v>
      </c>
      <c r="O94" s="2" t="s">
        <v>159</v>
      </c>
      <c r="P94" s="2" t="s">
        <v>1968</v>
      </c>
      <c r="Q94" s="2" t="s">
        <v>431</v>
      </c>
      <c r="R94" s="2" t="s">
        <v>424</v>
      </c>
      <c r="S94" s="2" t="s">
        <v>44</v>
      </c>
      <c r="T94" s="155">
        <v>0.83099999999999996</v>
      </c>
      <c r="U94" s="2" t="s">
        <v>2280</v>
      </c>
      <c r="V94" s="166">
        <v>1.7999999999999999E-2</v>
      </c>
      <c r="W94" s="168">
        <v>2.63E-2</v>
      </c>
      <c r="X94" s="4" t="s">
        <v>430</v>
      </c>
      <c r="Y94" s="4" t="s">
        <v>159</v>
      </c>
      <c r="Z94" s="155">
        <v>386947.12</v>
      </c>
      <c r="AA94" s="162">
        <v>1</v>
      </c>
      <c r="AB94" s="179">
        <v>115.1</v>
      </c>
      <c r="AD94" s="155">
        <v>445.37599999999998</v>
      </c>
      <c r="AG94" s="2" t="s">
        <v>36</v>
      </c>
      <c r="AH94" s="168">
        <v>7.94E-4</v>
      </c>
      <c r="AI94" s="168">
        <v>1.44817490846878E-3</v>
      </c>
      <c r="AJ94" s="168">
        <v>1.83558080909079E-4</v>
      </c>
    </row>
    <row r="95" spans="1:36">
      <c r="A95" s="2">
        <v>288</v>
      </c>
      <c r="B95" s="2">
        <v>288</v>
      </c>
      <c r="C95" s="2" t="s">
        <v>2276</v>
      </c>
      <c r="D95" s="2" t="s">
        <v>2277</v>
      </c>
      <c r="E95" s="4" t="s">
        <v>1333</v>
      </c>
      <c r="F95" s="2" t="s">
        <v>2283</v>
      </c>
      <c r="G95" s="2" t="s">
        <v>2284</v>
      </c>
      <c r="H95" s="2" t="s">
        <v>339</v>
      </c>
      <c r="I95" s="2" t="s">
        <v>986</v>
      </c>
      <c r="J95" s="2" t="s">
        <v>30</v>
      </c>
      <c r="K95" s="2" t="s">
        <v>30</v>
      </c>
      <c r="L95" s="2" t="s">
        <v>345</v>
      </c>
      <c r="M95" s="2" t="s">
        <v>65</v>
      </c>
      <c r="N95" s="2" t="s">
        <v>494</v>
      </c>
      <c r="O95" s="2" t="s">
        <v>159</v>
      </c>
      <c r="P95" s="2" t="s">
        <v>1968</v>
      </c>
      <c r="Q95" s="2" t="s">
        <v>431</v>
      </c>
      <c r="R95" s="2" t="s">
        <v>424</v>
      </c>
      <c r="S95" s="2" t="s">
        <v>44</v>
      </c>
      <c r="T95" s="155">
        <v>3.226</v>
      </c>
      <c r="U95" s="2" t="s">
        <v>2285</v>
      </c>
      <c r="V95" s="166">
        <v>4.5600000000000002E-2</v>
      </c>
      <c r="W95" s="168">
        <v>5.1310000000000001E-2</v>
      </c>
      <c r="X95" s="4" t="s">
        <v>430</v>
      </c>
      <c r="Y95" s="4" t="s">
        <v>159</v>
      </c>
      <c r="Z95" s="155">
        <v>2545455.9500000002</v>
      </c>
      <c r="AA95" s="162">
        <v>1</v>
      </c>
      <c r="AB95" s="179">
        <v>98.63</v>
      </c>
      <c r="AD95" s="155">
        <v>2510.5830000000001</v>
      </c>
      <c r="AG95" s="2" t="s">
        <v>36</v>
      </c>
      <c r="AH95" s="168">
        <v>3.8210000000000002E-3</v>
      </c>
      <c r="AI95" s="168">
        <v>8.1633552276673908E-3</v>
      </c>
      <c r="AJ95" s="168">
        <v>1.03471604887431E-3</v>
      </c>
    </row>
    <row r="96" spans="1:36">
      <c r="A96" s="2">
        <v>288</v>
      </c>
      <c r="B96" s="2">
        <v>288</v>
      </c>
      <c r="C96" s="2" t="s">
        <v>2286</v>
      </c>
      <c r="D96" s="2" t="s">
        <v>2287</v>
      </c>
      <c r="E96" s="4" t="s">
        <v>1333</v>
      </c>
      <c r="F96" s="2" t="s">
        <v>2288</v>
      </c>
      <c r="G96" s="2" t="s">
        <v>2289</v>
      </c>
      <c r="H96" s="2" t="s">
        <v>339</v>
      </c>
      <c r="I96" s="2" t="s">
        <v>774</v>
      </c>
      <c r="J96" s="2" t="s">
        <v>30</v>
      </c>
      <c r="K96" s="2" t="s">
        <v>30</v>
      </c>
      <c r="L96" s="2" t="s">
        <v>345</v>
      </c>
      <c r="M96" s="2" t="s">
        <v>65</v>
      </c>
      <c r="N96" s="2" t="s">
        <v>470</v>
      </c>
      <c r="O96" s="2" t="s">
        <v>159</v>
      </c>
      <c r="P96" s="2" t="s">
        <v>1956</v>
      </c>
      <c r="Q96" s="2" t="s">
        <v>433</v>
      </c>
      <c r="R96" s="2" t="s">
        <v>424</v>
      </c>
      <c r="S96" s="2" t="s">
        <v>44</v>
      </c>
      <c r="T96" s="155">
        <v>2.722</v>
      </c>
      <c r="U96" s="2" t="s">
        <v>2290</v>
      </c>
      <c r="V96" s="166">
        <v>4.6899999999999997E-2</v>
      </c>
      <c r="W96" s="168">
        <v>7.3669999999999999E-2</v>
      </c>
      <c r="X96" s="4" t="s">
        <v>430</v>
      </c>
      <c r="Y96" s="4" t="s">
        <v>159</v>
      </c>
      <c r="Z96" s="155">
        <v>4770934.76</v>
      </c>
      <c r="AA96" s="162">
        <v>1</v>
      </c>
      <c r="AB96" s="179">
        <v>98.21</v>
      </c>
      <c r="AD96" s="155">
        <v>4685.5349999999999</v>
      </c>
      <c r="AG96" s="2" t="s">
        <v>36</v>
      </c>
      <c r="AH96" s="168">
        <v>3.5309999999999999E-3</v>
      </c>
      <c r="AI96" s="168">
        <v>1.52353790985624E-2</v>
      </c>
      <c r="AJ96" s="168">
        <v>1.9311044079691701E-3</v>
      </c>
    </row>
    <row r="97" spans="1:36">
      <c r="A97" s="2">
        <v>288</v>
      </c>
      <c r="B97" s="2">
        <v>288</v>
      </c>
      <c r="C97" s="2" t="s">
        <v>2291</v>
      </c>
      <c r="D97" s="2" t="s">
        <v>2292</v>
      </c>
      <c r="E97" s="4" t="s">
        <v>1333</v>
      </c>
      <c r="F97" s="2" t="s">
        <v>2293</v>
      </c>
      <c r="G97" s="2" t="s">
        <v>2294</v>
      </c>
      <c r="H97" s="2" t="s">
        <v>339</v>
      </c>
      <c r="I97" s="2" t="s">
        <v>773</v>
      </c>
      <c r="J97" s="2" t="s">
        <v>30</v>
      </c>
      <c r="K97" s="2" t="s">
        <v>30</v>
      </c>
      <c r="L97" s="2" t="s">
        <v>345</v>
      </c>
      <c r="M97" s="2" t="s">
        <v>65</v>
      </c>
      <c r="N97" s="2" t="s">
        <v>472</v>
      </c>
      <c r="O97" s="2" t="s">
        <v>159</v>
      </c>
      <c r="P97" s="2" t="s">
        <v>1979</v>
      </c>
      <c r="Q97" s="2" t="s">
        <v>431</v>
      </c>
      <c r="R97" s="2" t="s">
        <v>424</v>
      </c>
      <c r="S97" s="2" t="s">
        <v>44</v>
      </c>
      <c r="T97" s="155">
        <v>5.4020000000000001</v>
      </c>
      <c r="U97" s="2" t="s">
        <v>2295</v>
      </c>
      <c r="V97" s="166">
        <v>5.1499999999999997E-2</v>
      </c>
      <c r="W97" s="168">
        <v>4.2750000000000003E-2</v>
      </c>
      <c r="X97" s="4" t="s">
        <v>430</v>
      </c>
      <c r="Y97" s="4" t="s">
        <v>159</v>
      </c>
      <c r="Z97" s="155">
        <v>2247717.12</v>
      </c>
      <c r="AA97" s="162">
        <v>1</v>
      </c>
      <c r="AB97" s="179">
        <v>146.41</v>
      </c>
      <c r="AD97" s="155">
        <v>3290.8829999999998</v>
      </c>
      <c r="AG97" s="2" t="s">
        <v>36</v>
      </c>
      <c r="AH97" s="168">
        <v>8.7799999999999998E-4</v>
      </c>
      <c r="AI97" s="168">
        <v>1.0700559108328201E-2</v>
      </c>
      <c r="AJ97" s="168">
        <v>1.3563099892786399E-3</v>
      </c>
    </row>
    <row r="98" spans="1:36">
      <c r="A98" s="2">
        <v>288</v>
      </c>
      <c r="B98" s="2">
        <v>288</v>
      </c>
      <c r="C98" s="2" t="s">
        <v>1964</v>
      </c>
      <c r="D98" s="2" t="s">
        <v>1965</v>
      </c>
      <c r="E98" s="4" t="s">
        <v>1333</v>
      </c>
      <c r="F98" s="2" t="s">
        <v>1966</v>
      </c>
      <c r="G98" s="2" t="s">
        <v>1967</v>
      </c>
      <c r="H98" s="2" t="s">
        <v>339</v>
      </c>
      <c r="I98" s="2" t="s">
        <v>773</v>
      </c>
      <c r="J98" s="2" t="s">
        <v>30</v>
      </c>
      <c r="K98" s="2" t="s">
        <v>30</v>
      </c>
      <c r="L98" s="2" t="s">
        <v>345</v>
      </c>
      <c r="M98" s="2" t="s">
        <v>65</v>
      </c>
      <c r="N98" s="2" t="s">
        <v>480</v>
      </c>
      <c r="O98" s="2" t="s">
        <v>159</v>
      </c>
      <c r="P98" s="2" t="s">
        <v>1968</v>
      </c>
      <c r="Q98" s="2" t="s">
        <v>431</v>
      </c>
      <c r="R98" s="2" t="s">
        <v>424</v>
      </c>
      <c r="S98" s="2" t="s">
        <v>44</v>
      </c>
      <c r="T98" s="155">
        <v>1.9319999999999999</v>
      </c>
      <c r="U98" s="2" t="s">
        <v>114</v>
      </c>
      <c r="V98" s="166">
        <v>2.3400000000000001E-2</v>
      </c>
      <c r="W98" s="168">
        <v>2.674E-2</v>
      </c>
      <c r="X98" s="4" t="s">
        <v>430</v>
      </c>
      <c r="Y98" s="4" t="s">
        <v>159</v>
      </c>
      <c r="Z98" s="155">
        <v>1512500</v>
      </c>
      <c r="AA98" s="162">
        <v>1</v>
      </c>
      <c r="AB98" s="179">
        <v>116.51</v>
      </c>
      <c r="AD98" s="155">
        <v>1762.2139999999999</v>
      </c>
      <c r="AG98" s="2" t="s">
        <v>36</v>
      </c>
      <c r="AH98" s="168">
        <v>7.1699999999999997E-4</v>
      </c>
      <c r="AI98" s="168">
        <v>5.7299741384236498E-3</v>
      </c>
      <c r="AJ98" s="168">
        <v>7.2628178430449197E-4</v>
      </c>
    </row>
    <row r="99" spans="1:36">
      <c r="A99" s="2">
        <v>288</v>
      </c>
      <c r="B99" s="2">
        <v>288</v>
      </c>
      <c r="C99" s="2" t="s">
        <v>1604</v>
      </c>
      <c r="D99" s="2" t="s">
        <v>1605</v>
      </c>
      <c r="E99" s="4" t="s">
        <v>1333</v>
      </c>
      <c r="F99" s="2" t="s">
        <v>2296</v>
      </c>
      <c r="G99" s="2" t="s">
        <v>2297</v>
      </c>
      <c r="H99" s="2" t="s">
        <v>339</v>
      </c>
      <c r="I99" s="2" t="s">
        <v>986</v>
      </c>
      <c r="J99" s="2" t="s">
        <v>30</v>
      </c>
      <c r="K99" s="2" t="s">
        <v>30</v>
      </c>
      <c r="L99" s="2" t="s">
        <v>345</v>
      </c>
      <c r="M99" s="2" t="s">
        <v>65</v>
      </c>
      <c r="N99" s="2" t="s">
        <v>462</v>
      </c>
      <c r="O99" s="2" t="s">
        <v>159</v>
      </c>
      <c r="P99" s="2" t="s">
        <v>1968</v>
      </c>
      <c r="Q99" s="2" t="s">
        <v>431</v>
      </c>
      <c r="R99" s="2" t="s">
        <v>424</v>
      </c>
      <c r="S99" s="2" t="s">
        <v>44</v>
      </c>
      <c r="T99" s="155">
        <v>2.3849999999999998</v>
      </c>
      <c r="U99" s="2" t="s">
        <v>2204</v>
      </c>
      <c r="V99" s="166">
        <v>1.0800000000000001E-2</v>
      </c>
      <c r="W99" s="168">
        <v>4.5809999999999997E-2</v>
      </c>
      <c r="X99" s="4" t="s">
        <v>430</v>
      </c>
      <c r="Y99" s="4" t="s">
        <v>159</v>
      </c>
      <c r="Z99" s="155">
        <v>1050594.28</v>
      </c>
      <c r="AA99" s="162">
        <v>1</v>
      </c>
      <c r="AB99" s="179">
        <v>92.09</v>
      </c>
      <c r="AD99" s="155">
        <v>967.49199999999996</v>
      </c>
      <c r="AG99" s="2" t="s">
        <v>36</v>
      </c>
      <c r="AH99" s="168">
        <v>1.121E-3</v>
      </c>
      <c r="AI99" s="168">
        <v>3.1458758622639801E-3</v>
      </c>
      <c r="AJ99" s="168">
        <v>3.9874391738076398E-4</v>
      </c>
    </row>
    <row r="100" spans="1:36">
      <c r="A100" s="2">
        <v>288</v>
      </c>
      <c r="B100" s="2">
        <v>288</v>
      </c>
      <c r="C100" s="2" t="s">
        <v>2298</v>
      </c>
      <c r="D100" s="2" t="s">
        <v>2299</v>
      </c>
      <c r="E100" s="4" t="s">
        <v>1333</v>
      </c>
      <c r="F100" s="2" t="s">
        <v>2300</v>
      </c>
      <c r="G100" s="2" t="s">
        <v>2301</v>
      </c>
      <c r="H100" s="2" t="s">
        <v>339</v>
      </c>
      <c r="I100" s="2" t="s">
        <v>986</v>
      </c>
      <c r="J100" s="2" t="s">
        <v>30</v>
      </c>
      <c r="K100" s="2" t="s">
        <v>30</v>
      </c>
      <c r="L100" s="2" t="s">
        <v>345</v>
      </c>
      <c r="M100" s="2" t="s">
        <v>65</v>
      </c>
      <c r="N100" s="2" t="s">
        <v>494</v>
      </c>
      <c r="O100" s="2" t="s">
        <v>159</v>
      </c>
      <c r="P100" s="2" t="s">
        <v>1956</v>
      </c>
      <c r="Q100" s="2" t="s">
        <v>431</v>
      </c>
      <c r="R100" s="2" t="s">
        <v>424</v>
      </c>
      <c r="S100" s="2" t="s">
        <v>44</v>
      </c>
      <c r="T100" s="155">
        <v>0.996</v>
      </c>
      <c r="U100" s="2" t="s">
        <v>2302</v>
      </c>
      <c r="V100" s="166">
        <v>3.2500000000000001E-2</v>
      </c>
      <c r="W100" s="168">
        <v>5.2060000000000002E-2</v>
      </c>
      <c r="X100" s="4" t="s">
        <v>430</v>
      </c>
      <c r="Y100" s="4" t="s">
        <v>159</v>
      </c>
      <c r="Z100" s="155">
        <v>1257382.32</v>
      </c>
      <c r="AA100" s="162">
        <v>1</v>
      </c>
      <c r="AB100" s="179">
        <v>98.87</v>
      </c>
      <c r="AD100" s="155">
        <v>1243.174</v>
      </c>
      <c r="AG100" s="2" t="s">
        <v>36</v>
      </c>
      <c r="AH100" s="168">
        <v>3.4280000000000001E-3</v>
      </c>
      <c r="AI100" s="168">
        <v>4.0422759698280604E-3</v>
      </c>
      <c r="AJ100" s="168">
        <v>5.1236381405825402E-4</v>
      </c>
    </row>
    <row r="101" spans="1:36">
      <c r="A101" s="2">
        <v>288</v>
      </c>
      <c r="B101" s="2">
        <v>288</v>
      </c>
      <c r="C101" s="2" t="s">
        <v>2303</v>
      </c>
      <c r="D101" s="2" t="s">
        <v>2304</v>
      </c>
      <c r="E101" s="4" t="s">
        <v>1333</v>
      </c>
      <c r="F101" s="2" t="s">
        <v>2305</v>
      </c>
      <c r="G101" s="2" t="s">
        <v>2306</v>
      </c>
      <c r="H101" s="2" t="s">
        <v>339</v>
      </c>
      <c r="I101" s="2" t="s">
        <v>986</v>
      </c>
      <c r="J101" s="2" t="s">
        <v>30</v>
      </c>
      <c r="K101" s="2" t="s">
        <v>30</v>
      </c>
      <c r="L101" s="2" t="s">
        <v>345</v>
      </c>
      <c r="M101" s="2" t="s">
        <v>65</v>
      </c>
      <c r="N101" s="2" t="s">
        <v>467</v>
      </c>
      <c r="O101" s="2" t="s">
        <v>159</v>
      </c>
      <c r="P101" s="2" t="s">
        <v>1956</v>
      </c>
      <c r="Q101" s="2" t="s">
        <v>431</v>
      </c>
      <c r="R101" s="2" t="s">
        <v>424</v>
      </c>
      <c r="S101" s="2" t="s">
        <v>44</v>
      </c>
      <c r="T101" s="155">
        <v>1.206</v>
      </c>
      <c r="U101" s="2" t="s">
        <v>2132</v>
      </c>
      <c r="V101" s="166">
        <v>3.9E-2</v>
      </c>
      <c r="W101" s="168">
        <v>5.2040000000000003E-2</v>
      </c>
      <c r="X101" s="4" t="s">
        <v>430</v>
      </c>
      <c r="Y101" s="4" t="s">
        <v>159</v>
      </c>
      <c r="Z101" s="155">
        <v>485131</v>
      </c>
      <c r="AA101" s="162">
        <v>1</v>
      </c>
      <c r="AB101" s="179">
        <v>99.52</v>
      </c>
      <c r="AD101" s="155">
        <v>482.80200000000002</v>
      </c>
      <c r="AG101" s="2" t="s">
        <v>36</v>
      </c>
      <c r="AH101" s="168">
        <v>8.4199999999999998E-4</v>
      </c>
      <c r="AI101" s="168">
        <v>1.56986920624448E-3</v>
      </c>
      <c r="AJ101" s="168">
        <v>1.9898299376087399E-4</v>
      </c>
    </row>
    <row r="102" spans="1:36">
      <c r="A102" s="2">
        <v>288</v>
      </c>
      <c r="B102" s="2">
        <v>288</v>
      </c>
      <c r="C102" s="2" t="s">
        <v>1608</v>
      </c>
      <c r="D102" s="2" t="s">
        <v>1609</v>
      </c>
      <c r="E102" s="4" t="s">
        <v>1333</v>
      </c>
      <c r="F102" s="2" t="s">
        <v>1981</v>
      </c>
      <c r="G102" s="2" t="s">
        <v>1982</v>
      </c>
      <c r="H102" s="2" t="s">
        <v>339</v>
      </c>
      <c r="I102" s="2" t="s">
        <v>986</v>
      </c>
      <c r="J102" s="2" t="s">
        <v>30</v>
      </c>
      <c r="K102" s="2" t="s">
        <v>30</v>
      </c>
      <c r="L102" s="2" t="s">
        <v>345</v>
      </c>
      <c r="M102" s="2" t="s">
        <v>65</v>
      </c>
      <c r="N102" s="2" t="s">
        <v>480</v>
      </c>
      <c r="O102" s="2" t="s">
        <v>159</v>
      </c>
      <c r="P102" s="2" t="s">
        <v>1979</v>
      </c>
      <c r="Q102" s="2" t="s">
        <v>431</v>
      </c>
      <c r="R102" s="2" t="s">
        <v>424</v>
      </c>
      <c r="S102" s="2" t="s">
        <v>44</v>
      </c>
      <c r="T102" s="155">
        <v>4.0880000000000001</v>
      </c>
      <c r="U102" s="2" t="s">
        <v>1983</v>
      </c>
      <c r="V102" s="166">
        <v>2.41E-2</v>
      </c>
      <c r="W102" s="168">
        <v>5.2479999999999999E-2</v>
      </c>
      <c r="X102" s="4" t="s">
        <v>430</v>
      </c>
      <c r="Y102" s="4" t="s">
        <v>159</v>
      </c>
      <c r="Z102" s="155">
        <v>2400000</v>
      </c>
      <c r="AA102" s="162">
        <v>1</v>
      </c>
      <c r="AB102" s="179">
        <v>91.16</v>
      </c>
      <c r="AD102" s="155">
        <v>2187.84</v>
      </c>
      <c r="AG102" s="2" t="s">
        <v>36</v>
      </c>
      <c r="AH102" s="168">
        <v>1.168E-3</v>
      </c>
      <c r="AI102" s="168">
        <v>7.1139307697541199E-3</v>
      </c>
      <c r="AJ102" s="168">
        <v>9.0170011383280903E-4</v>
      </c>
    </row>
    <row r="103" spans="1:36">
      <c r="A103" s="2">
        <v>288</v>
      </c>
      <c r="B103" s="2">
        <v>288</v>
      </c>
      <c r="C103" s="2" t="s">
        <v>2307</v>
      </c>
      <c r="D103" s="2" t="s">
        <v>2308</v>
      </c>
      <c r="E103" s="4" t="s">
        <v>1333</v>
      </c>
      <c r="F103" s="2" t="s">
        <v>2309</v>
      </c>
      <c r="G103" s="2" t="s">
        <v>2310</v>
      </c>
      <c r="H103" s="2" t="s">
        <v>339</v>
      </c>
      <c r="I103" s="2" t="s">
        <v>773</v>
      </c>
      <c r="J103" s="2" t="s">
        <v>30</v>
      </c>
      <c r="K103" s="2" t="s">
        <v>30</v>
      </c>
      <c r="L103" s="2" t="s">
        <v>345</v>
      </c>
      <c r="M103" s="2" t="s">
        <v>65</v>
      </c>
      <c r="N103" s="2" t="s">
        <v>481</v>
      </c>
      <c r="O103" s="2" t="s">
        <v>159</v>
      </c>
      <c r="P103" s="2" t="s">
        <v>1968</v>
      </c>
      <c r="Q103" s="2" t="s">
        <v>431</v>
      </c>
      <c r="R103" s="2" t="s">
        <v>424</v>
      </c>
      <c r="S103" s="2" t="s">
        <v>44</v>
      </c>
      <c r="T103" s="155">
        <v>2.6949999999999998</v>
      </c>
      <c r="U103" s="2" t="s">
        <v>2311</v>
      </c>
      <c r="V103" s="166">
        <v>5.0000000000000001E-3</v>
      </c>
      <c r="W103" s="168">
        <v>2.775E-2</v>
      </c>
      <c r="X103" s="4" t="s">
        <v>430</v>
      </c>
      <c r="Y103" s="4" t="s">
        <v>159</v>
      </c>
      <c r="Z103" s="155">
        <v>38500</v>
      </c>
      <c r="AA103" s="162">
        <v>1</v>
      </c>
      <c r="AB103" s="179">
        <v>105.96</v>
      </c>
      <c r="AD103" s="155">
        <v>40.795000000000002</v>
      </c>
      <c r="AG103" s="2" t="s">
        <v>36</v>
      </c>
      <c r="AH103" s="168">
        <v>5.7000000000000003E-5</v>
      </c>
      <c r="AI103" s="168">
        <v>1.3264679326633201E-4</v>
      </c>
      <c r="AJ103" s="168">
        <v>1.6813156110028099E-5</v>
      </c>
    </row>
    <row r="104" spans="1:36">
      <c r="A104" s="2">
        <v>288</v>
      </c>
      <c r="B104" s="2">
        <v>288</v>
      </c>
      <c r="C104" s="2" t="s">
        <v>1612</v>
      </c>
      <c r="D104" s="2" t="s">
        <v>1613</v>
      </c>
      <c r="E104" s="4" t="s">
        <v>1333</v>
      </c>
      <c r="F104" s="2" t="s">
        <v>2312</v>
      </c>
      <c r="G104" s="2" t="s">
        <v>2313</v>
      </c>
      <c r="H104" s="2" t="s">
        <v>339</v>
      </c>
      <c r="I104" s="2" t="s">
        <v>773</v>
      </c>
      <c r="J104" s="2" t="s">
        <v>30</v>
      </c>
      <c r="K104" s="2" t="s">
        <v>30</v>
      </c>
      <c r="L104" s="2" t="s">
        <v>345</v>
      </c>
      <c r="M104" s="2" t="s">
        <v>65</v>
      </c>
      <c r="N104" s="2" t="s">
        <v>480</v>
      </c>
      <c r="O104" s="2" t="s">
        <v>159</v>
      </c>
      <c r="P104" s="2" t="s">
        <v>1968</v>
      </c>
      <c r="Q104" s="2" t="s">
        <v>431</v>
      </c>
      <c r="R104" s="2" t="s">
        <v>424</v>
      </c>
      <c r="S104" s="2" t="s">
        <v>44</v>
      </c>
      <c r="T104" s="155">
        <v>3.0760000000000001</v>
      </c>
      <c r="U104" s="2" t="s">
        <v>2314</v>
      </c>
      <c r="V104" s="166">
        <v>1.14E-2</v>
      </c>
      <c r="W104" s="168">
        <v>2.725E-2</v>
      </c>
      <c r="X104" s="4" t="s">
        <v>430</v>
      </c>
      <c r="Y104" s="4" t="s">
        <v>159</v>
      </c>
      <c r="Z104" s="155">
        <v>2500000</v>
      </c>
      <c r="AA104" s="162">
        <v>1</v>
      </c>
      <c r="AB104" s="179">
        <v>108.5</v>
      </c>
      <c r="AD104" s="155">
        <v>2712.5</v>
      </c>
      <c r="AG104" s="2" t="s">
        <v>36</v>
      </c>
      <c r="AH104" s="168">
        <v>1.0579999999999999E-3</v>
      </c>
      <c r="AI104" s="168">
        <v>8.8199032895266895E-3</v>
      </c>
      <c r="AJ104" s="168">
        <v>1.1179343822087099E-3</v>
      </c>
    </row>
    <row r="105" spans="1:36">
      <c r="A105" s="2">
        <v>288</v>
      </c>
      <c r="B105" s="2">
        <v>288</v>
      </c>
      <c r="C105" s="2" t="s">
        <v>1612</v>
      </c>
      <c r="D105" s="2" t="s">
        <v>1613</v>
      </c>
      <c r="E105" s="4" t="s">
        <v>1333</v>
      </c>
      <c r="F105" s="2" t="s">
        <v>2315</v>
      </c>
      <c r="G105" s="2" t="s">
        <v>2316</v>
      </c>
      <c r="H105" s="2" t="s">
        <v>339</v>
      </c>
      <c r="I105" s="2" t="s">
        <v>986</v>
      </c>
      <c r="J105" s="2" t="s">
        <v>30</v>
      </c>
      <c r="K105" s="2" t="s">
        <v>30</v>
      </c>
      <c r="L105" s="2" t="s">
        <v>345</v>
      </c>
      <c r="M105" s="2" t="s">
        <v>65</v>
      </c>
      <c r="N105" s="2" t="s">
        <v>480</v>
      </c>
      <c r="O105" s="2" t="s">
        <v>159</v>
      </c>
      <c r="P105" s="2" t="s">
        <v>1968</v>
      </c>
      <c r="Q105" s="2" t="s">
        <v>431</v>
      </c>
      <c r="R105" s="2" t="s">
        <v>424</v>
      </c>
      <c r="S105" s="2" t="s">
        <v>44</v>
      </c>
      <c r="T105" s="155">
        <v>5.1589999999999998</v>
      </c>
      <c r="U105" s="2" t="s">
        <v>1994</v>
      </c>
      <c r="V105" s="166">
        <v>2.4400000000000002E-2</v>
      </c>
      <c r="W105" s="168">
        <v>5.0599999999999999E-2</v>
      </c>
      <c r="X105" s="4" t="s">
        <v>430</v>
      </c>
      <c r="Y105" s="4" t="s">
        <v>159</v>
      </c>
      <c r="Z105" s="155">
        <v>2356000</v>
      </c>
      <c r="AA105" s="162">
        <v>1</v>
      </c>
      <c r="AB105" s="179">
        <v>87.69</v>
      </c>
      <c r="AC105" s="155">
        <v>57.485999999999997</v>
      </c>
      <c r="AD105" s="155">
        <v>2123.4630000000002</v>
      </c>
      <c r="AG105" s="2" t="s">
        <v>36</v>
      </c>
      <c r="AH105" s="168">
        <v>1.939E-3</v>
      </c>
      <c r="AI105" s="168">
        <v>6.9046033308414901E-3</v>
      </c>
      <c r="AJ105" s="168">
        <v>8.7516758468614503E-4</v>
      </c>
    </row>
    <row r="106" spans="1:36">
      <c r="A106" s="2">
        <v>288</v>
      </c>
      <c r="B106" s="2">
        <v>288</v>
      </c>
      <c r="C106" s="2" t="s">
        <v>1612</v>
      </c>
      <c r="D106" s="2" t="s">
        <v>1613</v>
      </c>
      <c r="E106" s="4" t="s">
        <v>1333</v>
      </c>
      <c r="F106" s="2" t="s">
        <v>1992</v>
      </c>
      <c r="G106" s="2" t="s">
        <v>1993</v>
      </c>
      <c r="H106" s="2" t="s">
        <v>339</v>
      </c>
      <c r="I106" s="2" t="s">
        <v>773</v>
      </c>
      <c r="J106" s="2" t="s">
        <v>30</v>
      </c>
      <c r="K106" s="2" t="s">
        <v>30</v>
      </c>
      <c r="L106" s="2" t="s">
        <v>345</v>
      </c>
      <c r="M106" s="2" t="s">
        <v>65</v>
      </c>
      <c r="N106" s="2" t="s">
        <v>480</v>
      </c>
      <c r="O106" s="2" t="s">
        <v>159</v>
      </c>
      <c r="P106" s="2" t="s">
        <v>1968</v>
      </c>
      <c r="Q106" s="2" t="s">
        <v>431</v>
      </c>
      <c r="R106" s="2" t="s">
        <v>424</v>
      </c>
      <c r="S106" s="2" t="s">
        <v>44</v>
      </c>
      <c r="T106" s="155">
        <v>5.3639999999999999</v>
      </c>
      <c r="U106" s="2" t="s">
        <v>1994</v>
      </c>
      <c r="V106" s="166">
        <v>9.1999999999999998E-3</v>
      </c>
      <c r="W106" s="168">
        <v>2.8989999999999998E-2</v>
      </c>
      <c r="X106" s="4" t="s">
        <v>430</v>
      </c>
      <c r="Y106" s="4" t="s">
        <v>159</v>
      </c>
      <c r="Z106" s="155">
        <v>1100000</v>
      </c>
      <c r="AA106" s="162">
        <v>1</v>
      </c>
      <c r="AB106" s="179">
        <v>103.99</v>
      </c>
      <c r="AC106" s="155">
        <v>11.685</v>
      </c>
      <c r="AD106" s="155">
        <v>1155.575</v>
      </c>
      <c r="AG106" s="2" t="s">
        <v>36</v>
      </c>
      <c r="AH106" s="168">
        <v>4.2499999999999998E-4</v>
      </c>
      <c r="AI106" s="168">
        <v>3.7574398194437698E-3</v>
      </c>
      <c r="AJ106" s="168">
        <v>4.7626045607827502E-4</v>
      </c>
    </row>
    <row r="107" spans="1:36">
      <c r="A107" s="2">
        <v>288</v>
      </c>
      <c r="B107" s="2">
        <v>288</v>
      </c>
      <c r="C107" s="2" t="s">
        <v>2317</v>
      </c>
      <c r="D107" s="2" t="s">
        <v>2318</v>
      </c>
      <c r="E107" s="4" t="s">
        <v>1333</v>
      </c>
      <c r="F107" s="2" t="s">
        <v>2319</v>
      </c>
      <c r="G107" s="2" t="s">
        <v>2320</v>
      </c>
      <c r="H107" s="2" t="s">
        <v>339</v>
      </c>
      <c r="I107" s="2" t="s">
        <v>773</v>
      </c>
      <c r="J107" s="2" t="s">
        <v>30</v>
      </c>
      <c r="K107" s="2" t="s">
        <v>30</v>
      </c>
      <c r="L107" s="2" t="s">
        <v>345</v>
      </c>
      <c r="M107" s="2" t="s">
        <v>65</v>
      </c>
      <c r="N107" s="2" t="s">
        <v>481</v>
      </c>
      <c r="O107" s="2" t="s">
        <v>159</v>
      </c>
      <c r="P107" s="2" t="s">
        <v>1997</v>
      </c>
      <c r="Q107" s="2" t="s">
        <v>433</v>
      </c>
      <c r="R107" s="2" t="s">
        <v>424</v>
      </c>
      <c r="S107" s="2" t="s">
        <v>44</v>
      </c>
      <c r="T107" s="155">
        <v>1.538</v>
      </c>
      <c r="U107" s="2" t="s">
        <v>2321</v>
      </c>
      <c r="V107" s="166">
        <v>2.5700000000000001E-2</v>
      </c>
      <c r="W107" s="168">
        <v>2.878E-2</v>
      </c>
      <c r="X107" s="4" t="s">
        <v>430</v>
      </c>
      <c r="Y107" s="4" t="s">
        <v>159</v>
      </c>
      <c r="Z107" s="155">
        <v>1086077.18</v>
      </c>
      <c r="AA107" s="162">
        <v>1</v>
      </c>
      <c r="AB107" s="179">
        <v>116.39</v>
      </c>
      <c r="AD107" s="155">
        <v>1264.085</v>
      </c>
      <c r="AG107" s="2" t="s">
        <v>36</v>
      </c>
      <c r="AH107" s="168">
        <v>1.0280000000000001E-3</v>
      </c>
      <c r="AI107" s="168">
        <v>4.1102707747733697E-3</v>
      </c>
      <c r="AJ107" s="168">
        <v>5.20982245322709E-4</v>
      </c>
    </row>
    <row r="108" spans="1:36">
      <c r="A108" s="2">
        <v>288</v>
      </c>
      <c r="B108" s="2">
        <v>288</v>
      </c>
      <c r="C108" s="2" t="s">
        <v>2317</v>
      </c>
      <c r="D108" s="2" t="s">
        <v>2318</v>
      </c>
      <c r="E108" s="4" t="s">
        <v>1333</v>
      </c>
      <c r="F108" s="2" t="s">
        <v>2322</v>
      </c>
      <c r="G108" s="2" t="s">
        <v>2323</v>
      </c>
      <c r="H108" s="2" t="s">
        <v>339</v>
      </c>
      <c r="I108" s="2" t="s">
        <v>773</v>
      </c>
      <c r="J108" s="2" t="s">
        <v>30</v>
      </c>
      <c r="K108" s="2" t="s">
        <v>30</v>
      </c>
      <c r="L108" s="2" t="s">
        <v>345</v>
      </c>
      <c r="M108" s="2" t="s">
        <v>65</v>
      </c>
      <c r="N108" s="2" t="s">
        <v>481</v>
      </c>
      <c r="O108" s="2" t="s">
        <v>159</v>
      </c>
      <c r="P108" s="2" t="s">
        <v>1997</v>
      </c>
      <c r="Q108" s="2" t="s">
        <v>433</v>
      </c>
      <c r="R108" s="2" t="s">
        <v>424</v>
      </c>
      <c r="S108" s="2" t="s">
        <v>44</v>
      </c>
      <c r="T108" s="155">
        <v>3.91</v>
      </c>
      <c r="U108" s="2" t="s">
        <v>2204</v>
      </c>
      <c r="V108" s="166">
        <v>1.09E-2</v>
      </c>
      <c r="W108" s="168">
        <v>3.022E-2</v>
      </c>
      <c r="X108" s="4" t="s">
        <v>430</v>
      </c>
      <c r="Y108" s="4" t="s">
        <v>159</v>
      </c>
      <c r="Z108" s="155">
        <v>1500000</v>
      </c>
      <c r="AA108" s="162">
        <v>1</v>
      </c>
      <c r="AB108" s="179">
        <v>105.53</v>
      </c>
      <c r="AD108" s="155">
        <v>1582.95</v>
      </c>
      <c r="AG108" s="2" t="s">
        <v>36</v>
      </c>
      <c r="AH108" s="168">
        <v>2.1080000000000001E-3</v>
      </c>
      <c r="AI108" s="168">
        <v>5.1470842072465503E-3</v>
      </c>
      <c r="AJ108" s="168">
        <v>6.5239971624599796E-4</v>
      </c>
    </row>
    <row r="109" spans="1:36">
      <c r="A109" s="2">
        <v>288</v>
      </c>
      <c r="B109" s="2">
        <v>288</v>
      </c>
      <c r="C109" s="2" t="s">
        <v>1628</v>
      </c>
      <c r="D109" s="2" t="s">
        <v>1629</v>
      </c>
      <c r="E109" s="4" t="s">
        <v>1333</v>
      </c>
      <c r="F109" s="2" t="s">
        <v>2324</v>
      </c>
      <c r="G109" s="2" t="s">
        <v>2325</v>
      </c>
      <c r="H109" s="2" t="s">
        <v>339</v>
      </c>
      <c r="I109" s="2" t="s">
        <v>986</v>
      </c>
      <c r="J109" s="2" t="s">
        <v>30</v>
      </c>
      <c r="K109" s="2" t="s">
        <v>30</v>
      </c>
      <c r="L109" s="2" t="s">
        <v>345</v>
      </c>
      <c r="M109" s="2" t="s">
        <v>65</v>
      </c>
      <c r="N109" s="2" t="s">
        <v>501</v>
      </c>
      <c r="O109" s="2" t="s">
        <v>159</v>
      </c>
      <c r="P109" s="2" t="s">
        <v>1968</v>
      </c>
      <c r="Q109" s="2" t="s">
        <v>431</v>
      </c>
      <c r="R109" s="2" t="s">
        <v>424</v>
      </c>
      <c r="S109" s="2" t="s">
        <v>44</v>
      </c>
      <c r="T109" s="155">
        <v>3.1890000000000001</v>
      </c>
      <c r="U109" s="2" t="s">
        <v>2326</v>
      </c>
      <c r="V109" s="166">
        <v>3.2000000000000001E-2</v>
      </c>
      <c r="W109" s="168">
        <v>4.8770000000000001E-2</v>
      </c>
      <c r="X109" s="4" t="s">
        <v>430</v>
      </c>
      <c r="Y109" s="4" t="s">
        <v>159</v>
      </c>
      <c r="Z109" s="155">
        <v>45017</v>
      </c>
      <c r="AA109" s="162">
        <v>1</v>
      </c>
      <c r="AB109" s="179">
        <v>95.59</v>
      </c>
      <c r="AD109" s="155">
        <v>43.031999999999996</v>
      </c>
      <c r="AG109" s="2" t="s">
        <v>36</v>
      </c>
      <c r="AH109" s="168">
        <v>3.1999999999999999E-5</v>
      </c>
      <c r="AI109" s="168">
        <v>1.3992106028573701E-4</v>
      </c>
      <c r="AJ109" s="168">
        <v>1.7735179055111401E-5</v>
      </c>
    </row>
    <row r="110" spans="1:36">
      <c r="A110" s="2">
        <v>288</v>
      </c>
      <c r="B110" s="2">
        <v>288</v>
      </c>
      <c r="C110" s="2" t="s">
        <v>1628</v>
      </c>
      <c r="D110" s="2" t="s">
        <v>1629</v>
      </c>
      <c r="E110" s="4" t="s">
        <v>1333</v>
      </c>
      <c r="F110" s="2" t="s">
        <v>2327</v>
      </c>
      <c r="G110" s="2" t="s">
        <v>2328</v>
      </c>
      <c r="H110" s="2" t="s">
        <v>339</v>
      </c>
      <c r="I110" s="2" t="s">
        <v>773</v>
      </c>
      <c r="J110" s="2" t="s">
        <v>30</v>
      </c>
      <c r="K110" s="2" t="s">
        <v>30</v>
      </c>
      <c r="L110" s="2" t="s">
        <v>345</v>
      </c>
      <c r="M110" s="2" t="s">
        <v>65</v>
      </c>
      <c r="N110" s="2" t="s">
        <v>501</v>
      </c>
      <c r="O110" s="2" t="s">
        <v>159</v>
      </c>
      <c r="P110" s="2" t="s">
        <v>1968</v>
      </c>
      <c r="Q110" s="2" t="s">
        <v>431</v>
      </c>
      <c r="R110" s="2" t="s">
        <v>424</v>
      </c>
      <c r="S110" s="2" t="s">
        <v>44</v>
      </c>
      <c r="T110" s="155">
        <v>3.2949999999999999</v>
      </c>
      <c r="U110" s="2" t="s">
        <v>2326</v>
      </c>
      <c r="V110" s="166">
        <v>1.7000000000000001E-2</v>
      </c>
      <c r="W110" s="168">
        <v>2.453E-2</v>
      </c>
      <c r="X110" s="4" t="s">
        <v>430</v>
      </c>
      <c r="Y110" s="4" t="s">
        <v>159</v>
      </c>
      <c r="Z110" s="155">
        <v>1826000</v>
      </c>
      <c r="AA110" s="162">
        <v>1</v>
      </c>
      <c r="AB110" s="179">
        <v>110.98</v>
      </c>
      <c r="AD110" s="155">
        <v>2026.4949999999999</v>
      </c>
      <c r="AG110" s="2" t="s">
        <v>36</v>
      </c>
      <c r="AH110" s="168">
        <v>1.439E-3</v>
      </c>
      <c r="AI110" s="168">
        <v>6.5893043881027598E-3</v>
      </c>
      <c r="AJ110" s="168">
        <v>8.35203027571301E-4</v>
      </c>
    </row>
    <row r="111" spans="1:36">
      <c r="A111" s="2">
        <v>288</v>
      </c>
      <c r="B111" s="2">
        <v>288</v>
      </c>
      <c r="C111" s="2" t="s">
        <v>2329</v>
      </c>
      <c r="D111" s="2" t="s">
        <v>2330</v>
      </c>
      <c r="E111" s="4" t="s">
        <v>1333</v>
      </c>
      <c r="F111" s="2" t="s">
        <v>2331</v>
      </c>
      <c r="G111" s="2" t="s">
        <v>2332</v>
      </c>
      <c r="H111" s="2" t="s">
        <v>339</v>
      </c>
      <c r="I111" s="2" t="s">
        <v>986</v>
      </c>
      <c r="J111" s="2" t="s">
        <v>30</v>
      </c>
      <c r="K111" s="2" t="s">
        <v>30</v>
      </c>
      <c r="L111" s="2" t="s">
        <v>345</v>
      </c>
      <c r="M111" s="2" t="s">
        <v>41</v>
      </c>
      <c r="N111" s="2" t="s">
        <v>501</v>
      </c>
      <c r="O111" s="2" t="s">
        <v>159</v>
      </c>
      <c r="P111" s="2" t="s">
        <v>1962</v>
      </c>
      <c r="Q111" s="2" t="s">
        <v>433</v>
      </c>
      <c r="R111" s="2" t="s">
        <v>424</v>
      </c>
      <c r="S111" s="2" t="s">
        <v>44</v>
      </c>
      <c r="T111" s="155">
        <v>4.3129999999999997</v>
      </c>
      <c r="U111" s="2" t="s">
        <v>2333</v>
      </c>
      <c r="V111" s="166">
        <v>5.5E-2</v>
      </c>
      <c r="W111" s="168">
        <v>5.2679999999999998E-2</v>
      </c>
      <c r="X111" s="4" t="s">
        <v>430</v>
      </c>
      <c r="Y111" s="4" t="s">
        <v>159</v>
      </c>
      <c r="Z111" s="155">
        <v>2727000</v>
      </c>
      <c r="AA111" s="162">
        <v>1</v>
      </c>
      <c r="AB111" s="179">
        <v>102.85</v>
      </c>
      <c r="AD111" s="155">
        <v>2804.72</v>
      </c>
      <c r="AG111" s="2" t="s">
        <v>36</v>
      </c>
      <c r="AH111" s="168">
        <v>2.702E-3</v>
      </c>
      <c r="AI111" s="168">
        <v>9.1197621176957195E-3</v>
      </c>
      <c r="AJ111" s="168">
        <v>1.15594188442441E-3</v>
      </c>
    </row>
    <row r="112" spans="1:36">
      <c r="A112" s="2">
        <v>288</v>
      </c>
      <c r="B112" s="2">
        <v>288</v>
      </c>
      <c r="C112" s="2" t="s">
        <v>1727</v>
      </c>
      <c r="D112" s="2" t="s">
        <v>1728</v>
      </c>
      <c r="E112" s="4" t="s">
        <v>1333</v>
      </c>
      <c r="F112" s="2" t="s">
        <v>2334</v>
      </c>
      <c r="G112" s="2" t="s">
        <v>2335</v>
      </c>
      <c r="H112" s="2" t="s">
        <v>339</v>
      </c>
      <c r="I112" s="2" t="s">
        <v>773</v>
      </c>
      <c r="J112" s="2" t="s">
        <v>30</v>
      </c>
      <c r="K112" s="2" t="s">
        <v>30</v>
      </c>
      <c r="L112" s="2" t="s">
        <v>345</v>
      </c>
      <c r="M112" s="2" t="s">
        <v>65</v>
      </c>
      <c r="N112" s="2" t="s">
        <v>480</v>
      </c>
      <c r="O112" s="2" t="s">
        <v>159</v>
      </c>
      <c r="P112" s="2" t="s">
        <v>1968</v>
      </c>
      <c r="Q112" s="2" t="s">
        <v>431</v>
      </c>
      <c r="R112" s="2" t="s">
        <v>424</v>
      </c>
      <c r="S112" s="2" t="s">
        <v>44</v>
      </c>
      <c r="T112" s="155">
        <v>5.1609999999999996</v>
      </c>
      <c r="U112" s="2" t="s">
        <v>2336</v>
      </c>
      <c r="V112" s="166">
        <v>2.5999999999999999E-2</v>
      </c>
      <c r="W112" s="168">
        <v>2.733E-2</v>
      </c>
      <c r="X112" s="4" t="s">
        <v>430</v>
      </c>
      <c r="Y112" s="4" t="s">
        <v>159</v>
      </c>
      <c r="Z112" s="155">
        <v>2804000</v>
      </c>
      <c r="AA112" s="162">
        <v>1</v>
      </c>
      <c r="AB112" s="179">
        <v>102.81</v>
      </c>
      <c r="AC112" s="155">
        <v>37.701000000000001</v>
      </c>
      <c r="AD112" s="155">
        <v>2920.4929999999999</v>
      </c>
      <c r="AG112" s="2" t="s">
        <v>36</v>
      </c>
      <c r="AH112" s="168">
        <v>5.2310000000000004E-3</v>
      </c>
      <c r="AI112" s="168">
        <v>9.4962085638859405E-3</v>
      </c>
      <c r="AJ112" s="168">
        <v>1.2036569683024901E-3</v>
      </c>
    </row>
    <row r="113" spans="1:36">
      <c r="A113" s="2">
        <v>288</v>
      </c>
      <c r="B113" s="2">
        <v>288</v>
      </c>
      <c r="C113" s="2" t="s">
        <v>1727</v>
      </c>
      <c r="D113" s="2" t="s">
        <v>1728</v>
      </c>
      <c r="E113" s="4" t="s">
        <v>1333</v>
      </c>
      <c r="F113" s="2" t="s">
        <v>2337</v>
      </c>
      <c r="G113" s="2" t="s">
        <v>2338</v>
      </c>
      <c r="H113" s="2" t="s">
        <v>339</v>
      </c>
      <c r="I113" s="2" t="s">
        <v>773</v>
      </c>
      <c r="J113" s="2" t="s">
        <v>30</v>
      </c>
      <c r="K113" s="2" t="s">
        <v>30</v>
      </c>
      <c r="L113" s="2" t="s">
        <v>345</v>
      </c>
      <c r="M113" s="2" t="s">
        <v>65</v>
      </c>
      <c r="N113" s="2" t="s">
        <v>480</v>
      </c>
      <c r="O113" s="2" t="s">
        <v>159</v>
      </c>
      <c r="P113" s="2" t="s">
        <v>1968</v>
      </c>
      <c r="Q113" s="2" t="s">
        <v>431</v>
      </c>
      <c r="R113" s="2" t="s">
        <v>424</v>
      </c>
      <c r="S113" s="2" t="s">
        <v>44</v>
      </c>
      <c r="T113" s="155">
        <v>0.90900000000000003</v>
      </c>
      <c r="U113" s="2" t="s">
        <v>2339</v>
      </c>
      <c r="V113" s="166">
        <v>2E-3</v>
      </c>
      <c r="W113" s="168">
        <v>2.5430000000000001E-2</v>
      </c>
      <c r="X113" s="4" t="s">
        <v>430</v>
      </c>
      <c r="Y113" s="4" t="s">
        <v>159</v>
      </c>
      <c r="Z113" s="155">
        <v>0.22</v>
      </c>
      <c r="AA113" s="162">
        <v>1</v>
      </c>
      <c r="AB113" s="179">
        <v>111.73</v>
      </c>
      <c r="AD113" s="155">
        <v>0</v>
      </c>
      <c r="AG113" s="2" t="s">
        <v>36</v>
      </c>
      <c r="AH113" s="168">
        <v>0</v>
      </c>
      <c r="AI113" s="168">
        <v>7.9925719741397101E-10</v>
      </c>
      <c r="AJ113" s="168">
        <v>1.0130690460947201E-10</v>
      </c>
    </row>
    <row r="114" spans="1:36">
      <c r="A114" s="2">
        <v>288</v>
      </c>
      <c r="B114" s="2">
        <v>288</v>
      </c>
      <c r="C114" s="2" t="s">
        <v>2031</v>
      </c>
      <c r="D114" s="2" t="s">
        <v>2032</v>
      </c>
      <c r="E114" s="4" t="s">
        <v>1333</v>
      </c>
      <c r="F114" s="2" t="s">
        <v>2340</v>
      </c>
      <c r="G114" s="2" t="s">
        <v>2341</v>
      </c>
      <c r="H114" s="2" t="s">
        <v>339</v>
      </c>
      <c r="I114" s="2" t="s">
        <v>986</v>
      </c>
      <c r="J114" s="2" t="s">
        <v>30</v>
      </c>
      <c r="K114" s="2" t="s">
        <v>30</v>
      </c>
      <c r="L114" s="2" t="s">
        <v>345</v>
      </c>
      <c r="M114" s="2" t="s">
        <v>65</v>
      </c>
      <c r="N114" s="2" t="s">
        <v>480</v>
      </c>
      <c r="O114" s="2" t="s">
        <v>159</v>
      </c>
      <c r="P114" s="2" t="s">
        <v>1968</v>
      </c>
      <c r="Q114" s="2" t="s">
        <v>431</v>
      </c>
      <c r="R114" s="2" t="s">
        <v>424</v>
      </c>
      <c r="S114" s="2" t="s">
        <v>44</v>
      </c>
      <c r="T114" s="155">
        <v>5.0199999999999996</v>
      </c>
      <c r="U114" s="2" t="s">
        <v>2275</v>
      </c>
      <c r="V114" s="166">
        <v>2.5499999999999998E-2</v>
      </c>
      <c r="W114" s="168">
        <v>5.1200000000000002E-2</v>
      </c>
      <c r="X114" s="4" t="s">
        <v>430</v>
      </c>
      <c r="Y114" s="4" t="s">
        <v>159</v>
      </c>
      <c r="Z114" s="155">
        <v>2541270.64</v>
      </c>
      <c r="AA114" s="162">
        <v>1</v>
      </c>
      <c r="AB114" s="179">
        <v>88.21</v>
      </c>
      <c r="AD114" s="155">
        <v>2241.6550000000002</v>
      </c>
      <c r="AG114" s="2" t="s">
        <v>36</v>
      </c>
      <c r="AH114" s="168">
        <v>1.4660000000000001E-3</v>
      </c>
      <c r="AI114" s="168">
        <v>7.2889138516933896E-3</v>
      </c>
      <c r="AJ114" s="168">
        <v>9.2387945040637795E-4</v>
      </c>
    </row>
    <row r="115" spans="1:36">
      <c r="A115" s="2">
        <v>288</v>
      </c>
      <c r="B115" s="2">
        <v>288</v>
      </c>
      <c r="C115" s="2" t="s">
        <v>2031</v>
      </c>
      <c r="D115" s="2" t="s">
        <v>2032</v>
      </c>
      <c r="E115" s="4" t="s">
        <v>1333</v>
      </c>
      <c r="F115" s="2" t="s">
        <v>2033</v>
      </c>
      <c r="G115" s="2" t="s">
        <v>2034</v>
      </c>
      <c r="H115" s="2" t="s">
        <v>339</v>
      </c>
      <c r="I115" s="2" t="s">
        <v>773</v>
      </c>
      <c r="J115" s="2" t="s">
        <v>30</v>
      </c>
      <c r="K115" s="2" t="s">
        <v>30</v>
      </c>
      <c r="L115" s="2" t="s">
        <v>345</v>
      </c>
      <c r="M115" s="2" t="s">
        <v>65</v>
      </c>
      <c r="N115" s="2" t="s">
        <v>480</v>
      </c>
      <c r="O115" s="2" t="s">
        <v>159</v>
      </c>
      <c r="P115" s="2" t="s">
        <v>1968</v>
      </c>
      <c r="Q115" s="2" t="s">
        <v>431</v>
      </c>
      <c r="R115" s="2" t="s">
        <v>424</v>
      </c>
      <c r="S115" s="2" t="s">
        <v>44</v>
      </c>
      <c r="T115" s="155">
        <v>3.7469999999999999</v>
      </c>
      <c r="U115" s="2" t="s">
        <v>2035</v>
      </c>
      <c r="V115" s="166">
        <v>5.0000000000000001E-3</v>
      </c>
      <c r="W115" s="168">
        <v>2.8590000000000001E-2</v>
      </c>
      <c r="X115" s="4" t="s">
        <v>430</v>
      </c>
      <c r="Y115" s="4" t="s">
        <v>159</v>
      </c>
      <c r="Z115" s="155">
        <v>1082394.3600000001</v>
      </c>
      <c r="AA115" s="162">
        <v>1</v>
      </c>
      <c r="AB115" s="179">
        <v>105.22</v>
      </c>
      <c r="AD115" s="155">
        <v>1138.895</v>
      </c>
      <c r="AG115" s="2" t="s">
        <v>36</v>
      </c>
      <c r="AH115" s="168">
        <v>6.7299999999999999E-4</v>
      </c>
      <c r="AI115" s="168">
        <v>3.7032061953966898E-3</v>
      </c>
      <c r="AJ115" s="168">
        <v>4.6938627265429001E-4</v>
      </c>
    </row>
    <row r="116" spans="1:36">
      <c r="A116" s="2">
        <v>288</v>
      </c>
      <c r="B116" s="2">
        <v>288</v>
      </c>
      <c r="C116" s="2" t="s">
        <v>2038</v>
      </c>
      <c r="D116" s="2" t="s">
        <v>2039</v>
      </c>
      <c r="E116" s="4" t="s">
        <v>1333</v>
      </c>
      <c r="F116" s="2" t="s">
        <v>2040</v>
      </c>
      <c r="G116" s="2" t="s">
        <v>2041</v>
      </c>
      <c r="H116" s="2" t="s">
        <v>339</v>
      </c>
      <c r="I116" s="2" t="s">
        <v>773</v>
      </c>
      <c r="J116" s="2" t="s">
        <v>30</v>
      </c>
      <c r="K116" s="2" t="s">
        <v>316</v>
      </c>
      <c r="L116" s="2" t="s">
        <v>345</v>
      </c>
      <c r="M116" s="2" t="s">
        <v>65</v>
      </c>
      <c r="N116" s="2" t="s">
        <v>481</v>
      </c>
      <c r="O116" s="2" t="s">
        <v>159</v>
      </c>
      <c r="P116" s="2" t="s">
        <v>1962</v>
      </c>
      <c r="Q116" s="2" t="s">
        <v>431</v>
      </c>
      <c r="R116" s="2" t="s">
        <v>424</v>
      </c>
      <c r="S116" s="2" t="s">
        <v>44</v>
      </c>
      <c r="T116" s="155">
        <v>1.641</v>
      </c>
      <c r="U116" s="2" t="s">
        <v>2042</v>
      </c>
      <c r="V116" s="166">
        <v>0.04</v>
      </c>
      <c r="W116" s="168">
        <v>3.8879999999999998E-2</v>
      </c>
      <c r="X116" s="4" t="s">
        <v>430</v>
      </c>
      <c r="Y116" s="4" t="s">
        <v>159</v>
      </c>
      <c r="Z116" s="155">
        <v>1000000.25</v>
      </c>
      <c r="AA116" s="162">
        <v>1</v>
      </c>
      <c r="AB116" s="179">
        <v>115.3</v>
      </c>
      <c r="AD116" s="155">
        <v>1153</v>
      </c>
      <c r="AG116" s="2" t="s">
        <v>36</v>
      </c>
      <c r="AH116" s="168">
        <v>5.4799999999999998E-4</v>
      </c>
      <c r="AI116" s="168">
        <v>3.7490695060502801E-3</v>
      </c>
      <c r="AJ116" s="168">
        <v>4.75199507808746E-4</v>
      </c>
    </row>
    <row r="117" spans="1:36">
      <c r="A117" s="2">
        <v>288</v>
      </c>
      <c r="B117" s="2">
        <v>288</v>
      </c>
      <c r="C117" s="2" t="s">
        <v>2342</v>
      </c>
      <c r="D117" s="2" t="s">
        <v>2343</v>
      </c>
      <c r="E117" s="4" t="s">
        <v>1333</v>
      </c>
      <c r="F117" s="2" t="s">
        <v>2344</v>
      </c>
      <c r="G117" s="2" t="s">
        <v>2345</v>
      </c>
      <c r="H117" s="2" t="s">
        <v>339</v>
      </c>
      <c r="I117" s="2" t="s">
        <v>773</v>
      </c>
      <c r="J117" s="2" t="s">
        <v>30</v>
      </c>
      <c r="K117" s="2" t="s">
        <v>30</v>
      </c>
      <c r="L117" s="2" t="s">
        <v>345</v>
      </c>
      <c r="M117" s="2" t="s">
        <v>65</v>
      </c>
      <c r="N117" s="2" t="s">
        <v>467</v>
      </c>
      <c r="O117" s="2" t="s">
        <v>159</v>
      </c>
      <c r="P117" s="2" t="s">
        <v>1956</v>
      </c>
      <c r="Q117" s="2" t="s">
        <v>431</v>
      </c>
      <c r="R117" s="2" t="s">
        <v>424</v>
      </c>
      <c r="S117" s="2" t="s">
        <v>44</v>
      </c>
      <c r="T117" s="155">
        <v>3.5870000000000002</v>
      </c>
      <c r="U117" s="2" t="s">
        <v>2346</v>
      </c>
      <c r="V117" s="166">
        <v>7.4999999999999997E-3</v>
      </c>
      <c r="W117" s="168">
        <v>3.1579999999999997E-2</v>
      </c>
      <c r="X117" s="4" t="s">
        <v>430</v>
      </c>
      <c r="Y117" s="4" t="s">
        <v>159</v>
      </c>
      <c r="Z117" s="155">
        <v>0.97</v>
      </c>
      <c r="AA117" s="162">
        <v>1</v>
      </c>
      <c r="AB117" s="179">
        <v>104.3</v>
      </c>
      <c r="AD117" s="155">
        <v>1E-3</v>
      </c>
      <c r="AG117" s="2" t="s">
        <v>36</v>
      </c>
      <c r="AH117" s="168">
        <v>0</v>
      </c>
      <c r="AI117" s="168">
        <v>3.2896532191878505E-9</v>
      </c>
      <c r="AJ117" s="168">
        <v>4.1696788712419102E-10</v>
      </c>
    </row>
    <row r="118" spans="1:36">
      <c r="A118" s="2">
        <v>288</v>
      </c>
      <c r="B118" s="2">
        <v>288</v>
      </c>
      <c r="C118" s="2" t="s">
        <v>2048</v>
      </c>
      <c r="D118" s="2" t="s">
        <v>2049</v>
      </c>
      <c r="E118" s="4" t="s">
        <v>1333</v>
      </c>
      <c r="F118" s="2" t="s">
        <v>2050</v>
      </c>
      <c r="G118" s="2" t="s">
        <v>2051</v>
      </c>
      <c r="H118" s="2" t="s">
        <v>339</v>
      </c>
      <c r="I118" s="2" t="s">
        <v>773</v>
      </c>
      <c r="J118" s="2" t="s">
        <v>30</v>
      </c>
      <c r="K118" s="2" t="s">
        <v>30</v>
      </c>
      <c r="L118" s="2" t="s">
        <v>345</v>
      </c>
      <c r="M118" s="2" t="s">
        <v>65</v>
      </c>
      <c r="N118" s="2" t="s">
        <v>464</v>
      </c>
      <c r="O118" s="2" t="s">
        <v>159</v>
      </c>
      <c r="P118" s="2" t="s">
        <v>132</v>
      </c>
      <c r="Q118" s="2" t="s">
        <v>431</v>
      </c>
      <c r="R118" s="2" t="s">
        <v>424</v>
      </c>
      <c r="S118" s="2" t="s">
        <v>44</v>
      </c>
      <c r="T118" s="155">
        <v>3.738</v>
      </c>
      <c r="U118" s="2" t="s">
        <v>2052</v>
      </c>
      <c r="V118" s="166">
        <v>2E-3</v>
      </c>
      <c r="W118" s="168">
        <v>2.384E-2</v>
      </c>
      <c r="X118" s="4" t="s">
        <v>430</v>
      </c>
      <c r="Y118" s="4" t="s">
        <v>159</v>
      </c>
      <c r="Z118" s="155">
        <v>2000000</v>
      </c>
      <c r="AA118" s="162">
        <v>1</v>
      </c>
      <c r="AB118" s="179">
        <v>103.66</v>
      </c>
      <c r="AD118" s="155">
        <v>2073.1999999999998</v>
      </c>
      <c r="AG118" s="2" t="s">
        <v>36</v>
      </c>
      <c r="AH118" s="168">
        <v>5.5000000000000003E-4</v>
      </c>
      <c r="AI118" s="168">
        <v>6.74116995386054E-3</v>
      </c>
      <c r="AJ118" s="168">
        <v>8.5445218845901804E-4</v>
      </c>
    </row>
    <row r="119" spans="1:36">
      <c r="A119" s="2">
        <v>288</v>
      </c>
      <c r="B119" s="2">
        <v>288</v>
      </c>
      <c r="C119" s="2" t="s">
        <v>2048</v>
      </c>
      <c r="D119" s="2" t="s">
        <v>2049</v>
      </c>
      <c r="E119" s="4" t="s">
        <v>1333</v>
      </c>
      <c r="F119" s="2" t="s">
        <v>2053</v>
      </c>
      <c r="G119" s="2" t="s">
        <v>2054</v>
      </c>
      <c r="H119" s="2" t="s">
        <v>339</v>
      </c>
      <c r="I119" s="2" t="s">
        <v>773</v>
      </c>
      <c r="J119" s="2" t="s">
        <v>30</v>
      </c>
      <c r="K119" s="2" t="s">
        <v>30</v>
      </c>
      <c r="L119" s="2" t="s">
        <v>345</v>
      </c>
      <c r="M119" s="2" t="s">
        <v>65</v>
      </c>
      <c r="N119" s="2" t="s">
        <v>464</v>
      </c>
      <c r="O119" s="2" t="s">
        <v>159</v>
      </c>
      <c r="P119" s="2" t="s">
        <v>132</v>
      </c>
      <c r="Q119" s="2" t="s">
        <v>431</v>
      </c>
      <c r="R119" s="2" t="s">
        <v>424</v>
      </c>
      <c r="S119" s="2" t="s">
        <v>44</v>
      </c>
      <c r="T119" s="155">
        <v>4.8170000000000002</v>
      </c>
      <c r="U119" s="2" t="s">
        <v>2055</v>
      </c>
      <c r="V119" s="166">
        <v>2.47E-2</v>
      </c>
      <c r="W119" s="168">
        <v>2.4309999999999998E-2</v>
      </c>
      <c r="X119" s="4" t="s">
        <v>430</v>
      </c>
      <c r="Y119" s="4" t="s">
        <v>159</v>
      </c>
      <c r="Z119" s="155">
        <v>3600000</v>
      </c>
      <c r="AA119" s="162">
        <v>1</v>
      </c>
      <c r="AB119" s="179">
        <v>104.01</v>
      </c>
      <c r="AD119" s="155">
        <v>3744.36</v>
      </c>
      <c r="AG119" s="2" t="s">
        <v>36</v>
      </c>
      <c r="AH119" s="168">
        <v>1.2589999999999999E-3</v>
      </c>
      <c r="AI119" s="168">
        <v>1.21750757902939E-2</v>
      </c>
      <c r="AJ119" s="168">
        <v>1.54320692474359E-3</v>
      </c>
    </row>
    <row r="120" spans="1:36">
      <c r="A120" s="2">
        <v>288</v>
      </c>
      <c r="B120" s="2">
        <v>288</v>
      </c>
      <c r="C120" s="2" t="s">
        <v>2048</v>
      </c>
      <c r="D120" s="2" t="s">
        <v>2049</v>
      </c>
      <c r="E120" s="4" t="s">
        <v>1333</v>
      </c>
      <c r="F120" s="2" t="s">
        <v>2347</v>
      </c>
      <c r="G120" s="2" t="s">
        <v>2348</v>
      </c>
      <c r="H120" s="2" t="s">
        <v>339</v>
      </c>
      <c r="I120" s="2" t="s">
        <v>986</v>
      </c>
      <c r="J120" s="2" t="s">
        <v>30</v>
      </c>
      <c r="K120" s="2" t="s">
        <v>30</v>
      </c>
      <c r="L120" s="2" t="s">
        <v>345</v>
      </c>
      <c r="M120" s="2" t="s">
        <v>65</v>
      </c>
      <c r="N120" s="2" t="s">
        <v>464</v>
      </c>
      <c r="O120" s="2" t="s">
        <v>159</v>
      </c>
      <c r="P120" s="2" t="s">
        <v>132</v>
      </c>
      <c r="Q120" s="2" t="s">
        <v>431</v>
      </c>
      <c r="R120" s="2" t="s">
        <v>424</v>
      </c>
      <c r="S120" s="2" t="s">
        <v>44</v>
      </c>
      <c r="T120" s="155">
        <v>3.2280000000000002</v>
      </c>
      <c r="U120" s="2" t="s">
        <v>2349</v>
      </c>
      <c r="V120" s="166">
        <v>2.6800000000000001E-2</v>
      </c>
      <c r="W120" s="168">
        <v>4.5240000000000002E-2</v>
      </c>
      <c r="X120" s="4" t="s">
        <v>430</v>
      </c>
      <c r="Y120" s="4" t="s">
        <v>159</v>
      </c>
      <c r="Z120" s="155">
        <v>1290616.3700000001</v>
      </c>
      <c r="AA120" s="162">
        <v>1</v>
      </c>
      <c r="AB120" s="179">
        <v>94.55</v>
      </c>
      <c r="AD120" s="155">
        <v>1220.278</v>
      </c>
      <c r="AG120" s="2" t="s">
        <v>36</v>
      </c>
      <c r="AH120" s="168">
        <v>6.5899999999999997E-4</v>
      </c>
      <c r="AI120" s="168">
        <v>3.9678274605947396E-3</v>
      </c>
      <c r="AJ120" s="168">
        <v>5.0292736725787398E-4</v>
      </c>
    </row>
    <row r="121" spans="1:36">
      <c r="A121" s="2">
        <v>288</v>
      </c>
      <c r="B121" s="2">
        <v>288</v>
      </c>
      <c r="C121" s="2" t="s">
        <v>1735</v>
      </c>
      <c r="D121" s="2" t="s">
        <v>1736</v>
      </c>
      <c r="E121" s="4" t="s">
        <v>1333</v>
      </c>
      <c r="F121" s="2" t="s">
        <v>2350</v>
      </c>
      <c r="G121" s="2" t="s">
        <v>2351</v>
      </c>
      <c r="H121" s="2" t="s">
        <v>339</v>
      </c>
      <c r="I121" s="2" t="s">
        <v>986</v>
      </c>
      <c r="J121" s="2" t="s">
        <v>30</v>
      </c>
      <c r="K121" s="2" t="s">
        <v>30</v>
      </c>
      <c r="L121" s="2" t="s">
        <v>345</v>
      </c>
      <c r="M121" s="2" t="s">
        <v>65</v>
      </c>
      <c r="N121" s="2" t="s">
        <v>470</v>
      </c>
      <c r="O121" s="2" t="s">
        <v>159</v>
      </c>
      <c r="P121" s="2" t="s">
        <v>1962</v>
      </c>
      <c r="Q121" s="2" t="s">
        <v>433</v>
      </c>
      <c r="R121" s="2" t="s">
        <v>424</v>
      </c>
      <c r="S121" s="2" t="s">
        <v>44</v>
      </c>
      <c r="T121" s="155">
        <v>2.4860000000000002</v>
      </c>
      <c r="U121" s="2" t="s">
        <v>2352</v>
      </c>
      <c r="V121" s="166">
        <v>6.7500000000000004E-2</v>
      </c>
      <c r="W121" s="168">
        <v>5.5210000000000002E-2</v>
      </c>
      <c r="X121" s="4" t="s">
        <v>430</v>
      </c>
      <c r="Y121" s="4" t="s">
        <v>159</v>
      </c>
      <c r="Z121" s="155">
        <v>2000000</v>
      </c>
      <c r="AA121" s="162">
        <v>1</v>
      </c>
      <c r="AB121" s="179">
        <v>106.07</v>
      </c>
      <c r="AD121" s="155">
        <v>2121.4</v>
      </c>
      <c r="AG121" s="2" t="s">
        <v>36</v>
      </c>
      <c r="AH121" s="168">
        <v>1.1429999999999999E-3</v>
      </c>
      <c r="AI121" s="168">
        <v>6.8978959772910296E-3</v>
      </c>
      <c r="AJ121" s="168">
        <v>8.7431741877144601E-4</v>
      </c>
    </row>
    <row r="122" spans="1:36">
      <c r="A122" s="2">
        <v>288</v>
      </c>
      <c r="B122" s="2">
        <v>288</v>
      </c>
      <c r="C122" s="2" t="s">
        <v>2069</v>
      </c>
      <c r="D122" s="2" t="s">
        <v>2070</v>
      </c>
      <c r="E122" s="4" t="s">
        <v>1333</v>
      </c>
      <c r="F122" s="2" t="s">
        <v>2353</v>
      </c>
      <c r="G122" s="2" t="s">
        <v>2354</v>
      </c>
      <c r="H122" s="2" t="s">
        <v>339</v>
      </c>
      <c r="I122" s="2" t="s">
        <v>986</v>
      </c>
      <c r="J122" s="2" t="s">
        <v>30</v>
      </c>
      <c r="K122" s="2" t="s">
        <v>30</v>
      </c>
      <c r="L122" s="2" t="s">
        <v>345</v>
      </c>
      <c r="M122" s="2" t="s">
        <v>41</v>
      </c>
      <c r="N122" s="2" t="s">
        <v>461</v>
      </c>
      <c r="O122" s="2" t="s">
        <v>159</v>
      </c>
      <c r="P122" s="2" t="s">
        <v>1979</v>
      </c>
      <c r="Q122" s="2" t="s">
        <v>431</v>
      </c>
      <c r="R122" s="2" t="s">
        <v>424</v>
      </c>
      <c r="S122" s="2" t="s">
        <v>44</v>
      </c>
      <c r="T122" s="155">
        <v>7.1319999999999997</v>
      </c>
      <c r="U122" s="2" t="s">
        <v>2141</v>
      </c>
      <c r="V122" s="166">
        <v>6.0199999999999997E-2</v>
      </c>
      <c r="W122" s="168">
        <v>5.3359999999999998E-2</v>
      </c>
      <c r="X122" s="4" t="s">
        <v>430</v>
      </c>
      <c r="Y122" s="4" t="s">
        <v>159</v>
      </c>
      <c r="Z122" s="155">
        <v>2499000</v>
      </c>
      <c r="AA122" s="162">
        <v>1</v>
      </c>
      <c r="AB122" s="179">
        <v>105.33</v>
      </c>
      <c r="AD122" s="155">
        <v>2632.1970000000001</v>
      </c>
      <c r="AG122" s="2" t="s">
        <v>36</v>
      </c>
      <c r="AH122" s="168">
        <v>4.9979999999999998E-3</v>
      </c>
      <c r="AI122" s="168">
        <v>8.5587909061792793E-3</v>
      </c>
      <c r="AJ122" s="168">
        <v>1.0848380430106099E-3</v>
      </c>
    </row>
    <row r="123" spans="1:36">
      <c r="A123" s="2">
        <v>288</v>
      </c>
      <c r="B123" s="2">
        <v>288</v>
      </c>
      <c r="C123" s="2" t="s">
        <v>2085</v>
      </c>
      <c r="D123" s="2" t="s">
        <v>2086</v>
      </c>
      <c r="E123" s="4" t="s">
        <v>1333</v>
      </c>
      <c r="F123" s="2" t="s">
        <v>2093</v>
      </c>
      <c r="G123" s="2" t="s">
        <v>2094</v>
      </c>
      <c r="H123" s="2" t="s">
        <v>339</v>
      </c>
      <c r="I123" s="2" t="s">
        <v>773</v>
      </c>
      <c r="J123" s="2" t="s">
        <v>30</v>
      </c>
      <c r="K123" s="2" t="s">
        <v>30</v>
      </c>
      <c r="L123" s="2" t="s">
        <v>345</v>
      </c>
      <c r="M123" s="2" t="s">
        <v>65</v>
      </c>
      <c r="N123" s="2" t="s">
        <v>456</v>
      </c>
      <c r="O123" s="2" t="s">
        <v>159</v>
      </c>
      <c r="P123" s="2" t="s">
        <v>126</v>
      </c>
      <c r="Q123" s="2" t="s">
        <v>431</v>
      </c>
      <c r="R123" s="2" t="s">
        <v>424</v>
      </c>
      <c r="S123" s="2" t="s">
        <v>44</v>
      </c>
      <c r="T123" s="155">
        <v>5.55</v>
      </c>
      <c r="U123" s="2" t="s">
        <v>2095</v>
      </c>
      <c r="V123" s="166">
        <v>2.3900000000000001E-2</v>
      </c>
      <c r="W123" s="168">
        <v>2.5940000000000001E-2</v>
      </c>
      <c r="X123" s="4" t="s">
        <v>430</v>
      </c>
      <c r="Y123" s="4" t="s">
        <v>159</v>
      </c>
      <c r="Z123" s="155">
        <v>3700000</v>
      </c>
      <c r="AA123" s="162">
        <v>1</v>
      </c>
      <c r="AB123" s="179">
        <v>114.47</v>
      </c>
      <c r="AD123" s="155">
        <v>4235.3900000000003</v>
      </c>
      <c r="AG123" s="2" t="s">
        <v>36</v>
      </c>
      <c r="AH123" s="168">
        <v>9.5100000000000002E-4</v>
      </c>
      <c r="AI123" s="168">
        <v>1.37716977671626E-2</v>
      </c>
      <c r="AJ123" s="168">
        <v>1.74558086748864E-3</v>
      </c>
    </row>
    <row r="124" spans="1:36">
      <c r="A124" s="2">
        <v>288</v>
      </c>
      <c r="B124" s="2">
        <v>288</v>
      </c>
      <c r="C124" s="2" t="s">
        <v>2085</v>
      </c>
      <c r="D124" s="2" t="s">
        <v>2086</v>
      </c>
      <c r="E124" s="4" t="s">
        <v>1333</v>
      </c>
      <c r="F124" s="2" t="s">
        <v>2099</v>
      </c>
      <c r="G124" s="2" t="s">
        <v>2100</v>
      </c>
      <c r="H124" s="2" t="s">
        <v>339</v>
      </c>
      <c r="I124" s="2" t="s">
        <v>773</v>
      </c>
      <c r="J124" s="2" t="s">
        <v>30</v>
      </c>
      <c r="K124" s="2" t="s">
        <v>30</v>
      </c>
      <c r="L124" s="2" t="s">
        <v>345</v>
      </c>
      <c r="M124" s="2" t="s">
        <v>65</v>
      </c>
      <c r="N124" s="2" t="s">
        <v>456</v>
      </c>
      <c r="O124" s="2" t="s">
        <v>159</v>
      </c>
      <c r="P124" s="2" t="s">
        <v>126</v>
      </c>
      <c r="Q124" s="2" t="s">
        <v>431</v>
      </c>
      <c r="R124" s="2" t="s">
        <v>424</v>
      </c>
      <c r="S124" s="2" t="s">
        <v>44</v>
      </c>
      <c r="T124" s="155">
        <v>7.5179999999999998</v>
      </c>
      <c r="U124" s="2" t="s">
        <v>2101</v>
      </c>
      <c r="V124" s="166">
        <v>0.03</v>
      </c>
      <c r="W124" s="168">
        <v>2.87E-2</v>
      </c>
      <c r="X124" s="4" t="s">
        <v>430</v>
      </c>
      <c r="Y124" s="4" t="s">
        <v>159</v>
      </c>
      <c r="Z124" s="155">
        <v>3060979</v>
      </c>
      <c r="AA124" s="162">
        <v>1</v>
      </c>
      <c r="AB124" s="179">
        <v>105.85</v>
      </c>
      <c r="AD124" s="155">
        <v>3240.0459999999998</v>
      </c>
      <c r="AG124" s="2" t="s">
        <v>36</v>
      </c>
      <c r="AH124" s="168">
        <v>7.5000000000000002E-4</v>
      </c>
      <c r="AI124" s="168">
        <v>1.0535260744044799E-2</v>
      </c>
      <c r="AJ124" s="168">
        <v>1.3353582034495699E-3</v>
      </c>
    </row>
    <row r="125" spans="1:36">
      <c r="A125" s="2">
        <v>288</v>
      </c>
      <c r="B125" s="2">
        <v>288</v>
      </c>
      <c r="C125" s="2" t="s">
        <v>2085</v>
      </c>
      <c r="D125" s="2" t="s">
        <v>2086</v>
      </c>
      <c r="E125" s="4" t="s">
        <v>1333</v>
      </c>
      <c r="F125" s="2" t="s">
        <v>2355</v>
      </c>
      <c r="G125" s="2" t="s">
        <v>2356</v>
      </c>
      <c r="H125" s="2" t="s">
        <v>339</v>
      </c>
      <c r="I125" s="2" t="s">
        <v>773</v>
      </c>
      <c r="J125" s="2" t="s">
        <v>30</v>
      </c>
      <c r="K125" s="2" t="s">
        <v>30</v>
      </c>
      <c r="L125" s="2" t="s">
        <v>345</v>
      </c>
      <c r="M125" s="2" t="s">
        <v>65</v>
      </c>
      <c r="N125" s="2" t="s">
        <v>456</v>
      </c>
      <c r="O125" s="2" t="s">
        <v>159</v>
      </c>
      <c r="P125" s="2" t="s">
        <v>126</v>
      </c>
      <c r="Q125" s="2" t="s">
        <v>433</v>
      </c>
      <c r="R125" s="2" t="s">
        <v>424</v>
      </c>
      <c r="S125" s="2" t="s">
        <v>44</v>
      </c>
      <c r="T125" s="155">
        <v>10.375</v>
      </c>
      <c r="U125" s="2" t="s">
        <v>2357</v>
      </c>
      <c r="V125" s="166">
        <v>3.2000000000000001E-2</v>
      </c>
      <c r="W125" s="168">
        <v>3.032E-2</v>
      </c>
      <c r="X125" s="4" t="s">
        <v>430</v>
      </c>
      <c r="Y125" s="4" t="s">
        <v>159</v>
      </c>
      <c r="Z125" s="155">
        <v>2000000</v>
      </c>
      <c r="AA125" s="162">
        <v>1</v>
      </c>
      <c r="AB125" s="179">
        <v>106.74</v>
      </c>
      <c r="AD125" s="155">
        <v>2134.8000000000002</v>
      </c>
      <c r="AG125" s="2" t="s">
        <v>36</v>
      </c>
      <c r="AH125" s="168">
        <v>4.06E-4</v>
      </c>
      <c r="AI125" s="168">
        <v>6.9414671124355997E-3</v>
      </c>
      <c r="AJ125" s="168">
        <v>8.7984011765498396E-4</v>
      </c>
    </row>
    <row r="126" spans="1:36">
      <c r="A126" s="2">
        <v>288</v>
      </c>
      <c r="B126" s="2">
        <v>288</v>
      </c>
      <c r="C126" s="2" t="s">
        <v>2107</v>
      </c>
      <c r="D126" s="2" t="s">
        <v>2108</v>
      </c>
      <c r="E126" s="4" t="s">
        <v>1333</v>
      </c>
      <c r="F126" s="2" t="s">
        <v>2358</v>
      </c>
      <c r="G126" s="2" t="s">
        <v>2359</v>
      </c>
      <c r="H126" s="2" t="s">
        <v>339</v>
      </c>
      <c r="I126" s="2" t="s">
        <v>773</v>
      </c>
      <c r="J126" s="2" t="s">
        <v>30</v>
      </c>
      <c r="K126" s="2" t="s">
        <v>30</v>
      </c>
      <c r="L126" s="2" t="s">
        <v>345</v>
      </c>
      <c r="M126" s="2" t="s">
        <v>65</v>
      </c>
      <c r="N126" s="2" t="s">
        <v>480</v>
      </c>
      <c r="O126" s="2" t="s">
        <v>159</v>
      </c>
      <c r="P126" s="2" t="s">
        <v>1979</v>
      </c>
      <c r="Q126" s="2" t="s">
        <v>431</v>
      </c>
      <c r="R126" s="2" t="s">
        <v>424</v>
      </c>
      <c r="S126" s="2" t="s">
        <v>44</v>
      </c>
      <c r="T126" s="155">
        <v>3.4359999999999999</v>
      </c>
      <c r="U126" s="2" t="s">
        <v>2360</v>
      </c>
      <c r="V126" s="166">
        <v>2.4E-2</v>
      </c>
      <c r="W126" s="168">
        <v>2.7799999999999998E-2</v>
      </c>
      <c r="X126" s="4" t="s">
        <v>430</v>
      </c>
      <c r="Y126" s="4" t="s">
        <v>159</v>
      </c>
      <c r="Z126" s="155">
        <v>0.19</v>
      </c>
      <c r="AA126" s="162">
        <v>1</v>
      </c>
      <c r="AB126" s="179">
        <v>116.01</v>
      </c>
      <c r="AD126" s="155">
        <v>0</v>
      </c>
      <c r="AG126" s="2" t="s">
        <v>36</v>
      </c>
      <c r="AH126" s="168">
        <v>0</v>
      </c>
      <c r="AI126" s="168">
        <v>7.1670940577850004E-10</v>
      </c>
      <c r="AJ126" s="168">
        <v>9.0843863075413999E-11</v>
      </c>
    </row>
    <row r="127" spans="1:36">
      <c r="A127" s="2">
        <v>288</v>
      </c>
      <c r="B127" s="2">
        <v>288</v>
      </c>
      <c r="C127" s="2" t="s">
        <v>2112</v>
      </c>
      <c r="D127" s="2" t="s">
        <v>2113</v>
      </c>
      <c r="E127" s="4" t="s">
        <v>1333</v>
      </c>
      <c r="F127" s="2" t="s">
        <v>2114</v>
      </c>
      <c r="G127" s="2" t="s">
        <v>2115</v>
      </c>
      <c r="H127" s="2" t="s">
        <v>339</v>
      </c>
      <c r="I127" s="2" t="s">
        <v>986</v>
      </c>
      <c r="J127" s="2" t="s">
        <v>30</v>
      </c>
      <c r="K127" s="2" t="s">
        <v>30</v>
      </c>
      <c r="L127" s="2" t="s">
        <v>345</v>
      </c>
      <c r="M127" s="2" t="s">
        <v>65</v>
      </c>
      <c r="N127" s="2" t="s">
        <v>461</v>
      </c>
      <c r="O127" s="2" t="s">
        <v>159</v>
      </c>
      <c r="P127" s="2" t="s">
        <v>1979</v>
      </c>
      <c r="Q127" s="2" t="s">
        <v>431</v>
      </c>
      <c r="R127" s="2" t="s">
        <v>424</v>
      </c>
      <c r="S127" s="2" t="s">
        <v>44</v>
      </c>
      <c r="T127" s="155">
        <v>4.8739999999999997</v>
      </c>
      <c r="U127" s="2" t="s">
        <v>101</v>
      </c>
      <c r="V127" s="166">
        <v>2.64E-2</v>
      </c>
      <c r="W127" s="168">
        <v>4.8840000000000001E-2</v>
      </c>
      <c r="X127" s="4" t="s">
        <v>430</v>
      </c>
      <c r="Y127" s="4" t="s">
        <v>159</v>
      </c>
      <c r="Z127" s="155">
        <v>2000000</v>
      </c>
      <c r="AA127" s="162">
        <v>1</v>
      </c>
      <c r="AB127" s="179">
        <v>90.64</v>
      </c>
      <c r="AD127" s="155">
        <v>1812.8</v>
      </c>
      <c r="AG127" s="2" t="s">
        <v>36</v>
      </c>
      <c r="AH127" s="168">
        <v>1.222E-3</v>
      </c>
      <c r="AI127" s="168">
        <v>5.8944592380659796E-3</v>
      </c>
      <c r="AJ127" s="168">
        <v>7.4713048776698298E-4</v>
      </c>
    </row>
    <row r="128" spans="1:36">
      <c r="A128" s="2">
        <v>288</v>
      </c>
      <c r="B128" s="2">
        <v>288</v>
      </c>
      <c r="C128" s="2" t="s">
        <v>2112</v>
      </c>
      <c r="D128" s="2" t="s">
        <v>2113</v>
      </c>
      <c r="E128" s="4" t="s">
        <v>1333</v>
      </c>
      <c r="F128" s="2" t="s">
        <v>2361</v>
      </c>
      <c r="G128" s="2" t="s">
        <v>2362</v>
      </c>
      <c r="H128" s="2" t="s">
        <v>339</v>
      </c>
      <c r="I128" s="2" t="s">
        <v>986</v>
      </c>
      <c r="J128" s="2" t="s">
        <v>30</v>
      </c>
      <c r="K128" s="2" t="s">
        <v>30</v>
      </c>
      <c r="L128" s="2" t="s">
        <v>345</v>
      </c>
      <c r="M128" s="2" t="s">
        <v>65</v>
      </c>
      <c r="N128" s="2" t="s">
        <v>461</v>
      </c>
      <c r="O128" s="2" t="s">
        <v>159</v>
      </c>
      <c r="P128" s="2" t="s">
        <v>1979</v>
      </c>
      <c r="Q128" s="2" t="s">
        <v>431</v>
      </c>
      <c r="R128" s="2" t="s">
        <v>424</v>
      </c>
      <c r="S128" s="2" t="s">
        <v>44</v>
      </c>
      <c r="T128" s="155">
        <v>6.5549999999999997</v>
      </c>
      <c r="U128" s="2" t="s">
        <v>2363</v>
      </c>
      <c r="V128" s="166">
        <v>2.5000000000000001E-2</v>
      </c>
      <c r="W128" s="168">
        <v>5.2679999999999998E-2</v>
      </c>
      <c r="X128" s="4" t="s">
        <v>430</v>
      </c>
      <c r="Y128" s="4" t="s">
        <v>159</v>
      </c>
      <c r="Z128" s="155">
        <v>1500000</v>
      </c>
      <c r="AA128" s="162">
        <v>1</v>
      </c>
      <c r="AB128" s="179">
        <v>84.49</v>
      </c>
      <c r="AD128" s="155">
        <v>1267.3499999999999</v>
      </c>
      <c r="AG128" s="2" t="s">
        <v>36</v>
      </c>
      <c r="AH128" s="168">
        <v>1.1249999999999999E-3</v>
      </c>
      <c r="AI128" s="168">
        <v>4.1208864272743399E-3</v>
      </c>
      <c r="AJ128" s="168">
        <v>5.2232779328744805E-4</v>
      </c>
    </row>
    <row r="129" spans="1:36">
      <c r="A129" s="2">
        <v>288</v>
      </c>
      <c r="B129" s="2">
        <v>288</v>
      </c>
      <c r="C129" s="2" t="s">
        <v>1196</v>
      </c>
      <c r="D129" s="2" t="s">
        <v>1660</v>
      </c>
      <c r="E129" s="4" t="s">
        <v>1333</v>
      </c>
      <c r="F129" s="2" t="s">
        <v>2364</v>
      </c>
      <c r="G129" s="2" t="s">
        <v>2365</v>
      </c>
      <c r="H129" s="2" t="s">
        <v>339</v>
      </c>
      <c r="I129" s="2" t="s">
        <v>986</v>
      </c>
      <c r="J129" s="2" t="s">
        <v>30</v>
      </c>
      <c r="K129" s="2" t="s">
        <v>30</v>
      </c>
      <c r="L129" s="2" t="s">
        <v>345</v>
      </c>
      <c r="M129" s="2" t="s">
        <v>65</v>
      </c>
      <c r="N129" s="2" t="s">
        <v>464</v>
      </c>
      <c r="O129" s="2" t="s">
        <v>159</v>
      </c>
      <c r="P129" s="2" t="s">
        <v>132</v>
      </c>
      <c r="Q129" s="2" t="s">
        <v>431</v>
      </c>
      <c r="R129" s="2" t="s">
        <v>424</v>
      </c>
      <c r="S129" s="2" t="s">
        <v>44</v>
      </c>
      <c r="T129" s="155">
        <v>2.9079999999999999</v>
      </c>
      <c r="U129" s="2" t="s">
        <v>2366</v>
      </c>
      <c r="V129" s="166">
        <v>2.76E-2</v>
      </c>
      <c r="W129" s="168">
        <v>4.5379999999999997E-2</v>
      </c>
      <c r="X129" s="4" t="s">
        <v>430</v>
      </c>
      <c r="Y129" s="4" t="s">
        <v>159</v>
      </c>
      <c r="Z129" s="155">
        <v>95174</v>
      </c>
      <c r="AA129" s="162">
        <v>1</v>
      </c>
      <c r="AB129" s="179">
        <v>95.56</v>
      </c>
      <c r="AD129" s="155">
        <v>90.947999999999993</v>
      </c>
      <c r="AG129" s="2" t="s">
        <v>36</v>
      </c>
      <c r="AH129" s="168">
        <v>7.1000000000000005E-5</v>
      </c>
      <c r="AI129" s="168">
        <v>2.9572533992897201E-4</v>
      </c>
      <c r="AJ129" s="168">
        <v>3.7483577126013598E-5</v>
      </c>
    </row>
    <row r="130" spans="1:36">
      <c r="A130" s="2">
        <v>288</v>
      </c>
      <c r="B130" s="2">
        <v>288</v>
      </c>
      <c r="C130" s="2" t="s">
        <v>1196</v>
      </c>
      <c r="D130" s="2" t="s">
        <v>1660</v>
      </c>
      <c r="E130" s="4" t="s">
        <v>1333</v>
      </c>
      <c r="F130" s="2" t="s">
        <v>2125</v>
      </c>
      <c r="G130" s="2" t="s">
        <v>2126</v>
      </c>
      <c r="H130" s="2" t="s">
        <v>339</v>
      </c>
      <c r="I130" s="2" t="s">
        <v>773</v>
      </c>
      <c r="J130" s="2" t="s">
        <v>30</v>
      </c>
      <c r="K130" s="2" t="s">
        <v>30</v>
      </c>
      <c r="L130" s="2" t="s">
        <v>345</v>
      </c>
      <c r="M130" s="2" t="s">
        <v>65</v>
      </c>
      <c r="N130" s="2" t="s">
        <v>464</v>
      </c>
      <c r="O130" s="2" t="s">
        <v>159</v>
      </c>
      <c r="P130" s="2" t="s">
        <v>132</v>
      </c>
      <c r="Q130" s="2" t="s">
        <v>431</v>
      </c>
      <c r="R130" s="2" t="s">
        <v>424</v>
      </c>
      <c r="S130" s="2" t="s">
        <v>44</v>
      </c>
      <c r="T130" s="155">
        <v>4.8879999999999999</v>
      </c>
      <c r="U130" s="2" t="s">
        <v>2127</v>
      </c>
      <c r="V130" s="166">
        <v>1E-3</v>
      </c>
      <c r="W130" s="168">
        <v>2.3630000000000002E-2</v>
      </c>
      <c r="X130" s="4" t="s">
        <v>430</v>
      </c>
      <c r="Y130" s="4" t="s">
        <v>159</v>
      </c>
      <c r="Z130" s="155">
        <v>2800000</v>
      </c>
      <c r="AA130" s="162">
        <v>1</v>
      </c>
      <c r="AB130" s="179">
        <v>100.78</v>
      </c>
      <c r="AD130" s="155">
        <v>2821.84</v>
      </c>
      <c r="AG130" s="2" t="s">
        <v>36</v>
      </c>
      <c r="AH130" s="168">
        <v>1.126E-3</v>
      </c>
      <c r="AI130" s="168">
        <v>9.1754307459974097E-3</v>
      </c>
      <c r="AJ130" s="168">
        <v>1.16299795653154E-3</v>
      </c>
    </row>
    <row r="131" spans="1:36">
      <c r="A131" s="2">
        <v>288</v>
      </c>
      <c r="B131" s="2">
        <v>288</v>
      </c>
      <c r="C131" s="2" t="s">
        <v>2128</v>
      </c>
      <c r="D131" s="2" t="s">
        <v>2129</v>
      </c>
      <c r="E131" s="4" t="s">
        <v>1333</v>
      </c>
      <c r="F131" s="2" t="s">
        <v>2367</v>
      </c>
      <c r="G131" s="2" t="s">
        <v>2368</v>
      </c>
      <c r="H131" s="2" t="s">
        <v>339</v>
      </c>
      <c r="I131" s="2" t="s">
        <v>773</v>
      </c>
      <c r="J131" s="2" t="s">
        <v>30</v>
      </c>
      <c r="K131" s="2" t="s">
        <v>30</v>
      </c>
      <c r="L131" s="2" t="s">
        <v>345</v>
      </c>
      <c r="M131" s="2" t="s">
        <v>65</v>
      </c>
      <c r="N131" s="2" t="s">
        <v>480</v>
      </c>
      <c r="O131" s="2" t="s">
        <v>159</v>
      </c>
      <c r="P131" s="2" t="s">
        <v>1968</v>
      </c>
      <c r="Q131" s="2" t="s">
        <v>431</v>
      </c>
      <c r="R131" s="2" t="s">
        <v>424</v>
      </c>
      <c r="S131" s="2" t="s">
        <v>44</v>
      </c>
      <c r="T131" s="155">
        <v>5.5970000000000004</v>
      </c>
      <c r="U131" s="2" t="s">
        <v>2369</v>
      </c>
      <c r="V131" s="166">
        <v>3.5000000000000001E-3</v>
      </c>
      <c r="W131" s="168">
        <v>2.9780000000000001E-2</v>
      </c>
      <c r="X131" s="4" t="s">
        <v>430</v>
      </c>
      <c r="Y131" s="4" t="s">
        <v>159</v>
      </c>
      <c r="Z131" s="155">
        <v>1567500</v>
      </c>
      <c r="AA131" s="162">
        <v>1</v>
      </c>
      <c r="AB131" s="179">
        <v>97.28</v>
      </c>
      <c r="AD131" s="155">
        <v>1524.864</v>
      </c>
      <c r="AG131" s="2" t="s">
        <v>36</v>
      </c>
      <c r="AH131" s="168">
        <v>4.4999999999999999E-4</v>
      </c>
      <c r="AI131" s="168">
        <v>4.9582130911265702E-3</v>
      </c>
      <c r="AJ131" s="168">
        <v>6.2846005301098401E-4</v>
      </c>
    </row>
    <row r="132" spans="1:36">
      <c r="A132" s="2">
        <v>288</v>
      </c>
      <c r="B132" s="2">
        <v>288</v>
      </c>
      <c r="C132" s="2" t="s">
        <v>2128</v>
      </c>
      <c r="D132" s="2" t="s">
        <v>2129</v>
      </c>
      <c r="E132" s="4" t="s">
        <v>1333</v>
      </c>
      <c r="F132" s="2" t="s">
        <v>2370</v>
      </c>
      <c r="G132" s="2" t="s">
        <v>2371</v>
      </c>
      <c r="H132" s="2" t="s">
        <v>339</v>
      </c>
      <c r="I132" s="2" t="s">
        <v>773</v>
      </c>
      <c r="J132" s="2" t="s">
        <v>30</v>
      </c>
      <c r="K132" s="2" t="s">
        <v>30</v>
      </c>
      <c r="L132" s="2" t="s">
        <v>345</v>
      </c>
      <c r="M132" s="2" t="s">
        <v>65</v>
      </c>
      <c r="N132" s="2" t="s">
        <v>480</v>
      </c>
      <c r="O132" s="2" t="s">
        <v>159</v>
      </c>
      <c r="P132" s="2" t="s">
        <v>1968</v>
      </c>
      <c r="Q132" s="2" t="s">
        <v>431</v>
      </c>
      <c r="R132" s="2" t="s">
        <v>424</v>
      </c>
      <c r="S132" s="2" t="s">
        <v>44</v>
      </c>
      <c r="T132" s="155">
        <v>3.2370000000000001</v>
      </c>
      <c r="U132" s="2" t="s">
        <v>2372</v>
      </c>
      <c r="V132" s="166">
        <v>2.81E-2</v>
      </c>
      <c r="W132" s="168">
        <v>2.6769999999999999E-2</v>
      </c>
      <c r="X132" s="4" t="s">
        <v>430</v>
      </c>
      <c r="Y132" s="4" t="s">
        <v>159</v>
      </c>
      <c r="Z132" s="155">
        <v>2981250</v>
      </c>
      <c r="AA132" s="162">
        <v>1</v>
      </c>
      <c r="AB132" s="179">
        <v>117.18</v>
      </c>
      <c r="AD132" s="155">
        <v>3493.4290000000001</v>
      </c>
      <c r="AG132" s="2" t="s">
        <v>36</v>
      </c>
      <c r="AH132" s="168">
        <v>2.1649999999999998E-3</v>
      </c>
      <c r="AI132" s="168">
        <v>1.1359153446581401E-2</v>
      </c>
      <c r="AJ132" s="168">
        <v>1.4397876908465901E-3</v>
      </c>
    </row>
    <row r="133" spans="1:36">
      <c r="A133" s="2">
        <v>288</v>
      </c>
      <c r="B133" s="2">
        <v>288</v>
      </c>
      <c r="C133" s="2" t="s">
        <v>2137</v>
      </c>
      <c r="D133" s="2" t="s">
        <v>2138</v>
      </c>
      <c r="E133" s="4" t="s">
        <v>1333</v>
      </c>
      <c r="F133" s="2" t="s">
        <v>2145</v>
      </c>
      <c r="G133" s="2" t="s">
        <v>2146</v>
      </c>
      <c r="H133" s="2" t="s">
        <v>339</v>
      </c>
      <c r="I133" s="2" t="s">
        <v>986</v>
      </c>
      <c r="J133" s="2" t="s">
        <v>30</v>
      </c>
      <c r="K133" s="2" t="s">
        <v>30</v>
      </c>
      <c r="L133" s="2" t="s">
        <v>345</v>
      </c>
      <c r="M133" s="2" t="s">
        <v>41</v>
      </c>
      <c r="N133" s="2" t="s">
        <v>461</v>
      </c>
      <c r="O133" s="2" t="s">
        <v>159</v>
      </c>
      <c r="P133" s="2" t="s">
        <v>1956</v>
      </c>
      <c r="Q133" s="2" t="s">
        <v>431</v>
      </c>
      <c r="R133" s="2" t="s">
        <v>424</v>
      </c>
      <c r="S133" s="2" t="s">
        <v>44</v>
      </c>
      <c r="T133" s="155">
        <v>6.4870000000000001</v>
      </c>
      <c r="U133" s="2" t="s">
        <v>2147</v>
      </c>
      <c r="V133" s="166">
        <v>6.0699999999999997E-2</v>
      </c>
      <c r="W133" s="168">
        <v>5.4800000000000001E-2</v>
      </c>
      <c r="X133" s="4" t="s">
        <v>430</v>
      </c>
      <c r="Y133" s="4" t="s">
        <v>159</v>
      </c>
      <c r="Z133" s="155">
        <v>2000000</v>
      </c>
      <c r="AA133" s="162">
        <v>1</v>
      </c>
      <c r="AB133" s="179">
        <v>104.26</v>
      </c>
      <c r="AD133" s="155">
        <v>2085.1999999999998</v>
      </c>
      <c r="AG133" s="2" t="s">
        <v>36</v>
      </c>
      <c r="AH133" s="168">
        <v>4.4190000000000002E-3</v>
      </c>
      <c r="AI133" s="168">
        <v>6.7801888808556804E-3</v>
      </c>
      <c r="AJ133" s="168">
        <v>8.5939788895173896E-4</v>
      </c>
    </row>
    <row r="134" spans="1:36">
      <c r="A134" s="2">
        <v>288</v>
      </c>
      <c r="B134" s="2">
        <v>288</v>
      </c>
      <c r="C134" s="2" t="s">
        <v>2153</v>
      </c>
      <c r="D134" s="2" t="s">
        <v>2154</v>
      </c>
      <c r="E134" s="4" t="s">
        <v>1333</v>
      </c>
      <c r="F134" s="2" t="s">
        <v>2373</v>
      </c>
      <c r="G134" s="2" t="s">
        <v>2374</v>
      </c>
      <c r="H134" s="2" t="s">
        <v>339</v>
      </c>
      <c r="I134" s="2" t="s">
        <v>773</v>
      </c>
      <c r="J134" s="2" t="s">
        <v>30</v>
      </c>
      <c r="K134" s="2" t="s">
        <v>30</v>
      </c>
      <c r="L134" s="2" t="s">
        <v>345</v>
      </c>
      <c r="M134" s="2" t="s">
        <v>41</v>
      </c>
      <c r="N134" s="2" t="s">
        <v>464</v>
      </c>
      <c r="O134" s="2" t="s">
        <v>159</v>
      </c>
      <c r="P134" s="2" t="s">
        <v>132</v>
      </c>
      <c r="Q134" s="2" t="s">
        <v>431</v>
      </c>
      <c r="R134" s="2" t="s">
        <v>424</v>
      </c>
      <c r="S134" s="2" t="s">
        <v>44</v>
      </c>
      <c r="T134" s="155">
        <v>5.84</v>
      </c>
      <c r="U134" s="2" t="s">
        <v>2375</v>
      </c>
      <c r="V134" s="166">
        <v>2.6800000000000001E-2</v>
      </c>
      <c r="W134" s="168">
        <v>2.5520000000000001E-2</v>
      </c>
      <c r="X134" s="4" t="s">
        <v>430</v>
      </c>
      <c r="Y134" s="4" t="s">
        <v>159</v>
      </c>
      <c r="Z134" s="155">
        <v>3800000</v>
      </c>
      <c r="AA134" s="162">
        <v>1</v>
      </c>
      <c r="AB134" s="179">
        <v>100.6</v>
      </c>
      <c r="AD134" s="155">
        <v>3822.8</v>
      </c>
      <c r="AG134" s="2" t="s">
        <v>36</v>
      </c>
      <c r="AH134" s="168">
        <v>1.3569999999999999E-3</v>
      </c>
      <c r="AI134" s="168">
        <v>1.24301295097521E-2</v>
      </c>
      <c r="AJ134" s="168">
        <v>1.57553532029767E-3</v>
      </c>
    </row>
    <row r="135" spans="1:36">
      <c r="A135" s="2">
        <v>288</v>
      </c>
      <c r="B135" s="2">
        <v>288</v>
      </c>
      <c r="C135" s="2" t="s">
        <v>2153</v>
      </c>
      <c r="D135" s="2" t="s">
        <v>2154</v>
      </c>
      <c r="E135" s="4" t="s">
        <v>1333</v>
      </c>
      <c r="F135" s="2" t="s">
        <v>2376</v>
      </c>
      <c r="G135" s="2" t="s">
        <v>2377</v>
      </c>
      <c r="H135" s="2" t="s">
        <v>339</v>
      </c>
      <c r="I135" s="2" t="s">
        <v>773</v>
      </c>
      <c r="J135" s="2" t="s">
        <v>30</v>
      </c>
      <c r="K135" s="2" t="s">
        <v>30</v>
      </c>
      <c r="L135" s="2" t="s">
        <v>345</v>
      </c>
      <c r="M135" s="2" t="s">
        <v>65</v>
      </c>
      <c r="N135" s="2" t="s">
        <v>464</v>
      </c>
      <c r="O135" s="2" t="s">
        <v>159</v>
      </c>
      <c r="P135" s="2" t="s">
        <v>132</v>
      </c>
      <c r="Q135" s="2" t="s">
        <v>431</v>
      </c>
      <c r="R135" s="2" t="s">
        <v>424</v>
      </c>
      <c r="S135" s="2" t="s">
        <v>44</v>
      </c>
      <c r="T135" s="155">
        <v>3.177</v>
      </c>
      <c r="U135" s="2" t="s">
        <v>2378</v>
      </c>
      <c r="V135" s="166">
        <v>1E-3</v>
      </c>
      <c r="W135" s="168">
        <v>2.4199999999999999E-2</v>
      </c>
      <c r="X135" s="4" t="s">
        <v>430</v>
      </c>
      <c r="Y135" s="4" t="s">
        <v>159</v>
      </c>
      <c r="Z135" s="155">
        <v>1704430.48</v>
      </c>
      <c r="AA135" s="162">
        <v>1</v>
      </c>
      <c r="AB135" s="179">
        <v>103.37</v>
      </c>
      <c r="AD135" s="155">
        <v>1761.87</v>
      </c>
      <c r="AG135" s="2" t="s">
        <v>36</v>
      </c>
      <c r="AH135" s="168">
        <v>6.5499999999999998E-4</v>
      </c>
      <c r="AI135" s="168">
        <v>5.7288557167304299E-3</v>
      </c>
      <c r="AJ135" s="168">
        <v>7.2614002287881496E-4</v>
      </c>
    </row>
    <row r="136" spans="1:36">
      <c r="A136" s="2">
        <v>288</v>
      </c>
      <c r="B136" s="2">
        <v>288</v>
      </c>
      <c r="C136" s="2" t="s">
        <v>2178</v>
      </c>
      <c r="D136" s="2" t="s">
        <v>2179</v>
      </c>
      <c r="E136" s="4" t="s">
        <v>1333</v>
      </c>
      <c r="F136" s="2" t="s">
        <v>2379</v>
      </c>
      <c r="G136" s="2" t="s">
        <v>2380</v>
      </c>
      <c r="H136" s="2" t="s">
        <v>339</v>
      </c>
      <c r="I136" s="2" t="s">
        <v>773</v>
      </c>
      <c r="J136" s="2" t="s">
        <v>30</v>
      </c>
      <c r="K136" s="2" t="s">
        <v>30</v>
      </c>
      <c r="L136" s="2" t="s">
        <v>345</v>
      </c>
      <c r="M136" s="2" t="s">
        <v>65</v>
      </c>
      <c r="N136" s="2" t="s">
        <v>459</v>
      </c>
      <c r="O136" s="2" t="s">
        <v>159</v>
      </c>
      <c r="P136" s="2" t="s">
        <v>1956</v>
      </c>
      <c r="Q136" s="2" t="s">
        <v>433</v>
      </c>
      <c r="R136" s="2" t="s">
        <v>424</v>
      </c>
      <c r="S136" s="2" t="s">
        <v>44</v>
      </c>
      <c r="T136" s="155">
        <v>3.0070000000000001</v>
      </c>
      <c r="U136" s="2" t="s">
        <v>2381</v>
      </c>
      <c r="V136" s="166">
        <v>0.01</v>
      </c>
      <c r="W136" s="168">
        <v>3.0810000000000001E-2</v>
      </c>
      <c r="X136" s="4" t="s">
        <v>430</v>
      </c>
      <c r="Y136" s="4" t="s">
        <v>159</v>
      </c>
      <c r="Z136" s="155">
        <v>2790000</v>
      </c>
      <c r="AA136" s="162">
        <v>1</v>
      </c>
      <c r="AB136" s="179">
        <v>106.09</v>
      </c>
      <c r="AD136" s="155">
        <v>2959.9110000000001</v>
      </c>
      <c r="AG136" s="2" t="s">
        <v>36</v>
      </c>
      <c r="AH136" s="168">
        <v>1.433E-3</v>
      </c>
      <c r="AI136" s="168">
        <v>9.6243792684262593E-3</v>
      </c>
      <c r="AJ136" s="168">
        <v>1.2199027742590799E-3</v>
      </c>
    </row>
    <row r="137" spans="1:36">
      <c r="A137" s="2">
        <v>288</v>
      </c>
      <c r="B137" s="2">
        <v>288</v>
      </c>
      <c r="C137" s="2" t="s">
        <v>1675</v>
      </c>
      <c r="D137" s="2" t="s">
        <v>1676</v>
      </c>
      <c r="E137" s="4" t="s">
        <v>1333</v>
      </c>
      <c r="F137" s="2" t="s">
        <v>2382</v>
      </c>
      <c r="G137" s="2" t="s">
        <v>2383</v>
      </c>
      <c r="H137" s="2" t="s">
        <v>339</v>
      </c>
      <c r="I137" s="2" t="s">
        <v>773</v>
      </c>
      <c r="J137" s="2" t="s">
        <v>30</v>
      </c>
      <c r="K137" s="2" t="s">
        <v>30</v>
      </c>
      <c r="L137" s="2" t="s">
        <v>345</v>
      </c>
      <c r="M137" s="2" t="s">
        <v>65</v>
      </c>
      <c r="N137" s="2" t="s">
        <v>480</v>
      </c>
      <c r="O137" s="2" t="s">
        <v>159</v>
      </c>
      <c r="P137" s="2" t="s">
        <v>1968</v>
      </c>
      <c r="Q137" s="2" t="s">
        <v>431</v>
      </c>
      <c r="R137" s="2" t="s">
        <v>424</v>
      </c>
      <c r="S137" s="2" t="s">
        <v>44</v>
      </c>
      <c r="T137" s="155">
        <v>3.738</v>
      </c>
      <c r="U137" s="2" t="s">
        <v>2384</v>
      </c>
      <c r="V137" s="166">
        <v>2.2499999999999999E-2</v>
      </c>
      <c r="W137" s="168">
        <v>2.843E-2</v>
      </c>
      <c r="X137" s="4" t="s">
        <v>430</v>
      </c>
      <c r="Y137" s="4" t="s">
        <v>159</v>
      </c>
      <c r="Z137" s="155">
        <v>1668355.61</v>
      </c>
      <c r="AA137" s="162">
        <v>1</v>
      </c>
      <c r="AB137" s="179">
        <v>114.28</v>
      </c>
      <c r="AC137" s="155">
        <v>51.747999999999998</v>
      </c>
      <c r="AD137" s="155">
        <v>1958.345</v>
      </c>
      <c r="AG137" s="2" t="s">
        <v>36</v>
      </c>
      <c r="AH137" s="168">
        <v>9.4600000000000001E-4</v>
      </c>
      <c r="AI137" s="168">
        <v>6.3677097923348696E-3</v>
      </c>
      <c r="AJ137" s="168">
        <v>8.0711562010338299E-4</v>
      </c>
    </row>
    <row r="138" spans="1:36">
      <c r="A138" s="2">
        <v>288</v>
      </c>
      <c r="B138" s="2">
        <v>288</v>
      </c>
      <c r="C138" s="2" t="s">
        <v>2385</v>
      </c>
      <c r="D138" s="2" t="s">
        <v>2386</v>
      </c>
      <c r="E138" s="4" t="s">
        <v>1333</v>
      </c>
      <c r="F138" s="2" t="s">
        <v>2387</v>
      </c>
      <c r="G138" s="2" t="s">
        <v>2388</v>
      </c>
      <c r="H138" s="2" t="s">
        <v>339</v>
      </c>
      <c r="I138" s="2" t="s">
        <v>773</v>
      </c>
      <c r="J138" s="2" t="s">
        <v>30</v>
      </c>
      <c r="K138" s="2" t="s">
        <v>30</v>
      </c>
      <c r="L138" s="2" t="s">
        <v>345</v>
      </c>
      <c r="M138" s="2" t="s">
        <v>65</v>
      </c>
      <c r="N138" s="2" t="s">
        <v>494</v>
      </c>
      <c r="O138" s="2" t="s">
        <v>159</v>
      </c>
      <c r="P138" s="2" t="s">
        <v>132</v>
      </c>
      <c r="Q138" s="2" t="s">
        <v>431</v>
      </c>
      <c r="R138" s="2" t="s">
        <v>424</v>
      </c>
      <c r="S138" s="2" t="s">
        <v>44</v>
      </c>
      <c r="T138" s="155">
        <v>12.026999999999999</v>
      </c>
      <c r="U138" s="2" t="s">
        <v>2389</v>
      </c>
      <c r="V138" s="166">
        <v>2.07E-2</v>
      </c>
      <c r="W138" s="168">
        <v>2.8799999999999999E-2</v>
      </c>
      <c r="X138" s="4" t="s">
        <v>430</v>
      </c>
      <c r="Y138" s="4" t="s">
        <v>159</v>
      </c>
      <c r="Z138" s="155">
        <v>6262080.0999999996</v>
      </c>
      <c r="AA138" s="162">
        <v>1</v>
      </c>
      <c r="AB138" s="179">
        <v>103.14</v>
      </c>
      <c r="AD138" s="155">
        <v>6458.7089999999998</v>
      </c>
      <c r="AG138" s="2" t="s">
        <v>36</v>
      </c>
      <c r="AH138" s="168">
        <v>1.145E-3</v>
      </c>
      <c r="AI138" s="168">
        <v>2.10009925960148E-2</v>
      </c>
      <c r="AJ138" s="168">
        <v>2.6619035280663898E-3</v>
      </c>
    </row>
    <row r="139" spans="1:36">
      <c r="A139" s="2">
        <v>288</v>
      </c>
      <c r="B139" s="2">
        <v>288</v>
      </c>
      <c r="C139" s="2" t="s">
        <v>2200</v>
      </c>
      <c r="D139" s="2" t="s">
        <v>2201</v>
      </c>
      <c r="E139" s="4" t="s">
        <v>1333</v>
      </c>
      <c r="F139" s="2" t="s">
        <v>2390</v>
      </c>
      <c r="G139" s="2" t="s">
        <v>2391</v>
      </c>
      <c r="H139" s="2" t="s">
        <v>339</v>
      </c>
      <c r="I139" s="2" t="s">
        <v>986</v>
      </c>
      <c r="J139" s="2" t="s">
        <v>30</v>
      </c>
      <c r="K139" s="2" t="s">
        <v>30</v>
      </c>
      <c r="L139" s="2" t="s">
        <v>345</v>
      </c>
      <c r="M139" s="2" t="s">
        <v>41</v>
      </c>
      <c r="N139" s="2" t="s">
        <v>480</v>
      </c>
      <c r="O139" s="2" t="s">
        <v>159</v>
      </c>
      <c r="P139" s="2" t="s">
        <v>1956</v>
      </c>
      <c r="Q139" s="2" t="s">
        <v>431</v>
      </c>
      <c r="R139" s="2" t="s">
        <v>424</v>
      </c>
      <c r="S139" s="2" t="s">
        <v>44</v>
      </c>
      <c r="T139" s="155">
        <v>2.7490000000000001</v>
      </c>
      <c r="U139" s="2" t="s">
        <v>2392</v>
      </c>
      <c r="V139" s="166">
        <v>6.6299999999999998E-2</v>
      </c>
      <c r="W139" s="168">
        <v>5.4460000000000001E-2</v>
      </c>
      <c r="X139" s="4" t="s">
        <v>430</v>
      </c>
      <c r="Y139" s="4" t="s">
        <v>159</v>
      </c>
      <c r="Z139" s="155">
        <v>3488000</v>
      </c>
      <c r="AA139" s="162">
        <v>1</v>
      </c>
      <c r="AB139" s="179">
        <v>103.56</v>
      </c>
      <c r="AD139" s="155">
        <v>3612.1729999999998</v>
      </c>
      <c r="AG139" s="2" t="s">
        <v>36</v>
      </c>
      <c r="AH139" s="168">
        <v>2.6350000000000002E-3</v>
      </c>
      <c r="AI139" s="168">
        <v>1.1745258898086201E-2</v>
      </c>
      <c r="AJ139" s="168">
        <v>1.4887270663959801E-3</v>
      </c>
    </row>
    <row r="140" spans="1:36">
      <c r="A140" s="2">
        <v>288</v>
      </c>
      <c r="B140" s="2">
        <v>288</v>
      </c>
      <c r="C140" s="2" t="s">
        <v>1759</v>
      </c>
      <c r="D140" s="2" t="s">
        <v>1760</v>
      </c>
      <c r="E140" s="4" t="s">
        <v>1333</v>
      </c>
      <c r="F140" s="2" t="s">
        <v>2393</v>
      </c>
      <c r="G140" s="2" t="s">
        <v>2394</v>
      </c>
      <c r="H140" s="2" t="s">
        <v>339</v>
      </c>
      <c r="I140" s="2" t="s">
        <v>986</v>
      </c>
      <c r="J140" s="2" t="s">
        <v>30</v>
      </c>
      <c r="K140" s="2" t="s">
        <v>30</v>
      </c>
      <c r="L140" s="2" t="s">
        <v>345</v>
      </c>
      <c r="M140" s="2" t="s">
        <v>65</v>
      </c>
      <c r="N140" s="2" t="s">
        <v>501</v>
      </c>
      <c r="O140" s="2" t="s">
        <v>159</v>
      </c>
      <c r="P140" s="2" t="s">
        <v>1956</v>
      </c>
      <c r="Q140" s="2" t="s">
        <v>431</v>
      </c>
      <c r="R140" s="2" t="s">
        <v>424</v>
      </c>
      <c r="S140" s="2" t="s">
        <v>44</v>
      </c>
      <c r="T140" s="155">
        <v>2.0470000000000002</v>
      </c>
      <c r="U140" s="2" t="s">
        <v>2395</v>
      </c>
      <c r="V140" s="166">
        <v>2.5000000000000001E-2</v>
      </c>
      <c r="W140" s="168">
        <v>5.0500000000000003E-2</v>
      </c>
      <c r="X140" s="4" t="s">
        <v>430</v>
      </c>
      <c r="Y140" s="4" t="s">
        <v>159</v>
      </c>
      <c r="Z140" s="155">
        <v>1375000</v>
      </c>
      <c r="AA140" s="162">
        <v>1</v>
      </c>
      <c r="AB140" s="179">
        <v>95.04</v>
      </c>
      <c r="AC140" s="155">
        <v>418.75</v>
      </c>
      <c r="AD140" s="155">
        <v>1725.55</v>
      </c>
      <c r="AG140" s="2" t="s">
        <v>36</v>
      </c>
      <c r="AH140" s="168">
        <v>1.8799999999999999E-3</v>
      </c>
      <c r="AI140" s="168">
        <v>5.6107591230388099E-3</v>
      </c>
      <c r="AJ140" s="168">
        <v>7.1117112376782696E-4</v>
      </c>
    </row>
    <row r="141" spans="1:36">
      <c r="A141" s="2">
        <v>288</v>
      </c>
      <c r="B141" s="2">
        <v>288</v>
      </c>
      <c r="C141" s="2" t="s">
        <v>1695</v>
      </c>
      <c r="D141" s="2" t="s">
        <v>1696</v>
      </c>
      <c r="E141" s="4" t="s">
        <v>1333</v>
      </c>
      <c r="F141" s="2" t="s">
        <v>2216</v>
      </c>
      <c r="G141" s="2" t="s">
        <v>2217</v>
      </c>
      <c r="H141" s="2" t="s">
        <v>339</v>
      </c>
      <c r="I141" s="2" t="s">
        <v>773</v>
      </c>
      <c r="J141" s="2" t="s">
        <v>30</v>
      </c>
      <c r="K141" s="2" t="s">
        <v>30</v>
      </c>
      <c r="L141" s="2" t="s">
        <v>345</v>
      </c>
      <c r="M141" s="2" t="s">
        <v>65</v>
      </c>
      <c r="N141" s="2" t="s">
        <v>480</v>
      </c>
      <c r="O141" s="2" t="s">
        <v>159</v>
      </c>
      <c r="P141" s="2" t="s">
        <v>126</v>
      </c>
      <c r="Q141" s="2" t="s">
        <v>431</v>
      </c>
      <c r="R141" s="2" t="s">
        <v>424</v>
      </c>
      <c r="S141" s="2" t="s">
        <v>44</v>
      </c>
      <c r="T141" s="155">
        <v>2.9119999999999999</v>
      </c>
      <c r="U141" s="2" t="s">
        <v>2218</v>
      </c>
      <c r="V141" s="166">
        <v>1.34E-2</v>
      </c>
      <c r="W141" s="168">
        <v>2.5749999999999999E-2</v>
      </c>
      <c r="X141" s="4" t="s">
        <v>430</v>
      </c>
      <c r="Y141" s="4" t="s">
        <v>159</v>
      </c>
      <c r="Z141" s="155">
        <v>0.72</v>
      </c>
      <c r="AA141" s="162">
        <v>1</v>
      </c>
      <c r="AB141" s="179">
        <v>112.66</v>
      </c>
      <c r="AC141" s="155">
        <v>0</v>
      </c>
      <c r="AD141" s="155">
        <v>1E-3</v>
      </c>
      <c r="AG141" s="2" t="s">
        <v>36</v>
      </c>
      <c r="AH141" s="168">
        <v>0</v>
      </c>
      <c r="AI141" s="168">
        <v>2.93016534162712E-9</v>
      </c>
      <c r="AJ141" s="168">
        <v>3.7140232420134202E-10</v>
      </c>
    </row>
    <row r="142" spans="1:36">
      <c r="A142" s="2">
        <v>288</v>
      </c>
      <c r="B142" s="2">
        <v>288</v>
      </c>
      <c r="C142" s="2" t="s">
        <v>1695</v>
      </c>
      <c r="D142" s="2" t="s">
        <v>1696</v>
      </c>
      <c r="E142" s="4" t="s">
        <v>1333</v>
      </c>
      <c r="F142" s="2" t="s">
        <v>2396</v>
      </c>
      <c r="G142" s="2" t="s">
        <v>2397</v>
      </c>
      <c r="H142" s="2" t="s">
        <v>339</v>
      </c>
      <c r="I142" s="2" t="s">
        <v>773</v>
      </c>
      <c r="J142" s="2" t="s">
        <v>30</v>
      </c>
      <c r="K142" s="2" t="s">
        <v>30</v>
      </c>
      <c r="L142" s="2" t="s">
        <v>345</v>
      </c>
      <c r="M142" s="2" t="s">
        <v>65</v>
      </c>
      <c r="N142" s="2" t="s">
        <v>480</v>
      </c>
      <c r="O142" s="2" t="s">
        <v>159</v>
      </c>
      <c r="P142" s="2" t="s">
        <v>126</v>
      </c>
      <c r="Q142" s="2" t="s">
        <v>433</v>
      </c>
      <c r="R142" s="2" t="s">
        <v>424</v>
      </c>
      <c r="S142" s="2" t="s">
        <v>44</v>
      </c>
      <c r="T142" s="155">
        <v>5.2969999999999997</v>
      </c>
      <c r="U142" s="2" t="s">
        <v>2147</v>
      </c>
      <c r="V142" s="166">
        <v>2.4799999999999999E-2</v>
      </c>
      <c r="W142" s="168">
        <v>2.845E-2</v>
      </c>
      <c r="X142" s="4" t="s">
        <v>430</v>
      </c>
      <c r="Y142" s="4" t="s">
        <v>159</v>
      </c>
      <c r="Z142" s="155">
        <v>3500000</v>
      </c>
      <c r="AA142" s="162">
        <v>1</v>
      </c>
      <c r="AB142" s="179">
        <v>113.17</v>
      </c>
      <c r="AD142" s="155">
        <v>3960.95</v>
      </c>
      <c r="AG142" s="2" t="s">
        <v>36</v>
      </c>
      <c r="AH142" s="168">
        <v>1.062E-3</v>
      </c>
      <c r="AI142" s="168">
        <v>1.2879334906783699E-2</v>
      </c>
      <c r="AJ142" s="168">
        <v>1.63247269722012E-3</v>
      </c>
    </row>
    <row r="143" spans="1:36">
      <c r="A143" s="2">
        <v>288</v>
      </c>
      <c r="B143" s="2">
        <v>288</v>
      </c>
      <c r="C143" s="2" t="s">
        <v>1695</v>
      </c>
      <c r="D143" s="2" t="s">
        <v>1696</v>
      </c>
      <c r="E143" s="4" t="s">
        <v>1333</v>
      </c>
      <c r="F143" s="2" t="s">
        <v>2221</v>
      </c>
      <c r="G143" s="2" t="s">
        <v>2222</v>
      </c>
      <c r="H143" s="2" t="s">
        <v>339</v>
      </c>
      <c r="I143" s="2" t="s">
        <v>773</v>
      </c>
      <c r="J143" s="2" t="s">
        <v>30</v>
      </c>
      <c r="K143" s="2" t="s">
        <v>30</v>
      </c>
      <c r="L143" s="2" t="s">
        <v>345</v>
      </c>
      <c r="M143" s="2" t="s">
        <v>65</v>
      </c>
      <c r="N143" s="2" t="s">
        <v>480</v>
      </c>
      <c r="O143" s="2" t="s">
        <v>159</v>
      </c>
      <c r="P143" s="2" t="s">
        <v>126</v>
      </c>
      <c r="Q143" s="2" t="s">
        <v>431</v>
      </c>
      <c r="R143" s="2" t="s">
        <v>424</v>
      </c>
      <c r="S143" s="2" t="s">
        <v>44</v>
      </c>
      <c r="T143" s="155">
        <v>6.7249999999999996</v>
      </c>
      <c r="U143" s="2" t="s">
        <v>2223</v>
      </c>
      <c r="V143" s="166">
        <v>8.9999999999999993E-3</v>
      </c>
      <c r="W143" s="168">
        <v>2.9850000000000002E-2</v>
      </c>
      <c r="X143" s="4" t="s">
        <v>430</v>
      </c>
      <c r="Y143" s="4" t="s">
        <v>159</v>
      </c>
      <c r="Z143" s="155">
        <v>3500000</v>
      </c>
      <c r="AA143" s="162">
        <v>1</v>
      </c>
      <c r="AB143" s="179">
        <v>98.8</v>
      </c>
      <c r="AC143" s="155">
        <v>17.88</v>
      </c>
      <c r="AD143" s="155">
        <v>3475.88</v>
      </c>
      <c r="AG143" s="2" t="s">
        <v>36</v>
      </c>
      <c r="AH143" s="168">
        <v>1.2719999999999999E-3</v>
      </c>
      <c r="AI143" s="168">
        <v>1.13020923953541E-2</v>
      </c>
      <c r="AJ143" s="168">
        <v>1.4325551272959601E-3</v>
      </c>
    </row>
    <row r="144" spans="1:36">
      <c r="A144" s="2">
        <v>288</v>
      </c>
      <c r="B144" s="2">
        <v>288</v>
      </c>
      <c r="C144" s="2" t="s">
        <v>1699</v>
      </c>
      <c r="D144" s="2" t="s">
        <v>1700</v>
      </c>
      <c r="E144" s="4" t="s">
        <v>1333</v>
      </c>
      <c r="F144" s="2" t="s">
        <v>2224</v>
      </c>
      <c r="G144" s="2" t="s">
        <v>2225</v>
      </c>
      <c r="H144" s="2" t="s">
        <v>339</v>
      </c>
      <c r="I144" s="2" t="s">
        <v>986</v>
      </c>
      <c r="J144" s="2" t="s">
        <v>30</v>
      </c>
      <c r="K144" s="2" t="s">
        <v>30</v>
      </c>
      <c r="L144" s="2" t="s">
        <v>345</v>
      </c>
      <c r="M144" s="2" t="s">
        <v>65</v>
      </c>
      <c r="N144" s="2" t="s">
        <v>464</v>
      </c>
      <c r="O144" s="2" t="s">
        <v>159</v>
      </c>
      <c r="P144" s="2" t="s">
        <v>132</v>
      </c>
      <c r="Q144" s="2" t="s">
        <v>431</v>
      </c>
      <c r="R144" s="2" t="s">
        <v>424</v>
      </c>
      <c r="S144" s="2" t="s">
        <v>44</v>
      </c>
      <c r="T144" s="155">
        <v>3.665</v>
      </c>
      <c r="U144" s="2" t="s">
        <v>2226</v>
      </c>
      <c r="V144" s="166">
        <v>2.5000000000000001E-2</v>
      </c>
      <c r="W144" s="168">
        <v>4.5699999999999998E-2</v>
      </c>
      <c r="X144" s="4" t="s">
        <v>430</v>
      </c>
      <c r="Y144" s="4" t="s">
        <v>159</v>
      </c>
      <c r="Z144" s="155">
        <v>2901111.11</v>
      </c>
      <c r="AA144" s="162">
        <v>1</v>
      </c>
      <c r="AB144" s="179">
        <v>92.99</v>
      </c>
      <c r="AD144" s="155">
        <v>2697.7429999999999</v>
      </c>
      <c r="AG144" s="2" t="s">
        <v>36</v>
      </c>
      <c r="AH144" s="168">
        <v>1.4300000000000001E-3</v>
      </c>
      <c r="AI144" s="168">
        <v>8.7719204832675292E-3</v>
      </c>
      <c r="AJ144" s="168">
        <v>1.11185249818899E-3</v>
      </c>
    </row>
    <row r="145" spans="1:36">
      <c r="A145" s="2">
        <v>288</v>
      </c>
      <c r="B145" s="2">
        <v>288</v>
      </c>
      <c r="C145" s="2" t="s">
        <v>1699</v>
      </c>
      <c r="D145" s="2" t="s">
        <v>1700</v>
      </c>
      <c r="E145" s="4" t="s">
        <v>1333</v>
      </c>
      <c r="F145" s="2" t="s">
        <v>2227</v>
      </c>
      <c r="G145" s="2" t="s">
        <v>2228</v>
      </c>
      <c r="H145" s="2" t="s">
        <v>339</v>
      </c>
      <c r="I145" s="2" t="s">
        <v>773</v>
      </c>
      <c r="J145" s="2" t="s">
        <v>30</v>
      </c>
      <c r="K145" s="2" t="s">
        <v>30</v>
      </c>
      <c r="L145" s="2" t="s">
        <v>345</v>
      </c>
      <c r="M145" s="2" t="s">
        <v>65</v>
      </c>
      <c r="N145" s="2" t="s">
        <v>464</v>
      </c>
      <c r="O145" s="2" t="s">
        <v>159</v>
      </c>
      <c r="P145" s="2" t="s">
        <v>132</v>
      </c>
      <c r="Q145" s="2" t="s">
        <v>431</v>
      </c>
      <c r="R145" s="2" t="s">
        <v>424</v>
      </c>
      <c r="S145" s="2" t="s">
        <v>44</v>
      </c>
      <c r="T145" s="155">
        <v>3.839</v>
      </c>
      <c r="U145" s="2" t="s">
        <v>2226</v>
      </c>
      <c r="V145" s="166">
        <v>1E-3</v>
      </c>
      <c r="W145" s="168">
        <v>2.359E-2</v>
      </c>
      <c r="X145" s="4" t="s">
        <v>430</v>
      </c>
      <c r="Y145" s="4" t="s">
        <v>159</v>
      </c>
      <c r="Z145" s="155">
        <v>1400000</v>
      </c>
      <c r="AA145" s="162">
        <v>1</v>
      </c>
      <c r="AB145" s="179">
        <v>103.09</v>
      </c>
      <c r="AD145" s="155">
        <v>1443.26</v>
      </c>
      <c r="AG145" s="2" t="s">
        <v>36</v>
      </c>
      <c r="AH145" s="168">
        <v>1.423E-3</v>
      </c>
      <c r="AI145" s="168">
        <v>4.6928713812506096E-3</v>
      </c>
      <c r="AJ145" s="168">
        <v>5.94827641093654E-4</v>
      </c>
    </row>
    <row r="146" spans="1:36">
      <c r="A146" s="2">
        <v>288</v>
      </c>
      <c r="B146" s="2">
        <v>288</v>
      </c>
      <c r="C146" s="2" t="s">
        <v>1699</v>
      </c>
      <c r="D146" s="2" t="s">
        <v>1700</v>
      </c>
      <c r="E146" s="4" t="s">
        <v>1333</v>
      </c>
      <c r="F146" s="2" t="s">
        <v>2229</v>
      </c>
      <c r="G146" s="2" t="s">
        <v>2230</v>
      </c>
      <c r="H146" s="2" t="s">
        <v>339</v>
      </c>
      <c r="I146" s="2" t="s">
        <v>773</v>
      </c>
      <c r="J146" s="2" t="s">
        <v>30</v>
      </c>
      <c r="K146" s="2" t="s">
        <v>30</v>
      </c>
      <c r="L146" s="2" t="s">
        <v>345</v>
      </c>
      <c r="M146" s="2" t="s">
        <v>65</v>
      </c>
      <c r="N146" s="2" t="s">
        <v>464</v>
      </c>
      <c r="O146" s="2" t="s">
        <v>159</v>
      </c>
      <c r="P146" s="2" t="s">
        <v>132</v>
      </c>
      <c r="Q146" s="2" t="s">
        <v>431</v>
      </c>
      <c r="R146" s="2" t="s">
        <v>424</v>
      </c>
      <c r="S146" s="2" t="s">
        <v>44</v>
      </c>
      <c r="T146" s="155">
        <v>4.2240000000000002</v>
      </c>
      <c r="U146" s="2" t="s">
        <v>2231</v>
      </c>
      <c r="V146" s="166">
        <v>1.3899999999999999E-2</v>
      </c>
      <c r="W146" s="168">
        <v>2.298E-2</v>
      </c>
      <c r="X146" s="4" t="s">
        <v>430</v>
      </c>
      <c r="Y146" s="4" t="s">
        <v>159</v>
      </c>
      <c r="Z146" s="155">
        <v>2796800</v>
      </c>
      <c r="AA146" s="162">
        <v>1</v>
      </c>
      <c r="AB146" s="179">
        <v>103.13</v>
      </c>
      <c r="AD146" s="155">
        <v>2884.34</v>
      </c>
      <c r="AG146" s="2" t="s">
        <v>36</v>
      </c>
      <c r="AH146" s="168">
        <v>1.748E-3</v>
      </c>
      <c r="AI146" s="168">
        <v>9.3786538038447397E-3</v>
      </c>
      <c r="AJ146" s="168">
        <v>1.18875674732179E-3</v>
      </c>
    </row>
    <row r="147" spans="1:36">
      <c r="A147" s="2">
        <v>288</v>
      </c>
      <c r="B147" s="2">
        <v>288</v>
      </c>
      <c r="C147" s="2" t="s">
        <v>1763</v>
      </c>
      <c r="D147" s="2" t="s">
        <v>1764</v>
      </c>
      <c r="E147" s="4" t="s">
        <v>1333</v>
      </c>
      <c r="F147" s="2" t="s">
        <v>2398</v>
      </c>
      <c r="G147" s="2" t="s">
        <v>2399</v>
      </c>
      <c r="H147" s="2" t="s">
        <v>339</v>
      </c>
      <c r="I147" s="2" t="s">
        <v>986</v>
      </c>
      <c r="J147" s="2" t="s">
        <v>30</v>
      </c>
      <c r="K147" s="2" t="s">
        <v>30</v>
      </c>
      <c r="L147" s="2" t="s">
        <v>345</v>
      </c>
      <c r="M147" s="2" t="s">
        <v>65</v>
      </c>
      <c r="N147" s="2" t="s">
        <v>456</v>
      </c>
      <c r="O147" s="2" t="s">
        <v>159</v>
      </c>
      <c r="P147" s="2" t="s">
        <v>1979</v>
      </c>
      <c r="Q147" s="2" t="s">
        <v>431</v>
      </c>
      <c r="R147" s="2" t="s">
        <v>424</v>
      </c>
      <c r="S147" s="2" t="s">
        <v>44</v>
      </c>
      <c r="T147" s="155">
        <v>3.6059999999999999</v>
      </c>
      <c r="U147" s="2" t="s">
        <v>72</v>
      </c>
      <c r="V147" s="166">
        <v>2.4299999999999999E-2</v>
      </c>
      <c r="W147" s="168">
        <v>4.947E-2</v>
      </c>
      <c r="X147" s="4" t="s">
        <v>430</v>
      </c>
      <c r="Y147" s="4" t="s">
        <v>159</v>
      </c>
      <c r="Z147" s="155">
        <v>2000000</v>
      </c>
      <c r="AA147" s="162">
        <v>1</v>
      </c>
      <c r="AB147" s="179">
        <v>91.75</v>
      </c>
      <c r="AD147" s="155">
        <v>1835</v>
      </c>
      <c r="AG147" s="2" t="s">
        <v>36</v>
      </c>
      <c r="AH147" s="168">
        <v>1.366E-3</v>
      </c>
      <c r="AI147" s="168">
        <v>5.9666442530069896E-3</v>
      </c>
      <c r="AJ147" s="168">
        <v>7.5628003367851605E-4</v>
      </c>
    </row>
    <row r="148" spans="1:36">
      <c r="A148" s="2">
        <v>288</v>
      </c>
      <c r="B148" s="2">
        <v>288</v>
      </c>
      <c r="C148" s="2" t="s">
        <v>2400</v>
      </c>
      <c r="D148" s="2" t="s">
        <v>2401</v>
      </c>
      <c r="E148" s="4" t="s">
        <v>331</v>
      </c>
      <c r="F148" s="2" t="s">
        <v>2402</v>
      </c>
      <c r="G148" s="2" t="s">
        <v>2403</v>
      </c>
      <c r="H148" s="2" t="s">
        <v>339</v>
      </c>
      <c r="I148" s="2" t="s">
        <v>986</v>
      </c>
      <c r="J148" s="2" t="s">
        <v>30</v>
      </c>
      <c r="K148" s="2" t="s">
        <v>125</v>
      </c>
      <c r="L148" s="2" t="s">
        <v>345</v>
      </c>
      <c r="M148" s="2" t="s">
        <v>65</v>
      </c>
      <c r="N148" s="2" t="s">
        <v>481</v>
      </c>
      <c r="O148" s="2" t="s">
        <v>159</v>
      </c>
      <c r="P148" s="2" t="s">
        <v>1968</v>
      </c>
      <c r="Q148" s="2" t="s">
        <v>431</v>
      </c>
      <c r="R148" s="2" t="s">
        <v>424</v>
      </c>
      <c r="S148" s="2" t="s">
        <v>44</v>
      </c>
      <c r="T148" s="155">
        <v>1.429</v>
      </c>
      <c r="U148" s="2" t="s">
        <v>2073</v>
      </c>
      <c r="V148" s="166">
        <v>0.09</v>
      </c>
      <c r="W148" s="168">
        <v>5.4370000000000002E-2</v>
      </c>
      <c r="X148" s="4" t="s">
        <v>430</v>
      </c>
      <c r="Y148" s="4" t="s">
        <v>159</v>
      </c>
      <c r="Z148" s="155">
        <v>986111</v>
      </c>
      <c r="AA148" s="162">
        <v>1</v>
      </c>
      <c r="AB148" s="179">
        <v>105.21</v>
      </c>
      <c r="AD148" s="155">
        <v>1037.4870000000001</v>
      </c>
      <c r="AG148" s="2" t="s">
        <v>36</v>
      </c>
      <c r="AH148" s="168">
        <v>6.9439999999999997E-3</v>
      </c>
      <c r="AI148" s="168">
        <v>3.3734703716299099E-3</v>
      </c>
      <c r="AJ148" s="168">
        <v>4.2759182181575098E-4</v>
      </c>
    </row>
    <row r="149" spans="1:36">
      <c r="A149" s="2">
        <v>288</v>
      </c>
      <c r="B149" s="2">
        <v>288</v>
      </c>
      <c r="C149" s="2" t="s">
        <v>1715</v>
      </c>
      <c r="D149" s="2" t="s">
        <v>1716</v>
      </c>
      <c r="E149" s="4" t="s">
        <v>1333</v>
      </c>
      <c r="F149" s="2" t="s">
        <v>2404</v>
      </c>
      <c r="G149" s="2" t="s">
        <v>2405</v>
      </c>
      <c r="H149" s="2" t="s">
        <v>339</v>
      </c>
      <c r="I149" s="2" t="s">
        <v>986</v>
      </c>
      <c r="J149" s="2" t="s">
        <v>30</v>
      </c>
      <c r="K149" s="2" t="s">
        <v>30</v>
      </c>
      <c r="L149" s="2" t="s">
        <v>345</v>
      </c>
      <c r="M149" s="2" t="s">
        <v>65</v>
      </c>
      <c r="N149" s="2" t="s">
        <v>492</v>
      </c>
      <c r="O149" s="2" t="s">
        <v>159</v>
      </c>
      <c r="P149" s="2" t="s">
        <v>1968</v>
      </c>
      <c r="Q149" s="2" t="s">
        <v>431</v>
      </c>
      <c r="R149" s="2" t="s">
        <v>424</v>
      </c>
      <c r="S149" s="2" t="s">
        <v>44</v>
      </c>
      <c r="T149" s="155">
        <v>3.129</v>
      </c>
      <c r="U149" s="2" t="s">
        <v>2406</v>
      </c>
      <c r="V149" s="166">
        <v>3.5200000000000002E-2</v>
      </c>
      <c r="W149" s="168">
        <v>4.7440000000000003E-2</v>
      </c>
      <c r="X149" s="4" t="s">
        <v>430</v>
      </c>
      <c r="Y149" s="4" t="s">
        <v>159</v>
      </c>
      <c r="Z149" s="155">
        <v>1970463.69</v>
      </c>
      <c r="AA149" s="162">
        <v>1</v>
      </c>
      <c r="AB149" s="179">
        <v>97.69</v>
      </c>
      <c r="AD149" s="155">
        <v>1924.9459999999999</v>
      </c>
      <c r="AG149" s="2" t="s">
        <v>36</v>
      </c>
      <c r="AH149" s="168">
        <v>2.6189999999999998E-3</v>
      </c>
      <c r="AI149" s="168">
        <v>6.2591105512388202E-3</v>
      </c>
      <c r="AJ149" s="168">
        <v>7.93350522968225E-4</v>
      </c>
    </row>
    <row r="150" spans="1:36">
      <c r="A150" s="2">
        <v>288</v>
      </c>
      <c r="B150" s="2">
        <v>288</v>
      </c>
      <c r="C150" s="2" t="s">
        <v>1779</v>
      </c>
      <c r="D150" s="2" t="s">
        <v>1780</v>
      </c>
      <c r="E150" s="4" t="s">
        <v>1333</v>
      </c>
      <c r="F150" s="2" t="s">
        <v>2407</v>
      </c>
      <c r="G150" s="2" t="s">
        <v>2408</v>
      </c>
      <c r="H150" s="2" t="s">
        <v>339</v>
      </c>
      <c r="I150" s="2" t="s">
        <v>986</v>
      </c>
      <c r="J150" s="2" t="s">
        <v>30</v>
      </c>
      <c r="K150" s="2" t="s">
        <v>30</v>
      </c>
      <c r="L150" s="2" t="s">
        <v>345</v>
      </c>
      <c r="M150" s="2" t="s">
        <v>65</v>
      </c>
      <c r="N150" s="2" t="s">
        <v>475</v>
      </c>
      <c r="O150" s="2" t="s">
        <v>159</v>
      </c>
      <c r="P150" s="2" t="s">
        <v>126</v>
      </c>
      <c r="Q150" s="2" t="s">
        <v>431</v>
      </c>
      <c r="R150" s="2" t="s">
        <v>424</v>
      </c>
      <c r="S150" s="2" t="s">
        <v>44</v>
      </c>
      <c r="T150" s="155">
        <v>6.0880000000000001</v>
      </c>
      <c r="U150" s="2" t="s">
        <v>2409</v>
      </c>
      <c r="V150" s="166">
        <v>1.9E-2</v>
      </c>
      <c r="W150" s="168">
        <v>4.8800000000000003E-2</v>
      </c>
      <c r="X150" s="4" t="s">
        <v>430</v>
      </c>
      <c r="Y150" s="4" t="s">
        <v>159</v>
      </c>
      <c r="Z150" s="155">
        <v>3248050</v>
      </c>
      <c r="AA150" s="162">
        <v>1</v>
      </c>
      <c r="AB150" s="179">
        <v>83.51</v>
      </c>
      <c r="AD150" s="155">
        <v>2712.4470000000001</v>
      </c>
      <c r="AG150" s="2" t="s">
        <v>36</v>
      </c>
      <c r="AH150" s="168">
        <v>3.1800000000000001E-3</v>
      </c>
      <c r="AI150" s="168">
        <v>8.81972950898058E-3</v>
      </c>
      <c r="AJ150" s="168">
        <v>1.1179123552951401E-3</v>
      </c>
    </row>
    <row r="151" spans="1:36">
      <c r="A151" s="2">
        <v>288</v>
      </c>
      <c r="B151" s="2">
        <v>288</v>
      </c>
      <c r="C151" s="2" t="s">
        <v>2410</v>
      </c>
      <c r="D151" s="2" t="s">
        <v>2411</v>
      </c>
      <c r="E151" s="4" t="s">
        <v>1333</v>
      </c>
      <c r="F151" s="2" t="s">
        <v>2412</v>
      </c>
      <c r="G151" s="2" t="s">
        <v>2413</v>
      </c>
      <c r="H151" s="2" t="s">
        <v>339</v>
      </c>
      <c r="I151" s="2" t="s">
        <v>986</v>
      </c>
      <c r="J151" s="2" t="s">
        <v>30</v>
      </c>
      <c r="K151" s="2" t="s">
        <v>30</v>
      </c>
      <c r="L151" s="2" t="s">
        <v>345</v>
      </c>
      <c r="M151" s="2" t="s">
        <v>65</v>
      </c>
      <c r="N151" s="2" t="s">
        <v>463</v>
      </c>
      <c r="O151" s="2" t="s">
        <v>159</v>
      </c>
      <c r="P151" s="2" t="s">
        <v>1997</v>
      </c>
      <c r="Q151" s="2" t="s">
        <v>431</v>
      </c>
      <c r="R151" s="2" t="s">
        <v>424</v>
      </c>
      <c r="S151" s="2" t="s">
        <v>44</v>
      </c>
      <c r="T151" s="155">
        <v>3.0979999999999999</v>
      </c>
      <c r="U151" s="2" t="s">
        <v>2414</v>
      </c>
      <c r="V151" s="166">
        <v>2.8000000000000001E-2</v>
      </c>
      <c r="W151" s="168">
        <v>5.6750000000000002E-2</v>
      </c>
      <c r="X151" s="4" t="s">
        <v>430</v>
      </c>
      <c r="Y151" s="4" t="s">
        <v>159</v>
      </c>
      <c r="Z151" s="155">
        <v>1869528</v>
      </c>
      <c r="AA151" s="162">
        <v>1</v>
      </c>
      <c r="AB151" s="179">
        <v>92.22</v>
      </c>
      <c r="AD151" s="155">
        <v>1724.079</v>
      </c>
      <c r="AG151" s="2" t="s">
        <v>36</v>
      </c>
      <c r="AH151" s="168">
        <v>1.5219999999999999E-3</v>
      </c>
      <c r="AI151" s="168">
        <v>5.6059751476655499E-3</v>
      </c>
      <c r="AJ151" s="168">
        <v>7.1056474857550996E-4</v>
      </c>
    </row>
    <row r="152" spans="1:36">
      <c r="A152" s="2">
        <v>288</v>
      </c>
      <c r="B152" s="2">
        <v>288</v>
      </c>
      <c r="C152" s="2" t="s">
        <v>2410</v>
      </c>
      <c r="D152" s="2" t="s">
        <v>2411</v>
      </c>
      <c r="E152" s="4" t="s">
        <v>1333</v>
      </c>
      <c r="F152" s="2" t="s">
        <v>2415</v>
      </c>
      <c r="G152" s="2" t="s">
        <v>2416</v>
      </c>
      <c r="H152" s="2" t="s">
        <v>339</v>
      </c>
      <c r="I152" s="2" t="s">
        <v>773</v>
      </c>
      <c r="J152" s="2" t="s">
        <v>30</v>
      </c>
      <c r="K152" s="2" t="s">
        <v>30</v>
      </c>
      <c r="L152" s="2" t="s">
        <v>345</v>
      </c>
      <c r="M152" s="2" t="s">
        <v>65</v>
      </c>
      <c r="N152" s="2" t="s">
        <v>463</v>
      </c>
      <c r="O152" s="2" t="s">
        <v>159</v>
      </c>
      <c r="P152" s="2" t="s">
        <v>1997</v>
      </c>
      <c r="Q152" s="2" t="s">
        <v>431</v>
      </c>
      <c r="R152" s="2" t="s">
        <v>424</v>
      </c>
      <c r="S152" s="2" t="s">
        <v>44</v>
      </c>
      <c r="T152" s="155">
        <v>2.605</v>
      </c>
      <c r="U152" s="2" t="s">
        <v>2417</v>
      </c>
      <c r="V152" s="166">
        <v>3.9E-2</v>
      </c>
      <c r="W152" s="168">
        <v>3.1539999999999999E-2</v>
      </c>
      <c r="X152" s="4" t="s">
        <v>430</v>
      </c>
      <c r="Y152" s="4" t="s">
        <v>159</v>
      </c>
      <c r="Z152" s="155">
        <v>1264448.6599999999</v>
      </c>
      <c r="AA152" s="162">
        <v>1</v>
      </c>
      <c r="AB152" s="179">
        <v>118.87</v>
      </c>
      <c r="AD152" s="155">
        <v>1503.05</v>
      </c>
      <c r="AG152" s="2" t="s">
        <v>36</v>
      </c>
      <c r="AH152" s="168">
        <v>8.8699999999999998E-4</v>
      </c>
      <c r="AI152" s="168">
        <v>4.8872835821580501E-3</v>
      </c>
      <c r="AJ152" s="168">
        <v>6.1946964413844602E-4</v>
      </c>
    </row>
    <row r="153" spans="1:36">
      <c r="A153" s="2">
        <v>288</v>
      </c>
      <c r="B153" s="2">
        <v>288</v>
      </c>
      <c r="C153" s="2" t="s">
        <v>2271</v>
      </c>
      <c r="D153" s="2" t="s">
        <v>2272</v>
      </c>
      <c r="E153" s="4" t="s">
        <v>1333</v>
      </c>
      <c r="F153" s="2" t="s">
        <v>2273</v>
      </c>
      <c r="G153" s="2" t="s">
        <v>2274</v>
      </c>
      <c r="H153" s="2" t="s">
        <v>339</v>
      </c>
      <c r="I153" s="2" t="s">
        <v>986</v>
      </c>
      <c r="J153" s="2" t="s">
        <v>30</v>
      </c>
      <c r="K153" s="2" t="s">
        <v>30</v>
      </c>
      <c r="L153" s="2" t="s">
        <v>345</v>
      </c>
      <c r="M153" s="2" t="s">
        <v>65</v>
      </c>
      <c r="N153" s="2" t="s">
        <v>456</v>
      </c>
      <c r="O153" s="2" t="s">
        <v>159</v>
      </c>
      <c r="P153" s="2" t="s">
        <v>1962</v>
      </c>
      <c r="Q153" s="2" t="s">
        <v>433</v>
      </c>
      <c r="R153" s="2" t="s">
        <v>424</v>
      </c>
      <c r="S153" s="2" t="s">
        <v>44</v>
      </c>
      <c r="T153" s="155">
        <v>4.202</v>
      </c>
      <c r="U153" s="2" t="s">
        <v>2275</v>
      </c>
      <c r="V153" s="166">
        <v>6.7699999999999996E-2</v>
      </c>
      <c r="W153" s="168">
        <v>5.5649999999999998E-2</v>
      </c>
      <c r="X153" s="4" t="s">
        <v>430</v>
      </c>
      <c r="Y153" s="4" t="s">
        <v>159</v>
      </c>
      <c r="Z153" s="155">
        <v>2000000</v>
      </c>
      <c r="AA153" s="162">
        <v>1</v>
      </c>
      <c r="AB153" s="179">
        <v>105.34</v>
      </c>
      <c r="AD153" s="155">
        <v>2106.8000000000002</v>
      </c>
      <c r="AG153" s="2" t="s">
        <v>36</v>
      </c>
      <c r="AH153" s="168">
        <v>2.6670000000000001E-3</v>
      </c>
      <c r="AI153" s="168">
        <v>6.8504229494469396E-3</v>
      </c>
      <c r="AJ153" s="168">
        <v>8.6830014983863598E-4</v>
      </c>
    </row>
    <row r="154" spans="1:36">
      <c r="A154" s="2">
        <v>288</v>
      </c>
      <c r="B154" s="2">
        <v>288</v>
      </c>
      <c r="C154" s="2" t="s">
        <v>2418</v>
      </c>
      <c r="D154" s="2" t="s">
        <v>2419</v>
      </c>
      <c r="E154" s="4" t="s">
        <v>332</v>
      </c>
      <c r="F154" s="2" t="s">
        <v>2420</v>
      </c>
      <c r="G154" s="2" t="s">
        <v>2421</v>
      </c>
      <c r="H154" s="2" t="s">
        <v>339</v>
      </c>
      <c r="I154" s="2" t="s">
        <v>774</v>
      </c>
      <c r="J154" s="2" t="s">
        <v>124</v>
      </c>
      <c r="K154" s="2" t="s">
        <v>125</v>
      </c>
      <c r="L154" s="2" t="s">
        <v>345</v>
      </c>
      <c r="M154" s="2" t="s">
        <v>31</v>
      </c>
      <c r="N154" s="2" t="s">
        <v>553</v>
      </c>
      <c r="O154" s="2" t="s">
        <v>159</v>
      </c>
      <c r="P154" s="2" t="s">
        <v>1962</v>
      </c>
      <c r="Q154" s="2" t="s">
        <v>449</v>
      </c>
      <c r="R154" s="2" t="s">
        <v>424</v>
      </c>
      <c r="S154" s="2" t="s">
        <v>34</v>
      </c>
      <c r="T154" s="155">
        <v>4.5629999999999997</v>
      </c>
      <c r="U154" s="2" t="s">
        <v>2422</v>
      </c>
      <c r="V154" s="166">
        <v>2.8840000000000001E-2</v>
      </c>
      <c r="W154" s="168">
        <v>5.2690000000000001E-2</v>
      </c>
      <c r="X154" s="4" t="s">
        <v>430</v>
      </c>
      <c r="Y154" s="4" t="s">
        <v>159</v>
      </c>
      <c r="Z154" s="155">
        <v>300000</v>
      </c>
      <c r="AA154" s="162">
        <v>3.6469999999999998</v>
      </c>
      <c r="AB154" s="179">
        <v>91.007000000000005</v>
      </c>
      <c r="AD154" s="155">
        <v>995.70500000000004</v>
      </c>
      <c r="AG154" s="2" t="s">
        <v>36</v>
      </c>
      <c r="AH154" s="168">
        <v>1.4999999999999999E-4</v>
      </c>
      <c r="AI154" s="168">
        <v>3.2376130220370899E-3</v>
      </c>
      <c r="AJ154" s="168">
        <v>4.1037172345413799E-4</v>
      </c>
    </row>
    <row r="155" spans="1:36">
      <c r="A155" s="2">
        <v>288</v>
      </c>
      <c r="B155" s="2">
        <v>288</v>
      </c>
      <c r="C155" s="2" t="s">
        <v>1632</v>
      </c>
      <c r="D155" s="2" t="s">
        <v>1633</v>
      </c>
      <c r="E155" s="4" t="s">
        <v>1333</v>
      </c>
      <c r="F155" s="2" t="s">
        <v>2423</v>
      </c>
      <c r="G155" s="2" t="s">
        <v>2424</v>
      </c>
      <c r="H155" s="2" t="s">
        <v>339</v>
      </c>
      <c r="I155" s="2" t="s">
        <v>774</v>
      </c>
      <c r="J155" s="2" t="s">
        <v>30</v>
      </c>
      <c r="K155" s="2" t="s">
        <v>30</v>
      </c>
      <c r="L155" s="2" t="s">
        <v>345</v>
      </c>
      <c r="M155" s="2" t="s">
        <v>65</v>
      </c>
      <c r="N155" s="2" t="s">
        <v>553</v>
      </c>
      <c r="O155" s="2" t="s">
        <v>159</v>
      </c>
      <c r="P155" s="2" t="s">
        <v>32</v>
      </c>
      <c r="Q155" s="2" t="s">
        <v>33</v>
      </c>
      <c r="R155" s="2" t="s">
        <v>424</v>
      </c>
      <c r="S155" s="2" t="s">
        <v>34</v>
      </c>
      <c r="T155" s="155">
        <v>2.8</v>
      </c>
      <c r="U155" s="2" t="s">
        <v>2425</v>
      </c>
      <c r="V155" s="166">
        <v>5.3749999999999999E-2</v>
      </c>
      <c r="W155" s="168">
        <v>5.6779999999999997E-2</v>
      </c>
      <c r="X155" s="4" t="s">
        <v>430</v>
      </c>
      <c r="Y155" s="4" t="s">
        <v>159</v>
      </c>
      <c r="Z155" s="155">
        <v>400000</v>
      </c>
      <c r="AA155" s="162">
        <v>3.6469999999999998</v>
      </c>
      <c r="AB155" s="179">
        <v>101.682</v>
      </c>
      <c r="AD155" s="155">
        <v>1483.34</v>
      </c>
      <c r="AG155" s="2" t="s">
        <v>36</v>
      </c>
      <c r="AH155" s="168">
        <v>5.0000000000000001E-4</v>
      </c>
      <c r="AI155" s="168">
        <v>4.8231943815096497E-3</v>
      </c>
      <c r="AJ155" s="168">
        <v>6.1134625337313099E-4</v>
      </c>
    </row>
    <row r="156" spans="1:36">
      <c r="A156" s="2">
        <v>288</v>
      </c>
      <c r="B156" s="2">
        <v>288</v>
      </c>
      <c r="C156" s="2" t="s">
        <v>2426</v>
      </c>
      <c r="D156" s="2" t="s">
        <v>1906</v>
      </c>
      <c r="E156" s="4" t="s">
        <v>332</v>
      </c>
      <c r="F156" s="2" t="s">
        <v>2427</v>
      </c>
      <c r="G156" s="2" t="s">
        <v>2428</v>
      </c>
      <c r="H156" s="2" t="s">
        <v>339</v>
      </c>
      <c r="I156" s="2" t="s">
        <v>774</v>
      </c>
      <c r="J156" s="2" t="s">
        <v>124</v>
      </c>
      <c r="K156" s="2" t="s">
        <v>125</v>
      </c>
      <c r="L156" s="2" t="s">
        <v>345</v>
      </c>
      <c r="M156" s="2" t="s">
        <v>31</v>
      </c>
      <c r="N156" s="2" t="s">
        <v>1821</v>
      </c>
      <c r="O156" s="2" t="s">
        <v>159</v>
      </c>
      <c r="P156" s="2" t="s">
        <v>1962</v>
      </c>
      <c r="Q156" s="2" t="s">
        <v>449</v>
      </c>
      <c r="R156" s="2" t="s">
        <v>424</v>
      </c>
      <c r="S156" s="2" t="s">
        <v>34</v>
      </c>
      <c r="T156" s="155">
        <v>0</v>
      </c>
      <c r="U156" s="2" t="s">
        <v>2429</v>
      </c>
      <c r="V156" s="166">
        <v>4.4929999999999998E-2</v>
      </c>
      <c r="W156" s="168">
        <v>0</v>
      </c>
      <c r="X156" s="4" t="s">
        <v>430</v>
      </c>
      <c r="Y156" s="4" t="s">
        <v>159</v>
      </c>
      <c r="Z156" s="155">
        <v>300000</v>
      </c>
      <c r="AA156" s="162">
        <v>3.6469999999999998</v>
      </c>
      <c r="AB156" s="179">
        <v>98.731999999999999</v>
      </c>
      <c r="AD156" s="155">
        <v>1080.2280000000001</v>
      </c>
      <c r="AG156" s="2" t="s">
        <v>36</v>
      </c>
      <c r="AH156" s="168">
        <v>0</v>
      </c>
      <c r="AI156" s="168">
        <v>3.5124444838525001E-3</v>
      </c>
      <c r="AJ156" s="168">
        <v>4.4520697395410402E-4</v>
      </c>
    </row>
    <row r="157" spans="1:36">
      <c r="A157" s="2">
        <v>288</v>
      </c>
      <c r="B157" s="2">
        <v>1451</v>
      </c>
      <c r="C157" s="2" t="s">
        <v>1952</v>
      </c>
      <c r="D157" s="2" t="s">
        <v>1953</v>
      </c>
      <c r="E157" s="4" t="s">
        <v>1333</v>
      </c>
      <c r="F157" s="2" t="s">
        <v>1954</v>
      </c>
      <c r="G157" s="2" t="s">
        <v>1955</v>
      </c>
      <c r="H157" s="2" t="s">
        <v>339</v>
      </c>
      <c r="I157" s="2" t="s">
        <v>774</v>
      </c>
      <c r="J157" s="2" t="s">
        <v>30</v>
      </c>
      <c r="K157" s="2" t="s">
        <v>30</v>
      </c>
      <c r="L157" s="2" t="s">
        <v>345</v>
      </c>
      <c r="M157" s="2" t="s">
        <v>65</v>
      </c>
      <c r="N157" s="2" t="s">
        <v>482</v>
      </c>
      <c r="O157" s="2" t="s">
        <v>159</v>
      </c>
      <c r="P157" s="2" t="s">
        <v>1956</v>
      </c>
      <c r="Q157" s="2" t="s">
        <v>431</v>
      </c>
      <c r="R157" s="2" t="s">
        <v>424</v>
      </c>
      <c r="S157" s="2" t="s">
        <v>44</v>
      </c>
      <c r="T157" s="155">
        <v>0.98499999999999999</v>
      </c>
      <c r="U157" s="2" t="s">
        <v>1957</v>
      </c>
      <c r="V157" s="166">
        <v>3.9E-2</v>
      </c>
      <c r="W157" s="168">
        <v>6.3500000000000001E-2</v>
      </c>
      <c r="X157" s="4" t="s">
        <v>430</v>
      </c>
      <c r="Y157" s="4" t="s">
        <v>159</v>
      </c>
      <c r="Z157" s="155">
        <v>16600</v>
      </c>
      <c r="AA157" s="162">
        <v>1</v>
      </c>
      <c r="AB157" s="179">
        <v>97.45</v>
      </c>
      <c r="AD157" s="155">
        <v>16.177</v>
      </c>
      <c r="AG157" s="2" t="s">
        <v>36</v>
      </c>
      <c r="AH157" s="168">
        <v>2.1100000000000001E-4</v>
      </c>
      <c r="AI157" s="168">
        <v>1.2278504771833501E-3</v>
      </c>
      <c r="AJ157" s="168">
        <v>3.17626500660235E-4</v>
      </c>
    </row>
    <row r="158" spans="1:36">
      <c r="A158" s="2">
        <v>288</v>
      </c>
      <c r="B158" s="2">
        <v>1451</v>
      </c>
      <c r="C158" s="2" t="s">
        <v>1958</v>
      </c>
      <c r="D158" s="2" t="s">
        <v>1959</v>
      </c>
      <c r="E158" s="4" t="s">
        <v>331</v>
      </c>
      <c r="F158" s="2" t="s">
        <v>1960</v>
      </c>
      <c r="G158" s="2" t="s">
        <v>1961</v>
      </c>
      <c r="H158" s="2" t="s">
        <v>339</v>
      </c>
      <c r="I158" s="2" t="s">
        <v>986</v>
      </c>
      <c r="J158" s="2" t="s">
        <v>30</v>
      </c>
      <c r="K158" s="2" t="s">
        <v>30</v>
      </c>
      <c r="L158" s="2" t="s">
        <v>347</v>
      </c>
      <c r="M158" s="2" t="s">
        <v>65</v>
      </c>
      <c r="N158" s="2" t="s">
        <v>481</v>
      </c>
      <c r="O158" s="2" t="s">
        <v>159</v>
      </c>
      <c r="P158" s="2" t="s">
        <v>1962</v>
      </c>
      <c r="Q158" s="2" t="s">
        <v>433</v>
      </c>
      <c r="R158" s="2" t="s">
        <v>424</v>
      </c>
      <c r="S158" s="2" t="s">
        <v>44</v>
      </c>
      <c r="T158" s="155">
        <v>0.69</v>
      </c>
      <c r="U158" s="2" t="s">
        <v>1963</v>
      </c>
      <c r="V158" s="166">
        <v>7.0000000000000007E-2</v>
      </c>
      <c r="W158" s="168">
        <v>1.814E-2</v>
      </c>
      <c r="X158" s="4" t="s">
        <v>429</v>
      </c>
      <c r="Y158" s="4" t="s">
        <v>159</v>
      </c>
      <c r="Z158" s="155">
        <v>13049.2</v>
      </c>
      <c r="AA158" s="162">
        <v>1</v>
      </c>
      <c r="AB158" s="179">
        <v>0.92</v>
      </c>
      <c r="AD158" s="155">
        <v>0.12</v>
      </c>
      <c r="AG158" s="2" t="s">
        <v>36</v>
      </c>
      <c r="AH158" s="168">
        <v>0</v>
      </c>
      <c r="AI158" s="168">
        <v>9.1122844159266404E-6</v>
      </c>
      <c r="AJ158" s="168">
        <v>2.3572112939117999E-6</v>
      </c>
    </row>
    <row r="159" spans="1:36">
      <c r="A159" s="2">
        <v>288</v>
      </c>
      <c r="B159" s="2">
        <v>1451</v>
      </c>
      <c r="C159" s="2" t="s">
        <v>1964</v>
      </c>
      <c r="D159" s="2" t="s">
        <v>1965</v>
      </c>
      <c r="E159" s="4" t="s">
        <v>1333</v>
      </c>
      <c r="F159" s="2" t="s">
        <v>1966</v>
      </c>
      <c r="G159" s="2" t="s">
        <v>1967</v>
      </c>
      <c r="H159" s="2" t="s">
        <v>339</v>
      </c>
      <c r="I159" s="2" t="s">
        <v>773</v>
      </c>
      <c r="J159" s="2" t="s">
        <v>30</v>
      </c>
      <c r="K159" s="2" t="s">
        <v>30</v>
      </c>
      <c r="L159" s="2" t="s">
        <v>345</v>
      </c>
      <c r="M159" s="2" t="s">
        <v>65</v>
      </c>
      <c r="N159" s="2" t="s">
        <v>480</v>
      </c>
      <c r="O159" s="2" t="s">
        <v>159</v>
      </c>
      <c r="P159" s="2" t="s">
        <v>1968</v>
      </c>
      <c r="Q159" s="2" t="s">
        <v>431</v>
      </c>
      <c r="R159" s="2" t="s">
        <v>424</v>
      </c>
      <c r="S159" s="2" t="s">
        <v>44</v>
      </c>
      <c r="T159" s="155">
        <v>1.9319999999999999</v>
      </c>
      <c r="U159" s="2" t="s">
        <v>114</v>
      </c>
      <c r="V159" s="166">
        <v>2.3400000000000001E-2</v>
      </c>
      <c r="W159" s="168">
        <v>2.674E-2</v>
      </c>
      <c r="X159" s="4" t="s">
        <v>430</v>
      </c>
      <c r="Y159" s="4" t="s">
        <v>159</v>
      </c>
      <c r="Z159" s="155">
        <v>221982</v>
      </c>
      <c r="AA159" s="162">
        <v>1</v>
      </c>
      <c r="AB159" s="179">
        <v>116.51</v>
      </c>
      <c r="AD159" s="155">
        <v>258.63099999999997</v>
      </c>
      <c r="AG159" s="2" t="s">
        <v>36</v>
      </c>
      <c r="AH159" s="168">
        <v>1.05E-4</v>
      </c>
      <c r="AI159" s="168">
        <v>1.9630732903489899E-2</v>
      </c>
      <c r="AJ159" s="168">
        <v>5.0781761406606301E-3</v>
      </c>
    </row>
    <row r="160" spans="1:36">
      <c r="A160" s="2">
        <v>288</v>
      </c>
      <c r="B160" s="2">
        <v>1451</v>
      </c>
      <c r="C160" s="2" t="s">
        <v>1964</v>
      </c>
      <c r="D160" s="2" t="s">
        <v>1965</v>
      </c>
      <c r="E160" s="4" t="s">
        <v>1333</v>
      </c>
      <c r="F160" s="2" t="s">
        <v>1969</v>
      </c>
      <c r="G160" s="2" t="s">
        <v>1970</v>
      </c>
      <c r="H160" s="2" t="s">
        <v>339</v>
      </c>
      <c r="I160" s="2" t="s">
        <v>986</v>
      </c>
      <c r="J160" s="2" t="s">
        <v>30</v>
      </c>
      <c r="K160" s="2" t="s">
        <v>30</v>
      </c>
      <c r="L160" s="2" t="s">
        <v>345</v>
      </c>
      <c r="M160" s="2" t="s">
        <v>65</v>
      </c>
      <c r="N160" s="2" t="s">
        <v>480</v>
      </c>
      <c r="O160" s="2" t="s">
        <v>159</v>
      </c>
      <c r="P160" s="2" t="s">
        <v>1968</v>
      </c>
      <c r="Q160" s="2" t="s">
        <v>431</v>
      </c>
      <c r="R160" s="2" t="s">
        <v>424</v>
      </c>
      <c r="S160" s="2" t="s">
        <v>44</v>
      </c>
      <c r="T160" s="155">
        <v>2.5049999999999999</v>
      </c>
      <c r="U160" s="2" t="s">
        <v>1971</v>
      </c>
      <c r="V160" s="166">
        <v>0.05</v>
      </c>
      <c r="W160" s="168">
        <v>4.9320000000000003E-2</v>
      </c>
      <c r="X160" s="4" t="s">
        <v>430</v>
      </c>
      <c r="Y160" s="4" t="s">
        <v>159</v>
      </c>
      <c r="Z160" s="155">
        <v>250000</v>
      </c>
      <c r="AA160" s="162">
        <v>1</v>
      </c>
      <c r="AB160" s="179">
        <v>101.17</v>
      </c>
      <c r="AD160" s="155">
        <v>252.92500000000001</v>
      </c>
      <c r="AG160" s="2" t="s">
        <v>36</v>
      </c>
      <c r="AH160" s="168">
        <v>6.2500000000000001E-4</v>
      </c>
      <c r="AI160" s="168">
        <v>1.9197616444738299E-2</v>
      </c>
      <c r="AJ160" s="168">
        <v>4.9661354095390303E-3</v>
      </c>
    </row>
    <row r="161" spans="1:36">
      <c r="A161" s="2">
        <v>288</v>
      </c>
      <c r="B161" s="2">
        <v>1451</v>
      </c>
      <c r="C161" s="2" t="s">
        <v>2298</v>
      </c>
      <c r="D161" s="2" t="s">
        <v>2299</v>
      </c>
      <c r="E161" s="4" t="s">
        <v>1333</v>
      </c>
      <c r="F161" s="2" t="s">
        <v>2430</v>
      </c>
      <c r="G161" s="2" t="s">
        <v>2431</v>
      </c>
      <c r="H161" s="2" t="s">
        <v>339</v>
      </c>
      <c r="I161" s="2" t="s">
        <v>773</v>
      </c>
      <c r="J161" s="2" t="s">
        <v>30</v>
      </c>
      <c r="K161" s="2" t="s">
        <v>30</v>
      </c>
      <c r="L161" s="2" t="s">
        <v>345</v>
      </c>
      <c r="M161" s="2" t="s">
        <v>65</v>
      </c>
      <c r="N161" s="2" t="s">
        <v>494</v>
      </c>
      <c r="O161" s="2" t="s">
        <v>159</v>
      </c>
      <c r="P161" s="2" t="s">
        <v>1956</v>
      </c>
      <c r="Q161" s="2" t="s">
        <v>431</v>
      </c>
      <c r="R161" s="2" t="s">
        <v>424</v>
      </c>
      <c r="S161" s="2" t="s">
        <v>44</v>
      </c>
      <c r="T161" s="155">
        <v>1.681</v>
      </c>
      <c r="U161" s="2" t="s">
        <v>2432</v>
      </c>
      <c r="V161" s="166">
        <v>3.2000000000000001E-2</v>
      </c>
      <c r="W161" s="168">
        <v>3.1660000000000001E-2</v>
      </c>
      <c r="X161" s="4" t="s">
        <v>430</v>
      </c>
      <c r="Y161" s="4" t="s">
        <v>159</v>
      </c>
      <c r="Z161" s="155">
        <v>87500</v>
      </c>
      <c r="AA161" s="162">
        <v>1</v>
      </c>
      <c r="AB161" s="179">
        <v>107.55</v>
      </c>
      <c r="AD161" s="155">
        <v>94.105999999999995</v>
      </c>
      <c r="AG161" s="2" t="s">
        <v>36</v>
      </c>
      <c r="AH161" s="168">
        <v>1.1400000000000001E-4</v>
      </c>
      <c r="AI161" s="168">
        <v>7.1428909461407602E-3</v>
      </c>
      <c r="AJ161" s="168">
        <v>1.8477587442282601E-3</v>
      </c>
    </row>
    <row r="162" spans="1:36">
      <c r="A162" s="2">
        <v>288</v>
      </c>
      <c r="B162" s="2">
        <v>1451</v>
      </c>
      <c r="C162" s="2" t="s">
        <v>1972</v>
      </c>
      <c r="D162" s="2" t="s">
        <v>1973</v>
      </c>
      <c r="E162" s="4" t="s">
        <v>1333</v>
      </c>
      <c r="F162" s="2" t="s">
        <v>1974</v>
      </c>
      <c r="G162" s="2" t="s">
        <v>1975</v>
      </c>
      <c r="H162" s="2" t="s">
        <v>339</v>
      </c>
      <c r="I162" s="2" t="s">
        <v>773</v>
      </c>
      <c r="J162" s="2" t="s">
        <v>30</v>
      </c>
      <c r="K162" s="2" t="s">
        <v>30</v>
      </c>
      <c r="L162" s="2" t="s">
        <v>345</v>
      </c>
      <c r="M162" s="2" t="s">
        <v>65</v>
      </c>
      <c r="N162" s="2" t="s">
        <v>494</v>
      </c>
      <c r="O162" s="2" t="s">
        <v>159</v>
      </c>
      <c r="P162" s="2" t="s">
        <v>1956</v>
      </c>
      <c r="Q162" s="2" t="s">
        <v>431</v>
      </c>
      <c r="R162" s="2" t="s">
        <v>424</v>
      </c>
      <c r="S162" s="2" t="s">
        <v>44</v>
      </c>
      <c r="T162" s="155">
        <v>2.6259999999999999</v>
      </c>
      <c r="U162" s="2" t="s">
        <v>1976</v>
      </c>
      <c r="V162" s="166">
        <v>3.2300000000000002E-2</v>
      </c>
      <c r="W162" s="168">
        <v>2.9780000000000001E-2</v>
      </c>
      <c r="X162" s="4" t="s">
        <v>430</v>
      </c>
      <c r="Y162" s="4" t="s">
        <v>159</v>
      </c>
      <c r="Z162" s="155">
        <v>52080</v>
      </c>
      <c r="AA162" s="162">
        <v>1</v>
      </c>
      <c r="AB162" s="179">
        <v>108.49</v>
      </c>
      <c r="AD162" s="155">
        <v>56.502000000000002</v>
      </c>
      <c r="AG162" s="2" t="s">
        <v>36</v>
      </c>
      <c r="AH162" s="168">
        <v>1.01E-4</v>
      </c>
      <c r="AI162" s="168">
        <v>4.2886068665932298E-3</v>
      </c>
      <c r="AJ162" s="168">
        <v>1.1093982671801E-3</v>
      </c>
    </row>
    <row r="163" spans="1:36">
      <c r="A163" s="2">
        <v>288</v>
      </c>
      <c r="B163" s="2">
        <v>1451</v>
      </c>
      <c r="C163" s="2" t="s">
        <v>1608</v>
      </c>
      <c r="D163" s="2" t="s">
        <v>1609</v>
      </c>
      <c r="E163" s="4" t="s">
        <v>1333</v>
      </c>
      <c r="F163" s="2" t="s">
        <v>1977</v>
      </c>
      <c r="G163" s="2" t="s">
        <v>1978</v>
      </c>
      <c r="H163" s="2" t="s">
        <v>339</v>
      </c>
      <c r="I163" s="2" t="s">
        <v>773</v>
      </c>
      <c r="J163" s="2" t="s">
        <v>30</v>
      </c>
      <c r="K163" s="2" t="s">
        <v>30</v>
      </c>
      <c r="L163" s="2" t="s">
        <v>345</v>
      </c>
      <c r="M163" s="2" t="s">
        <v>65</v>
      </c>
      <c r="N163" s="2" t="s">
        <v>480</v>
      </c>
      <c r="O163" s="2" t="s">
        <v>159</v>
      </c>
      <c r="P163" s="2" t="s">
        <v>1979</v>
      </c>
      <c r="Q163" s="2" t="s">
        <v>431</v>
      </c>
      <c r="R163" s="2" t="s">
        <v>424</v>
      </c>
      <c r="S163" s="2" t="s">
        <v>44</v>
      </c>
      <c r="T163" s="155">
        <v>6.7370000000000001</v>
      </c>
      <c r="U163" s="2" t="s">
        <v>1980</v>
      </c>
      <c r="V163" s="166">
        <v>2.5600000000000001E-2</v>
      </c>
      <c r="W163" s="168">
        <v>3.4340000000000002E-2</v>
      </c>
      <c r="X163" s="4" t="s">
        <v>430</v>
      </c>
      <c r="Y163" s="4" t="s">
        <v>159</v>
      </c>
      <c r="Z163" s="155">
        <v>170000</v>
      </c>
      <c r="AA163" s="162">
        <v>1</v>
      </c>
      <c r="AB163" s="179">
        <v>103.64</v>
      </c>
      <c r="AD163" s="155">
        <v>176.18799999999999</v>
      </c>
      <c r="AG163" s="2" t="s">
        <v>36</v>
      </c>
      <c r="AH163" s="168">
        <v>1.6200000000000001E-4</v>
      </c>
      <c r="AI163" s="168">
        <v>1.33730933919761E-2</v>
      </c>
      <c r="AJ163" s="168">
        <v>3.4594186637772598E-3</v>
      </c>
    </row>
    <row r="164" spans="1:36">
      <c r="A164" s="2">
        <v>288</v>
      </c>
      <c r="B164" s="2">
        <v>1451</v>
      </c>
      <c r="C164" s="2" t="s">
        <v>1608</v>
      </c>
      <c r="D164" s="2" t="s">
        <v>1609</v>
      </c>
      <c r="E164" s="4" t="s">
        <v>1333</v>
      </c>
      <c r="F164" s="2" t="s">
        <v>2433</v>
      </c>
      <c r="G164" s="2" t="s">
        <v>2434</v>
      </c>
      <c r="H164" s="2" t="s">
        <v>339</v>
      </c>
      <c r="I164" s="2" t="s">
        <v>986</v>
      </c>
      <c r="J164" s="2" t="s">
        <v>30</v>
      </c>
      <c r="K164" s="2" t="s">
        <v>30</v>
      </c>
      <c r="L164" s="2" t="s">
        <v>345</v>
      </c>
      <c r="M164" s="2" t="s">
        <v>65</v>
      </c>
      <c r="N164" s="2" t="s">
        <v>480</v>
      </c>
      <c r="O164" s="2" t="s">
        <v>159</v>
      </c>
      <c r="P164" s="2" t="s">
        <v>1979</v>
      </c>
      <c r="Q164" s="2" t="s">
        <v>431</v>
      </c>
      <c r="R164" s="2" t="s">
        <v>424</v>
      </c>
      <c r="S164" s="2" t="s">
        <v>44</v>
      </c>
      <c r="T164" s="155">
        <v>6.0979999999999999</v>
      </c>
      <c r="U164" s="2" t="s">
        <v>1980</v>
      </c>
      <c r="V164" s="166">
        <v>4.9399999999999999E-2</v>
      </c>
      <c r="W164" s="168">
        <v>5.6329999999999998E-2</v>
      </c>
      <c r="X164" s="4" t="s">
        <v>430</v>
      </c>
      <c r="Y164" s="4" t="s">
        <v>159</v>
      </c>
      <c r="Z164" s="155">
        <v>60000</v>
      </c>
      <c r="AA164" s="162">
        <v>1</v>
      </c>
      <c r="AB164" s="179">
        <v>100</v>
      </c>
      <c r="AD164" s="155">
        <v>60</v>
      </c>
      <c r="AG164" s="2" t="s">
        <v>36</v>
      </c>
      <c r="AH164" s="168">
        <v>4.3999999999999999E-5</v>
      </c>
      <c r="AI164" s="168">
        <v>4.55414445659502E-3</v>
      </c>
      <c r="AJ164" s="168">
        <v>1.1780888586432399E-3</v>
      </c>
    </row>
    <row r="165" spans="1:36">
      <c r="A165" s="2">
        <v>288</v>
      </c>
      <c r="B165" s="2">
        <v>1451</v>
      </c>
      <c r="C165" s="2" t="s">
        <v>1984</v>
      </c>
      <c r="D165" s="2" t="s">
        <v>1985</v>
      </c>
      <c r="E165" s="4" t="s">
        <v>1333</v>
      </c>
      <c r="F165" s="2" t="s">
        <v>1986</v>
      </c>
      <c r="G165" s="2" t="s">
        <v>1987</v>
      </c>
      <c r="H165" s="2" t="s">
        <v>339</v>
      </c>
      <c r="I165" s="2" t="s">
        <v>986</v>
      </c>
      <c r="J165" s="2" t="s">
        <v>30</v>
      </c>
      <c r="K165" s="2" t="s">
        <v>30</v>
      </c>
      <c r="L165" s="2" t="s">
        <v>345</v>
      </c>
      <c r="M165" s="2" t="s">
        <v>65</v>
      </c>
      <c r="N165" s="2" t="s">
        <v>467</v>
      </c>
      <c r="O165" s="2" t="s">
        <v>159</v>
      </c>
      <c r="P165" s="2" t="s">
        <v>1956</v>
      </c>
      <c r="Q165" s="2" t="s">
        <v>431</v>
      </c>
      <c r="R165" s="2" t="s">
        <v>424</v>
      </c>
      <c r="S165" s="2" t="s">
        <v>44</v>
      </c>
      <c r="T165" s="155">
        <v>2.7090000000000001</v>
      </c>
      <c r="U165" s="2" t="s">
        <v>1988</v>
      </c>
      <c r="V165" s="166">
        <v>0.04</v>
      </c>
      <c r="W165" s="168">
        <v>5.1769999999999997E-2</v>
      </c>
      <c r="X165" s="4" t="s">
        <v>430</v>
      </c>
      <c r="Y165" s="4" t="s">
        <v>159</v>
      </c>
      <c r="Z165" s="155">
        <v>212625.03</v>
      </c>
      <c r="AA165" s="162">
        <v>1</v>
      </c>
      <c r="AB165" s="179">
        <v>98.91</v>
      </c>
      <c r="AD165" s="155">
        <v>210.30699999999999</v>
      </c>
      <c r="AG165" s="2" t="s">
        <v>36</v>
      </c>
      <c r="AH165" s="168">
        <v>3.1399999999999999E-4</v>
      </c>
      <c r="AI165" s="168">
        <v>1.5962839301653899E-2</v>
      </c>
      <c r="AJ165" s="168">
        <v>4.1293470843591302E-3</v>
      </c>
    </row>
    <row r="166" spans="1:36">
      <c r="A166" s="2">
        <v>288</v>
      </c>
      <c r="B166" s="2">
        <v>1451</v>
      </c>
      <c r="C166" s="2" t="s">
        <v>1612</v>
      </c>
      <c r="D166" s="2" t="s">
        <v>1613</v>
      </c>
      <c r="E166" s="4" t="s">
        <v>1333</v>
      </c>
      <c r="F166" s="2" t="s">
        <v>1989</v>
      </c>
      <c r="G166" s="2" t="s">
        <v>1990</v>
      </c>
      <c r="H166" s="2" t="s">
        <v>339</v>
      </c>
      <c r="I166" s="2" t="s">
        <v>773</v>
      </c>
      <c r="J166" s="2" t="s">
        <v>30</v>
      </c>
      <c r="K166" s="2" t="s">
        <v>30</v>
      </c>
      <c r="L166" s="2" t="s">
        <v>345</v>
      </c>
      <c r="M166" s="2" t="s">
        <v>65</v>
      </c>
      <c r="N166" s="2" t="s">
        <v>480</v>
      </c>
      <c r="O166" s="2" t="s">
        <v>159</v>
      </c>
      <c r="P166" s="2" t="s">
        <v>1968</v>
      </c>
      <c r="Q166" s="2" t="s">
        <v>431</v>
      </c>
      <c r="R166" s="2" t="s">
        <v>424</v>
      </c>
      <c r="S166" s="2" t="s">
        <v>44</v>
      </c>
      <c r="T166" s="155">
        <v>1.929</v>
      </c>
      <c r="U166" s="2" t="s">
        <v>1991</v>
      </c>
      <c r="V166" s="166">
        <v>3.2000000000000001E-2</v>
      </c>
      <c r="W166" s="168">
        <v>2.4420000000000001E-2</v>
      </c>
      <c r="X166" s="4" t="s">
        <v>430</v>
      </c>
      <c r="Y166" s="4" t="s">
        <v>159</v>
      </c>
      <c r="Z166" s="155">
        <v>146400</v>
      </c>
      <c r="AA166" s="162">
        <v>1</v>
      </c>
      <c r="AB166" s="179">
        <v>118.5</v>
      </c>
      <c r="AD166" s="155">
        <v>173.48400000000001</v>
      </c>
      <c r="AG166" s="2" t="s">
        <v>36</v>
      </c>
      <c r="AH166" s="168">
        <v>2.6499999999999999E-4</v>
      </c>
      <c r="AI166" s="168">
        <v>1.31678532817989E-2</v>
      </c>
      <c r="AJ166" s="168">
        <v>3.4063261258810702E-3</v>
      </c>
    </row>
    <row r="167" spans="1:36">
      <c r="A167" s="2">
        <v>288</v>
      </c>
      <c r="B167" s="2">
        <v>1451</v>
      </c>
      <c r="C167" s="2" t="s">
        <v>1612</v>
      </c>
      <c r="D167" s="2" t="s">
        <v>1613</v>
      </c>
      <c r="E167" s="4" t="s">
        <v>1333</v>
      </c>
      <c r="F167" s="2" t="s">
        <v>1992</v>
      </c>
      <c r="G167" s="2" t="s">
        <v>1993</v>
      </c>
      <c r="H167" s="2" t="s">
        <v>339</v>
      </c>
      <c r="I167" s="2" t="s">
        <v>773</v>
      </c>
      <c r="J167" s="2" t="s">
        <v>30</v>
      </c>
      <c r="K167" s="2" t="s">
        <v>30</v>
      </c>
      <c r="L167" s="2" t="s">
        <v>345</v>
      </c>
      <c r="M167" s="2" t="s">
        <v>65</v>
      </c>
      <c r="N167" s="2" t="s">
        <v>480</v>
      </c>
      <c r="O167" s="2" t="s">
        <v>159</v>
      </c>
      <c r="P167" s="2" t="s">
        <v>1968</v>
      </c>
      <c r="Q167" s="2" t="s">
        <v>431</v>
      </c>
      <c r="R167" s="2" t="s">
        <v>424</v>
      </c>
      <c r="S167" s="2" t="s">
        <v>44</v>
      </c>
      <c r="T167" s="155">
        <v>5.3639999999999999</v>
      </c>
      <c r="U167" s="2" t="s">
        <v>1994</v>
      </c>
      <c r="V167" s="166">
        <v>9.1999999999999998E-3</v>
      </c>
      <c r="W167" s="168">
        <v>2.8989999999999998E-2</v>
      </c>
      <c r="X167" s="4" t="s">
        <v>430</v>
      </c>
      <c r="Y167" s="4" t="s">
        <v>159</v>
      </c>
      <c r="Z167" s="155">
        <v>47250</v>
      </c>
      <c r="AA167" s="162">
        <v>1</v>
      </c>
      <c r="AB167" s="179">
        <v>103.99</v>
      </c>
      <c r="AC167" s="155">
        <v>0.502</v>
      </c>
      <c r="AD167" s="155">
        <v>49.637</v>
      </c>
      <c r="AG167" s="2" t="s">
        <v>36</v>
      </c>
      <c r="AH167" s="168">
        <v>1.8E-5</v>
      </c>
      <c r="AI167" s="168">
        <v>3.7675810894547798E-3</v>
      </c>
      <c r="AJ167" s="168">
        <v>9.7461671403374704E-4</v>
      </c>
    </row>
    <row r="168" spans="1:36">
      <c r="A168" s="2">
        <v>288</v>
      </c>
      <c r="B168" s="2">
        <v>1451</v>
      </c>
      <c r="C168" s="2" t="s">
        <v>1616</v>
      </c>
      <c r="D168" s="2" t="s">
        <v>1617</v>
      </c>
      <c r="E168" s="4" t="s">
        <v>1333</v>
      </c>
      <c r="F168" s="2" t="s">
        <v>1995</v>
      </c>
      <c r="G168" s="2" t="s">
        <v>1996</v>
      </c>
      <c r="H168" s="2" t="s">
        <v>339</v>
      </c>
      <c r="I168" s="2" t="s">
        <v>986</v>
      </c>
      <c r="J168" s="2" t="s">
        <v>30</v>
      </c>
      <c r="K168" s="2" t="s">
        <v>125</v>
      </c>
      <c r="L168" s="2" t="s">
        <v>345</v>
      </c>
      <c r="M168" s="2" t="s">
        <v>65</v>
      </c>
      <c r="N168" s="2" t="s">
        <v>457</v>
      </c>
      <c r="O168" s="2" t="s">
        <v>159</v>
      </c>
      <c r="P168" s="2" t="s">
        <v>1997</v>
      </c>
      <c r="Q168" s="2" t="s">
        <v>433</v>
      </c>
      <c r="R168" s="2" t="s">
        <v>424</v>
      </c>
      <c r="S168" s="2" t="s">
        <v>44</v>
      </c>
      <c r="T168" s="155">
        <v>1.4850000000000001</v>
      </c>
      <c r="U168" s="2" t="s">
        <v>1998</v>
      </c>
      <c r="V168" s="166">
        <v>3.4500000000000003E-2</v>
      </c>
      <c r="W168" s="168">
        <v>5.194E-2</v>
      </c>
      <c r="X168" s="4" t="s">
        <v>430</v>
      </c>
      <c r="Y168" s="4" t="s">
        <v>159</v>
      </c>
      <c r="Z168" s="155">
        <v>105882.35</v>
      </c>
      <c r="AA168" s="162">
        <v>1</v>
      </c>
      <c r="AB168" s="179">
        <v>98.71</v>
      </c>
      <c r="AD168" s="155">
        <v>104.51600000000001</v>
      </c>
      <c r="AG168" s="2" t="s">
        <v>36</v>
      </c>
      <c r="AH168" s="168">
        <v>1.65E-4</v>
      </c>
      <c r="AI168" s="168">
        <v>7.9330515321756005E-3</v>
      </c>
      <c r="AJ168" s="168">
        <v>2.05216143540741E-3</v>
      </c>
    </row>
    <row r="169" spans="1:36">
      <c r="A169" s="2">
        <v>288</v>
      </c>
      <c r="B169" s="2">
        <v>1451</v>
      </c>
      <c r="C169" s="2" t="s">
        <v>1620</v>
      </c>
      <c r="D169" s="2" t="s">
        <v>1621</v>
      </c>
      <c r="E169" s="4" t="s">
        <v>1333</v>
      </c>
      <c r="F169" s="2" t="s">
        <v>1999</v>
      </c>
      <c r="G169" s="2" t="s">
        <v>2000</v>
      </c>
      <c r="H169" s="2" t="s">
        <v>339</v>
      </c>
      <c r="I169" s="2" t="s">
        <v>986</v>
      </c>
      <c r="J169" s="2" t="s">
        <v>30</v>
      </c>
      <c r="K169" s="2" t="s">
        <v>30</v>
      </c>
      <c r="L169" s="2" t="s">
        <v>345</v>
      </c>
      <c r="M169" s="2" t="s">
        <v>65</v>
      </c>
      <c r="N169" s="2" t="s">
        <v>457</v>
      </c>
      <c r="O169" s="2" t="s">
        <v>159</v>
      </c>
      <c r="P169" s="2" t="s">
        <v>1997</v>
      </c>
      <c r="Q169" s="2" t="s">
        <v>431</v>
      </c>
      <c r="R169" s="2" t="s">
        <v>424</v>
      </c>
      <c r="S169" s="2" t="s">
        <v>44</v>
      </c>
      <c r="T169" s="155">
        <v>2.6240000000000001</v>
      </c>
      <c r="U169" s="2" t="s">
        <v>2001</v>
      </c>
      <c r="V169" s="166">
        <v>2.0500000000000001E-2</v>
      </c>
      <c r="W169" s="168">
        <v>5.1389999999999998E-2</v>
      </c>
      <c r="X169" s="4" t="s">
        <v>430</v>
      </c>
      <c r="Y169" s="4" t="s">
        <v>159</v>
      </c>
      <c r="Z169" s="155">
        <v>102857.16</v>
      </c>
      <c r="AA169" s="162">
        <v>1</v>
      </c>
      <c r="AB169" s="179">
        <v>93.15</v>
      </c>
      <c r="AD169" s="155">
        <v>95.811000000000007</v>
      </c>
      <c r="AG169" s="2" t="s">
        <v>36</v>
      </c>
      <c r="AH169" s="168">
        <v>2.3000000000000001E-4</v>
      </c>
      <c r="AI169" s="168">
        <v>7.2723193171700404E-3</v>
      </c>
      <c r="AJ169" s="168">
        <v>1.8812399223848101E-3</v>
      </c>
    </row>
    <row r="170" spans="1:36">
      <c r="A170" s="2">
        <v>288</v>
      </c>
      <c r="B170" s="2">
        <v>1451</v>
      </c>
      <c r="C170" s="2" t="s">
        <v>2002</v>
      </c>
      <c r="D170" s="2" t="s">
        <v>2003</v>
      </c>
      <c r="E170" s="4" t="s">
        <v>1333</v>
      </c>
      <c r="F170" s="2" t="s">
        <v>2007</v>
      </c>
      <c r="G170" s="2" t="s">
        <v>2008</v>
      </c>
      <c r="H170" s="2" t="s">
        <v>339</v>
      </c>
      <c r="I170" s="2" t="s">
        <v>986</v>
      </c>
      <c r="J170" s="2" t="s">
        <v>30</v>
      </c>
      <c r="K170" s="2" t="s">
        <v>30</v>
      </c>
      <c r="L170" s="2" t="s">
        <v>345</v>
      </c>
      <c r="M170" s="2" t="s">
        <v>65</v>
      </c>
      <c r="N170" s="2" t="s">
        <v>456</v>
      </c>
      <c r="O170" s="2" t="s">
        <v>159</v>
      </c>
      <c r="P170" s="2" t="s">
        <v>1956</v>
      </c>
      <c r="Q170" s="2" t="s">
        <v>431</v>
      </c>
      <c r="R170" s="2" t="s">
        <v>424</v>
      </c>
      <c r="S170" s="2" t="s">
        <v>44</v>
      </c>
      <c r="T170" s="155">
        <v>2.9350000000000001</v>
      </c>
      <c r="U170" s="2" t="s">
        <v>2009</v>
      </c>
      <c r="V170" s="166">
        <v>0.05</v>
      </c>
      <c r="W170" s="168">
        <v>5.4080000000000003E-2</v>
      </c>
      <c r="X170" s="4" t="s">
        <v>430</v>
      </c>
      <c r="Y170" s="4" t="s">
        <v>159</v>
      </c>
      <c r="Z170" s="155">
        <v>116000</v>
      </c>
      <c r="AA170" s="162">
        <v>1</v>
      </c>
      <c r="AB170" s="179">
        <v>100.36</v>
      </c>
      <c r="AD170" s="155">
        <v>116.41800000000001</v>
      </c>
      <c r="AG170" s="2" t="s">
        <v>36</v>
      </c>
      <c r="AH170" s="168">
        <v>1.12E-4</v>
      </c>
      <c r="AI170" s="168">
        <v>8.8363761281682798E-3</v>
      </c>
      <c r="AJ170" s="168">
        <v>2.2858379584997598E-3</v>
      </c>
    </row>
    <row r="171" spans="1:36">
      <c r="A171" s="2">
        <v>288</v>
      </c>
      <c r="B171" s="2">
        <v>1451</v>
      </c>
      <c r="C171" s="2" t="s">
        <v>1727</v>
      </c>
      <c r="D171" s="2" t="s">
        <v>1728</v>
      </c>
      <c r="E171" s="4" t="s">
        <v>1333</v>
      </c>
      <c r="F171" s="2" t="s">
        <v>2016</v>
      </c>
      <c r="G171" s="2" t="s">
        <v>2017</v>
      </c>
      <c r="H171" s="2" t="s">
        <v>339</v>
      </c>
      <c r="I171" s="2" t="s">
        <v>773</v>
      </c>
      <c r="J171" s="2" t="s">
        <v>30</v>
      </c>
      <c r="K171" s="2" t="s">
        <v>30</v>
      </c>
      <c r="L171" s="2" t="s">
        <v>345</v>
      </c>
      <c r="M171" s="2" t="s">
        <v>65</v>
      </c>
      <c r="N171" s="2" t="s">
        <v>480</v>
      </c>
      <c r="O171" s="2" t="s">
        <v>159</v>
      </c>
      <c r="P171" s="2" t="s">
        <v>1979</v>
      </c>
      <c r="Q171" s="2" t="s">
        <v>433</v>
      </c>
      <c r="R171" s="2" t="s">
        <v>424</v>
      </c>
      <c r="S171" s="2" t="s">
        <v>44</v>
      </c>
      <c r="T171" s="155">
        <v>4.2210000000000001</v>
      </c>
      <c r="U171" s="2" t="s">
        <v>2018</v>
      </c>
      <c r="V171" s="166">
        <v>1.17E-2</v>
      </c>
      <c r="W171" s="168">
        <v>2.8000000000000001E-2</v>
      </c>
      <c r="X171" s="4" t="s">
        <v>430</v>
      </c>
      <c r="Y171" s="4" t="s">
        <v>159</v>
      </c>
      <c r="Z171" s="155">
        <v>59640</v>
      </c>
      <c r="AA171" s="162">
        <v>1</v>
      </c>
      <c r="AB171" s="179">
        <v>107.59</v>
      </c>
      <c r="AD171" s="155">
        <v>64.167000000000002</v>
      </c>
      <c r="AG171" s="2" t="s">
        <v>36</v>
      </c>
      <c r="AH171" s="168">
        <v>8.7000000000000001E-5</v>
      </c>
      <c r="AI171" s="168">
        <v>4.8704051967254801E-3</v>
      </c>
      <c r="AJ171" s="168">
        <v>1.2599007681961801E-3</v>
      </c>
    </row>
    <row r="172" spans="1:36">
      <c r="A172" s="2">
        <v>288</v>
      </c>
      <c r="B172" s="2">
        <v>1451</v>
      </c>
      <c r="C172" s="2" t="s">
        <v>1727</v>
      </c>
      <c r="D172" s="2" t="s">
        <v>1728</v>
      </c>
      <c r="E172" s="4" t="s">
        <v>1333</v>
      </c>
      <c r="F172" s="2" t="s">
        <v>2435</v>
      </c>
      <c r="G172" s="2" t="s">
        <v>2436</v>
      </c>
      <c r="H172" s="2" t="s">
        <v>339</v>
      </c>
      <c r="I172" s="2" t="s">
        <v>773</v>
      </c>
      <c r="J172" s="2" t="s">
        <v>30</v>
      </c>
      <c r="K172" s="2" t="s">
        <v>30</v>
      </c>
      <c r="L172" s="2" t="s">
        <v>345</v>
      </c>
      <c r="M172" s="2" t="s">
        <v>65</v>
      </c>
      <c r="N172" s="2" t="s">
        <v>480</v>
      </c>
      <c r="O172" s="2" t="s">
        <v>159</v>
      </c>
      <c r="P172" s="2" t="s">
        <v>1968</v>
      </c>
      <c r="Q172" s="2" t="s">
        <v>431</v>
      </c>
      <c r="R172" s="2" t="s">
        <v>424</v>
      </c>
      <c r="S172" s="2" t="s">
        <v>44</v>
      </c>
      <c r="T172" s="155">
        <v>3.3130000000000002</v>
      </c>
      <c r="U172" s="2" t="s">
        <v>2437</v>
      </c>
      <c r="V172" s="166">
        <v>6.8999999999999999E-3</v>
      </c>
      <c r="W172" s="168">
        <v>2.6100000000000002E-2</v>
      </c>
      <c r="X172" s="4" t="s">
        <v>430</v>
      </c>
      <c r="Y172" s="4" t="s">
        <v>159</v>
      </c>
      <c r="Z172" s="155">
        <v>56875.01</v>
      </c>
      <c r="AA172" s="162">
        <v>1</v>
      </c>
      <c r="AB172" s="179">
        <v>108.48</v>
      </c>
      <c r="AD172" s="155">
        <v>61.698</v>
      </c>
      <c r="AG172" s="2" t="s">
        <v>36</v>
      </c>
      <c r="AH172" s="168">
        <v>3.4499999999999998E-4</v>
      </c>
      <c r="AI172" s="168">
        <v>4.68302756810598E-3</v>
      </c>
      <c r="AJ172" s="168">
        <v>1.2114289863413099E-3</v>
      </c>
    </row>
    <row r="173" spans="1:36">
      <c r="A173" s="2">
        <v>288</v>
      </c>
      <c r="B173" s="2">
        <v>1451</v>
      </c>
      <c r="C173" s="2" t="s">
        <v>1727</v>
      </c>
      <c r="D173" s="2" t="s">
        <v>1728</v>
      </c>
      <c r="E173" s="4" t="s">
        <v>1333</v>
      </c>
      <c r="F173" s="2" t="s">
        <v>2019</v>
      </c>
      <c r="G173" s="2" t="s">
        <v>2020</v>
      </c>
      <c r="H173" s="2" t="s">
        <v>339</v>
      </c>
      <c r="I173" s="2" t="s">
        <v>773</v>
      </c>
      <c r="J173" s="2" t="s">
        <v>30</v>
      </c>
      <c r="K173" s="2" t="s">
        <v>30</v>
      </c>
      <c r="L173" s="2" t="s">
        <v>345</v>
      </c>
      <c r="M173" s="2" t="s">
        <v>65</v>
      </c>
      <c r="N173" s="2" t="s">
        <v>480</v>
      </c>
      <c r="O173" s="2" t="s">
        <v>159</v>
      </c>
      <c r="P173" s="2" t="s">
        <v>1979</v>
      </c>
      <c r="Q173" s="2" t="s">
        <v>431</v>
      </c>
      <c r="R173" s="2" t="s">
        <v>424</v>
      </c>
      <c r="S173" s="2" t="s">
        <v>44</v>
      </c>
      <c r="T173" s="155">
        <v>5.1269999999999998</v>
      </c>
      <c r="U173" s="2" t="s">
        <v>2021</v>
      </c>
      <c r="V173" s="166">
        <v>1.8700000000000001E-2</v>
      </c>
      <c r="W173" s="168">
        <v>3.0720000000000001E-2</v>
      </c>
      <c r="X173" s="4" t="s">
        <v>430</v>
      </c>
      <c r="Y173" s="4" t="s">
        <v>159</v>
      </c>
      <c r="Z173" s="155">
        <v>86240</v>
      </c>
      <c r="AA173" s="162">
        <v>1</v>
      </c>
      <c r="AB173" s="179">
        <v>104.45</v>
      </c>
      <c r="AD173" s="155">
        <v>90.078000000000003</v>
      </c>
      <c r="AG173" s="2" t="s">
        <v>36</v>
      </c>
      <c r="AH173" s="168">
        <v>8.3999999999999995E-5</v>
      </c>
      <c r="AI173" s="168">
        <v>6.83711278391568E-3</v>
      </c>
      <c r="AJ173" s="168">
        <v>1.76865852034052E-3</v>
      </c>
    </row>
    <row r="174" spans="1:36">
      <c r="A174" s="2">
        <v>288</v>
      </c>
      <c r="B174" s="2">
        <v>1451</v>
      </c>
      <c r="C174" s="2" t="s">
        <v>2027</v>
      </c>
      <c r="D174" s="2" t="s">
        <v>2028</v>
      </c>
      <c r="E174" s="4" t="s">
        <v>1333</v>
      </c>
      <c r="F174" s="2" t="s">
        <v>2029</v>
      </c>
      <c r="G174" s="2" t="s">
        <v>2030</v>
      </c>
      <c r="H174" s="2" t="s">
        <v>339</v>
      </c>
      <c r="I174" s="2" t="s">
        <v>986</v>
      </c>
      <c r="J174" s="2" t="s">
        <v>30</v>
      </c>
      <c r="K174" s="2" t="s">
        <v>30</v>
      </c>
      <c r="L174" s="2" t="s">
        <v>345</v>
      </c>
      <c r="M174" s="2" t="s">
        <v>65</v>
      </c>
      <c r="N174" s="2" t="s">
        <v>456</v>
      </c>
      <c r="O174" s="2" t="s">
        <v>159</v>
      </c>
      <c r="P174" s="2" t="s">
        <v>1962</v>
      </c>
      <c r="Q174" s="2" t="s">
        <v>433</v>
      </c>
      <c r="R174" s="2" t="s">
        <v>424</v>
      </c>
      <c r="S174" s="2" t="s">
        <v>44</v>
      </c>
      <c r="T174" s="155">
        <v>2.87</v>
      </c>
      <c r="U174" s="2" t="s">
        <v>1971</v>
      </c>
      <c r="V174" s="166">
        <v>7.2499999999999995E-2</v>
      </c>
      <c r="W174" s="168">
        <v>5.8200000000000002E-2</v>
      </c>
      <c r="X174" s="4" t="s">
        <v>430</v>
      </c>
      <c r="Y174" s="4" t="s">
        <v>159</v>
      </c>
      <c r="Z174" s="155">
        <v>44791.199999999997</v>
      </c>
      <c r="AA174" s="162">
        <v>1</v>
      </c>
      <c r="AB174" s="179">
        <v>106.14</v>
      </c>
      <c r="AD174" s="155">
        <v>47.540999999999997</v>
      </c>
      <c r="AG174" s="2" t="s">
        <v>36</v>
      </c>
      <c r="AH174" s="168">
        <v>6.2000000000000003E-5</v>
      </c>
      <c r="AI174" s="168">
        <v>3.6085051788091898E-3</v>
      </c>
      <c r="AJ174" s="168">
        <v>9.3346616209227004E-4</v>
      </c>
    </row>
    <row r="175" spans="1:36">
      <c r="A175" s="2">
        <v>288</v>
      </c>
      <c r="B175" s="2">
        <v>1451</v>
      </c>
      <c r="C175" s="2" t="s">
        <v>2031</v>
      </c>
      <c r="D175" s="2" t="s">
        <v>2032</v>
      </c>
      <c r="E175" s="4" t="s">
        <v>1333</v>
      </c>
      <c r="F175" s="2" t="s">
        <v>2033</v>
      </c>
      <c r="G175" s="2" t="s">
        <v>2034</v>
      </c>
      <c r="H175" s="2" t="s">
        <v>339</v>
      </c>
      <c r="I175" s="2" t="s">
        <v>773</v>
      </c>
      <c r="J175" s="2" t="s">
        <v>30</v>
      </c>
      <c r="K175" s="2" t="s">
        <v>30</v>
      </c>
      <c r="L175" s="2" t="s">
        <v>345</v>
      </c>
      <c r="M175" s="2" t="s">
        <v>65</v>
      </c>
      <c r="N175" s="2" t="s">
        <v>480</v>
      </c>
      <c r="O175" s="2" t="s">
        <v>159</v>
      </c>
      <c r="P175" s="2" t="s">
        <v>1968</v>
      </c>
      <c r="Q175" s="2" t="s">
        <v>431</v>
      </c>
      <c r="R175" s="2" t="s">
        <v>424</v>
      </c>
      <c r="S175" s="2" t="s">
        <v>44</v>
      </c>
      <c r="T175" s="155">
        <v>3.7469999999999999</v>
      </c>
      <c r="U175" s="2" t="s">
        <v>2035</v>
      </c>
      <c r="V175" s="166">
        <v>5.0000000000000001E-3</v>
      </c>
      <c r="W175" s="168">
        <v>2.8590000000000001E-2</v>
      </c>
      <c r="X175" s="4" t="s">
        <v>430</v>
      </c>
      <c r="Y175" s="4" t="s">
        <v>159</v>
      </c>
      <c r="Z175" s="155">
        <v>24127.69</v>
      </c>
      <c r="AA175" s="162">
        <v>1</v>
      </c>
      <c r="AB175" s="179">
        <v>105.22</v>
      </c>
      <c r="AD175" s="155">
        <v>25.387</v>
      </c>
      <c r="AG175" s="2" t="s">
        <v>36</v>
      </c>
      <c r="AH175" s="168">
        <v>1.5E-5</v>
      </c>
      <c r="AI175" s="168">
        <v>1.9269462185933499E-3</v>
      </c>
      <c r="AJ175" s="168">
        <v>4.9847208250983698E-4</v>
      </c>
    </row>
    <row r="176" spans="1:36">
      <c r="A176" s="2">
        <v>288</v>
      </c>
      <c r="B176" s="2">
        <v>1451</v>
      </c>
      <c r="C176" s="2" t="s">
        <v>2031</v>
      </c>
      <c r="D176" s="2" t="s">
        <v>2032</v>
      </c>
      <c r="E176" s="4" t="s">
        <v>1333</v>
      </c>
      <c r="F176" s="2" t="s">
        <v>2036</v>
      </c>
      <c r="G176" s="2" t="s">
        <v>2037</v>
      </c>
      <c r="H176" s="2" t="s">
        <v>339</v>
      </c>
      <c r="I176" s="2" t="s">
        <v>773</v>
      </c>
      <c r="J176" s="2" t="s">
        <v>30</v>
      </c>
      <c r="K176" s="2" t="s">
        <v>30</v>
      </c>
      <c r="L176" s="2" t="s">
        <v>345</v>
      </c>
      <c r="M176" s="2" t="s">
        <v>65</v>
      </c>
      <c r="N176" s="2" t="s">
        <v>480</v>
      </c>
      <c r="O176" s="2" t="s">
        <v>159</v>
      </c>
      <c r="P176" s="2" t="s">
        <v>1968</v>
      </c>
      <c r="Q176" s="2" t="s">
        <v>431</v>
      </c>
      <c r="R176" s="2" t="s">
        <v>424</v>
      </c>
      <c r="S176" s="2" t="s">
        <v>44</v>
      </c>
      <c r="T176" s="155">
        <v>0.72899999999999998</v>
      </c>
      <c r="U176" s="2" t="s">
        <v>1343</v>
      </c>
      <c r="V176" s="166">
        <v>4.7500000000000001E-2</v>
      </c>
      <c r="W176" s="168">
        <v>2.5069999999999999E-2</v>
      </c>
      <c r="X176" s="4" t="s">
        <v>430</v>
      </c>
      <c r="Y176" s="4" t="s">
        <v>159</v>
      </c>
      <c r="Z176" s="155">
        <v>76040.37</v>
      </c>
      <c r="AA176" s="162">
        <v>1</v>
      </c>
      <c r="AB176" s="179">
        <v>143.82</v>
      </c>
      <c r="AD176" s="155">
        <v>109.361</v>
      </c>
      <c r="AG176" s="2" t="s">
        <v>36</v>
      </c>
      <c r="AH176" s="168">
        <v>8.0000000000000007E-5</v>
      </c>
      <c r="AI176" s="168">
        <v>8.3007829434250408E-3</v>
      </c>
      <c r="AJ176" s="168">
        <v>2.1472880355175102E-3</v>
      </c>
    </row>
    <row r="177" spans="1:36">
      <c r="A177" s="2">
        <v>288</v>
      </c>
      <c r="B177" s="2">
        <v>1451</v>
      </c>
      <c r="C177" s="2" t="s">
        <v>2043</v>
      </c>
      <c r="D177" s="2" t="s">
        <v>2044</v>
      </c>
      <c r="E177" s="4" t="s">
        <v>1333</v>
      </c>
      <c r="F177" s="2" t="s">
        <v>2045</v>
      </c>
      <c r="G177" s="2" t="s">
        <v>2046</v>
      </c>
      <c r="H177" s="2" t="s">
        <v>339</v>
      </c>
      <c r="I177" s="2" t="s">
        <v>986</v>
      </c>
      <c r="J177" s="2" t="s">
        <v>30</v>
      </c>
      <c r="K177" s="2" t="s">
        <v>30</v>
      </c>
      <c r="L177" s="2" t="s">
        <v>345</v>
      </c>
      <c r="M177" s="2" t="s">
        <v>65</v>
      </c>
      <c r="N177" s="2" t="s">
        <v>456</v>
      </c>
      <c r="O177" s="2" t="s">
        <v>159</v>
      </c>
      <c r="P177" s="2" t="s">
        <v>1997</v>
      </c>
      <c r="Q177" s="2" t="s">
        <v>433</v>
      </c>
      <c r="R177" s="2" t="s">
        <v>424</v>
      </c>
      <c r="S177" s="2" t="s">
        <v>44</v>
      </c>
      <c r="T177" s="155">
        <v>1.6759999999999999</v>
      </c>
      <c r="U177" s="2" t="s">
        <v>2047</v>
      </c>
      <c r="V177" s="166">
        <v>3.2899999999999999E-2</v>
      </c>
      <c r="W177" s="168">
        <v>4.9000000000000002E-2</v>
      </c>
      <c r="X177" s="4" t="s">
        <v>430</v>
      </c>
      <c r="Y177" s="4" t="s">
        <v>159</v>
      </c>
      <c r="Z177" s="155">
        <v>90500</v>
      </c>
      <c r="AA177" s="162">
        <v>1</v>
      </c>
      <c r="AB177" s="179">
        <v>98.29</v>
      </c>
      <c r="AD177" s="155">
        <v>88.951999999999998</v>
      </c>
      <c r="AG177" s="2" t="s">
        <v>36</v>
      </c>
      <c r="AH177" s="168">
        <v>1.26E-4</v>
      </c>
      <c r="AI177" s="168">
        <v>6.7517051178007702E-3</v>
      </c>
      <c r="AJ177" s="168">
        <v>1.7465648382336699E-3</v>
      </c>
    </row>
    <row r="178" spans="1:36">
      <c r="A178" s="2">
        <v>288</v>
      </c>
      <c r="B178" s="2">
        <v>1451</v>
      </c>
      <c r="C178" s="2" t="s">
        <v>2048</v>
      </c>
      <c r="D178" s="2" t="s">
        <v>2049</v>
      </c>
      <c r="E178" s="4" t="s">
        <v>1333</v>
      </c>
      <c r="F178" s="2" t="s">
        <v>2050</v>
      </c>
      <c r="G178" s="2" t="s">
        <v>2051</v>
      </c>
      <c r="H178" s="2" t="s">
        <v>339</v>
      </c>
      <c r="I178" s="2" t="s">
        <v>773</v>
      </c>
      <c r="J178" s="2" t="s">
        <v>30</v>
      </c>
      <c r="K178" s="2" t="s">
        <v>30</v>
      </c>
      <c r="L178" s="2" t="s">
        <v>345</v>
      </c>
      <c r="M178" s="2" t="s">
        <v>65</v>
      </c>
      <c r="N178" s="2" t="s">
        <v>464</v>
      </c>
      <c r="O178" s="2" t="s">
        <v>159</v>
      </c>
      <c r="P178" s="2" t="s">
        <v>132</v>
      </c>
      <c r="Q178" s="2" t="s">
        <v>431</v>
      </c>
      <c r="R178" s="2" t="s">
        <v>424</v>
      </c>
      <c r="S178" s="2" t="s">
        <v>44</v>
      </c>
      <c r="T178" s="155">
        <v>3.738</v>
      </c>
      <c r="U178" s="2" t="s">
        <v>2052</v>
      </c>
      <c r="V178" s="166">
        <v>2E-3</v>
      </c>
      <c r="W178" s="168">
        <v>2.384E-2</v>
      </c>
      <c r="X178" s="4" t="s">
        <v>430</v>
      </c>
      <c r="Y178" s="4" t="s">
        <v>159</v>
      </c>
      <c r="Z178" s="155">
        <v>491614.71999999997</v>
      </c>
      <c r="AA178" s="162">
        <v>1</v>
      </c>
      <c r="AB178" s="179">
        <v>103.66</v>
      </c>
      <c r="AD178" s="155">
        <v>509.608</v>
      </c>
      <c r="AG178" s="2" t="s">
        <v>36</v>
      </c>
      <c r="AH178" s="168">
        <v>1.35E-4</v>
      </c>
      <c r="AI178" s="168">
        <v>3.8680460380115002E-2</v>
      </c>
      <c r="AJ178" s="168">
        <v>1.0006054892486901E-2</v>
      </c>
    </row>
    <row r="179" spans="1:36">
      <c r="A179" s="2">
        <v>288</v>
      </c>
      <c r="B179" s="2">
        <v>1451</v>
      </c>
      <c r="C179" s="2" t="s">
        <v>2048</v>
      </c>
      <c r="D179" s="2" t="s">
        <v>2049</v>
      </c>
      <c r="E179" s="4" t="s">
        <v>1333</v>
      </c>
      <c r="F179" s="2" t="s">
        <v>2053</v>
      </c>
      <c r="G179" s="2" t="s">
        <v>2054</v>
      </c>
      <c r="H179" s="2" t="s">
        <v>339</v>
      </c>
      <c r="I179" s="2" t="s">
        <v>773</v>
      </c>
      <c r="J179" s="2" t="s">
        <v>30</v>
      </c>
      <c r="K179" s="2" t="s">
        <v>30</v>
      </c>
      <c r="L179" s="2" t="s">
        <v>345</v>
      </c>
      <c r="M179" s="2" t="s">
        <v>65</v>
      </c>
      <c r="N179" s="2" t="s">
        <v>464</v>
      </c>
      <c r="O179" s="2" t="s">
        <v>159</v>
      </c>
      <c r="P179" s="2" t="s">
        <v>132</v>
      </c>
      <c r="Q179" s="2" t="s">
        <v>431</v>
      </c>
      <c r="R179" s="2" t="s">
        <v>424</v>
      </c>
      <c r="S179" s="2" t="s">
        <v>44</v>
      </c>
      <c r="T179" s="155">
        <v>4.8170000000000002</v>
      </c>
      <c r="U179" s="2" t="s">
        <v>2055</v>
      </c>
      <c r="V179" s="166">
        <v>2.47E-2</v>
      </c>
      <c r="W179" s="168">
        <v>2.4309999999999998E-2</v>
      </c>
      <c r="X179" s="4" t="s">
        <v>430</v>
      </c>
      <c r="Y179" s="4" t="s">
        <v>159</v>
      </c>
      <c r="Z179" s="155">
        <v>150000</v>
      </c>
      <c r="AA179" s="162">
        <v>1</v>
      </c>
      <c r="AB179" s="179">
        <v>104.01</v>
      </c>
      <c r="AD179" s="155">
        <v>156.01499999999999</v>
      </c>
      <c r="AG179" s="2" t="s">
        <v>36</v>
      </c>
      <c r="AH179" s="168">
        <v>5.1999999999999997E-5</v>
      </c>
      <c r="AI179" s="168">
        <v>1.18419141232612E-2</v>
      </c>
      <c r="AJ179" s="168">
        <v>3.0633255546870901E-3</v>
      </c>
    </row>
    <row r="180" spans="1:36">
      <c r="A180" s="2">
        <v>288</v>
      </c>
      <c r="B180" s="2">
        <v>1451</v>
      </c>
      <c r="C180" s="2" t="s">
        <v>1739</v>
      </c>
      <c r="D180" s="2" t="s">
        <v>1740</v>
      </c>
      <c r="E180" s="4" t="s">
        <v>1333</v>
      </c>
      <c r="F180" s="2" t="s">
        <v>2056</v>
      </c>
      <c r="G180" s="2" t="s">
        <v>2057</v>
      </c>
      <c r="H180" s="2" t="s">
        <v>339</v>
      </c>
      <c r="I180" s="2" t="s">
        <v>986</v>
      </c>
      <c r="J180" s="2" t="s">
        <v>30</v>
      </c>
      <c r="K180" s="2" t="s">
        <v>30</v>
      </c>
      <c r="L180" s="2" t="s">
        <v>345</v>
      </c>
      <c r="M180" s="2" t="s">
        <v>65</v>
      </c>
      <c r="N180" s="2" t="s">
        <v>453</v>
      </c>
      <c r="O180" s="2" t="s">
        <v>159</v>
      </c>
      <c r="P180" s="2" t="s">
        <v>1979</v>
      </c>
      <c r="Q180" s="2" t="s">
        <v>431</v>
      </c>
      <c r="R180" s="2" t="s">
        <v>424</v>
      </c>
      <c r="S180" s="2" t="s">
        <v>44</v>
      </c>
      <c r="T180" s="155">
        <v>2.0129999999999999</v>
      </c>
      <c r="U180" s="2" t="s">
        <v>2058</v>
      </c>
      <c r="V180" s="166">
        <v>0.05</v>
      </c>
      <c r="W180" s="168">
        <v>4.9630000000000001E-2</v>
      </c>
      <c r="X180" s="4" t="s">
        <v>430</v>
      </c>
      <c r="Y180" s="4" t="s">
        <v>159</v>
      </c>
      <c r="Z180" s="155">
        <v>133333.49</v>
      </c>
      <c r="AA180" s="162">
        <v>1</v>
      </c>
      <c r="AB180" s="179">
        <v>101.87</v>
      </c>
      <c r="AD180" s="155">
        <v>135.827</v>
      </c>
      <c r="AG180" s="2" t="s">
        <v>36</v>
      </c>
      <c r="AH180" s="168">
        <v>5.9699999999999998E-4</v>
      </c>
      <c r="AI180" s="168">
        <v>1.03095831313756E-2</v>
      </c>
      <c r="AJ180" s="168">
        <v>2.6669345120885202E-3</v>
      </c>
    </row>
    <row r="181" spans="1:36">
      <c r="A181" s="2">
        <v>288</v>
      </c>
      <c r="B181" s="2">
        <v>1451</v>
      </c>
      <c r="C181" s="2" t="s">
        <v>2059</v>
      </c>
      <c r="D181" s="2" t="s">
        <v>2060</v>
      </c>
      <c r="E181" s="4" t="s">
        <v>1333</v>
      </c>
      <c r="F181" s="2" t="s">
        <v>2061</v>
      </c>
      <c r="G181" s="2" t="s">
        <v>2062</v>
      </c>
      <c r="H181" s="2" t="s">
        <v>339</v>
      </c>
      <c r="I181" s="2" t="s">
        <v>773</v>
      </c>
      <c r="J181" s="2" t="s">
        <v>30</v>
      </c>
      <c r="K181" s="2" t="s">
        <v>30</v>
      </c>
      <c r="L181" s="2" t="s">
        <v>345</v>
      </c>
      <c r="M181" s="2" t="s">
        <v>65</v>
      </c>
      <c r="N181" s="2" t="s">
        <v>480</v>
      </c>
      <c r="O181" s="2" t="s">
        <v>159</v>
      </c>
      <c r="P181" s="2" t="s">
        <v>1997</v>
      </c>
      <c r="Q181" s="2" t="s">
        <v>431</v>
      </c>
      <c r="R181" s="2" t="s">
        <v>424</v>
      </c>
      <c r="S181" s="2" t="s">
        <v>44</v>
      </c>
      <c r="T181" s="155">
        <v>2.7250000000000001</v>
      </c>
      <c r="U181" s="2" t="s">
        <v>2063</v>
      </c>
      <c r="V181" s="166">
        <v>1.7999999999999999E-2</v>
      </c>
      <c r="W181" s="168">
        <v>2.852E-2</v>
      </c>
      <c r="X181" s="4" t="s">
        <v>430</v>
      </c>
      <c r="Y181" s="4" t="s">
        <v>159</v>
      </c>
      <c r="Z181" s="155">
        <v>194066.01</v>
      </c>
      <c r="AA181" s="162">
        <v>1</v>
      </c>
      <c r="AB181" s="179">
        <v>113.09</v>
      </c>
      <c r="AD181" s="155">
        <v>219.46899999999999</v>
      </c>
      <c r="AG181" s="2" t="s">
        <v>36</v>
      </c>
      <c r="AH181" s="168">
        <v>2.6200000000000003E-4</v>
      </c>
      <c r="AI181" s="168">
        <v>1.6658244525157601E-2</v>
      </c>
      <c r="AJ181" s="168">
        <v>4.3092379845842202E-3</v>
      </c>
    </row>
    <row r="182" spans="1:36">
      <c r="A182" s="2">
        <v>288</v>
      </c>
      <c r="B182" s="2">
        <v>1451</v>
      </c>
      <c r="C182" s="2" t="s">
        <v>2059</v>
      </c>
      <c r="D182" s="2" t="s">
        <v>2060</v>
      </c>
      <c r="E182" s="4" t="s">
        <v>1333</v>
      </c>
      <c r="F182" s="2" t="s">
        <v>2064</v>
      </c>
      <c r="G182" s="2" t="s">
        <v>2065</v>
      </c>
      <c r="H182" s="2" t="s">
        <v>339</v>
      </c>
      <c r="I182" s="2" t="s">
        <v>773</v>
      </c>
      <c r="J182" s="2" t="s">
        <v>30</v>
      </c>
      <c r="K182" s="2" t="s">
        <v>30</v>
      </c>
      <c r="L182" s="2" t="s">
        <v>345</v>
      </c>
      <c r="M182" s="2" t="s">
        <v>65</v>
      </c>
      <c r="N182" s="2" t="s">
        <v>480</v>
      </c>
      <c r="O182" s="2" t="s">
        <v>159</v>
      </c>
      <c r="P182" s="2" t="s">
        <v>1962</v>
      </c>
      <c r="Q182" s="2" t="s">
        <v>431</v>
      </c>
      <c r="R182" s="2" t="s">
        <v>424</v>
      </c>
      <c r="S182" s="2" t="s">
        <v>44</v>
      </c>
      <c r="T182" s="155">
        <v>1.458</v>
      </c>
      <c r="U182" s="2" t="s">
        <v>2042</v>
      </c>
      <c r="V182" s="166">
        <v>2.2499999999999999E-2</v>
      </c>
      <c r="W182" s="168">
        <v>2.929E-2</v>
      </c>
      <c r="X182" s="4" t="s">
        <v>430</v>
      </c>
      <c r="Y182" s="4" t="s">
        <v>159</v>
      </c>
      <c r="Z182" s="155">
        <v>60000.02</v>
      </c>
      <c r="AA182" s="162">
        <v>1</v>
      </c>
      <c r="AB182" s="179">
        <v>114.85</v>
      </c>
      <c r="AD182" s="155">
        <v>68.91</v>
      </c>
      <c r="AG182" s="2" t="s">
        <v>36</v>
      </c>
      <c r="AH182" s="168">
        <v>1.6000000000000001E-4</v>
      </c>
      <c r="AI182" s="168">
        <v>5.2304366518776896E-3</v>
      </c>
      <c r="AJ182" s="168">
        <v>1.35303550516345E-3</v>
      </c>
    </row>
    <row r="183" spans="1:36">
      <c r="A183" s="2">
        <v>288</v>
      </c>
      <c r="B183" s="2">
        <v>1451</v>
      </c>
      <c r="C183" s="2" t="s">
        <v>1640</v>
      </c>
      <c r="D183" s="2" t="s">
        <v>1641</v>
      </c>
      <c r="E183" s="4" t="s">
        <v>1333</v>
      </c>
      <c r="F183" s="2" t="s">
        <v>2066</v>
      </c>
      <c r="G183" s="2" t="s">
        <v>2067</v>
      </c>
      <c r="H183" s="2" t="s">
        <v>339</v>
      </c>
      <c r="I183" s="2" t="s">
        <v>773</v>
      </c>
      <c r="J183" s="2" t="s">
        <v>30</v>
      </c>
      <c r="K183" s="2" t="s">
        <v>30</v>
      </c>
      <c r="L183" s="2" t="s">
        <v>345</v>
      </c>
      <c r="M183" s="2" t="s">
        <v>65</v>
      </c>
      <c r="N183" s="2" t="s">
        <v>461</v>
      </c>
      <c r="O183" s="2" t="s">
        <v>159</v>
      </c>
      <c r="P183" s="2" t="s">
        <v>1968</v>
      </c>
      <c r="Q183" s="2" t="s">
        <v>431</v>
      </c>
      <c r="R183" s="2" t="s">
        <v>424</v>
      </c>
      <c r="S183" s="2" t="s">
        <v>44</v>
      </c>
      <c r="T183" s="155">
        <v>4.2949999999999999</v>
      </c>
      <c r="U183" s="2" t="s">
        <v>2068</v>
      </c>
      <c r="V183" s="166">
        <v>4.4000000000000003E-3</v>
      </c>
      <c r="W183" s="168">
        <v>2.496E-2</v>
      </c>
      <c r="X183" s="4" t="s">
        <v>430</v>
      </c>
      <c r="Y183" s="4" t="s">
        <v>159</v>
      </c>
      <c r="Z183" s="155">
        <v>200342.6</v>
      </c>
      <c r="AA183" s="162">
        <v>1</v>
      </c>
      <c r="AB183" s="179">
        <v>105.47</v>
      </c>
      <c r="AD183" s="155">
        <v>211.30099999999999</v>
      </c>
      <c r="AG183" s="2" t="s">
        <v>36</v>
      </c>
      <c r="AH183" s="168">
        <v>2.3499999999999999E-4</v>
      </c>
      <c r="AI183" s="168">
        <v>1.6038280453900201E-2</v>
      </c>
      <c r="AJ183" s="168">
        <v>4.1488625788261204E-3</v>
      </c>
    </row>
    <row r="184" spans="1:36">
      <c r="A184" s="2">
        <v>288</v>
      </c>
      <c r="B184" s="2">
        <v>1451</v>
      </c>
      <c r="C184" s="2" t="s">
        <v>1743</v>
      </c>
      <c r="D184" s="2" t="s">
        <v>1744</v>
      </c>
      <c r="E184" s="4" t="s">
        <v>1333</v>
      </c>
      <c r="F184" s="2" t="s">
        <v>2077</v>
      </c>
      <c r="G184" s="2" t="s">
        <v>2078</v>
      </c>
      <c r="H184" s="2" t="s">
        <v>339</v>
      </c>
      <c r="I184" s="2" t="s">
        <v>986</v>
      </c>
      <c r="J184" s="2" t="s">
        <v>30</v>
      </c>
      <c r="K184" s="2" t="s">
        <v>30</v>
      </c>
      <c r="L184" s="2" t="s">
        <v>345</v>
      </c>
      <c r="M184" s="2" t="s">
        <v>65</v>
      </c>
      <c r="N184" s="2" t="s">
        <v>461</v>
      </c>
      <c r="O184" s="2" t="s">
        <v>159</v>
      </c>
      <c r="P184" s="2" t="s">
        <v>1968</v>
      </c>
      <c r="Q184" s="2" t="s">
        <v>433</v>
      </c>
      <c r="R184" s="2" t="s">
        <v>424</v>
      </c>
      <c r="S184" s="2" t="s">
        <v>44</v>
      </c>
      <c r="T184" s="155">
        <v>5.093</v>
      </c>
      <c r="U184" s="2" t="s">
        <v>2079</v>
      </c>
      <c r="V184" s="166">
        <v>1.95E-2</v>
      </c>
      <c r="W184" s="168">
        <v>4.8559999999999999E-2</v>
      </c>
      <c r="X184" s="4" t="s">
        <v>430</v>
      </c>
      <c r="Y184" s="4" t="s">
        <v>159</v>
      </c>
      <c r="Z184" s="155">
        <v>277581.40999999997</v>
      </c>
      <c r="AA184" s="162">
        <v>1</v>
      </c>
      <c r="AB184" s="179">
        <v>86.35</v>
      </c>
      <c r="AD184" s="155">
        <v>239.69200000000001</v>
      </c>
      <c r="AG184" s="2" t="s">
        <v>36</v>
      </c>
      <c r="AH184" s="168">
        <v>2.7700000000000001E-4</v>
      </c>
      <c r="AI184" s="168">
        <v>1.81931655416534E-2</v>
      </c>
      <c r="AJ184" s="168">
        <v>4.7062990276990103E-3</v>
      </c>
    </row>
    <row r="185" spans="1:36">
      <c r="A185" s="2">
        <v>288</v>
      </c>
      <c r="B185" s="2">
        <v>1451</v>
      </c>
      <c r="C185" s="2" t="s">
        <v>2438</v>
      </c>
      <c r="D185" s="2" t="s">
        <v>2439</v>
      </c>
      <c r="E185" s="4" t="s">
        <v>1333</v>
      </c>
      <c r="F185" s="2" t="s">
        <v>2440</v>
      </c>
      <c r="G185" s="2" t="s">
        <v>2441</v>
      </c>
      <c r="H185" s="2" t="s">
        <v>339</v>
      </c>
      <c r="I185" s="2" t="s">
        <v>986</v>
      </c>
      <c r="J185" s="2" t="s">
        <v>30</v>
      </c>
      <c r="K185" s="2" t="s">
        <v>30</v>
      </c>
      <c r="L185" s="2" t="s">
        <v>345</v>
      </c>
      <c r="M185" s="2" t="s">
        <v>65</v>
      </c>
      <c r="N185" s="2" t="s">
        <v>480</v>
      </c>
      <c r="O185" s="2" t="s">
        <v>159</v>
      </c>
      <c r="P185" s="2" t="s">
        <v>1968</v>
      </c>
      <c r="Q185" s="2" t="s">
        <v>431</v>
      </c>
      <c r="R185" s="2" t="s">
        <v>424</v>
      </c>
      <c r="S185" s="2" t="s">
        <v>44</v>
      </c>
      <c r="T185" s="155">
        <v>0.48199999999999998</v>
      </c>
      <c r="U185" s="2" t="s">
        <v>2442</v>
      </c>
      <c r="V185" s="166">
        <v>2.5499999999999998E-2</v>
      </c>
      <c r="W185" s="168">
        <v>4.5569999999999999E-2</v>
      </c>
      <c r="X185" s="4" t="s">
        <v>430</v>
      </c>
      <c r="Y185" s="4" t="s">
        <v>159</v>
      </c>
      <c r="Z185" s="155">
        <v>7200</v>
      </c>
      <c r="AA185" s="162">
        <v>1</v>
      </c>
      <c r="AB185" s="179">
        <v>99.11</v>
      </c>
      <c r="AD185" s="155">
        <v>7.1360000000000001</v>
      </c>
      <c r="AG185" s="2" t="s">
        <v>36</v>
      </c>
      <c r="AH185" s="168">
        <v>1.07E-4</v>
      </c>
      <c r="AI185" s="168">
        <v>5.4163350851175898E-4</v>
      </c>
      <c r="AJ185" s="168">
        <v>1.4011246413615799E-4</v>
      </c>
    </row>
    <row r="186" spans="1:36">
      <c r="A186" s="2">
        <v>288</v>
      </c>
      <c r="B186" s="2">
        <v>1451</v>
      </c>
      <c r="C186" s="2" t="s">
        <v>2080</v>
      </c>
      <c r="D186" s="2" t="s">
        <v>2081</v>
      </c>
      <c r="E186" s="4" t="s">
        <v>1333</v>
      </c>
      <c r="F186" s="2" t="s">
        <v>2443</v>
      </c>
      <c r="G186" s="2" t="s">
        <v>2444</v>
      </c>
      <c r="H186" s="2" t="s">
        <v>339</v>
      </c>
      <c r="I186" s="2" t="s">
        <v>986</v>
      </c>
      <c r="J186" s="2" t="s">
        <v>30</v>
      </c>
      <c r="K186" s="2" t="s">
        <v>30</v>
      </c>
      <c r="L186" s="2" t="s">
        <v>345</v>
      </c>
      <c r="M186" s="2" t="s">
        <v>65</v>
      </c>
      <c r="N186" s="2" t="s">
        <v>467</v>
      </c>
      <c r="O186" s="2" t="s">
        <v>159</v>
      </c>
      <c r="P186" s="2" t="s">
        <v>1956</v>
      </c>
      <c r="Q186" s="2" t="s">
        <v>431</v>
      </c>
      <c r="R186" s="2" t="s">
        <v>424</v>
      </c>
      <c r="S186" s="2" t="s">
        <v>44</v>
      </c>
      <c r="T186" s="155">
        <v>1.24</v>
      </c>
      <c r="U186" s="2" t="s">
        <v>2132</v>
      </c>
      <c r="V186" s="166">
        <v>3.5999999999999997E-2</v>
      </c>
      <c r="W186" s="168">
        <v>4.8730000000000002E-2</v>
      </c>
      <c r="X186" s="4" t="s">
        <v>430</v>
      </c>
      <c r="Y186" s="4" t="s">
        <v>159</v>
      </c>
      <c r="Z186" s="155">
        <v>103448.28</v>
      </c>
      <c r="AA186" s="162">
        <v>1</v>
      </c>
      <c r="AB186" s="179">
        <v>99.43</v>
      </c>
      <c r="AD186" s="155">
        <v>102.85899999999999</v>
      </c>
      <c r="AG186" s="2" t="s">
        <v>36</v>
      </c>
      <c r="AH186" s="168">
        <v>4.9799999999999996E-4</v>
      </c>
      <c r="AI186" s="168">
        <v>7.8072172660687304E-3</v>
      </c>
      <c r="AJ186" s="168">
        <v>2.0196099982826301E-3</v>
      </c>
    </row>
    <row r="187" spans="1:36">
      <c r="A187" s="2">
        <v>288</v>
      </c>
      <c r="B187" s="2">
        <v>1451</v>
      </c>
      <c r="C187" s="2" t="s">
        <v>2080</v>
      </c>
      <c r="D187" s="2" t="s">
        <v>2081</v>
      </c>
      <c r="E187" s="4" t="s">
        <v>1333</v>
      </c>
      <c r="F187" s="2" t="s">
        <v>2082</v>
      </c>
      <c r="G187" s="2" t="s">
        <v>2083</v>
      </c>
      <c r="H187" s="2" t="s">
        <v>339</v>
      </c>
      <c r="I187" s="2" t="s">
        <v>986</v>
      </c>
      <c r="J187" s="2" t="s">
        <v>30</v>
      </c>
      <c r="K187" s="2" t="s">
        <v>30</v>
      </c>
      <c r="L187" s="2" t="s">
        <v>345</v>
      </c>
      <c r="M187" s="2" t="s">
        <v>65</v>
      </c>
      <c r="N187" s="2" t="s">
        <v>467</v>
      </c>
      <c r="O187" s="2" t="s">
        <v>159</v>
      </c>
      <c r="P187" s="2" t="s">
        <v>1956</v>
      </c>
      <c r="Q187" s="2" t="s">
        <v>431</v>
      </c>
      <c r="R187" s="2" t="s">
        <v>424</v>
      </c>
      <c r="S187" s="2" t="s">
        <v>44</v>
      </c>
      <c r="T187" s="155">
        <v>2.1040000000000001</v>
      </c>
      <c r="U187" s="2" t="s">
        <v>2084</v>
      </c>
      <c r="V187" s="166">
        <v>2.1999999999999999E-2</v>
      </c>
      <c r="W187" s="168">
        <v>4.913E-2</v>
      </c>
      <c r="X187" s="4" t="s">
        <v>430</v>
      </c>
      <c r="Y187" s="4" t="s">
        <v>159</v>
      </c>
      <c r="Z187" s="155">
        <v>198034.75</v>
      </c>
      <c r="AA187" s="162">
        <v>1</v>
      </c>
      <c r="AB187" s="179">
        <v>94.62</v>
      </c>
      <c r="AD187" s="155">
        <v>187.38</v>
      </c>
      <c r="AG187" s="2" t="s">
        <v>36</v>
      </c>
      <c r="AH187" s="168">
        <v>1.83E-4</v>
      </c>
      <c r="AI187" s="168">
        <v>1.4222629605258E-2</v>
      </c>
      <c r="AJ187" s="168">
        <v>3.6791809390893798E-3</v>
      </c>
    </row>
    <row r="188" spans="1:36">
      <c r="A188" s="2">
        <v>288</v>
      </c>
      <c r="B188" s="2">
        <v>1451</v>
      </c>
      <c r="C188" s="2" t="s">
        <v>2085</v>
      </c>
      <c r="D188" s="2" t="s">
        <v>2086</v>
      </c>
      <c r="E188" s="4" t="s">
        <v>1333</v>
      </c>
      <c r="F188" s="2" t="s">
        <v>2087</v>
      </c>
      <c r="G188" s="2" t="s">
        <v>2088</v>
      </c>
      <c r="H188" s="2" t="s">
        <v>339</v>
      </c>
      <c r="I188" s="2" t="s">
        <v>773</v>
      </c>
      <c r="J188" s="2" t="s">
        <v>30</v>
      </c>
      <c r="K188" s="2" t="s">
        <v>30</v>
      </c>
      <c r="L188" s="2" t="s">
        <v>345</v>
      </c>
      <c r="M188" s="2" t="s">
        <v>65</v>
      </c>
      <c r="N188" s="2" t="s">
        <v>456</v>
      </c>
      <c r="O188" s="2" t="s">
        <v>159</v>
      </c>
      <c r="P188" s="2" t="s">
        <v>126</v>
      </c>
      <c r="Q188" s="2" t="s">
        <v>431</v>
      </c>
      <c r="R188" s="2" t="s">
        <v>424</v>
      </c>
      <c r="S188" s="2" t="s">
        <v>44</v>
      </c>
      <c r="T188" s="155">
        <v>0.64500000000000002</v>
      </c>
      <c r="U188" s="2" t="s">
        <v>2089</v>
      </c>
      <c r="V188" s="166">
        <v>4.4999999999999998E-2</v>
      </c>
      <c r="W188" s="168">
        <v>2.8240000000000001E-2</v>
      </c>
      <c r="X188" s="4" t="s">
        <v>430</v>
      </c>
      <c r="Y188" s="4" t="s">
        <v>159</v>
      </c>
      <c r="Z188" s="155">
        <v>236442</v>
      </c>
      <c r="AA188" s="162">
        <v>1</v>
      </c>
      <c r="AB188" s="179">
        <v>119.91</v>
      </c>
      <c r="AD188" s="155">
        <v>283.51799999999997</v>
      </c>
      <c r="AG188" s="2" t="s">
        <v>36</v>
      </c>
      <c r="AH188" s="168">
        <v>8.0000000000000007E-5</v>
      </c>
      <c r="AI188" s="168">
        <v>2.1519668606770698E-2</v>
      </c>
      <c r="AJ188" s="168">
        <v>5.5668154730177796E-3</v>
      </c>
    </row>
    <row r="189" spans="1:36">
      <c r="A189" s="2">
        <v>288</v>
      </c>
      <c r="B189" s="2">
        <v>1451</v>
      </c>
      <c r="C189" s="2" t="s">
        <v>2085</v>
      </c>
      <c r="D189" s="2" t="s">
        <v>2086</v>
      </c>
      <c r="E189" s="4" t="s">
        <v>1333</v>
      </c>
      <c r="F189" s="2" t="s">
        <v>2090</v>
      </c>
      <c r="G189" s="2" t="s">
        <v>2091</v>
      </c>
      <c r="H189" s="2" t="s">
        <v>339</v>
      </c>
      <c r="I189" s="2" t="s">
        <v>773</v>
      </c>
      <c r="J189" s="2" t="s">
        <v>30</v>
      </c>
      <c r="K189" s="2" t="s">
        <v>30</v>
      </c>
      <c r="L189" s="2" t="s">
        <v>345</v>
      </c>
      <c r="M189" s="2" t="s">
        <v>65</v>
      </c>
      <c r="N189" s="2" t="s">
        <v>456</v>
      </c>
      <c r="O189" s="2" t="s">
        <v>159</v>
      </c>
      <c r="P189" s="2" t="s">
        <v>126</v>
      </c>
      <c r="Q189" s="2" t="s">
        <v>431</v>
      </c>
      <c r="R189" s="2" t="s">
        <v>424</v>
      </c>
      <c r="S189" s="2" t="s">
        <v>44</v>
      </c>
      <c r="T189" s="155">
        <v>3.1850000000000001</v>
      </c>
      <c r="U189" s="2" t="s">
        <v>2092</v>
      </c>
      <c r="V189" s="166">
        <v>3.85E-2</v>
      </c>
      <c r="W189" s="168">
        <v>2.4279999999999999E-2</v>
      </c>
      <c r="X189" s="4" t="s">
        <v>430</v>
      </c>
      <c r="Y189" s="4" t="s">
        <v>159</v>
      </c>
      <c r="Z189" s="155">
        <v>228577.36</v>
      </c>
      <c r="AA189" s="162">
        <v>1</v>
      </c>
      <c r="AB189" s="179">
        <v>122.39</v>
      </c>
      <c r="AD189" s="155">
        <v>279.75599999999997</v>
      </c>
      <c r="AG189" s="2" t="s">
        <v>36</v>
      </c>
      <c r="AH189" s="168">
        <v>8.8999999999999995E-5</v>
      </c>
      <c r="AI189" s="168">
        <v>2.1234141108526401E-2</v>
      </c>
      <c r="AJ189" s="168">
        <v>5.4929537921414202E-3</v>
      </c>
    </row>
    <row r="190" spans="1:36">
      <c r="A190" s="2">
        <v>288</v>
      </c>
      <c r="B190" s="2">
        <v>1451</v>
      </c>
      <c r="C190" s="2" t="s">
        <v>2085</v>
      </c>
      <c r="D190" s="2" t="s">
        <v>2086</v>
      </c>
      <c r="E190" s="4" t="s">
        <v>1333</v>
      </c>
      <c r="F190" s="2" t="s">
        <v>2093</v>
      </c>
      <c r="G190" s="2" t="s">
        <v>2094</v>
      </c>
      <c r="H190" s="2" t="s">
        <v>339</v>
      </c>
      <c r="I190" s="2" t="s">
        <v>773</v>
      </c>
      <c r="J190" s="2" t="s">
        <v>30</v>
      </c>
      <c r="K190" s="2" t="s">
        <v>30</v>
      </c>
      <c r="L190" s="2" t="s">
        <v>345</v>
      </c>
      <c r="M190" s="2" t="s">
        <v>65</v>
      </c>
      <c r="N190" s="2" t="s">
        <v>456</v>
      </c>
      <c r="O190" s="2" t="s">
        <v>159</v>
      </c>
      <c r="P190" s="2" t="s">
        <v>126</v>
      </c>
      <c r="Q190" s="2" t="s">
        <v>431</v>
      </c>
      <c r="R190" s="2" t="s">
        <v>424</v>
      </c>
      <c r="S190" s="2" t="s">
        <v>44</v>
      </c>
      <c r="T190" s="155">
        <v>5.55</v>
      </c>
      <c r="U190" s="2" t="s">
        <v>2095</v>
      </c>
      <c r="V190" s="166">
        <v>2.3900000000000001E-2</v>
      </c>
      <c r="W190" s="168">
        <v>2.5940000000000001E-2</v>
      </c>
      <c r="X190" s="4" t="s">
        <v>430</v>
      </c>
      <c r="Y190" s="4" t="s">
        <v>159</v>
      </c>
      <c r="Z190" s="155">
        <v>200000</v>
      </c>
      <c r="AA190" s="162">
        <v>1</v>
      </c>
      <c r="AB190" s="179">
        <v>114.47</v>
      </c>
      <c r="AD190" s="155">
        <v>228.94</v>
      </c>
      <c r="AG190" s="2" t="s">
        <v>36</v>
      </c>
      <c r="AH190" s="168">
        <v>5.1E-5</v>
      </c>
      <c r="AI190" s="168">
        <v>1.7377097198214401E-2</v>
      </c>
      <c r="AJ190" s="168">
        <v>4.4951943882964003E-3</v>
      </c>
    </row>
    <row r="191" spans="1:36">
      <c r="A191" s="2">
        <v>288</v>
      </c>
      <c r="B191" s="2">
        <v>1451</v>
      </c>
      <c r="C191" s="2" t="s">
        <v>2085</v>
      </c>
      <c r="D191" s="2" t="s">
        <v>2086</v>
      </c>
      <c r="E191" s="4" t="s">
        <v>1333</v>
      </c>
      <c r="F191" s="2" t="s">
        <v>2096</v>
      </c>
      <c r="G191" s="2" t="s">
        <v>2097</v>
      </c>
      <c r="H191" s="2" t="s">
        <v>339</v>
      </c>
      <c r="I191" s="2" t="s">
        <v>773</v>
      </c>
      <c r="J191" s="2" t="s">
        <v>30</v>
      </c>
      <c r="K191" s="2" t="s">
        <v>30</v>
      </c>
      <c r="L191" s="2" t="s">
        <v>345</v>
      </c>
      <c r="M191" s="2" t="s">
        <v>65</v>
      </c>
      <c r="N191" s="2" t="s">
        <v>456</v>
      </c>
      <c r="O191" s="2" t="s">
        <v>159</v>
      </c>
      <c r="P191" s="2" t="s">
        <v>126</v>
      </c>
      <c r="Q191" s="2" t="s">
        <v>431</v>
      </c>
      <c r="R191" s="2" t="s">
        <v>424</v>
      </c>
      <c r="S191" s="2" t="s">
        <v>44</v>
      </c>
      <c r="T191" s="155">
        <v>10.53</v>
      </c>
      <c r="U191" s="2" t="s">
        <v>2098</v>
      </c>
      <c r="V191" s="166">
        <v>1.2500000000000001E-2</v>
      </c>
      <c r="W191" s="168">
        <v>3.0120000000000001E-2</v>
      </c>
      <c r="X191" s="4" t="s">
        <v>430</v>
      </c>
      <c r="Y191" s="4" t="s">
        <v>159</v>
      </c>
      <c r="Z191" s="155">
        <v>155000</v>
      </c>
      <c r="AA191" s="162">
        <v>1</v>
      </c>
      <c r="AB191" s="179">
        <v>95.26</v>
      </c>
      <c r="AD191" s="155">
        <v>147.65299999999999</v>
      </c>
      <c r="AG191" s="2" t="s">
        <v>36</v>
      </c>
      <c r="AH191" s="168">
        <v>3.6000000000000001E-5</v>
      </c>
      <c r="AI191" s="168">
        <v>1.12072181908271E-2</v>
      </c>
      <c r="AJ191" s="168">
        <v>2.8991392374208402E-3</v>
      </c>
    </row>
    <row r="192" spans="1:36">
      <c r="A192" s="2">
        <v>288</v>
      </c>
      <c r="B192" s="2">
        <v>1451</v>
      </c>
      <c r="C192" s="2" t="s">
        <v>2085</v>
      </c>
      <c r="D192" s="2" t="s">
        <v>2086</v>
      </c>
      <c r="E192" s="4" t="s">
        <v>1333</v>
      </c>
      <c r="F192" s="2" t="s">
        <v>2099</v>
      </c>
      <c r="G192" s="2" t="s">
        <v>2100</v>
      </c>
      <c r="H192" s="2" t="s">
        <v>339</v>
      </c>
      <c r="I192" s="2" t="s">
        <v>773</v>
      </c>
      <c r="J192" s="2" t="s">
        <v>30</v>
      </c>
      <c r="K192" s="2" t="s">
        <v>30</v>
      </c>
      <c r="L192" s="2" t="s">
        <v>345</v>
      </c>
      <c r="M192" s="2" t="s">
        <v>65</v>
      </c>
      <c r="N192" s="2" t="s">
        <v>456</v>
      </c>
      <c r="O192" s="2" t="s">
        <v>159</v>
      </c>
      <c r="P192" s="2" t="s">
        <v>126</v>
      </c>
      <c r="Q192" s="2" t="s">
        <v>431</v>
      </c>
      <c r="R192" s="2" t="s">
        <v>424</v>
      </c>
      <c r="S192" s="2" t="s">
        <v>44</v>
      </c>
      <c r="T192" s="155">
        <v>7.5179999999999998</v>
      </c>
      <c r="U192" s="2" t="s">
        <v>2101</v>
      </c>
      <c r="V192" s="166">
        <v>0.03</v>
      </c>
      <c r="W192" s="168">
        <v>2.87E-2</v>
      </c>
      <c r="X192" s="4" t="s">
        <v>430</v>
      </c>
      <c r="Y192" s="4" t="s">
        <v>159</v>
      </c>
      <c r="Z192" s="155">
        <v>148000</v>
      </c>
      <c r="AA192" s="162">
        <v>1</v>
      </c>
      <c r="AB192" s="179">
        <v>105.85</v>
      </c>
      <c r="AD192" s="155">
        <v>156.65799999999999</v>
      </c>
      <c r="AG192" s="2" t="s">
        <v>36</v>
      </c>
      <c r="AH192" s="168">
        <v>3.6000000000000001E-5</v>
      </c>
      <c r="AI192" s="168">
        <v>1.18907193713544E-2</v>
      </c>
      <c r="AJ192" s="168">
        <v>3.0759507402888801E-3</v>
      </c>
    </row>
    <row r="193" spans="1:36">
      <c r="A193" s="2">
        <v>288</v>
      </c>
      <c r="B193" s="2">
        <v>1451</v>
      </c>
      <c r="C193" s="2" t="s">
        <v>2445</v>
      </c>
      <c r="D193" s="2" t="s">
        <v>2446</v>
      </c>
      <c r="E193" s="4" t="s">
        <v>1333</v>
      </c>
      <c r="F193" s="2" t="s">
        <v>2447</v>
      </c>
      <c r="G193" s="2" t="s">
        <v>2448</v>
      </c>
      <c r="H193" s="2" t="s">
        <v>339</v>
      </c>
      <c r="I193" s="2" t="s">
        <v>773</v>
      </c>
      <c r="J193" s="2" t="s">
        <v>30</v>
      </c>
      <c r="K193" s="2" t="s">
        <v>30</v>
      </c>
      <c r="L193" s="2" t="s">
        <v>345</v>
      </c>
      <c r="M193" s="2" t="s">
        <v>65</v>
      </c>
      <c r="N193" s="2" t="s">
        <v>478</v>
      </c>
      <c r="O193" s="2" t="s">
        <v>159</v>
      </c>
      <c r="P193" s="2" t="s">
        <v>1979</v>
      </c>
      <c r="Q193" s="2" t="s">
        <v>431</v>
      </c>
      <c r="R193" s="2" t="s">
        <v>424</v>
      </c>
      <c r="S193" s="2" t="s">
        <v>44</v>
      </c>
      <c r="T193" s="155">
        <v>2.9510000000000001</v>
      </c>
      <c r="U193" s="2" t="s">
        <v>2449</v>
      </c>
      <c r="V193" s="166">
        <v>2.1999999999999999E-2</v>
      </c>
      <c r="W193" s="168">
        <v>2.7570000000000001E-2</v>
      </c>
      <c r="X193" s="4" t="s">
        <v>430</v>
      </c>
      <c r="Y193" s="4" t="s">
        <v>159</v>
      </c>
      <c r="Z193" s="155">
        <v>92592.6</v>
      </c>
      <c r="AA193" s="162">
        <v>1</v>
      </c>
      <c r="AB193" s="179">
        <v>105.56</v>
      </c>
      <c r="AD193" s="155">
        <v>97.741</v>
      </c>
      <c r="AG193" s="2" t="s">
        <v>36</v>
      </c>
      <c r="AH193" s="168">
        <v>2.8499999999999999E-4</v>
      </c>
      <c r="AI193" s="168">
        <v>7.4187581372995399E-3</v>
      </c>
      <c r="AJ193" s="168">
        <v>1.91912144856644E-3</v>
      </c>
    </row>
    <row r="194" spans="1:36">
      <c r="A194" s="2">
        <v>288</v>
      </c>
      <c r="B194" s="2">
        <v>1451</v>
      </c>
      <c r="C194" s="2" t="s">
        <v>2102</v>
      </c>
      <c r="D194" s="2" t="s">
        <v>2103</v>
      </c>
      <c r="E194" s="4" t="s">
        <v>330</v>
      </c>
      <c r="F194" s="2" t="s">
        <v>2450</v>
      </c>
      <c r="G194" s="2" t="s">
        <v>2451</v>
      </c>
      <c r="H194" s="2" t="s">
        <v>339</v>
      </c>
      <c r="I194" s="2" t="s">
        <v>986</v>
      </c>
      <c r="J194" s="2" t="s">
        <v>30</v>
      </c>
      <c r="K194" s="2" t="s">
        <v>30</v>
      </c>
      <c r="L194" s="2" t="s">
        <v>345</v>
      </c>
      <c r="M194" s="2" t="s">
        <v>65</v>
      </c>
      <c r="N194" s="2" t="s">
        <v>470</v>
      </c>
      <c r="O194" s="2" t="s">
        <v>159</v>
      </c>
      <c r="P194" s="2" t="s">
        <v>1968</v>
      </c>
      <c r="Q194" s="2" t="s">
        <v>431</v>
      </c>
      <c r="R194" s="2" t="s">
        <v>424</v>
      </c>
      <c r="S194" s="2" t="s">
        <v>44</v>
      </c>
      <c r="T194" s="155">
        <v>3.2160000000000002</v>
      </c>
      <c r="U194" s="2" t="s">
        <v>2452</v>
      </c>
      <c r="V194" s="166">
        <v>2.24E-2</v>
      </c>
      <c r="W194" s="168">
        <v>4.9390000000000003E-2</v>
      </c>
      <c r="X194" s="4" t="s">
        <v>430</v>
      </c>
      <c r="Y194" s="4" t="s">
        <v>159</v>
      </c>
      <c r="Z194" s="155">
        <v>116129.04</v>
      </c>
      <c r="AA194" s="162">
        <v>1</v>
      </c>
      <c r="AB194" s="179">
        <v>92.37</v>
      </c>
      <c r="AD194" s="155">
        <v>107.268</v>
      </c>
      <c r="AG194" s="2" t="s">
        <v>36</v>
      </c>
      <c r="AH194" s="168">
        <v>2.0699999999999999E-4</v>
      </c>
      <c r="AI194" s="168">
        <v>8.1419293838729794E-3</v>
      </c>
      <c r="AJ194" s="168">
        <v>2.1061950024686602E-3</v>
      </c>
    </row>
    <row r="195" spans="1:36">
      <c r="A195" s="2">
        <v>288</v>
      </c>
      <c r="B195" s="2">
        <v>1451</v>
      </c>
      <c r="C195" s="2" t="s">
        <v>2102</v>
      </c>
      <c r="D195" s="2" t="s">
        <v>2103</v>
      </c>
      <c r="E195" s="4" t="s">
        <v>330</v>
      </c>
      <c r="F195" s="2" t="s">
        <v>2104</v>
      </c>
      <c r="G195" s="2" t="s">
        <v>2105</v>
      </c>
      <c r="H195" s="2" t="s">
        <v>339</v>
      </c>
      <c r="I195" s="2" t="s">
        <v>774</v>
      </c>
      <c r="J195" s="2" t="s">
        <v>30</v>
      </c>
      <c r="K195" s="2" t="s">
        <v>30</v>
      </c>
      <c r="L195" s="2" t="s">
        <v>345</v>
      </c>
      <c r="M195" s="2" t="s">
        <v>65</v>
      </c>
      <c r="N195" s="2" t="s">
        <v>470</v>
      </c>
      <c r="O195" s="2" t="s">
        <v>159</v>
      </c>
      <c r="P195" s="2" t="s">
        <v>1968</v>
      </c>
      <c r="Q195" s="2" t="s">
        <v>431</v>
      </c>
      <c r="R195" s="2" t="s">
        <v>424</v>
      </c>
      <c r="S195" s="2" t="s">
        <v>44</v>
      </c>
      <c r="T195" s="155">
        <v>0.51300000000000001</v>
      </c>
      <c r="U195" s="2" t="s">
        <v>2106</v>
      </c>
      <c r="V195" s="166">
        <v>3.49E-2</v>
      </c>
      <c r="W195" s="168">
        <v>5.8439999999999999E-2</v>
      </c>
      <c r="X195" s="4" t="s">
        <v>430</v>
      </c>
      <c r="Y195" s="4" t="s">
        <v>159</v>
      </c>
      <c r="Z195" s="155">
        <v>65247.55</v>
      </c>
      <c r="AA195" s="162">
        <v>1</v>
      </c>
      <c r="AB195" s="179">
        <v>100.58</v>
      </c>
      <c r="AD195" s="155">
        <v>65.626000000000005</v>
      </c>
      <c r="AG195" s="2" t="s">
        <v>36</v>
      </c>
      <c r="AH195" s="168">
        <v>1.94E-4</v>
      </c>
      <c r="AI195" s="168">
        <v>4.9811703232351999E-3</v>
      </c>
      <c r="AJ195" s="168">
        <v>1.2885540449446399E-3</v>
      </c>
    </row>
    <row r="196" spans="1:36">
      <c r="A196" s="2">
        <v>288</v>
      </c>
      <c r="B196" s="2">
        <v>1451</v>
      </c>
      <c r="C196" s="2" t="s">
        <v>2107</v>
      </c>
      <c r="D196" s="2" t="s">
        <v>2108</v>
      </c>
      <c r="E196" s="4" t="s">
        <v>1333</v>
      </c>
      <c r="F196" s="2" t="s">
        <v>2109</v>
      </c>
      <c r="G196" s="2" t="s">
        <v>2110</v>
      </c>
      <c r="H196" s="2" t="s">
        <v>339</v>
      </c>
      <c r="I196" s="2" t="s">
        <v>773</v>
      </c>
      <c r="J196" s="2" t="s">
        <v>30</v>
      </c>
      <c r="K196" s="2" t="s">
        <v>30</v>
      </c>
      <c r="L196" s="2" t="s">
        <v>345</v>
      </c>
      <c r="M196" s="2" t="s">
        <v>65</v>
      </c>
      <c r="N196" s="2" t="s">
        <v>480</v>
      </c>
      <c r="O196" s="2" t="s">
        <v>159</v>
      </c>
      <c r="P196" s="2" t="s">
        <v>1968</v>
      </c>
      <c r="Q196" s="2" t="s">
        <v>431</v>
      </c>
      <c r="R196" s="2" t="s">
        <v>424</v>
      </c>
      <c r="S196" s="2" t="s">
        <v>44</v>
      </c>
      <c r="T196" s="155">
        <v>2.08</v>
      </c>
      <c r="U196" s="2" t="s">
        <v>2111</v>
      </c>
      <c r="V196" s="166">
        <v>1.5800000000000002E-2</v>
      </c>
      <c r="W196" s="168">
        <v>2.5649999999999999E-2</v>
      </c>
      <c r="X196" s="4" t="s">
        <v>430</v>
      </c>
      <c r="Y196" s="4" t="s">
        <v>159</v>
      </c>
      <c r="Z196" s="155">
        <v>72932.58</v>
      </c>
      <c r="AA196" s="162">
        <v>1</v>
      </c>
      <c r="AB196" s="179">
        <v>114.31</v>
      </c>
      <c r="AD196" s="155">
        <v>83.369</v>
      </c>
      <c r="AG196" s="2" t="s">
        <v>36</v>
      </c>
      <c r="AH196" s="168">
        <v>1.7000000000000001E-4</v>
      </c>
      <c r="AI196" s="168">
        <v>6.3279254444184203E-3</v>
      </c>
      <c r="AJ196" s="168">
        <v>1.6369393934350901E-3</v>
      </c>
    </row>
    <row r="197" spans="1:36">
      <c r="A197" s="2">
        <v>288</v>
      </c>
      <c r="B197" s="2">
        <v>1451</v>
      </c>
      <c r="C197" s="2" t="s">
        <v>2112</v>
      </c>
      <c r="D197" s="2" t="s">
        <v>2113</v>
      </c>
      <c r="E197" s="4" t="s">
        <v>1333</v>
      </c>
      <c r="F197" s="2" t="s">
        <v>2114</v>
      </c>
      <c r="G197" s="2" t="s">
        <v>2115</v>
      </c>
      <c r="H197" s="2" t="s">
        <v>339</v>
      </c>
      <c r="I197" s="2" t="s">
        <v>986</v>
      </c>
      <c r="J197" s="2" t="s">
        <v>30</v>
      </c>
      <c r="K197" s="2" t="s">
        <v>30</v>
      </c>
      <c r="L197" s="2" t="s">
        <v>345</v>
      </c>
      <c r="M197" s="2" t="s">
        <v>65</v>
      </c>
      <c r="N197" s="2" t="s">
        <v>461</v>
      </c>
      <c r="O197" s="2" t="s">
        <v>159</v>
      </c>
      <c r="P197" s="2" t="s">
        <v>1979</v>
      </c>
      <c r="Q197" s="2" t="s">
        <v>431</v>
      </c>
      <c r="R197" s="2" t="s">
        <v>424</v>
      </c>
      <c r="S197" s="2" t="s">
        <v>44</v>
      </c>
      <c r="T197" s="155">
        <v>4.8739999999999997</v>
      </c>
      <c r="U197" s="2" t="s">
        <v>101</v>
      </c>
      <c r="V197" s="166">
        <v>2.64E-2</v>
      </c>
      <c r="W197" s="168">
        <v>4.8840000000000001E-2</v>
      </c>
      <c r="X197" s="4" t="s">
        <v>430</v>
      </c>
      <c r="Y197" s="4" t="s">
        <v>159</v>
      </c>
      <c r="Z197" s="155">
        <v>150000.21</v>
      </c>
      <c r="AA197" s="162">
        <v>1</v>
      </c>
      <c r="AB197" s="179">
        <v>90.64</v>
      </c>
      <c r="AD197" s="155">
        <v>135.96</v>
      </c>
      <c r="AG197" s="2" t="s">
        <v>36</v>
      </c>
      <c r="AH197" s="168">
        <v>9.2E-5</v>
      </c>
      <c r="AI197" s="168">
        <v>1.03197057862122E-2</v>
      </c>
      <c r="AJ197" s="168">
        <v>2.6695530910546801E-3</v>
      </c>
    </row>
    <row r="198" spans="1:36">
      <c r="A198" s="2">
        <v>288</v>
      </c>
      <c r="B198" s="2">
        <v>1451</v>
      </c>
      <c r="C198" s="2" t="s">
        <v>1656</v>
      </c>
      <c r="D198" s="2" t="s">
        <v>1657</v>
      </c>
      <c r="E198" s="4" t="s">
        <v>1333</v>
      </c>
      <c r="F198" s="2" t="s">
        <v>2116</v>
      </c>
      <c r="G198" s="2" t="s">
        <v>2117</v>
      </c>
      <c r="H198" s="2" t="s">
        <v>339</v>
      </c>
      <c r="I198" s="2" t="s">
        <v>986</v>
      </c>
      <c r="J198" s="2" t="s">
        <v>30</v>
      </c>
      <c r="K198" s="2" t="s">
        <v>30</v>
      </c>
      <c r="L198" s="2" t="s">
        <v>345</v>
      </c>
      <c r="M198" s="2" t="s">
        <v>65</v>
      </c>
      <c r="N198" s="2" t="s">
        <v>461</v>
      </c>
      <c r="O198" s="2" t="s">
        <v>159</v>
      </c>
      <c r="P198" s="2" t="s">
        <v>1979</v>
      </c>
      <c r="Q198" s="2" t="s">
        <v>431</v>
      </c>
      <c r="R198" s="2" t="s">
        <v>424</v>
      </c>
      <c r="S198" s="2" t="s">
        <v>44</v>
      </c>
      <c r="T198" s="155">
        <v>2.895</v>
      </c>
      <c r="U198" s="2" t="s">
        <v>2118</v>
      </c>
      <c r="V198" s="166">
        <v>4.7E-2</v>
      </c>
      <c r="W198" s="168">
        <v>4.7309999999999998E-2</v>
      </c>
      <c r="X198" s="4" t="s">
        <v>430</v>
      </c>
      <c r="Y198" s="4" t="s">
        <v>159</v>
      </c>
      <c r="Z198" s="155">
        <v>160000</v>
      </c>
      <c r="AA198" s="162">
        <v>1</v>
      </c>
      <c r="AB198" s="179">
        <v>103.85</v>
      </c>
      <c r="AD198" s="155">
        <v>166.16</v>
      </c>
      <c r="AG198" s="2" t="s">
        <v>36</v>
      </c>
      <c r="AH198" s="168">
        <v>1.7799999999999999E-4</v>
      </c>
      <c r="AI198" s="168">
        <v>1.2611944048463801E-2</v>
      </c>
      <c r="AJ198" s="168">
        <v>3.2625207458693499E-3</v>
      </c>
    </row>
    <row r="199" spans="1:36">
      <c r="A199" s="2">
        <v>288</v>
      </c>
      <c r="B199" s="2">
        <v>1451</v>
      </c>
      <c r="C199" s="2" t="s">
        <v>1196</v>
      </c>
      <c r="D199" s="2" t="s">
        <v>1660</v>
      </c>
      <c r="E199" s="4" t="s">
        <v>1333</v>
      </c>
      <c r="F199" s="2" t="s">
        <v>2453</v>
      </c>
      <c r="G199" s="2" t="s">
        <v>2454</v>
      </c>
      <c r="H199" s="2" t="s">
        <v>339</v>
      </c>
      <c r="I199" s="2" t="s">
        <v>773</v>
      </c>
      <c r="J199" s="2" t="s">
        <v>30</v>
      </c>
      <c r="K199" s="2" t="s">
        <v>30</v>
      </c>
      <c r="L199" s="2" t="s">
        <v>345</v>
      </c>
      <c r="M199" s="2" t="s">
        <v>65</v>
      </c>
      <c r="N199" s="2" t="s">
        <v>464</v>
      </c>
      <c r="O199" s="2" t="s">
        <v>159</v>
      </c>
      <c r="P199" s="2" t="s">
        <v>132</v>
      </c>
      <c r="Q199" s="2" t="s">
        <v>431</v>
      </c>
      <c r="R199" s="2" t="s">
        <v>424</v>
      </c>
      <c r="S199" s="2" t="s">
        <v>44</v>
      </c>
      <c r="T199" s="155">
        <v>1.482</v>
      </c>
      <c r="U199" s="2" t="s">
        <v>2073</v>
      </c>
      <c r="V199" s="166">
        <v>8.3000000000000001E-3</v>
      </c>
      <c r="W199" s="168">
        <v>2.2599999999999999E-2</v>
      </c>
      <c r="X199" s="4" t="s">
        <v>430</v>
      </c>
      <c r="Y199" s="4" t="s">
        <v>159</v>
      </c>
      <c r="Z199" s="155">
        <v>247213</v>
      </c>
      <c r="AA199" s="162">
        <v>1</v>
      </c>
      <c r="AB199" s="179">
        <v>113.32</v>
      </c>
      <c r="AD199" s="155">
        <v>280.142</v>
      </c>
      <c r="AG199" s="2" t="s">
        <v>36</v>
      </c>
      <c r="AH199" s="168">
        <v>1.63E-4</v>
      </c>
      <c r="AI199" s="168">
        <v>2.12634349365475E-2</v>
      </c>
      <c r="AJ199" s="168">
        <v>5.5005316660423301E-3</v>
      </c>
    </row>
    <row r="200" spans="1:36">
      <c r="A200" s="2">
        <v>288</v>
      </c>
      <c r="B200" s="2">
        <v>1451</v>
      </c>
      <c r="C200" s="2" t="s">
        <v>1196</v>
      </c>
      <c r="D200" s="2" t="s">
        <v>1660</v>
      </c>
      <c r="E200" s="4" t="s">
        <v>1333</v>
      </c>
      <c r="F200" s="2" t="s">
        <v>2119</v>
      </c>
      <c r="G200" s="2" t="s">
        <v>2120</v>
      </c>
      <c r="H200" s="2" t="s">
        <v>339</v>
      </c>
      <c r="I200" s="2" t="s">
        <v>773</v>
      </c>
      <c r="J200" s="2" t="s">
        <v>30</v>
      </c>
      <c r="K200" s="2" t="s">
        <v>30</v>
      </c>
      <c r="L200" s="2" t="s">
        <v>345</v>
      </c>
      <c r="M200" s="2" t="s">
        <v>65</v>
      </c>
      <c r="N200" s="2" t="s">
        <v>464</v>
      </c>
      <c r="O200" s="2" t="s">
        <v>159</v>
      </c>
      <c r="P200" s="2" t="s">
        <v>132</v>
      </c>
      <c r="Q200" s="2" t="s">
        <v>431</v>
      </c>
      <c r="R200" s="2" t="s">
        <v>424</v>
      </c>
      <c r="S200" s="2" t="s">
        <v>44</v>
      </c>
      <c r="T200" s="155">
        <v>2.8929999999999998</v>
      </c>
      <c r="U200" s="2" t="s">
        <v>2121</v>
      </c>
      <c r="V200" s="166">
        <v>1E-3</v>
      </c>
      <c r="W200" s="168">
        <v>2.1919999999999999E-2</v>
      </c>
      <c r="X200" s="4" t="s">
        <v>430</v>
      </c>
      <c r="Y200" s="4" t="s">
        <v>159</v>
      </c>
      <c r="Z200" s="155">
        <v>400000</v>
      </c>
      <c r="AA200" s="162">
        <v>1</v>
      </c>
      <c r="AB200" s="179">
        <v>105.89</v>
      </c>
      <c r="AD200" s="155">
        <v>423.56</v>
      </c>
      <c r="AG200" s="2" t="s">
        <v>36</v>
      </c>
      <c r="AH200" s="168">
        <v>1.27E-4</v>
      </c>
      <c r="AI200" s="168">
        <v>3.2149223767256499E-2</v>
      </c>
      <c r="AJ200" s="168">
        <v>8.3165219494488601E-3</v>
      </c>
    </row>
    <row r="201" spans="1:36">
      <c r="A201" s="2">
        <v>288</v>
      </c>
      <c r="B201" s="2">
        <v>1451</v>
      </c>
      <c r="C201" s="2" t="s">
        <v>1196</v>
      </c>
      <c r="D201" s="2" t="s">
        <v>1660</v>
      </c>
      <c r="E201" s="4" t="s">
        <v>1333</v>
      </c>
      <c r="F201" s="2" t="s">
        <v>2122</v>
      </c>
      <c r="G201" s="2" t="s">
        <v>2123</v>
      </c>
      <c r="H201" s="2" t="s">
        <v>339</v>
      </c>
      <c r="I201" s="2" t="s">
        <v>773</v>
      </c>
      <c r="J201" s="2" t="s">
        <v>30</v>
      </c>
      <c r="K201" s="2" t="s">
        <v>30</v>
      </c>
      <c r="L201" s="2" t="s">
        <v>345</v>
      </c>
      <c r="M201" s="2" t="s">
        <v>65</v>
      </c>
      <c r="N201" s="2" t="s">
        <v>464</v>
      </c>
      <c r="O201" s="2" t="s">
        <v>159</v>
      </c>
      <c r="P201" s="2" t="s">
        <v>132</v>
      </c>
      <c r="Q201" s="2" t="s">
        <v>431</v>
      </c>
      <c r="R201" s="2" t="s">
        <v>424</v>
      </c>
      <c r="S201" s="2" t="s">
        <v>44</v>
      </c>
      <c r="T201" s="155">
        <v>4.8490000000000002</v>
      </c>
      <c r="U201" s="2" t="s">
        <v>2124</v>
      </c>
      <c r="V201" s="166">
        <v>2.0199999999999999E-2</v>
      </c>
      <c r="W201" s="168">
        <v>2.4299999999999999E-2</v>
      </c>
      <c r="X201" s="4" t="s">
        <v>430</v>
      </c>
      <c r="Y201" s="4" t="s">
        <v>159</v>
      </c>
      <c r="Z201" s="155">
        <v>300000</v>
      </c>
      <c r="AA201" s="162">
        <v>1</v>
      </c>
      <c r="AB201" s="179">
        <v>101.65</v>
      </c>
      <c r="AD201" s="155">
        <v>304.95</v>
      </c>
      <c r="AG201" s="2" t="s">
        <v>36</v>
      </c>
      <c r="AH201" s="168">
        <v>8.3999999999999995E-5</v>
      </c>
      <c r="AI201" s="168">
        <v>2.31464392006442E-2</v>
      </c>
      <c r="AJ201" s="168">
        <v>5.9876366240542798E-3</v>
      </c>
    </row>
    <row r="202" spans="1:36">
      <c r="A202" s="2">
        <v>288</v>
      </c>
      <c r="B202" s="2">
        <v>1451</v>
      </c>
      <c r="C202" s="2" t="s">
        <v>1196</v>
      </c>
      <c r="D202" s="2" t="s">
        <v>1660</v>
      </c>
      <c r="E202" s="4" t="s">
        <v>1333</v>
      </c>
      <c r="F202" s="2" t="s">
        <v>2125</v>
      </c>
      <c r="G202" s="2" t="s">
        <v>2126</v>
      </c>
      <c r="H202" s="2" t="s">
        <v>339</v>
      </c>
      <c r="I202" s="2" t="s">
        <v>773</v>
      </c>
      <c r="J202" s="2" t="s">
        <v>30</v>
      </c>
      <c r="K202" s="2" t="s">
        <v>30</v>
      </c>
      <c r="L202" s="2" t="s">
        <v>345</v>
      </c>
      <c r="M202" s="2" t="s">
        <v>65</v>
      </c>
      <c r="N202" s="2" t="s">
        <v>464</v>
      </c>
      <c r="O202" s="2" t="s">
        <v>159</v>
      </c>
      <c r="P202" s="2" t="s">
        <v>132</v>
      </c>
      <c r="Q202" s="2" t="s">
        <v>431</v>
      </c>
      <c r="R202" s="2" t="s">
        <v>424</v>
      </c>
      <c r="S202" s="2" t="s">
        <v>44</v>
      </c>
      <c r="T202" s="155">
        <v>4.8879999999999999</v>
      </c>
      <c r="U202" s="2" t="s">
        <v>2127</v>
      </c>
      <c r="V202" s="166">
        <v>1E-3</v>
      </c>
      <c r="W202" s="168">
        <v>2.3630000000000002E-2</v>
      </c>
      <c r="X202" s="4" t="s">
        <v>430</v>
      </c>
      <c r="Y202" s="4" t="s">
        <v>159</v>
      </c>
      <c r="Z202" s="155">
        <v>333000</v>
      </c>
      <c r="AA202" s="162">
        <v>1</v>
      </c>
      <c r="AB202" s="179">
        <v>100.78</v>
      </c>
      <c r="AD202" s="155">
        <v>335.59699999999998</v>
      </c>
      <c r="AG202" s="2" t="s">
        <v>36</v>
      </c>
      <c r="AH202" s="168">
        <v>1.34E-4</v>
      </c>
      <c r="AI202" s="168">
        <v>2.5472650647628398E-2</v>
      </c>
      <c r="AJ202" s="168">
        <v>6.5893926321606601E-3</v>
      </c>
    </row>
    <row r="203" spans="1:36">
      <c r="A203" s="2">
        <v>288</v>
      </c>
      <c r="B203" s="2">
        <v>1451</v>
      </c>
      <c r="C203" s="2" t="s">
        <v>2128</v>
      </c>
      <c r="D203" s="2" t="s">
        <v>2129</v>
      </c>
      <c r="E203" s="4" t="s">
        <v>1333</v>
      </c>
      <c r="F203" s="2" t="s">
        <v>2133</v>
      </c>
      <c r="G203" s="2" t="s">
        <v>2134</v>
      </c>
      <c r="H203" s="2" t="s">
        <v>339</v>
      </c>
      <c r="I203" s="2" t="s">
        <v>986</v>
      </c>
      <c r="J203" s="2" t="s">
        <v>30</v>
      </c>
      <c r="K203" s="2" t="s">
        <v>30</v>
      </c>
      <c r="L203" s="2" t="s">
        <v>345</v>
      </c>
      <c r="M203" s="2" t="s">
        <v>65</v>
      </c>
      <c r="N203" s="2" t="s">
        <v>480</v>
      </c>
      <c r="O203" s="2" t="s">
        <v>159</v>
      </c>
      <c r="P203" s="2" t="s">
        <v>1968</v>
      </c>
      <c r="Q203" s="2" t="s">
        <v>431</v>
      </c>
      <c r="R203" s="2" t="s">
        <v>424</v>
      </c>
      <c r="S203" s="2" t="s">
        <v>44</v>
      </c>
      <c r="T203" s="155">
        <v>1.889</v>
      </c>
      <c r="U203" s="2" t="s">
        <v>2084</v>
      </c>
      <c r="V203" s="166">
        <v>5.6500000000000002E-2</v>
      </c>
      <c r="W203" s="168">
        <v>4.7919999999999997E-2</v>
      </c>
      <c r="X203" s="4" t="s">
        <v>430</v>
      </c>
      <c r="Y203" s="4" t="s">
        <v>159</v>
      </c>
      <c r="Z203" s="155">
        <v>36487.660000000003</v>
      </c>
      <c r="AA203" s="162">
        <v>1</v>
      </c>
      <c r="AB203" s="179">
        <v>101.73</v>
      </c>
      <c r="AD203" s="155">
        <v>37.119</v>
      </c>
      <c r="AG203" s="2" t="s">
        <v>36</v>
      </c>
      <c r="AH203" s="168">
        <v>2.34E-4</v>
      </c>
      <c r="AI203" s="168">
        <v>2.8174136135395698E-3</v>
      </c>
      <c r="AJ203" s="168">
        <v>7.28822640549787E-4</v>
      </c>
    </row>
    <row r="204" spans="1:36">
      <c r="A204" s="2">
        <v>288</v>
      </c>
      <c r="B204" s="2">
        <v>1451</v>
      </c>
      <c r="C204" s="2" t="s">
        <v>2128</v>
      </c>
      <c r="D204" s="2" t="s">
        <v>2129</v>
      </c>
      <c r="E204" s="4" t="s">
        <v>1333</v>
      </c>
      <c r="F204" s="2" t="s">
        <v>2135</v>
      </c>
      <c r="G204" s="2" t="s">
        <v>2136</v>
      </c>
      <c r="H204" s="2" t="s">
        <v>339</v>
      </c>
      <c r="I204" s="2" t="s">
        <v>773</v>
      </c>
      <c r="J204" s="2" t="s">
        <v>30</v>
      </c>
      <c r="K204" s="2" t="s">
        <v>30</v>
      </c>
      <c r="L204" s="2" t="s">
        <v>345</v>
      </c>
      <c r="M204" s="2" t="s">
        <v>65</v>
      </c>
      <c r="N204" s="2" t="s">
        <v>480</v>
      </c>
      <c r="O204" s="2" t="s">
        <v>159</v>
      </c>
      <c r="P204" s="2" t="s">
        <v>1968</v>
      </c>
      <c r="Q204" s="2" t="s">
        <v>431</v>
      </c>
      <c r="R204" s="2" t="s">
        <v>424</v>
      </c>
      <c r="S204" s="2" t="s">
        <v>44</v>
      </c>
      <c r="T204" s="155">
        <v>1.929</v>
      </c>
      <c r="U204" s="2" t="s">
        <v>2084</v>
      </c>
      <c r="V204" s="166">
        <v>3.6999999999999998E-2</v>
      </c>
      <c r="W204" s="168">
        <v>2.6380000000000001E-2</v>
      </c>
      <c r="X204" s="4" t="s">
        <v>430</v>
      </c>
      <c r="Y204" s="4" t="s">
        <v>159</v>
      </c>
      <c r="Z204" s="155">
        <v>10272.35</v>
      </c>
      <c r="AA204" s="162">
        <v>1</v>
      </c>
      <c r="AB204" s="179">
        <v>117.74</v>
      </c>
      <c r="AD204" s="155">
        <v>12.095000000000001</v>
      </c>
      <c r="AG204" s="2" t="s">
        <v>36</v>
      </c>
      <c r="AH204" s="168">
        <v>3.4E-5</v>
      </c>
      <c r="AI204" s="168">
        <v>9.1801418438613297E-4</v>
      </c>
      <c r="AJ204" s="168">
        <v>2.37476499265543E-4</v>
      </c>
    </row>
    <row r="205" spans="1:36">
      <c r="A205" s="2">
        <v>288</v>
      </c>
      <c r="B205" s="2">
        <v>1451</v>
      </c>
      <c r="C205" s="2" t="s">
        <v>2137</v>
      </c>
      <c r="D205" s="2" t="s">
        <v>2138</v>
      </c>
      <c r="E205" s="4" t="s">
        <v>1333</v>
      </c>
      <c r="F205" s="2" t="s">
        <v>2455</v>
      </c>
      <c r="G205" s="2" t="s">
        <v>2456</v>
      </c>
      <c r="H205" s="2" t="s">
        <v>339</v>
      </c>
      <c r="I205" s="2" t="s">
        <v>986</v>
      </c>
      <c r="J205" s="2" t="s">
        <v>30</v>
      </c>
      <c r="K205" s="2" t="s">
        <v>30</v>
      </c>
      <c r="L205" s="2" t="s">
        <v>345</v>
      </c>
      <c r="M205" s="2" t="s">
        <v>65</v>
      </c>
      <c r="N205" s="2" t="s">
        <v>461</v>
      </c>
      <c r="O205" s="2" t="s">
        <v>159</v>
      </c>
      <c r="P205" s="2" t="s">
        <v>1956</v>
      </c>
      <c r="Q205" s="2" t="s">
        <v>433</v>
      </c>
      <c r="R205" s="2" t="s">
        <v>424</v>
      </c>
      <c r="S205" s="2" t="s">
        <v>44</v>
      </c>
      <c r="T205" s="155">
        <v>4.875</v>
      </c>
      <c r="U205" s="2" t="s">
        <v>101</v>
      </c>
      <c r="V205" s="166">
        <v>2.3800000000000002E-2</v>
      </c>
      <c r="W205" s="168">
        <v>5.0479999999999997E-2</v>
      </c>
      <c r="X205" s="4" t="s">
        <v>430</v>
      </c>
      <c r="Y205" s="4" t="s">
        <v>159</v>
      </c>
      <c r="Z205" s="155">
        <v>130000</v>
      </c>
      <c r="AA205" s="162">
        <v>1</v>
      </c>
      <c r="AB205" s="179">
        <v>89.75</v>
      </c>
      <c r="AD205" s="155">
        <v>116.675</v>
      </c>
      <c r="AG205" s="2" t="s">
        <v>36</v>
      </c>
      <c r="AH205" s="168">
        <v>2.0000000000000001E-4</v>
      </c>
      <c r="AI205" s="168">
        <v>8.8559134078870696E-3</v>
      </c>
      <c r="AJ205" s="168">
        <v>2.29089195970334E-3</v>
      </c>
    </row>
    <row r="206" spans="1:36">
      <c r="A206" s="2">
        <v>288</v>
      </c>
      <c r="B206" s="2">
        <v>1451</v>
      </c>
      <c r="C206" s="2" t="s">
        <v>2148</v>
      </c>
      <c r="D206" s="2" t="s">
        <v>2149</v>
      </c>
      <c r="E206" s="4" t="s">
        <v>1333</v>
      </c>
      <c r="F206" s="2" t="s">
        <v>2150</v>
      </c>
      <c r="G206" s="2" t="s">
        <v>2151</v>
      </c>
      <c r="H206" s="2" t="s">
        <v>339</v>
      </c>
      <c r="I206" s="2" t="s">
        <v>773</v>
      </c>
      <c r="J206" s="2" t="s">
        <v>30</v>
      </c>
      <c r="K206" s="2" t="s">
        <v>30</v>
      </c>
      <c r="L206" s="2" t="s">
        <v>345</v>
      </c>
      <c r="M206" s="2" t="s">
        <v>65</v>
      </c>
      <c r="N206" s="2" t="s">
        <v>480</v>
      </c>
      <c r="O206" s="2" t="s">
        <v>159</v>
      </c>
      <c r="P206" s="2" t="s">
        <v>1956</v>
      </c>
      <c r="Q206" s="2" t="s">
        <v>431</v>
      </c>
      <c r="R206" s="2" t="s">
        <v>424</v>
      </c>
      <c r="S206" s="2" t="s">
        <v>44</v>
      </c>
      <c r="T206" s="155">
        <v>1.6160000000000001</v>
      </c>
      <c r="U206" s="2" t="s">
        <v>2152</v>
      </c>
      <c r="V206" s="166">
        <v>2.0500000000000001E-2</v>
      </c>
      <c r="W206" s="168">
        <v>2.8719999999999999E-2</v>
      </c>
      <c r="X206" s="4" t="s">
        <v>430</v>
      </c>
      <c r="Y206" s="4" t="s">
        <v>159</v>
      </c>
      <c r="Z206" s="155">
        <v>167655.81</v>
      </c>
      <c r="AA206" s="162">
        <v>1</v>
      </c>
      <c r="AB206" s="179">
        <v>116.04</v>
      </c>
      <c r="AD206" s="155">
        <v>194.548</v>
      </c>
      <c r="AG206" s="2" t="s">
        <v>36</v>
      </c>
      <c r="AH206" s="168">
        <v>2.22E-4</v>
      </c>
      <c r="AI206" s="168">
        <v>1.4766646561248899E-2</v>
      </c>
      <c r="AJ206" s="168">
        <v>3.8199099653366099E-3</v>
      </c>
    </row>
    <row r="207" spans="1:36">
      <c r="A207" s="2">
        <v>288</v>
      </c>
      <c r="B207" s="2">
        <v>1451</v>
      </c>
      <c r="C207" s="2" t="s">
        <v>2153</v>
      </c>
      <c r="D207" s="2" t="s">
        <v>2154</v>
      </c>
      <c r="E207" s="4" t="s">
        <v>1333</v>
      </c>
      <c r="F207" s="2" t="s">
        <v>2155</v>
      </c>
      <c r="G207" s="2" t="s">
        <v>2156</v>
      </c>
      <c r="H207" s="2" t="s">
        <v>339</v>
      </c>
      <c r="I207" s="2" t="s">
        <v>773</v>
      </c>
      <c r="J207" s="2" t="s">
        <v>30</v>
      </c>
      <c r="K207" s="2" t="s">
        <v>30</v>
      </c>
      <c r="L207" s="2" t="s">
        <v>345</v>
      </c>
      <c r="M207" s="2" t="s">
        <v>65</v>
      </c>
      <c r="N207" s="2" t="s">
        <v>464</v>
      </c>
      <c r="O207" s="2" t="s">
        <v>159</v>
      </c>
      <c r="P207" s="2" t="s">
        <v>132</v>
      </c>
      <c r="Q207" s="2" t="s">
        <v>431</v>
      </c>
      <c r="R207" s="2" t="s">
        <v>424</v>
      </c>
      <c r="S207" s="2" t="s">
        <v>44</v>
      </c>
      <c r="T207" s="155">
        <v>2.7</v>
      </c>
      <c r="U207" s="2" t="s">
        <v>2157</v>
      </c>
      <c r="V207" s="166">
        <v>1.2200000000000001E-2</v>
      </c>
      <c r="W207" s="168">
        <v>2.3820000000000001E-2</v>
      </c>
      <c r="X207" s="4" t="s">
        <v>430</v>
      </c>
      <c r="Y207" s="4" t="s">
        <v>159</v>
      </c>
      <c r="Z207" s="155">
        <v>181499</v>
      </c>
      <c r="AA207" s="162">
        <v>1</v>
      </c>
      <c r="AB207" s="179">
        <v>113.2</v>
      </c>
      <c r="AD207" s="155">
        <v>205.45699999999999</v>
      </c>
      <c r="AG207" s="2" t="s">
        <v>36</v>
      </c>
      <c r="AH207" s="168">
        <v>6.0000000000000002E-5</v>
      </c>
      <c r="AI207" s="168">
        <v>1.5594670941192899E-2</v>
      </c>
      <c r="AJ207" s="168">
        <v>4.0341074520422503E-3</v>
      </c>
    </row>
    <row r="208" spans="1:36">
      <c r="A208" s="2">
        <v>288</v>
      </c>
      <c r="B208" s="2">
        <v>1451</v>
      </c>
      <c r="C208" s="2" t="s">
        <v>2153</v>
      </c>
      <c r="D208" s="2" t="s">
        <v>2154</v>
      </c>
      <c r="E208" s="4" t="s">
        <v>1333</v>
      </c>
      <c r="F208" s="2" t="s">
        <v>2158</v>
      </c>
      <c r="G208" s="2" t="s">
        <v>2159</v>
      </c>
      <c r="H208" s="2" t="s">
        <v>339</v>
      </c>
      <c r="I208" s="2" t="s">
        <v>773</v>
      </c>
      <c r="J208" s="2" t="s">
        <v>30</v>
      </c>
      <c r="K208" s="2" t="s">
        <v>30</v>
      </c>
      <c r="L208" s="2" t="s">
        <v>345</v>
      </c>
      <c r="M208" s="2" t="s">
        <v>65</v>
      </c>
      <c r="N208" s="2" t="s">
        <v>464</v>
      </c>
      <c r="O208" s="2" t="s">
        <v>159</v>
      </c>
      <c r="P208" s="2" t="s">
        <v>132</v>
      </c>
      <c r="Q208" s="2" t="s">
        <v>431</v>
      </c>
      <c r="R208" s="2" t="s">
        <v>424</v>
      </c>
      <c r="S208" s="2" t="s">
        <v>44</v>
      </c>
      <c r="T208" s="155">
        <v>3.7989999999999999</v>
      </c>
      <c r="U208" s="2" t="s">
        <v>2160</v>
      </c>
      <c r="V208" s="166">
        <v>1E-3</v>
      </c>
      <c r="W208" s="168">
        <v>2.393E-2</v>
      </c>
      <c r="X208" s="4" t="s">
        <v>430</v>
      </c>
      <c r="Y208" s="4" t="s">
        <v>159</v>
      </c>
      <c r="Z208" s="155">
        <v>177000</v>
      </c>
      <c r="AA208" s="162">
        <v>1</v>
      </c>
      <c r="AB208" s="179">
        <v>103.26</v>
      </c>
      <c r="AD208" s="155">
        <v>182.77</v>
      </c>
      <c r="AG208" s="2" t="s">
        <v>36</v>
      </c>
      <c r="AH208" s="168">
        <v>5.1999999999999997E-5</v>
      </c>
      <c r="AI208" s="168">
        <v>1.38726982193461E-2</v>
      </c>
      <c r="AJ208" s="168">
        <v>3.58865893853328E-3</v>
      </c>
    </row>
    <row r="209" spans="1:36">
      <c r="A209" s="2">
        <v>288</v>
      </c>
      <c r="B209" s="2">
        <v>1451</v>
      </c>
      <c r="C209" s="2" t="s">
        <v>2153</v>
      </c>
      <c r="D209" s="2" t="s">
        <v>2154</v>
      </c>
      <c r="E209" s="4" t="s">
        <v>1333</v>
      </c>
      <c r="F209" s="2" t="s">
        <v>2161</v>
      </c>
      <c r="G209" s="2" t="s">
        <v>2162</v>
      </c>
      <c r="H209" s="2" t="s">
        <v>339</v>
      </c>
      <c r="I209" s="2" t="s">
        <v>773</v>
      </c>
      <c r="J209" s="2" t="s">
        <v>30</v>
      </c>
      <c r="K209" s="2" t="s">
        <v>30</v>
      </c>
      <c r="L209" s="2" t="s">
        <v>345</v>
      </c>
      <c r="M209" s="2" t="s">
        <v>65</v>
      </c>
      <c r="N209" s="2" t="s">
        <v>464</v>
      </c>
      <c r="O209" s="2" t="s">
        <v>159</v>
      </c>
      <c r="P209" s="2" t="s">
        <v>132</v>
      </c>
      <c r="Q209" s="2" t="s">
        <v>431</v>
      </c>
      <c r="R209" s="2" t="s">
        <v>424</v>
      </c>
      <c r="S209" s="2" t="s">
        <v>44</v>
      </c>
      <c r="T209" s="155">
        <v>4.165</v>
      </c>
      <c r="U209" s="2" t="s">
        <v>2101</v>
      </c>
      <c r="V209" s="166">
        <v>2.06E-2</v>
      </c>
      <c r="W209" s="168">
        <v>2.3900000000000001E-2</v>
      </c>
      <c r="X209" s="4" t="s">
        <v>430</v>
      </c>
      <c r="Y209" s="4" t="s">
        <v>159</v>
      </c>
      <c r="Z209" s="155">
        <v>135000</v>
      </c>
      <c r="AA209" s="162">
        <v>1</v>
      </c>
      <c r="AB209" s="179">
        <v>104.29</v>
      </c>
      <c r="AD209" s="155">
        <v>140.792</v>
      </c>
      <c r="AG209" s="2" t="s">
        <v>36</v>
      </c>
      <c r="AH209" s="168">
        <v>7.4999999999999993E-5</v>
      </c>
      <c r="AI209" s="168">
        <v>1.0686413821011599E-2</v>
      </c>
      <c r="AJ209" s="168">
        <v>2.76441495902783E-3</v>
      </c>
    </row>
    <row r="210" spans="1:36">
      <c r="A210" s="2">
        <v>288</v>
      </c>
      <c r="B210" s="2">
        <v>1451</v>
      </c>
      <c r="C210" s="2" t="s">
        <v>2153</v>
      </c>
      <c r="D210" s="2" t="s">
        <v>2154</v>
      </c>
      <c r="E210" s="4" t="s">
        <v>1333</v>
      </c>
      <c r="F210" s="2" t="s">
        <v>2163</v>
      </c>
      <c r="G210" s="2" t="s">
        <v>2164</v>
      </c>
      <c r="H210" s="2" t="s">
        <v>339</v>
      </c>
      <c r="I210" s="2" t="s">
        <v>773</v>
      </c>
      <c r="J210" s="2" t="s">
        <v>30</v>
      </c>
      <c r="K210" s="2" t="s">
        <v>30</v>
      </c>
      <c r="L210" s="2" t="s">
        <v>345</v>
      </c>
      <c r="M210" s="2" t="s">
        <v>65</v>
      </c>
      <c r="N210" s="2" t="s">
        <v>464</v>
      </c>
      <c r="O210" s="2" t="s">
        <v>159</v>
      </c>
      <c r="P210" s="2" t="s">
        <v>132</v>
      </c>
      <c r="Q210" s="2" t="s">
        <v>431</v>
      </c>
      <c r="R210" s="2" t="s">
        <v>424</v>
      </c>
      <c r="S210" s="2" t="s">
        <v>44</v>
      </c>
      <c r="T210" s="155">
        <v>4.7060000000000004</v>
      </c>
      <c r="U210" s="2" t="s">
        <v>2165</v>
      </c>
      <c r="V210" s="166">
        <v>1.9900000000000001E-2</v>
      </c>
      <c r="W210" s="168">
        <v>2.3980000000000001E-2</v>
      </c>
      <c r="X210" s="4" t="s">
        <v>430</v>
      </c>
      <c r="Y210" s="4" t="s">
        <v>159</v>
      </c>
      <c r="Z210" s="155">
        <v>270000</v>
      </c>
      <c r="AA210" s="162">
        <v>1</v>
      </c>
      <c r="AB210" s="179">
        <v>101.53</v>
      </c>
      <c r="AD210" s="155">
        <v>274.13099999999997</v>
      </c>
      <c r="AG210" s="2" t="s">
        <v>36</v>
      </c>
      <c r="AH210" s="168">
        <v>1.11E-4</v>
      </c>
      <c r="AI210" s="168">
        <v>2.0807202900514198E-2</v>
      </c>
      <c r="AJ210" s="168">
        <v>5.3825112818121704E-3</v>
      </c>
    </row>
    <row r="211" spans="1:36">
      <c r="A211" s="2">
        <v>288</v>
      </c>
      <c r="B211" s="2">
        <v>1451</v>
      </c>
      <c r="C211" s="2" t="s">
        <v>2153</v>
      </c>
      <c r="D211" s="2" t="s">
        <v>2154</v>
      </c>
      <c r="E211" s="4" t="s">
        <v>1333</v>
      </c>
      <c r="F211" s="2" t="s">
        <v>2166</v>
      </c>
      <c r="G211" s="2" t="s">
        <v>2167</v>
      </c>
      <c r="H211" s="2" t="s">
        <v>339</v>
      </c>
      <c r="I211" s="2" t="s">
        <v>773</v>
      </c>
      <c r="J211" s="2" t="s">
        <v>30</v>
      </c>
      <c r="K211" s="2" t="s">
        <v>30</v>
      </c>
      <c r="L211" s="2" t="s">
        <v>345</v>
      </c>
      <c r="M211" s="2" t="s">
        <v>65</v>
      </c>
      <c r="N211" s="2" t="s">
        <v>464</v>
      </c>
      <c r="O211" s="2" t="s">
        <v>159</v>
      </c>
      <c r="P211" s="2" t="s">
        <v>132</v>
      </c>
      <c r="Q211" s="2" t="s">
        <v>433</v>
      </c>
      <c r="R211" s="2" t="s">
        <v>424</v>
      </c>
      <c r="S211" s="2" t="s">
        <v>44</v>
      </c>
      <c r="T211" s="155">
        <v>1.915</v>
      </c>
      <c r="U211" s="2" t="s">
        <v>2168</v>
      </c>
      <c r="V211" s="166">
        <v>5.0000000000000001E-3</v>
      </c>
      <c r="W211" s="168">
        <v>2.3109999999999999E-2</v>
      </c>
      <c r="X211" s="4" t="s">
        <v>430</v>
      </c>
      <c r="Y211" s="4" t="s">
        <v>159</v>
      </c>
      <c r="Z211" s="155">
        <v>104000</v>
      </c>
      <c r="AA211" s="162">
        <v>1</v>
      </c>
      <c r="AB211" s="179">
        <v>110.29</v>
      </c>
      <c r="AD211" s="155">
        <v>114.702</v>
      </c>
      <c r="AG211" s="2" t="s">
        <v>36</v>
      </c>
      <c r="AH211" s="168">
        <v>1.36E-4</v>
      </c>
      <c r="AI211" s="168">
        <v>8.7061275967096601E-3</v>
      </c>
      <c r="AJ211" s="168">
        <v>2.2521446171425599E-3</v>
      </c>
    </row>
    <row r="212" spans="1:36">
      <c r="A212" s="2">
        <v>288</v>
      </c>
      <c r="B212" s="2">
        <v>1451</v>
      </c>
      <c r="C212" s="2" t="s">
        <v>2153</v>
      </c>
      <c r="D212" s="2" t="s">
        <v>2154</v>
      </c>
      <c r="E212" s="4" t="s">
        <v>1333</v>
      </c>
      <c r="F212" s="2" t="s">
        <v>2169</v>
      </c>
      <c r="G212" s="2" t="s">
        <v>2170</v>
      </c>
      <c r="H212" s="2" t="s">
        <v>339</v>
      </c>
      <c r="I212" s="2" t="s">
        <v>773</v>
      </c>
      <c r="J212" s="2" t="s">
        <v>30</v>
      </c>
      <c r="K212" s="2" t="s">
        <v>30</v>
      </c>
      <c r="L212" s="2" t="s">
        <v>345</v>
      </c>
      <c r="M212" s="2" t="s">
        <v>65</v>
      </c>
      <c r="N212" s="2" t="s">
        <v>464</v>
      </c>
      <c r="O212" s="2" t="s">
        <v>159</v>
      </c>
      <c r="P212" s="2" t="s">
        <v>132</v>
      </c>
      <c r="Q212" s="2" t="s">
        <v>433</v>
      </c>
      <c r="R212" s="2" t="s">
        <v>424</v>
      </c>
      <c r="S212" s="2" t="s">
        <v>44</v>
      </c>
      <c r="T212" s="155">
        <v>0.16200000000000001</v>
      </c>
      <c r="U212" s="2" t="s">
        <v>2171</v>
      </c>
      <c r="V212" s="166">
        <v>9.4999999999999998E-3</v>
      </c>
      <c r="W212" s="168">
        <v>3.261E-2</v>
      </c>
      <c r="X212" s="4" t="s">
        <v>430</v>
      </c>
      <c r="Y212" s="4" t="s">
        <v>159</v>
      </c>
      <c r="Z212" s="155">
        <v>54310.720000000001</v>
      </c>
      <c r="AA212" s="162">
        <v>1</v>
      </c>
      <c r="AB212" s="179">
        <v>116.63</v>
      </c>
      <c r="AD212" s="155">
        <v>63.343000000000004</v>
      </c>
      <c r="AG212" s="2" t="s">
        <v>36</v>
      </c>
      <c r="AH212" s="168">
        <v>3.3799999999999998E-4</v>
      </c>
      <c r="AI212" s="168">
        <v>4.8078552929168399E-3</v>
      </c>
      <c r="AJ212" s="168">
        <v>1.2437200463309699E-3</v>
      </c>
    </row>
    <row r="213" spans="1:36">
      <c r="A213" s="2">
        <v>288</v>
      </c>
      <c r="B213" s="2">
        <v>1451</v>
      </c>
      <c r="C213" s="2" t="s">
        <v>2153</v>
      </c>
      <c r="D213" s="2" t="s">
        <v>2154</v>
      </c>
      <c r="E213" s="4" t="s">
        <v>1333</v>
      </c>
      <c r="F213" s="2" t="s">
        <v>2376</v>
      </c>
      <c r="G213" s="2" t="s">
        <v>2377</v>
      </c>
      <c r="H213" s="2" t="s">
        <v>339</v>
      </c>
      <c r="I213" s="2" t="s">
        <v>773</v>
      </c>
      <c r="J213" s="2" t="s">
        <v>30</v>
      </c>
      <c r="K213" s="2" t="s">
        <v>30</v>
      </c>
      <c r="L213" s="2" t="s">
        <v>345</v>
      </c>
      <c r="M213" s="2" t="s">
        <v>65</v>
      </c>
      <c r="N213" s="2" t="s">
        <v>464</v>
      </c>
      <c r="O213" s="2" t="s">
        <v>159</v>
      </c>
      <c r="P213" s="2" t="s">
        <v>132</v>
      </c>
      <c r="Q213" s="2" t="s">
        <v>431</v>
      </c>
      <c r="R213" s="2" t="s">
        <v>424</v>
      </c>
      <c r="S213" s="2" t="s">
        <v>44</v>
      </c>
      <c r="T213" s="155">
        <v>3.177</v>
      </c>
      <c r="U213" s="2" t="s">
        <v>2378</v>
      </c>
      <c r="V213" s="166">
        <v>1E-3</v>
      </c>
      <c r="W213" s="168">
        <v>2.4199999999999999E-2</v>
      </c>
      <c r="X213" s="4" t="s">
        <v>430</v>
      </c>
      <c r="Y213" s="4" t="s">
        <v>159</v>
      </c>
      <c r="Z213" s="155">
        <v>400000</v>
      </c>
      <c r="AA213" s="162">
        <v>1</v>
      </c>
      <c r="AB213" s="179">
        <v>103.37</v>
      </c>
      <c r="AD213" s="155">
        <v>413.48</v>
      </c>
      <c r="AG213" s="2" t="s">
        <v>36</v>
      </c>
      <c r="AH213" s="168">
        <v>1.54E-4</v>
      </c>
      <c r="AI213" s="168">
        <v>3.1384127498548499E-2</v>
      </c>
      <c r="AJ213" s="168">
        <v>8.1186030211967894E-3</v>
      </c>
    </row>
    <row r="214" spans="1:36">
      <c r="A214" s="2">
        <v>288</v>
      </c>
      <c r="B214" s="2">
        <v>1451</v>
      </c>
      <c r="C214" s="2" t="s">
        <v>2457</v>
      </c>
      <c r="D214" s="2" t="s">
        <v>2458</v>
      </c>
      <c r="E214" s="4" t="s">
        <v>1333</v>
      </c>
      <c r="F214" s="2" t="s">
        <v>2459</v>
      </c>
      <c r="G214" s="2" t="s">
        <v>2460</v>
      </c>
      <c r="H214" s="2" t="s">
        <v>339</v>
      </c>
      <c r="I214" s="2" t="s">
        <v>986</v>
      </c>
      <c r="J214" s="2" t="s">
        <v>30</v>
      </c>
      <c r="K214" s="2" t="s">
        <v>30</v>
      </c>
      <c r="L214" s="2" t="s">
        <v>345</v>
      </c>
      <c r="M214" s="2" t="s">
        <v>65</v>
      </c>
      <c r="N214" s="2" t="s">
        <v>495</v>
      </c>
      <c r="O214" s="2" t="s">
        <v>159</v>
      </c>
      <c r="P214" s="2" t="s">
        <v>1956</v>
      </c>
      <c r="Q214" s="2" t="s">
        <v>433</v>
      </c>
      <c r="R214" s="2" t="s">
        <v>424</v>
      </c>
      <c r="S214" s="2" t="s">
        <v>44</v>
      </c>
      <c r="T214" s="155">
        <v>3.1150000000000002</v>
      </c>
      <c r="U214" s="2" t="s">
        <v>2461</v>
      </c>
      <c r="V214" s="166">
        <v>2.1100000000000001E-2</v>
      </c>
      <c r="W214" s="168">
        <v>5.0360000000000002E-2</v>
      </c>
      <c r="X214" s="4" t="s">
        <v>430</v>
      </c>
      <c r="Y214" s="4" t="s">
        <v>159</v>
      </c>
      <c r="Z214" s="155">
        <v>114705.88</v>
      </c>
      <c r="AA214" s="162">
        <v>1</v>
      </c>
      <c r="AB214" s="179">
        <v>91.66</v>
      </c>
      <c r="AD214" s="155">
        <v>105.139</v>
      </c>
      <c r="AG214" s="2" t="s">
        <v>36</v>
      </c>
      <c r="AH214" s="168">
        <v>2.1699999999999999E-4</v>
      </c>
      <c r="AI214" s="168">
        <v>7.9803343239324507E-3</v>
      </c>
      <c r="AJ214" s="168">
        <v>2.06439278439188E-3</v>
      </c>
    </row>
    <row r="215" spans="1:36">
      <c r="A215" s="2">
        <v>288</v>
      </c>
      <c r="B215" s="2">
        <v>1451</v>
      </c>
      <c r="C215" s="2" t="s">
        <v>2457</v>
      </c>
      <c r="D215" s="2" t="s">
        <v>2458</v>
      </c>
      <c r="E215" s="4" t="s">
        <v>1333</v>
      </c>
      <c r="F215" s="2" t="s">
        <v>2462</v>
      </c>
      <c r="G215" s="2" t="s">
        <v>2463</v>
      </c>
      <c r="H215" s="2" t="s">
        <v>339</v>
      </c>
      <c r="I215" s="2" t="s">
        <v>773</v>
      </c>
      <c r="J215" s="2" t="s">
        <v>30</v>
      </c>
      <c r="K215" s="2" t="s">
        <v>30</v>
      </c>
      <c r="L215" s="2" t="s">
        <v>345</v>
      </c>
      <c r="M215" s="2" t="s">
        <v>65</v>
      </c>
      <c r="N215" s="2" t="s">
        <v>495</v>
      </c>
      <c r="O215" s="2" t="s">
        <v>159</v>
      </c>
      <c r="P215" s="2" t="s">
        <v>1956</v>
      </c>
      <c r="Q215" s="2" t="s">
        <v>433</v>
      </c>
      <c r="R215" s="2" t="s">
        <v>424</v>
      </c>
      <c r="S215" s="2" t="s">
        <v>44</v>
      </c>
      <c r="T215" s="155">
        <v>0.92700000000000005</v>
      </c>
      <c r="U215" s="2" t="s">
        <v>2464</v>
      </c>
      <c r="V215" s="166">
        <v>3.95E-2</v>
      </c>
      <c r="W215" s="168">
        <v>2.6499999999999999E-2</v>
      </c>
      <c r="X215" s="4" t="s">
        <v>430</v>
      </c>
      <c r="Y215" s="4" t="s">
        <v>159</v>
      </c>
      <c r="Z215" s="155">
        <v>49055.85</v>
      </c>
      <c r="AA215" s="162">
        <v>1</v>
      </c>
      <c r="AB215" s="179">
        <v>123.8</v>
      </c>
      <c r="AD215" s="155">
        <v>60.731000000000002</v>
      </c>
      <c r="AG215" s="2" t="s">
        <v>36</v>
      </c>
      <c r="AH215" s="168">
        <v>6.02E-4</v>
      </c>
      <c r="AI215" s="168">
        <v>4.6096399174704802E-3</v>
      </c>
      <c r="AJ215" s="168">
        <v>1.19244470193845E-3</v>
      </c>
    </row>
    <row r="216" spans="1:36">
      <c r="A216" s="2">
        <v>288</v>
      </c>
      <c r="B216" s="2">
        <v>1451</v>
      </c>
      <c r="C216" s="2" t="s">
        <v>2178</v>
      </c>
      <c r="D216" s="2" t="s">
        <v>2179</v>
      </c>
      <c r="E216" s="4" t="s">
        <v>1333</v>
      </c>
      <c r="F216" s="2" t="s">
        <v>2180</v>
      </c>
      <c r="G216" s="2" t="s">
        <v>2181</v>
      </c>
      <c r="H216" s="2" t="s">
        <v>339</v>
      </c>
      <c r="I216" s="2" t="s">
        <v>773</v>
      </c>
      <c r="J216" s="2" t="s">
        <v>30</v>
      </c>
      <c r="K216" s="2" t="s">
        <v>30</v>
      </c>
      <c r="L216" s="2" t="s">
        <v>345</v>
      </c>
      <c r="M216" s="2" t="s">
        <v>65</v>
      </c>
      <c r="N216" s="2" t="s">
        <v>459</v>
      </c>
      <c r="O216" s="2" t="s">
        <v>159</v>
      </c>
      <c r="P216" s="2" t="s">
        <v>1956</v>
      </c>
      <c r="Q216" s="2" t="s">
        <v>433</v>
      </c>
      <c r="R216" s="2" t="s">
        <v>424</v>
      </c>
      <c r="S216" s="2" t="s">
        <v>44</v>
      </c>
      <c r="T216" s="155">
        <v>0.77500000000000002</v>
      </c>
      <c r="U216" s="2" t="s">
        <v>1957</v>
      </c>
      <c r="V216" s="166">
        <v>1.8499999999999999E-2</v>
      </c>
      <c r="W216" s="168">
        <v>2.8639999999999999E-2</v>
      </c>
      <c r="X216" s="4" t="s">
        <v>430</v>
      </c>
      <c r="Y216" s="4" t="s">
        <v>159</v>
      </c>
      <c r="Z216" s="155">
        <v>52944.61</v>
      </c>
      <c r="AA216" s="162">
        <v>1</v>
      </c>
      <c r="AB216" s="179">
        <v>114.36</v>
      </c>
      <c r="AD216" s="155">
        <v>60.546999999999997</v>
      </c>
      <c r="AG216" s="2" t="s">
        <v>36</v>
      </c>
      <c r="AH216" s="168">
        <v>2.05E-4</v>
      </c>
      <c r="AI216" s="168">
        <v>4.5956976847519098E-3</v>
      </c>
      <c r="AJ216" s="168">
        <v>1.18883805546799E-3</v>
      </c>
    </row>
    <row r="217" spans="1:36">
      <c r="A217" s="2">
        <v>288</v>
      </c>
      <c r="B217" s="2">
        <v>1451</v>
      </c>
      <c r="C217" s="2" t="s">
        <v>2178</v>
      </c>
      <c r="D217" s="2" t="s">
        <v>2179</v>
      </c>
      <c r="E217" s="4" t="s">
        <v>1333</v>
      </c>
      <c r="F217" s="2" t="s">
        <v>2182</v>
      </c>
      <c r="G217" s="2" t="s">
        <v>2183</v>
      </c>
      <c r="H217" s="2" t="s">
        <v>339</v>
      </c>
      <c r="I217" s="2" t="s">
        <v>773</v>
      </c>
      <c r="J217" s="2" t="s">
        <v>30</v>
      </c>
      <c r="K217" s="2" t="s">
        <v>30</v>
      </c>
      <c r="L217" s="2" t="s">
        <v>347</v>
      </c>
      <c r="M217" s="2" t="s">
        <v>65</v>
      </c>
      <c r="N217" s="2" t="s">
        <v>459</v>
      </c>
      <c r="O217" s="2" t="s">
        <v>159</v>
      </c>
      <c r="P217" s="2" t="s">
        <v>1956</v>
      </c>
      <c r="Q217" s="2" t="s">
        <v>433</v>
      </c>
      <c r="R217" s="2" t="s">
        <v>424</v>
      </c>
      <c r="S217" s="2" t="s">
        <v>44</v>
      </c>
      <c r="T217" s="155">
        <v>1.403</v>
      </c>
      <c r="U217" s="2" t="s">
        <v>117</v>
      </c>
      <c r="V217" s="166">
        <v>3.5400000000000001E-2</v>
      </c>
      <c r="W217" s="168">
        <v>2.9649999999999999E-2</v>
      </c>
      <c r="X217" s="4" t="s">
        <v>430</v>
      </c>
      <c r="Y217" s="4" t="s">
        <v>159</v>
      </c>
      <c r="Z217" s="155">
        <v>114000</v>
      </c>
      <c r="AA217" s="162">
        <v>1</v>
      </c>
      <c r="AB217" s="179">
        <v>108.84</v>
      </c>
      <c r="AD217" s="155">
        <v>124.078</v>
      </c>
      <c r="AG217" s="2" t="s">
        <v>36</v>
      </c>
      <c r="AH217" s="168">
        <v>0</v>
      </c>
      <c r="AI217" s="168">
        <v>9.4177885704602501E-3</v>
      </c>
      <c r="AJ217" s="168">
        <v>2.43624063611988E-3</v>
      </c>
    </row>
    <row r="218" spans="1:36">
      <c r="A218" s="2">
        <v>288</v>
      </c>
      <c r="B218" s="2">
        <v>1451</v>
      </c>
      <c r="C218" s="2" t="s">
        <v>2178</v>
      </c>
      <c r="D218" s="2" t="s">
        <v>2179</v>
      </c>
      <c r="E218" s="4" t="s">
        <v>1333</v>
      </c>
      <c r="F218" s="2" t="s">
        <v>2184</v>
      </c>
      <c r="G218" s="2" t="s">
        <v>2183</v>
      </c>
      <c r="H218" s="2" t="s">
        <v>339</v>
      </c>
      <c r="I218" s="2" t="s">
        <v>773</v>
      </c>
      <c r="J218" s="2" t="s">
        <v>30</v>
      </c>
      <c r="K218" s="2" t="s">
        <v>30</v>
      </c>
      <c r="L218" s="2" t="s">
        <v>347</v>
      </c>
      <c r="M218" s="2" t="s">
        <v>65</v>
      </c>
      <c r="N218" s="2" t="s">
        <v>459</v>
      </c>
      <c r="O218" s="2" t="s">
        <v>159</v>
      </c>
      <c r="P218" s="2" t="s">
        <v>1956</v>
      </c>
      <c r="Q218" s="2" t="s">
        <v>433</v>
      </c>
      <c r="R218" s="2" t="s">
        <v>424</v>
      </c>
      <c r="S218" s="2" t="s">
        <v>44</v>
      </c>
      <c r="T218" s="155">
        <v>1.403</v>
      </c>
      <c r="U218" s="2" t="s">
        <v>117</v>
      </c>
      <c r="V218" s="166">
        <v>3.5400000000000001E-2</v>
      </c>
      <c r="W218" s="168">
        <v>2.9649999999999999E-2</v>
      </c>
      <c r="X218" s="4" t="s">
        <v>430</v>
      </c>
      <c r="Y218" s="4" t="s">
        <v>159</v>
      </c>
      <c r="Z218" s="155">
        <v>115000</v>
      </c>
      <c r="AA218" s="162">
        <v>1</v>
      </c>
      <c r="AB218" s="179">
        <v>108.84</v>
      </c>
      <c r="AD218" s="155">
        <v>125.166</v>
      </c>
      <c r="AG218" s="2" t="s">
        <v>36</v>
      </c>
      <c r="AH218" s="168">
        <v>0</v>
      </c>
      <c r="AI218" s="168">
        <v>9.5004007509028807E-3</v>
      </c>
      <c r="AJ218" s="168">
        <v>2.4576111680156701E-3</v>
      </c>
    </row>
    <row r="219" spans="1:36">
      <c r="A219" s="2">
        <v>288</v>
      </c>
      <c r="B219" s="2">
        <v>1451</v>
      </c>
      <c r="C219" s="2" t="s">
        <v>2178</v>
      </c>
      <c r="D219" s="2" t="s">
        <v>2179</v>
      </c>
      <c r="E219" s="4" t="s">
        <v>1333</v>
      </c>
      <c r="F219" s="2" t="s">
        <v>2185</v>
      </c>
      <c r="G219" s="2" t="s">
        <v>2186</v>
      </c>
      <c r="H219" s="2" t="s">
        <v>339</v>
      </c>
      <c r="I219" s="2" t="s">
        <v>773</v>
      </c>
      <c r="J219" s="2" t="s">
        <v>30</v>
      </c>
      <c r="K219" s="2" t="s">
        <v>30</v>
      </c>
      <c r="L219" s="2" t="s">
        <v>345</v>
      </c>
      <c r="M219" s="2" t="s">
        <v>65</v>
      </c>
      <c r="N219" s="2" t="s">
        <v>459</v>
      </c>
      <c r="O219" s="2" t="s">
        <v>159</v>
      </c>
      <c r="P219" s="2" t="s">
        <v>1956</v>
      </c>
      <c r="Q219" s="2" t="s">
        <v>433</v>
      </c>
      <c r="R219" s="2" t="s">
        <v>424</v>
      </c>
      <c r="S219" s="2" t="s">
        <v>44</v>
      </c>
      <c r="T219" s="155">
        <v>0.40600000000000003</v>
      </c>
      <c r="U219" s="2" t="s">
        <v>2187</v>
      </c>
      <c r="V219" s="166">
        <v>0.01</v>
      </c>
      <c r="W219" s="168">
        <v>4.0169999999999997E-2</v>
      </c>
      <c r="X219" s="4" t="s">
        <v>430</v>
      </c>
      <c r="Y219" s="4" t="s">
        <v>159</v>
      </c>
      <c r="Z219" s="155">
        <v>46440</v>
      </c>
      <c r="AA219" s="162">
        <v>1</v>
      </c>
      <c r="AB219" s="179">
        <v>113.19</v>
      </c>
      <c r="AD219" s="155">
        <v>52.564999999999998</v>
      </c>
      <c r="AG219" s="2" t="s">
        <v>36</v>
      </c>
      <c r="AH219" s="168">
        <v>1.5300000000000001E-4</v>
      </c>
      <c r="AI219" s="168">
        <v>3.9898431494650097E-3</v>
      </c>
      <c r="AJ219" s="168">
        <v>1.0321125750220701E-3</v>
      </c>
    </row>
    <row r="220" spans="1:36">
      <c r="A220" s="2">
        <v>288</v>
      </c>
      <c r="B220" s="2">
        <v>1451</v>
      </c>
      <c r="C220" s="2" t="s">
        <v>1675</v>
      </c>
      <c r="D220" s="2" t="s">
        <v>1676</v>
      </c>
      <c r="E220" s="4" t="s">
        <v>1333</v>
      </c>
      <c r="F220" s="2" t="s">
        <v>2193</v>
      </c>
      <c r="G220" s="2" t="s">
        <v>2194</v>
      </c>
      <c r="H220" s="2" t="s">
        <v>339</v>
      </c>
      <c r="I220" s="2" t="s">
        <v>773</v>
      </c>
      <c r="J220" s="2" t="s">
        <v>30</v>
      </c>
      <c r="K220" s="2" t="s">
        <v>30</v>
      </c>
      <c r="L220" s="2" t="s">
        <v>345</v>
      </c>
      <c r="M220" s="2" t="s">
        <v>65</v>
      </c>
      <c r="N220" s="2" t="s">
        <v>480</v>
      </c>
      <c r="O220" s="2" t="s">
        <v>159</v>
      </c>
      <c r="P220" s="2" t="s">
        <v>1968</v>
      </c>
      <c r="Q220" s="2" t="s">
        <v>431</v>
      </c>
      <c r="R220" s="2" t="s">
        <v>424</v>
      </c>
      <c r="S220" s="2" t="s">
        <v>44</v>
      </c>
      <c r="T220" s="155">
        <v>0.51800000000000002</v>
      </c>
      <c r="U220" s="2" t="s">
        <v>2195</v>
      </c>
      <c r="V220" s="166">
        <v>2.3E-2</v>
      </c>
      <c r="W220" s="168">
        <v>2.8219999999999999E-2</v>
      </c>
      <c r="X220" s="4" t="s">
        <v>430</v>
      </c>
      <c r="Y220" s="4" t="s">
        <v>159</v>
      </c>
      <c r="Z220" s="155">
        <v>83108.3</v>
      </c>
      <c r="AA220" s="162">
        <v>1</v>
      </c>
      <c r="AB220" s="179">
        <v>116.73</v>
      </c>
      <c r="AC220" s="155">
        <v>2.3340000000000001</v>
      </c>
      <c r="AD220" s="155">
        <v>99.346999999999994</v>
      </c>
      <c r="AG220" s="2" t="s">
        <v>36</v>
      </c>
      <c r="AH220" s="168">
        <v>1.0399999999999999E-4</v>
      </c>
      <c r="AI220" s="168">
        <v>7.5406407076684598E-3</v>
      </c>
      <c r="AJ220" s="168">
        <v>1.9506506412793501E-3</v>
      </c>
    </row>
    <row r="221" spans="1:36">
      <c r="A221" s="2">
        <v>288</v>
      </c>
      <c r="B221" s="2">
        <v>1451</v>
      </c>
      <c r="C221" s="2" t="s">
        <v>1675</v>
      </c>
      <c r="D221" s="2" t="s">
        <v>1676</v>
      </c>
      <c r="E221" s="4" t="s">
        <v>1333</v>
      </c>
      <c r="F221" s="2" t="s">
        <v>2382</v>
      </c>
      <c r="G221" s="2" t="s">
        <v>2383</v>
      </c>
      <c r="H221" s="2" t="s">
        <v>339</v>
      </c>
      <c r="I221" s="2" t="s">
        <v>773</v>
      </c>
      <c r="J221" s="2" t="s">
        <v>30</v>
      </c>
      <c r="K221" s="2" t="s">
        <v>30</v>
      </c>
      <c r="L221" s="2" t="s">
        <v>345</v>
      </c>
      <c r="M221" s="2" t="s">
        <v>65</v>
      </c>
      <c r="N221" s="2" t="s">
        <v>480</v>
      </c>
      <c r="O221" s="2" t="s">
        <v>159</v>
      </c>
      <c r="P221" s="2" t="s">
        <v>1968</v>
      </c>
      <c r="Q221" s="2" t="s">
        <v>431</v>
      </c>
      <c r="R221" s="2" t="s">
        <v>424</v>
      </c>
      <c r="S221" s="2" t="s">
        <v>44</v>
      </c>
      <c r="T221" s="155">
        <v>3.738</v>
      </c>
      <c r="U221" s="2" t="s">
        <v>2384</v>
      </c>
      <c r="V221" s="166">
        <v>2.2499999999999999E-2</v>
      </c>
      <c r="W221" s="168">
        <v>2.843E-2</v>
      </c>
      <c r="X221" s="4" t="s">
        <v>430</v>
      </c>
      <c r="Y221" s="4" t="s">
        <v>159</v>
      </c>
      <c r="Z221" s="155">
        <v>202449.82</v>
      </c>
      <c r="AA221" s="162">
        <v>1</v>
      </c>
      <c r="AB221" s="179">
        <v>114.28</v>
      </c>
      <c r="AC221" s="155">
        <v>6.2789999999999999</v>
      </c>
      <c r="AD221" s="155">
        <v>237.63900000000001</v>
      </c>
      <c r="AG221" s="2" t="s">
        <v>36</v>
      </c>
      <c r="AH221" s="168">
        <v>1.15E-4</v>
      </c>
      <c r="AI221" s="168">
        <v>1.8037382435402802E-2</v>
      </c>
      <c r="AJ221" s="168">
        <v>4.6660002748623803E-3</v>
      </c>
    </row>
    <row r="222" spans="1:36">
      <c r="A222" s="2">
        <v>288</v>
      </c>
      <c r="B222" s="2">
        <v>1451</v>
      </c>
      <c r="C222" s="2" t="s">
        <v>1675</v>
      </c>
      <c r="D222" s="2" t="s">
        <v>1676</v>
      </c>
      <c r="E222" s="4" t="s">
        <v>1333</v>
      </c>
      <c r="F222" s="2" t="s">
        <v>2465</v>
      </c>
      <c r="G222" s="2" t="s">
        <v>2466</v>
      </c>
      <c r="H222" s="2" t="s">
        <v>339</v>
      </c>
      <c r="I222" s="2" t="s">
        <v>773</v>
      </c>
      <c r="J222" s="2" t="s">
        <v>30</v>
      </c>
      <c r="K222" s="2" t="s">
        <v>30</v>
      </c>
      <c r="L222" s="2" t="s">
        <v>345</v>
      </c>
      <c r="M222" s="2" t="s">
        <v>65</v>
      </c>
      <c r="N222" s="2" t="s">
        <v>480</v>
      </c>
      <c r="O222" s="2" t="s">
        <v>159</v>
      </c>
      <c r="P222" s="2" t="s">
        <v>1968</v>
      </c>
      <c r="Q222" s="2" t="s">
        <v>431</v>
      </c>
      <c r="R222" s="2" t="s">
        <v>424</v>
      </c>
      <c r="S222" s="2" t="s">
        <v>44</v>
      </c>
      <c r="T222" s="155">
        <v>5.1219999999999999</v>
      </c>
      <c r="U222" s="2" t="s">
        <v>2467</v>
      </c>
      <c r="V222" s="166">
        <v>2.5000000000000001E-3</v>
      </c>
      <c r="W222" s="168">
        <v>2.6169999999999999E-2</v>
      </c>
      <c r="X222" s="4" t="s">
        <v>430</v>
      </c>
      <c r="Y222" s="4" t="s">
        <v>159</v>
      </c>
      <c r="Z222" s="155">
        <v>173112.25</v>
      </c>
      <c r="AA222" s="162">
        <v>1</v>
      </c>
      <c r="AB222" s="179">
        <v>100.3</v>
      </c>
      <c r="AC222" s="155">
        <v>2.4980000000000002</v>
      </c>
      <c r="AD222" s="155">
        <v>176.12899999999999</v>
      </c>
      <c r="AG222" s="2" t="s">
        <v>36</v>
      </c>
      <c r="AH222" s="168">
        <v>1.2799999999999999E-4</v>
      </c>
      <c r="AI222" s="168">
        <v>1.33686232525091E-2</v>
      </c>
      <c r="AJ222" s="168">
        <v>3.45826230574935E-3</v>
      </c>
    </row>
    <row r="223" spans="1:36">
      <c r="A223" s="2">
        <v>288</v>
      </c>
      <c r="B223" s="2">
        <v>1451</v>
      </c>
      <c r="C223" s="2" t="s">
        <v>2468</v>
      </c>
      <c r="D223" s="2" t="s">
        <v>2469</v>
      </c>
      <c r="E223" s="4" t="s">
        <v>1333</v>
      </c>
      <c r="F223" s="2" t="s">
        <v>2470</v>
      </c>
      <c r="G223" s="2" t="s">
        <v>2471</v>
      </c>
      <c r="H223" s="2" t="s">
        <v>339</v>
      </c>
      <c r="I223" s="2" t="s">
        <v>986</v>
      </c>
      <c r="J223" s="2" t="s">
        <v>30</v>
      </c>
      <c r="K223" s="2" t="s">
        <v>30</v>
      </c>
      <c r="L223" s="2" t="s">
        <v>345</v>
      </c>
      <c r="M223" s="2" t="s">
        <v>65</v>
      </c>
      <c r="N223" s="2" t="s">
        <v>461</v>
      </c>
      <c r="O223" s="2" t="s">
        <v>159</v>
      </c>
      <c r="P223" s="2" t="s">
        <v>1979</v>
      </c>
      <c r="Q223" s="2" t="s">
        <v>433</v>
      </c>
      <c r="R223" s="2" t="s">
        <v>424</v>
      </c>
      <c r="S223" s="2" t="s">
        <v>44</v>
      </c>
      <c r="T223" s="155">
        <v>1.714</v>
      </c>
      <c r="U223" s="2" t="s">
        <v>2132</v>
      </c>
      <c r="V223" s="166">
        <v>1.84E-2</v>
      </c>
      <c r="W223" s="168">
        <v>4.8489999999999998E-2</v>
      </c>
      <c r="X223" s="4" t="s">
        <v>430</v>
      </c>
      <c r="Y223" s="4" t="s">
        <v>159</v>
      </c>
      <c r="Z223" s="155">
        <v>60824</v>
      </c>
      <c r="AA223" s="162">
        <v>1</v>
      </c>
      <c r="AB223" s="179">
        <v>95.58</v>
      </c>
      <c r="AD223" s="155">
        <v>58.136000000000003</v>
      </c>
      <c r="AG223" s="2" t="s">
        <v>36</v>
      </c>
      <c r="AH223" s="168">
        <v>2.03E-4</v>
      </c>
      <c r="AI223" s="168">
        <v>4.4126304290770203E-3</v>
      </c>
      <c r="AJ223" s="168">
        <v>1.1414813024382001E-3</v>
      </c>
    </row>
    <row r="224" spans="1:36">
      <c r="A224" s="2">
        <v>288</v>
      </c>
      <c r="B224" s="2">
        <v>1451</v>
      </c>
      <c r="C224" s="2" t="s">
        <v>2196</v>
      </c>
      <c r="D224" s="2" t="s">
        <v>2197</v>
      </c>
      <c r="E224" s="4" t="s">
        <v>1333</v>
      </c>
      <c r="F224" s="2" t="s">
        <v>2198</v>
      </c>
      <c r="G224" s="2" t="s">
        <v>2199</v>
      </c>
      <c r="H224" s="2" t="s">
        <v>339</v>
      </c>
      <c r="I224" s="2" t="s">
        <v>986</v>
      </c>
      <c r="J224" s="2" t="s">
        <v>30</v>
      </c>
      <c r="K224" s="2" t="s">
        <v>30</v>
      </c>
      <c r="L224" s="2" t="s">
        <v>345</v>
      </c>
      <c r="M224" s="2" t="s">
        <v>65</v>
      </c>
      <c r="N224" s="2" t="s">
        <v>461</v>
      </c>
      <c r="O224" s="2" t="s">
        <v>159</v>
      </c>
      <c r="P224" s="2" t="s">
        <v>1968</v>
      </c>
      <c r="Q224" s="2" t="s">
        <v>433</v>
      </c>
      <c r="R224" s="2" t="s">
        <v>424</v>
      </c>
      <c r="S224" s="2" t="s">
        <v>44</v>
      </c>
      <c r="T224" s="155">
        <v>1.228</v>
      </c>
      <c r="U224" s="2" t="s">
        <v>2132</v>
      </c>
      <c r="V224" s="166">
        <v>2.9399999999999999E-2</v>
      </c>
      <c r="W224" s="168">
        <v>4.8009999999999997E-2</v>
      </c>
      <c r="X224" s="4" t="s">
        <v>430</v>
      </c>
      <c r="Y224" s="4" t="s">
        <v>159</v>
      </c>
      <c r="Z224" s="155">
        <v>40210.14</v>
      </c>
      <c r="AA224" s="162">
        <v>1</v>
      </c>
      <c r="AB224" s="179">
        <v>98.54</v>
      </c>
      <c r="AD224" s="155">
        <v>39.622999999999998</v>
      </c>
      <c r="AG224" s="2" t="s">
        <v>36</v>
      </c>
      <c r="AH224" s="168">
        <v>3.7500000000000001E-4</v>
      </c>
      <c r="AI224" s="168">
        <v>3.0074865583613899E-3</v>
      </c>
      <c r="AJ224" s="168">
        <v>7.7799166027638404E-4</v>
      </c>
    </row>
    <row r="225" spans="1:36">
      <c r="A225" s="2">
        <v>288</v>
      </c>
      <c r="B225" s="2">
        <v>1451</v>
      </c>
      <c r="C225" s="2" t="s">
        <v>2200</v>
      </c>
      <c r="D225" s="2" t="s">
        <v>2201</v>
      </c>
      <c r="E225" s="4" t="s">
        <v>1333</v>
      </c>
      <c r="F225" s="2" t="s">
        <v>2202</v>
      </c>
      <c r="G225" s="2" t="s">
        <v>2203</v>
      </c>
      <c r="H225" s="2" t="s">
        <v>339</v>
      </c>
      <c r="I225" s="2" t="s">
        <v>773</v>
      </c>
      <c r="J225" s="2" t="s">
        <v>30</v>
      </c>
      <c r="K225" s="2" t="s">
        <v>30</v>
      </c>
      <c r="L225" s="2" t="s">
        <v>345</v>
      </c>
      <c r="M225" s="2" t="s">
        <v>65</v>
      </c>
      <c r="N225" s="2" t="s">
        <v>480</v>
      </c>
      <c r="O225" s="2" t="s">
        <v>159</v>
      </c>
      <c r="P225" s="2" t="s">
        <v>1997</v>
      </c>
      <c r="Q225" s="2" t="s">
        <v>431</v>
      </c>
      <c r="R225" s="2" t="s">
        <v>424</v>
      </c>
      <c r="S225" s="2" t="s">
        <v>44</v>
      </c>
      <c r="T225" s="155">
        <v>3.9359999999999999</v>
      </c>
      <c r="U225" s="2" t="s">
        <v>2204</v>
      </c>
      <c r="V225" s="166">
        <v>3.6200000000000003E-2</v>
      </c>
      <c r="W225" s="168">
        <v>3.0859999999999999E-2</v>
      </c>
      <c r="X225" s="4" t="s">
        <v>430</v>
      </c>
      <c r="Y225" s="4" t="s">
        <v>159</v>
      </c>
      <c r="Z225" s="155">
        <v>55460</v>
      </c>
      <c r="AA225" s="162">
        <v>1</v>
      </c>
      <c r="AB225" s="179">
        <v>108.58</v>
      </c>
      <c r="AD225" s="155">
        <v>60.218000000000004</v>
      </c>
      <c r="AG225" s="2" t="s">
        <v>36</v>
      </c>
      <c r="AH225" s="168">
        <v>3.0000000000000001E-5</v>
      </c>
      <c r="AI225" s="168">
        <v>4.5707267037807496E-3</v>
      </c>
      <c r="AJ225" s="168">
        <v>1.1823784372560801E-3</v>
      </c>
    </row>
    <row r="226" spans="1:36">
      <c r="A226" s="2">
        <v>288</v>
      </c>
      <c r="B226" s="2">
        <v>1451</v>
      </c>
      <c r="C226" s="2" t="s">
        <v>2205</v>
      </c>
      <c r="D226" s="2" t="s">
        <v>2206</v>
      </c>
      <c r="E226" s="4" t="s">
        <v>1333</v>
      </c>
      <c r="F226" s="2" t="s">
        <v>2207</v>
      </c>
      <c r="G226" s="2" t="s">
        <v>2208</v>
      </c>
      <c r="H226" s="2" t="s">
        <v>339</v>
      </c>
      <c r="I226" s="2" t="s">
        <v>986</v>
      </c>
      <c r="J226" s="2" t="s">
        <v>30</v>
      </c>
      <c r="K226" s="2" t="s">
        <v>30</v>
      </c>
      <c r="L226" s="2" t="s">
        <v>345</v>
      </c>
      <c r="M226" s="2" t="s">
        <v>65</v>
      </c>
      <c r="N226" s="2" t="s">
        <v>470</v>
      </c>
      <c r="O226" s="2" t="s">
        <v>159</v>
      </c>
      <c r="P226" s="2" t="s">
        <v>1968</v>
      </c>
      <c r="Q226" s="2" t="s">
        <v>431</v>
      </c>
      <c r="R226" s="2" t="s">
        <v>424</v>
      </c>
      <c r="S226" s="2" t="s">
        <v>44</v>
      </c>
      <c r="T226" s="155">
        <v>6.6000000000000003E-2</v>
      </c>
      <c r="U226" s="2" t="s">
        <v>2209</v>
      </c>
      <c r="V226" s="166">
        <v>2.3599999999999999E-2</v>
      </c>
      <c r="W226" s="168">
        <v>4.7329999999999997E-2</v>
      </c>
      <c r="X226" s="4" t="s">
        <v>430</v>
      </c>
      <c r="Y226" s="4" t="s">
        <v>159</v>
      </c>
      <c r="Z226" s="155">
        <v>3106.5</v>
      </c>
      <c r="AA226" s="162">
        <v>1</v>
      </c>
      <c r="AB226" s="179">
        <v>100.86</v>
      </c>
      <c r="AD226" s="155">
        <v>3.133</v>
      </c>
      <c r="AG226" s="2" t="s">
        <v>36</v>
      </c>
      <c r="AH226" s="168">
        <v>9.8999999999999994E-5</v>
      </c>
      <c r="AI226" s="168">
        <v>2.3781863037167301E-4</v>
      </c>
      <c r="AJ226" s="168">
        <v>6.1520112391897595E-5</v>
      </c>
    </row>
    <row r="227" spans="1:36">
      <c r="A227" s="2">
        <v>288</v>
      </c>
      <c r="B227" s="2">
        <v>1451</v>
      </c>
      <c r="C227" s="2" t="s">
        <v>1759</v>
      </c>
      <c r="D227" s="2" t="s">
        <v>1760</v>
      </c>
      <c r="E227" s="4" t="s">
        <v>1333</v>
      </c>
      <c r="F227" s="2" t="s">
        <v>2210</v>
      </c>
      <c r="G227" s="2" t="s">
        <v>2211</v>
      </c>
      <c r="H227" s="2" t="s">
        <v>339</v>
      </c>
      <c r="I227" s="2" t="s">
        <v>986</v>
      </c>
      <c r="J227" s="2" t="s">
        <v>30</v>
      </c>
      <c r="K227" s="2" t="s">
        <v>30</v>
      </c>
      <c r="L227" s="2" t="s">
        <v>345</v>
      </c>
      <c r="M227" s="2" t="s">
        <v>65</v>
      </c>
      <c r="N227" s="2" t="s">
        <v>501</v>
      </c>
      <c r="O227" s="2" t="s">
        <v>159</v>
      </c>
      <c r="P227" s="2" t="s">
        <v>1956</v>
      </c>
      <c r="Q227" s="2" t="s">
        <v>431</v>
      </c>
      <c r="R227" s="2" t="s">
        <v>424</v>
      </c>
      <c r="S227" s="2" t="s">
        <v>44</v>
      </c>
      <c r="T227" s="155">
        <v>0.50700000000000001</v>
      </c>
      <c r="U227" s="2" t="s">
        <v>2212</v>
      </c>
      <c r="V227" s="166">
        <v>4.1399999999999999E-2</v>
      </c>
      <c r="W227" s="168">
        <v>4.9869999999999998E-2</v>
      </c>
      <c r="X227" s="4" t="s">
        <v>430</v>
      </c>
      <c r="Y227" s="4" t="s">
        <v>159</v>
      </c>
      <c r="Z227" s="155">
        <v>66666.66</v>
      </c>
      <c r="AA227" s="162">
        <v>1</v>
      </c>
      <c r="AB227" s="179">
        <v>99.57</v>
      </c>
      <c r="AC227" s="155">
        <v>1.38</v>
      </c>
      <c r="AD227" s="155">
        <v>67.760000000000005</v>
      </c>
      <c r="AG227" s="2" t="s">
        <v>36</v>
      </c>
      <c r="AH227" s="168">
        <v>5.9199999999999997E-4</v>
      </c>
      <c r="AI227" s="168">
        <v>5.1431466358078E-3</v>
      </c>
      <c r="AJ227" s="168">
        <v>1.33045488735854E-3</v>
      </c>
    </row>
    <row r="228" spans="1:36">
      <c r="A228" s="2">
        <v>288</v>
      </c>
      <c r="B228" s="2">
        <v>1451</v>
      </c>
      <c r="C228" s="2" t="s">
        <v>1695</v>
      </c>
      <c r="D228" s="2" t="s">
        <v>1696</v>
      </c>
      <c r="E228" s="4" t="s">
        <v>1333</v>
      </c>
      <c r="F228" s="2" t="s">
        <v>2216</v>
      </c>
      <c r="G228" s="2" t="s">
        <v>2217</v>
      </c>
      <c r="H228" s="2" t="s">
        <v>339</v>
      </c>
      <c r="I228" s="2" t="s">
        <v>773</v>
      </c>
      <c r="J228" s="2" t="s">
        <v>30</v>
      </c>
      <c r="K228" s="2" t="s">
        <v>30</v>
      </c>
      <c r="L228" s="2" t="s">
        <v>345</v>
      </c>
      <c r="M228" s="2" t="s">
        <v>65</v>
      </c>
      <c r="N228" s="2" t="s">
        <v>480</v>
      </c>
      <c r="O228" s="2" t="s">
        <v>159</v>
      </c>
      <c r="P228" s="2" t="s">
        <v>126</v>
      </c>
      <c r="Q228" s="2" t="s">
        <v>431</v>
      </c>
      <c r="R228" s="2" t="s">
        <v>424</v>
      </c>
      <c r="S228" s="2" t="s">
        <v>44</v>
      </c>
      <c r="T228" s="155">
        <v>2.9119999999999999</v>
      </c>
      <c r="U228" s="2" t="s">
        <v>2218</v>
      </c>
      <c r="V228" s="166">
        <v>1.34E-2</v>
      </c>
      <c r="W228" s="168">
        <v>2.5749999999999999E-2</v>
      </c>
      <c r="X228" s="4" t="s">
        <v>430</v>
      </c>
      <c r="Y228" s="4" t="s">
        <v>159</v>
      </c>
      <c r="Z228" s="155">
        <v>151468.63</v>
      </c>
      <c r="AA228" s="162">
        <v>1</v>
      </c>
      <c r="AB228" s="179">
        <v>112.66</v>
      </c>
      <c r="AC228" s="155">
        <v>17.366</v>
      </c>
      <c r="AD228" s="155">
        <v>188.011</v>
      </c>
      <c r="AG228" s="2" t="s">
        <v>36</v>
      </c>
      <c r="AH228" s="168">
        <v>6.2000000000000003E-5</v>
      </c>
      <c r="AI228" s="168">
        <v>1.4270459363806E-2</v>
      </c>
      <c r="AJ228" s="168">
        <v>3.69155378017821E-3</v>
      </c>
    </row>
    <row r="229" spans="1:36">
      <c r="A229" s="2">
        <v>288</v>
      </c>
      <c r="B229" s="2">
        <v>1451</v>
      </c>
      <c r="C229" s="2" t="s">
        <v>1695</v>
      </c>
      <c r="D229" s="2" t="s">
        <v>1696</v>
      </c>
      <c r="E229" s="4" t="s">
        <v>1333</v>
      </c>
      <c r="F229" s="2" t="s">
        <v>2219</v>
      </c>
      <c r="G229" s="2" t="s">
        <v>2220</v>
      </c>
      <c r="H229" s="2" t="s">
        <v>339</v>
      </c>
      <c r="I229" s="2" t="s">
        <v>773</v>
      </c>
      <c r="J229" s="2" t="s">
        <v>30</v>
      </c>
      <c r="K229" s="2" t="s">
        <v>30</v>
      </c>
      <c r="L229" s="2" t="s">
        <v>345</v>
      </c>
      <c r="M229" s="2" t="s">
        <v>65</v>
      </c>
      <c r="N229" s="2" t="s">
        <v>480</v>
      </c>
      <c r="O229" s="2" t="s">
        <v>159</v>
      </c>
      <c r="P229" s="2" t="s">
        <v>126</v>
      </c>
      <c r="Q229" s="2" t="s">
        <v>433</v>
      </c>
      <c r="R229" s="2" t="s">
        <v>424</v>
      </c>
      <c r="S229" s="2" t="s">
        <v>44</v>
      </c>
      <c r="T229" s="155">
        <v>2.3159999999999998</v>
      </c>
      <c r="U229" s="2" t="s">
        <v>2084</v>
      </c>
      <c r="V229" s="166">
        <v>1.77E-2</v>
      </c>
      <c r="W229" s="168">
        <v>2.605E-2</v>
      </c>
      <c r="X229" s="4" t="s">
        <v>430</v>
      </c>
      <c r="Y229" s="4" t="s">
        <v>159</v>
      </c>
      <c r="Z229" s="155">
        <v>244929.73</v>
      </c>
      <c r="AA229" s="162">
        <v>1</v>
      </c>
      <c r="AB229" s="179">
        <v>113.1</v>
      </c>
      <c r="AD229" s="155">
        <v>277.01600000000002</v>
      </c>
      <c r="AG229" s="2" t="s">
        <v>36</v>
      </c>
      <c r="AH229" s="168">
        <v>9.3999999999999994E-5</v>
      </c>
      <c r="AI229" s="168">
        <v>2.1026145264741301E-2</v>
      </c>
      <c r="AJ229" s="168">
        <v>5.4391483872969198E-3</v>
      </c>
    </row>
    <row r="230" spans="1:36">
      <c r="A230" s="2">
        <v>288</v>
      </c>
      <c r="B230" s="2">
        <v>1451</v>
      </c>
      <c r="C230" s="2" t="s">
        <v>1695</v>
      </c>
      <c r="D230" s="2" t="s">
        <v>1696</v>
      </c>
      <c r="E230" s="4" t="s">
        <v>1333</v>
      </c>
      <c r="F230" s="2" t="s">
        <v>2221</v>
      </c>
      <c r="G230" s="2" t="s">
        <v>2222</v>
      </c>
      <c r="H230" s="2" t="s">
        <v>339</v>
      </c>
      <c r="I230" s="2" t="s">
        <v>773</v>
      </c>
      <c r="J230" s="2" t="s">
        <v>30</v>
      </c>
      <c r="K230" s="2" t="s">
        <v>30</v>
      </c>
      <c r="L230" s="2" t="s">
        <v>345</v>
      </c>
      <c r="M230" s="2" t="s">
        <v>65</v>
      </c>
      <c r="N230" s="2" t="s">
        <v>480</v>
      </c>
      <c r="O230" s="2" t="s">
        <v>159</v>
      </c>
      <c r="P230" s="2" t="s">
        <v>126</v>
      </c>
      <c r="Q230" s="2" t="s">
        <v>431</v>
      </c>
      <c r="R230" s="2" t="s">
        <v>424</v>
      </c>
      <c r="S230" s="2" t="s">
        <v>44</v>
      </c>
      <c r="T230" s="155">
        <v>6.7249999999999996</v>
      </c>
      <c r="U230" s="2" t="s">
        <v>2223</v>
      </c>
      <c r="V230" s="166">
        <v>8.9999999999999993E-3</v>
      </c>
      <c r="W230" s="168">
        <v>2.9850000000000002E-2</v>
      </c>
      <c r="X230" s="4" t="s">
        <v>430</v>
      </c>
      <c r="Y230" s="4" t="s">
        <v>159</v>
      </c>
      <c r="Z230" s="155">
        <v>127400</v>
      </c>
      <c r="AA230" s="162">
        <v>1</v>
      </c>
      <c r="AB230" s="179">
        <v>98.8</v>
      </c>
      <c r="AC230" s="155">
        <v>0.65100000000000002</v>
      </c>
      <c r="AD230" s="155">
        <v>126.52200000000001</v>
      </c>
      <c r="AG230" s="2" t="s">
        <v>36</v>
      </c>
      <c r="AH230" s="168">
        <v>4.6E-5</v>
      </c>
      <c r="AI230" s="168">
        <v>9.6033266926941595E-3</v>
      </c>
      <c r="AJ230" s="168">
        <v>2.4842365652654299E-3</v>
      </c>
    </row>
    <row r="231" spans="1:36">
      <c r="A231" s="2">
        <v>288</v>
      </c>
      <c r="B231" s="2">
        <v>1451</v>
      </c>
      <c r="C231" s="2" t="s">
        <v>1695</v>
      </c>
      <c r="D231" s="2" t="s">
        <v>1696</v>
      </c>
      <c r="E231" s="4" t="s">
        <v>1333</v>
      </c>
      <c r="F231" s="2" t="s">
        <v>2472</v>
      </c>
      <c r="G231" s="2" t="s">
        <v>2473</v>
      </c>
      <c r="H231" s="2" t="s">
        <v>339</v>
      </c>
      <c r="I231" s="2" t="s">
        <v>773</v>
      </c>
      <c r="J231" s="2" t="s">
        <v>30</v>
      </c>
      <c r="K231" s="2" t="s">
        <v>30</v>
      </c>
      <c r="L231" s="2" t="s">
        <v>345</v>
      </c>
      <c r="M231" s="2" t="s">
        <v>65</v>
      </c>
      <c r="N231" s="2" t="s">
        <v>480</v>
      </c>
      <c r="O231" s="2" t="s">
        <v>159</v>
      </c>
      <c r="P231" s="2" t="s">
        <v>126</v>
      </c>
      <c r="Q231" s="2" t="s">
        <v>431</v>
      </c>
      <c r="R231" s="2" t="s">
        <v>424</v>
      </c>
      <c r="S231" s="2" t="s">
        <v>44</v>
      </c>
      <c r="T231" s="155">
        <v>0.24399999999999999</v>
      </c>
      <c r="U231" s="2" t="s">
        <v>2474</v>
      </c>
      <c r="V231" s="166">
        <v>6.4999999999999997E-3</v>
      </c>
      <c r="W231" s="168">
        <v>2.9729999999999999E-2</v>
      </c>
      <c r="X231" s="4" t="s">
        <v>430</v>
      </c>
      <c r="Y231" s="4" t="s">
        <v>159</v>
      </c>
      <c r="Z231" s="155">
        <v>104136.32000000001</v>
      </c>
      <c r="AA231" s="162">
        <v>1</v>
      </c>
      <c r="AB231" s="179">
        <v>114.76</v>
      </c>
      <c r="AD231" s="155">
        <v>119.50700000000001</v>
      </c>
      <c r="AG231" s="2" t="s">
        <v>36</v>
      </c>
      <c r="AH231" s="168">
        <v>1.9100000000000001E-4</v>
      </c>
      <c r="AI231" s="168">
        <v>9.0708569450039401E-3</v>
      </c>
      <c r="AJ231" s="168">
        <v>2.3464946285971702E-3</v>
      </c>
    </row>
    <row r="232" spans="1:36">
      <c r="A232" s="2">
        <v>288</v>
      </c>
      <c r="B232" s="2">
        <v>1451</v>
      </c>
      <c r="C232" s="2" t="s">
        <v>1699</v>
      </c>
      <c r="D232" s="2" t="s">
        <v>1700</v>
      </c>
      <c r="E232" s="4" t="s">
        <v>1333</v>
      </c>
      <c r="F232" s="2" t="s">
        <v>2224</v>
      </c>
      <c r="G232" s="2" t="s">
        <v>2225</v>
      </c>
      <c r="H232" s="2" t="s">
        <v>339</v>
      </c>
      <c r="I232" s="2" t="s">
        <v>986</v>
      </c>
      <c r="J232" s="2" t="s">
        <v>30</v>
      </c>
      <c r="K232" s="2" t="s">
        <v>30</v>
      </c>
      <c r="L232" s="2" t="s">
        <v>345</v>
      </c>
      <c r="M232" s="2" t="s">
        <v>65</v>
      </c>
      <c r="N232" s="2" t="s">
        <v>464</v>
      </c>
      <c r="O232" s="2" t="s">
        <v>159</v>
      </c>
      <c r="P232" s="2" t="s">
        <v>132</v>
      </c>
      <c r="Q232" s="2" t="s">
        <v>431</v>
      </c>
      <c r="R232" s="2" t="s">
        <v>424</v>
      </c>
      <c r="S232" s="2" t="s">
        <v>44</v>
      </c>
      <c r="T232" s="155">
        <v>3.665</v>
      </c>
      <c r="U232" s="2" t="s">
        <v>2226</v>
      </c>
      <c r="V232" s="166">
        <v>2.5000000000000001E-2</v>
      </c>
      <c r="W232" s="168">
        <v>4.5699999999999998E-2</v>
      </c>
      <c r="X232" s="4" t="s">
        <v>430</v>
      </c>
      <c r="Y232" s="4" t="s">
        <v>159</v>
      </c>
      <c r="Z232" s="155">
        <v>127671.6</v>
      </c>
      <c r="AA232" s="162">
        <v>1</v>
      </c>
      <c r="AB232" s="179">
        <v>92.99</v>
      </c>
      <c r="AD232" s="155">
        <v>118.72199999999999</v>
      </c>
      <c r="AG232" s="2" t="s">
        <v>36</v>
      </c>
      <c r="AH232" s="168">
        <v>6.3E-5</v>
      </c>
      <c r="AI232" s="168">
        <v>9.0112720375892293E-3</v>
      </c>
      <c r="AJ232" s="168">
        <v>2.33108090682405E-3</v>
      </c>
    </row>
    <row r="233" spans="1:36">
      <c r="A233" s="2">
        <v>288</v>
      </c>
      <c r="B233" s="2">
        <v>1451</v>
      </c>
      <c r="C233" s="2" t="s">
        <v>1699</v>
      </c>
      <c r="D233" s="2" t="s">
        <v>1700</v>
      </c>
      <c r="E233" s="4" t="s">
        <v>1333</v>
      </c>
      <c r="F233" s="2" t="s">
        <v>2227</v>
      </c>
      <c r="G233" s="2" t="s">
        <v>2228</v>
      </c>
      <c r="H233" s="2" t="s">
        <v>339</v>
      </c>
      <c r="I233" s="2" t="s">
        <v>773</v>
      </c>
      <c r="J233" s="2" t="s">
        <v>30</v>
      </c>
      <c r="K233" s="2" t="s">
        <v>30</v>
      </c>
      <c r="L233" s="2" t="s">
        <v>345</v>
      </c>
      <c r="M233" s="2" t="s">
        <v>65</v>
      </c>
      <c r="N233" s="2" t="s">
        <v>464</v>
      </c>
      <c r="O233" s="2" t="s">
        <v>159</v>
      </c>
      <c r="P233" s="2" t="s">
        <v>132</v>
      </c>
      <c r="Q233" s="2" t="s">
        <v>431</v>
      </c>
      <c r="R233" s="2" t="s">
        <v>424</v>
      </c>
      <c r="S233" s="2" t="s">
        <v>44</v>
      </c>
      <c r="T233" s="155">
        <v>3.839</v>
      </c>
      <c r="U233" s="2" t="s">
        <v>2226</v>
      </c>
      <c r="V233" s="166">
        <v>1E-3</v>
      </c>
      <c r="W233" s="168">
        <v>2.359E-2</v>
      </c>
      <c r="X233" s="4" t="s">
        <v>430</v>
      </c>
      <c r="Y233" s="4" t="s">
        <v>159</v>
      </c>
      <c r="Z233" s="155">
        <v>222008.66</v>
      </c>
      <c r="AA233" s="162">
        <v>1</v>
      </c>
      <c r="AB233" s="179">
        <v>103.09</v>
      </c>
      <c r="AD233" s="155">
        <v>228.869</v>
      </c>
      <c r="AG233" s="2" t="s">
        <v>36</v>
      </c>
      <c r="AH233" s="168">
        <v>2.2599999999999999E-4</v>
      </c>
      <c r="AI233" s="168">
        <v>1.7371687451002898E-2</v>
      </c>
      <c r="AJ233" s="168">
        <v>4.4937949678391098E-3</v>
      </c>
    </row>
    <row r="234" spans="1:36">
      <c r="A234" s="2">
        <v>288</v>
      </c>
      <c r="B234" s="2">
        <v>1451</v>
      </c>
      <c r="C234" s="2" t="s">
        <v>1699</v>
      </c>
      <c r="D234" s="2" t="s">
        <v>1700</v>
      </c>
      <c r="E234" s="4" t="s">
        <v>1333</v>
      </c>
      <c r="F234" s="2" t="s">
        <v>2229</v>
      </c>
      <c r="G234" s="2" t="s">
        <v>2230</v>
      </c>
      <c r="H234" s="2" t="s">
        <v>339</v>
      </c>
      <c r="I234" s="2" t="s">
        <v>773</v>
      </c>
      <c r="J234" s="2" t="s">
        <v>30</v>
      </c>
      <c r="K234" s="2" t="s">
        <v>30</v>
      </c>
      <c r="L234" s="2" t="s">
        <v>345</v>
      </c>
      <c r="M234" s="2" t="s">
        <v>65</v>
      </c>
      <c r="N234" s="2" t="s">
        <v>464</v>
      </c>
      <c r="O234" s="2" t="s">
        <v>159</v>
      </c>
      <c r="P234" s="2" t="s">
        <v>132</v>
      </c>
      <c r="Q234" s="2" t="s">
        <v>431</v>
      </c>
      <c r="R234" s="2" t="s">
        <v>424</v>
      </c>
      <c r="S234" s="2" t="s">
        <v>44</v>
      </c>
      <c r="T234" s="155">
        <v>4.2240000000000002</v>
      </c>
      <c r="U234" s="2" t="s">
        <v>2231</v>
      </c>
      <c r="V234" s="166">
        <v>1.3899999999999999E-2</v>
      </c>
      <c r="W234" s="168">
        <v>2.298E-2</v>
      </c>
      <c r="X234" s="4" t="s">
        <v>430</v>
      </c>
      <c r="Y234" s="4" t="s">
        <v>159</v>
      </c>
      <c r="Z234" s="155">
        <v>101600</v>
      </c>
      <c r="AA234" s="162">
        <v>1</v>
      </c>
      <c r="AB234" s="179">
        <v>103.13</v>
      </c>
      <c r="AD234" s="155">
        <v>104.78</v>
      </c>
      <c r="AG234" s="2" t="s">
        <v>36</v>
      </c>
      <c r="AH234" s="168">
        <v>6.3E-5</v>
      </c>
      <c r="AI234" s="168">
        <v>7.9530603415597194E-3</v>
      </c>
      <c r="AJ234" s="168">
        <v>2.0573374142624601E-3</v>
      </c>
    </row>
    <row r="235" spans="1:36">
      <c r="A235" s="2">
        <v>288</v>
      </c>
      <c r="B235" s="2">
        <v>1451</v>
      </c>
      <c r="C235" s="2" t="s">
        <v>1699</v>
      </c>
      <c r="D235" s="2" t="s">
        <v>1700</v>
      </c>
      <c r="E235" s="4" t="s">
        <v>1333</v>
      </c>
      <c r="F235" s="2" t="s">
        <v>2232</v>
      </c>
      <c r="G235" s="2" t="s">
        <v>2233</v>
      </c>
      <c r="H235" s="2" t="s">
        <v>339</v>
      </c>
      <c r="I235" s="2" t="s">
        <v>773</v>
      </c>
      <c r="J235" s="2" t="s">
        <v>30</v>
      </c>
      <c r="K235" s="2" t="s">
        <v>30</v>
      </c>
      <c r="L235" s="2" t="s">
        <v>345</v>
      </c>
      <c r="M235" s="2" t="s">
        <v>65</v>
      </c>
      <c r="N235" s="2" t="s">
        <v>464</v>
      </c>
      <c r="O235" s="2" t="s">
        <v>159</v>
      </c>
      <c r="P235" s="2" t="s">
        <v>132</v>
      </c>
      <c r="Q235" s="2" t="s">
        <v>431</v>
      </c>
      <c r="R235" s="2" t="s">
        <v>424</v>
      </c>
      <c r="S235" s="2" t="s">
        <v>44</v>
      </c>
      <c r="T235" s="155">
        <v>3.3029999999999999</v>
      </c>
      <c r="U235" s="2" t="s">
        <v>2234</v>
      </c>
      <c r="V235" s="166">
        <v>1.7500000000000002E-2</v>
      </c>
      <c r="W235" s="168">
        <v>2.341E-2</v>
      </c>
      <c r="X235" s="4" t="s">
        <v>430</v>
      </c>
      <c r="Y235" s="4" t="s">
        <v>159</v>
      </c>
      <c r="Z235" s="155">
        <v>202836.54</v>
      </c>
      <c r="AA235" s="162">
        <v>1</v>
      </c>
      <c r="AB235" s="179">
        <v>112.53</v>
      </c>
      <c r="AD235" s="155">
        <v>228.25200000000001</v>
      </c>
      <c r="AG235" s="2" t="s">
        <v>36</v>
      </c>
      <c r="AH235" s="168">
        <v>9.1000000000000003E-5</v>
      </c>
      <c r="AI235" s="168">
        <v>1.7324873188944601E-2</v>
      </c>
      <c r="AJ235" s="168">
        <v>4.4816848204596998E-3</v>
      </c>
    </row>
    <row r="236" spans="1:36">
      <c r="A236" s="2">
        <v>288</v>
      </c>
      <c r="B236" s="2">
        <v>1451</v>
      </c>
      <c r="C236" s="2" t="s">
        <v>1707</v>
      </c>
      <c r="D236" s="2" t="s">
        <v>1708</v>
      </c>
      <c r="E236" s="4" t="s">
        <v>1333</v>
      </c>
      <c r="F236" s="2" t="s">
        <v>2235</v>
      </c>
      <c r="G236" s="2" t="s">
        <v>2236</v>
      </c>
      <c r="H236" s="2" t="s">
        <v>339</v>
      </c>
      <c r="I236" s="2" t="s">
        <v>986</v>
      </c>
      <c r="J236" s="2" t="s">
        <v>30</v>
      </c>
      <c r="K236" s="2" t="s">
        <v>30</v>
      </c>
      <c r="L236" s="2" t="s">
        <v>345</v>
      </c>
      <c r="M236" s="2" t="s">
        <v>65</v>
      </c>
      <c r="N236" s="2" t="s">
        <v>493</v>
      </c>
      <c r="O236" s="2" t="s">
        <v>159</v>
      </c>
      <c r="P236" s="2" t="s">
        <v>1979</v>
      </c>
      <c r="Q236" s="2" t="s">
        <v>431</v>
      </c>
      <c r="R236" s="2" t="s">
        <v>424</v>
      </c>
      <c r="S236" s="2" t="s">
        <v>44</v>
      </c>
      <c r="T236" s="155">
        <v>1.387</v>
      </c>
      <c r="U236" s="2" t="s">
        <v>2237</v>
      </c>
      <c r="V236" s="166">
        <v>2.29E-2</v>
      </c>
      <c r="W236" s="168">
        <v>4.5949999999999998E-2</v>
      </c>
      <c r="X236" s="4" t="s">
        <v>430</v>
      </c>
      <c r="Y236" s="4" t="s">
        <v>159</v>
      </c>
      <c r="Z236" s="155">
        <v>60576.93</v>
      </c>
      <c r="AA236" s="162">
        <v>1</v>
      </c>
      <c r="AB236" s="179">
        <v>97.15</v>
      </c>
      <c r="AD236" s="155">
        <v>58.85</v>
      </c>
      <c r="AG236" s="2" t="s">
        <v>36</v>
      </c>
      <c r="AH236" s="168">
        <v>1.83E-4</v>
      </c>
      <c r="AI236" s="168">
        <v>4.46689368988782E-3</v>
      </c>
      <c r="AJ236" s="168">
        <v>1.1555183940597201E-3</v>
      </c>
    </row>
    <row r="237" spans="1:36">
      <c r="A237" s="2">
        <v>288</v>
      </c>
      <c r="B237" s="2">
        <v>1451</v>
      </c>
      <c r="C237" s="2" t="s">
        <v>1763</v>
      </c>
      <c r="D237" s="2" t="s">
        <v>1764</v>
      </c>
      <c r="E237" s="4" t="s">
        <v>1333</v>
      </c>
      <c r="F237" s="2" t="s">
        <v>2398</v>
      </c>
      <c r="G237" s="2" t="s">
        <v>2399</v>
      </c>
      <c r="H237" s="2" t="s">
        <v>339</v>
      </c>
      <c r="I237" s="2" t="s">
        <v>986</v>
      </c>
      <c r="J237" s="2" t="s">
        <v>30</v>
      </c>
      <c r="K237" s="2" t="s">
        <v>30</v>
      </c>
      <c r="L237" s="2" t="s">
        <v>345</v>
      </c>
      <c r="M237" s="2" t="s">
        <v>65</v>
      </c>
      <c r="N237" s="2" t="s">
        <v>456</v>
      </c>
      <c r="O237" s="2" t="s">
        <v>159</v>
      </c>
      <c r="P237" s="2" t="s">
        <v>1979</v>
      </c>
      <c r="Q237" s="2" t="s">
        <v>431</v>
      </c>
      <c r="R237" s="2" t="s">
        <v>424</v>
      </c>
      <c r="S237" s="2" t="s">
        <v>44</v>
      </c>
      <c r="T237" s="155">
        <v>3.6059999999999999</v>
      </c>
      <c r="U237" s="2" t="s">
        <v>72</v>
      </c>
      <c r="V237" s="166">
        <v>2.4299999999999999E-2</v>
      </c>
      <c r="W237" s="168">
        <v>4.947E-2</v>
      </c>
      <c r="X237" s="4" t="s">
        <v>430</v>
      </c>
      <c r="Y237" s="4" t="s">
        <v>159</v>
      </c>
      <c r="Z237" s="155">
        <v>170000</v>
      </c>
      <c r="AA237" s="162">
        <v>1</v>
      </c>
      <c r="AB237" s="179">
        <v>91.75</v>
      </c>
      <c r="AD237" s="155">
        <v>155.97499999999999</v>
      </c>
      <c r="AG237" s="2" t="s">
        <v>36</v>
      </c>
      <c r="AH237" s="168">
        <v>1.16E-4</v>
      </c>
      <c r="AI237" s="168">
        <v>1.18388780269568E-2</v>
      </c>
      <c r="AJ237" s="168">
        <v>3.0625401621146601E-3</v>
      </c>
    </row>
    <row r="238" spans="1:36">
      <c r="A238" s="2">
        <v>288</v>
      </c>
      <c r="B238" s="2">
        <v>1451</v>
      </c>
      <c r="C238" s="2" t="s">
        <v>2241</v>
      </c>
      <c r="D238" s="2" t="s">
        <v>2242</v>
      </c>
      <c r="E238" s="4" t="s">
        <v>1333</v>
      </c>
      <c r="F238" s="2" t="s">
        <v>2243</v>
      </c>
      <c r="G238" s="2" t="s">
        <v>2244</v>
      </c>
      <c r="H238" s="2" t="s">
        <v>339</v>
      </c>
      <c r="I238" s="2" t="s">
        <v>986</v>
      </c>
      <c r="J238" s="2" t="s">
        <v>30</v>
      </c>
      <c r="K238" s="2" t="s">
        <v>30</v>
      </c>
      <c r="L238" s="2" t="s">
        <v>345</v>
      </c>
      <c r="M238" s="2" t="s">
        <v>65</v>
      </c>
      <c r="N238" s="2" t="s">
        <v>461</v>
      </c>
      <c r="O238" s="2" t="s">
        <v>159</v>
      </c>
      <c r="P238" s="2" t="s">
        <v>1968</v>
      </c>
      <c r="Q238" s="2" t="s">
        <v>431</v>
      </c>
      <c r="R238" s="2" t="s">
        <v>424</v>
      </c>
      <c r="S238" s="2" t="s">
        <v>44</v>
      </c>
      <c r="T238" s="155">
        <v>4.87</v>
      </c>
      <c r="U238" s="2" t="s">
        <v>2245</v>
      </c>
      <c r="V238" s="166">
        <v>4.6899999999999997E-2</v>
      </c>
      <c r="W238" s="168">
        <v>4.8379999999999999E-2</v>
      </c>
      <c r="X238" s="4" t="s">
        <v>430</v>
      </c>
      <c r="Y238" s="4" t="s">
        <v>159</v>
      </c>
      <c r="Z238" s="155">
        <v>180000</v>
      </c>
      <c r="AA238" s="162">
        <v>1</v>
      </c>
      <c r="AB238" s="179">
        <v>99.72</v>
      </c>
      <c r="AD238" s="155">
        <v>179.49600000000001</v>
      </c>
      <c r="AG238" s="2" t="s">
        <v>36</v>
      </c>
      <c r="AH238" s="168">
        <v>3.6000000000000002E-4</v>
      </c>
      <c r="AI238" s="168">
        <v>1.36241785563497E-2</v>
      </c>
      <c r="AJ238" s="168">
        <v>3.52437062951712E-3</v>
      </c>
    </row>
    <row r="239" spans="1:36">
      <c r="A239" s="2">
        <v>288</v>
      </c>
      <c r="B239" s="2">
        <v>1451</v>
      </c>
      <c r="C239" s="2" t="s">
        <v>2241</v>
      </c>
      <c r="D239" s="2" t="s">
        <v>2242</v>
      </c>
      <c r="E239" s="4" t="s">
        <v>1333</v>
      </c>
      <c r="F239" s="2" t="s">
        <v>2246</v>
      </c>
      <c r="G239" s="2" t="s">
        <v>2247</v>
      </c>
      <c r="H239" s="2" t="s">
        <v>339</v>
      </c>
      <c r="I239" s="2" t="s">
        <v>986</v>
      </c>
      <c r="J239" s="2" t="s">
        <v>30</v>
      </c>
      <c r="K239" s="2" t="s">
        <v>30</v>
      </c>
      <c r="L239" s="2" t="s">
        <v>345</v>
      </c>
      <c r="M239" s="2" t="s">
        <v>65</v>
      </c>
      <c r="N239" s="2" t="s">
        <v>461</v>
      </c>
      <c r="O239" s="2" t="s">
        <v>159</v>
      </c>
      <c r="P239" s="2" t="s">
        <v>1968</v>
      </c>
      <c r="Q239" s="2" t="s">
        <v>431</v>
      </c>
      <c r="R239" s="2" t="s">
        <v>424</v>
      </c>
      <c r="S239" s="2" t="s">
        <v>44</v>
      </c>
      <c r="T239" s="155">
        <v>4.0860000000000003</v>
      </c>
      <c r="U239" s="2" t="s">
        <v>1971</v>
      </c>
      <c r="V239" s="166">
        <v>2.6200000000000001E-2</v>
      </c>
      <c r="W239" s="168">
        <v>4.8649999999999999E-2</v>
      </c>
      <c r="X239" s="4" t="s">
        <v>430</v>
      </c>
      <c r="Y239" s="4" t="s">
        <v>159</v>
      </c>
      <c r="Z239" s="155">
        <v>9000</v>
      </c>
      <c r="AA239" s="162">
        <v>1</v>
      </c>
      <c r="AB239" s="179">
        <v>91.99</v>
      </c>
      <c r="AD239" s="155">
        <v>8.2789999999999999</v>
      </c>
      <c r="AG239" s="2" t="s">
        <v>36</v>
      </c>
      <c r="AH239" s="168">
        <v>6.9999999999999999E-6</v>
      </c>
      <c r="AI239" s="168">
        <v>6.2840362284326398E-4</v>
      </c>
      <c r="AJ239" s="168">
        <v>1.6255859115988801E-4</v>
      </c>
    </row>
    <row r="240" spans="1:36">
      <c r="A240" s="2">
        <v>288</v>
      </c>
      <c r="B240" s="2">
        <v>1451</v>
      </c>
      <c r="C240" s="2" t="s">
        <v>2241</v>
      </c>
      <c r="D240" s="2" t="s">
        <v>2242</v>
      </c>
      <c r="E240" s="4" t="s">
        <v>1333</v>
      </c>
      <c r="F240" s="2" t="s">
        <v>2475</v>
      </c>
      <c r="G240" s="2" t="s">
        <v>2476</v>
      </c>
      <c r="H240" s="2" t="s">
        <v>339</v>
      </c>
      <c r="I240" s="2" t="s">
        <v>986</v>
      </c>
      <c r="J240" s="2" t="s">
        <v>30</v>
      </c>
      <c r="K240" s="2" t="s">
        <v>30</v>
      </c>
      <c r="L240" s="2" t="s">
        <v>345</v>
      </c>
      <c r="M240" s="2" t="s">
        <v>65</v>
      </c>
      <c r="N240" s="2" t="s">
        <v>461</v>
      </c>
      <c r="O240" s="2" t="s">
        <v>159</v>
      </c>
      <c r="P240" s="2" t="s">
        <v>1968</v>
      </c>
      <c r="Q240" s="2" t="s">
        <v>431</v>
      </c>
      <c r="R240" s="2" t="s">
        <v>424</v>
      </c>
      <c r="S240" s="2" t="s">
        <v>44</v>
      </c>
      <c r="T240" s="155">
        <v>3.4079999999999999</v>
      </c>
      <c r="U240" s="2" t="s">
        <v>98</v>
      </c>
      <c r="V240" s="166">
        <v>6.25E-2</v>
      </c>
      <c r="W240" s="168">
        <v>5.3159999999999999E-2</v>
      </c>
      <c r="X240" s="4" t="s">
        <v>430</v>
      </c>
      <c r="Y240" s="4" t="s">
        <v>159</v>
      </c>
      <c r="Z240" s="155">
        <v>35269</v>
      </c>
      <c r="AA240" s="162">
        <v>1</v>
      </c>
      <c r="AB240" s="179">
        <v>104.64</v>
      </c>
      <c r="AD240" s="155">
        <v>36.905000000000001</v>
      </c>
      <c r="AG240" s="2" t="s">
        <v>36</v>
      </c>
      <c r="AH240" s="168">
        <v>1.76E-4</v>
      </c>
      <c r="AI240" s="168">
        <v>2.8012149074434899E-3</v>
      </c>
      <c r="AJ240" s="168">
        <v>7.2463227826371904E-4</v>
      </c>
    </row>
    <row r="241" spans="1:36">
      <c r="A241" s="2">
        <v>288</v>
      </c>
      <c r="B241" s="2">
        <v>1451</v>
      </c>
      <c r="C241" s="2" t="s">
        <v>2248</v>
      </c>
      <c r="D241" s="2" t="s">
        <v>2249</v>
      </c>
      <c r="E241" s="4" t="s">
        <v>1333</v>
      </c>
      <c r="F241" s="2" t="s">
        <v>2250</v>
      </c>
      <c r="G241" s="2" t="s">
        <v>2251</v>
      </c>
      <c r="H241" s="2" t="s">
        <v>339</v>
      </c>
      <c r="I241" s="2" t="s">
        <v>986</v>
      </c>
      <c r="J241" s="2" t="s">
        <v>30</v>
      </c>
      <c r="K241" s="2" t="s">
        <v>30</v>
      </c>
      <c r="L241" s="2" t="s">
        <v>345</v>
      </c>
      <c r="M241" s="2" t="s">
        <v>65</v>
      </c>
      <c r="N241" s="2" t="s">
        <v>481</v>
      </c>
      <c r="O241" s="2" t="s">
        <v>159</v>
      </c>
      <c r="P241" s="2" t="s">
        <v>1997</v>
      </c>
      <c r="Q241" s="2" t="s">
        <v>433</v>
      </c>
      <c r="R241" s="2" t="s">
        <v>424</v>
      </c>
      <c r="S241" s="2" t="s">
        <v>44</v>
      </c>
      <c r="T241" s="155">
        <v>0.36399999999999999</v>
      </c>
      <c r="U241" s="2" t="s">
        <v>2252</v>
      </c>
      <c r="V241" s="166">
        <v>3.5000000000000003E-2</v>
      </c>
      <c r="W241" s="168">
        <v>5.552E-2</v>
      </c>
      <c r="X241" s="4" t="s">
        <v>430</v>
      </c>
      <c r="Y241" s="4" t="s">
        <v>159</v>
      </c>
      <c r="Z241" s="155">
        <v>44372.14</v>
      </c>
      <c r="AA241" s="162">
        <v>1</v>
      </c>
      <c r="AB241" s="179">
        <v>100.6</v>
      </c>
      <c r="AD241" s="155">
        <v>44.637999999999998</v>
      </c>
      <c r="AG241" s="2" t="s">
        <v>36</v>
      </c>
      <c r="AH241" s="168">
        <v>4.6299999999999998E-4</v>
      </c>
      <c r="AI241" s="168">
        <v>3.3881599703451302E-3</v>
      </c>
      <c r="AJ241" s="168">
        <v>8.76466161846118E-4</v>
      </c>
    </row>
    <row r="242" spans="1:36">
      <c r="A242" s="2">
        <v>288</v>
      </c>
      <c r="B242" s="2">
        <v>1451</v>
      </c>
      <c r="C242" s="2" t="s">
        <v>2477</v>
      </c>
      <c r="D242" s="2" t="s">
        <v>2478</v>
      </c>
      <c r="E242" s="4" t="s">
        <v>1333</v>
      </c>
      <c r="F242" s="2" t="s">
        <v>2479</v>
      </c>
      <c r="G242" s="2" t="s">
        <v>2480</v>
      </c>
      <c r="H242" s="2" t="s">
        <v>339</v>
      </c>
      <c r="I242" s="2" t="s">
        <v>986</v>
      </c>
      <c r="J242" s="2" t="s">
        <v>30</v>
      </c>
      <c r="K242" s="2" t="s">
        <v>30</v>
      </c>
      <c r="L242" s="2" t="s">
        <v>345</v>
      </c>
      <c r="M242" s="2" t="s">
        <v>65</v>
      </c>
      <c r="N242" s="2" t="s">
        <v>477</v>
      </c>
      <c r="O242" s="2" t="s">
        <v>159</v>
      </c>
      <c r="P242" s="2" t="s">
        <v>1997</v>
      </c>
      <c r="Q242" s="2" t="s">
        <v>433</v>
      </c>
      <c r="R242" s="2" t="s">
        <v>424</v>
      </c>
      <c r="S242" s="2" t="s">
        <v>44</v>
      </c>
      <c r="T242" s="155">
        <v>1.218</v>
      </c>
      <c r="U242" s="2" t="s">
        <v>2481</v>
      </c>
      <c r="V242" s="166">
        <v>3.2500000000000001E-2</v>
      </c>
      <c r="W242" s="168">
        <v>4.7559999999999998E-2</v>
      </c>
      <c r="X242" s="4" t="s">
        <v>430</v>
      </c>
      <c r="Y242" s="4" t="s">
        <v>159</v>
      </c>
      <c r="Z242" s="155">
        <v>3755.4</v>
      </c>
      <c r="AA242" s="162">
        <v>1</v>
      </c>
      <c r="AB242" s="179">
        <v>98.29</v>
      </c>
      <c r="AD242" s="155">
        <v>3.6909999999999998</v>
      </c>
      <c r="AG242" s="2" t="s">
        <v>36</v>
      </c>
      <c r="AH242" s="168">
        <v>1.8E-5</v>
      </c>
      <c r="AI242" s="168">
        <v>2.80169650821978E-4</v>
      </c>
      <c r="AJ242" s="168">
        <v>7.2475686116052102E-5</v>
      </c>
    </row>
    <row r="243" spans="1:36">
      <c r="A243" s="2">
        <v>288</v>
      </c>
      <c r="B243" s="2">
        <v>1451</v>
      </c>
      <c r="C243" s="2" t="s">
        <v>2477</v>
      </c>
      <c r="D243" s="2" t="s">
        <v>2478</v>
      </c>
      <c r="E243" s="4" t="s">
        <v>1333</v>
      </c>
      <c r="F243" s="2" t="s">
        <v>2482</v>
      </c>
      <c r="G243" s="2" t="s">
        <v>2483</v>
      </c>
      <c r="H243" s="2" t="s">
        <v>339</v>
      </c>
      <c r="I243" s="2" t="s">
        <v>986</v>
      </c>
      <c r="J243" s="2" t="s">
        <v>30</v>
      </c>
      <c r="K243" s="2" t="s">
        <v>30</v>
      </c>
      <c r="L243" s="2" t="s">
        <v>345</v>
      </c>
      <c r="M243" s="2" t="s">
        <v>65</v>
      </c>
      <c r="N243" s="2" t="s">
        <v>477</v>
      </c>
      <c r="O243" s="2" t="s">
        <v>159</v>
      </c>
      <c r="P243" s="2" t="s">
        <v>1997</v>
      </c>
      <c r="Q243" s="2" t="s">
        <v>433</v>
      </c>
      <c r="R243" s="2" t="s">
        <v>424</v>
      </c>
      <c r="S243" s="2" t="s">
        <v>44</v>
      </c>
      <c r="T243" s="155">
        <v>3.153</v>
      </c>
      <c r="U243" s="2" t="s">
        <v>2484</v>
      </c>
      <c r="V243" s="166">
        <v>2.1600000000000001E-2</v>
      </c>
      <c r="W243" s="168">
        <v>5.4359999999999999E-2</v>
      </c>
      <c r="X243" s="4" t="s">
        <v>430</v>
      </c>
      <c r="Y243" s="4" t="s">
        <v>159</v>
      </c>
      <c r="Z243" s="155">
        <v>105494.52</v>
      </c>
      <c r="AA243" s="162">
        <v>1</v>
      </c>
      <c r="AB243" s="179">
        <v>91.02</v>
      </c>
      <c r="AD243" s="155">
        <v>96.021000000000001</v>
      </c>
      <c r="AG243" s="2" t="s">
        <v>36</v>
      </c>
      <c r="AH243" s="168">
        <v>1.55E-4</v>
      </c>
      <c r="AI243" s="168">
        <v>7.2882335900753504E-3</v>
      </c>
      <c r="AJ243" s="168">
        <v>1.8853567060709399E-3</v>
      </c>
    </row>
    <row r="244" spans="1:36">
      <c r="A244" s="2">
        <v>288</v>
      </c>
      <c r="B244" s="2">
        <v>1451</v>
      </c>
      <c r="C244" s="2" t="s">
        <v>2253</v>
      </c>
      <c r="D244" s="2" t="s">
        <v>2254</v>
      </c>
      <c r="E244" s="4" t="s">
        <v>1333</v>
      </c>
      <c r="F244" s="2" t="s">
        <v>2255</v>
      </c>
      <c r="G244" s="2" t="s">
        <v>2256</v>
      </c>
      <c r="H244" s="2" t="s">
        <v>339</v>
      </c>
      <c r="I244" s="2" t="s">
        <v>986</v>
      </c>
      <c r="J244" s="2" t="s">
        <v>30</v>
      </c>
      <c r="K244" s="2" t="s">
        <v>30</v>
      </c>
      <c r="L244" s="2" t="s">
        <v>345</v>
      </c>
      <c r="M244" s="2" t="s">
        <v>65</v>
      </c>
      <c r="N244" s="2" t="s">
        <v>478</v>
      </c>
      <c r="O244" s="2" t="s">
        <v>159</v>
      </c>
      <c r="P244" s="2" t="s">
        <v>1979</v>
      </c>
      <c r="Q244" s="2" t="s">
        <v>431</v>
      </c>
      <c r="R244" s="2" t="s">
        <v>424</v>
      </c>
      <c r="S244" s="2" t="s">
        <v>44</v>
      </c>
      <c r="T244" s="155">
        <v>1.746</v>
      </c>
      <c r="U244" s="2" t="s">
        <v>2257</v>
      </c>
      <c r="V244" s="166">
        <v>2.3E-2</v>
      </c>
      <c r="W244" s="168">
        <v>5.0799999999999998E-2</v>
      </c>
      <c r="X244" s="4" t="s">
        <v>430</v>
      </c>
      <c r="Y244" s="4" t="s">
        <v>159</v>
      </c>
      <c r="Z244" s="155">
        <v>64615.38</v>
      </c>
      <c r="AA244" s="162">
        <v>1</v>
      </c>
      <c r="AB244" s="179">
        <v>96.16</v>
      </c>
      <c r="AD244" s="155">
        <v>62.134</v>
      </c>
      <c r="AG244" s="2" t="s">
        <v>36</v>
      </c>
      <c r="AH244" s="168">
        <v>6.0000000000000002E-5</v>
      </c>
      <c r="AI244" s="168">
        <v>4.7161315348614999E-3</v>
      </c>
      <c r="AJ244" s="168">
        <v>1.21999248598066E-3</v>
      </c>
    </row>
    <row r="245" spans="1:36">
      <c r="A245" s="2">
        <v>288</v>
      </c>
      <c r="B245" s="2">
        <v>1451</v>
      </c>
      <c r="C245" s="2" t="s">
        <v>1771</v>
      </c>
      <c r="D245" s="2" t="s">
        <v>1772</v>
      </c>
      <c r="E245" s="4" t="s">
        <v>1333</v>
      </c>
      <c r="F245" s="2" t="s">
        <v>2261</v>
      </c>
      <c r="G245" s="2" t="s">
        <v>2262</v>
      </c>
      <c r="H245" s="2" t="s">
        <v>339</v>
      </c>
      <c r="I245" s="2" t="s">
        <v>773</v>
      </c>
      <c r="J245" s="2" t="s">
        <v>30</v>
      </c>
      <c r="K245" s="2" t="s">
        <v>30</v>
      </c>
      <c r="L245" s="2" t="s">
        <v>345</v>
      </c>
      <c r="M245" s="2" t="s">
        <v>65</v>
      </c>
      <c r="N245" s="2" t="s">
        <v>480</v>
      </c>
      <c r="O245" s="2" t="s">
        <v>159</v>
      </c>
      <c r="P245" s="2" t="s">
        <v>1968</v>
      </c>
      <c r="Q245" s="2" t="s">
        <v>431</v>
      </c>
      <c r="R245" s="2" t="s">
        <v>424</v>
      </c>
      <c r="S245" s="2" t="s">
        <v>44</v>
      </c>
      <c r="T245" s="155">
        <v>1.405</v>
      </c>
      <c r="U245" s="2" t="s">
        <v>2260</v>
      </c>
      <c r="V245" s="166">
        <v>1.6E-2</v>
      </c>
      <c r="W245" s="168">
        <v>2.5100000000000001E-2</v>
      </c>
      <c r="X245" s="4" t="s">
        <v>430</v>
      </c>
      <c r="Y245" s="4" t="s">
        <v>159</v>
      </c>
      <c r="Z245" s="155">
        <v>19023.03</v>
      </c>
      <c r="AA245" s="162">
        <v>1</v>
      </c>
      <c r="AB245" s="179">
        <v>115.56</v>
      </c>
      <c r="AD245" s="155">
        <v>21.983000000000001</v>
      </c>
      <c r="AG245" s="2" t="s">
        <v>36</v>
      </c>
      <c r="AH245" s="168">
        <v>6.7000000000000002E-5</v>
      </c>
      <c r="AI245" s="168">
        <v>1.6685636487424301E-3</v>
      </c>
      <c r="AJ245" s="168">
        <v>4.3163238743425199E-4</v>
      </c>
    </row>
    <row r="246" spans="1:36">
      <c r="A246" s="2">
        <v>288</v>
      </c>
      <c r="B246" s="2">
        <v>1451</v>
      </c>
      <c r="C246" s="2" t="s">
        <v>1715</v>
      </c>
      <c r="D246" s="2" t="s">
        <v>1716</v>
      </c>
      <c r="E246" s="4" t="s">
        <v>1333</v>
      </c>
      <c r="F246" s="2" t="s">
        <v>2485</v>
      </c>
      <c r="G246" s="2" t="s">
        <v>2486</v>
      </c>
      <c r="H246" s="2" t="s">
        <v>339</v>
      </c>
      <c r="I246" s="2" t="s">
        <v>773</v>
      </c>
      <c r="J246" s="2" t="s">
        <v>30</v>
      </c>
      <c r="K246" s="2" t="s">
        <v>30</v>
      </c>
      <c r="L246" s="2" t="s">
        <v>345</v>
      </c>
      <c r="M246" s="2" t="s">
        <v>65</v>
      </c>
      <c r="N246" s="2" t="s">
        <v>492</v>
      </c>
      <c r="O246" s="2" t="s">
        <v>159</v>
      </c>
      <c r="P246" s="2" t="s">
        <v>1968</v>
      </c>
      <c r="Q246" s="2" t="s">
        <v>431</v>
      </c>
      <c r="R246" s="2" t="s">
        <v>424</v>
      </c>
      <c r="S246" s="2" t="s">
        <v>44</v>
      </c>
      <c r="T246" s="155">
        <v>2.1880000000000002</v>
      </c>
      <c r="U246" s="2" t="s">
        <v>2487</v>
      </c>
      <c r="V246" s="166">
        <v>4.2999999999999997E-2</v>
      </c>
      <c r="W246" s="168">
        <v>2.2929999999999999E-2</v>
      </c>
      <c r="X246" s="4" t="s">
        <v>430</v>
      </c>
      <c r="Y246" s="4" t="s">
        <v>159</v>
      </c>
      <c r="Z246" s="155">
        <v>96000</v>
      </c>
      <c r="AA246" s="162">
        <v>1</v>
      </c>
      <c r="AB246" s="179">
        <v>121.38</v>
      </c>
      <c r="AD246" s="155">
        <v>116.52500000000001</v>
      </c>
      <c r="AG246" s="2" t="s">
        <v>36</v>
      </c>
      <c r="AH246" s="168">
        <v>2.3499999999999999E-4</v>
      </c>
      <c r="AI246" s="168">
        <v>8.8445128662640593E-3</v>
      </c>
      <c r="AJ246" s="168">
        <v>2.2879428105938701E-3</v>
      </c>
    </row>
    <row r="247" spans="1:36">
      <c r="A247" s="2">
        <v>288</v>
      </c>
      <c r="B247" s="2">
        <v>1451</v>
      </c>
      <c r="C247" s="2" t="s">
        <v>2271</v>
      </c>
      <c r="D247" s="2" t="s">
        <v>2272</v>
      </c>
      <c r="E247" s="4" t="s">
        <v>1333</v>
      </c>
      <c r="F247" s="2" t="s">
        <v>2273</v>
      </c>
      <c r="G247" s="2" t="s">
        <v>2274</v>
      </c>
      <c r="H247" s="2" t="s">
        <v>339</v>
      </c>
      <c r="I247" s="2" t="s">
        <v>986</v>
      </c>
      <c r="J247" s="2" t="s">
        <v>30</v>
      </c>
      <c r="K247" s="2" t="s">
        <v>30</v>
      </c>
      <c r="L247" s="2" t="s">
        <v>345</v>
      </c>
      <c r="M247" s="2" t="s">
        <v>65</v>
      </c>
      <c r="N247" s="2" t="s">
        <v>456</v>
      </c>
      <c r="O247" s="2" t="s">
        <v>159</v>
      </c>
      <c r="P247" s="2" t="s">
        <v>1962</v>
      </c>
      <c r="Q247" s="2" t="s">
        <v>433</v>
      </c>
      <c r="R247" s="2" t="s">
        <v>424</v>
      </c>
      <c r="S247" s="2" t="s">
        <v>44</v>
      </c>
      <c r="T247" s="155">
        <v>4.202</v>
      </c>
      <c r="U247" s="2" t="s">
        <v>2275</v>
      </c>
      <c r="V247" s="166">
        <v>6.7699999999999996E-2</v>
      </c>
      <c r="W247" s="168">
        <v>5.5649999999999998E-2</v>
      </c>
      <c r="X247" s="4" t="s">
        <v>430</v>
      </c>
      <c r="Y247" s="4" t="s">
        <v>159</v>
      </c>
      <c r="Z247" s="155">
        <v>110000</v>
      </c>
      <c r="AA247" s="162">
        <v>1</v>
      </c>
      <c r="AB247" s="179">
        <v>105.34</v>
      </c>
      <c r="AD247" s="155">
        <v>115.874</v>
      </c>
      <c r="AG247" s="2" t="s">
        <v>36</v>
      </c>
      <c r="AH247" s="168">
        <v>1.47E-4</v>
      </c>
      <c r="AI247" s="168">
        <v>8.7951155793915305E-3</v>
      </c>
      <c r="AJ247" s="168">
        <v>2.2751644734404501E-3</v>
      </c>
    </row>
    <row r="248" spans="1:36">
      <c r="A248" s="2">
        <v>288</v>
      </c>
      <c r="B248" s="2">
        <v>1451</v>
      </c>
      <c r="C248" s="2" t="s">
        <v>2276</v>
      </c>
      <c r="D248" s="2" t="s">
        <v>2277</v>
      </c>
      <c r="E248" s="4" t="s">
        <v>1333</v>
      </c>
      <c r="F248" s="2" t="s">
        <v>2278</v>
      </c>
      <c r="G248" s="2" t="s">
        <v>2279</v>
      </c>
      <c r="H248" s="2" t="s">
        <v>339</v>
      </c>
      <c r="I248" s="2" t="s">
        <v>986</v>
      </c>
      <c r="J248" s="2" t="s">
        <v>30</v>
      </c>
      <c r="K248" s="2" t="s">
        <v>30</v>
      </c>
      <c r="L248" s="2" t="s">
        <v>345</v>
      </c>
      <c r="M248" s="2" t="s">
        <v>65</v>
      </c>
      <c r="N248" s="2" t="s">
        <v>494</v>
      </c>
      <c r="O248" s="2" t="s">
        <v>159</v>
      </c>
      <c r="P248" s="2" t="s">
        <v>1968</v>
      </c>
      <c r="Q248" s="2" t="s">
        <v>431</v>
      </c>
      <c r="R248" s="2" t="s">
        <v>424</v>
      </c>
      <c r="S248" s="2" t="s">
        <v>44</v>
      </c>
      <c r="T248" s="155">
        <v>0.82399999999999995</v>
      </c>
      <c r="U248" s="2" t="s">
        <v>2280</v>
      </c>
      <c r="V248" s="166">
        <v>2.7E-2</v>
      </c>
      <c r="W248" s="168">
        <v>5.2560000000000003E-2</v>
      </c>
      <c r="X248" s="4" t="s">
        <v>430</v>
      </c>
      <c r="Y248" s="4" t="s">
        <v>159</v>
      </c>
      <c r="Z248" s="155">
        <v>92283.839999999997</v>
      </c>
      <c r="AA248" s="162">
        <v>1</v>
      </c>
      <c r="AB248" s="179">
        <v>98.09</v>
      </c>
      <c r="AD248" s="155">
        <v>90.521000000000001</v>
      </c>
      <c r="AG248" s="2" t="s">
        <v>36</v>
      </c>
      <c r="AH248" s="168">
        <v>9.8400000000000007E-4</v>
      </c>
      <c r="AI248" s="168">
        <v>6.87077843577414E-3</v>
      </c>
      <c r="AJ248" s="168">
        <v>1.7773673194907099E-3</v>
      </c>
    </row>
    <row r="249" spans="1:36">
      <c r="A249" s="2">
        <v>288</v>
      </c>
      <c r="B249" s="2">
        <v>1451</v>
      </c>
      <c r="C249" s="2" t="s">
        <v>2276</v>
      </c>
      <c r="D249" s="2" t="s">
        <v>2277</v>
      </c>
      <c r="E249" s="4" t="s">
        <v>1333</v>
      </c>
      <c r="F249" s="2" t="s">
        <v>2283</v>
      </c>
      <c r="G249" s="2" t="s">
        <v>2284</v>
      </c>
      <c r="H249" s="2" t="s">
        <v>339</v>
      </c>
      <c r="I249" s="2" t="s">
        <v>986</v>
      </c>
      <c r="J249" s="2" t="s">
        <v>30</v>
      </c>
      <c r="K249" s="2" t="s">
        <v>30</v>
      </c>
      <c r="L249" s="2" t="s">
        <v>345</v>
      </c>
      <c r="M249" s="2" t="s">
        <v>65</v>
      </c>
      <c r="N249" s="2" t="s">
        <v>494</v>
      </c>
      <c r="O249" s="2" t="s">
        <v>159</v>
      </c>
      <c r="P249" s="2" t="s">
        <v>1968</v>
      </c>
      <c r="Q249" s="2" t="s">
        <v>431</v>
      </c>
      <c r="R249" s="2" t="s">
        <v>424</v>
      </c>
      <c r="S249" s="2" t="s">
        <v>44</v>
      </c>
      <c r="T249" s="155">
        <v>3.226</v>
      </c>
      <c r="U249" s="2" t="s">
        <v>2285</v>
      </c>
      <c r="V249" s="166">
        <v>4.5600000000000002E-2</v>
      </c>
      <c r="W249" s="168">
        <v>5.1310000000000001E-2</v>
      </c>
      <c r="X249" s="4" t="s">
        <v>430</v>
      </c>
      <c r="Y249" s="4" t="s">
        <v>159</v>
      </c>
      <c r="Z249" s="155">
        <v>101818.25</v>
      </c>
      <c r="AA249" s="162">
        <v>1</v>
      </c>
      <c r="AB249" s="179">
        <v>98.63</v>
      </c>
      <c r="AD249" s="155">
        <v>100.423</v>
      </c>
      <c r="AG249" s="2" t="s">
        <v>36</v>
      </c>
      <c r="AH249" s="168">
        <v>1.5300000000000001E-4</v>
      </c>
      <c r="AI249" s="168">
        <v>7.62237328433173E-3</v>
      </c>
      <c r="AJ249" s="168">
        <v>1.9717936328714999E-3</v>
      </c>
    </row>
    <row r="250" spans="1:36">
      <c r="A250" s="2">
        <v>288</v>
      </c>
      <c r="B250" s="2">
        <v>1451</v>
      </c>
      <c r="C250" s="2" t="s">
        <v>2276</v>
      </c>
      <c r="D250" s="2" t="s">
        <v>2277</v>
      </c>
      <c r="E250" s="4" t="s">
        <v>1333</v>
      </c>
      <c r="F250" s="2" t="s">
        <v>2488</v>
      </c>
      <c r="G250" s="2" t="s">
        <v>2489</v>
      </c>
      <c r="H250" s="2" t="s">
        <v>339</v>
      </c>
      <c r="I250" s="2" t="s">
        <v>773</v>
      </c>
      <c r="J250" s="2" t="s">
        <v>30</v>
      </c>
      <c r="K250" s="2" t="s">
        <v>30</v>
      </c>
      <c r="L250" s="2" t="s">
        <v>345</v>
      </c>
      <c r="M250" s="2" t="s">
        <v>65</v>
      </c>
      <c r="N250" s="2" t="s">
        <v>494</v>
      </c>
      <c r="O250" s="2" t="s">
        <v>159</v>
      </c>
      <c r="P250" s="2" t="s">
        <v>1968</v>
      </c>
      <c r="Q250" s="2" t="s">
        <v>431</v>
      </c>
      <c r="R250" s="2" t="s">
        <v>424</v>
      </c>
      <c r="S250" s="2" t="s">
        <v>44</v>
      </c>
      <c r="T250" s="155">
        <v>3.395</v>
      </c>
      <c r="U250" s="2" t="s">
        <v>2285</v>
      </c>
      <c r="V250" s="166">
        <v>2.1999999999999999E-2</v>
      </c>
      <c r="W250" s="168">
        <v>2.8129999999999999E-2</v>
      </c>
      <c r="X250" s="4" t="s">
        <v>430</v>
      </c>
      <c r="Y250" s="4" t="s">
        <v>159</v>
      </c>
      <c r="Z250" s="155">
        <v>140000.04</v>
      </c>
      <c r="AA250" s="162">
        <v>1</v>
      </c>
      <c r="AB250" s="179">
        <v>104.57</v>
      </c>
      <c r="AD250" s="155">
        <v>146.398</v>
      </c>
      <c r="AG250" s="2" t="s">
        <v>36</v>
      </c>
      <c r="AH250" s="168">
        <v>2.2599999999999999E-4</v>
      </c>
      <c r="AI250" s="168">
        <v>1.11119638441225E-2</v>
      </c>
      <c r="AJ250" s="168">
        <v>2.8744983667459002E-3</v>
      </c>
    </row>
    <row r="251" spans="1:36">
      <c r="A251" s="2">
        <v>288</v>
      </c>
      <c r="B251" s="2">
        <v>1451</v>
      </c>
      <c r="C251" s="2" t="s">
        <v>2286</v>
      </c>
      <c r="D251" s="2" t="s">
        <v>2287</v>
      </c>
      <c r="E251" s="4" t="s">
        <v>1333</v>
      </c>
      <c r="F251" s="2" t="s">
        <v>2490</v>
      </c>
      <c r="G251" s="2" t="s">
        <v>2491</v>
      </c>
      <c r="H251" s="2" t="s">
        <v>339</v>
      </c>
      <c r="I251" s="2" t="s">
        <v>774</v>
      </c>
      <c r="J251" s="2" t="s">
        <v>30</v>
      </c>
      <c r="K251" s="2" t="s">
        <v>30</v>
      </c>
      <c r="L251" s="2" t="s">
        <v>345</v>
      </c>
      <c r="M251" s="2" t="s">
        <v>65</v>
      </c>
      <c r="N251" s="2" t="s">
        <v>470</v>
      </c>
      <c r="O251" s="2" t="s">
        <v>159</v>
      </c>
      <c r="P251" s="2" t="s">
        <v>1956</v>
      </c>
      <c r="Q251" s="2" t="s">
        <v>433</v>
      </c>
      <c r="R251" s="2" t="s">
        <v>424</v>
      </c>
      <c r="S251" s="2" t="s">
        <v>44</v>
      </c>
      <c r="T251" s="155">
        <v>2.875</v>
      </c>
      <c r="U251" s="2" t="s">
        <v>2290</v>
      </c>
      <c r="V251" s="166">
        <v>4.6899999999999997E-2</v>
      </c>
      <c r="W251" s="168">
        <v>7.4120000000000005E-2</v>
      </c>
      <c r="X251" s="4" t="s">
        <v>430</v>
      </c>
      <c r="Y251" s="4" t="s">
        <v>159</v>
      </c>
      <c r="Z251" s="155">
        <v>242396.82</v>
      </c>
      <c r="AA251" s="162">
        <v>1</v>
      </c>
      <c r="AB251" s="179">
        <v>99.5</v>
      </c>
      <c r="AD251" s="155">
        <v>241.185</v>
      </c>
      <c r="AG251" s="2" t="s">
        <v>36</v>
      </c>
      <c r="AH251" s="168">
        <v>2.1100000000000001E-4</v>
      </c>
      <c r="AI251" s="168">
        <v>1.83065097238128E-2</v>
      </c>
      <c r="AJ251" s="168">
        <v>4.7356194674581398E-3</v>
      </c>
    </row>
    <row r="252" spans="1:36">
      <c r="A252" s="2">
        <v>288</v>
      </c>
      <c r="B252" s="2">
        <v>1451</v>
      </c>
      <c r="C252" s="2" t="s">
        <v>2286</v>
      </c>
      <c r="D252" s="2" t="s">
        <v>2287</v>
      </c>
      <c r="E252" s="4" t="s">
        <v>1333</v>
      </c>
      <c r="F252" s="2" t="s">
        <v>2288</v>
      </c>
      <c r="G252" s="2" t="s">
        <v>2289</v>
      </c>
      <c r="H252" s="2" t="s">
        <v>339</v>
      </c>
      <c r="I252" s="2" t="s">
        <v>774</v>
      </c>
      <c r="J252" s="2" t="s">
        <v>30</v>
      </c>
      <c r="K252" s="2" t="s">
        <v>30</v>
      </c>
      <c r="L252" s="2" t="s">
        <v>345</v>
      </c>
      <c r="M252" s="2" t="s">
        <v>65</v>
      </c>
      <c r="N252" s="2" t="s">
        <v>470</v>
      </c>
      <c r="O252" s="2" t="s">
        <v>159</v>
      </c>
      <c r="P252" s="2" t="s">
        <v>1956</v>
      </c>
      <c r="Q252" s="2" t="s">
        <v>433</v>
      </c>
      <c r="R252" s="2" t="s">
        <v>424</v>
      </c>
      <c r="S252" s="2" t="s">
        <v>44</v>
      </c>
      <c r="T252" s="155">
        <v>2.722</v>
      </c>
      <c r="U252" s="2" t="s">
        <v>2290</v>
      </c>
      <c r="V252" s="166">
        <v>4.6899999999999997E-2</v>
      </c>
      <c r="W252" s="168">
        <v>7.3669999999999999E-2</v>
      </c>
      <c r="X252" s="4" t="s">
        <v>430</v>
      </c>
      <c r="Y252" s="4" t="s">
        <v>159</v>
      </c>
      <c r="Z252" s="155">
        <v>195306.09</v>
      </c>
      <c r="AA252" s="162">
        <v>1</v>
      </c>
      <c r="AB252" s="179">
        <v>98.21</v>
      </c>
      <c r="AD252" s="155">
        <v>191.81</v>
      </c>
      <c r="AG252" s="2" t="s">
        <v>36</v>
      </c>
      <c r="AH252" s="168">
        <v>1.45E-4</v>
      </c>
      <c r="AI252" s="168">
        <v>1.45588492279905E-2</v>
      </c>
      <c r="AJ252" s="168">
        <v>3.76615591218774E-3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62"/>
  <sheetViews>
    <sheetView rightToLeft="1" zoomScale="70" zoomScaleNormal="70" workbookViewId="0">
      <selection activeCell="G132" sqref="G132"/>
    </sheetView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166</v>
      </c>
      <c r="E1" s="22" t="s">
        <v>167</v>
      </c>
      <c r="F1" s="22" t="s">
        <v>3</v>
      </c>
      <c r="G1" s="22" t="s">
        <v>4</v>
      </c>
      <c r="H1" s="22" t="s">
        <v>168</v>
      </c>
      <c r="I1" s="22" t="s">
        <v>5</v>
      </c>
      <c r="J1" s="22" t="s">
        <v>6</v>
      </c>
      <c r="K1" s="22" t="s">
        <v>7</v>
      </c>
      <c r="L1" s="22" t="s">
        <v>344</v>
      </c>
      <c r="M1" s="22" t="s">
        <v>8</v>
      </c>
      <c r="N1" s="22" t="s">
        <v>169</v>
      </c>
      <c r="O1" s="22" t="s">
        <v>145</v>
      </c>
      <c r="P1" s="22" t="s">
        <v>11</v>
      </c>
      <c r="Q1" s="22" t="s">
        <v>17</v>
      </c>
      <c r="R1" s="161" t="s">
        <v>18</v>
      </c>
      <c r="S1" s="172" t="s">
        <v>19</v>
      </c>
      <c r="T1" s="22" t="s">
        <v>16</v>
      </c>
      <c r="U1" s="22" t="s">
        <v>20</v>
      </c>
      <c r="V1" s="167" t="s">
        <v>23</v>
      </c>
      <c r="W1" s="167" t="s">
        <v>24</v>
      </c>
      <c r="X1" s="167" t="s">
        <v>25</v>
      </c>
    </row>
    <row r="2" spans="1:24">
      <c r="A2" s="21">
        <v>288</v>
      </c>
      <c r="B2" s="21">
        <v>288</v>
      </c>
      <c r="C2" s="21" t="s">
        <v>1600</v>
      </c>
      <c r="D2" s="21" t="s">
        <v>1601</v>
      </c>
      <c r="E2" s="21" t="s">
        <v>1333</v>
      </c>
      <c r="F2" s="21" t="s">
        <v>1602</v>
      </c>
      <c r="G2" s="21" t="s">
        <v>1603</v>
      </c>
      <c r="H2" s="21" t="s">
        <v>339</v>
      </c>
      <c r="I2" s="21" t="s">
        <v>950</v>
      </c>
      <c r="J2" s="21" t="s">
        <v>30</v>
      </c>
      <c r="K2" s="21" t="s">
        <v>316</v>
      </c>
      <c r="L2" s="23" t="s">
        <v>345</v>
      </c>
      <c r="M2" s="21" t="s">
        <v>364</v>
      </c>
      <c r="N2" s="23" t="s">
        <v>474</v>
      </c>
      <c r="O2" s="23" t="s">
        <v>159</v>
      </c>
      <c r="P2" s="21" t="s">
        <v>34</v>
      </c>
      <c r="Q2" s="158">
        <v>2956</v>
      </c>
      <c r="R2" s="180">
        <v>3.6469999999999998</v>
      </c>
      <c r="S2" s="181">
        <v>19695</v>
      </c>
      <c r="T2" s="23"/>
      <c r="U2" s="158">
        <v>2123.2260000000001</v>
      </c>
      <c r="V2" s="182">
        <v>1.05E-4</v>
      </c>
      <c r="W2" s="182">
        <v>5.3709628222708399E-3</v>
      </c>
      <c r="X2" s="182">
        <v>8.7506989778701099E-4</v>
      </c>
    </row>
    <row r="3" spans="1:24">
      <c r="A3" s="21">
        <v>288</v>
      </c>
      <c r="B3" s="21">
        <v>288</v>
      </c>
      <c r="C3" s="21" t="s">
        <v>1604</v>
      </c>
      <c r="D3" s="21" t="s">
        <v>1605</v>
      </c>
      <c r="E3" s="21" t="s">
        <v>1333</v>
      </c>
      <c r="F3" s="21" t="s">
        <v>1606</v>
      </c>
      <c r="G3" s="21" t="s">
        <v>1607</v>
      </c>
      <c r="H3" s="21" t="s">
        <v>339</v>
      </c>
      <c r="I3" s="21" t="s">
        <v>950</v>
      </c>
      <c r="J3" s="21" t="s">
        <v>30</v>
      </c>
      <c r="K3" s="21" t="s">
        <v>30</v>
      </c>
      <c r="L3" s="23" t="s">
        <v>345</v>
      </c>
      <c r="M3" s="21" t="s">
        <v>65</v>
      </c>
      <c r="N3" s="23" t="s">
        <v>462</v>
      </c>
      <c r="O3" s="23" t="s">
        <v>159</v>
      </c>
      <c r="P3" s="21" t="s">
        <v>44</v>
      </c>
      <c r="Q3" s="158">
        <v>4360</v>
      </c>
      <c r="R3" s="180">
        <v>1</v>
      </c>
      <c r="S3" s="181">
        <v>95300</v>
      </c>
      <c r="T3" s="157">
        <v>8.1379999999999999</v>
      </c>
      <c r="U3" s="158">
        <v>4163.2179999999998</v>
      </c>
      <c r="V3" s="182">
        <v>9.7999999999999997E-5</v>
      </c>
      <c r="W3" s="182">
        <v>1.0531375897353999E-2</v>
      </c>
      <c r="X3" s="182">
        <v>1.71583575143008E-3</v>
      </c>
    </row>
    <row r="4" spans="1:24">
      <c r="A4" s="21">
        <v>288</v>
      </c>
      <c r="B4" s="21">
        <v>288</v>
      </c>
      <c r="C4" s="21" t="s">
        <v>1608</v>
      </c>
      <c r="D4" s="21" t="s">
        <v>1609</v>
      </c>
      <c r="E4" s="21" t="s">
        <v>1333</v>
      </c>
      <c r="F4" s="21" t="s">
        <v>1610</v>
      </c>
      <c r="G4" s="21" t="s">
        <v>1611</v>
      </c>
      <c r="H4" s="21" t="s">
        <v>339</v>
      </c>
      <c r="I4" s="21" t="s">
        <v>950</v>
      </c>
      <c r="J4" s="21" t="s">
        <v>30</v>
      </c>
      <c r="K4" s="21" t="s">
        <v>30</v>
      </c>
      <c r="L4" s="23" t="s">
        <v>345</v>
      </c>
      <c r="M4" s="21" t="s">
        <v>65</v>
      </c>
      <c r="N4" s="23" t="s">
        <v>480</v>
      </c>
      <c r="O4" s="23" t="s">
        <v>159</v>
      </c>
      <c r="P4" s="21" t="s">
        <v>44</v>
      </c>
      <c r="Q4" s="158">
        <v>212100</v>
      </c>
      <c r="R4" s="180">
        <v>1</v>
      </c>
      <c r="S4" s="181">
        <v>3040</v>
      </c>
      <c r="T4" s="23"/>
      <c r="U4" s="158">
        <v>6447.84</v>
      </c>
      <c r="V4" s="182">
        <v>9.859999999999999E-4</v>
      </c>
      <c r="W4" s="182">
        <v>1.63106106249136E-2</v>
      </c>
      <c r="X4" s="182">
        <v>2.6574237887486002E-3</v>
      </c>
    </row>
    <row r="5" spans="1:24">
      <c r="A5" s="21">
        <v>288</v>
      </c>
      <c r="B5" s="21">
        <v>288</v>
      </c>
      <c r="C5" s="21" t="s">
        <v>1612</v>
      </c>
      <c r="D5" s="21" t="s">
        <v>1613</v>
      </c>
      <c r="E5" s="21" t="s">
        <v>1333</v>
      </c>
      <c r="F5" s="21" t="s">
        <v>1614</v>
      </c>
      <c r="G5" s="21" t="s">
        <v>1615</v>
      </c>
      <c r="H5" s="21" t="s">
        <v>339</v>
      </c>
      <c r="I5" s="21" t="s">
        <v>950</v>
      </c>
      <c r="J5" s="21" t="s">
        <v>30</v>
      </c>
      <c r="K5" s="21" t="s">
        <v>30</v>
      </c>
      <c r="L5" s="23" t="s">
        <v>345</v>
      </c>
      <c r="M5" s="21" t="s">
        <v>65</v>
      </c>
      <c r="N5" s="23" t="s">
        <v>480</v>
      </c>
      <c r="O5" s="23" t="s">
        <v>159</v>
      </c>
      <c r="P5" s="21" t="s">
        <v>44</v>
      </c>
      <c r="Q5" s="158">
        <v>134961</v>
      </c>
      <c r="R5" s="180">
        <v>1</v>
      </c>
      <c r="S5" s="181">
        <v>2064</v>
      </c>
      <c r="T5" s="23"/>
      <c r="U5" s="158">
        <v>2785.5949999999998</v>
      </c>
      <c r="V5" s="182">
        <v>2.8600000000000001E-4</v>
      </c>
      <c r="W5" s="182">
        <v>7.0465079865707899E-3</v>
      </c>
      <c r="X5" s="182">
        <v>1.1480598968206599E-3</v>
      </c>
    </row>
    <row r="6" spans="1:24">
      <c r="A6" s="21">
        <v>288</v>
      </c>
      <c r="B6" s="21">
        <v>288</v>
      </c>
      <c r="C6" s="21" t="s">
        <v>1616</v>
      </c>
      <c r="D6" s="21" t="s">
        <v>1617</v>
      </c>
      <c r="E6" s="21" t="s">
        <v>1333</v>
      </c>
      <c r="F6" s="21" t="s">
        <v>1618</v>
      </c>
      <c r="G6" s="21" t="s">
        <v>1619</v>
      </c>
      <c r="H6" s="21" t="s">
        <v>339</v>
      </c>
      <c r="I6" s="21" t="s">
        <v>950</v>
      </c>
      <c r="J6" s="21" t="s">
        <v>30</v>
      </c>
      <c r="K6" s="21" t="s">
        <v>125</v>
      </c>
      <c r="L6" s="23" t="s">
        <v>345</v>
      </c>
      <c r="M6" s="21" t="s">
        <v>65</v>
      </c>
      <c r="N6" s="23" t="s">
        <v>457</v>
      </c>
      <c r="O6" s="23" t="s">
        <v>159</v>
      </c>
      <c r="P6" s="21" t="s">
        <v>44</v>
      </c>
      <c r="Q6" s="158">
        <v>81688.899999999994</v>
      </c>
      <c r="R6" s="180">
        <v>1</v>
      </c>
      <c r="S6" s="181">
        <v>6305</v>
      </c>
      <c r="T6" s="23"/>
      <c r="U6" s="158">
        <v>5150.4849999999997</v>
      </c>
      <c r="V6" s="182">
        <v>6.8900000000000005E-4</v>
      </c>
      <c r="W6" s="182">
        <v>1.30287906848645E-2</v>
      </c>
      <c r="X6" s="182">
        <v>2.1227297432813599E-3</v>
      </c>
    </row>
    <row r="7" spans="1:24">
      <c r="A7" s="21">
        <v>288</v>
      </c>
      <c r="B7" s="21">
        <v>288</v>
      </c>
      <c r="C7" s="21" t="s">
        <v>1620</v>
      </c>
      <c r="D7" s="21" t="s">
        <v>1621</v>
      </c>
      <c r="E7" s="21" t="s">
        <v>1333</v>
      </c>
      <c r="F7" s="21" t="s">
        <v>1622</v>
      </c>
      <c r="G7" s="21" t="s">
        <v>1623</v>
      </c>
      <c r="H7" s="21" t="s">
        <v>339</v>
      </c>
      <c r="I7" s="21" t="s">
        <v>950</v>
      </c>
      <c r="J7" s="21" t="s">
        <v>30</v>
      </c>
      <c r="K7" s="21" t="s">
        <v>30</v>
      </c>
      <c r="L7" s="23" t="s">
        <v>345</v>
      </c>
      <c r="M7" s="21" t="s">
        <v>65</v>
      </c>
      <c r="N7" s="23" t="s">
        <v>457</v>
      </c>
      <c r="O7" s="23" t="s">
        <v>159</v>
      </c>
      <c r="P7" s="21" t="s">
        <v>44</v>
      </c>
      <c r="Q7" s="158">
        <v>314000</v>
      </c>
      <c r="R7" s="180">
        <v>1</v>
      </c>
      <c r="S7" s="181">
        <v>1250</v>
      </c>
      <c r="T7" s="23"/>
      <c r="U7" s="158">
        <v>3925</v>
      </c>
      <c r="V7" s="182">
        <v>5.71E-4</v>
      </c>
      <c r="W7" s="182">
        <v>9.9287740860173092E-3</v>
      </c>
      <c r="X7" s="182">
        <v>1.6176562028273401E-3</v>
      </c>
    </row>
    <row r="8" spans="1:24">
      <c r="A8" s="21">
        <v>288</v>
      </c>
      <c r="B8" s="21">
        <v>288</v>
      </c>
      <c r="C8" s="21" t="s">
        <v>1624</v>
      </c>
      <c r="D8" s="21" t="s">
        <v>1625</v>
      </c>
      <c r="E8" s="21" t="s">
        <v>1333</v>
      </c>
      <c r="F8" s="21" t="s">
        <v>1626</v>
      </c>
      <c r="G8" s="21" t="s">
        <v>1627</v>
      </c>
      <c r="H8" s="21" t="s">
        <v>339</v>
      </c>
      <c r="I8" s="21" t="s">
        <v>950</v>
      </c>
      <c r="J8" s="21" t="s">
        <v>30</v>
      </c>
      <c r="K8" s="21" t="s">
        <v>30</v>
      </c>
      <c r="L8" s="23" t="s">
        <v>345</v>
      </c>
      <c r="M8" s="21" t="s">
        <v>65</v>
      </c>
      <c r="N8" s="23" t="s">
        <v>463</v>
      </c>
      <c r="O8" s="23" t="s">
        <v>159</v>
      </c>
      <c r="P8" s="21" t="s">
        <v>44</v>
      </c>
      <c r="Q8" s="158">
        <v>10185</v>
      </c>
      <c r="R8" s="180">
        <v>1</v>
      </c>
      <c r="S8" s="181">
        <v>27280</v>
      </c>
      <c r="T8" s="23"/>
      <c r="U8" s="158">
        <v>2778.4679999999998</v>
      </c>
      <c r="V8" s="182">
        <v>8.0500000000000005E-4</v>
      </c>
      <c r="W8" s="182">
        <v>7.0284792553447998E-3</v>
      </c>
      <c r="X8" s="182">
        <v>1.14512254638402E-3</v>
      </c>
    </row>
    <row r="9" spans="1:24">
      <c r="A9" s="21">
        <v>288</v>
      </c>
      <c r="B9" s="21">
        <v>288</v>
      </c>
      <c r="C9" s="21" t="s">
        <v>1628</v>
      </c>
      <c r="D9" s="21" t="s">
        <v>1629</v>
      </c>
      <c r="E9" s="21" t="s">
        <v>1333</v>
      </c>
      <c r="F9" s="21" t="s">
        <v>1630</v>
      </c>
      <c r="G9" s="21" t="s">
        <v>1631</v>
      </c>
      <c r="H9" s="21" t="s">
        <v>339</v>
      </c>
      <c r="I9" s="21" t="s">
        <v>950</v>
      </c>
      <c r="J9" s="21" t="s">
        <v>30</v>
      </c>
      <c r="K9" s="21" t="s">
        <v>30</v>
      </c>
      <c r="L9" s="23" t="s">
        <v>345</v>
      </c>
      <c r="M9" s="21" t="s">
        <v>65</v>
      </c>
      <c r="N9" s="23" t="s">
        <v>501</v>
      </c>
      <c r="O9" s="23" t="s">
        <v>159</v>
      </c>
      <c r="P9" s="21" t="s">
        <v>44</v>
      </c>
      <c r="Q9" s="158">
        <v>1360472</v>
      </c>
      <c r="R9" s="180">
        <v>1</v>
      </c>
      <c r="S9" s="181">
        <v>519</v>
      </c>
      <c r="T9" s="23"/>
      <c r="U9" s="158">
        <v>7060.85</v>
      </c>
      <c r="V9" s="182">
        <v>4.9100000000000001E-4</v>
      </c>
      <c r="W9" s="182">
        <v>1.7861294605872002E-2</v>
      </c>
      <c r="X9" s="182">
        <v>2.9100706451168001E-3</v>
      </c>
    </row>
    <row r="10" spans="1:24">
      <c r="A10" s="21">
        <v>288</v>
      </c>
      <c r="B10" s="21">
        <v>288</v>
      </c>
      <c r="C10" s="21" t="s">
        <v>1632</v>
      </c>
      <c r="D10" s="21" t="s">
        <v>1633</v>
      </c>
      <c r="E10" s="21" t="s">
        <v>1333</v>
      </c>
      <c r="F10" s="21" t="s">
        <v>1634</v>
      </c>
      <c r="G10" s="21" t="s">
        <v>1635</v>
      </c>
      <c r="H10" s="21" t="s">
        <v>339</v>
      </c>
      <c r="I10" s="21" t="s">
        <v>950</v>
      </c>
      <c r="J10" s="21" t="s">
        <v>30</v>
      </c>
      <c r="K10" s="21" t="s">
        <v>30</v>
      </c>
      <c r="L10" s="23" t="s">
        <v>345</v>
      </c>
      <c r="M10" s="21" t="s">
        <v>65</v>
      </c>
      <c r="N10" s="23" t="s">
        <v>464</v>
      </c>
      <c r="O10" s="23" t="s">
        <v>159</v>
      </c>
      <c r="P10" s="21" t="s">
        <v>44</v>
      </c>
      <c r="Q10" s="158">
        <v>518573</v>
      </c>
      <c r="R10" s="180">
        <v>1</v>
      </c>
      <c r="S10" s="181">
        <v>2492</v>
      </c>
      <c r="T10" s="23"/>
      <c r="U10" s="158">
        <v>12922.839</v>
      </c>
      <c r="V10" s="182">
        <v>4.1899999999999999E-4</v>
      </c>
      <c r="W10" s="182">
        <v>3.26899237119943E-2</v>
      </c>
      <c r="X10" s="182">
        <v>5.3260410000800203E-3</v>
      </c>
    </row>
    <row r="11" spans="1:24">
      <c r="A11" s="21">
        <v>288</v>
      </c>
      <c r="B11" s="21">
        <v>288</v>
      </c>
      <c r="C11" s="21" t="s">
        <v>1636</v>
      </c>
      <c r="D11" s="21" t="s">
        <v>1637</v>
      </c>
      <c r="E11" s="21" t="s">
        <v>1333</v>
      </c>
      <c r="F11" s="21" t="s">
        <v>1638</v>
      </c>
      <c r="G11" s="21" t="s">
        <v>1639</v>
      </c>
      <c r="H11" s="21" t="s">
        <v>339</v>
      </c>
      <c r="I11" s="21" t="s">
        <v>950</v>
      </c>
      <c r="J11" s="21" t="s">
        <v>30</v>
      </c>
      <c r="K11" s="21" t="s">
        <v>30</v>
      </c>
      <c r="L11" s="23" t="s">
        <v>345</v>
      </c>
      <c r="M11" s="21" t="s">
        <v>65</v>
      </c>
      <c r="N11" s="23" t="s">
        <v>463</v>
      </c>
      <c r="O11" s="23" t="s">
        <v>159</v>
      </c>
      <c r="P11" s="21" t="s">
        <v>44</v>
      </c>
      <c r="Q11" s="158">
        <v>17135</v>
      </c>
      <c r="R11" s="180">
        <v>1</v>
      </c>
      <c r="S11" s="181">
        <v>36080</v>
      </c>
      <c r="T11" s="23"/>
      <c r="U11" s="158">
        <v>6182.308</v>
      </c>
      <c r="V11" s="182">
        <v>8.1999999999999998E-4</v>
      </c>
      <c r="W11" s="182">
        <v>1.5638914512656699E-2</v>
      </c>
      <c r="X11" s="182">
        <v>2.5479869768125101E-3</v>
      </c>
    </row>
    <row r="12" spans="1:24">
      <c r="A12" s="21">
        <v>288</v>
      </c>
      <c r="B12" s="21">
        <v>288</v>
      </c>
      <c r="C12" s="21" t="s">
        <v>1640</v>
      </c>
      <c r="D12" s="21" t="s">
        <v>1641</v>
      </c>
      <c r="E12" s="21" t="s">
        <v>1333</v>
      </c>
      <c r="F12" s="21" t="s">
        <v>1642</v>
      </c>
      <c r="G12" s="21" t="s">
        <v>1643</v>
      </c>
      <c r="H12" s="21" t="s">
        <v>339</v>
      </c>
      <c r="I12" s="21" t="s">
        <v>950</v>
      </c>
      <c r="J12" s="21" t="s">
        <v>30</v>
      </c>
      <c r="K12" s="21" t="s">
        <v>30</v>
      </c>
      <c r="L12" s="23" t="s">
        <v>345</v>
      </c>
      <c r="M12" s="21" t="s">
        <v>65</v>
      </c>
      <c r="N12" s="23" t="s">
        <v>461</v>
      </c>
      <c r="O12" s="23" t="s">
        <v>159</v>
      </c>
      <c r="P12" s="21" t="s">
        <v>44</v>
      </c>
      <c r="Q12" s="158">
        <v>73683</v>
      </c>
      <c r="R12" s="180">
        <v>1</v>
      </c>
      <c r="S12" s="181">
        <v>5318</v>
      </c>
      <c r="T12" s="23"/>
      <c r="U12" s="158">
        <v>3918.462</v>
      </c>
      <c r="V12" s="182">
        <v>2.81E-4</v>
      </c>
      <c r="W12" s="182">
        <v>9.9122352527177306E-3</v>
      </c>
      <c r="X12" s="182">
        <v>1.6149615956137201E-3</v>
      </c>
    </row>
    <row r="13" spans="1:24">
      <c r="A13" s="21">
        <v>288</v>
      </c>
      <c r="B13" s="21">
        <v>288</v>
      </c>
      <c r="C13" s="21" t="s">
        <v>1644</v>
      </c>
      <c r="D13" s="21" t="s">
        <v>1645</v>
      </c>
      <c r="E13" s="21" t="s">
        <v>1333</v>
      </c>
      <c r="F13" s="21" t="s">
        <v>1646</v>
      </c>
      <c r="G13" s="21" t="s">
        <v>1647</v>
      </c>
      <c r="H13" s="21" t="s">
        <v>339</v>
      </c>
      <c r="I13" s="21" t="s">
        <v>950</v>
      </c>
      <c r="J13" s="21" t="s">
        <v>30</v>
      </c>
      <c r="K13" s="21" t="s">
        <v>125</v>
      </c>
      <c r="L13" s="23" t="s">
        <v>345</v>
      </c>
      <c r="M13" s="21" t="s">
        <v>65</v>
      </c>
      <c r="N13" s="23" t="s">
        <v>483</v>
      </c>
      <c r="O13" s="23" t="s">
        <v>159</v>
      </c>
      <c r="P13" s="21" t="s">
        <v>44</v>
      </c>
      <c r="Q13" s="158">
        <v>39000</v>
      </c>
      <c r="R13" s="180">
        <v>1</v>
      </c>
      <c r="S13" s="181">
        <v>8101</v>
      </c>
      <c r="T13" s="23"/>
      <c r="U13" s="158">
        <v>3159.39</v>
      </c>
      <c r="V13" s="182">
        <v>3.1000000000000001E-5</v>
      </c>
      <c r="W13" s="182">
        <v>7.9920686776107606E-3</v>
      </c>
      <c r="X13" s="182">
        <v>1.3021163899747E-3</v>
      </c>
    </row>
    <row r="14" spans="1:24">
      <c r="A14" s="21">
        <v>288</v>
      </c>
      <c r="B14" s="21">
        <v>288</v>
      </c>
      <c r="C14" s="21" t="s">
        <v>1648</v>
      </c>
      <c r="D14" s="21" t="s">
        <v>1649</v>
      </c>
      <c r="E14" s="21" t="s">
        <v>1333</v>
      </c>
      <c r="F14" s="21" t="s">
        <v>1650</v>
      </c>
      <c r="G14" s="21" t="s">
        <v>1651</v>
      </c>
      <c r="H14" s="21" t="s">
        <v>339</v>
      </c>
      <c r="I14" s="21" t="s">
        <v>950</v>
      </c>
      <c r="J14" s="21" t="s">
        <v>30</v>
      </c>
      <c r="K14" s="21" t="s">
        <v>30</v>
      </c>
      <c r="L14" s="23" t="s">
        <v>345</v>
      </c>
      <c r="M14" s="21" t="s">
        <v>65</v>
      </c>
      <c r="N14" s="23" t="s">
        <v>492</v>
      </c>
      <c r="O14" s="23" t="s">
        <v>159</v>
      </c>
      <c r="P14" s="21" t="s">
        <v>44</v>
      </c>
      <c r="Q14" s="158">
        <v>182267</v>
      </c>
      <c r="R14" s="180">
        <v>1</v>
      </c>
      <c r="S14" s="181">
        <v>500.5</v>
      </c>
      <c r="T14" s="23"/>
      <c r="U14" s="158">
        <v>912.24599999999998</v>
      </c>
      <c r="V14" s="182">
        <v>1.4480000000000001E-3</v>
      </c>
      <c r="W14" s="182">
        <v>2.3076401964362398E-3</v>
      </c>
      <c r="X14" s="182">
        <v>3.7597476237433402E-4</v>
      </c>
    </row>
    <row r="15" spans="1:24">
      <c r="A15" s="21">
        <v>288</v>
      </c>
      <c r="B15" s="21">
        <v>288</v>
      </c>
      <c r="C15" s="21" t="s">
        <v>1652</v>
      </c>
      <c r="D15" s="21" t="s">
        <v>1653</v>
      </c>
      <c r="E15" s="21" t="s">
        <v>1333</v>
      </c>
      <c r="F15" s="21" t="s">
        <v>1654</v>
      </c>
      <c r="G15" s="21" t="s">
        <v>1655</v>
      </c>
      <c r="H15" s="21" t="s">
        <v>339</v>
      </c>
      <c r="I15" s="21" t="s">
        <v>950</v>
      </c>
      <c r="J15" s="21" t="s">
        <v>30</v>
      </c>
      <c r="K15" s="21" t="s">
        <v>30</v>
      </c>
      <c r="L15" s="23" t="s">
        <v>345</v>
      </c>
      <c r="M15" s="21" t="s">
        <v>65</v>
      </c>
      <c r="N15" s="23" t="s">
        <v>463</v>
      </c>
      <c r="O15" s="23" t="s">
        <v>159</v>
      </c>
      <c r="P15" s="21" t="s">
        <v>44</v>
      </c>
      <c r="Q15" s="158">
        <v>279483</v>
      </c>
      <c r="R15" s="180">
        <v>1</v>
      </c>
      <c r="S15" s="181">
        <v>1412</v>
      </c>
      <c r="T15" s="23"/>
      <c r="U15" s="158">
        <v>3946.3</v>
      </c>
      <c r="V15" s="182">
        <v>8.6600000000000002E-4</v>
      </c>
      <c r="W15" s="182">
        <v>9.9826549754137902E-3</v>
      </c>
      <c r="X15" s="182">
        <v>1.62643480471625E-3</v>
      </c>
    </row>
    <row r="16" spans="1:24">
      <c r="A16" s="21">
        <v>288</v>
      </c>
      <c r="B16" s="21">
        <v>288</v>
      </c>
      <c r="C16" s="21" t="s">
        <v>1656</v>
      </c>
      <c r="D16" s="21" t="s">
        <v>1657</v>
      </c>
      <c r="E16" s="21" t="s">
        <v>1333</v>
      </c>
      <c r="F16" s="21" t="s">
        <v>1658</v>
      </c>
      <c r="G16" s="21" t="s">
        <v>1659</v>
      </c>
      <c r="H16" s="21" t="s">
        <v>339</v>
      </c>
      <c r="I16" s="21" t="s">
        <v>950</v>
      </c>
      <c r="J16" s="21" t="s">
        <v>30</v>
      </c>
      <c r="K16" s="21" t="s">
        <v>30</v>
      </c>
      <c r="L16" s="23" t="s">
        <v>345</v>
      </c>
      <c r="M16" s="21" t="s">
        <v>65</v>
      </c>
      <c r="N16" s="23" t="s">
        <v>461</v>
      </c>
      <c r="O16" s="23" t="s">
        <v>159</v>
      </c>
      <c r="P16" s="21" t="s">
        <v>44</v>
      </c>
      <c r="Q16" s="158">
        <v>38740</v>
      </c>
      <c r="R16" s="180">
        <v>1</v>
      </c>
      <c r="S16" s="181">
        <v>8570</v>
      </c>
      <c r="T16" s="23"/>
      <c r="U16" s="158">
        <v>3320.018</v>
      </c>
      <c r="V16" s="182">
        <v>4.8799999999999999E-4</v>
      </c>
      <c r="W16" s="182">
        <v>8.3983971168180901E-3</v>
      </c>
      <c r="X16" s="182">
        <v>1.3683178882034201E-3</v>
      </c>
    </row>
    <row r="17" spans="1:24">
      <c r="A17" s="21">
        <v>288</v>
      </c>
      <c r="B17" s="21">
        <v>288</v>
      </c>
      <c r="C17" s="21" t="s">
        <v>1196</v>
      </c>
      <c r="D17" s="21" t="s">
        <v>1660</v>
      </c>
      <c r="E17" s="21" t="s">
        <v>1333</v>
      </c>
      <c r="F17" s="21" t="s">
        <v>1661</v>
      </c>
      <c r="G17" s="21" t="s">
        <v>1662</v>
      </c>
      <c r="H17" s="21" t="s">
        <v>339</v>
      </c>
      <c r="I17" s="21" t="s">
        <v>950</v>
      </c>
      <c r="J17" s="21" t="s">
        <v>30</v>
      </c>
      <c r="K17" s="21" t="s">
        <v>30</v>
      </c>
      <c r="L17" s="23" t="s">
        <v>345</v>
      </c>
      <c r="M17" s="21" t="s">
        <v>65</v>
      </c>
      <c r="N17" s="23" t="s">
        <v>464</v>
      </c>
      <c r="O17" s="23" t="s">
        <v>159</v>
      </c>
      <c r="P17" s="21" t="s">
        <v>44</v>
      </c>
      <c r="Q17" s="158">
        <v>435066</v>
      </c>
      <c r="R17" s="180">
        <v>1</v>
      </c>
      <c r="S17" s="181">
        <v>4335</v>
      </c>
      <c r="T17" s="23"/>
      <c r="U17" s="158">
        <v>18860.111000000001</v>
      </c>
      <c r="V17" s="182">
        <v>2.6899999999999998E-4</v>
      </c>
      <c r="W17" s="182">
        <v>4.7708989133525399E-2</v>
      </c>
      <c r="X17" s="182">
        <v>7.7730383966695101E-3</v>
      </c>
    </row>
    <row r="18" spans="1:24">
      <c r="A18" s="21">
        <v>288</v>
      </c>
      <c r="B18" s="21">
        <v>288</v>
      </c>
      <c r="C18" s="21" t="s">
        <v>1663</v>
      </c>
      <c r="D18" s="21" t="s">
        <v>1664</v>
      </c>
      <c r="E18" s="21" t="s">
        <v>1333</v>
      </c>
      <c r="F18" s="21" t="s">
        <v>1665</v>
      </c>
      <c r="G18" s="21" t="s">
        <v>1666</v>
      </c>
      <c r="H18" s="21" t="s">
        <v>339</v>
      </c>
      <c r="I18" s="21" t="s">
        <v>950</v>
      </c>
      <c r="J18" s="21" t="s">
        <v>30</v>
      </c>
      <c r="K18" s="21" t="s">
        <v>30</v>
      </c>
      <c r="L18" s="23" t="s">
        <v>345</v>
      </c>
      <c r="M18" s="21" t="s">
        <v>65</v>
      </c>
      <c r="N18" s="23" t="s">
        <v>495</v>
      </c>
      <c r="O18" s="19" t="s">
        <v>159</v>
      </c>
      <c r="P18" s="21" t="s">
        <v>44</v>
      </c>
      <c r="Q18" s="158">
        <v>138100</v>
      </c>
      <c r="R18" s="180">
        <v>1</v>
      </c>
      <c r="S18" s="181">
        <v>1490</v>
      </c>
      <c r="T18" s="23"/>
      <c r="U18" s="158">
        <v>2057.69</v>
      </c>
      <c r="V18" s="182">
        <v>1.9369999999999999E-3</v>
      </c>
      <c r="W18" s="182">
        <v>5.2051819488043204E-3</v>
      </c>
      <c r="X18" s="182">
        <v>8.4805987057217703E-4</v>
      </c>
    </row>
    <row r="19" spans="1:24">
      <c r="A19" s="21">
        <v>288</v>
      </c>
      <c r="B19" s="21">
        <v>288</v>
      </c>
      <c r="C19" s="21" t="s">
        <v>1667</v>
      </c>
      <c r="D19" s="21" t="s">
        <v>1668</v>
      </c>
      <c r="E19" s="21" t="s">
        <v>1333</v>
      </c>
      <c r="F19" s="21" t="s">
        <v>1669</v>
      </c>
      <c r="G19" s="21" t="s">
        <v>1670</v>
      </c>
      <c r="H19" s="21" t="s">
        <v>339</v>
      </c>
      <c r="I19" s="21" t="s">
        <v>950</v>
      </c>
      <c r="J19" s="21" t="s">
        <v>30</v>
      </c>
      <c r="K19" s="21" t="s">
        <v>30</v>
      </c>
      <c r="L19" s="23" t="s">
        <v>345</v>
      </c>
      <c r="M19" s="21" t="s">
        <v>65</v>
      </c>
      <c r="N19" s="23" t="s">
        <v>464</v>
      </c>
      <c r="O19" s="23" t="s">
        <v>159</v>
      </c>
      <c r="P19" s="21" t="s">
        <v>44</v>
      </c>
      <c r="Q19" s="158">
        <v>39740</v>
      </c>
      <c r="R19" s="180">
        <v>1</v>
      </c>
      <c r="S19" s="181">
        <v>15760</v>
      </c>
      <c r="T19" s="23"/>
      <c r="U19" s="158">
        <v>6263.0240000000003</v>
      </c>
      <c r="V19" s="182">
        <v>1.54E-4</v>
      </c>
      <c r="W19" s="182">
        <v>1.5843095641096702E-2</v>
      </c>
      <c r="X19" s="182">
        <v>2.58125340689338E-3</v>
      </c>
    </row>
    <row r="20" spans="1:24">
      <c r="A20" s="4">
        <v>288</v>
      </c>
      <c r="B20" s="4">
        <v>288</v>
      </c>
      <c r="C20" s="4" t="s">
        <v>1671</v>
      </c>
      <c r="D20" s="4" t="s">
        <v>1672</v>
      </c>
      <c r="E20" s="21" t="s">
        <v>1333</v>
      </c>
      <c r="F20" s="4" t="s">
        <v>1673</v>
      </c>
      <c r="G20" s="4" t="s">
        <v>1674</v>
      </c>
      <c r="H20" s="21" t="s">
        <v>339</v>
      </c>
      <c r="I20" s="4" t="s">
        <v>950</v>
      </c>
      <c r="J20" s="4" t="s">
        <v>30</v>
      </c>
      <c r="K20" s="21" t="s">
        <v>30</v>
      </c>
      <c r="L20" s="23" t="s">
        <v>345</v>
      </c>
      <c r="M20" s="21" t="s">
        <v>65</v>
      </c>
      <c r="N20" s="23" t="s">
        <v>493</v>
      </c>
      <c r="O20" s="4" t="s">
        <v>159</v>
      </c>
      <c r="P20" s="4" t="s">
        <v>44</v>
      </c>
      <c r="Q20" s="156">
        <v>43100</v>
      </c>
      <c r="R20" s="171">
        <v>1</v>
      </c>
      <c r="S20" s="173">
        <v>8550</v>
      </c>
      <c r="T20" s="155">
        <v>32.756</v>
      </c>
      <c r="U20" s="156">
        <v>3717.806</v>
      </c>
      <c r="V20" s="170">
        <v>6.7199999999999996E-4</v>
      </c>
      <c r="W20" s="170">
        <v>9.4046511769782602E-3</v>
      </c>
      <c r="X20" s="170">
        <v>1.5322629138366101E-3</v>
      </c>
    </row>
    <row r="21" spans="1:24">
      <c r="A21" s="4">
        <v>288</v>
      </c>
      <c r="B21" s="4">
        <v>288</v>
      </c>
      <c r="C21" s="4" t="s">
        <v>1675</v>
      </c>
      <c r="D21" s="4" t="s">
        <v>1676</v>
      </c>
      <c r="E21" s="4" t="s">
        <v>1333</v>
      </c>
      <c r="F21" s="4" t="s">
        <v>1677</v>
      </c>
      <c r="G21" s="4" t="s">
        <v>1678</v>
      </c>
      <c r="H21" s="4" t="s">
        <v>339</v>
      </c>
      <c r="I21" s="4" t="s">
        <v>950</v>
      </c>
      <c r="J21" s="4" t="s">
        <v>30</v>
      </c>
      <c r="K21" s="4" t="s">
        <v>30</v>
      </c>
      <c r="L21" s="2" t="s">
        <v>345</v>
      </c>
      <c r="M21" s="4" t="s">
        <v>65</v>
      </c>
      <c r="N21" s="23" t="s">
        <v>480</v>
      </c>
      <c r="O21" s="4" t="s">
        <v>159</v>
      </c>
      <c r="P21" s="4" t="s">
        <v>44</v>
      </c>
      <c r="Q21" s="156">
        <v>15367</v>
      </c>
      <c r="R21" s="171">
        <v>1</v>
      </c>
      <c r="S21" s="173">
        <v>32400</v>
      </c>
      <c r="U21" s="156">
        <v>4978.9080000000004</v>
      </c>
      <c r="V21" s="170">
        <v>3.2299999999999999E-4</v>
      </c>
      <c r="W21" s="170">
        <v>1.2594765026003599E-2</v>
      </c>
      <c r="X21" s="170">
        <v>2.05201564573419E-3</v>
      </c>
    </row>
    <row r="22" spans="1:24">
      <c r="A22" s="4">
        <v>288</v>
      </c>
      <c r="B22" s="4">
        <v>288</v>
      </c>
      <c r="C22" s="4" t="s">
        <v>1679</v>
      </c>
      <c r="D22" s="4" t="s">
        <v>1680</v>
      </c>
      <c r="E22" s="4" t="s">
        <v>330</v>
      </c>
      <c r="F22" s="4" t="s">
        <v>1681</v>
      </c>
      <c r="G22" s="4" t="s">
        <v>1682</v>
      </c>
      <c r="H22" s="4" t="s">
        <v>339</v>
      </c>
      <c r="I22" s="4" t="s">
        <v>950</v>
      </c>
      <c r="J22" s="4" t="s">
        <v>30</v>
      </c>
      <c r="K22" s="4" t="s">
        <v>125</v>
      </c>
      <c r="L22" s="2" t="s">
        <v>345</v>
      </c>
      <c r="M22" s="4" t="s">
        <v>65</v>
      </c>
      <c r="N22" s="4" t="s">
        <v>470</v>
      </c>
      <c r="O22" s="4" t="s">
        <v>159</v>
      </c>
      <c r="P22" s="4" t="s">
        <v>44</v>
      </c>
      <c r="Q22" s="156">
        <v>49314</v>
      </c>
      <c r="R22" s="171">
        <v>1</v>
      </c>
      <c r="S22" s="173">
        <v>7320</v>
      </c>
      <c r="U22" s="156">
        <v>3609.7849999999999</v>
      </c>
      <c r="V22" s="170">
        <v>4.8999999999999998E-4</v>
      </c>
      <c r="W22" s="170">
        <v>9.13139816008641E-3</v>
      </c>
      <c r="X22" s="170">
        <v>1.48774287199793E-3</v>
      </c>
    </row>
    <row r="23" spans="1:24">
      <c r="A23" s="4">
        <v>288</v>
      </c>
      <c r="B23" s="4">
        <v>288</v>
      </c>
      <c r="C23" s="4" t="s">
        <v>1600</v>
      </c>
      <c r="D23" s="4" t="s">
        <v>1601</v>
      </c>
      <c r="E23" s="4" t="s">
        <v>1333</v>
      </c>
      <c r="F23" s="4" t="s">
        <v>1683</v>
      </c>
      <c r="G23" s="4" t="s">
        <v>1603</v>
      </c>
      <c r="H23" s="4" t="s">
        <v>339</v>
      </c>
      <c r="I23" s="4" t="s">
        <v>950</v>
      </c>
      <c r="J23" s="4" t="s">
        <v>30</v>
      </c>
      <c r="K23" s="4" t="s">
        <v>316</v>
      </c>
      <c r="L23" s="2" t="s">
        <v>345</v>
      </c>
      <c r="M23" s="2" t="s">
        <v>65</v>
      </c>
      <c r="N23" s="4" t="s">
        <v>474</v>
      </c>
      <c r="O23" s="4" t="s">
        <v>159</v>
      </c>
      <c r="P23" s="4" t="s">
        <v>44</v>
      </c>
      <c r="Q23" s="156">
        <v>2700</v>
      </c>
      <c r="R23" s="171">
        <v>1</v>
      </c>
      <c r="S23" s="173">
        <v>71910</v>
      </c>
      <c r="U23" s="156">
        <v>1941.57</v>
      </c>
      <c r="V23" s="170">
        <v>9.2999999999999997E-5</v>
      </c>
      <c r="W23" s="170">
        <v>4.9114420132964597E-3</v>
      </c>
      <c r="X23" s="170">
        <v>8.0020197547095201E-4</v>
      </c>
    </row>
    <row r="24" spans="1:24">
      <c r="A24" s="4">
        <v>288</v>
      </c>
      <c r="B24" s="4">
        <v>288</v>
      </c>
      <c r="C24" s="4" t="s">
        <v>1684</v>
      </c>
      <c r="D24" s="4" t="s">
        <v>1685</v>
      </c>
      <c r="E24" s="4" t="s">
        <v>330</v>
      </c>
      <c r="F24" s="4" t="s">
        <v>1686</v>
      </c>
      <c r="G24" s="4" t="s">
        <v>1687</v>
      </c>
      <c r="H24" s="4" t="s">
        <v>339</v>
      </c>
      <c r="I24" s="4" t="s">
        <v>950</v>
      </c>
      <c r="J24" s="4" t="s">
        <v>30</v>
      </c>
      <c r="K24" s="4" t="s">
        <v>30</v>
      </c>
      <c r="L24" s="2" t="s">
        <v>345</v>
      </c>
      <c r="M24" s="2" t="s">
        <v>65</v>
      </c>
      <c r="N24" s="4" t="s">
        <v>470</v>
      </c>
      <c r="O24" s="4" t="s">
        <v>159</v>
      </c>
      <c r="P24" s="4" t="s">
        <v>44</v>
      </c>
      <c r="Q24" s="156">
        <v>356234.85</v>
      </c>
      <c r="R24" s="171">
        <v>1</v>
      </c>
      <c r="S24" s="173">
        <v>1114</v>
      </c>
      <c r="U24" s="156">
        <v>3968.4560000000001</v>
      </c>
      <c r="V24" s="170">
        <v>3.0299999999999999E-4</v>
      </c>
      <c r="W24" s="170">
        <v>1.00387020045832E-2</v>
      </c>
      <c r="X24" s="170">
        <v>1.63556632725877E-3</v>
      </c>
    </row>
    <row r="25" spans="1:24">
      <c r="A25" s="4">
        <v>288</v>
      </c>
      <c r="B25" s="4">
        <v>288</v>
      </c>
      <c r="C25" s="4" t="s">
        <v>1688</v>
      </c>
      <c r="D25" s="4" t="s">
        <v>1689</v>
      </c>
      <c r="E25" s="4" t="s">
        <v>1333</v>
      </c>
      <c r="F25" s="4" t="s">
        <v>1690</v>
      </c>
      <c r="G25" s="4" t="s">
        <v>1691</v>
      </c>
      <c r="H25" s="4" t="s">
        <v>339</v>
      </c>
      <c r="I25" s="4" t="s">
        <v>950</v>
      </c>
      <c r="J25" s="4" t="s">
        <v>30</v>
      </c>
      <c r="K25" s="4" t="s">
        <v>125</v>
      </c>
      <c r="L25" s="2" t="s">
        <v>345</v>
      </c>
      <c r="M25" s="2" t="s">
        <v>65</v>
      </c>
      <c r="N25" s="4" t="s">
        <v>497</v>
      </c>
      <c r="O25" s="4" t="s">
        <v>159</v>
      </c>
      <c r="P25" s="4" t="s">
        <v>44</v>
      </c>
      <c r="Q25" s="156">
        <v>8160</v>
      </c>
      <c r="R25" s="171">
        <v>1</v>
      </c>
      <c r="S25" s="173">
        <v>62120</v>
      </c>
      <c r="U25" s="156">
        <v>5068.9920000000002</v>
      </c>
      <c r="V25" s="170">
        <v>1.0900000000000001E-4</v>
      </c>
      <c r="W25" s="170">
        <v>1.28226436718036E-2</v>
      </c>
      <c r="X25" s="170">
        <v>2.0891430193330398E-3</v>
      </c>
    </row>
    <row r="26" spans="1:24">
      <c r="A26" s="4">
        <v>288</v>
      </c>
      <c r="B26" s="4">
        <v>288</v>
      </c>
      <c r="C26" s="4" t="s">
        <v>1692</v>
      </c>
      <c r="D26" s="4" t="s">
        <v>1693</v>
      </c>
      <c r="E26" s="4" t="s">
        <v>1333</v>
      </c>
      <c r="F26" s="4" t="s">
        <v>1692</v>
      </c>
      <c r="G26" s="4" t="s">
        <v>1694</v>
      </c>
      <c r="H26" s="4" t="s">
        <v>339</v>
      </c>
      <c r="I26" s="4" t="s">
        <v>950</v>
      </c>
      <c r="J26" s="4" t="s">
        <v>30</v>
      </c>
      <c r="K26" s="4" t="s">
        <v>30</v>
      </c>
      <c r="L26" s="2" t="s">
        <v>345</v>
      </c>
      <c r="M26" s="2" t="s">
        <v>65</v>
      </c>
      <c r="N26" s="4" t="s">
        <v>455</v>
      </c>
      <c r="O26" s="4" t="s">
        <v>159</v>
      </c>
      <c r="P26" s="4" t="s">
        <v>44</v>
      </c>
      <c r="Q26" s="156">
        <v>62000</v>
      </c>
      <c r="R26" s="171">
        <v>1</v>
      </c>
      <c r="S26" s="173">
        <v>6044</v>
      </c>
      <c r="U26" s="156">
        <v>3747.28</v>
      </c>
      <c r="V26" s="170">
        <v>7.7399999999999995E-4</v>
      </c>
      <c r="W26" s="170">
        <v>9.4792093138983298E-3</v>
      </c>
      <c r="X26" s="170">
        <v>1.5444103785301499E-3</v>
      </c>
    </row>
    <row r="27" spans="1:24">
      <c r="A27" s="4">
        <v>288</v>
      </c>
      <c r="B27" s="4">
        <v>288</v>
      </c>
      <c r="C27" s="4" t="s">
        <v>1695</v>
      </c>
      <c r="D27" s="4" t="s">
        <v>1696</v>
      </c>
      <c r="E27" s="4" t="s">
        <v>1333</v>
      </c>
      <c r="F27" s="4" t="s">
        <v>1697</v>
      </c>
      <c r="G27" s="4" t="s">
        <v>1698</v>
      </c>
      <c r="H27" s="4" t="s">
        <v>339</v>
      </c>
      <c r="I27" s="4" t="s">
        <v>950</v>
      </c>
      <c r="J27" s="4" t="s">
        <v>30</v>
      </c>
      <c r="K27" s="4" t="s">
        <v>30</v>
      </c>
      <c r="L27" s="2" t="s">
        <v>345</v>
      </c>
      <c r="M27" s="2" t="s">
        <v>65</v>
      </c>
      <c r="N27" s="4" t="s">
        <v>480</v>
      </c>
      <c r="O27" s="4" t="s">
        <v>159</v>
      </c>
      <c r="P27" s="4" t="s">
        <v>44</v>
      </c>
      <c r="Q27" s="156">
        <v>19289</v>
      </c>
      <c r="R27" s="171">
        <v>1</v>
      </c>
      <c r="S27" s="173">
        <v>30090</v>
      </c>
      <c r="U27" s="156">
        <v>5804.06</v>
      </c>
      <c r="V27" s="170">
        <v>1.5899999999999999E-4</v>
      </c>
      <c r="W27" s="170">
        <v>1.46820895578515E-2</v>
      </c>
      <c r="X27" s="170">
        <v>2.3920952413624698E-3</v>
      </c>
    </row>
    <row r="28" spans="1:24">
      <c r="A28" s="4">
        <v>288</v>
      </c>
      <c r="B28" s="4">
        <v>288</v>
      </c>
      <c r="C28" s="4" t="s">
        <v>1699</v>
      </c>
      <c r="D28" s="4" t="s">
        <v>1700</v>
      </c>
      <c r="E28" s="4" t="s">
        <v>1333</v>
      </c>
      <c r="F28" s="4" t="s">
        <v>1701</v>
      </c>
      <c r="G28" s="4" t="s">
        <v>1702</v>
      </c>
      <c r="H28" s="4" t="s">
        <v>339</v>
      </c>
      <c r="I28" s="4" t="s">
        <v>950</v>
      </c>
      <c r="J28" s="4" t="s">
        <v>30</v>
      </c>
      <c r="K28" s="4" t="s">
        <v>30</v>
      </c>
      <c r="L28" s="2" t="s">
        <v>345</v>
      </c>
      <c r="M28" s="2" t="s">
        <v>65</v>
      </c>
      <c r="N28" s="4" t="s">
        <v>464</v>
      </c>
      <c r="O28" s="4" t="s">
        <v>159</v>
      </c>
      <c r="P28" s="4" t="s">
        <v>44</v>
      </c>
      <c r="Q28" s="156">
        <v>387802</v>
      </c>
      <c r="R28" s="171">
        <v>1</v>
      </c>
      <c r="S28" s="173">
        <v>4402</v>
      </c>
      <c r="U28" s="156">
        <v>17071.044000000002</v>
      </c>
      <c r="V28" s="170">
        <v>2.9E-4</v>
      </c>
      <c r="W28" s="170">
        <v>4.3183322212894802E-2</v>
      </c>
      <c r="X28" s="170">
        <v>7.0356892433234997E-3</v>
      </c>
    </row>
    <row r="29" spans="1:24">
      <c r="A29" s="4">
        <v>288</v>
      </c>
      <c r="B29" s="4">
        <v>288</v>
      </c>
      <c r="C29" s="4" t="s">
        <v>1703</v>
      </c>
      <c r="D29" s="4" t="s">
        <v>1704</v>
      </c>
      <c r="E29" s="4" t="s">
        <v>1333</v>
      </c>
      <c r="F29" s="4" t="s">
        <v>1705</v>
      </c>
      <c r="G29" s="4" t="s">
        <v>1706</v>
      </c>
      <c r="H29" s="4" t="s">
        <v>339</v>
      </c>
      <c r="I29" s="4" t="s">
        <v>950</v>
      </c>
      <c r="J29" s="4" t="s">
        <v>30</v>
      </c>
      <c r="K29" s="4" t="s">
        <v>30</v>
      </c>
      <c r="L29" s="2" t="s">
        <v>345</v>
      </c>
      <c r="M29" s="2" t="s">
        <v>65</v>
      </c>
      <c r="N29" s="4" t="s">
        <v>492</v>
      </c>
      <c r="O29" s="4" t="s">
        <v>159</v>
      </c>
      <c r="P29" s="4" t="s">
        <v>44</v>
      </c>
      <c r="Q29" s="156">
        <v>8738</v>
      </c>
      <c r="R29" s="171">
        <v>1</v>
      </c>
      <c r="S29" s="173">
        <v>29900</v>
      </c>
      <c r="U29" s="156">
        <v>2612.6619999999998</v>
      </c>
      <c r="V29" s="170">
        <v>6.3299999999999999E-4</v>
      </c>
      <c r="W29" s="170">
        <v>6.6090524232158302E-3</v>
      </c>
      <c r="X29" s="170">
        <v>1.0767869783926899E-3</v>
      </c>
    </row>
    <row r="30" spans="1:24">
      <c r="A30" s="4">
        <v>288</v>
      </c>
      <c r="B30" s="4">
        <v>288</v>
      </c>
      <c r="C30" s="4" t="s">
        <v>1707</v>
      </c>
      <c r="D30" s="4" t="s">
        <v>1708</v>
      </c>
      <c r="E30" s="4" t="s">
        <v>1333</v>
      </c>
      <c r="F30" s="4" t="s">
        <v>1709</v>
      </c>
      <c r="G30" s="4" t="s">
        <v>1710</v>
      </c>
      <c r="H30" s="4" t="s">
        <v>339</v>
      </c>
      <c r="I30" s="4" t="s">
        <v>950</v>
      </c>
      <c r="J30" s="4" t="s">
        <v>30</v>
      </c>
      <c r="K30" s="4" t="s">
        <v>30</v>
      </c>
      <c r="L30" s="2" t="s">
        <v>345</v>
      </c>
      <c r="M30" s="2" t="s">
        <v>65</v>
      </c>
      <c r="N30" s="4" t="s">
        <v>493</v>
      </c>
      <c r="O30" s="4" t="s">
        <v>159</v>
      </c>
      <c r="P30" s="4" t="s">
        <v>44</v>
      </c>
      <c r="Q30" s="156">
        <v>6250</v>
      </c>
      <c r="R30" s="171">
        <v>1</v>
      </c>
      <c r="S30" s="173">
        <v>30600</v>
      </c>
      <c r="U30" s="156">
        <v>1912.5</v>
      </c>
      <c r="V30" s="170">
        <v>3.9300000000000001E-4</v>
      </c>
      <c r="W30" s="170">
        <v>4.8379058444606602E-3</v>
      </c>
      <c r="X30" s="170">
        <v>7.8822101602733601E-4</v>
      </c>
    </row>
    <row r="31" spans="1:24">
      <c r="A31" s="4">
        <v>288</v>
      </c>
      <c r="B31" s="4">
        <v>288</v>
      </c>
      <c r="C31" s="4" t="s">
        <v>1711</v>
      </c>
      <c r="D31" s="4" t="s">
        <v>1712</v>
      </c>
      <c r="E31" s="4" t="s">
        <v>330</v>
      </c>
      <c r="F31" s="4" t="s">
        <v>1713</v>
      </c>
      <c r="G31" s="4" t="s">
        <v>1714</v>
      </c>
      <c r="H31" s="4" t="s">
        <v>339</v>
      </c>
      <c r="I31" s="4" t="s">
        <v>950</v>
      </c>
      <c r="J31" s="4" t="s">
        <v>30</v>
      </c>
      <c r="K31" s="4" t="s">
        <v>30</v>
      </c>
      <c r="L31" s="2" t="s">
        <v>345</v>
      </c>
      <c r="M31" s="2" t="s">
        <v>65</v>
      </c>
      <c r="N31" s="4" t="s">
        <v>470</v>
      </c>
      <c r="O31" s="4" t="s">
        <v>159</v>
      </c>
      <c r="P31" s="4" t="s">
        <v>44</v>
      </c>
      <c r="Q31" s="156">
        <v>546732</v>
      </c>
      <c r="R31" s="171">
        <v>1</v>
      </c>
      <c r="S31" s="173">
        <v>340.9</v>
      </c>
      <c r="U31" s="156">
        <v>1863.809</v>
      </c>
      <c r="V31" s="170">
        <v>4.86E-4</v>
      </c>
      <c r="W31" s="170">
        <v>4.7147369051847602E-3</v>
      </c>
      <c r="X31" s="170">
        <v>7.6815358404739697E-4</v>
      </c>
    </row>
    <row r="32" spans="1:24">
      <c r="A32" s="4">
        <v>288</v>
      </c>
      <c r="B32" s="4">
        <v>288</v>
      </c>
      <c r="C32" s="4" t="s">
        <v>1715</v>
      </c>
      <c r="D32" s="4" t="s">
        <v>1716</v>
      </c>
      <c r="E32" s="4" t="s">
        <v>1333</v>
      </c>
      <c r="F32" s="4" t="s">
        <v>1717</v>
      </c>
      <c r="G32" s="4" t="s">
        <v>1718</v>
      </c>
      <c r="H32" s="4" t="s">
        <v>339</v>
      </c>
      <c r="I32" s="4" t="s">
        <v>950</v>
      </c>
      <c r="J32" s="4" t="s">
        <v>30</v>
      </c>
      <c r="K32" s="4" t="s">
        <v>30</v>
      </c>
      <c r="L32" s="2" t="s">
        <v>345</v>
      </c>
      <c r="M32" s="2" t="s">
        <v>65</v>
      </c>
      <c r="N32" s="4" t="s">
        <v>492</v>
      </c>
      <c r="O32" s="4" t="s">
        <v>159</v>
      </c>
      <c r="P32" s="4" t="s">
        <v>44</v>
      </c>
      <c r="Q32" s="156">
        <v>72414</v>
      </c>
      <c r="R32" s="171">
        <v>1</v>
      </c>
      <c r="S32" s="173">
        <v>3795</v>
      </c>
      <c r="U32" s="156">
        <v>2748.1109999999999</v>
      </c>
      <c r="V32" s="170">
        <v>2.63E-4</v>
      </c>
      <c r="W32" s="170">
        <v>6.9516882193455601E-3</v>
      </c>
      <c r="X32" s="170">
        <v>1.13261128420507E-3</v>
      </c>
    </row>
    <row r="33" spans="1:24">
      <c r="A33" s="4">
        <v>288</v>
      </c>
      <c r="B33" s="4">
        <v>288</v>
      </c>
      <c r="C33" s="4" t="s">
        <v>1719</v>
      </c>
      <c r="D33" s="4" t="s">
        <v>1720</v>
      </c>
      <c r="E33" s="4" t="s">
        <v>1333</v>
      </c>
      <c r="F33" s="4" t="s">
        <v>1721</v>
      </c>
      <c r="G33" s="4" t="s">
        <v>1722</v>
      </c>
      <c r="H33" s="4" t="s">
        <v>339</v>
      </c>
      <c r="I33" s="4" t="s">
        <v>950</v>
      </c>
      <c r="J33" s="4" t="s">
        <v>30</v>
      </c>
      <c r="K33" s="4" t="s">
        <v>30</v>
      </c>
      <c r="L33" s="2" t="s">
        <v>345</v>
      </c>
      <c r="M33" s="2" t="s">
        <v>65</v>
      </c>
      <c r="N33" s="4" t="s">
        <v>472</v>
      </c>
      <c r="O33" s="4" t="s">
        <v>159</v>
      </c>
      <c r="P33" s="4" t="s">
        <v>44</v>
      </c>
      <c r="Q33" s="156">
        <v>220000</v>
      </c>
      <c r="R33" s="171">
        <v>1</v>
      </c>
      <c r="S33" s="173">
        <v>1800</v>
      </c>
      <c r="U33" s="156">
        <v>3960</v>
      </c>
      <c r="V33" s="170">
        <v>1.6699999999999999E-4</v>
      </c>
      <c r="W33" s="170">
        <v>1.00173109250009E-2</v>
      </c>
      <c r="X33" s="170">
        <v>1.6320811625977799E-3</v>
      </c>
    </row>
    <row r="34" spans="1:24">
      <c r="A34" s="4">
        <v>288</v>
      </c>
      <c r="B34" s="4">
        <v>288</v>
      </c>
      <c r="C34" s="4" t="s">
        <v>1604</v>
      </c>
      <c r="D34" s="4" t="s">
        <v>1605</v>
      </c>
      <c r="E34" s="4" t="s">
        <v>1333</v>
      </c>
      <c r="F34" s="4" t="s">
        <v>1606</v>
      </c>
      <c r="G34" s="4" t="s">
        <v>1607</v>
      </c>
      <c r="H34" s="4" t="s">
        <v>339</v>
      </c>
      <c r="I34" s="4" t="s">
        <v>950</v>
      </c>
      <c r="J34" s="4" t="s">
        <v>30</v>
      </c>
      <c r="K34" s="4" t="s">
        <v>30</v>
      </c>
      <c r="L34" s="2" t="s">
        <v>345</v>
      </c>
      <c r="M34" s="2" t="s">
        <v>65</v>
      </c>
      <c r="N34" s="4" t="s">
        <v>462</v>
      </c>
      <c r="O34" s="4" t="s">
        <v>159</v>
      </c>
      <c r="P34" s="4" t="s">
        <v>44</v>
      </c>
      <c r="Q34" s="156">
        <v>2900</v>
      </c>
      <c r="R34" s="171">
        <v>1</v>
      </c>
      <c r="S34" s="173">
        <v>95300</v>
      </c>
      <c r="T34" s="155">
        <v>5.4130000000000003</v>
      </c>
      <c r="U34" s="156">
        <v>2769.1129999999998</v>
      </c>
      <c r="V34" s="170">
        <v>6.4999999999999994E-5</v>
      </c>
      <c r="W34" s="170">
        <v>7.0048142436528703E-3</v>
      </c>
      <c r="X34" s="170">
        <v>1.14126689888698E-3</v>
      </c>
    </row>
    <row r="35" spans="1:24">
      <c r="A35" s="4">
        <v>288</v>
      </c>
      <c r="B35" s="4">
        <v>288</v>
      </c>
      <c r="C35" s="4" t="s">
        <v>1723</v>
      </c>
      <c r="D35" s="4" t="s">
        <v>1724</v>
      </c>
      <c r="E35" s="4" t="s">
        <v>1333</v>
      </c>
      <c r="F35" s="4" t="s">
        <v>1725</v>
      </c>
      <c r="G35" s="4" t="s">
        <v>1726</v>
      </c>
      <c r="H35" s="4" t="s">
        <v>339</v>
      </c>
      <c r="I35" s="4" t="s">
        <v>950</v>
      </c>
      <c r="J35" s="4" t="s">
        <v>30</v>
      </c>
      <c r="K35" s="4" t="s">
        <v>30</v>
      </c>
      <c r="L35" s="2" t="s">
        <v>345</v>
      </c>
      <c r="M35" s="2" t="s">
        <v>65</v>
      </c>
      <c r="N35" s="4" t="s">
        <v>471</v>
      </c>
      <c r="O35" s="4" t="s">
        <v>159</v>
      </c>
      <c r="P35" s="4" t="s">
        <v>44</v>
      </c>
      <c r="Q35" s="156">
        <v>93000</v>
      </c>
      <c r="R35" s="171">
        <v>1</v>
      </c>
      <c r="S35" s="173">
        <v>1450</v>
      </c>
      <c r="U35" s="156">
        <v>1348.5</v>
      </c>
      <c r="V35" s="170">
        <v>2.5920000000000001E-3</v>
      </c>
      <c r="W35" s="170">
        <v>3.4111979248393201E-3</v>
      </c>
      <c r="X35" s="170">
        <v>5.5577309286947098E-4</v>
      </c>
    </row>
    <row r="36" spans="1:24">
      <c r="A36" s="4">
        <v>288</v>
      </c>
      <c r="B36" s="4">
        <v>288</v>
      </c>
      <c r="C36" s="4" t="s">
        <v>1628</v>
      </c>
      <c r="D36" s="4" t="s">
        <v>1629</v>
      </c>
      <c r="E36" s="4" t="s">
        <v>1333</v>
      </c>
      <c r="F36" s="4" t="s">
        <v>1630</v>
      </c>
      <c r="G36" s="4" t="s">
        <v>1631</v>
      </c>
      <c r="H36" s="4" t="s">
        <v>339</v>
      </c>
      <c r="I36" s="4" t="s">
        <v>950</v>
      </c>
      <c r="J36" s="4" t="s">
        <v>30</v>
      </c>
      <c r="K36" s="4" t="s">
        <v>30</v>
      </c>
      <c r="L36" s="2" t="s">
        <v>345</v>
      </c>
      <c r="M36" s="2" t="s">
        <v>65</v>
      </c>
      <c r="N36" s="4" t="s">
        <v>501</v>
      </c>
      <c r="O36" s="4" t="s">
        <v>159</v>
      </c>
      <c r="P36" s="4" t="s">
        <v>44</v>
      </c>
      <c r="Q36" s="156">
        <v>440000</v>
      </c>
      <c r="R36" s="171">
        <v>1</v>
      </c>
      <c r="S36" s="173">
        <v>519</v>
      </c>
      <c r="U36" s="156">
        <v>2283.6</v>
      </c>
      <c r="V36" s="170">
        <v>1.5899999999999999E-4</v>
      </c>
      <c r="W36" s="170">
        <v>5.7766493000838501E-3</v>
      </c>
      <c r="X36" s="170">
        <v>9.4116680376471896E-4</v>
      </c>
    </row>
    <row r="37" spans="1:24">
      <c r="A37" s="4">
        <v>288</v>
      </c>
      <c r="B37" s="4">
        <v>288</v>
      </c>
      <c r="C37" s="4" t="s">
        <v>1727</v>
      </c>
      <c r="D37" s="4" t="s">
        <v>1728</v>
      </c>
      <c r="E37" s="4" t="s">
        <v>1333</v>
      </c>
      <c r="F37" s="4" t="s">
        <v>1729</v>
      </c>
      <c r="G37" s="4" t="s">
        <v>1730</v>
      </c>
      <c r="H37" s="4" t="s">
        <v>339</v>
      </c>
      <c r="I37" s="4" t="s">
        <v>950</v>
      </c>
      <c r="J37" s="4" t="s">
        <v>30</v>
      </c>
      <c r="K37" s="4" t="s">
        <v>30</v>
      </c>
      <c r="L37" s="2" t="s">
        <v>345</v>
      </c>
      <c r="M37" s="2" t="s">
        <v>65</v>
      </c>
      <c r="N37" s="4" t="s">
        <v>480</v>
      </c>
      <c r="O37" s="4" t="s">
        <v>159</v>
      </c>
      <c r="P37" s="4" t="s">
        <v>44</v>
      </c>
      <c r="Q37" s="156">
        <v>6228</v>
      </c>
      <c r="R37" s="171">
        <v>1</v>
      </c>
      <c r="S37" s="173">
        <v>54030</v>
      </c>
      <c r="U37" s="156">
        <v>3364.9879999999998</v>
      </c>
      <c r="V37" s="170">
        <v>2.5099999999999998E-4</v>
      </c>
      <c r="W37" s="170">
        <v>8.5121553186417401E-3</v>
      </c>
      <c r="X37" s="170">
        <v>1.3868520656565701E-3</v>
      </c>
    </row>
    <row r="38" spans="1:24">
      <c r="A38" s="4">
        <v>288</v>
      </c>
      <c r="B38" s="4">
        <v>288</v>
      </c>
      <c r="C38" s="4" t="s">
        <v>1731</v>
      </c>
      <c r="D38" s="4" t="s">
        <v>1732</v>
      </c>
      <c r="E38" s="4" t="s">
        <v>1333</v>
      </c>
      <c r="F38" s="4" t="s">
        <v>1733</v>
      </c>
      <c r="G38" s="4" t="s">
        <v>1734</v>
      </c>
      <c r="H38" s="4" t="s">
        <v>339</v>
      </c>
      <c r="I38" s="4" t="s">
        <v>950</v>
      </c>
      <c r="J38" s="4" t="s">
        <v>30</v>
      </c>
      <c r="K38" s="4" t="s">
        <v>30</v>
      </c>
      <c r="L38" s="2" t="s">
        <v>345</v>
      </c>
      <c r="M38" s="2" t="s">
        <v>65</v>
      </c>
      <c r="N38" s="4" t="s">
        <v>464</v>
      </c>
      <c r="O38" s="4" t="s">
        <v>159</v>
      </c>
      <c r="P38" s="4" t="s">
        <v>44</v>
      </c>
      <c r="Q38" s="156">
        <v>8000</v>
      </c>
      <c r="R38" s="171">
        <v>1</v>
      </c>
      <c r="S38" s="173">
        <v>17940</v>
      </c>
      <c r="U38" s="156">
        <v>1435.2</v>
      </c>
      <c r="V38" s="170">
        <v>8.0000000000000007E-5</v>
      </c>
      <c r="W38" s="170">
        <v>3.6305163231215398E-3</v>
      </c>
      <c r="X38" s="170">
        <v>5.9150577892937704E-4</v>
      </c>
    </row>
    <row r="39" spans="1:24">
      <c r="A39" s="4">
        <v>288</v>
      </c>
      <c r="B39" s="4">
        <v>288</v>
      </c>
      <c r="C39" s="4" t="s">
        <v>1632</v>
      </c>
      <c r="D39" s="4" t="s">
        <v>1633</v>
      </c>
      <c r="E39" s="4" t="s">
        <v>1333</v>
      </c>
      <c r="F39" s="4" t="s">
        <v>1634</v>
      </c>
      <c r="G39" s="4" t="s">
        <v>1635</v>
      </c>
      <c r="H39" s="4" t="s">
        <v>339</v>
      </c>
      <c r="I39" s="4" t="s">
        <v>950</v>
      </c>
      <c r="J39" s="4" t="s">
        <v>30</v>
      </c>
      <c r="K39" s="4" t="s">
        <v>30</v>
      </c>
      <c r="L39" s="2" t="s">
        <v>345</v>
      </c>
      <c r="M39" s="2" t="s">
        <v>65</v>
      </c>
      <c r="N39" s="4" t="s">
        <v>464</v>
      </c>
      <c r="O39" s="4" t="s">
        <v>159</v>
      </c>
      <c r="P39" s="4" t="s">
        <v>44</v>
      </c>
      <c r="Q39" s="156">
        <v>207000</v>
      </c>
      <c r="R39" s="171">
        <v>1</v>
      </c>
      <c r="S39" s="173">
        <v>2492</v>
      </c>
      <c r="U39" s="156">
        <v>5158.4399999999996</v>
      </c>
      <c r="V39" s="170">
        <v>1.6699999999999999E-4</v>
      </c>
      <c r="W39" s="170">
        <v>1.3048913476758E-2</v>
      </c>
      <c r="X39" s="170">
        <v>2.1260082708057801E-3</v>
      </c>
    </row>
    <row r="40" spans="1:24">
      <c r="A40" s="4">
        <v>288</v>
      </c>
      <c r="B40" s="4">
        <v>288</v>
      </c>
      <c r="C40" s="4" t="s">
        <v>1735</v>
      </c>
      <c r="D40" s="4" t="s">
        <v>1736</v>
      </c>
      <c r="E40" s="4" t="s">
        <v>1333</v>
      </c>
      <c r="F40" s="4" t="s">
        <v>1737</v>
      </c>
      <c r="G40" s="4" t="s">
        <v>1738</v>
      </c>
      <c r="H40" s="4" t="s">
        <v>339</v>
      </c>
      <c r="I40" s="4" t="s">
        <v>950</v>
      </c>
      <c r="J40" s="4" t="s">
        <v>30</v>
      </c>
      <c r="K40" s="4" t="s">
        <v>30</v>
      </c>
      <c r="L40" s="2" t="s">
        <v>345</v>
      </c>
      <c r="M40" s="2" t="s">
        <v>65</v>
      </c>
      <c r="N40" s="4" t="s">
        <v>470</v>
      </c>
      <c r="O40" s="4" t="s">
        <v>159</v>
      </c>
      <c r="P40" s="4" t="s">
        <v>44</v>
      </c>
      <c r="Q40" s="156">
        <v>5340</v>
      </c>
      <c r="R40" s="171">
        <v>1</v>
      </c>
      <c r="S40" s="173">
        <v>47500</v>
      </c>
      <c r="U40" s="156">
        <v>2536.5</v>
      </c>
      <c r="V40" s="170">
        <v>2.8699999999999998E-4</v>
      </c>
      <c r="W40" s="170">
        <v>6.41639120233959E-3</v>
      </c>
      <c r="X40" s="170">
        <v>1.0453974416488E-3</v>
      </c>
    </row>
    <row r="41" spans="1:24">
      <c r="A41" s="4">
        <v>288</v>
      </c>
      <c r="B41" s="4">
        <v>288</v>
      </c>
      <c r="C41" s="4" t="s">
        <v>1739</v>
      </c>
      <c r="D41" s="4" t="s">
        <v>1740</v>
      </c>
      <c r="E41" s="4" t="s">
        <v>1333</v>
      </c>
      <c r="F41" s="4" t="s">
        <v>1741</v>
      </c>
      <c r="G41" s="4" t="s">
        <v>1742</v>
      </c>
      <c r="H41" s="4" t="s">
        <v>339</v>
      </c>
      <c r="I41" s="4" t="s">
        <v>950</v>
      </c>
      <c r="J41" s="4" t="s">
        <v>30</v>
      </c>
      <c r="K41" s="4" t="s">
        <v>30</v>
      </c>
      <c r="L41" s="2" t="s">
        <v>345</v>
      </c>
      <c r="M41" s="2" t="s">
        <v>65</v>
      </c>
      <c r="N41" s="4" t="s">
        <v>453</v>
      </c>
      <c r="O41" s="4" t="s">
        <v>159</v>
      </c>
      <c r="P41" s="4" t="s">
        <v>44</v>
      </c>
      <c r="Q41" s="156">
        <v>7300</v>
      </c>
      <c r="R41" s="171">
        <v>1</v>
      </c>
      <c r="S41" s="173">
        <v>20100</v>
      </c>
      <c r="U41" s="156">
        <v>1467.3</v>
      </c>
      <c r="V41" s="170">
        <v>2.7099999999999997E-4</v>
      </c>
      <c r="W41" s="170">
        <v>3.7117172525893498E-3</v>
      </c>
      <c r="X41" s="170">
        <v>6.0473552774740395E-4</v>
      </c>
    </row>
    <row r="42" spans="1:24">
      <c r="A42" s="4">
        <v>288</v>
      </c>
      <c r="B42" s="4">
        <v>288</v>
      </c>
      <c r="C42" s="4" t="s">
        <v>1743</v>
      </c>
      <c r="D42" s="4" t="s">
        <v>1744</v>
      </c>
      <c r="E42" s="4" t="s">
        <v>1333</v>
      </c>
      <c r="F42" s="4" t="s">
        <v>1745</v>
      </c>
      <c r="G42" s="4" t="s">
        <v>1746</v>
      </c>
      <c r="H42" s="4" t="s">
        <v>339</v>
      </c>
      <c r="I42" s="4" t="s">
        <v>950</v>
      </c>
      <c r="J42" s="4" t="s">
        <v>30</v>
      </c>
      <c r="K42" s="4" t="s">
        <v>30</v>
      </c>
      <c r="L42" s="2" t="s">
        <v>345</v>
      </c>
      <c r="M42" s="2" t="s">
        <v>65</v>
      </c>
      <c r="N42" s="4" t="s">
        <v>461</v>
      </c>
      <c r="O42" s="4" t="s">
        <v>159</v>
      </c>
      <c r="P42" s="4" t="s">
        <v>44</v>
      </c>
      <c r="Q42" s="156">
        <v>58000</v>
      </c>
      <c r="R42" s="171">
        <v>1</v>
      </c>
      <c r="S42" s="173">
        <v>5039</v>
      </c>
      <c r="T42" s="155">
        <v>70.3</v>
      </c>
      <c r="U42" s="156">
        <v>2992.92</v>
      </c>
      <c r="V42" s="170">
        <v>2.5999999999999998E-4</v>
      </c>
      <c r="W42" s="170">
        <v>7.5709620486838804E-3</v>
      </c>
      <c r="X42" s="170">
        <v>1.23350713928234E-3</v>
      </c>
    </row>
    <row r="43" spans="1:24">
      <c r="A43" s="4">
        <v>288</v>
      </c>
      <c r="B43" s="4">
        <v>288</v>
      </c>
      <c r="C43" s="4" t="s">
        <v>1747</v>
      </c>
      <c r="D43" s="4" t="s">
        <v>1748</v>
      </c>
      <c r="E43" s="4" t="s">
        <v>1333</v>
      </c>
      <c r="F43" s="4" t="s">
        <v>1749</v>
      </c>
      <c r="G43" s="4" t="s">
        <v>1750</v>
      </c>
      <c r="H43" s="4" t="s">
        <v>339</v>
      </c>
      <c r="I43" s="4" t="s">
        <v>950</v>
      </c>
      <c r="J43" s="4" t="s">
        <v>30</v>
      </c>
      <c r="K43" s="4" t="s">
        <v>316</v>
      </c>
      <c r="L43" s="2" t="s">
        <v>345</v>
      </c>
      <c r="M43" s="2" t="s">
        <v>65</v>
      </c>
      <c r="N43" s="4" t="s">
        <v>474</v>
      </c>
      <c r="O43" s="4" t="s">
        <v>159</v>
      </c>
      <c r="P43" s="4" t="s">
        <v>44</v>
      </c>
      <c r="Q43" s="156">
        <v>21400</v>
      </c>
      <c r="R43" s="171">
        <v>1</v>
      </c>
      <c r="S43" s="173">
        <v>18890</v>
      </c>
      <c r="U43" s="156">
        <v>4042.46</v>
      </c>
      <c r="V43" s="170">
        <v>1.92E-4</v>
      </c>
      <c r="W43" s="170">
        <v>1.0225903717646199E-2</v>
      </c>
      <c r="X43" s="170">
        <v>1.6660663678169201E-3</v>
      </c>
    </row>
    <row r="44" spans="1:24">
      <c r="A44" s="4">
        <v>288</v>
      </c>
      <c r="B44" s="4">
        <v>288</v>
      </c>
      <c r="C44" s="4" t="s">
        <v>1644</v>
      </c>
      <c r="D44" s="4" t="s">
        <v>1645</v>
      </c>
      <c r="E44" s="4" t="s">
        <v>1333</v>
      </c>
      <c r="F44" s="4" t="s">
        <v>1646</v>
      </c>
      <c r="G44" s="4" t="s">
        <v>1647</v>
      </c>
      <c r="H44" s="4" t="s">
        <v>339</v>
      </c>
      <c r="I44" s="4" t="s">
        <v>950</v>
      </c>
      <c r="J44" s="4" t="s">
        <v>30</v>
      </c>
      <c r="K44" s="4" t="s">
        <v>125</v>
      </c>
      <c r="L44" s="2" t="s">
        <v>345</v>
      </c>
      <c r="M44" s="2" t="s">
        <v>65</v>
      </c>
      <c r="N44" s="4" t="s">
        <v>483</v>
      </c>
      <c r="O44" s="4" t="s">
        <v>159</v>
      </c>
      <c r="P44" s="4" t="s">
        <v>44</v>
      </c>
      <c r="Q44" s="156">
        <v>65600</v>
      </c>
      <c r="R44" s="171">
        <v>1</v>
      </c>
      <c r="S44" s="173">
        <v>8101</v>
      </c>
      <c r="U44" s="156">
        <v>5314.2560000000003</v>
      </c>
      <c r="V44" s="170">
        <v>5.3000000000000001E-5</v>
      </c>
      <c r="W44" s="170">
        <v>1.34430693654171E-2</v>
      </c>
      <c r="X44" s="170">
        <v>2.19022654313692E-3</v>
      </c>
    </row>
    <row r="45" spans="1:24">
      <c r="A45" s="4">
        <v>288</v>
      </c>
      <c r="B45" s="4">
        <v>288</v>
      </c>
      <c r="C45" s="4" t="s">
        <v>1656</v>
      </c>
      <c r="D45" s="4" t="s">
        <v>1657</v>
      </c>
      <c r="E45" s="4" t="s">
        <v>1333</v>
      </c>
      <c r="F45" s="4" t="s">
        <v>1658</v>
      </c>
      <c r="G45" s="4" t="s">
        <v>1659</v>
      </c>
      <c r="H45" s="4" t="s">
        <v>339</v>
      </c>
      <c r="I45" s="4" t="s">
        <v>950</v>
      </c>
      <c r="J45" s="4" t="s">
        <v>30</v>
      </c>
      <c r="K45" s="4" t="s">
        <v>30</v>
      </c>
      <c r="L45" s="2" t="s">
        <v>345</v>
      </c>
      <c r="M45" s="2" t="s">
        <v>65</v>
      </c>
      <c r="N45" s="4" t="s">
        <v>461</v>
      </c>
      <c r="O45" s="4" t="s">
        <v>159</v>
      </c>
      <c r="P45" s="4" t="s">
        <v>44</v>
      </c>
      <c r="Q45" s="156">
        <v>34000</v>
      </c>
      <c r="R45" s="171">
        <v>1</v>
      </c>
      <c r="S45" s="173">
        <v>8570</v>
      </c>
      <c r="U45" s="156">
        <v>2913.8</v>
      </c>
      <c r="V45" s="170">
        <v>4.28E-4</v>
      </c>
      <c r="W45" s="170">
        <v>7.3708183265827299E-3</v>
      </c>
      <c r="X45" s="170">
        <v>1.20089850797409E-3</v>
      </c>
    </row>
    <row r="46" spans="1:24">
      <c r="A46" s="4">
        <v>288</v>
      </c>
      <c r="B46" s="4">
        <v>288</v>
      </c>
      <c r="C46" s="4" t="s">
        <v>1196</v>
      </c>
      <c r="D46" s="4" t="s">
        <v>1660</v>
      </c>
      <c r="E46" s="4" t="s">
        <v>1333</v>
      </c>
      <c r="F46" s="4" t="s">
        <v>1661</v>
      </c>
      <c r="G46" s="4" t="s">
        <v>1662</v>
      </c>
      <c r="H46" s="4" t="s">
        <v>339</v>
      </c>
      <c r="I46" s="4" t="s">
        <v>950</v>
      </c>
      <c r="J46" s="4" t="s">
        <v>30</v>
      </c>
      <c r="K46" s="4" t="s">
        <v>30</v>
      </c>
      <c r="L46" s="2" t="s">
        <v>345</v>
      </c>
      <c r="M46" s="2" t="s">
        <v>65</v>
      </c>
      <c r="N46" s="4" t="s">
        <v>464</v>
      </c>
      <c r="O46" s="4" t="s">
        <v>159</v>
      </c>
      <c r="P46" s="4" t="s">
        <v>44</v>
      </c>
      <c r="Q46" s="156">
        <v>153000</v>
      </c>
      <c r="R46" s="171">
        <v>1</v>
      </c>
      <c r="S46" s="173">
        <v>4335</v>
      </c>
      <c r="U46" s="156">
        <v>6632.55</v>
      </c>
      <c r="V46" s="170">
        <v>9.5000000000000005E-5</v>
      </c>
      <c r="W46" s="170">
        <v>1.6777857468589601E-2</v>
      </c>
      <c r="X46" s="170">
        <v>2.7335504835828001E-3</v>
      </c>
    </row>
    <row r="47" spans="1:24">
      <c r="A47" s="4">
        <v>288</v>
      </c>
      <c r="B47" s="4">
        <v>288</v>
      </c>
      <c r="C47" s="4" t="s">
        <v>1667</v>
      </c>
      <c r="D47" s="4" t="s">
        <v>1668</v>
      </c>
      <c r="E47" s="4" t="s">
        <v>1333</v>
      </c>
      <c r="F47" s="4" t="s">
        <v>1669</v>
      </c>
      <c r="G47" s="4" t="s">
        <v>1670</v>
      </c>
      <c r="H47" s="4" t="s">
        <v>339</v>
      </c>
      <c r="I47" s="4" t="s">
        <v>950</v>
      </c>
      <c r="J47" s="4" t="s">
        <v>30</v>
      </c>
      <c r="K47" s="4" t="s">
        <v>30</v>
      </c>
      <c r="L47" s="2" t="s">
        <v>345</v>
      </c>
      <c r="M47" s="2" t="s">
        <v>65</v>
      </c>
      <c r="N47" s="4" t="s">
        <v>464</v>
      </c>
      <c r="O47" s="4" t="s">
        <v>159</v>
      </c>
      <c r="P47" s="4" t="s">
        <v>44</v>
      </c>
      <c r="Q47" s="156">
        <v>34000</v>
      </c>
      <c r="R47" s="171">
        <v>1</v>
      </c>
      <c r="S47" s="173">
        <v>15760</v>
      </c>
      <c r="U47" s="156">
        <v>5358.4</v>
      </c>
      <c r="V47" s="170">
        <v>1.3200000000000001E-4</v>
      </c>
      <c r="W47" s="170">
        <v>1.35547370859911E-2</v>
      </c>
      <c r="X47" s="170">
        <v>2.2084201266828101E-3</v>
      </c>
    </row>
    <row r="48" spans="1:24">
      <c r="A48" s="4">
        <v>288</v>
      </c>
      <c r="B48" s="4">
        <v>288</v>
      </c>
      <c r="C48" s="4" t="s">
        <v>1671</v>
      </c>
      <c r="D48" s="4" t="s">
        <v>1672</v>
      </c>
      <c r="E48" s="4" t="s">
        <v>1333</v>
      </c>
      <c r="F48" s="4" t="s">
        <v>1673</v>
      </c>
      <c r="G48" s="4" t="s">
        <v>1674</v>
      </c>
      <c r="H48" s="4" t="s">
        <v>339</v>
      </c>
      <c r="I48" s="4" t="s">
        <v>950</v>
      </c>
      <c r="J48" s="4" t="s">
        <v>30</v>
      </c>
      <c r="K48" s="4" t="s">
        <v>30</v>
      </c>
      <c r="L48" s="2" t="s">
        <v>345</v>
      </c>
      <c r="M48" s="2" t="s">
        <v>65</v>
      </c>
      <c r="N48" s="4" t="s">
        <v>493</v>
      </c>
      <c r="O48" s="4" t="s">
        <v>159</v>
      </c>
      <c r="P48" s="4" t="s">
        <v>44</v>
      </c>
      <c r="Q48" s="156">
        <v>0</v>
      </c>
      <c r="R48" s="171">
        <v>1</v>
      </c>
      <c r="S48" s="173">
        <v>0</v>
      </c>
      <c r="T48" s="155">
        <v>9.5069999999999997</v>
      </c>
      <c r="U48" s="156">
        <v>9.5069999999999997</v>
      </c>
      <c r="V48" s="170">
        <v>0</v>
      </c>
      <c r="W48" s="170">
        <v>2.4048730352079701E-5</v>
      </c>
      <c r="X48" s="170">
        <v>3.9181652726846104E-6</v>
      </c>
    </row>
    <row r="49" spans="1:24">
      <c r="A49" s="4">
        <v>288</v>
      </c>
      <c r="B49" s="4">
        <v>288</v>
      </c>
      <c r="C49" s="4" t="s">
        <v>1751</v>
      </c>
      <c r="D49" s="4" t="s">
        <v>1752</v>
      </c>
      <c r="E49" s="4" t="s">
        <v>1333</v>
      </c>
      <c r="F49" s="4" t="s">
        <v>1753</v>
      </c>
      <c r="G49" s="4" t="s">
        <v>1754</v>
      </c>
      <c r="H49" s="4" t="s">
        <v>339</v>
      </c>
      <c r="I49" s="4" t="s">
        <v>950</v>
      </c>
      <c r="J49" s="4" t="s">
        <v>30</v>
      </c>
      <c r="K49" s="4" t="s">
        <v>30</v>
      </c>
      <c r="L49" s="2" t="s">
        <v>345</v>
      </c>
      <c r="M49" s="2" t="s">
        <v>65</v>
      </c>
      <c r="N49" s="4" t="s">
        <v>480</v>
      </c>
      <c r="O49" s="4" t="s">
        <v>159</v>
      </c>
      <c r="P49" s="4" t="s">
        <v>44</v>
      </c>
      <c r="Q49" s="156">
        <v>615000</v>
      </c>
      <c r="R49" s="171">
        <v>1</v>
      </c>
      <c r="S49" s="173">
        <v>198</v>
      </c>
      <c r="U49" s="156">
        <v>1217.7</v>
      </c>
      <c r="V49" s="170">
        <v>8.0900000000000004E-4</v>
      </c>
      <c r="W49" s="170">
        <v>3.0803231094377798E-3</v>
      </c>
      <c r="X49" s="170">
        <v>5.0186495749881697E-4</v>
      </c>
    </row>
    <row r="50" spans="1:24">
      <c r="A50" s="4">
        <v>288</v>
      </c>
      <c r="B50" s="4">
        <v>288</v>
      </c>
      <c r="C50" s="4" t="s">
        <v>1600</v>
      </c>
      <c r="D50" s="4" t="s">
        <v>1601</v>
      </c>
      <c r="E50" s="4" t="s">
        <v>1333</v>
      </c>
      <c r="F50" s="4" t="s">
        <v>1683</v>
      </c>
      <c r="G50" s="4" t="s">
        <v>1603</v>
      </c>
      <c r="H50" s="4" t="s">
        <v>339</v>
      </c>
      <c r="I50" s="4" t="s">
        <v>950</v>
      </c>
      <c r="J50" s="4" t="s">
        <v>30</v>
      </c>
      <c r="K50" s="4" t="s">
        <v>316</v>
      </c>
      <c r="L50" s="2" t="s">
        <v>345</v>
      </c>
      <c r="M50" s="2" t="s">
        <v>65</v>
      </c>
      <c r="N50" s="4" t="s">
        <v>474</v>
      </c>
      <c r="O50" s="4" t="s">
        <v>159</v>
      </c>
      <c r="P50" s="4" t="s">
        <v>44</v>
      </c>
      <c r="Q50" s="156">
        <v>5350</v>
      </c>
      <c r="R50" s="171">
        <v>1</v>
      </c>
      <c r="S50" s="173">
        <v>71910</v>
      </c>
      <c r="U50" s="156">
        <v>3847.1849999999999</v>
      </c>
      <c r="V50" s="170">
        <v>1.83E-4</v>
      </c>
      <c r="W50" s="170">
        <v>9.7319313967170595E-3</v>
      </c>
      <c r="X50" s="170">
        <v>1.5855853958405899E-3</v>
      </c>
    </row>
    <row r="51" spans="1:24">
      <c r="A51" s="4">
        <v>288</v>
      </c>
      <c r="B51" s="4">
        <v>288</v>
      </c>
      <c r="C51" s="4" t="s">
        <v>1688</v>
      </c>
      <c r="D51" s="4" t="s">
        <v>1689</v>
      </c>
      <c r="E51" s="4" t="s">
        <v>1333</v>
      </c>
      <c r="F51" s="4" t="s">
        <v>1690</v>
      </c>
      <c r="G51" s="4" t="s">
        <v>1691</v>
      </c>
      <c r="H51" s="4" t="s">
        <v>339</v>
      </c>
      <c r="I51" s="4" t="s">
        <v>950</v>
      </c>
      <c r="J51" s="4" t="s">
        <v>30</v>
      </c>
      <c r="K51" s="4" t="s">
        <v>125</v>
      </c>
      <c r="L51" s="2" t="s">
        <v>345</v>
      </c>
      <c r="M51" s="2" t="s">
        <v>65</v>
      </c>
      <c r="N51" s="4" t="s">
        <v>497</v>
      </c>
      <c r="O51" s="4" t="s">
        <v>159</v>
      </c>
      <c r="P51" s="4" t="s">
        <v>44</v>
      </c>
      <c r="Q51" s="156">
        <v>8700</v>
      </c>
      <c r="R51" s="171">
        <v>1</v>
      </c>
      <c r="S51" s="173">
        <v>62120</v>
      </c>
      <c r="U51" s="156">
        <v>5404.44</v>
      </c>
      <c r="V51" s="170">
        <v>1.16E-4</v>
      </c>
      <c r="W51" s="170">
        <v>1.36712009736141E-2</v>
      </c>
      <c r="X51" s="170">
        <v>2.22739513090655E-3</v>
      </c>
    </row>
    <row r="52" spans="1:24">
      <c r="A52" s="4">
        <v>288</v>
      </c>
      <c r="B52" s="4">
        <v>288</v>
      </c>
      <c r="C52" s="4" t="s">
        <v>1755</v>
      </c>
      <c r="D52" s="4" t="s">
        <v>1756</v>
      </c>
      <c r="E52" s="4" t="s">
        <v>1333</v>
      </c>
      <c r="F52" s="4" t="s">
        <v>1757</v>
      </c>
      <c r="G52" s="4" t="s">
        <v>1758</v>
      </c>
      <c r="H52" s="4" t="s">
        <v>339</v>
      </c>
      <c r="I52" s="4" t="s">
        <v>950</v>
      </c>
      <c r="J52" s="4" t="s">
        <v>30</v>
      </c>
      <c r="K52" s="4" t="s">
        <v>316</v>
      </c>
      <c r="L52" s="2" t="s">
        <v>345</v>
      </c>
      <c r="M52" s="2" t="s">
        <v>65</v>
      </c>
      <c r="N52" s="4" t="s">
        <v>481</v>
      </c>
      <c r="O52" s="4" t="s">
        <v>159</v>
      </c>
      <c r="P52" s="4" t="s">
        <v>44</v>
      </c>
      <c r="Q52" s="156">
        <v>20800</v>
      </c>
      <c r="R52" s="171">
        <v>1</v>
      </c>
      <c r="S52" s="173">
        <v>5600</v>
      </c>
      <c r="U52" s="156">
        <v>1164.8</v>
      </c>
      <c r="V52" s="170">
        <v>2.81E-4</v>
      </c>
      <c r="W52" s="170">
        <v>2.9465060013740001E-3</v>
      </c>
      <c r="X52" s="170">
        <v>4.8006266116007402E-4</v>
      </c>
    </row>
    <row r="53" spans="1:24">
      <c r="A53" s="4">
        <v>288</v>
      </c>
      <c r="B53" s="4">
        <v>288</v>
      </c>
      <c r="C53" s="4" t="s">
        <v>1759</v>
      </c>
      <c r="D53" s="4" t="s">
        <v>1760</v>
      </c>
      <c r="E53" s="4" t="s">
        <v>1333</v>
      </c>
      <c r="F53" s="4" t="s">
        <v>1761</v>
      </c>
      <c r="G53" s="4" t="s">
        <v>1762</v>
      </c>
      <c r="H53" s="4" t="s">
        <v>339</v>
      </c>
      <c r="I53" s="4" t="s">
        <v>950</v>
      </c>
      <c r="J53" s="4" t="s">
        <v>30</v>
      </c>
      <c r="K53" s="4" t="s">
        <v>30</v>
      </c>
      <c r="L53" s="2" t="s">
        <v>345</v>
      </c>
      <c r="M53" s="2" t="s">
        <v>65</v>
      </c>
      <c r="N53" s="4" t="s">
        <v>501</v>
      </c>
      <c r="O53" s="4" t="s">
        <v>159</v>
      </c>
      <c r="P53" s="4" t="s">
        <v>44</v>
      </c>
      <c r="Q53" s="156">
        <v>68000</v>
      </c>
      <c r="R53" s="171">
        <v>1</v>
      </c>
      <c r="S53" s="173">
        <v>2073</v>
      </c>
      <c r="U53" s="156">
        <v>1409.64</v>
      </c>
      <c r="V53" s="170">
        <v>4.0999999999999999E-4</v>
      </c>
      <c r="W53" s="170">
        <v>3.5658591344238E-3</v>
      </c>
      <c r="X53" s="170">
        <v>5.8097143687988199E-4</v>
      </c>
    </row>
    <row r="54" spans="1:24">
      <c r="A54" s="4">
        <v>288</v>
      </c>
      <c r="B54" s="4">
        <v>288</v>
      </c>
      <c r="C54" s="4" t="s">
        <v>1695</v>
      </c>
      <c r="D54" s="4" t="s">
        <v>1696</v>
      </c>
      <c r="E54" s="4" t="s">
        <v>1333</v>
      </c>
      <c r="F54" s="4" t="s">
        <v>1697</v>
      </c>
      <c r="G54" s="4" t="s">
        <v>1698</v>
      </c>
      <c r="H54" s="4" t="s">
        <v>339</v>
      </c>
      <c r="I54" s="4" t="s">
        <v>950</v>
      </c>
      <c r="J54" s="4" t="s">
        <v>30</v>
      </c>
      <c r="K54" s="4" t="s">
        <v>30</v>
      </c>
      <c r="L54" s="2" t="s">
        <v>345</v>
      </c>
      <c r="M54" s="2" t="s">
        <v>65</v>
      </c>
      <c r="N54" s="4" t="s">
        <v>480</v>
      </c>
      <c r="O54" s="4" t="s">
        <v>159</v>
      </c>
      <c r="P54" s="4" t="s">
        <v>44</v>
      </c>
      <c r="Q54" s="156">
        <v>4200</v>
      </c>
      <c r="R54" s="171">
        <v>1</v>
      </c>
      <c r="S54" s="173">
        <v>30090</v>
      </c>
      <c r="U54" s="156">
        <v>1263.78</v>
      </c>
      <c r="V54" s="170">
        <v>3.4999999999999997E-5</v>
      </c>
      <c r="W54" s="170">
        <v>3.1968881820196001E-3</v>
      </c>
      <c r="X54" s="170">
        <v>5.2085644739086404E-4</v>
      </c>
    </row>
    <row r="55" spans="1:24">
      <c r="A55" s="4">
        <v>288</v>
      </c>
      <c r="B55" s="4">
        <v>288</v>
      </c>
      <c r="C55" s="4" t="s">
        <v>1699</v>
      </c>
      <c r="D55" s="4" t="s">
        <v>1700</v>
      </c>
      <c r="E55" s="4" t="s">
        <v>1333</v>
      </c>
      <c r="F55" s="4" t="s">
        <v>1701</v>
      </c>
      <c r="G55" s="4" t="s">
        <v>1702</v>
      </c>
      <c r="H55" s="4" t="s">
        <v>339</v>
      </c>
      <c r="I55" s="4" t="s">
        <v>950</v>
      </c>
      <c r="J55" s="4" t="s">
        <v>30</v>
      </c>
      <c r="K55" s="4" t="s">
        <v>30</v>
      </c>
      <c r="L55" s="2" t="s">
        <v>345</v>
      </c>
      <c r="M55" s="2" t="s">
        <v>65</v>
      </c>
      <c r="N55" s="4" t="s">
        <v>464</v>
      </c>
      <c r="O55" s="4" t="s">
        <v>159</v>
      </c>
      <c r="P55" s="4" t="s">
        <v>44</v>
      </c>
      <c r="Q55" s="156">
        <v>168000.4</v>
      </c>
      <c r="R55" s="171">
        <v>1</v>
      </c>
      <c r="S55" s="173">
        <v>4402</v>
      </c>
      <c r="U55" s="156">
        <v>7395.3779999999997</v>
      </c>
      <c r="V55" s="170">
        <v>1.26E-4</v>
      </c>
      <c r="W55" s="170">
        <v>1.87075244714963E-2</v>
      </c>
      <c r="X55" s="170">
        <v>3.0479435566450001E-3</v>
      </c>
    </row>
    <row r="56" spans="1:24">
      <c r="A56" s="4">
        <v>288</v>
      </c>
      <c r="B56" s="4">
        <v>288</v>
      </c>
      <c r="C56" s="4" t="s">
        <v>1763</v>
      </c>
      <c r="D56" s="4" t="s">
        <v>1764</v>
      </c>
      <c r="E56" s="4" t="s">
        <v>1333</v>
      </c>
      <c r="F56" s="4" t="s">
        <v>1765</v>
      </c>
      <c r="G56" s="4" t="s">
        <v>1766</v>
      </c>
      <c r="H56" s="4" t="s">
        <v>339</v>
      </c>
      <c r="I56" s="4" t="s">
        <v>950</v>
      </c>
      <c r="J56" s="4" t="s">
        <v>30</v>
      </c>
      <c r="K56" s="4" t="s">
        <v>30</v>
      </c>
      <c r="L56" s="2" t="s">
        <v>345</v>
      </c>
      <c r="M56" s="2" t="s">
        <v>65</v>
      </c>
      <c r="N56" s="4" t="s">
        <v>456</v>
      </c>
      <c r="O56" s="4" t="s">
        <v>159</v>
      </c>
      <c r="P56" s="4" t="s">
        <v>44</v>
      </c>
      <c r="Q56" s="156">
        <v>2600</v>
      </c>
      <c r="R56" s="171">
        <v>1</v>
      </c>
      <c r="S56" s="173">
        <v>45100</v>
      </c>
      <c r="T56" s="155">
        <v>18.254999999999999</v>
      </c>
      <c r="U56" s="156">
        <v>1190.855</v>
      </c>
      <c r="V56" s="170">
        <v>1.8900000000000001E-4</v>
      </c>
      <c r="W56" s="170">
        <v>3.0124155816035202E-3</v>
      </c>
      <c r="X56" s="170">
        <v>4.9080105044764695E-4</v>
      </c>
    </row>
    <row r="57" spans="1:24">
      <c r="A57" s="4">
        <v>288</v>
      </c>
      <c r="B57" s="4">
        <v>288</v>
      </c>
      <c r="C57" s="4" t="s">
        <v>1767</v>
      </c>
      <c r="D57" s="4" t="s">
        <v>1768</v>
      </c>
      <c r="E57" s="4" t="s">
        <v>1333</v>
      </c>
      <c r="F57" s="4" t="s">
        <v>1769</v>
      </c>
      <c r="G57" s="4" t="s">
        <v>1770</v>
      </c>
      <c r="H57" s="4" t="s">
        <v>339</v>
      </c>
      <c r="I57" s="4" t="s">
        <v>950</v>
      </c>
      <c r="J57" s="4" t="s">
        <v>30</v>
      </c>
      <c r="K57" s="4" t="s">
        <v>316</v>
      </c>
      <c r="L57" s="2" t="s">
        <v>345</v>
      </c>
      <c r="M57" s="2" t="s">
        <v>65</v>
      </c>
      <c r="N57" s="4" t="s">
        <v>474</v>
      </c>
      <c r="O57" s="4" t="s">
        <v>159</v>
      </c>
      <c r="P57" s="4" t="s">
        <v>44</v>
      </c>
      <c r="Q57" s="156">
        <v>6160</v>
      </c>
      <c r="R57" s="171">
        <v>1</v>
      </c>
      <c r="S57" s="173">
        <v>29800</v>
      </c>
      <c r="U57" s="156">
        <v>1835.68</v>
      </c>
      <c r="V57" s="170">
        <v>1.2999999999999999E-4</v>
      </c>
      <c r="W57" s="170">
        <v>4.6435801310115302E-3</v>
      </c>
      <c r="X57" s="170">
        <v>7.5656029003976996E-4</v>
      </c>
    </row>
    <row r="58" spans="1:24">
      <c r="A58" s="4">
        <v>288</v>
      </c>
      <c r="B58" s="4">
        <v>288</v>
      </c>
      <c r="C58" s="4" t="s">
        <v>1771</v>
      </c>
      <c r="D58" s="4" t="s">
        <v>1772</v>
      </c>
      <c r="E58" s="4" t="s">
        <v>1333</v>
      </c>
      <c r="F58" s="4" t="s">
        <v>1773</v>
      </c>
      <c r="G58" s="4" t="s">
        <v>1774</v>
      </c>
      <c r="H58" s="4" t="s">
        <v>339</v>
      </c>
      <c r="I58" s="4" t="s">
        <v>950</v>
      </c>
      <c r="J58" s="4" t="s">
        <v>30</v>
      </c>
      <c r="K58" s="4" t="s">
        <v>30</v>
      </c>
      <c r="L58" s="2" t="s">
        <v>345</v>
      </c>
      <c r="M58" s="2" t="s">
        <v>65</v>
      </c>
      <c r="N58" s="4" t="s">
        <v>480</v>
      </c>
      <c r="O58" s="4" t="s">
        <v>159</v>
      </c>
      <c r="P58" s="4" t="s">
        <v>44</v>
      </c>
      <c r="Q58" s="156">
        <v>7400</v>
      </c>
      <c r="R58" s="171">
        <v>1</v>
      </c>
      <c r="S58" s="173">
        <v>34770</v>
      </c>
      <c r="U58" s="156">
        <v>2572.98</v>
      </c>
      <c r="V58" s="170">
        <v>5.62E-4</v>
      </c>
      <c r="W58" s="170">
        <v>6.5086718848001998E-3</v>
      </c>
      <c r="X58" s="170">
        <v>1.0604323711466701E-3</v>
      </c>
    </row>
    <row r="59" spans="1:24">
      <c r="A59" s="4">
        <v>288</v>
      </c>
      <c r="B59" s="4">
        <v>288</v>
      </c>
      <c r="C59" s="4" t="s">
        <v>1775</v>
      </c>
      <c r="D59" s="4" t="s">
        <v>1776</v>
      </c>
      <c r="E59" s="4" t="s">
        <v>1333</v>
      </c>
      <c r="F59" s="4" t="s">
        <v>1777</v>
      </c>
      <c r="G59" s="4" t="s">
        <v>1778</v>
      </c>
      <c r="H59" s="4" t="s">
        <v>339</v>
      </c>
      <c r="I59" s="4" t="s">
        <v>950</v>
      </c>
      <c r="J59" s="4" t="s">
        <v>30</v>
      </c>
      <c r="K59" s="4" t="s">
        <v>30</v>
      </c>
      <c r="L59" s="2" t="s">
        <v>345</v>
      </c>
      <c r="M59" s="2" t="s">
        <v>65</v>
      </c>
      <c r="N59" s="4" t="s">
        <v>492</v>
      </c>
      <c r="O59" s="4" t="s">
        <v>159</v>
      </c>
      <c r="P59" s="4" t="s">
        <v>44</v>
      </c>
      <c r="Q59" s="156">
        <v>5000</v>
      </c>
      <c r="R59" s="171">
        <v>1</v>
      </c>
      <c r="S59" s="173">
        <v>24720</v>
      </c>
      <c r="U59" s="156">
        <v>1236</v>
      </c>
      <c r="V59" s="170">
        <v>3.6299999999999999E-4</v>
      </c>
      <c r="W59" s="170">
        <v>3.1266152281063399E-3</v>
      </c>
      <c r="X59" s="170">
        <v>5.0940715075021605E-4</v>
      </c>
    </row>
    <row r="60" spans="1:24">
      <c r="A60" s="4">
        <v>288</v>
      </c>
      <c r="B60" s="4">
        <v>288</v>
      </c>
      <c r="C60" s="4" t="s">
        <v>1779</v>
      </c>
      <c r="D60" s="4" t="s">
        <v>1780</v>
      </c>
      <c r="E60" s="4" t="s">
        <v>1333</v>
      </c>
      <c r="F60" s="4" t="s">
        <v>1781</v>
      </c>
      <c r="G60" s="4" t="s">
        <v>1782</v>
      </c>
      <c r="H60" s="4" t="s">
        <v>339</v>
      </c>
      <c r="I60" s="4" t="s">
        <v>950</v>
      </c>
      <c r="J60" s="4" t="s">
        <v>30</v>
      </c>
      <c r="K60" s="4" t="s">
        <v>30</v>
      </c>
      <c r="L60" s="2" t="s">
        <v>345</v>
      </c>
      <c r="M60" s="2" t="s">
        <v>65</v>
      </c>
      <c r="N60" s="4" t="s">
        <v>475</v>
      </c>
      <c r="O60" s="4" t="s">
        <v>159</v>
      </c>
      <c r="P60" s="4" t="s">
        <v>44</v>
      </c>
      <c r="Q60" s="156">
        <v>24000</v>
      </c>
      <c r="R60" s="171">
        <v>1</v>
      </c>
      <c r="S60" s="173">
        <v>6896</v>
      </c>
      <c r="U60" s="156">
        <v>1655.04</v>
      </c>
      <c r="V60" s="170">
        <v>2.04E-4</v>
      </c>
      <c r="W60" s="170">
        <v>4.1866288568973399E-3</v>
      </c>
      <c r="X60" s="170">
        <v>6.8211101195601702E-4</v>
      </c>
    </row>
    <row r="61" spans="1:24">
      <c r="A61" s="4">
        <v>288</v>
      </c>
      <c r="B61" s="4">
        <v>288</v>
      </c>
      <c r="C61" s="4" t="s">
        <v>1783</v>
      </c>
      <c r="D61" s="4" t="s">
        <v>1784</v>
      </c>
      <c r="E61" s="4" t="s">
        <v>332</v>
      </c>
      <c r="F61" s="4" t="s">
        <v>1785</v>
      </c>
      <c r="G61" s="4" t="s">
        <v>1786</v>
      </c>
      <c r="H61" s="4" t="s">
        <v>339</v>
      </c>
      <c r="I61" s="4" t="s">
        <v>950</v>
      </c>
      <c r="J61" s="4" t="s">
        <v>124</v>
      </c>
      <c r="K61" s="4" t="s">
        <v>125</v>
      </c>
      <c r="L61" s="2" t="s">
        <v>345</v>
      </c>
      <c r="M61" s="2" t="s">
        <v>364</v>
      </c>
      <c r="N61" s="4" t="s">
        <v>565</v>
      </c>
      <c r="O61" s="4" t="s">
        <v>159</v>
      </c>
      <c r="P61" s="4" t="s">
        <v>34</v>
      </c>
      <c r="Q61" s="156">
        <v>6050</v>
      </c>
      <c r="R61" s="171">
        <v>3.6469999999999998</v>
      </c>
      <c r="S61" s="173">
        <v>12079</v>
      </c>
      <c r="U61" s="156">
        <v>2665.1529999999998</v>
      </c>
      <c r="V61" s="170">
        <v>3.9999999999999998E-6</v>
      </c>
      <c r="W61" s="170">
        <v>6.74183450148197E-3</v>
      </c>
      <c r="X61" s="170">
        <v>1.0984206413878E-3</v>
      </c>
    </row>
    <row r="62" spans="1:24">
      <c r="A62" s="4">
        <v>288</v>
      </c>
      <c r="B62" s="4">
        <v>288</v>
      </c>
      <c r="C62" s="4" t="s">
        <v>1787</v>
      </c>
      <c r="D62" s="4" t="s">
        <v>1788</v>
      </c>
      <c r="E62" s="4" t="s">
        <v>332</v>
      </c>
      <c r="F62" s="4" t="s">
        <v>1789</v>
      </c>
      <c r="G62" s="4" t="s">
        <v>1790</v>
      </c>
      <c r="H62" s="4" t="s">
        <v>339</v>
      </c>
      <c r="I62" s="4" t="s">
        <v>950</v>
      </c>
      <c r="J62" s="4" t="s">
        <v>124</v>
      </c>
      <c r="K62" s="4" t="s">
        <v>125</v>
      </c>
      <c r="L62" s="2" t="s">
        <v>345</v>
      </c>
      <c r="M62" s="2" t="s">
        <v>364</v>
      </c>
      <c r="N62" s="4" t="s">
        <v>532</v>
      </c>
      <c r="O62" s="4" t="s">
        <v>159</v>
      </c>
      <c r="P62" s="4" t="s">
        <v>34</v>
      </c>
      <c r="Q62" s="156">
        <v>6000</v>
      </c>
      <c r="R62" s="171">
        <v>3.6469999999999998</v>
      </c>
      <c r="S62" s="173">
        <v>21939</v>
      </c>
      <c r="U62" s="156">
        <v>4800.692</v>
      </c>
      <c r="V62" s="170">
        <v>9.9999999999999995E-7</v>
      </c>
      <c r="W62" s="170">
        <v>1.2143945509802599E-2</v>
      </c>
      <c r="X62" s="170">
        <v>1.9785653909071299E-3</v>
      </c>
    </row>
    <row r="63" spans="1:24">
      <c r="A63" s="4">
        <v>288</v>
      </c>
      <c r="B63" s="4">
        <v>288</v>
      </c>
      <c r="C63" s="4" t="s">
        <v>1791</v>
      </c>
      <c r="D63" s="4" t="s">
        <v>1792</v>
      </c>
      <c r="E63" s="4" t="s">
        <v>332</v>
      </c>
      <c r="F63" s="4" t="s">
        <v>1793</v>
      </c>
      <c r="G63" s="4" t="s">
        <v>1794</v>
      </c>
      <c r="H63" s="4" t="s">
        <v>339</v>
      </c>
      <c r="I63" s="4" t="s">
        <v>950</v>
      </c>
      <c r="J63" s="4" t="s">
        <v>124</v>
      </c>
      <c r="K63" s="4" t="s">
        <v>125</v>
      </c>
      <c r="L63" s="2" t="s">
        <v>345</v>
      </c>
      <c r="M63" s="2" t="s">
        <v>364</v>
      </c>
      <c r="N63" s="4" t="s">
        <v>565</v>
      </c>
      <c r="O63" s="4" t="s">
        <v>159</v>
      </c>
      <c r="P63" s="4" t="s">
        <v>34</v>
      </c>
      <c r="Q63" s="156">
        <v>1870</v>
      </c>
      <c r="R63" s="171">
        <v>3.6469999999999998</v>
      </c>
      <c r="S63" s="173">
        <v>69308</v>
      </c>
      <c r="U63" s="156">
        <v>4726.7290000000003</v>
      </c>
      <c r="V63" s="170">
        <v>5.0000000000000004E-6</v>
      </c>
      <c r="W63" s="170">
        <v>1.1956847896331099E-2</v>
      </c>
      <c r="X63" s="170">
        <v>1.9480823108869599E-3</v>
      </c>
    </row>
    <row r="64" spans="1:24">
      <c r="A64" s="4">
        <v>288</v>
      </c>
      <c r="B64" s="4">
        <v>288</v>
      </c>
      <c r="C64" s="4" t="s">
        <v>1795</v>
      </c>
      <c r="D64" s="4" t="s">
        <v>1796</v>
      </c>
      <c r="E64" s="4" t="s">
        <v>43</v>
      </c>
      <c r="F64" s="4" t="s">
        <v>1795</v>
      </c>
      <c r="G64" s="4" t="s">
        <v>1797</v>
      </c>
      <c r="H64" s="4" t="s">
        <v>339</v>
      </c>
      <c r="I64" s="4" t="s">
        <v>950</v>
      </c>
      <c r="J64" s="4" t="s">
        <v>124</v>
      </c>
      <c r="K64" s="4" t="s">
        <v>125</v>
      </c>
      <c r="L64" s="2" t="s">
        <v>345</v>
      </c>
      <c r="M64" s="2" t="s">
        <v>364</v>
      </c>
      <c r="N64" s="4" t="s">
        <v>532</v>
      </c>
      <c r="O64" s="4" t="s">
        <v>159</v>
      </c>
      <c r="P64" s="4" t="s">
        <v>34</v>
      </c>
      <c r="Q64" s="156">
        <v>1590</v>
      </c>
      <c r="R64" s="171">
        <v>3.6469999999999998</v>
      </c>
      <c r="S64" s="173">
        <v>240</v>
      </c>
      <c r="U64" s="156">
        <v>13.917</v>
      </c>
      <c r="V64" s="170">
        <v>2.0699999999999999E-4</v>
      </c>
      <c r="W64" s="170">
        <v>3.52046553818972E-5</v>
      </c>
      <c r="X64" s="170">
        <v>5.7357563636306698E-6</v>
      </c>
    </row>
    <row r="65" spans="1:24">
      <c r="A65" s="4">
        <v>288</v>
      </c>
      <c r="B65" s="4">
        <v>288</v>
      </c>
      <c r="C65" s="4" t="s">
        <v>1798</v>
      </c>
      <c r="D65" s="4" t="s">
        <v>1799</v>
      </c>
      <c r="E65" s="4" t="s">
        <v>332</v>
      </c>
      <c r="F65" s="4" t="s">
        <v>1800</v>
      </c>
      <c r="G65" s="4" t="s">
        <v>1801</v>
      </c>
      <c r="H65" s="4" t="s">
        <v>339</v>
      </c>
      <c r="I65" s="4" t="s">
        <v>950</v>
      </c>
      <c r="J65" s="4" t="s">
        <v>124</v>
      </c>
      <c r="K65" s="4" t="s">
        <v>125</v>
      </c>
      <c r="L65" s="2" t="s">
        <v>345</v>
      </c>
      <c r="M65" s="2" t="s">
        <v>364</v>
      </c>
      <c r="N65" s="4" t="s">
        <v>565</v>
      </c>
      <c r="O65" s="4" t="s">
        <v>159</v>
      </c>
      <c r="P65" s="4" t="s">
        <v>34</v>
      </c>
      <c r="Q65" s="156">
        <v>5100</v>
      </c>
      <c r="R65" s="171">
        <v>3.6469999999999998</v>
      </c>
      <c r="S65" s="173">
        <v>23184</v>
      </c>
      <c r="U65" s="156">
        <v>4312.1540000000005</v>
      </c>
      <c r="V65" s="170">
        <v>1.1E-5</v>
      </c>
      <c r="W65" s="170">
        <v>1.09081292581418E-2</v>
      </c>
      <c r="X65" s="170">
        <v>1.7772186981800601E-3</v>
      </c>
    </row>
    <row r="66" spans="1:24">
      <c r="A66" s="4">
        <v>288</v>
      </c>
      <c r="B66" s="4">
        <v>288</v>
      </c>
      <c r="C66" s="4" t="s">
        <v>1767</v>
      </c>
      <c r="D66" s="4" t="s">
        <v>1768</v>
      </c>
      <c r="E66" s="4" t="s">
        <v>1333</v>
      </c>
      <c r="F66" s="4" t="s">
        <v>1802</v>
      </c>
      <c r="G66" s="4" t="s">
        <v>1770</v>
      </c>
      <c r="H66" s="4" t="s">
        <v>339</v>
      </c>
      <c r="I66" s="4" t="s">
        <v>950</v>
      </c>
      <c r="J66" s="4" t="s">
        <v>124</v>
      </c>
      <c r="K66" s="4" t="s">
        <v>316</v>
      </c>
      <c r="L66" s="2" t="s">
        <v>345</v>
      </c>
      <c r="M66" s="2" t="s">
        <v>364</v>
      </c>
      <c r="N66" s="4" t="s">
        <v>565</v>
      </c>
      <c r="O66" s="4" t="s">
        <v>159</v>
      </c>
      <c r="P66" s="4" t="s">
        <v>34</v>
      </c>
      <c r="Q66" s="156">
        <v>17535</v>
      </c>
      <c r="R66" s="171">
        <v>3.6469999999999998</v>
      </c>
      <c r="S66" s="173">
        <v>8077</v>
      </c>
      <c r="U66" s="156">
        <v>5165.2529999999997</v>
      </c>
      <c r="V66" s="170">
        <v>4.0499999999999998E-4</v>
      </c>
      <c r="W66" s="170">
        <v>1.3066148340267101E-2</v>
      </c>
      <c r="X66" s="170">
        <v>2.1288162794903102E-3</v>
      </c>
    </row>
    <row r="67" spans="1:24">
      <c r="A67" s="4">
        <v>288</v>
      </c>
      <c r="B67" s="4">
        <v>288</v>
      </c>
      <c r="C67" s="4" t="s">
        <v>1803</v>
      </c>
      <c r="D67" s="4" t="s">
        <v>1804</v>
      </c>
      <c r="E67" s="4" t="s">
        <v>332</v>
      </c>
      <c r="F67" s="4" t="s">
        <v>1803</v>
      </c>
      <c r="G67" s="4" t="s">
        <v>1805</v>
      </c>
      <c r="H67" s="4" t="s">
        <v>339</v>
      </c>
      <c r="I67" s="4" t="s">
        <v>950</v>
      </c>
      <c r="J67" s="4" t="s">
        <v>124</v>
      </c>
      <c r="K67" s="4" t="s">
        <v>316</v>
      </c>
      <c r="L67" s="2" t="s">
        <v>345</v>
      </c>
      <c r="M67" s="2" t="s">
        <v>364</v>
      </c>
      <c r="N67" s="4" t="s">
        <v>1806</v>
      </c>
      <c r="O67" s="4" t="s">
        <v>159</v>
      </c>
      <c r="P67" s="4" t="s">
        <v>34</v>
      </c>
      <c r="Q67" s="156">
        <v>930</v>
      </c>
      <c r="R67" s="171">
        <v>3.6469999999999998</v>
      </c>
      <c r="S67" s="173">
        <v>91627</v>
      </c>
      <c r="U67" s="156">
        <v>3107.7220000000002</v>
      </c>
      <c r="V67" s="170">
        <v>1.9999999999999999E-6</v>
      </c>
      <c r="W67" s="170">
        <v>7.8613683741344392E-3</v>
      </c>
      <c r="X67" s="170">
        <v>1.2808219023775201E-3</v>
      </c>
    </row>
    <row r="68" spans="1:24">
      <c r="A68" s="4">
        <v>288</v>
      </c>
      <c r="B68" s="4">
        <v>288</v>
      </c>
      <c r="C68" s="4" t="s">
        <v>1807</v>
      </c>
      <c r="D68" s="4" t="s">
        <v>1808</v>
      </c>
      <c r="E68" s="4" t="s">
        <v>332</v>
      </c>
      <c r="F68" s="4" t="s">
        <v>1809</v>
      </c>
      <c r="G68" s="4" t="s">
        <v>1810</v>
      </c>
      <c r="H68" s="4" t="s">
        <v>339</v>
      </c>
      <c r="I68" s="4" t="s">
        <v>950</v>
      </c>
      <c r="J68" s="4" t="s">
        <v>124</v>
      </c>
      <c r="K68" s="4" t="s">
        <v>125</v>
      </c>
      <c r="L68" s="2" t="s">
        <v>345</v>
      </c>
      <c r="M68" s="2" t="s">
        <v>364</v>
      </c>
      <c r="N68" s="4" t="s">
        <v>566</v>
      </c>
      <c r="O68" s="4" t="s">
        <v>159</v>
      </c>
      <c r="P68" s="4" t="s">
        <v>34</v>
      </c>
      <c r="Q68" s="156">
        <v>8300</v>
      </c>
      <c r="R68" s="171">
        <v>3.6469999999999998</v>
      </c>
      <c r="S68" s="173">
        <v>18930</v>
      </c>
      <c r="U68" s="156">
        <v>5730.13</v>
      </c>
      <c r="V68" s="170">
        <v>2.8E-5</v>
      </c>
      <c r="W68" s="170">
        <v>1.44950740276423E-2</v>
      </c>
      <c r="X68" s="170">
        <v>2.36162553484614E-3</v>
      </c>
    </row>
    <row r="69" spans="1:24">
      <c r="A69" s="4">
        <v>288</v>
      </c>
      <c r="B69" s="4">
        <v>288</v>
      </c>
      <c r="C69" s="4" t="s">
        <v>1807</v>
      </c>
      <c r="D69" s="4" t="s">
        <v>1808</v>
      </c>
      <c r="E69" s="4" t="s">
        <v>332</v>
      </c>
      <c r="F69" s="4" t="s">
        <v>1811</v>
      </c>
      <c r="G69" s="4" t="s">
        <v>1812</v>
      </c>
      <c r="H69" s="4" t="s">
        <v>339</v>
      </c>
      <c r="I69" s="4" t="s">
        <v>950</v>
      </c>
      <c r="J69" s="4" t="s">
        <v>124</v>
      </c>
      <c r="K69" s="4" t="s">
        <v>125</v>
      </c>
      <c r="L69" s="2" t="s">
        <v>345</v>
      </c>
      <c r="M69" s="2" t="s">
        <v>364</v>
      </c>
      <c r="N69" s="4" t="s">
        <v>566</v>
      </c>
      <c r="O69" s="4" t="s">
        <v>159</v>
      </c>
      <c r="P69" s="4" t="s">
        <v>34</v>
      </c>
      <c r="Q69" s="156">
        <v>6027</v>
      </c>
      <c r="R69" s="171">
        <v>3.6469999999999998</v>
      </c>
      <c r="S69" s="173">
        <v>19044</v>
      </c>
      <c r="U69" s="156">
        <v>4185.9610000000002</v>
      </c>
      <c r="V69" s="170">
        <v>9.9999999999999995E-7</v>
      </c>
      <c r="W69" s="170">
        <v>1.05889060636756E-2</v>
      </c>
      <c r="X69" s="170">
        <v>1.7252089156892E-3</v>
      </c>
    </row>
    <row r="70" spans="1:24">
      <c r="A70" s="4">
        <v>288</v>
      </c>
      <c r="B70" s="4">
        <v>288</v>
      </c>
      <c r="C70" s="4" t="s">
        <v>1813</v>
      </c>
      <c r="D70" s="4" t="s">
        <v>1814</v>
      </c>
      <c r="E70" s="4" t="s">
        <v>332</v>
      </c>
      <c r="F70" s="4" t="s">
        <v>1815</v>
      </c>
      <c r="G70" s="4" t="s">
        <v>1816</v>
      </c>
      <c r="H70" s="4" t="s">
        <v>339</v>
      </c>
      <c r="I70" s="4" t="s">
        <v>950</v>
      </c>
      <c r="J70" s="4" t="s">
        <v>124</v>
      </c>
      <c r="K70" s="4" t="s">
        <v>288</v>
      </c>
      <c r="L70" s="2" t="s">
        <v>345</v>
      </c>
      <c r="M70" s="2" t="s">
        <v>388</v>
      </c>
      <c r="N70" s="4" t="s">
        <v>532</v>
      </c>
      <c r="O70" s="4" t="s">
        <v>159</v>
      </c>
      <c r="P70" s="4" t="s">
        <v>1201</v>
      </c>
      <c r="Q70" s="156">
        <v>334</v>
      </c>
      <c r="R70" s="171">
        <v>0.47010000000000002</v>
      </c>
      <c r="S70" s="173">
        <v>13600</v>
      </c>
      <c r="U70" s="156">
        <v>21.353999999999999</v>
      </c>
      <c r="V70" s="170">
        <v>0</v>
      </c>
      <c r="W70" s="170">
        <v>5.40171410146588E-5</v>
      </c>
      <c r="X70" s="170">
        <v>8.8008008304289099E-6</v>
      </c>
    </row>
    <row r="71" spans="1:24">
      <c r="A71" s="4">
        <v>288</v>
      </c>
      <c r="B71" s="4">
        <v>288</v>
      </c>
      <c r="C71" s="4" t="s">
        <v>1817</v>
      </c>
      <c r="D71" s="4" t="s">
        <v>1818</v>
      </c>
      <c r="E71" s="4" t="s">
        <v>332</v>
      </c>
      <c r="F71" s="4" t="s">
        <v>1819</v>
      </c>
      <c r="G71" s="4" t="s">
        <v>1820</v>
      </c>
      <c r="H71" s="4" t="s">
        <v>339</v>
      </c>
      <c r="I71" s="4" t="s">
        <v>950</v>
      </c>
      <c r="J71" s="4" t="s">
        <v>124</v>
      </c>
      <c r="K71" s="4" t="s">
        <v>125</v>
      </c>
      <c r="L71" s="2" t="s">
        <v>345</v>
      </c>
      <c r="M71" s="2" t="s">
        <v>362</v>
      </c>
      <c r="N71" s="4" t="s">
        <v>1821</v>
      </c>
      <c r="O71" s="4" t="s">
        <v>159</v>
      </c>
      <c r="P71" s="4" t="s">
        <v>34</v>
      </c>
      <c r="Q71" s="156">
        <v>2130</v>
      </c>
      <c r="R71" s="171">
        <v>3.6469999999999998</v>
      </c>
      <c r="S71" s="173">
        <v>52657</v>
      </c>
      <c r="U71" s="156">
        <v>4090.4540000000002</v>
      </c>
      <c r="V71" s="170">
        <v>1.9999999999999999E-6</v>
      </c>
      <c r="W71" s="170">
        <v>1.03473096878588E-2</v>
      </c>
      <c r="X71" s="170">
        <v>1.6858465661649901E-3</v>
      </c>
    </row>
    <row r="72" spans="1:24">
      <c r="A72" s="4">
        <v>288</v>
      </c>
      <c r="B72" s="4">
        <v>288</v>
      </c>
      <c r="C72" s="4" t="s">
        <v>1822</v>
      </c>
      <c r="D72" s="4" t="s">
        <v>1823</v>
      </c>
      <c r="E72" s="4" t="s">
        <v>332</v>
      </c>
      <c r="F72" s="4" t="s">
        <v>1824</v>
      </c>
      <c r="G72" s="4" t="s">
        <v>1825</v>
      </c>
      <c r="H72" s="4" t="s">
        <v>339</v>
      </c>
      <c r="I72" s="4" t="s">
        <v>950</v>
      </c>
      <c r="J72" s="4" t="s">
        <v>124</v>
      </c>
      <c r="K72" s="4" t="s">
        <v>125</v>
      </c>
      <c r="L72" s="2" t="s">
        <v>345</v>
      </c>
      <c r="M72" s="2" t="s">
        <v>364</v>
      </c>
      <c r="N72" s="4" t="s">
        <v>561</v>
      </c>
      <c r="O72" s="4" t="s">
        <v>159</v>
      </c>
      <c r="P72" s="4" t="s">
        <v>34</v>
      </c>
      <c r="Q72" s="156">
        <v>3181</v>
      </c>
      <c r="R72" s="171">
        <v>3.6469999999999998</v>
      </c>
      <c r="S72" s="173">
        <v>42150</v>
      </c>
      <c r="U72" s="156">
        <v>4889.8670000000002</v>
      </c>
      <c r="V72" s="170">
        <v>0</v>
      </c>
      <c r="W72" s="170">
        <v>1.23695237674206E-2</v>
      </c>
      <c r="X72" s="170">
        <v>2.0153179712858798E-3</v>
      </c>
    </row>
    <row r="73" spans="1:24">
      <c r="A73" s="4">
        <v>288</v>
      </c>
      <c r="B73" s="4">
        <v>288</v>
      </c>
      <c r="C73" s="4" t="s">
        <v>1688</v>
      </c>
      <c r="D73" s="4" t="s">
        <v>1689</v>
      </c>
      <c r="E73" s="4" t="s">
        <v>1333</v>
      </c>
      <c r="F73" s="4" t="s">
        <v>1826</v>
      </c>
      <c r="G73" s="4" t="s">
        <v>1827</v>
      </c>
      <c r="H73" s="4" t="s">
        <v>339</v>
      </c>
      <c r="I73" s="4" t="s">
        <v>950</v>
      </c>
      <c r="J73" s="4" t="s">
        <v>124</v>
      </c>
      <c r="K73" s="4" t="s">
        <v>30</v>
      </c>
      <c r="L73" s="2" t="s">
        <v>345</v>
      </c>
      <c r="M73" s="2" t="s">
        <v>364</v>
      </c>
      <c r="N73" s="4" t="s">
        <v>567</v>
      </c>
      <c r="O73" s="4" t="s">
        <v>159</v>
      </c>
      <c r="P73" s="4" t="s">
        <v>34</v>
      </c>
      <c r="Q73" s="156">
        <v>1810</v>
      </c>
      <c r="R73" s="171">
        <v>3.6469999999999998</v>
      </c>
      <c r="S73" s="173">
        <v>16984</v>
      </c>
      <c r="U73" s="156">
        <v>1121.126</v>
      </c>
      <c r="V73" s="170">
        <v>3.0000000000000001E-5</v>
      </c>
      <c r="W73" s="170">
        <v>2.83602651803228E-3</v>
      </c>
      <c r="X73" s="170">
        <v>4.6206267244398597E-4</v>
      </c>
    </row>
    <row r="74" spans="1:24">
      <c r="A74" s="4">
        <v>288</v>
      </c>
      <c r="B74" s="4">
        <v>288</v>
      </c>
      <c r="C74" s="4" t="s">
        <v>1828</v>
      </c>
      <c r="D74" s="4" t="s">
        <v>1829</v>
      </c>
      <c r="E74" s="4" t="s">
        <v>332</v>
      </c>
      <c r="F74" s="4" t="s">
        <v>1830</v>
      </c>
      <c r="G74" s="4" t="s">
        <v>1831</v>
      </c>
      <c r="H74" s="4" t="s">
        <v>339</v>
      </c>
      <c r="I74" s="4" t="s">
        <v>950</v>
      </c>
      <c r="J74" s="4" t="s">
        <v>124</v>
      </c>
      <c r="K74" s="4" t="s">
        <v>125</v>
      </c>
      <c r="L74" s="2" t="s">
        <v>345</v>
      </c>
      <c r="M74" s="2" t="s">
        <v>364</v>
      </c>
      <c r="N74" s="4" t="s">
        <v>565</v>
      </c>
      <c r="O74" s="4" t="s">
        <v>159</v>
      </c>
      <c r="P74" s="4" t="s">
        <v>34</v>
      </c>
      <c r="Q74" s="156">
        <v>12640</v>
      </c>
      <c r="R74" s="171">
        <v>3.6469999999999998</v>
      </c>
      <c r="S74" s="173">
        <v>13429</v>
      </c>
      <c r="U74" s="156">
        <v>6190.5110000000004</v>
      </c>
      <c r="V74" s="170">
        <v>9.9999999999999995E-7</v>
      </c>
      <c r="W74" s="170">
        <v>1.5659665430925101E-2</v>
      </c>
      <c r="X74" s="170">
        <v>2.5513678425025201E-3</v>
      </c>
    </row>
    <row r="75" spans="1:24">
      <c r="A75" s="4">
        <v>288</v>
      </c>
      <c r="B75" s="4">
        <v>288</v>
      </c>
      <c r="C75" s="4" t="s">
        <v>1832</v>
      </c>
      <c r="D75" s="4" t="s">
        <v>1833</v>
      </c>
      <c r="E75" s="4" t="s">
        <v>332</v>
      </c>
      <c r="F75" s="4" t="s">
        <v>1834</v>
      </c>
      <c r="G75" s="4" t="s">
        <v>1835</v>
      </c>
      <c r="H75" s="4" t="s">
        <v>339</v>
      </c>
      <c r="I75" s="4" t="s">
        <v>950</v>
      </c>
      <c r="J75" s="4" t="s">
        <v>124</v>
      </c>
      <c r="K75" s="4" t="s">
        <v>125</v>
      </c>
      <c r="L75" s="2" t="s">
        <v>345</v>
      </c>
      <c r="M75" s="2" t="s">
        <v>362</v>
      </c>
      <c r="N75" s="4" t="s">
        <v>574</v>
      </c>
      <c r="O75" s="4" t="s">
        <v>159</v>
      </c>
      <c r="P75" s="4" t="s">
        <v>34</v>
      </c>
      <c r="Q75" s="156">
        <v>19034</v>
      </c>
      <c r="R75" s="171">
        <v>3.6469999999999998</v>
      </c>
      <c r="S75" s="173">
        <v>6772</v>
      </c>
      <c r="U75" s="156">
        <v>4700.9189999999999</v>
      </c>
      <c r="V75" s="170">
        <v>3.1399999999999999E-4</v>
      </c>
      <c r="W75" s="170">
        <v>1.1891557652438E-2</v>
      </c>
      <c r="X75" s="170">
        <v>1.9374448276384801E-3</v>
      </c>
    </row>
    <row r="76" spans="1:24">
      <c r="A76" s="4">
        <v>288</v>
      </c>
      <c r="B76" s="4">
        <v>288</v>
      </c>
      <c r="C76" s="4" t="s">
        <v>1836</v>
      </c>
      <c r="D76" s="4" t="s">
        <v>1837</v>
      </c>
      <c r="E76" s="4" t="s">
        <v>332</v>
      </c>
      <c r="F76" s="4" t="s">
        <v>1838</v>
      </c>
      <c r="G76" s="4" t="s">
        <v>1839</v>
      </c>
      <c r="H76" s="4" t="s">
        <v>339</v>
      </c>
      <c r="I76" s="4" t="s">
        <v>950</v>
      </c>
      <c r="J76" s="4" t="s">
        <v>124</v>
      </c>
      <c r="K76" s="4" t="s">
        <v>125</v>
      </c>
      <c r="L76" s="2" t="s">
        <v>345</v>
      </c>
      <c r="M76" s="2" t="s">
        <v>398</v>
      </c>
      <c r="N76" s="4" t="s">
        <v>563</v>
      </c>
      <c r="O76" s="4" t="s">
        <v>159</v>
      </c>
      <c r="P76" s="4" t="s">
        <v>34</v>
      </c>
      <c r="Q76" s="156">
        <v>310</v>
      </c>
      <c r="R76" s="171">
        <v>3.6469999999999998</v>
      </c>
      <c r="S76" s="173">
        <v>91000</v>
      </c>
      <c r="U76" s="156">
        <v>1028.819</v>
      </c>
      <c r="V76" s="170">
        <v>9.9999999999999995E-7</v>
      </c>
      <c r="W76" s="170">
        <v>2.6025244452917199E-3</v>
      </c>
      <c r="X76" s="170">
        <v>4.2401909595917499E-4</v>
      </c>
    </row>
    <row r="77" spans="1:24">
      <c r="A77" s="4">
        <v>288</v>
      </c>
      <c r="B77" s="4">
        <v>288</v>
      </c>
      <c r="C77" s="4" t="s">
        <v>1339</v>
      </c>
      <c r="D77" s="4" t="s">
        <v>1340</v>
      </c>
      <c r="E77" s="4" t="s">
        <v>332</v>
      </c>
      <c r="F77" s="4" t="s">
        <v>1840</v>
      </c>
      <c r="G77" s="4" t="s">
        <v>1841</v>
      </c>
      <c r="H77" s="4" t="s">
        <v>339</v>
      </c>
      <c r="I77" s="4" t="s">
        <v>950</v>
      </c>
      <c r="J77" s="4" t="s">
        <v>124</v>
      </c>
      <c r="K77" s="4" t="s">
        <v>30</v>
      </c>
      <c r="L77" s="2" t="s">
        <v>31</v>
      </c>
      <c r="M77" s="2" t="s">
        <v>364</v>
      </c>
      <c r="N77" s="4" t="s">
        <v>563</v>
      </c>
      <c r="O77" s="4" t="s">
        <v>159</v>
      </c>
      <c r="P77" s="4" t="s">
        <v>34</v>
      </c>
      <c r="Q77" s="156">
        <v>15184</v>
      </c>
      <c r="R77" s="171">
        <v>3.6469999999999998</v>
      </c>
      <c r="S77" s="173">
        <v>800</v>
      </c>
      <c r="U77" s="156">
        <v>443.00799999999998</v>
      </c>
      <c r="V77" s="170">
        <v>2.52E-4</v>
      </c>
      <c r="W77" s="170">
        <v>1.1206446275025699E-3</v>
      </c>
      <c r="X77" s="170">
        <v>1.8258223191901099E-4</v>
      </c>
    </row>
    <row r="78" spans="1:24">
      <c r="A78" s="4">
        <v>288</v>
      </c>
      <c r="B78" s="4">
        <v>288</v>
      </c>
      <c r="C78" s="4" t="s">
        <v>1842</v>
      </c>
      <c r="D78" s="4" t="s">
        <v>1843</v>
      </c>
      <c r="E78" s="4" t="s">
        <v>332</v>
      </c>
      <c r="F78" s="4" t="s">
        <v>1842</v>
      </c>
      <c r="G78" s="4" t="s">
        <v>1844</v>
      </c>
      <c r="H78" s="4" t="s">
        <v>339</v>
      </c>
      <c r="I78" s="4" t="s">
        <v>950</v>
      </c>
      <c r="J78" s="4" t="s">
        <v>124</v>
      </c>
      <c r="K78" s="4" t="s">
        <v>125</v>
      </c>
      <c r="L78" s="2" t="s">
        <v>345</v>
      </c>
      <c r="M78" s="2" t="s">
        <v>364</v>
      </c>
      <c r="N78" s="4" t="s">
        <v>529</v>
      </c>
      <c r="O78" s="4" t="s">
        <v>159</v>
      </c>
      <c r="P78" s="4" t="s">
        <v>34</v>
      </c>
      <c r="Q78" s="156">
        <v>1700</v>
      </c>
      <c r="R78" s="171">
        <v>3.6469999999999998</v>
      </c>
      <c r="S78" s="173">
        <v>40384</v>
      </c>
      <c r="U78" s="156">
        <v>2503.768</v>
      </c>
      <c r="V78" s="170">
        <v>9.9999999999999995E-7</v>
      </c>
      <c r="W78" s="170">
        <v>6.3335905791465303E-3</v>
      </c>
      <c r="X78" s="170">
        <v>1.03190706100908E-3</v>
      </c>
    </row>
    <row r="79" spans="1:24">
      <c r="A79" s="4">
        <v>288</v>
      </c>
      <c r="B79" s="4">
        <v>288</v>
      </c>
      <c r="C79" s="4" t="s">
        <v>1845</v>
      </c>
      <c r="D79" s="4" t="s">
        <v>1846</v>
      </c>
      <c r="E79" s="4" t="s">
        <v>332</v>
      </c>
      <c r="F79" s="4" t="s">
        <v>1847</v>
      </c>
      <c r="G79" s="4" t="s">
        <v>1848</v>
      </c>
      <c r="H79" s="4" t="s">
        <v>339</v>
      </c>
      <c r="I79" s="4" t="s">
        <v>950</v>
      </c>
      <c r="J79" s="4" t="s">
        <v>124</v>
      </c>
      <c r="K79" s="4" t="s">
        <v>125</v>
      </c>
      <c r="L79" s="2" t="s">
        <v>345</v>
      </c>
      <c r="M79" s="2" t="s">
        <v>362</v>
      </c>
      <c r="N79" s="4" t="s">
        <v>1821</v>
      </c>
      <c r="O79" s="4" t="s">
        <v>159</v>
      </c>
      <c r="P79" s="4" t="s">
        <v>34</v>
      </c>
      <c r="Q79" s="156">
        <v>4119</v>
      </c>
      <c r="R79" s="171">
        <v>3.6469999999999998</v>
      </c>
      <c r="S79" s="173">
        <v>31604</v>
      </c>
      <c r="U79" s="156">
        <v>4747.5510000000004</v>
      </c>
      <c r="V79" s="170">
        <v>3.0000000000000001E-6</v>
      </c>
      <c r="W79" s="170">
        <v>1.20095179724108E-2</v>
      </c>
      <c r="X79" s="170">
        <v>1.9566636397132099E-3</v>
      </c>
    </row>
    <row r="80" spans="1:24">
      <c r="A80" s="4">
        <v>288</v>
      </c>
      <c r="B80" s="4">
        <v>288</v>
      </c>
      <c r="C80" s="4" t="s">
        <v>1849</v>
      </c>
      <c r="D80" s="4" t="s">
        <v>1850</v>
      </c>
      <c r="E80" s="4" t="s">
        <v>332</v>
      </c>
      <c r="F80" s="4" t="s">
        <v>1851</v>
      </c>
      <c r="G80" s="4" t="s">
        <v>1852</v>
      </c>
      <c r="H80" s="4" t="s">
        <v>339</v>
      </c>
      <c r="I80" s="4" t="s">
        <v>950</v>
      </c>
      <c r="J80" s="4" t="s">
        <v>124</v>
      </c>
      <c r="K80" s="4" t="s">
        <v>125</v>
      </c>
      <c r="L80" s="2" t="s">
        <v>345</v>
      </c>
      <c r="M80" s="2" t="s">
        <v>362</v>
      </c>
      <c r="N80" s="4" t="s">
        <v>1806</v>
      </c>
      <c r="O80" s="4" t="s">
        <v>159</v>
      </c>
      <c r="P80" s="4" t="s">
        <v>34</v>
      </c>
      <c r="Q80" s="156">
        <v>9000</v>
      </c>
      <c r="R80" s="171">
        <v>3.6469999999999998</v>
      </c>
      <c r="S80" s="173">
        <v>9035</v>
      </c>
      <c r="T80" s="155">
        <v>1.401</v>
      </c>
      <c r="U80" s="156">
        <v>2970.6660000000002</v>
      </c>
      <c r="V80" s="170">
        <v>9.9999999999999995E-7</v>
      </c>
      <c r="W80" s="170">
        <v>7.5146682015739697E-3</v>
      </c>
      <c r="X80" s="170">
        <v>1.22433540366127E-3</v>
      </c>
    </row>
    <row r="81" spans="1:24">
      <c r="A81" s="4">
        <v>288</v>
      </c>
      <c r="B81" s="4">
        <v>288</v>
      </c>
      <c r="C81" s="4" t="s">
        <v>1853</v>
      </c>
      <c r="D81" s="4" t="s">
        <v>1854</v>
      </c>
      <c r="E81" s="4" t="s">
        <v>332</v>
      </c>
      <c r="F81" s="4" t="s">
        <v>1855</v>
      </c>
      <c r="G81" s="4" t="s">
        <v>1856</v>
      </c>
      <c r="H81" s="4" t="s">
        <v>339</v>
      </c>
      <c r="I81" s="4" t="s">
        <v>950</v>
      </c>
      <c r="J81" s="4" t="s">
        <v>124</v>
      </c>
      <c r="K81" s="4" t="s">
        <v>125</v>
      </c>
      <c r="L81" s="2" t="s">
        <v>345</v>
      </c>
      <c r="M81" s="2" t="s">
        <v>364</v>
      </c>
      <c r="N81" s="4" t="s">
        <v>561</v>
      </c>
      <c r="O81" s="4" t="s">
        <v>159</v>
      </c>
      <c r="P81" s="4" t="s">
        <v>34</v>
      </c>
      <c r="Q81" s="156">
        <v>876</v>
      </c>
      <c r="R81" s="171">
        <v>3.6469999999999998</v>
      </c>
      <c r="S81" s="173">
        <v>44468</v>
      </c>
      <c r="U81" s="156">
        <v>1420.6510000000001</v>
      </c>
      <c r="V81" s="170">
        <v>1.9999999999999999E-6</v>
      </c>
      <c r="W81" s="170">
        <v>3.5937133626767598E-3</v>
      </c>
      <c r="X81" s="170">
        <v>5.8550961699335897E-4</v>
      </c>
    </row>
    <row r="82" spans="1:24">
      <c r="A82" s="4">
        <v>288</v>
      </c>
      <c r="B82" s="4">
        <v>288</v>
      </c>
      <c r="C82" s="4" t="s">
        <v>1787</v>
      </c>
      <c r="D82" s="4" t="s">
        <v>1788</v>
      </c>
      <c r="E82" s="4" t="s">
        <v>332</v>
      </c>
      <c r="F82" s="4" t="s">
        <v>1789</v>
      </c>
      <c r="G82" s="4" t="s">
        <v>1790</v>
      </c>
      <c r="H82" s="4" t="s">
        <v>339</v>
      </c>
      <c r="I82" s="4" t="s">
        <v>950</v>
      </c>
      <c r="J82" s="4" t="s">
        <v>124</v>
      </c>
      <c r="K82" s="4" t="s">
        <v>125</v>
      </c>
      <c r="L82" s="2" t="s">
        <v>345</v>
      </c>
      <c r="M82" s="2" t="s">
        <v>364</v>
      </c>
      <c r="N82" s="4" t="s">
        <v>532</v>
      </c>
      <c r="O82" s="4" t="s">
        <v>159</v>
      </c>
      <c r="P82" s="4" t="s">
        <v>34</v>
      </c>
      <c r="Q82" s="156">
        <v>5166</v>
      </c>
      <c r="R82" s="171">
        <v>3.6469999999999998</v>
      </c>
      <c r="S82" s="173">
        <v>21939</v>
      </c>
      <c r="U82" s="156">
        <v>4133.3959999999997</v>
      </c>
      <c r="V82" s="170">
        <v>0</v>
      </c>
      <c r="W82" s="170">
        <v>1.0455937083939999E-2</v>
      </c>
      <c r="X82" s="170">
        <v>1.70354480157104E-3</v>
      </c>
    </row>
    <row r="83" spans="1:24">
      <c r="A83" s="4">
        <v>288</v>
      </c>
      <c r="B83" s="4">
        <v>288</v>
      </c>
      <c r="C83" s="4" t="s">
        <v>1857</v>
      </c>
      <c r="D83" s="4" t="s">
        <v>1858</v>
      </c>
      <c r="E83" s="4" t="s">
        <v>332</v>
      </c>
      <c r="F83" s="4" t="s">
        <v>1859</v>
      </c>
      <c r="G83" s="4" t="s">
        <v>1860</v>
      </c>
      <c r="H83" s="4" t="s">
        <v>339</v>
      </c>
      <c r="I83" s="4" t="s">
        <v>950</v>
      </c>
      <c r="J83" s="4" t="s">
        <v>124</v>
      </c>
      <c r="K83" s="4" t="s">
        <v>125</v>
      </c>
      <c r="L83" s="2" t="s">
        <v>345</v>
      </c>
      <c r="M83" s="2" t="s">
        <v>364</v>
      </c>
      <c r="N83" s="4" t="s">
        <v>563</v>
      </c>
      <c r="O83" s="4" t="s">
        <v>159</v>
      </c>
      <c r="P83" s="4" t="s">
        <v>34</v>
      </c>
      <c r="Q83" s="156">
        <v>4341</v>
      </c>
      <c r="R83" s="171">
        <v>3.6469999999999998</v>
      </c>
      <c r="S83" s="173">
        <v>25042</v>
      </c>
      <c r="U83" s="156">
        <v>3964.556</v>
      </c>
      <c r="V83" s="170">
        <v>0</v>
      </c>
      <c r="W83" s="170">
        <v>1.0028835976150299E-2</v>
      </c>
      <c r="X83" s="170">
        <v>1.63395889395899E-3</v>
      </c>
    </row>
    <row r="84" spans="1:24">
      <c r="A84" s="4">
        <v>288</v>
      </c>
      <c r="B84" s="4">
        <v>288</v>
      </c>
      <c r="C84" s="4" t="s">
        <v>1861</v>
      </c>
      <c r="D84" s="4" t="s">
        <v>1862</v>
      </c>
      <c r="E84" s="4" t="s">
        <v>332</v>
      </c>
      <c r="F84" s="4" t="s">
        <v>1863</v>
      </c>
      <c r="G84" s="4" t="s">
        <v>1864</v>
      </c>
      <c r="H84" s="4" t="s">
        <v>339</v>
      </c>
      <c r="I84" s="4" t="s">
        <v>950</v>
      </c>
      <c r="J84" s="4" t="s">
        <v>124</v>
      </c>
      <c r="K84" s="4" t="s">
        <v>125</v>
      </c>
      <c r="L84" s="2" t="s">
        <v>345</v>
      </c>
      <c r="M84" s="2" t="s">
        <v>31</v>
      </c>
      <c r="N84" s="4" t="s">
        <v>1865</v>
      </c>
      <c r="O84" s="4" t="s">
        <v>159</v>
      </c>
      <c r="P84" s="4" t="s">
        <v>34</v>
      </c>
      <c r="Q84" s="156">
        <v>1520</v>
      </c>
      <c r="R84" s="171">
        <v>3.6469999999999998</v>
      </c>
      <c r="S84" s="173">
        <v>16263</v>
      </c>
      <c r="U84" s="156">
        <v>901.53</v>
      </c>
      <c r="V84" s="170">
        <v>1.9999999999999999E-6</v>
      </c>
      <c r="W84" s="170">
        <v>2.2805310060880699E-3</v>
      </c>
      <c r="X84" s="170">
        <v>3.71557968363268E-4</v>
      </c>
    </row>
    <row r="85" spans="1:24">
      <c r="A85" s="4">
        <v>288</v>
      </c>
      <c r="B85" s="4">
        <v>288</v>
      </c>
      <c r="C85" s="4" t="s">
        <v>1791</v>
      </c>
      <c r="D85" s="4" t="s">
        <v>1792</v>
      </c>
      <c r="E85" s="4" t="s">
        <v>332</v>
      </c>
      <c r="F85" s="4" t="s">
        <v>1793</v>
      </c>
      <c r="G85" s="4" t="s">
        <v>1794</v>
      </c>
      <c r="H85" s="4" t="s">
        <v>339</v>
      </c>
      <c r="I85" s="4" t="s">
        <v>950</v>
      </c>
      <c r="J85" s="4" t="s">
        <v>124</v>
      </c>
      <c r="K85" s="4" t="s">
        <v>125</v>
      </c>
      <c r="L85" s="2" t="s">
        <v>345</v>
      </c>
      <c r="M85" s="2" t="s">
        <v>364</v>
      </c>
      <c r="N85" s="4" t="s">
        <v>565</v>
      </c>
      <c r="O85" s="4" t="s">
        <v>159</v>
      </c>
      <c r="P85" s="4" t="s">
        <v>34</v>
      </c>
      <c r="Q85" s="156">
        <v>467</v>
      </c>
      <c r="R85" s="171">
        <v>3.6469999999999998</v>
      </c>
      <c r="S85" s="173">
        <v>69308</v>
      </c>
      <c r="U85" s="156">
        <v>1180.4190000000001</v>
      </c>
      <c r="V85" s="170">
        <v>9.9999999999999995E-7</v>
      </c>
      <c r="W85" s="170">
        <v>2.9860149559286799E-3</v>
      </c>
      <c r="X85" s="170">
        <v>4.8649970009850699E-4</v>
      </c>
    </row>
    <row r="86" spans="1:24">
      <c r="A86" s="4">
        <v>288</v>
      </c>
      <c r="B86" s="4">
        <v>288</v>
      </c>
      <c r="C86" s="4" t="s">
        <v>1866</v>
      </c>
      <c r="D86" s="4" t="s">
        <v>1867</v>
      </c>
      <c r="E86" s="4" t="s">
        <v>332</v>
      </c>
      <c r="F86" s="4" t="s">
        <v>1868</v>
      </c>
      <c r="G86" s="4" t="s">
        <v>1869</v>
      </c>
      <c r="H86" s="4" t="s">
        <v>339</v>
      </c>
      <c r="I86" s="4" t="s">
        <v>950</v>
      </c>
      <c r="J86" s="4" t="s">
        <v>124</v>
      </c>
      <c r="K86" s="4" t="s">
        <v>125</v>
      </c>
      <c r="L86" s="2" t="s">
        <v>345</v>
      </c>
      <c r="M86" s="2" t="s">
        <v>364</v>
      </c>
      <c r="N86" s="4" t="s">
        <v>1821</v>
      </c>
      <c r="O86" s="4" t="s">
        <v>159</v>
      </c>
      <c r="P86" s="4" t="s">
        <v>34</v>
      </c>
      <c r="Q86" s="156">
        <v>2271</v>
      </c>
      <c r="R86" s="171">
        <v>3.6469999999999998</v>
      </c>
      <c r="S86" s="173">
        <v>45328</v>
      </c>
      <c r="U86" s="156">
        <v>3754.2179999999998</v>
      </c>
      <c r="V86" s="170">
        <v>1.9999999999999999E-6</v>
      </c>
      <c r="W86" s="170">
        <v>9.4967591249766805E-3</v>
      </c>
      <c r="X86" s="170">
        <v>1.5472697003863401E-3</v>
      </c>
    </row>
    <row r="87" spans="1:24">
      <c r="A87" s="4">
        <v>288</v>
      </c>
      <c r="B87" s="4">
        <v>288</v>
      </c>
      <c r="C87" s="4" t="s">
        <v>1798</v>
      </c>
      <c r="D87" s="4" t="s">
        <v>1799</v>
      </c>
      <c r="E87" s="4" t="s">
        <v>332</v>
      </c>
      <c r="F87" s="4" t="s">
        <v>1800</v>
      </c>
      <c r="G87" s="4" t="s">
        <v>1801</v>
      </c>
      <c r="H87" s="4" t="s">
        <v>339</v>
      </c>
      <c r="I87" s="4" t="s">
        <v>950</v>
      </c>
      <c r="J87" s="4" t="s">
        <v>124</v>
      </c>
      <c r="K87" s="4" t="s">
        <v>125</v>
      </c>
      <c r="L87" s="2" t="s">
        <v>345</v>
      </c>
      <c r="M87" s="2" t="s">
        <v>364</v>
      </c>
      <c r="N87" s="4" t="s">
        <v>565</v>
      </c>
      <c r="O87" s="4" t="s">
        <v>159</v>
      </c>
      <c r="P87" s="4" t="s">
        <v>34</v>
      </c>
      <c r="Q87" s="156">
        <v>1960</v>
      </c>
      <c r="R87" s="171">
        <v>3.6469999999999998</v>
      </c>
      <c r="S87" s="173">
        <v>23184</v>
      </c>
      <c r="U87" s="156">
        <v>1657.22</v>
      </c>
      <c r="V87" s="170">
        <v>3.9999999999999998E-6</v>
      </c>
      <c r="W87" s="170">
        <v>4.1921437933250903E-3</v>
      </c>
      <c r="X87" s="170">
        <v>6.8300953890841403E-4</v>
      </c>
    </row>
    <row r="88" spans="1:24">
      <c r="A88" s="4">
        <v>288</v>
      </c>
      <c r="B88" s="4">
        <v>288</v>
      </c>
      <c r="C88" s="4" t="s">
        <v>1803</v>
      </c>
      <c r="D88" s="4" t="s">
        <v>1804</v>
      </c>
      <c r="E88" s="4" t="s">
        <v>332</v>
      </c>
      <c r="F88" s="4" t="s">
        <v>1803</v>
      </c>
      <c r="G88" s="4" t="s">
        <v>1805</v>
      </c>
      <c r="H88" s="4" t="s">
        <v>339</v>
      </c>
      <c r="I88" s="4" t="s">
        <v>950</v>
      </c>
      <c r="J88" s="4" t="s">
        <v>124</v>
      </c>
      <c r="K88" s="4" t="s">
        <v>316</v>
      </c>
      <c r="L88" s="2" t="s">
        <v>345</v>
      </c>
      <c r="M88" s="2" t="s">
        <v>364</v>
      </c>
      <c r="N88" s="4" t="s">
        <v>1806</v>
      </c>
      <c r="O88" s="4" t="s">
        <v>159</v>
      </c>
      <c r="P88" s="4" t="s">
        <v>34</v>
      </c>
      <c r="Q88" s="156">
        <v>365</v>
      </c>
      <c r="R88" s="171">
        <v>3.6469999999999998</v>
      </c>
      <c r="S88" s="173">
        <v>91627</v>
      </c>
      <c r="U88" s="156">
        <v>1219.6969999999999</v>
      </c>
      <c r="V88" s="170">
        <v>9.9999999999999995E-7</v>
      </c>
      <c r="W88" s="170">
        <v>3.0853757597409399E-3</v>
      </c>
      <c r="X88" s="170">
        <v>5.0268816598687501E-4</v>
      </c>
    </row>
    <row r="89" spans="1:24">
      <c r="A89" s="4">
        <v>288</v>
      </c>
      <c r="B89" s="4">
        <v>288</v>
      </c>
      <c r="C89" s="4" t="s">
        <v>1870</v>
      </c>
      <c r="D89" s="4" t="s">
        <v>1871</v>
      </c>
      <c r="E89" s="4" t="s">
        <v>332</v>
      </c>
      <c r="F89" s="4" t="s">
        <v>1872</v>
      </c>
      <c r="G89" s="4" t="s">
        <v>1873</v>
      </c>
      <c r="H89" s="4" t="s">
        <v>339</v>
      </c>
      <c r="I89" s="4" t="s">
        <v>950</v>
      </c>
      <c r="J89" s="4" t="s">
        <v>124</v>
      </c>
      <c r="K89" s="4" t="s">
        <v>125</v>
      </c>
      <c r="L89" s="2" t="s">
        <v>345</v>
      </c>
      <c r="M89" s="2" t="s">
        <v>362</v>
      </c>
      <c r="N89" s="4" t="s">
        <v>526</v>
      </c>
      <c r="O89" s="4" t="s">
        <v>159</v>
      </c>
      <c r="P89" s="4" t="s">
        <v>34</v>
      </c>
      <c r="Q89" s="156">
        <v>6057</v>
      </c>
      <c r="R89" s="171">
        <v>3.6469999999999998</v>
      </c>
      <c r="S89" s="173">
        <v>6050</v>
      </c>
      <c r="U89" s="156">
        <v>1336.4380000000001</v>
      </c>
      <c r="V89" s="170">
        <v>9.0000000000000002E-6</v>
      </c>
      <c r="W89" s="170">
        <v>3.3806847897571201E-3</v>
      </c>
      <c r="X89" s="170">
        <v>5.5080170749945395E-4</v>
      </c>
    </row>
    <row r="90" spans="1:24">
      <c r="A90" s="4">
        <v>288</v>
      </c>
      <c r="B90" s="4">
        <v>288</v>
      </c>
      <c r="C90" s="4" t="s">
        <v>1874</v>
      </c>
      <c r="D90" s="4" t="s">
        <v>1875</v>
      </c>
      <c r="E90" s="4" t="s">
        <v>332</v>
      </c>
      <c r="F90" s="4" t="s">
        <v>1876</v>
      </c>
      <c r="G90" s="4" t="s">
        <v>1877</v>
      </c>
      <c r="H90" s="4" t="s">
        <v>339</v>
      </c>
      <c r="I90" s="4" t="s">
        <v>950</v>
      </c>
      <c r="J90" s="4" t="s">
        <v>124</v>
      </c>
      <c r="K90" s="4" t="s">
        <v>125</v>
      </c>
      <c r="L90" s="2" t="s">
        <v>345</v>
      </c>
      <c r="M90" s="2" t="s">
        <v>31</v>
      </c>
      <c r="N90" s="4" t="s">
        <v>544</v>
      </c>
      <c r="O90" s="4" t="s">
        <v>159</v>
      </c>
      <c r="P90" s="4" t="s">
        <v>34</v>
      </c>
      <c r="Q90" s="156">
        <v>1960</v>
      </c>
      <c r="R90" s="171">
        <v>3.6469999999999998</v>
      </c>
      <c r="S90" s="173">
        <v>13982</v>
      </c>
      <c r="U90" s="156">
        <v>999.45</v>
      </c>
      <c r="V90" s="170">
        <v>0</v>
      </c>
      <c r="W90" s="170">
        <v>2.5282330278757498E-3</v>
      </c>
      <c r="X90" s="170">
        <v>4.1191508682787399E-4</v>
      </c>
    </row>
    <row r="91" spans="1:24">
      <c r="A91" s="4">
        <v>288</v>
      </c>
      <c r="B91" s="4">
        <v>288</v>
      </c>
      <c r="C91" s="4" t="s">
        <v>1878</v>
      </c>
      <c r="D91" s="4" t="s">
        <v>1879</v>
      </c>
      <c r="E91" s="4" t="s">
        <v>332</v>
      </c>
      <c r="F91" s="4" t="s">
        <v>1878</v>
      </c>
      <c r="G91" s="4" t="s">
        <v>1880</v>
      </c>
      <c r="H91" s="4" t="s">
        <v>339</v>
      </c>
      <c r="I91" s="4" t="s">
        <v>950</v>
      </c>
      <c r="J91" s="4" t="s">
        <v>124</v>
      </c>
      <c r="K91" s="4" t="s">
        <v>125</v>
      </c>
      <c r="L91" s="2" t="s">
        <v>345</v>
      </c>
      <c r="M91" s="2" t="s">
        <v>362</v>
      </c>
      <c r="N91" s="4" t="s">
        <v>503</v>
      </c>
      <c r="O91" s="4" t="s">
        <v>159</v>
      </c>
      <c r="P91" s="4" t="s">
        <v>34</v>
      </c>
      <c r="Q91" s="156">
        <v>2747</v>
      </c>
      <c r="R91" s="171">
        <v>3.6469999999999998</v>
      </c>
      <c r="S91" s="173">
        <v>10757</v>
      </c>
      <c r="U91" s="156">
        <v>1077.6690000000001</v>
      </c>
      <c r="V91" s="170">
        <v>0</v>
      </c>
      <c r="W91" s="170">
        <v>2.72609859777151E-3</v>
      </c>
      <c r="X91" s="170">
        <v>4.44152547736428E-4</v>
      </c>
    </row>
    <row r="92" spans="1:24">
      <c r="A92" s="4">
        <v>288</v>
      </c>
      <c r="B92" s="4">
        <v>288</v>
      </c>
      <c r="C92" s="4" t="s">
        <v>1881</v>
      </c>
      <c r="D92" s="4" t="s">
        <v>1882</v>
      </c>
      <c r="E92" s="4" t="s">
        <v>332</v>
      </c>
      <c r="F92" s="4" t="s">
        <v>1883</v>
      </c>
      <c r="G92" s="4" t="s">
        <v>1884</v>
      </c>
      <c r="H92" s="4" t="s">
        <v>339</v>
      </c>
      <c r="I92" s="4" t="s">
        <v>950</v>
      </c>
      <c r="J92" s="4" t="s">
        <v>124</v>
      </c>
      <c r="K92" s="4" t="s">
        <v>125</v>
      </c>
      <c r="L92" s="2" t="s">
        <v>345</v>
      </c>
      <c r="M92" s="2" t="s">
        <v>364</v>
      </c>
      <c r="N92" s="4" t="s">
        <v>566</v>
      </c>
      <c r="O92" s="4" t="s">
        <v>159</v>
      </c>
      <c r="P92" s="4" t="s">
        <v>34</v>
      </c>
      <c r="Q92" s="156">
        <v>2797</v>
      </c>
      <c r="R92" s="171">
        <v>3.6469999999999998</v>
      </c>
      <c r="S92" s="173">
        <v>58551</v>
      </c>
      <c r="U92" s="156">
        <v>5972.5879999999997</v>
      </c>
      <c r="V92" s="170">
        <v>9.9999999999999995E-7</v>
      </c>
      <c r="W92" s="170">
        <v>1.5108401396780701E-2</v>
      </c>
      <c r="X92" s="170">
        <v>2.4615525564960399E-3</v>
      </c>
    </row>
    <row r="93" spans="1:24">
      <c r="A93" s="4">
        <v>288</v>
      </c>
      <c r="B93" s="4">
        <v>288</v>
      </c>
      <c r="C93" s="4" t="s">
        <v>1885</v>
      </c>
      <c r="D93" s="4" t="s">
        <v>1886</v>
      </c>
      <c r="E93" s="4" t="s">
        <v>332</v>
      </c>
      <c r="F93" s="4" t="s">
        <v>1887</v>
      </c>
      <c r="G93" s="4" t="s">
        <v>1888</v>
      </c>
      <c r="H93" s="4" t="s">
        <v>339</v>
      </c>
      <c r="I93" s="4" t="s">
        <v>950</v>
      </c>
      <c r="J93" s="4" t="s">
        <v>124</v>
      </c>
      <c r="K93" s="4" t="s">
        <v>125</v>
      </c>
      <c r="L93" s="2" t="s">
        <v>345</v>
      </c>
      <c r="M93" s="2" t="s">
        <v>362</v>
      </c>
      <c r="N93" s="4" t="s">
        <v>506</v>
      </c>
      <c r="O93" s="4" t="s">
        <v>159</v>
      </c>
      <c r="P93" s="4" t="s">
        <v>34</v>
      </c>
      <c r="Q93" s="156">
        <v>5836</v>
      </c>
      <c r="R93" s="171">
        <v>3.6469999999999998</v>
      </c>
      <c r="S93" s="173">
        <v>3808</v>
      </c>
      <c r="U93" s="156">
        <v>810.49099999999999</v>
      </c>
      <c r="V93" s="170">
        <v>3.9999999999999998E-6</v>
      </c>
      <c r="W93" s="170">
        <v>2.0502364686156402E-3</v>
      </c>
      <c r="X93" s="170">
        <v>3.3403698301381001E-4</v>
      </c>
    </row>
    <row r="94" spans="1:24">
      <c r="A94" s="4">
        <v>288</v>
      </c>
      <c r="B94" s="4">
        <v>288</v>
      </c>
      <c r="C94" s="4" t="s">
        <v>1889</v>
      </c>
      <c r="D94" s="4" t="s">
        <v>1890</v>
      </c>
      <c r="E94" s="4" t="s">
        <v>332</v>
      </c>
      <c r="F94" s="4" t="s">
        <v>1891</v>
      </c>
      <c r="G94" s="4" t="s">
        <v>1892</v>
      </c>
      <c r="H94" s="4" t="s">
        <v>339</v>
      </c>
      <c r="I94" s="4" t="s">
        <v>950</v>
      </c>
      <c r="J94" s="4" t="s">
        <v>124</v>
      </c>
      <c r="K94" s="4" t="s">
        <v>125</v>
      </c>
      <c r="L94" s="2" t="s">
        <v>345</v>
      </c>
      <c r="M94" s="2" t="s">
        <v>362</v>
      </c>
      <c r="N94" s="4" t="s">
        <v>1806</v>
      </c>
      <c r="O94" s="4" t="s">
        <v>159</v>
      </c>
      <c r="P94" s="4" t="s">
        <v>34</v>
      </c>
      <c r="Q94" s="156">
        <v>2064</v>
      </c>
      <c r="R94" s="171">
        <v>3.6469999999999998</v>
      </c>
      <c r="S94" s="173">
        <v>16679</v>
      </c>
      <c r="T94" s="155">
        <v>0.433</v>
      </c>
      <c r="U94" s="156">
        <v>1257.077</v>
      </c>
      <c r="V94" s="170">
        <v>9.9999999999999995E-7</v>
      </c>
      <c r="W94" s="170">
        <v>3.1799324674991001E-3</v>
      </c>
      <c r="X94" s="170">
        <v>5.1809391935569602E-4</v>
      </c>
    </row>
    <row r="95" spans="1:24">
      <c r="A95" s="4">
        <v>288</v>
      </c>
      <c r="B95" s="4">
        <v>288</v>
      </c>
      <c r="C95" s="4" t="s">
        <v>1807</v>
      </c>
      <c r="D95" s="4" t="s">
        <v>1808</v>
      </c>
      <c r="E95" s="4" t="s">
        <v>332</v>
      </c>
      <c r="F95" s="4" t="s">
        <v>1809</v>
      </c>
      <c r="G95" s="4" t="s">
        <v>1810</v>
      </c>
      <c r="H95" s="4" t="s">
        <v>339</v>
      </c>
      <c r="I95" s="4" t="s">
        <v>950</v>
      </c>
      <c r="J95" s="4" t="s">
        <v>124</v>
      </c>
      <c r="K95" s="4" t="s">
        <v>125</v>
      </c>
      <c r="L95" s="2" t="s">
        <v>345</v>
      </c>
      <c r="M95" s="2" t="s">
        <v>364</v>
      </c>
      <c r="N95" s="4" t="s">
        <v>566</v>
      </c>
      <c r="O95" s="4" t="s">
        <v>159</v>
      </c>
      <c r="P95" s="4" t="s">
        <v>34</v>
      </c>
      <c r="Q95" s="156">
        <v>6724</v>
      </c>
      <c r="R95" s="171">
        <v>3.6469999999999998</v>
      </c>
      <c r="S95" s="173">
        <v>18930</v>
      </c>
      <c r="U95" s="156">
        <v>4642.0959999999995</v>
      </c>
      <c r="V95" s="170">
        <v>2.1999999999999999E-5</v>
      </c>
      <c r="W95" s="170">
        <v>1.1742756356851399E-2</v>
      </c>
      <c r="X95" s="170">
        <v>1.9132012164223399E-3</v>
      </c>
    </row>
    <row r="96" spans="1:24">
      <c r="A96" s="4">
        <v>288</v>
      </c>
      <c r="B96" s="4">
        <v>288</v>
      </c>
      <c r="C96" s="4" t="s">
        <v>1893</v>
      </c>
      <c r="D96" s="4" t="s">
        <v>1894</v>
      </c>
      <c r="E96" s="4" t="s">
        <v>332</v>
      </c>
      <c r="F96" s="4" t="s">
        <v>1895</v>
      </c>
      <c r="G96" s="4" t="s">
        <v>1896</v>
      </c>
      <c r="H96" s="4" t="s">
        <v>339</v>
      </c>
      <c r="I96" s="4" t="s">
        <v>950</v>
      </c>
      <c r="J96" s="4" t="s">
        <v>124</v>
      </c>
      <c r="K96" s="4" t="s">
        <v>292</v>
      </c>
      <c r="L96" s="2" t="s">
        <v>345</v>
      </c>
      <c r="M96" s="2" t="s">
        <v>412</v>
      </c>
      <c r="N96" s="4" t="s">
        <v>585</v>
      </c>
      <c r="O96" s="4" t="s">
        <v>159</v>
      </c>
      <c r="P96" s="4" t="s">
        <v>1203</v>
      </c>
      <c r="Q96" s="156">
        <v>4000000</v>
      </c>
      <c r="R96" s="171">
        <v>3.7964000000000002</v>
      </c>
      <c r="S96" s="173">
        <v>102</v>
      </c>
      <c r="U96" s="156">
        <v>15489.312</v>
      </c>
      <c r="V96" s="170">
        <v>6.5323000000000006E-2</v>
      </c>
      <c r="W96" s="170">
        <v>3.9182134928875602E-2</v>
      </c>
      <c r="X96" s="170">
        <v>6.38379149919185E-3</v>
      </c>
    </row>
    <row r="97" spans="1:24">
      <c r="A97" s="4">
        <v>288</v>
      </c>
      <c r="B97" s="4">
        <v>288</v>
      </c>
      <c r="C97" s="4" t="s">
        <v>1893</v>
      </c>
      <c r="D97" s="4" t="s">
        <v>1894</v>
      </c>
      <c r="E97" s="4" t="s">
        <v>332</v>
      </c>
      <c r="F97" s="4" t="s">
        <v>1897</v>
      </c>
      <c r="G97" s="4" t="s">
        <v>1898</v>
      </c>
      <c r="H97" s="4" t="s">
        <v>339</v>
      </c>
      <c r="I97" s="4" t="s">
        <v>950</v>
      </c>
      <c r="J97" s="4" t="s">
        <v>124</v>
      </c>
      <c r="K97" s="4" t="s">
        <v>292</v>
      </c>
      <c r="L97" s="2" t="s">
        <v>345</v>
      </c>
      <c r="M97" s="2" t="s">
        <v>31</v>
      </c>
      <c r="N97" s="4" t="s">
        <v>1899</v>
      </c>
      <c r="O97" s="4" t="s">
        <v>159</v>
      </c>
      <c r="P97" s="4" t="s">
        <v>1203</v>
      </c>
      <c r="Q97" s="156">
        <v>4000000</v>
      </c>
      <c r="R97" s="171">
        <v>3.7964000000000002</v>
      </c>
      <c r="S97" s="173">
        <v>0</v>
      </c>
      <c r="U97" s="156">
        <v>1.4999999999999999E-2</v>
      </c>
      <c r="V97" s="170">
        <v>0</v>
      </c>
      <c r="W97" s="170">
        <v>3.84138577734075E-8</v>
      </c>
      <c r="X97" s="170">
        <v>6.2586191168547506E-9</v>
      </c>
    </row>
    <row r="98" spans="1:24">
      <c r="A98" s="4">
        <v>288</v>
      </c>
      <c r="B98" s="4">
        <v>288</v>
      </c>
      <c r="C98" s="4" t="s">
        <v>1900</v>
      </c>
      <c r="D98" s="4" t="s">
        <v>1901</v>
      </c>
      <c r="E98" s="4" t="s">
        <v>332</v>
      </c>
      <c r="F98" s="4" t="s">
        <v>1902</v>
      </c>
      <c r="G98" s="4" t="s">
        <v>1903</v>
      </c>
      <c r="H98" s="4" t="s">
        <v>339</v>
      </c>
      <c r="I98" s="4" t="s">
        <v>950</v>
      </c>
      <c r="J98" s="4" t="s">
        <v>124</v>
      </c>
      <c r="K98" s="4" t="s">
        <v>125</v>
      </c>
      <c r="L98" s="2" t="s">
        <v>345</v>
      </c>
      <c r="M98" s="2" t="s">
        <v>31</v>
      </c>
      <c r="N98" s="4" t="s">
        <v>1904</v>
      </c>
      <c r="O98" s="4" t="s">
        <v>159</v>
      </c>
      <c r="P98" s="4" t="s">
        <v>34</v>
      </c>
      <c r="Q98" s="156">
        <v>1700</v>
      </c>
      <c r="R98" s="171">
        <v>3.6469999999999998</v>
      </c>
      <c r="S98" s="173">
        <v>69812.5</v>
      </c>
      <c r="U98" s="156">
        <v>4328.3050000000003</v>
      </c>
      <c r="V98" s="170">
        <v>0</v>
      </c>
      <c r="W98" s="170">
        <v>1.0948984555929801E-2</v>
      </c>
      <c r="X98" s="170">
        <v>1.7838750915386301E-3</v>
      </c>
    </row>
    <row r="99" spans="1:24">
      <c r="A99" s="4">
        <v>288</v>
      </c>
      <c r="B99" s="4">
        <v>288</v>
      </c>
      <c r="C99" s="4" t="s">
        <v>1905</v>
      </c>
      <c r="D99" s="4" t="s">
        <v>1906</v>
      </c>
      <c r="E99" s="4" t="s">
        <v>332</v>
      </c>
      <c r="F99" s="4" t="s">
        <v>1907</v>
      </c>
      <c r="G99" s="4" t="s">
        <v>1908</v>
      </c>
      <c r="H99" s="4" t="s">
        <v>339</v>
      </c>
      <c r="I99" s="4" t="s">
        <v>950</v>
      </c>
      <c r="J99" s="4" t="s">
        <v>124</v>
      </c>
      <c r="K99" s="4" t="s">
        <v>125</v>
      </c>
      <c r="L99" s="2" t="s">
        <v>345</v>
      </c>
      <c r="M99" s="2" t="s">
        <v>362</v>
      </c>
      <c r="N99" s="4" t="s">
        <v>553</v>
      </c>
      <c r="O99" s="4" t="s">
        <v>159</v>
      </c>
      <c r="P99" s="4" t="s">
        <v>34</v>
      </c>
      <c r="Q99" s="156">
        <v>1345</v>
      </c>
      <c r="R99" s="171">
        <v>3.6469999999999998</v>
      </c>
      <c r="S99" s="173">
        <v>23971</v>
      </c>
      <c r="U99" s="156">
        <v>1175.829</v>
      </c>
      <c r="V99" s="170">
        <v>0</v>
      </c>
      <c r="W99" s="170">
        <v>2.9744054458712599E-3</v>
      </c>
      <c r="X99" s="170">
        <v>4.84608208178812E-4</v>
      </c>
    </row>
    <row r="100" spans="1:24">
      <c r="A100" s="4">
        <v>288</v>
      </c>
      <c r="B100" s="4">
        <v>288</v>
      </c>
      <c r="C100" s="4" t="s">
        <v>1909</v>
      </c>
      <c r="D100" s="4" t="s">
        <v>1910</v>
      </c>
      <c r="E100" s="4" t="s">
        <v>332</v>
      </c>
      <c r="F100" s="4" t="s">
        <v>1911</v>
      </c>
      <c r="G100" s="4" t="s">
        <v>1912</v>
      </c>
      <c r="H100" s="4" t="s">
        <v>339</v>
      </c>
      <c r="I100" s="4" t="s">
        <v>950</v>
      </c>
      <c r="J100" s="4" t="s">
        <v>124</v>
      </c>
      <c r="K100" s="4" t="s">
        <v>316</v>
      </c>
      <c r="L100" s="2" t="s">
        <v>345</v>
      </c>
      <c r="M100" s="2" t="s">
        <v>31</v>
      </c>
      <c r="N100" s="4" t="s">
        <v>1913</v>
      </c>
      <c r="O100" s="4" t="s">
        <v>159</v>
      </c>
      <c r="P100" s="4" t="s">
        <v>34</v>
      </c>
      <c r="Q100" s="156">
        <v>610</v>
      </c>
      <c r="R100" s="171">
        <v>3.6469999999999998</v>
      </c>
      <c r="S100" s="173">
        <v>41867</v>
      </c>
      <c r="U100" s="156">
        <v>931.40300000000002</v>
      </c>
      <c r="V100" s="170">
        <v>9.9999999999999995E-7</v>
      </c>
      <c r="W100" s="170">
        <v>2.35609831549548E-3</v>
      </c>
      <c r="X100" s="170">
        <v>3.8386985357032603E-4</v>
      </c>
    </row>
    <row r="101" spans="1:24">
      <c r="A101" s="4">
        <v>288</v>
      </c>
      <c r="B101" s="4">
        <v>288</v>
      </c>
      <c r="C101" s="4" t="s">
        <v>1817</v>
      </c>
      <c r="D101" s="4" t="s">
        <v>1818</v>
      </c>
      <c r="E101" s="4" t="s">
        <v>332</v>
      </c>
      <c r="F101" s="4" t="s">
        <v>1819</v>
      </c>
      <c r="G101" s="4" t="s">
        <v>1820</v>
      </c>
      <c r="H101" s="4" t="s">
        <v>339</v>
      </c>
      <c r="I101" s="4" t="s">
        <v>950</v>
      </c>
      <c r="J101" s="4" t="s">
        <v>124</v>
      </c>
      <c r="K101" s="4" t="s">
        <v>125</v>
      </c>
      <c r="L101" s="2" t="s">
        <v>345</v>
      </c>
      <c r="M101" s="2" t="s">
        <v>362</v>
      </c>
      <c r="N101" s="4" t="s">
        <v>1821</v>
      </c>
      <c r="O101" s="4" t="s">
        <v>159</v>
      </c>
      <c r="P101" s="4" t="s">
        <v>34</v>
      </c>
      <c r="Q101" s="156">
        <v>1265</v>
      </c>
      <c r="R101" s="171">
        <v>3.6469999999999998</v>
      </c>
      <c r="S101" s="173">
        <v>52657</v>
      </c>
      <c r="U101" s="156">
        <v>2429.3069999999998</v>
      </c>
      <c r="V101" s="170">
        <v>9.9999999999999995E-7</v>
      </c>
      <c r="W101" s="170">
        <v>6.1452332183762398E-3</v>
      </c>
      <c r="X101" s="170">
        <v>1.00121873530456E-3</v>
      </c>
    </row>
    <row r="102" spans="1:24">
      <c r="A102" s="4">
        <v>288</v>
      </c>
      <c r="B102" s="4">
        <v>288</v>
      </c>
      <c r="C102" s="4" t="s">
        <v>1914</v>
      </c>
      <c r="D102" s="4" t="s">
        <v>1915</v>
      </c>
      <c r="E102" s="4" t="s">
        <v>332</v>
      </c>
      <c r="F102" s="4" t="s">
        <v>1914</v>
      </c>
      <c r="G102" s="4" t="s">
        <v>1916</v>
      </c>
      <c r="H102" s="4" t="s">
        <v>339</v>
      </c>
      <c r="I102" s="4" t="s">
        <v>950</v>
      </c>
      <c r="J102" s="4" t="s">
        <v>124</v>
      </c>
      <c r="K102" s="4" t="s">
        <v>125</v>
      </c>
      <c r="L102" s="2" t="s">
        <v>345</v>
      </c>
      <c r="M102" s="2" t="s">
        <v>362</v>
      </c>
      <c r="N102" s="4" t="s">
        <v>547</v>
      </c>
      <c r="O102" s="4" t="s">
        <v>159</v>
      </c>
      <c r="P102" s="4" t="s">
        <v>34</v>
      </c>
      <c r="Q102" s="156">
        <v>0</v>
      </c>
      <c r="R102" s="171">
        <v>3.6469999999999998</v>
      </c>
      <c r="S102" s="173">
        <v>0</v>
      </c>
      <c r="T102" s="155">
        <v>0.32700000000000001</v>
      </c>
      <c r="U102" s="156">
        <v>1.1919999999999999</v>
      </c>
      <c r="V102" s="170">
        <v>0</v>
      </c>
      <c r="W102" s="170">
        <v>3.0162983267327799E-6</v>
      </c>
      <c r="X102" s="170">
        <v>4.9143365087625395E-7</v>
      </c>
    </row>
    <row r="103" spans="1:24">
      <c r="A103" s="4">
        <v>288</v>
      </c>
      <c r="B103" s="4">
        <v>288</v>
      </c>
      <c r="C103" s="4" t="s">
        <v>1822</v>
      </c>
      <c r="D103" s="4" t="s">
        <v>1823</v>
      </c>
      <c r="E103" s="4" t="s">
        <v>332</v>
      </c>
      <c r="F103" s="4" t="s">
        <v>1824</v>
      </c>
      <c r="G103" s="4" t="s">
        <v>1825</v>
      </c>
      <c r="H103" s="4" t="s">
        <v>339</v>
      </c>
      <c r="I103" s="4" t="s">
        <v>950</v>
      </c>
      <c r="J103" s="4" t="s">
        <v>124</v>
      </c>
      <c r="K103" s="4" t="s">
        <v>125</v>
      </c>
      <c r="L103" s="2" t="s">
        <v>345</v>
      </c>
      <c r="M103" s="2" t="s">
        <v>364</v>
      </c>
      <c r="N103" s="4" t="s">
        <v>561</v>
      </c>
      <c r="O103" s="4" t="s">
        <v>159</v>
      </c>
      <c r="P103" s="4" t="s">
        <v>34</v>
      </c>
      <c r="Q103" s="156">
        <v>3596</v>
      </c>
      <c r="R103" s="171">
        <v>3.6469999999999998</v>
      </c>
      <c r="S103" s="173">
        <v>42150</v>
      </c>
      <c r="U103" s="156">
        <v>5527.8090000000002</v>
      </c>
      <c r="V103" s="170">
        <v>0</v>
      </c>
      <c r="W103" s="170">
        <v>1.3983278047043199E-2</v>
      </c>
      <c r="X103" s="170">
        <v>2.2782406239371302E-3</v>
      </c>
    </row>
    <row r="104" spans="1:24">
      <c r="A104" s="4">
        <v>288</v>
      </c>
      <c r="B104" s="4">
        <v>288</v>
      </c>
      <c r="C104" s="4" t="s">
        <v>1917</v>
      </c>
      <c r="D104" s="4" t="s">
        <v>1918</v>
      </c>
      <c r="E104" s="4" t="s">
        <v>332</v>
      </c>
      <c r="F104" s="4" t="s">
        <v>1917</v>
      </c>
      <c r="G104" s="4" t="s">
        <v>1919</v>
      </c>
      <c r="H104" s="4" t="s">
        <v>339</v>
      </c>
      <c r="I104" s="4" t="s">
        <v>950</v>
      </c>
      <c r="J104" s="4" t="s">
        <v>124</v>
      </c>
      <c r="K104" s="4" t="s">
        <v>125</v>
      </c>
      <c r="L104" s="2" t="s">
        <v>345</v>
      </c>
      <c r="M104" s="2" t="s">
        <v>362</v>
      </c>
      <c r="N104" s="4" t="s">
        <v>532</v>
      </c>
      <c r="O104" s="4" t="s">
        <v>159</v>
      </c>
      <c r="P104" s="4" t="s">
        <v>34</v>
      </c>
      <c r="Q104" s="156">
        <v>3000</v>
      </c>
      <c r="R104" s="171">
        <v>3.6469999999999998</v>
      </c>
      <c r="S104" s="173">
        <v>7567</v>
      </c>
      <c r="T104" s="155">
        <v>0.9</v>
      </c>
      <c r="U104" s="156">
        <v>831.18799999999999</v>
      </c>
      <c r="V104" s="170">
        <v>1.9999999999999999E-6</v>
      </c>
      <c r="W104" s="170">
        <v>2.10259250736064E-3</v>
      </c>
      <c r="X104" s="170">
        <v>3.4256714696935699E-4</v>
      </c>
    </row>
    <row r="105" spans="1:24">
      <c r="A105" s="4">
        <v>288</v>
      </c>
      <c r="B105" s="4">
        <v>288</v>
      </c>
      <c r="C105" s="4" t="s">
        <v>1828</v>
      </c>
      <c r="D105" s="4" t="s">
        <v>1829</v>
      </c>
      <c r="E105" s="4" t="s">
        <v>332</v>
      </c>
      <c r="F105" s="4" t="s">
        <v>1830</v>
      </c>
      <c r="G105" s="4" t="s">
        <v>1831</v>
      </c>
      <c r="H105" s="4" t="s">
        <v>339</v>
      </c>
      <c r="I105" s="4" t="s">
        <v>950</v>
      </c>
      <c r="J105" s="4" t="s">
        <v>124</v>
      </c>
      <c r="K105" s="4" t="s">
        <v>125</v>
      </c>
      <c r="L105" s="2" t="s">
        <v>345</v>
      </c>
      <c r="M105" s="2" t="s">
        <v>364</v>
      </c>
      <c r="N105" s="4" t="s">
        <v>565</v>
      </c>
      <c r="O105" s="4" t="s">
        <v>159</v>
      </c>
      <c r="P105" s="4" t="s">
        <v>34</v>
      </c>
      <c r="Q105" s="156">
        <v>12780</v>
      </c>
      <c r="R105" s="171">
        <v>3.6469999999999998</v>
      </c>
      <c r="S105" s="173">
        <v>13429</v>
      </c>
      <c r="U105" s="156">
        <v>6259.0770000000002</v>
      </c>
      <c r="V105" s="170">
        <v>9.9999999999999995E-7</v>
      </c>
      <c r="W105" s="170">
        <v>1.5833111092343598E-2</v>
      </c>
      <c r="X105" s="170">
        <v>2.5796266635429001E-3</v>
      </c>
    </row>
    <row r="106" spans="1:24">
      <c r="A106" s="4">
        <v>288</v>
      </c>
      <c r="B106" s="4">
        <v>288</v>
      </c>
      <c r="C106" s="4" t="s">
        <v>1920</v>
      </c>
      <c r="D106" s="4" t="s">
        <v>1921</v>
      </c>
      <c r="E106" s="4" t="s">
        <v>332</v>
      </c>
      <c r="F106" s="4" t="s">
        <v>1920</v>
      </c>
      <c r="G106" s="4" t="s">
        <v>1922</v>
      </c>
      <c r="H106" s="4" t="s">
        <v>339</v>
      </c>
      <c r="I106" s="4" t="s">
        <v>950</v>
      </c>
      <c r="J106" s="4" t="s">
        <v>124</v>
      </c>
      <c r="K106" s="4" t="s">
        <v>125</v>
      </c>
      <c r="L106" s="2" t="s">
        <v>345</v>
      </c>
      <c r="M106" s="2" t="s">
        <v>31</v>
      </c>
      <c r="N106" s="4" t="s">
        <v>1923</v>
      </c>
      <c r="O106" s="4" t="s">
        <v>159</v>
      </c>
      <c r="P106" s="4" t="s">
        <v>34</v>
      </c>
      <c r="Q106" s="156">
        <v>2260</v>
      </c>
      <c r="R106" s="171">
        <v>3.6469999999999998</v>
      </c>
      <c r="S106" s="173">
        <v>16664</v>
      </c>
      <c r="U106" s="156">
        <v>1373.4839999999999</v>
      </c>
      <c r="V106" s="170">
        <v>9.9999999999999995E-7</v>
      </c>
      <c r="W106" s="170">
        <v>3.4743968885264502E-3</v>
      </c>
      <c r="X106" s="170">
        <v>5.6606985203984199E-4</v>
      </c>
    </row>
    <row r="107" spans="1:24">
      <c r="A107" s="4">
        <v>288</v>
      </c>
      <c r="B107" s="4">
        <v>288</v>
      </c>
      <c r="C107" s="4" t="s">
        <v>1924</v>
      </c>
      <c r="D107" s="4" t="s">
        <v>1925</v>
      </c>
      <c r="E107" s="4" t="s">
        <v>332</v>
      </c>
      <c r="F107" s="4" t="s">
        <v>1926</v>
      </c>
      <c r="G107" s="4" t="s">
        <v>1927</v>
      </c>
      <c r="H107" s="4" t="s">
        <v>339</v>
      </c>
      <c r="I107" s="4" t="s">
        <v>950</v>
      </c>
      <c r="J107" s="4" t="s">
        <v>124</v>
      </c>
      <c r="K107" s="4" t="s">
        <v>125</v>
      </c>
      <c r="L107" s="2" t="s">
        <v>345</v>
      </c>
      <c r="M107" s="2" t="s">
        <v>364</v>
      </c>
      <c r="N107" s="4" t="s">
        <v>561</v>
      </c>
      <c r="O107" s="4" t="s">
        <v>159</v>
      </c>
      <c r="P107" s="4" t="s">
        <v>34</v>
      </c>
      <c r="Q107" s="156">
        <v>3326</v>
      </c>
      <c r="R107" s="171">
        <v>3.6469999999999998</v>
      </c>
      <c r="S107" s="173">
        <v>18196</v>
      </c>
      <c r="U107" s="156">
        <v>2207.1610000000001</v>
      </c>
      <c r="V107" s="170">
        <v>1.0000000000000001E-5</v>
      </c>
      <c r="W107" s="170">
        <v>5.5832863795289896E-3</v>
      </c>
      <c r="X107" s="170">
        <v>9.0966294184556204E-4</v>
      </c>
    </row>
    <row r="108" spans="1:24">
      <c r="A108" s="4">
        <v>288</v>
      </c>
      <c r="B108" s="4">
        <v>288</v>
      </c>
      <c r="C108" s="4" t="s">
        <v>1928</v>
      </c>
      <c r="D108" s="4" t="s">
        <v>1929</v>
      </c>
      <c r="E108" s="4" t="s">
        <v>332</v>
      </c>
      <c r="F108" s="4" t="s">
        <v>1930</v>
      </c>
      <c r="G108" s="4" t="s">
        <v>1931</v>
      </c>
      <c r="H108" s="4" t="s">
        <v>339</v>
      </c>
      <c r="I108" s="4" t="s">
        <v>950</v>
      </c>
      <c r="J108" s="4" t="s">
        <v>124</v>
      </c>
      <c r="K108" s="4" t="s">
        <v>265</v>
      </c>
      <c r="L108" s="2" t="s">
        <v>345</v>
      </c>
      <c r="M108" s="2" t="s">
        <v>398</v>
      </c>
      <c r="N108" s="4" t="s">
        <v>503</v>
      </c>
      <c r="O108" s="4" t="s">
        <v>159</v>
      </c>
      <c r="P108" s="4" t="s">
        <v>1205</v>
      </c>
      <c r="Q108" s="156">
        <v>10833</v>
      </c>
      <c r="R108" s="171">
        <v>4.5743</v>
      </c>
      <c r="S108" s="173">
        <v>2476</v>
      </c>
      <c r="U108" s="156">
        <v>1226.942</v>
      </c>
      <c r="V108" s="170">
        <v>1.9999999999999999E-6</v>
      </c>
      <c r="W108" s="170">
        <v>3.10370185229693E-3</v>
      </c>
      <c r="X108" s="170">
        <v>5.05673964338209E-4</v>
      </c>
    </row>
    <row r="109" spans="1:24">
      <c r="A109" s="4">
        <v>288</v>
      </c>
      <c r="B109" s="4">
        <v>288</v>
      </c>
      <c r="C109" s="4" t="s">
        <v>1932</v>
      </c>
      <c r="D109" s="4" t="s">
        <v>1933</v>
      </c>
      <c r="E109" s="4" t="s">
        <v>332</v>
      </c>
      <c r="F109" s="4" t="s">
        <v>1934</v>
      </c>
      <c r="G109" s="4" t="s">
        <v>1935</v>
      </c>
      <c r="H109" s="4" t="s">
        <v>339</v>
      </c>
      <c r="I109" s="4" t="s">
        <v>950</v>
      </c>
      <c r="J109" s="4" t="s">
        <v>124</v>
      </c>
      <c r="K109" s="4" t="s">
        <v>288</v>
      </c>
      <c r="L109" s="2" t="s">
        <v>345</v>
      </c>
      <c r="M109" s="2" t="s">
        <v>362</v>
      </c>
      <c r="N109" s="4" t="s">
        <v>565</v>
      </c>
      <c r="O109" s="4" t="s">
        <v>159</v>
      </c>
      <c r="P109" s="4" t="s">
        <v>34</v>
      </c>
      <c r="Q109" s="156">
        <v>3574</v>
      </c>
      <c r="R109" s="171">
        <v>3.6469999999999998</v>
      </c>
      <c r="S109" s="173">
        <v>19749</v>
      </c>
      <c r="T109" s="155">
        <v>1.738</v>
      </c>
      <c r="U109" s="156">
        <v>2580.498</v>
      </c>
      <c r="V109" s="170">
        <v>9.9999999999999995E-7</v>
      </c>
      <c r="W109" s="170">
        <v>6.5276900056398602E-3</v>
      </c>
      <c r="X109" s="170">
        <v>1.0635309189508499E-3</v>
      </c>
    </row>
    <row r="110" spans="1:24">
      <c r="A110" s="4">
        <v>288</v>
      </c>
      <c r="B110" s="4">
        <v>288</v>
      </c>
      <c r="C110" s="4" t="s">
        <v>1842</v>
      </c>
      <c r="D110" s="4" t="s">
        <v>1843</v>
      </c>
      <c r="E110" s="4" t="s">
        <v>332</v>
      </c>
      <c r="F110" s="4" t="s">
        <v>1842</v>
      </c>
      <c r="G110" s="4" t="s">
        <v>1844</v>
      </c>
      <c r="H110" s="4" t="s">
        <v>339</v>
      </c>
      <c r="I110" s="4" t="s">
        <v>950</v>
      </c>
      <c r="J110" s="4" t="s">
        <v>124</v>
      </c>
      <c r="K110" s="4" t="s">
        <v>125</v>
      </c>
      <c r="L110" s="2" t="s">
        <v>345</v>
      </c>
      <c r="M110" s="2" t="s">
        <v>364</v>
      </c>
      <c r="N110" s="4" t="s">
        <v>529</v>
      </c>
      <c r="O110" s="4" t="s">
        <v>159</v>
      </c>
      <c r="P110" s="4" t="s">
        <v>34</v>
      </c>
      <c r="Q110" s="156">
        <v>1201</v>
      </c>
      <c r="R110" s="171">
        <v>3.6469999999999998</v>
      </c>
      <c r="S110" s="173">
        <v>40384</v>
      </c>
      <c r="U110" s="156">
        <v>1768.838</v>
      </c>
      <c r="V110" s="170">
        <v>0</v>
      </c>
      <c r="W110" s="170">
        <v>4.4744954620911598E-3</v>
      </c>
      <c r="X110" s="170">
        <v>7.2901198839523599E-4</v>
      </c>
    </row>
    <row r="111" spans="1:24">
      <c r="A111" s="4">
        <v>288</v>
      </c>
      <c r="B111" s="4">
        <v>288</v>
      </c>
      <c r="C111" s="4" t="s">
        <v>1936</v>
      </c>
      <c r="D111" s="4" t="s">
        <v>1937</v>
      </c>
      <c r="E111" s="4" t="s">
        <v>332</v>
      </c>
      <c r="F111" s="4" t="s">
        <v>1938</v>
      </c>
      <c r="G111" s="4" t="s">
        <v>1939</v>
      </c>
      <c r="H111" s="4" t="s">
        <v>339</v>
      </c>
      <c r="I111" s="4" t="s">
        <v>950</v>
      </c>
      <c r="J111" s="4" t="s">
        <v>124</v>
      </c>
      <c r="K111" s="4" t="s">
        <v>125</v>
      </c>
      <c r="L111" s="2" t="s">
        <v>345</v>
      </c>
      <c r="M111" s="2" t="s">
        <v>362</v>
      </c>
      <c r="N111" s="4" t="s">
        <v>526</v>
      </c>
      <c r="O111" s="4" t="s">
        <v>159</v>
      </c>
      <c r="P111" s="4" t="s">
        <v>34</v>
      </c>
      <c r="Q111" s="156">
        <v>3727</v>
      </c>
      <c r="R111" s="171">
        <v>3.6469999999999998</v>
      </c>
      <c r="S111" s="173">
        <v>6032</v>
      </c>
      <c r="U111" s="156">
        <v>819.89200000000005</v>
      </c>
      <c r="V111" s="170">
        <v>1.9999999999999999E-6</v>
      </c>
      <c r="W111" s="170">
        <v>2.0740176930541198E-3</v>
      </c>
      <c r="X111" s="170">
        <v>3.3791156459764499E-4</v>
      </c>
    </row>
    <row r="112" spans="1:24">
      <c r="A112" s="4">
        <v>288</v>
      </c>
      <c r="B112" s="4">
        <v>288</v>
      </c>
      <c r="C112" s="4" t="s">
        <v>1940</v>
      </c>
      <c r="D112" s="4" t="s">
        <v>1941</v>
      </c>
      <c r="E112" s="4" t="s">
        <v>332</v>
      </c>
      <c r="F112" s="4" t="s">
        <v>1942</v>
      </c>
      <c r="G112" s="4" t="s">
        <v>1943</v>
      </c>
      <c r="H112" s="4" t="s">
        <v>339</v>
      </c>
      <c r="I112" s="4" t="s">
        <v>950</v>
      </c>
      <c r="J112" s="4" t="s">
        <v>124</v>
      </c>
      <c r="K112" s="4" t="s">
        <v>125</v>
      </c>
      <c r="L112" s="2" t="s">
        <v>345</v>
      </c>
      <c r="M112" s="2" t="s">
        <v>362</v>
      </c>
      <c r="N112" s="4" t="s">
        <v>547</v>
      </c>
      <c r="O112" s="4" t="s">
        <v>159</v>
      </c>
      <c r="P112" s="4" t="s">
        <v>34</v>
      </c>
      <c r="Q112" s="156">
        <v>600</v>
      </c>
      <c r="R112" s="171">
        <v>3.6469999999999998</v>
      </c>
      <c r="S112" s="173">
        <v>50586</v>
      </c>
      <c r="U112" s="156">
        <v>1106.923</v>
      </c>
      <c r="V112" s="170">
        <v>9.9999999999999995E-7</v>
      </c>
      <c r="W112" s="170">
        <v>2.8000985804224098E-3</v>
      </c>
      <c r="X112" s="170">
        <v>4.5620907454500202E-4</v>
      </c>
    </row>
    <row r="113" spans="1:24">
      <c r="A113" s="4">
        <v>288</v>
      </c>
      <c r="B113" s="4">
        <v>288</v>
      </c>
      <c r="C113" s="4" t="s">
        <v>1845</v>
      </c>
      <c r="D113" s="4" t="s">
        <v>1846</v>
      </c>
      <c r="E113" s="4" t="s">
        <v>332</v>
      </c>
      <c r="F113" s="4" t="s">
        <v>1847</v>
      </c>
      <c r="G113" s="4" t="s">
        <v>1848</v>
      </c>
      <c r="H113" s="4" t="s">
        <v>339</v>
      </c>
      <c r="I113" s="4" t="s">
        <v>950</v>
      </c>
      <c r="J113" s="4" t="s">
        <v>124</v>
      </c>
      <c r="K113" s="4" t="s">
        <v>125</v>
      </c>
      <c r="L113" s="2" t="s">
        <v>345</v>
      </c>
      <c r="M113" s="2" t="s">
        <v>362</v>
      </c>
      <c r="N113" s="4" t="s">
        <v>1821</v>
      </c>
      <c r="O113" s="4" t="s">
        <v>159</v>
      </c>
      <c r="P113" s="4" t="s">
        <v>34</v>
      </c>
      <c r="Q113" s="156">
        <v>2978</v>
      </c>
      <c r="R113" s="171">
        <v>3.6469999999999998</v>
      </c>
      <c r="S113" s="173">
        <v>31604</v>
      </c>
      <c r="U113" s="156">
        <v>3432.4360000000001</v>
      </c>
      <c r="V113" s="170">
        <v>1.9999999999999999E-6</v>
      </c>
      <c r="W113" s="170">
        <v>8.6827736154016597E-3</v>
      </c>
      <c r="X113" s="170">
        <v>1.41465023526728E-3</v>
      </c>
    </row>
    <row r="114" spans="1:24">
      <c r="A114" s="4">
        <v>288</v>
      </c>
      <c r="B114" s="4">
        <v>288</v>
      </c>
      <c r="C114" s="4" t="s">
        <v>1944</v>
      </c>
      <c r="D114" s="4" t="s">
        <v>1945</v>
      </c>
      <c r="E114" s="4" t="s">
        <v>332</v>
      </c>
      <c r="F114" s="4" t="s">
        <v>1946</v>
      </c>
      <c r="G114" s="4" t="s">
        <v>1947</v>
      </c>
      <c r="H114" s="4" t="s">
        <v>339</v>
      </c>
      <c r="I114" s="4" t="s">
        <v>950</v>
      </c>
      <c r="J114" s="4" t="s">
        <v>124</v>
      </c>
      <c r="K114" s="4" t="s">
        <v>125</v>
      </c>
      <c r="L114" s="2" t="s">
        <v>345</v>
      </c>
      <c r="M114" s="2" t="s">
        <v>362</v>
      </c>
      <c r="N114" s="4" t="s">
        <v>566</v>
      </c>
      <c r="O114" s="4" t="s">
        <v>159</v>
      </c>
      <c r="P114" s="4" t="s">
        <v>34</v>
      </c>
      <c r="Q114" s="156">
        <v>3910</v>
      </c>
      <c r="R114" s="171">
        <v>3.6469999999999998</v>
      </c>
      <c r="S114" s="173">
        <v>11135</v>
      </c>
      <c r="T114" s="155">
        <v>1.9550000000000001</v>
      </c>
      <c r="U114" s="156">
        <v>1594.9549999999999</v>
      </c>
      <c r="V114" s="170">
        <v>1.9999999999999999E-6</v>
      </c>
      <c r="W114" s="170">
        <v>4.0346370823358801E-3</v>
      </c>
      <c r="X114" s="170">
        <v>6.5734758851944798E-4</v>
      </c>
    </row>
    <row r="115" spans="1:24">
      <c r="A115" s="4">
        <v>288</v>
      </c>
      <c r="B115" s="4">
        <v>288</v>
      </c>
      <c r="C115" s="4" t="s">
        <v>1948</v>
      </c>
      <c r="D115" s="4" t="s">
        <v>1949</v>
      </c>
      <c r="E115" s="4" t="s">
        <v>332</v>
      </c>
      <c r="F115" s="4" t="s">
        <v>1950</v>
      </c>
      <c r="G115" s="4" t="s">
        <v>1951</v>
      </c>
      <c r="H115" s="4" t="s">
        <v>339</v>
      </c>
      <c r="I115" s="4" t="s">
        <v>950</v>
      </c>
      <c r="J115" s="4" t="s">
        <v>124</v>
      </c>
      <c r="K115" s="4" t="s">
        <v>125</v>
      </c>
      <c r="L115" s="2" t="s">
        <v>345</v>
      </c>
      <c r="M115" s="2" t="s">
        <v>362</v>
      </c>
      <c r="N115" s="4" t="s">
        <v>553</v>
      </c>
      <c r="O115" s="4" t="s">
        <v>159</v>
      </c>
      <c r="P115" s="4" t="s">
        <v>34</v>
      </c>
      <c r="Q115" s="156">
        <v>7648</v>
      </c>
      <c r="R115" s="171">
        <v>3.6469999999999998</v>
      </c>
      <c r="S115" s="173">
        <v>7024</v>
      </c>
      <c r="U115" s="156">
        <v>1959.152</v>
      </c>
      <c r="V115" s="170">
        <v>9.9999999999999995E-7</v>
      </c>
      <c r="W115" s="170">
        <v>4.95591801737398E-3</v>
      </c>
      <c r="X115" s="170">
        <v>8.0744827629818897E-4</v>
      </c>
    </row>
    <row r="116" spans="1:24">
      <c r="A116" s="4">
        <v>288</v>
      </c>
      <c r="B116" s="4">
        <v>288</v>
      </c>
      <c r="C116" s="4" t="s">
        <v>1849</v>
      </c>
      <c r="D116" s="4" t="s">
        <v>1850</v>
      </c>
      <c r="E116" s="4" t="s">
        <v>332</v>
      </c>
      <c r="F116" s="4" t="s">
        <v>1851</v>
      </c>
      <c r="G116" s="4" t="s">
        <v>1852</v>
      </c>
      <c r="H116" s="4" t="s">
        <v>339</v>
      </c>
      <c r="I116" s="4" t="s">
        <v>950</v>
      </c>
      <c r="J116" s="4" t="s">
        <v>124</v>
      </c>
      <c r="K116" s="4" t="s">
        <v>125</v>
      </c>
      <c r="L116" s="2" t="s">
        <v>345</v>
      </c>
      <c r="M116" s="2" t="s">
        <v>362</v>
      </c>
      <c r="N116" s="4" t="s">
        <v>1806</v>
      </c>
      <c r="O116" s="4" t="s">
        <v>159</v>
      </c>
      <c r="P116" s="4" t="s">
        <v>34</v>
      </c>
      <c r="Q116" s="156">
        <v>5224</v>
      </c>
      <c r="R116" s="171">
        <v>3.6469999999999998</v>
      </c>
      <c r="S116" s="173">
        <v>9035</v>
      </c>
      <c r="T116" s="155">
        <v>1.179</v>
      </c>
      <c r="U116" s="156">
        <v>1725.64</v>
      </c>
      <c r="V116" s="170">
        <v>9.9999999999999995E-7</v>
      </c>
      <c r="W116" s="170">
        <v>4.36522145972009E-3</v>
      </c>
      <c r="X116" s="170">
        <v>7.1120840396357099E-4</v>
      </c>
    </row>
    <row r="117" spans="1:24">
      <c r="A117" s="4">
        <v>288</v>
      </c>
      <c r="B117" s="4">
        <v>1452</v>
      </c>
      <c r="C117" s="4" t="s">
        <v>1600</v>
      </c>
      <c r="D117" s="4" t="s">
        <v>1601</v>
      </c>
      <c r="E117" s="4" t="s">
        <v>1333</v>
      </c>
      <c r="F117" s="4" t="s">
        <v>1602</v>
      </c>
      <c r="G117" s="4" t="s">
        <v>1603</v>
      </c>
      <c r="H117" s="4" t="s">
        <v>339</v>
      </c>
      <c r="I117" s="4" t="s">
        <v>950</v>
      </c>
      <c r="J117" s="4" t="s">
        <v>30</v>
      </c>
      <c r="K117" s="4" t="s">
        <v>316</v>
      </c>
      <c r="L117" s="2" t="s">
        <v>345</v>
      </c>
      <c r="M117" s="2" t="s">
        <v>364</v>
      </c>
      <c r="N117" s="4" t="s">
        <v>474</v>
      </c>
      <c r="O117" s="4" t="s">
        <v>159</v>
      </c>
      <c r="P117" s="4" t="s">
        <v>34</v>
      </c>
      <c r="Q117" s="156">
        <v>220</v>
      </c>
      <c r="R117" s="171">
        <v>3.6469999999999998</v>
      </c>
      <c r="S117" s="173">
        <v>19695</v>
      </c>
      <c r="U117" s="156">
        <v>158.02099999999999</v>
      </c>
      <c r="V117" s="170">
        <v>7.9999999999999996E-6</v>
      </c>
      <c r="W117" s="170">
        <v>1.25983574581145E-2</v>
      </c>
      <c r="X117" s="170">
        <v>2.63399037284491E-3</v>
      </c>
    </row>
    <row r="118" spans="1:24">
      <c r="A118" s="4">
        <v>288</v>
      </c>
      <c r="B118" s="4">
        <v>1452</v>
      </c>
      <c r="C118" s="4" t="s">
        <v>1604</v>
      </c>
      <c r="D118" s="4" t="s">
        <v>1605</v>
      </c>
      <c r="E118" s="4" t="s">
        <v>1333</v>
      </c>
      <c r="F118" s="4" t="s">
        <v>1606</v>
      </c>
      <c r="G118" s="4" t="s">
        <v>1607</v>
      </c>
      <c r="H118" s="4" t="s">
        <v>339</v>
      </c>
      <c r="I118" s="4" t="s">
        <v>950</v>
      </c>
      <c r="J118" s="4" t="s">
        <v>30</v>
      </c>
      <c r="K118" s="4" t="s">
        <v>30</v>
      </c>
      <c r="L118" s="2" t="s">
        <v>345</v>
      </c>
      <c r="M118" s="2" t="s">
        <v>65</v>
      </c>
      <c r="N118" s="4" t="s">
        <v>462</v>
      </c>
      <c r="O118" s="4" t="s">
        <v>159</v>
      </c>
      <c r="P118" s="4" t="s">
        <v>44</v>
      </c>
      <c r="Q118" s="156">
        <v>240</v>
      </c>
      <c r="R118" s="171">
        <v>1</v>
      </c>
      <c r="S118" s="173">
        <v>95300</v>
      </c>
      <c r="T118" s="155">
        <v>0.44800000000000001</v>
      </c>
      <c r="U118" s="156">
        <v>229.16800000000001</v>
      </c>
      <c r="V118" s="170">
        <v>5.0000000000000004E-6</v>
      </c>
      <c r="W118" s="170">
        <v>1.8270624670787199E-2</v>
      </c>
      <c r="X118" s="170">
        <v>3.81991459193909E-3</v>
      </c>
    </row>
    <row r="119" spans="1:24">
      <c r="A119" s="4">
        <v>288</v>
      </c>
      <c r="B119" s="4">
        <v>1452</v>
      </c>
      <c r="C119" s="4" t="s">
        <v>1608</v>
      </c>
      <c r="D119" s="4" t="s">
        <v>1609</v>
      </c>
      <c r="E119" s="4" t="s">
        <v>1333</v>
      </c>
      <c r="F119" s="4" t="s">
        <v>1610</v>
      </c>
      <c r="G119" s="4" t="s">
        <v>1611</v>
      </c>
      <c r="H119" s="4" t="s">
        <v>339</v>
      </c>
      <c r="I119" s="4" t="s">
        <v>950</v>
      </c>
      <c r="J119" s="4" t="s">
        <v>30</v>
      </c>
      <c r="K119" s="4" t="s">
        <v>30</v>
      </c>
      <c r="L119" s="2" t="s">
        <v>345</v>
      </c>
      <c r="M119" s="2" t="s">
        <v>65</v>
      </c>
      <c r="N119" s="4" t="s">
        <v>480</v>
      </c>
      <c r="O119" s="4" t="s">
        <v>159</v>
      </c>
      <c r="P119" s="4" t="s">
        <v>44</v>
      </c>
      <c r="Q119" s="156">
        <v>12300</v>
      </c>
      <c r="R119" s="171">
        <v>1</v>
      </c>
      <c r="S119" s="173">
        <v>3040</v>
      </c>
      <c r="U119" s="156">
        <v>373.92</v>
      </c>
      <c r="V119" s="170">
        <v>5.7000000000000003E-5</v>
      </c>
      <c r="W119" s="170">
        <v>2.9811113110666702E-2</v>
      </c>
      <c r="X119" s="170">
        <v>6.2327319413144197E-3</v>
      </c>
    </row>
    <row r="120" spans="1:24">
      <c r="A120" s="4">
        <v>288</v>
      </c>
      <c r="B120" s="4">
        <v>1452</v>
      </c>
      <c r="C120" s="4" t="s">
        <v>1612</v>
      </c>
      <c r="D120" s="4" t="s">
        <v>1613</v>
      </c>
      <c r="E120" s="4" t="s">
        <v>1333</v>
      </c>
      <c r="F120" s="4" t="s">
        <v>1614</v>
      </c>
      <c r="G120" s="4" t="s">
        <v>1615</v>
      </c>
      <c r="H120" s="4" t="s">
        <v>339</v>
      </c>
      <c r="I120" s="4" t="s">
        <v>950</v>
      </c>
      <c r="J120" s="4" t="s">
        <v>30</v>
      </c>
      <c r="K120" s="4" t="s">
        <v>30</v>
      </c>
      <c r="L120" s="2" t="s">
        <v>345</v>
      </c>
      <c r="M120" s="2" t="s">
        <v>65</v>
      </c>
      <c r="N120" s="4" t="s">
        <v>480</v>
      </c>
      <c r="O120" s="4" t="s">
        <v>159</v>
      </c>
      <c r="P120" s="4" t="s">
        <v>44</v>
      </c>
      <c r="Q120" s="156">
        <v>11863</v>
      </c>
      <c r="R120" s="171">
        <v>1</v>
      </c>
      <c r="S120" s="173">
        <v>2064</v>
      </c>
      <c r="U120" s="156">
        <v>244.852</v>
      </c>
      <c r="V120" s="170">
        <v>2.5000000000000001E-5</v>
      </c>
      <c r="W120" s="170">
        <v>1.95210745799347E-2</v>
      </c>
      <c r="X120" s="170">
        <v>4.0813512937765799E-3</v>
      </c>
    </row>
    <row r="121" spans="1:24">
      <c r="A121" s="4">
        <v>288</v>
      </c>
      <c r="B121" s="4">
        <v>1452</v>
      </c>
      <c r="C121" s="4" t="s">
        <v>1616</v>
      </c>
      <c r="D121" s="4" t="s">
        <v>1617</v>
      </c>
      <c r="E121" s="4" t="s">
        <v>1333</v>
      </c>
      <c r="F121" s="4" t="s">
        <v>1618</v>
      </c>
      <c r="G121" s="4" t="s">
        <v>1619</v>
      </c>
      <c r="H121" s="4" t="s">
        <v>339</v>
      </c>
      <c r="I121" s="4" t="s">
        <v>950</v>
      </c>
      <c r="J121" s="4" t="s">
        <v>30</v>
      </c>
      <c r="K121" s="4" t="s">
        <v>125</v>
      </c>
      <c r="L121" s="2" t="s">
        <v>345</v>
      </c>
      <c r="M121" s="2" t="s">
        <v>65</v>
      </c>
      <c r="N121" s="4" t="s">
        <v>457</v>
      </c>
      <c r="O121" s="4" t="s">
        <v>159</v>
      </c>
      <c r="P121" s="4" t="s">
        <v>44</v>
      </c>
      <c r="Q121" s="156">
        <v>4014.6</v>
      </c>
      <c r="R121" s="171">
        <v>1</v>
      </c>
      <c r="S121" s="173">
        <v>6305</v>
      </c>
      <c r="U121" s="156">
        <v>253.12100000000001</v>
      </c>
      <c r="V121" s="170">
        <v>3.4E-5</v>
      </c>
      <c r="W121" s="170">
        <v>2.0180265164906699E-2</v>
      </c>
      <c r="X121" s="170">
        <v>4.2191709786409803E-3</v>
      </c>
    </row>
    <row r="122" spans="1:24">
      <c r="A122" s="4">
        <v>288</v>
      </c>
      <c r="B122" s="4">
        <v>1452</v>
      </c>
      <c r="C122" s="4" t="s">
        <v>1624</v>
      </c>
      <c r="D122" s="4" t="s">
        <v>1625</v>
      </c>
      <c r="E122" s="4" t="s">
        <v>1333</v>
      </c>
      <c r="F122" s="4" t="s">
        <v>1626</v>
      </c>
      <c r="G122" s="4" t="s">
        <v>1627</v>
      </c>
      <c r="H122" s="4" t="s">
        <v>339</v>
      </c>
      <c r="I122" s="4" t="s">
        <v>950</v>
      </c>
      <c r="J122" s="4" t="s">
        <v>30</v>
      </c>
      <c r="K122" s="4" t="s">
        <v>30</v>
      </c>
      <c r="L122" s="2" t="s">
        <v>345</v>
      </c>
      <c r="M122" s="2" t="s">
        <v>65</v>
      </c>
      <c r="N122" s="4" t="s">
        <v>463</v>
      </c>
      <c r="O122" s="4" t="s">
        <v>159</v>
      </c>
      <c r="P122" s="4" t="s">
        <v>44</v>
      </c>
      <c r="Q122" s="156">
        <v>581</v>
      </c>
      <c r="R122" s="171">
        <v>1</v>
      </c>
      <c r="S122" s="173">
        <v>27280</v>
      </c>
      <c r="U122" s="156">
        <v>158.49700000000001</v>
      </c>
      <c r="V122" s="170">
        <v>4.6E-5</v>
      </c>
      <c r="W122" s="170">
        <v>1.26363019696158E-2</v>
      </c>
      <c r="X122" s="170">
        <v>2.6419235878159001E-3</v>
      </c>
    </row>
    <row r="123" spans="1:24">
      <c r="A123" s="4">
        <v>288</v>
      </c>
      <c r="B123" s="4">
        <v>1452</v>
      </c>
      <c r="C123" s="4" t="s">
        <v>1628</v>
      </c>
      <c r="D123" s="4" t="s">
        <v>1629</v>
      </c>
      <c r="E123" s="4" t="s">
        <v>1333</v>
      </c>
      <c r="F123" s="4" t="s">
        <v>1630</v>
      </c>
      <c r="G123" s="4" t="s">
        <v>1631</v>
      </c>
      <c r="H123" s="4" t="s">
        <v>339</v>
      </c>
      <c r="I123" s="4" t="s">
        <v>950</v>
      </c>
      <c r="J123" s="4" t="s">
        <v>30</v>
      </c>
      <c r="K123" s="4" t="s">
        <v>30</v>
      </c>
      <c r="L123" s="2" t="s">
        <v>345</v>
      </c>
      <c r="M123" s="2" t="s">
        <v>65</v>
      </c>
      <c r="N123" s="4" t="s">
        <v>501</v>
      </c>
      <c r="O123" s="4" t="s">
        <v>159</v>
      </c>
      <c r="P123" s="4" t="s">
        <v>44</v>
      </c>
      <c r="Q123" s="156">
        <v>81427</v>
      </c>
      <c r="R123" s="171">
        <v>1</v>
      </c>
      <c r="S123" s="173">
        <v>519</v>
      </c>
      <c r="U123" s="156">
        <v>422.60599999999999</v>
      </c>
      <c r="V123" s="170">
        <v>2.9E-5</v>
      </c>
      <c r="W123" s="170">
        <v>3.3692659239118301E-2</v>
      </c>
      <c r="X123" s="170">
        <v>7.0442627434913196E-3</v>
      </c>
    </row>
    <row r="124" spans="1:24">
      <c r="A124" s="4">
        <v>288</v>
      </c>
      <c r="B124" s="4">
        <v>1452</v>
      </c>
      <c r="C124" s="4" t="s">
        <v>1632</v>
      </c>
      <c r="D124" s="4" t="s">
        <v>1633</v>
      </c>
      <c r="E124" s="4" t="s">
        <v>1333</v>
      </c>
      <c r="F124" s="4" t="s">
        <v>1634</v>
      </c>
      <c r="G124" s="4" t="s">
        <v>1635</v>
      </c>
      <c r="H124" s="4" t="s">
        <v>339</v>
      </c>
      <c r="I124" s="4" t="s">
        <v>950</v>
      </c>
      <c r="J124" s="4" t="s">
        <v>30</v>
      </c>
      <c r="K124" s="4" t="s">
        <v>30</v>
      </c>
      <c r="L124" s="2" t="s">
        <v>345</v>
      </c>
      <c r="M124" s="2" t="s">
        <v>65</v>
      </c>
      <c r="N124" s="4" t="s">
        <v>464</v>
      </c>
      <c r="O124" s="4" t="s">
        <v>159</v>
      </c>
      <c r="P124" s="4" t="s">
        <v>44</v>
      </c>
      <c r="Q124" s="156">
        <v>35075</v>
      </c>
      <c r="R124" s="171">
        <v>1</v>
      </c>
      <c r="S124" s="173">
        <v>2492</v>
      </c>
      <c r="U124" s="156">
        <v>874.06899999999996</v>
      </c>
      <c r="V124" s="170">
        <v>2.8E-5</v>
      </c>
      <c r="W124" s="170">
        <v>6.9685948399463404E-2</v>
      </c>
      <c r="X124" s="170">
        <v>1.4569527640171E-2</v>
      </c>
    </row>
    <row r="125" spans="1:24">
      <c r="A125" s="4">
        <v>288</v>
      </c>
      <c r="B125" s="4">
        <v>1452</v>
      </c>
      <c r="C125" s="4" t="s">
        <v>1636</v>
      </c>
      <c r="D125" s="4" t="s">
        <v>1637</v>
      </c>
      <c r="E125" s="4" t="s">
        <v>1333</v>
      </c>
      <c r="F125" s="4" t="s">
        <v>1638</v>
      </c>
      <c r="G125" s="4" t="s">
        <v>1639</v>
      </c>
      <c r="H125" s="4" t="s">
        <v>339</v>
      </c>
      <c r="I125" s="4" t="s">
        <v>950</v>
      </c>
      <c r="J125" s="4" t="s">
        <v>30</v>
      </c>
      <c r="K125" s="4" t="s">
        <v>30</v>
      </c>
      <c r="L125" s="2" t="s">
        <v>345</v>
      </c>
      <c r="M125" s="2" t="s">
        <v>65</v>
      </c>
      <c r="N125" s="4" t="s">
        <v>463</v>
      </c>
      <c r="O125" s="4" t="s">
        <v>159</v>
      </c>
      <c r="P125" s="4" t="s">
        <v>44</v>
      </c>
      <c r="Q125" s="156">
        <v>460</v>
      </c>
      <c r="R125" s="171">
        <v>1</v>
      </c>
      <c r="S125" s="173">
        <v>36080</v>
      </c>
      <c r="U125" s="156">
        <v>165.96799999999999</v>
      </c>
      <c r="V125" s="170">
        <v>2.1999999999999999E-5</v>
      </c>
      <c r="W125" s="170">
        <v>1.3231950205260801E-2</v>
      </c>
      <c r="X125" s="170">
        <v>2.7664582125483299E-3</v>
      </c>
    </row>
    <row r="126" spans="1:24">
      <c r="A126" s="4">
        <v>288</v>
      </c>
      <c r="B126" s="4">
        <v>1452</v>
      </c>
      <c r="C126" s="4" t="s">
        <v>1640</v>
      </c>
      <c r="D126" s="4" t="s">
        <v>1641</v>
      </c>
      <c r="E126" s="4" t="s">
        <v>1333</v>
      </c>
      <c r="F126" s="4" t="s">
        <v>1642</v>
      </c>
      <c r="G126" s="4" t="s">
        <v>1643</v>
      </c>
      <c r="H126" s="4" t="s">
        <v>339</v>
      </c>
      <c r="I126" s="4" t="s">
        <v>950</v>
      </c>
      <c r="J126" s="4" t="s">
        <v>30</v>
      </c>
      <c r="K126" s="4" t="s">
        <v>30</v>
      </c>
      <c r="L126" s="2" t="s">
        <v>345</v>
      </c>
      <c r="M126" s="2" t="s">
        <v>65</v>
      </c>
      <c r="N126" s="4" t="s">
        <v>461</v>
      </c>
      <c r="O126" s="4" t="s">
        <v>159</v>
      </c>
      <c r="P126" s="4" t="s">
        <v>44</v>
      </c>
      <c r="Q126" s="156">
        <v>4670</v>
      </c>
      <c r="R126" s="171">
        <v>1</v>
      </c>
      <c r="S126" s="173">
        <v>5318</v>
      </c>
      <c r="U126" s="156">
        <v>248.351</v>
      </c>
      <c r="V126" s="170">
        <v>1.8E-5</v>
      </c>
      <c r="W126" s="170">
        <v>1.97999781442607E-2</v>
      </c>
      <c r="X126" s="170">
        <v>4.1396628082600601E-3</v>
      </c>
    </row>
    <row r="127" spans="1:24">
      <c r="A127" s="4">
        <v>288</v>
      </c>
      <c r="B127" s="4">
        <v>1452</v>
      </c>
      <c r="C127" s="4" t="s">
        <v>1644</v>
      </c>
      <c r="D127" s="4" t="s">
        <v>1645</v>
      </c>
      <c r="E127" s="4" t="s">
        <v>1333</v>
      </c>
      <c r="F127" s="4" t="s">
        <v>1646</v>
      </c>
      <c r="G127" s="4" t="s">
        <v>1647</v>
      </c>
      <c r="H127" s="4" t="s">
        <v>339</v>
      </c>
      <c r="I127" s="4" t="s">
        <v>950</v>
      </c>
      <c r="J127" s="4" t="s">
        <v>30</v>
      </c>
      <c r="K127" s="4" t="s">
        <v>125</v>
      </c>
      <c r="L127" s="2" t="s">
        <v>345</v>
      </c>
      <c r="M127" s="2" t="s">
        <v>65</v>
      </c>
      <c r="N127" s="4" t="s">
        <v>483</v>
      </c>
      <c r="O127" s="4" t="s">
        <v>159</v>
      </c>
      <c r="P127" s="4" t="s">
        <v>44</v>
      </c>
      <c r="Q127" s="156">
        <v>2400</v>
      </c>
      <c r="R127" s="171">
        <v>1</v>
      </c>
      <c r="S127" s="173">
        <v>8101</v>
      </c>
      <c r="U127" s="156">
        <v>194.42400000000001</v>
      </c>
      <c r="V127" s="170">
        <v>1.9999999999999999E-6</v>
      </c>
      <c r="W127" s="170">
        <v>1.55006307644102E-2</v>
      </c>
      <c r="X127" s="170">
        <v>3.2407805812957702E-3</v>
      </c>
    </row>
    <row r="128" spans="1:24">
      <c r="A128" s="4">
        <v>288</v>
      </c>
      <c r="B128" s="4">
        <v>1452</v>
      </c>
      <c r="C128" s="4" t="s">
        <v>1648</v>
      </c>
      <c r="D128" s="4" t="s">
        <v>1649</v>
      </c>
      <c r="E128" s="4" t="s">
        <v>1333</v>
      </c>
      <c r="F128" s="4" t="s">
        <v>1650</v>
      </c>
      <c r="G128" s="4" t="s">
        <v>1651</v>
      </c>
      <c r="H128" s="4" t="s">
        <v>339</v>
      </c>
      <c r="I128" s="4" t="s">
        <v>950</v>
      </c>
      <c r="J128" s="4" t="s">
        <v>30</v>
      </c>
      <c r="K128" s="4" t="s">
        <v>30</v>
      </c>
      <c r="L128" s="2" t="s">
        <v>345</v>
      </c>
      <c r="M128" s="2" t="s">
        <v>65</v>
      </c>
      <c r="N128" s="4" t="s">
        <v>492</v>
      </c>
      <c r="O128" s="4" t="s">
        <v>159</v>
      </c>
      <c r="P128" s="4" t="s">
        <v>44</v>
      </c>
      <c r="Q128" s="156">
        <v>5119</v>
      </c>
      <c r="R128" s="171">
        <v>1</v>
      </c>
      <c r="S128" s="173">
        <v>500.5</v>
      </c>
      <c r="U128" s="156">
        <v>25.620999999999999</v>
      </c>
      <c r="V128" s="170">
        <v>4.1E-5</v>
      </c>
      <c r="W128" s="170">
        <v>2.0426253089098801E-3</v>
      </c>
      <c r="X128" s="170">
        <v>4.27060068495883E-4</v>
      </c>
    </row>
    <row r="129" spans="1:24">
      <c r="A129" s="4">
        <v>288</v>
      </c>
      <c r="B129" s="4">
        <v>1452</v>
      </c>
      <c r="C129" s="4" t="s">
        <v>1652</v>
      </c>
      <c r="D129" s="4" t="s">
        <v>1653</v>
      </c>
      <c r="E129" s="4" t="s">
        <v>1333</v>
      </c>
      <c r="F129" s="4" t="s">
        <v>1654</v>
      </c>
      <c r="G129" s="4" t="s">
        <v>1655</v>
      </c>
      <c r="H129" s="4" t="s">
        <v>339</v>
      </c>
      <c r="I129" s="4" t="s">
        <v>950</v>
      </c>
      <c r="J129" s="4" t="s">
        <v>30</v>
      </c>
      <c r="K129" s="4" t="s">
        <v>30</v>
      </c>
      <c r="L129" s="2" t="s">
        <v>345</v>
      </c>
      <c r="M129" s="2" t="s">
        <v>65</v>
      </c>
      <c r="N129" s="4" t="s">
        <v>463</v>
      </c>
      <c r="O129" s="4" t="s">
        <v>159</v>
      </c>
      <c r="P129" s="4" t="s">
        <v>44</v>
      </c>
      <c r="Q129" s="156">
        <v>16658</v>
      </c>
      <c r="R129" s="171">
        <v>1</v>
      </c>
      <c r="S129" s="173">
        <v>1412</v>
      </c>
      <c r="U129" s="156">
        <v>235.21100000000001</v>
      </c>
      <c r="V129" s="170">
        <v>5.1999999999999997E-5</v>
      </c>
      <c r="W129" s="170">
        <v>1.8752408358548599E-2</v>
      </c>
      <c r="X129" s="170">
        <v>3.9206430876637397E-3</v>
      </c>
    </row>
    <row r="130" spans="1:24">
      <c r="A130" s="4">
        <v>288</v>
      </c>
      <c r="B130" s="4">
        <v>1452</v>
      </c>
      <c r="C130" s="4" t="s">
        <v>1656</v>
      </c>
      <c r="D130" s="4" t="s">
        <v>1657</v>
      </c>
      <c r="E130" s="4" t="s">
        <v>1333</v>
      </c>
      <c r="F130" s="4" t="s">
        <v>1658</v>
      </c>
      <c r="G130" s="4" t="s">
        <v>1659</v>
      </c>
      <c r="H130" s="4" t="s">
        <v>339</v>
      </c>
      <c r="I130" s="4" t="s">
        <v>950</v>
      </c>
      <c r="J130" s="4" t="s">
        <v>30</v>
      </c>
      <c r="K130" s="4" t="s">
        <v>30</v>
      </c>
      <c r="L130" s="2" t="s">
        <v>345</v>
      </c>
      <c r="M130" s="2" t="s">
        <v>65</v>
      </c>
      <c r="N130" s="4" t="s">
        <v>461</v>
      </c>
      <c r="O130" s="4" t="s">
        <v>159</v>
      </c>
      <c r="P130" s="4" t="s">
        <v>44</v>
      </c>
      <c r="Q130" s="156">
        <v>2600</v>
      </c>
      <c r="R130" s="171">
        <v>1</v>
      </c>
      <c r="S130" s="173">
        <v>8570</v>
      </c>
      <c r="U130" s="156">
        <v>222.82</v>
      </c>
      <c r="V130" s="170">
        <v>3.3000000000000003E-5</v>
      </c>
      <c r="W130" s="170">
        <v>1.7764527768824201E-2</v>
      </c>
      <c r="X130" s="170">
        <v>3.7141028325943502E-3</v>
      </c>
    </row>
    <row r="131" spans="1:24">
      <c r="A131" s="4">
        <v>288</v>
      </c>
      <c r="B131" s="4">
        <v>1452</v>
      </c>
      <c r="C131" s="4" t="s">
        <v>1196</v>
      </c>
      <c r="D131" s="4" t="s">
        <v>1660</v>
      </c>
      <c r="E131" s="4" t="s">
        <v>1333</v>
      </c>
      <c r="F131" s="4" t="s">
        <v>1661</v>
      </c>
      <c r="G131" s="4" t="s">
        <v>1662</v>
      </c>
      <c r="H131" s="4" t="s">
        <v>339</v>
      </c>
      <c r="I131" s="4" t="s">
        <v>950</v>
      </c>
      <c r="J131" s="4" t="s">
        <v>30</v>
      </c>
      <c r="K131" s="4" t="s">
        <v>30</v>
      </c>
      <c r="L131" s="2" t="s">
        <v>345</v>
      </c>
      <c r="M131" s="2" t="s">
        <v>65</v>
      </c>
      <c r="N131" s="4" t="s">
        <v>464</v>
      </c>
      <c r="O131" s="4" t="s">
        <v>159</v>
      </c>
      <c r="P131" s="4" t="s">
        <v>44</v>
      </c>
      <c r="Q131" s="156">
        <v>20100</v>
      </c>
      <c r="R131" s="171">
        <v>1</v>
      </c>
      <c r="S131" s="173">
        <v>4335</v>
      </c>
      <c r="U131" s="156">
        <v>871.33500000000004</v>
      </c>
      <c r="V131" s="170">
        <v>1.2E-5</v>
      </c>
      <c r="W131" s="170">
        <v>6.9467977755356194E-2</v>
      </c>
      <c r="X131" s="170">
        <v>1.4523955621751201E-2</v>
      </c>
    </row>
    <row r="132" spans="1:24">
      <c r="A132" s="4">
        <v>288</v>
      </c>
      <c r="B132" s="4">
        <v>1452</v>
      </c>
      <c r="C132" s="4" t="s">
        <v>1663</v>
      </c>
      <c r="D132" s="4" t="s">
        <v>1664</v>
      </c>
      <c r="E132" s="4" t="s">
        <v>1333</v>
      </c>
      <c r="F132" s="4" t="s">
        <v>1665</v>
      </c>
      <c r="G132" s="4" t="s">
        <v>1666</v>
      </c>
      <c r="H132" s="4" t="s">
        <v>339</v>
      </c>
      <c r="I132" s="4" t="s">
        <v>950</v>
      </c>
      <c r="J132" s="4" t="s">
        <v>30</v>
      </c>
      <c r="K132" s="4" t="s">
        <v>30</v>
      </c>
      <c r="L132" s="2" t="s">
        <v>345</v>
      </c>
      <c r="M132" s="2" t="s">
        <v>65</v>
      </c>
      <c r="N132" s="4" t="s">
        <v>495</v>
      </c>
      <c r="O132" s="4" t="s">
        <v>159</v>
      </c>
      <c r="P132" s="4" t="s">
        <v>44</v>
      </c>
      <c r="Q132" s="156">
        <v>12200</v>
      </c>
      <c r="R132" s="171">
        <v>1</v>
      </c>
      <c r="S132" s="173">
        <v>1490</v>
      </c>
      <c r="U132" s="156">
        <v>181.78</v>
      </c>
      <c r="V132" s="170">
        <v>1.7100000000000001E-4</v>
      </c>
      <c r="W132" s="170">
        <v>1.44925763298486E-2</v>
      </c>
      <c r="X132" s="170">
        <v>3.0300224975720299E-3</v>
      </c>
    </row>
    <row r="133" spans="1:24">
      <c r="A133" s="4">
        <v>288</v>
      </c>
      <c r="B133" s="4">
        <v>1452</v>
      </c>
      <c r="C133" s="4" t="s">
        <v>1667</v>
      </c>
      <c r="D133" s="4" t="s">
        <v>1668</v>
      </c>
      <c r="E133" s="4" t="s">
        <v>1333</v>
      </c>
      <c r="F133" s="4" t="s">
        <v>1669</v>
      </c>
      <c r="G133" s="4" t="s">
        <v>1670</v>
      </c>
      <c r="H133" s="4" t="s">
        <v>339</v>
      </c>
      <c r="I133" s="4" t="s">
        <v>950</v>
      </c>
      <c r="J133" s="4" t="s">
        <v>30</v>
      </c>
      <c r="K133" s="4" t="s">
        <v>30</v>
      </c>
      <c r="L133" s="2" t="s">
        <v>345</v>
      </c>
      <c r="M133" s="2" t="s">
        <v>65</v>
      </c>
      <c r="N133" s="4" t="s">
        <v>464</v>
      </c>
      <c r="O133" s="4" t="s">
        <v>159</v>
      </c>
      <c r="P133" s="4" t="s">
        <v>44</v>
      </c>
      <c r="Q133" s="156">
        <v>3581</v>
      </c>
      <c r="R133" s="171">
        <v>1</v>
      </c>
      <c r="S133" s="173">
        <v>15760</v>
      </c>
      <c r="U133" s="156">
        <v>564.36599999999999</v>
      </c>
      <c r="V133" s="170">
        <v>1.4E-5</v>
      </c>
      <c r="W133" s="170">
        <v>4.4994562305758698E-2</v>
      </c>
      <c r="X133" s="170">
        <v>9.4071980683009104E-3</v>
      </c>
    </row>
    <row r="134" spans="1:24">
      <c r="A134" s="4">
        <v>288</v>
      </c>
      <c r="B134" s="4">
        <v>1452</v>
      </c>
      <c r="C134" s="4" t="s">
        <v>1671</v>
      </c>
      <c r="D134" s="4" t="s">
        <v>1672</v>
      </c>
      <c r="E134" s="4" t="s">
        <v>1333</v>
      </c>
      <c r="F134" s="4" t="s">
        <v>1673</v>
      </c>
      <c r="G134" s="4" t="s">
        <v>1674</v>
      </c>
      <c r="H134" s="4" t="s">
        <v>339</v>
      </c>
      <c r="I134" s="4" t="s">
        <v>950</v>
      </c>
      <c r="J134" s="4" t="s">
        <v>30</v>
      </c>
      <c r="K134" s="4" t="s">
        <v>30</v>
      </c>
      <c r="L134" s="2" t="s">
        <v>345</v>
      </c>
      <c r="M134" s="2" t="s">
        <v>65</v>
      </c>
      <c r="N134" s="4" t="s">
        <v>493</v>
      </c>
      <c r="O134" s="4" t="s">
        <v>159</v>
      </c>
      <c r="P134" s="4" t="s">
        <v>44</v>
      </c>
      <c r="Q134" s="156">
        <v>2600</v>
      </c>
      <c r="R134" s="171">
        <v>1</v>
      </c>
      <c r="S134" s="173">
        <v>8550</v>
      </c>
      <c r="T134" s="155">
        <v>1.976</v>
      </c>
      <c r="U134" s="156">
        <v>224.27600000000001</v>
      </c>
      <c r="V134" s="170">
        <v>4.1E-5</v>
      </c>
      <c r="W134" s="170">
        <v>1.78806086970686E-2</v>
      </c>
      <c r="X134" s="170">
        <v>3.7383723493534201E-3</v>
      </c>
    </row>
    <row r="135" spans="1:24">
      <c r="A135" s="4">
        <v>288</v>
      </c>
      <c r="B135" s="4">
        <v>1452</v>
      </c>
      <c r="C135" s="4" t="s">
        <v>1675</v>
      </c>
      <c r="D135" s="4" t="s">
        <v>1676</v>
      </c>
      <c r="E135" s="4" t="s">
        <v>1333</v>
      </c>
      <c r="F135" s="4" t="s">
        <v>1677</v>
      </c>
      <c r="G135" s="4" t="s">
        <v>1678</v>
      </c>
      <c r="H135" s="4" t="s">
        <v>339</v>
      </c>
      <c r="I135" s="4" t="s">
        <v>950</v>
      </c>
      <c r="J135" s="4" t="s">
        <v>30</v>
      </c>
      <c r="K135" s="4" t="s">
        <v>30</v>
      </c>
      <c r="L135" s="2" t="s">
        <v>345</v>
      </c>
      <c r="M135" s="2" t="s">
        <v>65</v>
      </c>
      <c r="N135" s="4" t="s">
        <v>480</v>
      </c>
      <c r="O135" s="4" t="s">
        <v>159</v>
      </c>
      <c r="P135" s="4" t="s">
        <v>44</v>
      </c>
      <c r="Q135" s="156">
        <v>1082</v>
      </c>
      <c r="R135" s="171">
        <v>1</v>
      </c>
      <c r="S135" s="173">
        <v>32400</v>
      </c>
      <c r="U135" s="156">
        <v>350.56799999999998</v>
      </c>
      <c r="V135" s="170">
        <v>2.3E-5</v>
      </c>
      <c r="W135" s="170">
        <v>2.7949353607670702E-2</v>
      </c>
      <c r="X135" s="170">
        <v>5.8434862302169203E-3</v>
      </c>
    </row>
    <row r="136" spans="1:24">
      <c r="A136" s="4">
        <v>288</v>
      </c>
      <c r="B136" s="4">
        <v>1452</v>
      </c>
      <c r="C136" s="4" t="s">
        <v>1679</v>
      </c>
      <c r="D136" s="4" t="s">
        <v>1680</v>
      </c>
      <c r="E136" s="4" t="s">
        <v>330</v>
      </c>
      <c r="F136" s="4" t="s">
        <v>1681</v>
      </c>
      <c r="G136" s="4" t="s">
        <v>1682</v>
      </c>
      <c r="H136" s="4" t="s">
        <v>339</v>
      </c>
      <c r="I136" s="4" t="s">
        <v>950</v>
      </c>
      <c r="J136" s="4" t="s">
        <v>30</v>
      </c>
      <c r="K136" s="4" t="s">
        <v>125</v>
      </c>
      <c r="L136" s="2" t="s">
        <v>345</v>
      </c>
      <c r="M136" s="2" t="s">
        <v>65</v>
      </c>
      <c r="N136" s="4" t="s">
        <v>470</v>
      </c>
      <c r="O136" s="4" t="s">
        <v>159</v>
      </c>
      <c r="P136" s="4" t="s">
        <v>44</v>
      </c>
      <c r="Q136" s="156">
        <v>3402</v>
      </c>
      <c r="R136" s="171">
        <v>1</v>
      </c>
      <c r="S136" s="173">
        <v>7320</v>
      </c>
      <c r="U136" s="156">
        <v>249.02600000000001</v>
      </c>
      <c r="V136" s="170">
        <v>3.4E-5</v>
      </c>
      <c r="W136" s="170">
        <v>1.98538569157631E-2</v>
      </c>
      <c r="X136" s="170">
        <v>4.1509274644590801E-3</v>
      </c>
    </row>
    <row r="137" spans="1:24">
      <c r="A137" s="4">
        <v>288</v>
      </c>
      <c r="B137" s="4">
        <v>1452</v>
      </c>
      <c r="C137" s="4" t="s">
        <v>1600</v>
      </c>
      <c r="D137" s="4" t="s">
        <v>1601</v>
      </c>
      <c r="E137" s="4" t="s">
        <v>1333</v>
      </c>
      <c r="F137" s="4" t="s">
        <v>1683</v>
      </c>
      <c r="G137" s="4" t="s">
        <v>1603</v>
      </c>
      <c r="H137" s="4" t="s">
        <v>339</v>
      </c>
      <c r="I137" s="4" t="s">
        <v>950</v>
      </c>
      <c r="J137" s="4" t="s">
        <v>30</v>
      </c>
      <c r="K137" s="4" t="s">
        <v>316</v>
      </c>
      <c r="L137" s="2" t="s">
        <v>345</v>
      </c>
      <c r="M137" s="2" t="s">
        <v>65</v>
      </c>
      <c r="N137" s="4" t="s">
        <v>474</v>
      </c>
      <c r="O137" s="4" t="s">
        <v>159</v>
      </c>
      <c r="P137" s="4" t="s">
        <v>44</v>
      </c>
      <c r="Q137" s="156">
        <v>186</v>
      </c>
      <c r="R137" s="171">
        <v>1</v>
      </c>
      <c r="S137" s="173">
        <v>71910</v>
      </c>
      <c r="U137" s="156">
        <v>133.75299999999999</v>
      </c>
      <c r="V137" s="170">
        <v>6.0000000000000002E-6</v>
      </c>
      <c r="W137" s="170">
        <v>1.0663548051577199E-2</v>
      </c>
      <c r="X137" s="170">
        <v>2.2294718181799602E-3</v>
      </c>
    </row>
    <row r="138" spans="1:24">
      <c r="A138" s="4">
        <v>288</v>
      </c>
      <c r="B138" s="4">
        <v>1452</v>
      </c>
      <c r="C138" s="4" t="s">
        <v>1684</v>
      </c>
      <c r="D138" s="4" t="s">
        <v>1685</v>
      </c>
      <c r="E138" s="4" t="s">
        <v>330</v>
      </c>
      <c r="F138" s="4" t="s">
        <v>1686</v>
      </c>
      <c r="G138" s="4" t="s">
        <v>1687</v>
      </c>
      <c r="H138" s="4" t="s">
        <v>339</v>
      </c>
      <c r="I138" s="4" t="s">
        <v>950</v>
      </c>
      <c r="J138" s="4" t="s">
        <v>30</v>
      </c>
      <c r="K138" s="4" t="s">
        <v>30</v>
      </c>
      <c r="L138" s="2" t="s">
        <v>345</v>
      </c>
      <c r="M138" s="2" t="s">
        <v>65</v>
      </c>
      <c r="N138" s="4" t="s">
        <v>470</v>
      </c>
      <c r="O138" s="4" t="s">
        <v>159</v>
      </c>
      <c r="P138" s="4" t="s">
        <v>44</v>
      </c>
      <c r="Q138" s="156">
        <v>21722</v>
      </c>
      <c r="R138" s="171">
        <v>1</v>
      </c>
      <c r="S138" s="173">
        <v>1114</v>
      </c>
      <c r="U138" s="156">
        <v>241.983</v>
      </c>
      <c r="V138" s="170">
        <v>1.9000000000000001E-5</v>
      </c>
      <c r="W138" s="170">
        <v>1.9292321803453999E-2</v>
      </c>
      <c r="X138" s="170">
        <v>4.0335250106269798E-3</v>
      </c>
    </row>
    <row r="139" spans="1:24">
      <c r="A139" s="4">
        <v>288</v>
      </c>
      <c r="B139" s="4">
        <v>1452</v>
      </c>
      <c r="C139" s="4" t="s">
        <v>1688</v>
      </c>
      <c r="D139" s="4" t="s">
        <v>1689</v>
      </c>
      <c r="E139" s="4" t="s">
        <v>1333</v>
      </c>
      <c r="F139" s="4" t="s">
        <v>1690</v>
      </c>
      <c r="G139" s="4" t="s">
        <v>1691</v>
      </c>
      <c r="H139" s="4" t="s">
        <v>339</v>
      </c>
      <c r="I139" s="4" t="s">
        <v>950</v>
      </c>
      <c r="J139" s="4" t="s">
        <v>30</v>
      </c>
      <c r="K139" s="4" t="s">
        <v>125</v>
      </c>
      <c r="L139" s="2" t="s">
        <v>345</v>
      </c>
      <c r="M139" s="2" t="s">
        <v>65</v>
      </c>
      <c r="N139" s="4" t="s">
        <v>497</v>
      </c>
      <c r="O139" s="4" t="s">
        <v>159</v>
      </c>
      <c r="P139" s="4" t="s">
        <v>44</v>
      </c>
      <c r="Q139" s="156">
        <v>492</v>
      </c>
      <c r="R139" s="171">
        <v>1</v>
      </c>
      <c r="S139" s="173">
        <v>62120</v>
      </c>
      <c r="U139" s="156">
        <v>305.63</v>
      </c>
      <c r="V139" s="170">
        <v>6.9999999999999999E-6</v>
      </c>
      <c r="W139" s="170">
        <v>2.43666624530871E-2</v>
      </c>
      <c r="X139" s="170">
        <v>5.0944382657164703E-3</v>
      </c>
    </row>
    <row r="140" spans="1:24">
      <c r="A140" s="4">
        <v>288</v>
      </c>
      <c r="B140" s="4">
        <v>1452</v>
      </c>
      <c r="C140" s="4" t="s">
        <v>1692</v>
      </c>
      <c r="D140" s="4" t="s">
        <v>1693</v>
      </c>
      <c r="E140" s="4" t="s">
        <v>1333</v>
      </c>
      <c r="F140" s="4" t="s">
        <v>1692</v>
      </c>
      <c r="G140" s="4" t="s">
        <v>1694</v>
      </c>
      <c r="H140" s="4" t="s">
        <v>339</v>
      </c>
      <c r="I140" s="4" t="s">
        <v>950</v>
      </c>
      <c r="J140" s="4" t="s">
        <v>30</v>
      </c>
      <c r="K140" s="4" t="s">
        <v>30</v>
      </c>
      <c r="L140" s="2" t="s">
        <v>345</v>
      </c>
      <c r="M140" s="2" t="s">
        <v>65</v>
      </c>
      <c r="N140" s="4" t="s">
        <v>455</v>
      </c>
      <c r="O140" s="4" t="s">
        <v>159</v>
      </c>
      <c r="P140" s="4" t="s">
        <v>44</v>
      </c>
      <c r="Q140" s="156">
        <v>3700</v>
      </c>
      <c r="R140" s="171">
        <v>1</v>
      </c>
      <c r="S140" s="173">
        <v>6044</v>
      </c>
      <c r="U140" s="156">
        <v>223.62799999999999</v>
      </c>
      <c r="V140" s="170">
        <v>4.6E-5</v>
      </c>
      <c r="W140" s="170">
        <v>1.78289463059269E-2</v>
      </c>
      <c r="X140" s="170">
        <v>3.7275710809056999E-3</v>
      </c>
    </row>
    <row r="141" spans="1:24">
      <c r="A141" s="4">
        <v>288</v>
      </c>
      <c r="B141" s="4">
        <v>1452</v>
      </c>
      <c r="C141" s="4" t="s">
        <v>1695</v>
      </c>
      <c r="D141" s="4" t="s">
        <v>1696</v>
      </c>
      <c r="E141" s="4" t="s">
        <v>1333</v>
      </c>
      <c r="F141" s="4" t="s">
        <v>1697</v>
      </c>
      <c r="G141" s="4" t="s">
        <v>1698</v>
      </c>
      <c r="H141" s="4" t="s">
        <v>339</v>
      </c>
      <c r="I141" s="4" t="s">
        <v>950</v>
      </c>
      <c r="J141" s="4" t="s">
        <v>30</v>
      </c>
      <c r="K141" s="4" t="s">
        <v>30</v>
      </c>
      <c r="L141" s="2" t="s">
        <v>345</v>
      </c>
      <c r="M141" s="2" t="s">
        <v>65</v>
      </c>
      <c r="N141" s="4" t="s">
        <v>480</v>
      </c>
      <c r="O141" s="4" t="s">
        <v>159</v>
      </c>
      <c r="P141" s="4" t="s">
        <v>44</v>
      </c>
      <c r="Q141" s="156">
        <v>1316</v>
      </c>
      <c r="R141" s="171">
        <v>1</v>
      </c>
      <c r="S141" s="173">
        <v>30090</v>
      </c>
      <c r="U141" s="156">
        <v>395.98399999999998</v>
      </c>
      <c r="V141" s="170">
        <v>1.1E-5</v>
      </c>
      <c r="W141" s="170">
        <v>3.1570217529042301E-2</v>
      </c>
      <c r="X141" s="170">
        <v>6.6005151319593102E-3</v>
      </c>
    </row>
    <row r="142" spans="1:24">
      <c r="A142" s="4">
        <v>288</v>
      </c>
      <c r="B142" s="4">
        <v>1452</v>
      </c>
      <c r="C142" s="4" t="s">
        <v>1699</v>
      </c>
      <c r="D142" s="4" t="s">
        <v>1700</v>
      </c>
      <c r="E142" s="4" t="s">
        <v>1333</v>
      </c>
      <c r="F142" s="4" t="s">
        <v>1701</v>
      </c>
      <c r="G142" s="4" t="s">
        <v>1702</v>
      </c>
      <c r="H142" s="4" t="s">
        <v>339</v>
      </c>
      <c r="I142" s="4" t="s">
        <v>950</v>
      </c>
      <c r="J142" s="4" t="s">
        <v>30</v>
      </c>
      <c r="K142" s="4" t="s">
        <v>30</v>
      </c>
      <c r="L142" s="2" t="s">
        <v>345</v>
      </c>
      <c r="M142" s="2" t="s">
        <v>65</v>
      </c>
      <c r="N142" s="4" t="s">
        <v>464</v>
      </c>
      <c r="O142" s="4" t="s">
        <v>159</v>
      </c>
      <c r="P142" s="4" t="s">
        <v>44</v>
      </c>
      <c r="Q142" s="156">
        <v>19590</v>
      </c>
      <c r="R142" s="171">
        <v>1</v>
      </c>
      <c r="S142" s="173">
        <v>4402</v>
      </c>
      <c r="U142" s="156">
        <v>862.35199999999998</v>
      </c>
      <c r="V142" s="170">
        <v>1.5E-5</v>
      </c>
      <c r="W142" s="170">
        <v>6.8751783940380395E-2</v>
      </c>
      <c r="X142" s="170">
        <v>1.43742180373074E-2</v>
      </c>
    </row>
    <row r="143" spans="1:24">
      <c r="A143" s="4">
        <v>288</v>
      </c>
      <c r="B143" s="4">
        <v>1452</v>
      </c>
      <c r="C143" s="4" t="s">
        <v>1703</v>
      </c>
      <c r="D143" s="4" t="s">
        <v>1704</v>
      </c>
      <c r="E143" s="4" t="s">
        <v>1333</v>
      </c>
      <c r="F143" s="4" t="s">
        <v>1705</v>
      </c>
      <c r="G143" s="4" t="s">
        <v>1706</v>
      </c>
      <c r="H143" s="4" t="s">
        <v>339</v>
      </c>
      <c r="I143" s="4" t="s">
        <v>950</v>
      </c>
      <c r="J143" s="4" t="s">
        <v>30</v>
      </c>
      <c r="K143" s="4" t="s">
        <v>30</v>
      </c>
      <c r="L143" s="2" t="s">
        <v>345</v>
      </c>
      <c r="M143" s="2" t="s">
        <v>65</v>
      </c>
      <c r="N143" s="4" t="s">
        <v>492</v>
      </c>
      <c r="O143" s="4" t="s">
        <v>159</v>
      </c>
      <c r="P143" s="4" t="s">
        <v>44</v>
      </c>
      <c r="Q143" s="156">
        <v>589</v>
      </c>
      <c r="R143" s="171">
        <v>1</v>
      </c>
      <c r="S143" s="173">
        <v>29900</v>
      </c>
      <c r="U143" s="156">
        <v>176.11099999999999</v>
      </c>
      <c r="V143" s="170">
        <v>4.3000000000000002E-5</v>
      </c>
      <c r="W143" s="170">
        <v>1.4040610133270799E-2</v>
      </c>
      <c r="X143" s="170">
        <v>2.9355280672786199E-3</v>
      </c>
    </row>
    <row r="144" spans="1:24">
      <c r="A144" s="4">
        <v>288</v>
      </c>
      <c r="B144" s="4">
        <v>1452</v>
      </c>
      <c r="C144" s="4" t="s">
        <v>1707</v>
      </c>
      <c r="D144" s="4" t="s">
        <v>1708</v>
      </c>
      <c r="E144" s="4" t="s">
        <v>1333</v>
      </c>
      <c r="F144" s="4" t="s">
        <v>1709</v>
      </c>
      <c r="G144" s="4" t="s">
        <v>1710</v>
      </c>
      <c r="H144" s="4" t="s">
        <v>339</v>
      </c>
      <c r="I144" s="4" t="s">
        <v>950</v>
      </c>
      <c r="J144" s="4" t="s">
        <v>30</v>
      </c>
      <c r="K144" s="4" t="s">
        <v>30</v>
      </c>
      <c r="L144" s="2" t="s">
        <v>345</v>
      </c>
      <c r="M144" s="2" t="s">
        <v>65</v>
      </c>
      <c r="N144" s="4" t="s">
        <v>493</v>
      </c>
      <c r="O144" s="4" t="s">
        <v>159</v>
      </c>
      <c r="P144" s="4" t="s">
        <v>44</v>
      </c>
      <c r="Q144" s="156">
        <v>400</v>
      </c>
      <c r="R144" s="171">
        <v>1</v>
      </c>
      <c r="S144" s="173">
        <v>30600</v>
      </c>
      <c r="U144" s="156">
        <v>122.4</v>
      </c>
      <c r="V144" s="170">
        <v>2.5000000000000001E-5</v>
      </c>
      <c r="W144" s="170">
        <v>9.7584516601027203E-3</v>
      </c>
      <c r="X144" s="170">
        <v>2.04023959568059E-3</v>
      </c>
    </row>
    <row r="145" spans="1:24">
      <c r="A145" s="4">
        <v>288</v>
      </c>
      <c r="B145" s="4">
        <v>1452</v>
      </c>
      <c r="C145" s="4" t="s">
        <v>1767</v>
      </c>
      <c r="D145" s="4" t="s">
        <v>1768</v>
      </c>
      <c r="E145" s="4" t="s">
        <v>1333</v>
      </c>
      <c r="F145" s="4" t="s">
        <v>1769</v>
      </c>
      <c r="G145" s="4" t="s">
        <v>1770</v>
      </c>
      <c r="H145" s="4" t="s">
        <v>339</v>
      </c>
      <c r="I145" s="4" t="s">
        <v>950</v>
      </c>
      <c r="J145" s="4" t="s">
        <v>30</v>
      </c>
      <c r="K145" s="4" t="s">
        <v>316</v>
      </c>
      <c r="L145" s="2" t="s">
        <v>345</v>
      </c>
      <c r="M145" s="2" t="s">
        <v>65</v>
      </c>
      <c r="N145" s="4" t="s">
        <v>474</v>
      </c>
      <c r="O145" s="4" t="s">
        <v>159</v>
      </c>
      <c r="P145" s="4" t="s">
        <v>44</v>
      </c>
      <c r="Q145" s="156">
        <v>594</v>
      </c>
      <c r="R145" s="171">
        <v>1</v>
      </c>
      <c r="S145" s="173">
        <v>29800</v>
      </c>
      <c r="U145" s="156">
        <v>177.012</v>
      </c>
      <c r="V145" s="170">
        <v>1.2999999999999999E-5</v>
      </c>
      <c r="W145" s="170">
        <v>1.41124431802133E-2</v>
      </c>
      <c r="X145" s="170">
        <v>2.95054649763572E-3</v>
      </c>
    </row>
    <row r="146" spans="1:24">
      <c r="A146" s="4">
        <v>288</v>
      </c>
      <c r="B146" s="4">
        <v>1452</v>
      </c>
      <c r="C146" s="4" t="s">
        <v>1711</v>
      </c>
      <c r="D146" s="4" t="s">
        <v>1712</v>
      </c>
      <c r="E146" s="4" t="s">
        <v>330</v>
      </c>
      <c r="F146" s="4" t="s">
        <v>1713</v>
      </c>
      <c r="G146" s="4" t="s">
        <v>1714</v>
      </c>
      <c r="H146" s="4" t="s">
        <v>339</v>
      </c>
      <c r="I146" s="4" t="s">
        <v>950</v>
      </c>
      <c r="J146" s="4" t="s">
        <v>30</v>
      </c>
      <c r="K146" s="4" t="s">
        <v>30</v>
      </c>
      <c r="L146" s="2" t="s">
        <v>345</v>
      </c>
      <c r="M146" s="2" t="s">
        <v>65</v>
      </c>
      <c r="N146" s="4" t="s">
        <v>470</v>
      </c>
      <c r="O146" s="4" t="s">
        <v>159</v>
      </c>
      <c r="P146" s="4" t="s">
        <v>44</v>
      </c>
      <c r="Q146" s="156">
        <v>62035</v>
      </c>
      <c r="R146" s="171">
        <v>1</v>
      </c>
      <c r="S146" s="173">
        <v>340.9</v>
      </c>
      <c r="U146" s="156">
        <v>211.477</v>
      </c>
      <c r="V146" s="170">
        <v>5.5000000000000002E-5</v>
      </c>
      <c r="W146" s="170">
        <v>1.6860221859769702E-2</v>
      </c>
      <c r="X146" s="170">
        <v>3.5250358795033999E-3</v>
      </c>
    </row>
    <row r="147" spans="1:24">
      <c r="A147" s="4">
        <v>288</v>
      </c>
      <c r="B147" s="4">
        <v>1452</v>
      </c>
      <c r="C147" s="4" t="s">
        <v>1715</v>
      </c>
      <c r="D147" s="4" t="s">
        <v>1716</v>
      </c>
      <c r="E147" s="4" t="s">
        <v>1333</v>
      </c>
      <c r="F147" s="4" t="s">
        <v>1717</v>
      </c>
      <c r="G147" s="4" t="s">
        <v>1718</v>
      </c>
      <c r="H147" s="4" t="s">
        <v>339</v>
      </c>
      <c r="I147" s="4" t="s">
        <v>950</v>
      </c>
      <c r="J147" s="4" t="s">
        <v>30</v>
      </c>
      <c r="K147" s="4" t="s">
        <v>30</v>
      </c>
      <c r="L147" s="2" t="s">
        <v>345</v>
      </c>
      <c r="M147" s="2" t="s">
        <v>65</v>
      </c>
      <c r="N147" s="4" t="s">
        <v>492</v>
      </c>
      <c r="O147" s="4" t="s">
        <v>159</v>
      </c>
      <c r="P147" s="4" t="s">
        <v>44</v>
      </c>
      <c r="Q147" s="156">
        <v>4815</v>
      </c>
      <c r="R147" s="171">
        <v>1</v>
      </c>
      <c r="S147" s="173">
        <v>3795</v>
      </c>
      <c r="U147" s="156">
        <v>182.72900000000001</v>
      </c>
      <c r="V147" s="170">
        <v>1.7E-5</v>
      </c>
      <c r="W147" s="170">
        <v>1.45682561520574E-2</v>
      </c>
      <c r="X147" s="170">
        <v>3.04584518904425E-3</v>
      </c>
    </row>
    <row r="148" spans="1:24">
      <c r="A148" s="4">
        <v>288</v>
      </c>
      <c r="B148" s="4">
        <v>1452</v>
      </c>
      <c r="C148" s="4" t="s">
        <v>1783</v>
      </c>
      <c r="D148" s="4" t="s">
        <v>1784</v>
      </c>
      <c r="E148" s="4" t="s">
        <v>332</v>
      </c>
      <c r="F148" s="4" t="s">
        <v>1785</v>
      </c>
      <c r="G148" s="4" t="s">
        <v>1786</v>
      </c>
      <c r="H148" s="4" t="s">
        <v>339</v>
      </c>
      <c r="I148" s="4" t="s">
        <v>950</v>
      </c>
      <c r="J148" s="4" t="s">
        <v>124</v>
      </c>
      <c r="K148" s="4" t="s">
        <v>125</v>
      </c>
      <c r="L148" s="2" t="s">
        <v>345</v>
      </c>
      <c r="M148" s="2" t="s">
        <v>364</v>
      </c>
      <c r="N148" s="4" t="s">
        <v>565</v>
      </c>
      <c r="O148" s="4" t="s">
        <v>159</v>
      </c>
      <c r="P148" s="4" t="s">
        <v>34</v>
      </c>
      <c r="Q148" s="156">
        <v>330</v>
      </c>
      <c r="R148" s="171">
        <v>3.6469999999999998</v>
      </c>
      <c r="S148" s="173">
        <v>12079</v>
      </c>
      <c r="U148" s="156">
        <v>145.37200000000001</v>
      </c>
      <c r="V148" s="170">
        <v>0</v>
      </c>
      <c r="W148" s="170">
        <v>1.1589913155869399E-2</v>
      </c>
      <c r="X148" s="170">
        <v>2.4231507778822302E-3</v>
      </c>
    </row>
    <row r="149" spans="1:24">
      <c r="A149" s="4">
        <v>288</v>
      </c>
      <c r="B149" s="4">
        <v>1452</v>
      </c>
      <c r="C149" s="4" t="s">
        <v>1787</v>
      </c>
      <c r="D149" s="4" t="s">
        <v>1788</v>
      </c>
      <c r="E149" s="4" t="s">
        <v>332</v>
      </c>
      <c r="F149" s="4" t="s">
        <v>1789</v>
      </c>
      <c r="G149" s="4" t="s">
        <v>1790</v>
      </c>
      <c r="H149" s="4" t="s">
        <v>339</v>
      </c>
      <c r="I149" s="4" t="s">
        <v>950</v>
      </c>
      <c r="J149" s="4" t="s">
        <v>124</v>
      </c>
      <c r="K149" s="4" t="s">
        <v>125</v>
      </c>
      <c r="L149" s="2" t="s">
        <v>345</v>
      </c>
      <c r="M149" s="2" t="s">
        <v>364</v>
      </c>
      <c r="N149" s="4" t="s">
        <v>532</v>
      </c>
      <c r="O149" s="4" t="s">
        <v>159</v>
      </c>
      <c r="P149" s="4" t="s">
        <v>34</v>
      </c>
      <c r="Q149" s="156">
        <v>330</v>
      </c>
      <c r="R149" s="171">
        <v>3.6469999999999998</v>
      </c>
      <c r="S149" s="173">
        <v>21939</v>
      </c>
      <c r="U149" s="156">
        <v>264.03800000000001</v>
      </c>
      <c r="V149" s="170">
        <v>0</v>
      </c>
      <c r="W149" s="170">
        <v>2.1050675116037601E-2</v>
      </c>
      <c r="X149" s="170">
        <v>4.4011511644969203E-3</v>
      </c>
    </row>
    <row r="150" spans="1:24">
      <c r="A150" s="4">
        <v>288</v>
      </c>
      <c r="B150" s="4">
        <v>1452</v>
      </c>
      <c r="C150" s="4" t="s">
        <v>1791</v>
      </c>
      <c r="D150" s="4" t="s">
        <v>1792</v>
      </c>
      <c r="E150" s="4" t="s">
        <v>332</v>
      </c>
      <c r="F150" s="4" t="s">
        <v>1793</v>
      </c>
      <c r="G150" s="4" t="s">
        <v>1794</v>
      </c>
      <c r="H150" s="4" t="s">
        <v>339</v>
      </c>
      <c r="I150" s="4" t="s">
        <v>950</v>
      </c>
      <c r="J150" s="4" t="s">
        <v>124</v>
      </c>
      <c r="K150" s="4" t="s">
        <v>125</v>
      </c>
      <c r="L150" s="2" t="s">
        <v>345</v>
      </c>
      <c r="M150" s="2" t="s">
        <v>364</v>
      </c>
      <c r="N150" s="4" t="s">
        <v>565</v>
      </c>
      <c r="O150" s="4" t="s">
        <v>159</v>
      </c>
      <c r="P150" s="4" t="s">
        <v>34</v>
      </c>
      <c r="Q150" s="156">
        <v>90</v>
      </c>
      <c r="R150" s="171">
        <v>3.6469999999999998</v>
      </c>
      <c r="S150" s="173">
        <v>69308</v>
      </c>
      <c r="U150" s="156">
        <v>227.49</v>
      </c>
      <c r="V150" s="170">
        <v>0</v>
      </c>
      <c r="W150" s="170">
        <v>1.8136819747427799E-2</v>
      </c>
      <c r="X150" s="170">
        <v>3.79193944667594E-3</v>
      </c>
    </row>
    <row r="151" spans="1:24">
      <c r="A151" s="4">
        <v>288</v>
      </c>
      <c r="B151" s="4">
        <v>1452</v>
      </c>
      <c r="C151" s="4" t="s">
        <v>1798</v>
      </c>
      <c r="D151" s="4" t="s">
        <v>1799</v>
      </c>
      <c r="E151" s="4" t="s">
        <v>332</v>
      </c>
      <c r="F151" s="4" t="s">
        <v>1800</v>
      </c>
      <c r="G151" s="4" t="s">
        <v>1801</v>
      </c>
      <c r="H151" s="4" t="s">
        <v>339</v>
      </c>
      <c r="I151" s="4" t="s">
        <v>950</v>
      </c>
      <c r="J151" s="4" t="s">
        <v>124</v>
      </c>
      <c r="K151" s="4" t="s">
        <v>125</v>
      </c>
      <c r="L151" s="2" t="s">
        <v>345</v>
      </c>
      <c r="M151" s="2" t="s">
        <v>364</v>
      </c>
      <c r="N151" s="4" t="s">
        <v>565</v>
      </c>
      <c r="O151" s="4" t="s">
        <v>159</v>
      </c>
      <c r="P151" s="4" t="s">
        <v>34</v>
      </c>
      <c r="Q151" s="156">
        <v>360</v>
      </c>
      <c r="R151" s="171">
        <v>3.6469999999999998</v>
      </c>
      <c r="S151" s="173">
        <v>23184</v>
      </c>
      <c r="U151" s="156">
        <v>304.387</v>
      </c>
      <c r="V151" s="170">
        <v>9.9999999999999995E-7</v>
      </c>
      <c r="W151" s="170">
        <v>2.42675609756084E-2</v>
      </c>
      <c r="X151" s="170">
        <v>5.0737187125142798E-3</v>
      </c>
    </row>
    <row r="152" spans="1:24">
      <c r="A152" s="4">
        <v>288</v>
      </c>
      <c r="B152" s="4">
        <v>1452</v>
      </c>
      <c r="C152" s="4" t="s">
        <v>1767</v>
      </c>
      <c r="D152" s="4" t="s">
        <v>1768</v>
      </c>
      <c r="E152" s="4" t="s">
        <v>1333</v>
      </c>
      <c r="F152" s="4" t="s">
        <v>1802</v>
      </c>
      <c r="G152" s="4" t="s">
        <v>1770</v>
      </c>
      <c r="H152" s="4" t="s">
        <v>339</v>
      </c>
      <c r="I152" s="4" t="s">
        <v>950</v>
      </c>
      <c r="J152" s="4" t="s">
        <v>124</v>
      </c>
      <c r="K152" s="4" t="s">
        <v>316</v>
      </c>
      <c r="L152" s="2" t="s">
        <v>345</v>
      </c>
      <c r="M152" s="2" t="s">
        <v>364</v>
      </c>
      <c r="N152" s="4" t="s">
        <v>565</v>
      </c>
      <c r="O152" s="4" t="s">
        <v>159</v>
      </c>
      <c r="P152" s="4" t="s">
        <v>34</v>
      </c>
      <c r="Q152" s="156">
        <v>750</v>
      </c>
      <c r="R152" s="171">
        <v>3.6469999999999998</v>
      </c>
      <c r="S152" s="173">
        <v>8077</v>
      </c>
      <c r="U152" s="156">
        <v>220.92599999999999</v>
      </c>
      <c r="V152" s="170">
        <v>1.7E-5</v>
      </c>
      <c r="W152" s="170">
        <v>1.76135382519544E-2</v>
      </c>
      <c r="X152" s="170">
        <v>3.6825348337375099E-3</v>
      </c>
    </row>
    <row r="153" spans="1:24">
      <c r="A153" s="4">
        <v>288</v>
      </c>
      <c r="B153" s="4">
        <v>1452</v>
      </c>
      <c r="C153" s="4" t="s">
        <v>1803</v>
      </c>
      <c r="D153" s="4" t="s">
        <v>1804</v>
      </c>
      <c r="E153" s="4" t="s">
        <v>332</v>
      </c>
      <c r="F153" s="4" t="s">
        <v>1803</v>
      </c>
      <c r="G153" s="4" t="s">
        <v>1805</v>
      </c>
      <c r="H153" s="4" t="s">
        <v>339</v>
      </c>
      <c r="I153" s="4" t="s">
        <v>950</v>
      </c>
      <c r="J153" s="4" t="s">
        <v>124</v>
      </c>
      <c r="K153" s="4" t="s">
        <v>316</v>
      </c>
      <c r="L153" s="2" t="s">
        <v>345</v>
      </c>
      <c r="M153" s="2" t="s">
        <v>364</v>
      </c>
      <c r="N153" s="4" t="s">
        <v>1806</v>
      </c>
      <c r="O153" s="4" t="s">
        <v>159</v>
      </c>
      <c r="P153" s="4" t="s">
        <v>34</v>
      </c>
      <c r="Q153" s="156">
        <v>75</v>
      </c>
      <c r="R153" s="171">
        <v>3.6469999999999998</v>
      </c>
      <c r="S153" s="173">
        <v>91627</v>
      </c>
      <c r="U153" s="156">
        <v>250.62299999999999</v>
      </c>
      <c r="V153" s="170">
        <v>0</v>
      </c>
      <c r="W153" s="170">
        <v>1.9981127515312901E-2</v>
      </c>
      <c r="X153" s="170">
        <v>4.17753645178738E-3</v>
      </c>
    </row>
    <row r="154" spans="1:24">
      <c r="A154" s="4">
        <v>288</v>
      </c>
      <c r="B154" s="4">
        <v>1452</v>
      </c>
      <c r="C154" s="4" t="s">
        <v>1807</v>
      </c>
      <c r="D154" s="4" t="s">
        <v>1808</v>
      </c>
      <c r="E154" s="4" t="s">
        <v>332</v>
      </c>
      <c r="F154" s="4" t="s">
        <v>1809</v>
      </c>
      <c r="G154" s="4" t="s">
        <v>1810</v>
      </c>
      <c r="H154" s="4" t="s">
        <v>339</v>
      </c>
      <c r="I154" s="4" t="s">
        <v>950</v>
      </c>
      <c r="J154" s="4" t="s">
        <v>124</v>
      </c>
      <c r="K154" s="4" t="s">
        <v>125</v>
      </c>
      <c r="L154" s="2" t="s">
        <v>345</v>
      </c>
      <c r="M154" s="2" t="s">
        <v>364</v>
      </c>
      <c r="N154" s="4" t="s">
        <v>566</v>
      </c>
      <c r="O154" s="4" t="s">
        <v>159</v>
      </c>
      <c r="P154" s="4" t="s">
        <v>34</v>
      </c>
      <c r="Q154" s="156">
        <v>480</v>
      </c>
      <c r="R154" s="171">
        <v>3.6469999999999998</v>
      </c>
      <c r="S154" s="173">
        <v>18930</v>
      </c>
      <c r="U154" s="156">
        <v>331.38099999999997</v>
      </c>
      <c r="V154" s="170">
        <v>1.9999999999999999E-6</v>
      </c>
      <c r="W154" s="170">
        <v>2.6419653167027098E-2</v>
      </c>
      <c r="X154" s="170">
        <v>5.5236654720436703E-3</v>
      </c>
    </row>
    <row r="155" spans="1:24">
      <c r="A155" s="4">
        <v>288</v>
      </c>
      <c r="B155" s="4">
        <v>1452</v>
      </c>
      <c r="C155" s="4" t="s">
        <v>1807</v>
      </c>
      <c r="D155" s="4" t="s">
        <v>1808</v>
      </c>
      <c r="E155" s="4" t="s">
        <v>332</v>
      </c>
      <c r="F155" s="4" t="s">
        <v>1811</v>
      </c>
      <c r="G155" s="4" t="s">
        <v>1812</v>
      </c>
      <c r="H155" s="4" t="s">
        <v>339</v>
      </c>
      <c r="I155" s="4" t="s">
        <v>950</v>
      </c>
      <c r="J155" s="4" t="s">
        <v>124</v>
      </c>
      <c r="K155" s="4" t="s">
        <v>125</v>
      </c>
      <c r="L155" s="2" t="s">
        <v>345</v>
      </c>
      <c r="M155" s="2" t="s">
        <v>364</v>
      </c>
      <c r="N155" s="4" t="s">
        <v>566</v>
      </c>
      <c r="O155" s="4" t="s">
        <v>159</v>
      </c>
      <c r="P155" s="4" t="s">
        <v>34</v>
      </c>
      <c r="Q155" s="156">
        <v>122</v>
      </c>
      <c r="R155" s="171">
        <v>3.6469999999999998</v>
      </c>
      <c r="S155" s="173">
        <v>19044</v>
      </c>
      <c r="U155" s="156">
        <v>84.733000000000004</v>
      </c>
      <c r="V155" s="170">
        <v>0</v>
      </c>
      <c r="W155" s="170">
        <v>6.75543413666241E-3</v>
      </c>
      <c r="X155" s="170">
        <v>1.4123863796939599E-3</v>
      </c>
    </row>
    <row r="156" spans="1:24">
      <c r="A156" s="4">
        <v>288</v>
      </c>
      <c r="B156" s="4">
        <v>1452</v>
      </c>
      <c r="C156" s="4" t="s">
        <v>1817</v>
      </c>
      <c r="D156" s="4" t="s">
        <v>1818</v>
      </c>
      <c r="E156" s="4" t="s">
        <v>332</v>
      </c>
      <c r="F156" s="4" t="s">
        <v>1819</v>
      </c>
      <c r="G156" s="4" t="s">
        <v>1820</v>
      </c>
      <c r="H156" s="4" t="s">
        <v>339</v>
      </c>
      <c r="I156" s="4" t="s">
        <v>950</v>
      </c>
      <c r="J156" s="4" t="s">
        <v>124</v>
      </c>
      <c r="K156" s="4" t="s">
        <v>125</v>
      </c>
      <c r="L156" s="2" t="s">
        <v>345</v>
      </c>
      <c r="M156" s="2" t="s">
        <v>362</v>
      </c>
      <c r="N156" s="4" t="s">
        <v>1821</v>
      </c>
      <c r="O156" s="4" t="s">
        <v>159</v>
      </c>
      <c r="P156" s="4" t="s">
        <v>34</v>
      </c>
      <c r="Q156" s="156">
        <v>140</v>
      </c>
      <c r="R156" s="171">
        <v>3.6469999999999998</v>
      </c>
      <c r="S156" s="173">
        <v>52657</v>
      </c>
      <c r="U156" s="156">
        <v>268.85599999999999</v>
      </c>
      <c r="V156" s="170">
        <v>0</v>
      </c>
      <c r="W156" s="170">
        <v>2.1434798683115399E-2</v>
      </c>
      <c r="X156" s="170">
        <v>4.4814614574084904E-3</v>
      </c>
    </row>
    <row r="157" spans="1:24">
      <c r="A157" s="4">
        <v>288</v>
      </c>
      <c r="B157" s="4">
        <v>1452</v>
      </c>
      <c r="C157" s="4" t="s">
        <v>1822</v>
      </c>
      <c r="D157" s="4" t="s">
        <v>1823</v>
      </c>
      <c r="E157" s="4" t="s">
        <v>332</v>
      </c>
      <c r="F157" s="4" t="s">
        <v>1824</v>
      </c>
      <c r="G157" s="4" t="s">
        <v>1825</v>
      </c>
      <c r="H157" s="4" t="s">
        <v>339</v>
      </c>
      <c r="I157" s="4" t="s">
        <v>950</v>
      </c>
      <c r="J157" s="4" t="s">
        <v>124</v>
      </c>
      <c r="K157" s="4" t="s">
        <v>125</v>
      </c>
      <c r="L157" s="2" t="s">
        <v>345</v>
      </c>
      <c r="M157" s="2" t="s">
        <v>364</v>
      </c>
      <c r="N157" s="4" t="s">
        <v>561</v>
      </c>
      <c r="O157" s="4" t="s">
        <v>159</v>
      </c>
      <c r="P157" s="4" t="s">
        <v>34</v>
      </c>
      <c r="Q157" s="156">
        <v>161</v>
      </c>
      <c r="R157" s="171">
        <v>3.6469999999999998</v>
      </c>
      <c r="S157" s="173">
        <v>42150</v>
      </c>
      <c r="U157" s="156">
        <v>247.49100000000001</v>
      </c>
      <c r="V157" s="170">
        <v>0</v>
      </c>
      <c r="W157" s="170">
        <v>1.9731437020098198E-2</v>
      </c>
      <c r="X157" s="170">
        <v>4.12533263372833E-3</v>
      </c>
    </row>
    <row r="158" spans="1:24">
      <c r="A158" s="4">
        <v>288</v>
      </c>
      <c r="B158" s="4">
        <v>1452</v>
      </c>
      <c r="C158" s="4" t="s">
        <v>1688</v>
      </c>
      <c r="D158" s="4" t="s">
        <v>1689</v>
      </c>
      <c r="E158" s="4" t="s">
        <v>1333</v>
      </c>
      <c r="F158" s="4" t="s">
        <v>1826</v>
      </c>
      <c r="G158" s="4" t="s">
        <v>1827</v>
      </c>
      <c r="H158" s="4" t="s">
        <v>339</v>
      </c>
      <c r="I158" s="4" t="s">
        <v>950</v>
      </c>
      <c r="J158" s="4" t="s">
        <v>124</v>
      </c>
      <c r="K158" s="4" t="s">
        <v>30</v>
      </c>
      <c r="L158" s="2" t="s">
        <v>345</v>
      </c>
      <c r="M158" s="2" t="s">
        <v>364</v>
      </c>
      <c r="N158" s="4" t="s">
        <v>567</v>
      </c>
      <c r="O158" s="4" t="s">
        <v>159</v>
      </c>
      <c r="P158" s="4" t="s">
        <v>34</v>
      </c>
      <c r="Q158" s="156">
        <v>105</v>
      </c>
      <c r="R158" s="171">
        <v>3.6469999999999998</v>
      </c>
      <c r="S158" s="173">
        <v>16984</v>
      </c>
      <c r="U158" s="156">
        <v>65.037999999999997</v>
      </c>
      <c r="V158" s="170">
        <v>1.9999999999999999E-6</v>
      </c>
      <c r="W158" s="170">
        <v>5.1851884008873401E-3</v>
      </c>
      <c r="X158" s="170">
        <v>1.08408865002695E-3</v>
      </c>
    </row>
    <row r="159" spans="1:24">
      <c r="A159" s="4">
        <v>288</v>
      </c>
      <c r="B159" s="4">
        <v>1452</v>
      </c>
      <c r="C159" s="4" t="s">
        <v>1828</v>
      </c>
      <c r="D159" s="4" t="s">
        <v>1829</v>
      </c>
      <c r="E159" s="4" t="s">
        <v>332</v>
      </c>
      <c r="F159" s="4" t="s">
        <v>1830</v>
      </c>
      <c r="G159" s="4" t="s">
        <v>1831</v>
      </c>
      <c r="H159" s="4" t="s">
        <v>339</v>
      </c>
      <c r="I159" s="4" t="s">
        <v>950</v>
      </c>
      <c r="J159" s="4" t="s">
        <v>124</v>
      </c>
      <c r="K159" s="4" t="s">
        <v>125</v>
      </c>
      <c r="L159" s="2" t="s">
        <v>345</v>
      </c>
      <c r="M159" s="2" t="s">
        <v>364</v>
      </c>
      <c r="N159" s="4" t="s">
        <v>565</v>
      </c>
      <c r="O159" s="4" t="s">
        <v>159</v>
      </c>
      <c r="P159" s="4" t="s">
        <v>34</v>
      </c>
      <c r="Q159" s="156">
        <v>570</v>
      </c>
      <c r="R159" s="171">
        <v>3.6469999999999998</v>
      </c>
      <c r="S159" s="173">
        <v>13429</v>
      </c>
      <c r="U159" s="156">
        <v>279.161</v>
      </c>
      <c r="V159" s="170">
        <v>0</v>
      </c>
      <c r="W159" s="170">
        <v>2.2256342198957099E-2</v>
      </c>
      <c r="X159" s="170">
        <v>4.6532249367981201E-3</v>
      </c>
    </row>
    <row r="160" spans="1:24">
      <c r="A160" s="4">
        <v>288</v>
      </c>
      <c r="B160" s="4">
        <v>1452</v>
      </c>
      <c r="C160" s="4" t="s">
        <v>1832</v>
      </c>
      <c r="D160" s="4" t="s">
        <v>1833</v>
      </c>
      <c r="E160" s="4" t="s">
        <v>332</v>
      </c>
      <c r="F160" s="4" t="s">
        <v>1834</v>
      </c>
      <c r="G160" s="4" t="s">
        <v>1835</v>
      </c>
      <c r="H160" s="4" t="s">
        <v>339</v>
      </c>
      <c r="I160" s="4" t="s">
        <v>950</v>
      </c>
      <c r="J160" s="4" t="s">
        <v>124</v>
      </c>
      <c r="K160" s="4" t="s">
        <v>125</v>
      </c>
      <c r="L160" s="2" t="s">
        <v>345</v>
      </c>
      <c r="M160" s="2" t="s">
        <v>362</v>
      </c>
      <c r="N160" s="4" t="s">
        <v>574</v>
      </c>
      <c r="O160" s="4" t="s">
        <v>159</v>
      </c>
      <c r="P160" s="4" t="s">
        <v>34</v>
      </c>
      <c r="Q160" s="156">
        <v>1333</v>
      </c>
      <c r="R160" s="171">
        <v>3.6469999999999998</v>
      </c>
      <c r="S160" s="173">
        <v>6772</v>
      </c>
      <c r="U160" s="156">
        <v>329.21699999999998</v>
      </c>
      <c r="V160" s="170">
        <v>2.1999999999999999E-5</v>
      </c>
      <c r="W160" s="170">
        <v>2.6247162466146501E-2</v>
      </c>
      <c r="X160" s="170">
        <v>5.4876021322761599E-3</v>
      </c>
    </row>
    <row r="161" spans="1:24">
      <c r="A161" s="4">
        <v>288</v>
      </c>
      <c r="B161" s="4">
        <v>1452</v>
      </c>
      <c r="C161" s="4" t="s">
        <v>1842</v>
      </c>
      <c r="D161" s="4" t="s">
        <v>1843</v>
      </c>
      <c r="E161" s="4" t="s">
        <v>332</v>
      </c>
      <c r="F161" s="4" t="s">
        <v>1842</v>
      </c>
      <c r="G161" s="4" t="s">
        <v>1844</v>
      </c>
      <c r="H161" s="4" t="s">
        <v>339</v>
      </c>
      <c r="I161" s="4" t="s">
        <v>950</v>
      </c>
      <c r="J161" s="4" t="s">
        <v>124</v>
      </c>
      <c r="K161" s="4" t="s">
        <v>125</v>
      </c>
      <c r="L161" s="2" t="s">
        <v>345</v>
      </c>
      <c r="M161" s="2" t="s">
        <v>364</v>
      </c>
      <c r="N161" s="4" t="s">
        <v>529</v>
      </c>
      <c r="O161" s="4" t="s">
        <v>159</v>
      </c>
      <c r="P161" s="4" t="s">
        <v>34</v>
      </c>
      <c r="Q161" s="156">
        <v>90</v>
      </c>
      <c r="R161" s="171">
        <v>3.6469999999999998</v>
      </c>
      <c r="S161" s="173">
        <v>40384</v>
      </c>
      <c r="U161" s="156">
        <v>132.55199999999999</v>
      </c>
      <c r="V161" s="170">
        <v>0</v>
      </c>
      <c r="W161" s="170">
        <v>1.05678612668108E-2</v>
      </c>
      <c r="X161" s="170">
        <v>2.2094661888174701E-3</v>
      </c>
    </row>
    <row r="162" spans="1:24">
      <c r="A162" s="4">
        <v>288</v>
      </c>
      <c r="B162" s="4">
        <v>1452</v>
      </c>
      <c r="C162" s="4" t="s">
        <v>1845</v>
      </c>
      <c r="D162" s="4" t="s">
        <v>1846</v>
      </c>
      <c r="E162" s="4" t="s">
        <v>332</v>
      </c>
      <c r="F162" s="4" t="s">
        <v>1847</v>
      </c>
      <c r="G162" s="4" t="s">
        <v>1848</v>
      </c>
      <c r="H162" s="4" t="s">
        <v>339</v>
      </c>
      <c r="I162" s="4" t="s">
        <v>950</v>
      </c>
      <c r="J162" s="4" t="s">
        <v>124</v>
      </c>
      <c r="K162" s="4" t="s">
        <v>125</v>
      </c>
      <c r="L162" s="2" t="s">
        <v>345</v>
      </c>
      <c r="M162" s="2" t="s">
        <v>362</v>
      </c>
      <c r="N162" s="4" t="s">
        <v>1821</v>
      </c>
      <c r="O162" s="4" t="s">
        <v>159</v>
      </c>
      <c r="P162" s="4" t="s">
        <v>34</v>
      </c>
      <c r="Q162" s="156">
        <v>96</v>
      </c>
      <c r="R162" s="171">
        <v>3.6469999999999998</v>
      </c>
      <c r="S162" s="173">
        <v>31604</v>
      </c>
      <c r="U162" s="156">
        <v>110.649</v>
      </c>
      <c r="V162" s="170">
        <v>0</v>
      </c>
      <c r="W162" s="170">
        <v>8.8216240749151905E-3</v>
      </c>
      <c r="X162" s="170">
        <v>1.8443732020968599E-3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18"/>
  <sheetViews>
    <sheetView rightToLeft="1" topLeftCell="A82" zoomScale="70" zoomScaleNormal="70" workbookViewId="0">
      <selection activeCell="M130" sqref="M130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5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166</v>
      </c>
      <c r="E1" s="22" t="s">
        <v>167</v>
      </c>
      <c r="F1" s="22" t="s">
        <v>3</v>
      </c>
      <c r="G1" s="22" t="s">
        <v>4</v>
      </c>
      <c r="H1" s="22" t="s">
        <v>168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587</v>
      </c>
      <c r="N1" s="22" t="s">
        <v>145</v>
      </c>
      <c r="O1" s="22" t="s">
        <v>11</v>
      </c>
      <c r="P1" s="22" t="s">
        <v>17</v>
      </c>
      <c r="Q1" s="161" t="s">
        <v>18</v>
      </c>
      <c r="R1" s="172" t="s">
        <v>19</v>
      </c>
      <c r="S1" s="22" t="s">
        <v>16</v>
      </c>
      <c r="T1" s="22" t="s">
        <v>20</v>
      </c>
      <c r="U1" s="167" t="s">
        <v>23</v>
      </c>
      <c r="V1" s="167" t="s">
        <v>24</v>
      </c>
      <c r="W1" s="167" t="s">
        <v>25</v>
      </c>
    </row>
    <row r="2" spans="1:23">
      <c r="A2" s="23">
        <v>288</v>
      </c>
      <c r="B2" s="23">
        <v>288</v>
      </c>
      <c r="C2" s="23" t="s">
        <v>1412</v>
      </c>
      <c r="D2" s="23" t="s">
        <v>1413</v>
      </c>
      <c r="E2" s="21" t="s">
        <v>332</v>
      </c>
      <c r="F2" s="23" t="s">
        <v>1414</v>
      </c>
      <c r="G2" s="23" t="s">
        <v>1415</v>
      </c>
      <c r="H2" s="21" t="s">
        <v>339</v>
      </c>
      <c r="I2" s="23" t="s">
        <v>1001</v>
      </c>
      <c r="J2" s="21" t="s">
        <v>124</v>
      </c>
      <c r="K2" s="21" t="s">
        <v>125</v>
      </c>
      <c r="L2" s="21" t="s">
        <v>362</v>
      </c>
      <c r="M2" s="23" t="s">
        <v>1403</v>
      </c>
      <c r="N2" s="23" t="s">
        <v>159</v>
      </c>
      <c r="O2" s="21" t="s">
        <v>34</v>
      </c>
      <c r="P2" s="158">
        <v>18000</v>
      </c>
      <c r="Q2" s="177">
        <v>3.6469999999999998</v>
      </c>
      <c r="R2" s="178">
        <v>10339</v>
      </c>
      <c r="S2" s="134"/>
      <c r="T2" s="157">
        <v>6787.14</v>
      </c>
      <c r="U2" s="176">
        <v>4.8799999999999999E-4</v>
      </c>
      <c r="V2" s="176">
        <v>9.8487259387575708E-3</v>
      </c>
      <c r="W2" s="176">
        <v>2.79726344545177E-3</v>
      </c>
    </row>
    <row r="3" spans="1:23">
      <c r="A3" s="23">
        <v>288</v>
      </c>
      <c r="B3" s="23">
        <v>288</v>
      </c>
      <c r="C3" s="23" t="s">
        <v>1416</v>
      </c>
      <c r="D3" s="23" t="s">
        <v>1417</v>
      </c>
      <c r="E3" s="21" t="s">
        <v>1333</v>
      </c>
      <c r="F3" s="23" t="s">
        <v>1418</v>
      </c>
      <c r="G3" s="23" t="s">
        <v>1419</v>
      </c>
      <c r="H3" s="21" t="s">
        <v>339</v>
      </c>
      <c r="I3" s="23" t="s">
        <v>1001</v>
      </c>
      <c r="J3" s="21" t="s">
        <v>30</v>
      </c>
      <c r="K3" s="21" t="s">
        <v>288</v>
      </c>
      <c r="L3" s="21" t="s">
        <v>65</v>
      </c>
      <c r="M3" s="23" t="s">
        <v>1403</v>
      </c>
      <c r="N3" s="23" t="s">
        <v>159</v>
      </c>
      <c r="O3" s="21" t="s">
        <v>44</v>
      </c>
      <c r="P3" s="158">
        <v>8100</v>
      </c>
      <c r="Q3" s="177">
        <v>1</v>
      </c>
      <c r="R3" s="178">
        <v>24630</v>
      </c>
      <c r="S3" s="134"/>
      <c r="T3" s="157">
        <v>1995.03</v>
      </c>
      <c r="U3" s="176">
        <v>2.8189999999999999E-3</v>
      </c>
      <c r="V3" s="176">
        <v>2.8949607468384598E-3</v>
      </c>
      <c r="W3" s="176">
        <v>8.2223507116602201E-4</v>
      </c>
    </row>
    <row r="4" spans="1:23">
      <c r="A4" s="23">
        <v>288</v>
      </c>
      <c r="B4" s="23">
        <v>288</v>
      </c>
      <c r="C4" s="23" t="s">
        <v>1351</v>
      </c>
      <c r="D4" s="23" t="s">
        <v>1352</v>
      </c>
      <c r="E4" s="21" t="s">
        <v>1333</v>
      </c>
      <c r="F4" s="23" t="s">
        <v>1420</v>
      </c>
      <c r="G4" s="23" t="s">
        <v>1421</v>
      </c>
      <c r="H4" s="21" t="s">
        <v>339</v>
      </c>
      <c r="I4" s="23" t="s">
        <v>1000</v>
      </c>
      <c r="J4" s="21" t="s">
        <v>30</v>
      </c>
      <c r="K4" s="21" t="s">
        <v>30</v>
      </c>
      <c r="L4" s="21" t="s">
        <v>65</v>
      </c>
      <c r="M4" s="23" t="s">
        <v>1350</v>
      </c>
      <c r="N4" s="23" t="s">
        <v>159</v>
      </c>
      <c r="O4" s="21" t="s">
        <v>44</v>
      </c>
      <c r="P4" s="158">
        <v>247000</v>
      </c>
      <c r="Q4" s="177">
        <v>1</v>
      </c>
      <c r="R4" s="178">
        <v>3748</v>
      </c>
      <c r="S4" s="134"/>
      <c r="T4" s="157">
        <v>9257.56</v>
      </c>
      <c r="U4" s="176">
        <v>2.9060000000000002E-3</v>
      </c>
      <c r="V4" s="176">
        <v>1.3433518699719701E-2</v>
      </c>
      <c r="W4" s="176">
        <v>3.8154265877825E-3</v>
      </c>
    </row>
    <row r="5" spans="1:23">
      <c r="A5" s="23">
        <v>288</v>
      </c>
      <c r="B5" s="23">
        <v>288</v>
      </c>
      <c r="C5" s="23" t="s">
        <v>1351</v>
      </c>
      <c r="D5" s="23" t="s">
        <v>1352</v>
      </c>
      <c r="E5" s="21" t="s">
        <v>1333</v>
      </c>
      <c r="F5" s="23" t="s">
        <v>1422</v>
      </c>
      <c r="G5" s="23" t="s">
        <v>1423</v>
      </c>
      <c r="H5" s="21" t="s">
        <v>339</v>
      </c>
      <c r="I5" s="23" t="s">
        <v>1000</v>
      </c>
      <c r="J5" s="21" t="s">
        <v>30</v>
      </c>
      <c r="K5" s="21" t="s">
        <v>30</v>
      </c>
      <c r="L5" s="21" t="s">
        <v>65</v>
      </c>
      <c r="M5" s="23" t="s">
        <v>1350</v>
      </c>
      <c r="N5" s="23" t="s">
        <v>159</v>
      </c>
      <c r="O5" s="21" t="s">
        <v>44</v>
      </c>
      <c r="P5" s="158">
        <v>774800</v>
      </c>
      <c r="Q5" s="177">
        <v>1</v>
      </c>
      <c r="R5" s="178">
        <v>3630</v>
      </c>
      <c r="S5" s="134"/>
      <c r="T5" s="157">
        <v>28125.24</v>
      </c>
      <c r="U5" s="176">
        <v>1.5129E-2</v>
      </c>
      <c r="V5" s="176">
        <v>4.0812151093172003E-2</v>
      </c>
      <c r="W5" s="176">
        <v>1.15915844438236E-2</v>
      </c>
    </row>
    <row r="6" spans="1:23">
      <c r="A6" s="23">
        <v>288</v>
      </c>
      <c r="B6" s="23">
        <v>288</v>
      </c>
      <c r="C6" s="23" t="s">
        <v>1346</v>
      </c>
      <c r="D6" s="23" t="s">
        <v>1347</v>
      </c>
      <c r="E6" s="21" t="s">
        <v>1333</v>
      </c>
      <c r="F6" s="23" t="s">
        <v>1424</v>
      </c>
      <c r="G6" s="23" t="s">
        <v>1425</v>
      </c>
      <c r="H6" s="21" t="s">
        <v>339</v>
      </c>
      <c r="I6" s="23" t="s">
        <v>1001</v>
      </c>
      <c r="J6" s="21" t="s">
        <v>30</v>
      </c>
      <c r="K6" s="21" t="s">
        <v>125</v>
      </c>
      <c r="L6" s="21" t="s">
        <v>65</v>
      </c>
      <c r="M6" s="23" t="s">
        <v>1403</v>
      </c>
      <c r="N6" s="23" t="s">
        <v>159</v>
      </c>
      <c r="O6" s="21" t="s">
        <v>44</v>
      </c>
      <c r="P6" s="158">
        <v>107700</v>
      </c>
      <c r="Q6" s="177">
        <v>1</v>
      </c>
      <c r="R6" s="178">
        <v>8239</v>
      </c>
      <c r="S6" s="134"/>
      <c r="T6" s="157">
        <v>8873.4030000000002</v>
      </c>
      <c r="U6" s="176">
        <v>1.0859999999999999E-3</v>
      </c>
      <c r="V6" s="176">
        <v>1.2876073731161199E-2</v>
      </c>
      <c r="W6" s="176">
        <v>3.6570994657673301E-3</v>
      </c>
    </row>
    <row r="7" spans="1:23">
      <c r="A7" s="23">
        <v>288</v>
      </c>
      <c r="B7" s="23">
        <v>288</v>
      </c>
      <c r="C7" s="23" t="s">
        <v>1346</v>
      </c>
      <c r="D7" s="23" t="s">
        <v>1347</v>
      </c>
      <c r="E7" s="21" t="s">
        <v>1333</v>
      </c>
      <c r="F7" s="23" t="s">
        <v>1426</v>
      </c>
      <c r="G7" s="23" t="s">
        <v>1427</v>
      </c>
      <c r="H7" s="21" t="s">
        <v>339</v>
      </c>
      <c r="I7" s="23" t="s">
        <v>1001</v>
      </c>
      <c r="J7" s="21" t="s">
        <v>30</v>
      </c>
      <c r="K7" s="21" t="s">
        <v>125</v>
      </c>
      <c r="L7" s="21" t="s">
        <v>65</v>
      </c>
      <c r="M7" s="23" t="s">
        <v>1403</v>
      </c>
      <c r="N7" s="23" t="s">
        <v>159</v>
      </c>
      <c r="O7" s="21" t="s">
        <v>44</v>
      </c>
      <c r="P7" s="158">
        <v>944000</v>
      </c>
      <c r="Q7" s="177">
        <v>1</v>
      </c>
      <c r="R7" s="178">
        <v>2515</v>
      </c>
      <c r="S7" s="134"/>
      <c r="T7" s="157">
        <v>23741.599999999999</v>
      </c>
      <c r="U7" s="176">
        <v>2.4919999999999999E-3</v>
      </c>
      <c r="V7" s="176">
        <v>3.4451111044515599E-2</v>
      </c>
      <c r="W7" s="176">
        <v>9.7849035681645009E-3</v>
      </c>
    </row>
    <row r="8" spans="1:23">
      <c r="A8" s="23">
        <v>288</v>
      </c>
      <c r="B8" s="23">
        <v>288</v>
      </c>
      <c r="C8" s="23" t="s">
        <v>1346</v>
      </c>
      <c r="D8" s="23" t="s">
        <v>1347</v>
      </c>
      <c r="E8" s="21" t="s">
        <v>1333</v>
      </c>
      <c r="F8" s="23" t="s">
        <v>1428</v>
      </c>
      <c r="G8" s="23" t="s">
        <v>1429</v>
      </c>
      <c r="H8" s="21" t="s">
        <v>339</v>
      </c>
      <c r="I8" s="23" t="s">
        <v>1000</v>
      </c>
      <c r="J8" s="21" t="s">
        <v>30</v>
      </c>
      <c r="K8" s="21" t="s">
        <v>30</v>
      </c>
      <c r="L8" s="21" t="s">
        <v>65</v>
      </c>
      <c r="M8" s="23" t="s">
        <v>1350</v>
      </c>
      <c r="N8" s="23" t="s">
        <v>159</v>
      </c>
      <c r="O8" s="21" t="s">
        <v>44</v>
      </c>
      <c r="P8" s="158">
        <v>88000</v>
      </c>
      <c r="Q8" s="177">
        <v>1</v>
      </c>
      <c r="R8" s="178">
        <v>2414</v>
      </c>
      <c r="S8" s="134"/>
      <c r="T8" s="157">
        <v>2124.3200000000002</v>
      </c>
      <c r="U8" s="176">
        <v>3.5199999999999999E-4</v>
      </c>
      <c r="V8" s="176">
        <v>3.0825716975303001E-3</v>
      </c>
      <c r="W8" s="176">
        <v>8.7552087255800802E-4</v>
      </c>
    </row>
    <row r="9" spans="1:23">
      <c r="A9" s="23">
        <v>288</v>
      </c>
      <c r="B9" s="23">
        <v>288</v>
      </c>
      <c r="C9" s="23" t="s">
        <v>1346</v>
      </c>
      <c r="D9" s="23" t="s">
        <v>1347</v>
      </c>
      <c r="E9" s="21" t="s">
        <v>1333</v>
      </c>
      <c r="F9" s="23" t="s">
        <v>1430</v>
      </c>
      <c r="G9" s="23" t="s">
        <v>1431</v>
      </c>
      <c r="H9" s="21" t="s">
        <v>339</v>
      </c>
      <c r="I9" s="23" t="s">
        <v>1000</v>
      </c>
      <c r="J9" s="21" t="s">
        <v>30</v>
      </c>
      <c r="K9" s="21" t="s">
        <v>30</v>
      </c>
      <c r="L9" s="21" t="s">
        <v>65</v>
      </c>
      <c r="M9" s="23" t="s">
        <v>1350</v>
      </c>
      <c r="N9" s="23" t="s">
        <v>159</v>
      </c>
      <c r="O9" s="21" t="s">
        <v>44</v>
      </c>
      <c r="P9" s="158">
        <v>883003</v>
      </c>
      <c r="Q9" s="177">
        <v>1</v>
      </c>
      <c r="R9" s="178">
        <v>2386</v>
      </c>
      <c r="S9" s="134"/>
      <c r="T9" s="157">
        <v>21068.452000000001</v>
      </c>
      <c r="U9" s="176">
        <v>4.2770000000000004E-3</v>
      </c>
      <c r="V9" s="176">
        <v>3.0572141933087001E-2</v>
      </c>
      <c r="W9" s="176">
        <v>8.6831876133387394E-3</v>
      </c>
    </row>
    <row r="10" spans="1:23">
      <c r="A10" s="23">
        <v>288</v>
      </c>
      <c r="B10" s="23">
        <v>288</v>
      </c>
      <c r="C10" s="23" t="s">
        <v>1432</v>
      </c>
      <c r="D10" s="23" t="s">
        <v>1433</v>
      </c>
      <c r="E10" s="21" t="s">
        <v>1333</v>
      </c>
      <c r="F10" s="23" t="s">
        <v>1434</v>
      </c>
      <c r="G10" s="23" t="s">
        <v>1435</v>
      </c>
      <c r="H10" s="21" t="s">
        <v>339</v>
      </c>
      <c r="I10" s="23" t="s">
        <v>1000</v>
      </c>
      <c r="J10" s="21" t="s">
        <v>30</v>
      </c>
      <c r="K10" s="21" t="s">
        <v>30</v>
      </c>
      <c r="L10" s="21" t="s">
        <v>65</v>
      </c>
      <c r="M10" s="23" t="s">
        <v>1350</v>
      </c>
      <c r="N10" s="23" t="s">
        <v>159</v>
      </c>
      <c r="O10" s="21" t="s">
        <v>44</v>
      </c>
      <c r="P10" s="158">
        <v>140000</v>
      </c>
      <c r="Q10" s="177">
        <v>1</v>
      </c>
      <c r="R10" s="178">
        <v>6621</v>
      </c>
      <c r="S10" s="134"/>
      <c r="T10" s="157">
        <v>9269.4</v>
      </c>
      <c r="U10" s="176">
        <v>1.2727E-2</v>
      </c>
      <c r="V10" s="176">
        <v>1.34506995617832E-2</v>
      </c>
      <c r="W10" s="176">
        <v>3.8203063456019801E-3</v>
      </c>
    </row>
    <row r="11" spans="1:23">
      <c r="A11" s="23">
        <v>288</v>
      </c>
      <c r="B11" s="23">
        <v>288</v>
      </c>
      <c r="C11" s="23" t="s">
        <v>1432</v>
      </c>
      <c r="D11" s="23" t="s">
        <v>1433</v>
      </c>
      <c r="E11" s="21" t="s">
        <v>1333</v>
      </c>
      <c r="F11" s="23" t="s">
        <v>1436</v>
      </c>
      <c r="G11" s="23" t="s">
        <v>1437</v>
      </c>
      <c r="H11" s="21" t="s">
        <v>339</v>
      </c>
      <c r="I11" s="23" t="s">
        <v>1001</v>
      </c>
      <c r="J11" s="21" t="s">
        <v>30</v>
      </c>
      <c r="K11" s="21" t="s">
        <v>125</v>
      </c>
      <c r="L11" s="21" t="s">
        <v>65</v>
      </c>
      <c r="M11" s="23" t="s">
        <v>1403</v>
      </c>
      <c r="N11" s="23" t="s">
        <v>159</v>
      </c>
      <c r="O11" s="21" t="s">
        <v>44</v>
      </c>
      <c r="P11" s="158">
        <v>70000</v>
      </c>
      <c r="Q11" s="177">
        <v>1</v>
      </c>
      <c r="R11" s="178">
        <v>11710</v>
      </c>
      <c r="S11" s="134"/>
      <c r="T11" s="157">
        <v>8197</v>
      </c>
      <c r="U11" s="176">
        <v>7.3680000000000004E-3</v>
      </c>
      <c r="V11" s="176">
        <v>1.18945545890713E-2</v>
      </c>
      <c r="W11" s="176">
        <v>3.37832557823586E-3</v>
      </c>
    </row>
    <row r="12" spans="1:23">
      <c r="A12" s="23">
        <v>288</v>
      </c>
      <c r="B12" s="23">
        <v>288</v>
      </c>
      <c r="C12" s="23" t="s">
        <v>1416</v>
      </c>
      <c r="D12" s="23" t="s">
        <v>1417</v>
      </c>
      <c r="E12" s="21" t="s">
        <v>1333</v>
      </c>
      <c r="F12" s="23" t="s">
        <v>1438</v>
      </c>
      <c r="G12" s="23" t="s">
        <v>1439</v>
      </c>
      <c r="H12" s="21" t="s">
        <v>339</v>
      </c>
      <c r="I12" s="23" t="s">
        <v>1000</v>
      </c>
      <c r="J12" s="21" t="s">
        <v>30</v>
      </c>
      <c r="K12" s="21" t="s">
        <v>30</v>
      </c>
      <c r="L12" s="21" t="s">
        <v>65</v>
      </c>
      <c r="M12" s="23" t="s">
        <v>1350</v>
      </c>
      <c r="N12" s="23" t="s">
        <v>159</v>
      </c>
      <c r="O12" s="21" t="s">
        <v>44</v>
      </c>
      <c r="P12" s="158">
        <v>96300</v>
      </c>
      <c r="Q12" s="177">
        <v>1</v>
      </c>
      <c r="R12" s="178">
        <v>23840</v>
      </c>
      <c r="S12" s="134"/>
      <c r="T12" s="157">
        <v>22957.919999999998</v>
      </c>
      <c r="U12" s="176">
        <v>2.7190000000000001E-3</v>
      </c>
      <c r="V12" s="176">
        <v>3.3313923714960399E-2</v>
      </c>
      <c r="W12" s="176">
        <v>9.4619163546532294E-3</v>
      </c>
    </row>
    <row r="13" spans="1:23">
      <c r="A13" s="23">
        <v>288</v>
      </c>
      <c r="B13" s="23">
        <v>288</v>
      </c>
      <c r="C13" s="23" t="s">
        <v>1416</v>
      </c>
      <c r="D13" s="23" t="s">
        <v>1417</v>
      </c>
      <c r="E13" s="21" t="s">
        <v>1333</v>
      </c>
      <c r="F13" s="23" t="s">
        <v>1440</v>
      </c>
      <c r="G13" s="23" t="s">
        <v>1441</v>
      </c>
      <c r="H13" s="21" t="s">
        <v>339</v>
      </c>
      <c r="I13" s="23" t="s">
        <v>1000</v>
      </c>
      <c r="J13" s="21" t="s">
        <v>30</v>
      </c>
      <c r="K13" s="21" t="s">
        <v>30</v>
      </c>
      <c r="L13" s="21" t="s">
        <v>65</v>
      </c>
      <c r="M13" s="23" t="s">
        <v>1350</v>
      </c>
      <c r="N13" s="23" t="s">
        <v>159</v>
      </c>
      <c r="O13" s="21" t="s">
        <v>44</v>
      </c>
      <c r="P13" s="158">
        <v>35529</v>
      </c>
      <c r="Q13" s="177">
        <v>1</v>
      </c>
      <c r="R13" s="178">
        <v>23190</v>
      </c>
      <c r="S13" s="134"/>
      <c r="T13" s="157">
        <v>8239.1749999999993</v>
      </c>
      <c r="U13" s="176">
        <v>1.176E-3</v>
      </c>
      <c r="V13" s="176">
        <v>1.19557542998495E-2</v>
      </c>
      <c r="W13" s="176">
        <v>3.3957076959734E-3</v>
      </c>
    </row>
    <row r="14" spans="1:23">
      <c r="A14" s="23">
        <v>288</v>
      </c>
      <c r="B14" s="23">
        <v>288</v>
      </c>
      <c r="C14" s="23" t="s">
        <v>1416</v>
      </c>
      <c r="D14" s="23" t="s">
        <v>1417</v>
      </c>
      <c r="E14" s="21" t="s">
        <v>1333</v>
      </c>
      <c r="F14" s="23" t="s">
        <v>1442</v>
      </c>
      <c r="G14" s="23" t="s">
        <v>1443</v>
      </c>
      <c r="H14" s="21" t="s">
        <v>339</v>
      </c>
      <c r="I14" s="23" t="s">
        <v>1000</v>
      </c>
      <c r="J14" s="21" t="s">
        <v>30</v>
      </c>
      <c r="K14" s="21" t="s">
        <v>30</v>
      </c>
      <c r="L14" s="21" t="s">
        <v>65</v>
      </c>
      <c r="M14" s="23" t="s">
        <v>1350</v>
      </c>
      <c r="N14" s="23" t="s">
        <v>159</v>
      </c>
      <c r="O14" s="21" t="s">
        <v>44</v>
      </c>
      <c r="P14" s="158">
        <v>59000</v>
      </c>
      <c r="Q14" s="177">
        <v>1</v>
      </c>
      <c r="R14" s="178">
        <v>10850</v>
      </c>
      <c r="S14" s="134"/>
      <c r="T14" s="157">
        <v>6401.5</v>
      </c>
      <c r="U14" s="176">
        <v>6.4429999999999999E-3</v>
      </c>
      <c r="V14" s="176">
        <v>9.2891290962473592E-3</v>
      </c>
      <c r="W14" s="176">
        <v>2.6383251420125401E-3</v>
      </c>
    </row>
    <row r="15" spans="1:23">
      <c r="A15" s="23">
        <v>288</v>
      </c>
      <c r="B15" s="23">
        <v>288</v>
      </c>
      <c r="C15" s="23" t="s">
        <v>1404</v>
      </c>
      <c r="D15" s="23" t="s">
        <v>1405</v>
      </c>
      <c r="E15" s="21" t="s">
        <v>1333</v>
      </c>
      <c r="F15" s="23" t="s">
        <v>1444</v>
      </c>
      <c r="G15" s="23" t="s">
        <v>1445</v>
      </c>
      <c r="H15" s="21" t="s">
        <v>339</v>
      </c>
      <c r="I15" s="23" t="s">
        <v>1000</v>
      </c>
      <c r="J15" s="21" t="s">
        <v>30</v>
      </c>
      <c r="K15" s="21" t="s">
        <v>30</v>
      </c>
      <c r="L15" s="21" t="s">
        <v>65</v>
      </c>
      <c r="M15" s="23" t="s">
        <v>1350</v>
      </c>
      <c r="N15" s="23" t="s">
        <v>159</v>
      </c>
      <c r="O15" s="21" t="s">
        <v>44</v>
      </c>
      <c r="P15" s="158">
        <v>344095</v>
      </c>
      <c r="Q15" s="177">
        <v>1</v>
      </c>
      <c r="R15" s="178">
        <v>2405</v>
      </c>
      <c r="S15" s="134"/>
      <c r="T15" s="157">
        <v>8275.4850000000006</v>
      </c>
      <c r="U15" s="176">
        <v>8.4400000000000002E-4</v>
      </c>
      <c r="V15" s="176">
        <v>1.2008442736355001E-2</v>
      </c>
      <c r="W15" s="176">
        <v>3.4106724171313598E-3</v>
      </c>
    </row>
    <row r="16" spans="1:23">
      <c r="A16" s="23">
        <v>288</v>
      </c>
      <c r="B16" s="23">
        <v>288</v>
      </c>
      <c r="C16" s="23" t="s">
        <v>1351</v>
      </c>
      <c r="D16" s="23" t="s">
        <v>1352</v>
      </c>
      <c r="E16" s="21" t="s">
        <v>1333</v>
      </c>
      <c r="F16" s="23" t="s">
        <v>1446</v>
      </c>
      <c r="G16" s="23" t="s">
        <v>1447</v>
      </c>
      <c r="H16" s="21" t="s">
        <v>339</v>
      </c>
      <c r="I16" s="23" t="s">
        <v>1001</v>
      </c>
      <c r="J16" s="21" t="s">
        <v>30</v>
      </c>
      <c r="K16" s="21" t="s">
        <v>125</v>
      </c>
      <c r="L16" s="21" t="s">
        <v>31</v>
      </c>
      <c r="M16" s="23" t="s">
        <v>1448</v>
      </c>
      <c r="N16" s="23" t="s">
        <v>159</v>
      </c>
      <c r="O16" s="21" t="s">
        <v>44</v>
      </c>
      <c r="P16" s="158">
        <v>155000</v>
      </c>
      <c r="Q16" s="177">
        <v>1</v>
      </c>
      <c r="R16" s="178">
        <v>4280</v>
      </c>
      <c r="S16" s="134"/>
      <c r="T16" s="157">
        <v>6634</v>
      </c>
      <c r="U16" s="176">
        <v>2.3525000000000001E-2</v>
      </c>
      <c r="V16" s="176">
        <v>9.6265066663289902E-3</v>
      </c>
      <c r="W16" s="176">
        <v>2.7341480890589998E-3</v>
      </c>
    </row>
    <row r="17" spans="1:23">
      <c r="A17" s="23">
        <v>288</v>
      </c>
      <c r="B17" s="23">
        <v>288</v>
      </c>
      <c r="C17" s="23" t="s">
        <v>1351</v>
      </c>
      <c r="D17" s="23" t="s">
        <v>1352</v>
      </c>
      <c r="E17" s="21" t="s">
        <v>1333</v>
      </c>
      <c r="F17" s="23" t="s">
        <v>1449</v>
      </c>
      <c r="G17" s="23" t="s">
        <v>1450</v>
      </c>
      <c r="H17" s="21" t="s">
        <v>339</v>
      </c>
      <c r="I17" s="23" t="s">
        <v>1001</v>
      </c>
      <c r="J17" s="21" t="s">
        <v>30</v>
      </c>
      <c r="K17" s="21" t="s">
        <v>125</v>
      </c>
      <c r="L17" s="21" t="s">
        <v>65</v>
      </c>
      <c r="M17" s="23" t="s">
        <v>1448</v>
      </c>
      <c r="N17" s="23" t="s">
        <v>159</v>
      </c>
      <c r="O17" s="21" t="s">
        <v>44</v>
      </c>
      <c r="P17" s="158">
        <v>162469</v>
      </c>
      <c r="Q17" s="177">
        <v>1</v>
      </c>
      <c r="R17" s="178">
        <v>3268</v>
      </c>
      <c r="S17" s="134"/>
      <c r="T17" s="157">
        <v>5309.4870000000001</v>
      </c>
      <c r="U17" s="176">
        <v>3.1614000000000003E-2</v>
      </c>
      <c r="V17" s="176">
        <v>7.7045238513968302E-3</v>
      </c>
      <c r="W17" s="176">
        <v>2.18826100636144E-3</v>
      </c>
    </row>
    <row r="18" spans="1:23">
      <c r="A18" s="23">
        <v>288</v>
      </c>
      <c r="B18" s="23">
        <v>288</v>
      </c>
      <c r="C18" s="23" t="s">
        <v>1351</v>
      </c>
      <c r="D18" s="23" t="s">
        <v>1352</v>
      </c>
      <c r="E18" s="21" t="s">
        <v>1333</v>
      </c>
      <c r="F18" s="23" t="s">
        <v>1451</v>
      </c>
      <c r="G18" s="23" t="s">
        <v>1452</v>
      </c>
      <c r="H18" s="21" t="s">
        <v>339</v>
      </c>
      <c r="I18" s="23" t="s">
        <v>1001</v>
      </c>
      <c r="J18" s="21" t="s">
        <v>30</v>
      </c>
      <c r="K18" s="21" t="s">
        <v>125</v>
      </c>
      <c r="L18" s="21" t="s">
        <v>65</v>
      </c>
      <c r="M18" s="23" t="s">
        <v>1448</v>
      </c>
      <c r="N18" s="23" t="s">
        <v>159</v>
      </c>
      <c r="O18" s="21" t="s">
        <v>44</v>
      </c>
      <c r="P18" s="158">
        <v>82182</v>
      </c>
      <c r="Q18" s="177">
        <v>1</v>
      </c>
      <c r="R18" s="178">
        <v>3539</v>
      </c>
      <c r="S18" s="134"/>
      <c r="T18" s="157">
        <v>2908.4209999999998</v>
      </c>
      <c r="U18" s="176">
        <v>1.06E-2</v>
      </c>
      <c r="V18" s="176">
        <v>4.2203699054056496E-3</v>
      </c>
      <c r="W18" s="176">
        <v>1.1986815894854E-3</v>
      </c>
    </row>
    <row r="19" spans="1:23">
      <c r="A19" s="23">
        <v>288</v>
      </c>
      <c r="B19" s="23">
        <v>288</v>
      </c>
      <c r="C19" s="23" t="s">
        <v>1351</v>
      </c>
      <c r="D19" s="23" t="s">
        <v>1352</v>
      </c>
      <c r="E19" s="21" t="s">
        <v>1333</v>
      </c>
      <c r="F19" s="23" t="s">
        <v>1453</v>
      </c>
      <c r="G19" s="23" t="s">
        <v>1454</v>
      </c>
      <c r="H19" s="21" t="s">
        <v>339</v>
      </c>
      <c r="I19" s="23" t="s">
        <v>1001</v>
      </c>
      <c r="J19" s="21" t="s">
        <v>30</v>
      </c>
      <c r="K19" s="21" t="s">
        <v>125</v>
      </c>
      <c r="L19" s="21" t="s">
        <v>65</v>
      </c>
      <c r="M19" s="23" t="s">
        <v>1448</v>
      </c>
      <c r="N19" s="23" t="s">
        <v>159</v>
      </c>
      <c r="O19" s="21" t="s">
        <v>44</v>
      </c>
      <c r="P19" s="158">
        <v>158165</v>
      </c>
      <c r="Q19" s="177">
        <v>1</v>
      </c>
      <c r="R19" s="178">
        <v>3929</v>
      </c>
      <c r="S19" s="134"/>
      <c r="T19" s="157">
        <v>6214.3029999999999</v>
      </c>
      <c r="U19" s="176">
        <v>3.3938999999999997E-2</v>
      </c>
      <c r="V19" s="176">
        <v>9.0174898721905698E-3</v>
      </c>
      <c r="W19" s="176">
        <v>2.5611733889299702E-3</v>
      </c>
    </row>
    <row r="20" spans="1:23">
      <c r="A20" s="2">
        <v>288</v>
      </c>
      <c r="B20" s="2">
        <v>288</v>
      </c>
      <c r="C20" s="2" t="s">
        <v>1351</v>
      </c>
      <c r="D20" s="2" t="s">
        <v>1352</v>
      </c>
      <c r="E20" s="21" t="s">
        <v>1333</v>
      </c>
      <c r="F20" s="2" t="s">
        <v>1455</v>
      </c>
      <c r="G20" s="2" t="s">
        <v>1456</v>
      </c>
      <c r="H20" s="21" t="s">
        <v>339</v>
      </c>
      <c r="I20" s="23" t="s">
        <v>1001</v>
      </c>
      <c r="J20" s="21" t="s">
        <v>30</v>
      </c>
      <c r="K20" s="21" t="s">
        <v>313</v>
      </c>
      <c r="L20" s="21" t="s">
        <v>65</v>
      </c>
      <c r="M20" s="23" t="s">
        <v>1448</v>
      </c>
      <c r="N20" s="23" t="s">
        <v>159</v>
      </c>
      <c r="O20" s="2" t="s">
        <v>44</v>
      </c>
      <c r="P20" s="158">
        <v>50620</v>
      </c>
      <c r="Q20" s="162">
        <v>1</v>
      </c>
      <c r="R20" s="179">
        <v>7442</v>
      </c>
      <c r="T20" s="155">
        <v>3767.14</v>
      </c>
      <c r="U20" s="168">
        <v>1.2385999999999999E-2</v>
      </c>
      <c r="V20" s="168">
        <v>5.4664459110035099E-3</v>
      </c>
      <c r="W20" s="168">
        <v>1.55259567770229E-3</v>
      </c>
    </row>
    <row r="21" spans="1:23">
      <c r="A21" s="2">
        <v>288</v>
      </c>
      <c r="B21" s="2">
        <v>288</v>
      </c>
      <c r="C21" s="2" t="s">
        <v>1351</v>
      </c>
      <c r="D21" s="2" t="s">
        <v>1352</v>
      </c>
      <c r="E21" s="4" t="s">
        <v>1333</v>
      </c>
      <c r="F21" s="2" t="s">
        <v>1457</v>
      </c>
      <c r="G21" s="2" t="s">
        <v>1458</v>
      </c>
      <c r="H21" s="4" t="s">
        <v>339</v>
      </c>
      <c r="I21" s="2" t="s">
        <v>1001</v>
      </c>
      <c r="J21" s="2" t="s">
        <v>30</v>
      </c>
      <c r="K21" s="2" t="s">
        <v>271</v>
      </c>
      <c r="L21" s="4" t="s">
        <v>31</v>
      </c>
      <c r="M21" s="2" t="s">
        <v>1448</v>
      </c>
      <c r="N21" s="2" t="s">
        <v>159</v>
      </c>
      <c r="O21" s="2" t="s">
        <v>44</v>
      </c>
      <c r="P21" s="156">
        <v>143500</v>
      </c>
      <c r="Q21" s="162">
        <v>1</v>
      </c>
      <c r="R21" s="179">
        <v>4138</v>
      </c>
      <c r="T21" s="155">
        <v>5938.03</v>
      </c>
      <c r="U21" s="168">
        <v>1.6854000000000001E-2</v>
      </c>
      <c r="V21" s="168">
        <v>8.6165941181582002E-3</v>
      </c>
      <c r="W21" s="168">
        <v>2.4473098247324498E-3</v>
      </c>
    </row>
    <row r="22" spans="1:23">
      <c r="A22" s="2">
        <v>288</v>
      </c>
      <c r="B22" s="2">
        <v>288</v>
      </c>
      <c r="C22" s="2" t="s">
        <v>1351</v>
      </c>
      <c r="D22" s="2" t="s">
        <v>1352</v>
      </c>
      <c r="E22" s="4" t="s">
        <v>1333</v>
      </c>
      <c r="F22" s="2" t="s">
        <v>1459</v>
      </c>
      <c r="G22" s="2" t="s">
        <v>1460</v>
      </c>
      <c r="H22" s="2" t="s">
        <v>339</v>
      </c>
      <c r="I22" s="2" t="s">
        <v>1001</v>
      </c>
      <c r="J22" s="2" t="s">
        <v>30</v>
      </c>
      <c r="K22" s="2" t="s">
        <v>125</v>
      </c>
      <c r="L22" s="4" t="s">
        <v>65</v>
      </c>
      <c r="M22" s="2" t="s">
        <v>1448</v>
      </c>
      <c r="N22" s="2" t="s">
        <v>159</v>
      </c>
      <c r="O22" s="2" t="s">
        <v>44</v>
      </c>
      <c r="P22" s="156">
        <v>41440</v>
      </c>
      <c r="Q22" s="162">
        <v>1</v>
      </c>
      <c r="R22" s="179">
        <v>3239</v>
      </c>
      <c r="T22" s="155">
        <v>1342.242</v>
      </c>
      <c r="U22" s="168">
        <v>1.0359999999999999E-2</v>
      </c>
      <c r="V22" s="168">
        <v>1.94770842782998E-3</v>
      </c>
      <c r="W22" s="168">
        <v>5.53193745205834E-4</v>
      </c>
    </row>
    <row r="23" spans="1:23">
      <c r="A23" s="2">
        <v>288</v>
      </c>
      <c r="B23" s="2">
        <v>288</v>
      </c>
      <c r="C23" s="2" t="s">
        <v>1346</v>
      </c>
      <c r="D23" s="2" t="s">
        <v>1347</v>
      </c>
      <c r="E23" s="4" t="s">
        <v>1333</v>
      </c>
      <c r="F23" s="2" t="s">
        <v>1461</v>
      </c>
      <c r="G23" s="2" t="s">
        <v>1462</v>
      </c>
      <c r="H23" s="2" t="s">
        <v>339</v>
      </c>
      <c r="I23" s="2" t="s">
        <v>1001</v>
      </c>
      <c r="J23" s="2" t="s">
        <v>30</v>
      </c>
      <c r="K23" s="2" t="s">
        <v>125</v>
      </c>
      <c r="L23" s="2" t="s">
        <v>65</v>
      </c>
      <c r="M23" s="2" t="s">
        <v>1448</v>
      </c>
      <c r="N23" s="2" t="s">
        <v>159</v>
      </c>
      <c r="O23" s="2" t="s">
        <v>44</v>
      </c>
      <c r="P23" s="156">
        <v>96200</v>
      </c>
      <c r="Q23" s="162">
        <v>1</v>
      </c>
      <c r="R23" s="179">
        <v>7040</v>
      </c>
      <c r="T23" s="155">
        <v>6772.48</v>
      </c>
      <c r="U23" s="168">
        <v>0</v>
      </c>
      <c r="V23" s="168">
        <v>9.82745310032857E-3</v>
      </c>
      <c r="W23" s="168">
        <v>2.7912214727449998E-3</v>
      </c>
    </row>
    <row r="24" spans="1:23">
      <c r="A24" s="2">
        <v>288</v>
      </c>
      <c r="B24" s="2">
        <v>288</v>
      </c>
      <c r="C24" s="2" t="s">
        <v>1346</v>
      </c>
      <c r="D24" s="2" t="s">
        <v>1347</v>
      </c>
      <c r="E24" s="4" t="s">
        <v>1333</v>
      </c>
      <c r="F24" s="2" t="s">
        <v>1463</v>
      </c>
      <c r="G24" s="2" t="s">
        <v>1464</v>
      </c>
      <c r="H24" s="2" t="s">
        <v>339</v>
      </c>
      <c r="I24" s="2" t="s">
        <v>1001</v>
      </c>
      <c r="J24" s="2" t="s">
        <v>30</v>
      </c>
      <c r="K24" s="2" t="s">
        <v>125</v>
      </c>
      <c r="L24" s="2" t="s">
        <v>65</v>
      </c>
      <c r="M24" s="2" t="s">
        <v>1448</v>
      </c>
      <c r="N24" s="2" t="s">
        <v>159</v>
      </c>
      <c r="O24" s="2" t="s">
        <v>44</v>
      </c>
      <c r="P24" s="156">
        <v>3130195</v>
      </c>
      <c r="Q24" s="162">
        <v>1</v>
      </c>
      <c r="R24" s="179">
        <v>560</v>
      </c>
      <c r="T24" s="155">
        <v>17529.092000000001</v>
      </c>
      <c r="U24" s="168">
        <v>1.9546000000000001E-2</v>
      </c>
      <c r="V24" s="168">
        <v>2.5436225654611701E-2</v>
      </c>
      <c r="W24" s="168">
        <v>7.2244699117786403E-3</v>
      </c>
    </row>
    <row r="25" spans="1:23">
      <c r="A25" s="2">
        <v>288</v>
      </c>
      <c r="B25" s="2">
        <v>288</v>
      </c>
      <c r="C25" s="2" t="s">
        <v>1346</v>
      </c>
      <c r="D25" s="2" t="s">
        <v>1347</v>
      </c>
      <c r="E25" s="4" t="s">
        <v>1333</v>
      </c>
      <c r="F25" s="2" t="s">
        <v>1465</v>
      </c>
      <c r="G25" s="2" t="s">
        <v>1466</v>
      </c>
      <c r="H25" s="2" t="s">
        <v>339</v>
      </c>
      <c r="I25" s="2" t="s">
        <v>1002</v>
      </c>
      <c r="J25" s="2" t="s">
        <v>30</v>
      </c>
      <c r="K25" s="2" t="s">
        <v>30</v>
      </c>
      <c r="L25" s="2" t="s">
        <v>65</v>
      </c>
      <c r="M25" s="2" t="s">
        <v>1369</v>
      </c>
      <c r="N25" s="2" t="s">
        <v>159</v>
      </c>
      <c r="O25" s="2" t="s">
        <v>44</v>
      </c>
      <c r="P25" s="156">
        <v>2905292</v>
      </c>
      <c r="Q25" s="162">
        <v>1</v>
      </c>
      <c r="R25" s="179">
        <v>403.41</v>
      </c>
      <c r="T25" s="155">
        <v>11720.237999999999</v>
      </c>
      <c r="U25" s="168">
        <v>2.1773000000000001E-2</v>
      </c>
      <c r="V25" s="168">
        <v>1.7007077726741201E-2</v>
      </c>
      <c r="W25" s="168">
        <v>4.8303990927146901E-3</v>
      </c>
    </row>
    <row r="26" spans="1:23">
      <c r="A26" s="2">
        <v>288</v>
      </c>
      <c r="B26" s="2">
        <v>288</v>
      </c>
      <c r="C26" s="2" t="s">
        <v>1432</v>
      </c>
      <c r="D26" s="2" t="s">
        <v>1433</v>
      </c>
      <c r="E26" s="4" t="s">
        <v>1333</v>
      </c>
      <c r="F26" s="2" t="s">
        <v>1467</v>
      </c>
      <c r="G26" s="11" t="s">
        <v>1468</v>
      </c>
      <c r="H26" s="2" t="s">
        <v>339</v>
      </c>
      <c r="I26" s="2" t="s">
        <v>1001</v>
      </c>
      <c r="J26" s="2" t="s">
        <v>30</v>
      </c>
      <c r="K26" s="2" t="s">
        <v>125</v>
      </c>
      <c r="L26" s="2" t="s">
        <v>65</v>
      </c>
      <c r="M26" s="2" t="s">
        <v>1448</v>
      </c>
      <c r="N26" s="2" t="s">
        <v>159</v>
      </c>
      <c r="O26" s="2" t="s">
        <v>44</v>
      </c>
      <c r="P26" s="156">
        <v>131014</v>
      </c>
      <c r="Q26" s="162">
        <v>1</v>
      </c>
      <c r="R26" s="179">
        <v>10010</v>
      </c>
      <c r="T26" s="155">
        <v>13114.501</v>
      </c>
      <c r="U26" s="168">
        <v>9.8510000000000004E-3</v>
      </c>
      <c r="V26" s="168">
        <v>1.90302736136088E-2</v>
      </c>
      <c r="W26" s="168">
        <v>5.4050330029803504E-3</v>
      </c>
    </row>
    <row r="27" spans="1:23">
      <c r="A27" s="2">
        <v>288</v>
      </c>
      <c r="B27" s="2">
        <v>288</v>
      </c>
      <c r="C27" s="2" t="s">
        <v>1432</v>
      </c>
      <c r="D27" s="2" t="s">
        <v>1433</v>
      </c>
      <c r="E27" s="4" t="s">
        <v>1333</v>
      </c>
      <c r="F27" s="2" t="s">
        <v>1469</v>
      </c>
      <c r="G27" s="2" t="s">
        <v>1470</v>
      </c>
      <c r="H27" s="2" t="s">
        <v>339</v>
      </c>
      <c r="I27" s="2" t="s">
        <v>1001</v>
      </c>
      <c r="J27" s="2" t="s">
        <v>30</v>
      </c>
      <c r="K27" s="2" t="s">
        <v>125</v>
      </c>
      <c r="L27" s="2" t="s">
        <v>65</v>
      </c>
      <c r="M27" s="2" t="s">
        <v>1448</v>
      </c>
      <c r="N27" s="2" t="s">
        <v>159</v>
      </c>
      <c r="O27" s="2" t="s">
        <v>44</v>
      </c>
      <c r="P27" s="156">
        <v>266133</v>
      </c>
      <c r="Q27" s="162">
        <v>1</v>
      </c>
      <c r="R27" s="179">
        <v>9295</v>
      </c>
      <c r="T27" s="155">
        <v>24737.062000000002</v>
      </c>
      <c r="U27" s="168">
        <v>1.9713999999999999E-2</v>
      </c>
      <c r="V27" s="168">
        <v>3.5895612845593998E-2</v>
      </c>
      <c r="W27" s="168">
        <v>1.01951751210711E-2</v>
      </c>
    </row>
    <row r="28" spans="1:23">
      <c r="A28" s="2">
        <v>288</v>
      </c>
      <c r="B28" s="2">
        <v>288</v>
      </c>
      <c r="C28" s="2" t="s">
        <v>1357</v>
      </c>
      <c r="D28" s="2" t="s">
        <v>1358</v>
      </c>
      <c r="E28" s="4" t="s">
        <v>1333</v>
      </c>
      <c r="F28" s="2" t="s">
        <v>1471</v>
      </c>
      <c r="G28" s="2" t="s">
        <v>1472</v>
      </c>
      <c r="H28" s="2" t="s">
        <v>339</v>
      </c>
      <c r="I28" s="2" t="s">
        <v>1001</v>
      </c>
      <c r="J28" s="2" t="s">
        <v>30</v>
      </c>
      <c r="K28" s="2" t="s">
        <v>125</v>
      </c>
      <c r="L28" s="2" t="s">
        <v>65</v>
      </c>
      <c r="M28" s="2" t="s">
        <v>1448</v>
      </c>
      <c r="N28" s="2" t="s">
        <v>159</v>
      </c>
      <c r="O28" s="2" t="s">
        <v>44</v>
      </c>
      <c r="P28" s="156">
        <v>198083</v>
      </c>
      <c r="Q28" s="162">
        <v>1</v>
      </c>
      <c r="R28" s="179">
        <v>4133</v>
      </c>
      <c r="T28" s="155">
        <v>8186.77</v>
      </c>
      <c r="U28" s="168">
        <v>8.9650000000000007E-3</v>
      </c>
      <c r="V28" s="168">
        <v>1.18797105419113E-2</v>
      </c>
      <c r="W28" s="168">
        <v>3.3741095293010801E-3</v>
      </c>
    </row>
    <row r="29" spans="1:23">
      <c r="A29" s="2">
        <v>288</v>
      </c>
      <c r="B29" s="2">
        <v>288</v>
      </c>
      <c r="C29" s="2" t="s">
        <v>1404</v>
      </c>
      <c r="D29" s="2" t="s">
        <v>1405</v>
      </c>
      <c r="E29" s="4" t="s">
        <v>1333</v>
      </c>
      <c r="F29" s="2" t="s">
        <v>1473</v>
      </c>
      <c r="G29" s="2" t="s">
        <v>1474</v>
      </c>
      <c r="H29" s="2" t="s">
        <v>339</v>
      </c>
      <c r="I29" s="2" t="s">
        <v>1001</v>
      </c>
      <c r="J29" s="2" t="s">
        <v>30</v>
      </c>
      <c r="K29" s="2" t="s">
        <v>125</v>
      </c>
      <c r="L29" s="2" t="s">
        <v>65</v>
      </c>
      <c r="M29" s="2" t="s">
        <v>1448</v>
      </c>
      <c r="N29" s="2" t="s">
        <v>159</v>
      </c>
      <c r="O29" s="2" t="s">
        <v>44</v>
      </c>
      <c r="P29" s="156">
        <v>98100</v>
      </c>
      <c r="Q29" s="162">
        <v>1</v>
      </c>
      <c r="R29" s="179">
        <v>3542</v>
      </c>
      <c r="T29" s="155">
        <v>3474.7020000000002</v>
      </c>
      <c r="U29" s="168">
        <v>4.2989999999999999E-3</v>
      </c>
      <c r="V29" s="168">
        <v>5.0420925484634697E-3</v>
      </c>
      <c r="W29" s="168">
        <v>1.4320696161214199E-3</v>
      </c>
    </row>
    <row r="30" spans="1:23">
      <c r="A30" s="2">
        <v>288</v>
      </c>
      <c r="B30" s="2">
        <v>288</v>
      </c>
      <c r="C30" s="2" t="s">
        <v>1404</v>
      </c>
      <c r="D30" s="2" t="s">
        <v>1405</v>
      </c>
      <c r="E30" s="4" t="s">
        <v>1333</v>
      </c>
      <c r="F30" s="2" t="s">
        <v>1475</v>
      </c>
      <c r="G30" s="2" t="s">
        <v>1476</v>
      </c>
      <c r="H30" s="2" t="s">
        <v>339</v>
      </c>
      <c r="I30" s="2" t="s">
        <v>1000</v>
      </c>
      <c r="J30" s="2" t="s">
        <v>30</v>
      </c>
      <c r="K30" s="2" t="s">
        <v>30</v>
      </c>
      <c r="L30" s="2" t="s">
        <v>65</v>
      </c>
      <c r="M30" s="2" t="s">
        <v>1350</v>
      </c>
      <c r="N30" s="2" t="s">
        <v>159</v>
      </c>
      <c r="O30" s="2" t="s">
        <v>44</v>
      </c>
      <c r="P30" s="156">
        <v>56000</v>
      </c>
      <c r="Q30" s="162">
        <v>1</v>
      </c>
      <c r="R30" s="179">
        <v>2117</v>
      </c>
      <c r="T30" s="155">
        <v>1185.52</v>
      </c>
      <c r="U30" s="168">
        <v>3.2320000000000001E-3</v>
      </c>
      <c r="V30" s="168">
        <v>1.72029185756201E-3</v>
      </c>
      <c r="W30" s="168">
        <v>4.8860223734417099E-4</v>
      </c>
    </row>
    <row r="31" spans="1:23">
      <c r="A31" s="2">
        <v>288</v>
      </c>
      <c r="B31" s="2">
        <v>288</v>
      </c>
      <c r="C31" s="2" t="s">
        <v>1404</v>
      </c>
      <c r="D31" s="2" t="s">
        <v>1405</v>
      </c>
      <c r="E31" s="4" t="s">
        <v>1333</v>
      </c>
      <c r="F31" s="2" t="s">
        <v>1477</v>
      </c>
      <c r="G31" s="2" t="s">
        <v>1478</v>
      </c>
      <c r="H31" s="2" t="s">
        <v>339</v>
      </c>
      <c r="I31" s="2" t="s">
        <v>1001</v>
      </c>
      <c r="J31" s="2" t="s">
        <v>30</v>
      </c>
      <c r="K31" s="2" t="s">
        <v>288</v>
      </c>
      <c r="L31" s="2" t="s">
        <v>65</v>
      </c>
      <c r="M31" s="2" t="s">
        <v>1448</v>
      </c>
      <c r="N31" s="2" t="s">
        <v>159</v>
      </c>
      <c r="O31" s="2" t="s">
        <v>44</v>
      </c>
      <c r="P31" s="156">
        <v>46427</v>
      </c>
      <c r="Q31" s="162">
        <v>1</v>
      </c>
      <c r="R31" s="179">
        <v>7118</v>
      </c>
      <c r="T31" s="155">
        <v>3304.674</v>
      </c>
      <c r="U31" s="168">
        <v>1.1606999999999999E-2</v>
      </c>
      <c r="V31" s="168">
        <v>4.7953670399959502E-3</v>
      </c>
      <c r="W31" s="168">
        <v>1.36199392814022E-3</v>
      </c>
    </row>
    <row r="32" spans="1:23">
      <c r="A32" s="2">
        <v>288</v>
      </c>
      <c r="B32" s="2">
        <v>288</v>
      </c>
      <c r="C32" s="2" t="s">
        <v>1404</v>
      </c>
      <c r="D32" s="2" t="s">
        <v>1405</v>
      </c>
      <c r="E32" s="4" t="s">
        <v>1333</v>
      </c>
      <c r="F32" s="2" t="s">
        <v>1479</v>
      </c>
      <c r="G32" s="2" t="s">
        <v>1480</v>
      </c>
      <c r="H32" s="2" t="s">
        <v>339</v>
      </c>
      <c r="I32" s="2" t="s">
        <v>1001</v>
      </c>
      <c r="J32" s="2" t="s">
        <v>30</v>
      </c>
      <c r="K32" s="2" t="s">
        <v>125</v>
      </c>
      <c r="L32" s="2" t="s">
        <v>65</v>
      </c>
      <c r="M32" s="2" t="s">
        <v>1448</v>
      </c>
      <c r="N32" s="2" t="s">
        <v>159</v>
      </c>
      <c r="O32" s="2" t="s">
        <v>44</v>
      </c>
      <c r="P32" s="156">
        <v>115573</v>
      </c>
      <c r="Q32" s="162">
        <v>1</v>
      </c>
      <c r="R32" s="179">
        <v>3313</v>
      </c>
      <c r="T32" s="155">
        <v>3828.933</v>
      </c>
      <c r="U32" s="168">
        <v>1.1663E-2</v>
      </c>
      <c r="V32" s="168">
        <v>5.5561130187542001E-3</v>
      </c>
      <c r="W32" s="168">
        <v>1.5780631873406001E-3</v>
      </c>
    </row>
    <row r="33" spans="1:23">
      <c r="A33" s="2">
        <v>288</v>
      </c>
      <c r="B33" s="2">
        <v>288</v>
      </c>
      <c r="C33" s="2" t="s">
        <v>1404</v>
      </c>
      <c r="D33" s="2" t="s">
        <v>1405</v>
      </c>
      <c r="E33" s="4" t="s">
        <v>1333</v>
      </c>
      <c r="F33" s="2" t="s">
        <v>1481</v>
      </c>
      <c r="G33" s="2" t="s">
        <v>1482</v>
      </c>
      <c r="H33" s="2" t="s">
        <v>339</v>
      </c>
      <c r="I33" s="2" t="s">
        <v>1001</v>
      </c>
      <c r="J33" s="2" t="s">
        <v>30</v>
      </c>
      <c r="K33" s="2" t="s">
        <v>253</v>
      </c>
      <c r="L33" s="2" t="s">
        <v>65</v>
      </c>
      <c r="M33" s="2" t="s">
        <v>1448</v>
      </c>
      <c r="N33" s="2" t="s">
        <v>159</v>
      </c>
      <c r="O33" s="2" t="s">
        <v>44</v>
      </c>
      <c r="P33" s="156">
        <v>29586</v>
      </c>
      <c r="Q33" s="162">
        <v>1</v>
      </c>
      <c r="R33" s="179">
        <v>8732</v>
      </c>
      <c r="T33" s="155">
        <v>2583.4499999999998</v>
      </c>
      <c r="U33" s="168">
        <v>2.8700000000000002E-3</v>
      </c>
      <c r="V33" s="168">
        <v>3.7488082644564998E-3</v>
      </c>
      <c r="W33" s="168">
        <v>1.0647472969985501E-3</v>
      </c>
    </row>
    <row r="34" spans="1:23">
      <c r="A34" s="2">
        <v>288</v>
      </c>
      <c r="B34" s="2">
        <v>288</v>
      </c>
      <c r="C34" s="2" t="s">
        <v>1404</v>
      </c>
      <c r="D34" s="2" t="s">
        <v>1405</v>
      </c>
      <c r="E34" s="4" t="s">
        <v>1333</v>
      </c>
      <c r="F34" s="2" t="s">
        <v>1483</v>
      </c>
      <c r="G34" s="2" t="s">
        <v>1484</v>
      </c>
      <c r="H34" s="2" t="s">
        <v>339</v>
      </c>
      <c r="I34" s="2" t="s">
        <v>1002</v>
      </c>
      <c r="J34" s="2" t="s">
        <v>30</v>
      </c>
      <c r="K34" s="2" t="s">
        <v>30</v>
      </c>
      <c r="L34" s="2" t="s">
        <v>65</v>
      </c>
      <c r="M34" s="2" t="s">
        <v>1369</v>
      </c>
      <c r="N34" s="2" t="s">
        <v>159</v>
      </c>
      <c r="O34" s="2" t="s">
        <v>44</v>
      </c>
      <c r="P34" s="156">
        <v>2350000</v>
      </c>
      <c r="Q34" s="162">
        <v>1</v>
      </c>
      <c r="R34" s="179">
        <v>373.4</v>
      </c>
      <c r="T34" s="155">
        <v>8774.9</v>
      </c>
      <c r="U34" s="168">
        <v>1.7260000000000001E-3</v>
      </c>
      <c r="V34" s="168">
        <v>1.27331373750935E-2</v>
      </c>
      <c r="W34" s="168">
        <v>3.6165022711311199E-3</v>
      </c>
    </row>
    <row r="35" spans="1:23">
      <c r="A35" s="2">
        <v>288</v>
      </c>
      <c r="B35" s="2">
        <v>288</v>
      </c>
      <c r="C35" s="2" t="s">
        <v>1485</v>
      </c>
      <c r="D35" s="2" t="s">
        <v>1486</v>
      </c>
      <c r="E35" s="4" t="s">
        <v>332</v>
      </c>
      <c r="F35" s="2" t="s">
        <v>1487</v>
      </c>
      <c r="G35" s="2" t="s">
        <v>1488</v>
      </c>
      <c r="H35" s="2" t="s">
        <v>339</v>
      </c>
      <c r="I35" s="2" t="s">
        <v>1001</v>
      </c>
      <c r="J35" s="2" t="s">
        <v>124</v>
      </c>
      <c r="K35" s="2" t="s">
        <v>125</v>
      </c>
      <c r="L35" s="2" t="s">
        <v>382</v>
      </c>
      <c r="M35" s="2" t="s">
        <v>753</v>
      </c>
      <c r="N35" s="2" t="s">
        <v>159</v>
      </c>
      <c r="O35" s="2" t="s">
        <v>34</v>
      </c>
      <c r="P35" s="156">
        <v>51400</v>
      </c>
      <c r="Q35" s="162">
        <v>3.6469999999999998</v>
      </c>
      <c r="R35" s="179">
        <v>11638.61</v>
      </c>
      <c r="T35" s="155">
        <v>21817.249</v>
      </c>
      <c r="U35" s="168">
        <v>0</v>
      </c>
      <c r="V35" s="168">
        <v>3.1658712330772797E-2</v>
      </c>
      <c r="W35" s="168">
        <v>8.9917984603920895E-3</v>
      </c>
    </row>
    <row r="36" spans="1:23">
      <c r="A36" s="2">
        <v>288</v>
      </c>
      <c r="B36" s="2">
        <v>288</v>
      </c>
      <c r="C36" s="2" t="s">
        <v>1412</v>
      </c>
      <c r="D36" s="2" t="s">
        <v>1413</v>
      </c>
      <c r="E36" s="4" t="s">
        <v>332</v>
      </c>
      <c r="F36" s="2" t="s">
        <v>1489</v>
      </c>
      <c r="G36" s="2" t="s">
        <v>1490</v>
      </c>
      <c r="H36" s="2" t="s">
        <v>339</v>
      </c>
      <c r="I36" s="2" t="s">
        <v>1001</v>
      </c>
      <c r="J36" s="2" t="s">
        <v>124</v>
      </c>
      <c r="K36" s="2" t="s">
        <v>125</v>
      </c>
      <c r="L36" s="2" t="s">
        <v>31</v>
      </c>
      <c r="M36" s="2" t="s">
        <v>753</v>
      </c>
      <c r="N36" s="2" t="s">
        <v>159</v>
      </c>
      <c r="O36" s="2" t="s">
        <v>34</v>
      </c>
      <c r="P36" s="156">
        <v>1110</v>
      </c>
      <c r="Q36" s="162">
        <v>3.6469999999999998</v>
      </c>
      <c r="R36" s="179">
        <v>121767</v>
      </c>
      <c r="T36" s="155">
        <v>4929.335</v>
      </c>
      <c r="U36" s="168">
        <v>8.3999999999999995E-5</v>
      </c>
      <c r="V36" s="168">
        <v>7.1528908374816503E-3</v>
      </c>
      <c r="W36" s="168">
        <v>2.0315846124070798E-3</v>
      </c>
    </row>
    <row r="37" spans="1:23">
      <c r="A37" s="2">
        <v>288</v>
      </c>
      <c r="B37" s="2">
        <v>288</v>
      </c>
      <c r="C37" s="2" t="s">
        <v>1412</v>
      </c>
      <c r="D37" s="2" t="s">
        <v>1413</v>
      </c>
      <c r="E37" s="4" t="s">
        <v>332</v>
      </c>
      <c r="F37" s="2" t="s">
        <v>1491</v>
      </c>
      <c r="G37" s="2" t="s">
        <v>1492</v>
      </c>
      <c r="H37" s="2" t="s">
        <v>339</v>
      </c>
      <c r="I37" s="2" t="s">
        <v>1001</v>
      </c>
      <c r="J37" s="2" t="s">
        <v>124</v>
      </c>
      <c r="K37" s="2" t="s">
        <v>313</v>
      </c>
      <c r="L37" s="2" t="s">
        <v>386</v>
      </c>
      <c r="M37" s="2" t="s">
        <v>753</v>
      </c>
      <c r="N37" s="2" t="s">
        <v>159</v>
      </c>
      <c r="O37" s="2" t="s">
        <v>1203</v>
      </c>
      <c r="P37" s="156">
        <v>98800</v>
      </c>
      <c r="Q37" s="162">
        <v>3.7964000000000002</v>
      </c>
      <c r="R37" s="179">
        <v>4909</v>
      </c>
      <c r="T37" s="155">
        <v>18412.888999999999</v>
      </c>
      <c r="U37" s="168">
        <v>1.0120000000000001E-3</v>
      </c>
      <c r="V37" s="168">
        <v>2.67186917836118E-2</v>
      </c>
      <c r="W37" s="168">
        <v>7.5887196274260797E-3</v>
      </c>
    </row>
    <row r="38" spans="1:23">
      <c r="A38" s="2">
        <v>288</v>
      </c>
      <c r="B38" s="2">
        <v>288</v>
      </c>
      <c r="C38" s="2" t="s">
        <v>1412</v>
      </c>
      <c r="D38" s="2" t="s">
        <v>1413</v>
      </c>
      <c r="E38" s="4" t="s">
        <v>332</v>
      </c>
      <c r="F38" s="2" t="s">
        <v>1493</v>
      </c>
      <c r="G38" s="2" t="s">
        <v>1494</v>
      </c>
      <c r="H38" s="2" t="s">
        <v>339</v>
      </c>
      <c r="I38" s="2" t="s">
        <v>1001</v>
      </c>
      <c r="J38" s="2" t="s">
        <v>124</v>
      </c>
      <c r="K38" s="2" t="s">
        <v>125</v>
      </c>
      <c r="L38" s="2" t="s">
        <v>31</v>
      </c>
      <c r="M38" s="2" t="s">
        <v>753</v>
      </c>
      <c r="N38" s="2" t="s">
        <v>159</v>
      </c>
      <c r="O38" s="2" t="s">
        <v>34</v>
      </c>
      <c r="P38" s="156">
        <v>173995</v>
      </c>
      <c r="Q38" s="162">
        <v>3.6469999999999998</v>
      </c>
      <c r="R38" s="179">
        <v>1105.5</v>
      </c>
      <c r="T38" s="155">
        <v>7015.058</v>
      </c>
      <c r="U38" s="168">
        <v>0</v>
      </c>
      <c r="V38" s="168">
        <v>1.0179455011601E-2</v>
      </c>
      <c r="W38" s="168">
        <v>2.8911980672054701E-3</v>
      </c>
    </row>
    <row r="39" spans="1:23">
      <c r="A39" s="2">
        <v>288</v>
      </c>
      <c r="B39" s="2">
        <v>288</v>
      </c>
      <c r="C39" s="2" t="s">
        <v>1412</v>
      </c>
      <c r="D39" s="2" t="s">
        <v>1413</v>
      </c>
      <c r="E39" s="4" t="s">
        <v>332</v>
      </c>
      <c r="F39" s="2" t="s">
        <v>1495</v>
      </c>
      <c r="G39" s="2" t="s">
        <v>1496</v>
      </c>
      <c r="H39" s="2" t="s">
        <v>339</v>
      </c>
      <c r="I39" s="2" t="s">
        <v>1001</v>
      </c>
      <c r="J39" s="2" t="s">
        <v>124</v>
      </c>
      <c r="K39" s="2" t="s">
        <v>125</v>
      </c>
      <c r="L39" s="2" t="s">
        <v>31</v>
      </c>
      <c r="M39" s="2" t="s">
        <v>753</v>
      </c>
      <c r="N39" s="2" t="s">
        <v>159</v>
      </c>
      <c r="O39" s="2" t="s">
        <v>34</v>
      </c>
      <c r="P39" s="156">
        <v>306840</v>
      </c>
      <c r="Q39" s="162">
        <v>3.6469999999999998</v>
      </c>
      <c r="R39" s="179">
        <v>639.75</v>
      </c>
      <c r="T39" s="155">
        <v>7159.0929999999998</v>
      </c>
      <c r="U39" s="168">
        <v>0</v>
      </c>
      <c r="V39" s="168">
        <v>1.0388462601929001E-2</v>
      </c>
      <c r="W39" s="168">
        <v>2.9505610036788901E-3</v>
      </c>
    </row>
    <row r="40" spans="1:23">
      <c r="A40" s="2">
        <v>288</v>
      </c>
      <c r="B40" s="2">
        <v>288</v>
      </c>
      <c r="C40" s="2" t="s">
        <v>1412</v>
      </c>
      <c r="D40" s="2" t="s">
        <v>1413</v>
      </c>
      <c r="E40" s="4" t="s">
        <v>332</v>
      </c>
      <c r="F40" s="2" t="s">
        <v>1497</v>
      </c>
      <c r="G40" s="2" t="s">
        <v>1498</v>
      </c>
      <c r="H40" s="2" t="s">
        <v>339</v>
      </c>
      <c r="I40" s="2" t="s">
        <v>1001</v>
      </c>
      <c r="J40" s="2" t="s">
        <v>124</v>
      </c>
      <c r="K40" s="2" t="s">
        <v>125</v>
      </c>
      <c r="L40" s="2" t="s">
        <v>398</v>
      </c>
      <c r="M40" s="2" t="s">
        <v>753</v>
      </c>
      <c r="N40" s="2" t="s">
        <v>159</v>
      </c>
      <c r="O40" s="2" t="s">
        <v>34</v>
      </c>
      <c r="P40" s="156">
        <v>811300</v>
      </c>
      <c r="Q40" s="162">
        <v>3.6469999999999998</v>
      </c>
      <c r="R40" s="179">
        <v>586.15</v>
      </c>
      <c r="T40" s="155">
        <v>17343.071</v>
      </c>
      <c r="U40" s="168">
        <v>0</v>
      </c>
      <c r="V40" s="168">
        <v>2.51662935068615E-2</v>
      </c>
      <c r="W40" s="168">
        <v>7.14780300741463E-3</v>
      </c>
    </row>
    <row r="41" spans="1:23">
      <c r="A41" s="2">
        <v>288</v>
      </c>
      <c r="B41" s="2">
        <v>288</v>
      </c>
      <c r="C41" s="2" t="s">
        <v>1412</v>
      </c>
      <c r="D41" s="2" t="s">
        <v>1413</v>
      </c>
      <c r="E41" s="4" t="s">
        <v>332</v>
      </c>
      <c r="F41" s="2" t="s">
        <v>1499</v>
      </c>
      <c r="G41" s="2" t="s">
        <v>1500</v>
      </c>
      <c r="H41" s="2" t="s">
        <v>339</v>
      </c>
      <c r="I41" s="2" t="s">
        <v>1003</v>
      </c>
      <c r="J41" s="2" t="s">
        <v>124</v>
      </c>
      <c r="K41" s="2" t="s">
        <v>125</v>
      </c>
      <c r="L41" s="2" t="s">
        <v>398</v>
      </c>
      <c r="M41" s="2" t="s">
        <v>750</v>
      </c>
      <c r="N41" s="2" t="s">
        <v>159</v>
      </c>
      <c r="O41" s="2" t="s">
        <v>34</v>
      </c>
      <c r="P41" s="156">
        <v>889500</v>
      </c>
      <c r="Q41" s="162">
        <v>3.6469999999999998</v>
      </c>
      <c r="R41" s="179">
        <v>595.1</v>
      </c>
      <c r="T41" s="155">
        <v>19305.082999999999</v>
      </c>
      <c r="U41" s="168">
        <v>0</v>
      </c>
      <c r="V41" s="168">
        <v>2.80133414421905E-2</v>
      </c>
      <c r="W41" s="168">
        <v>7.9564297441587807E-3</v>
      </c>
    </row>
    <row r="42" spans="1:23">
      <c r="A42" s="2">
        <v>288</v>
      </c>
      <c r="B42" s="2">
        <v>288</v>
      </c>
      <c r="C42" s="2" t="s">
        <v>1501</v>
      </c>
      <c r="D42" s="2" t="s">
        <v>1502</v>
      </c>
      <c r="E42" s="4" t="s">
        <v>332</v>
      </c>
      <c r="F42" s="2" t="s">
        <v>1503</v>
      </c>
      <c r="G42" s="2" t="s">
        <v>1504</v>
      </c>
      <c r="H42" s="2" t="s">
        <v>339</v>
      </c>
      <c r="I42" s="2" t="s">
        <v>1001</v>
      </c>
      <c r="J42" s="2" t="s">
        <v>124</v>
      </c>
      <c r="K42" s="2" t="s">
        <v>288</v>
      </c>
      <c r="L42" s="2" t="s">
        <v>398</v>
      </c>
      <c r="M42" s="2" t="s">
        <v>753</v>
      </c>
      <c r="N42" s="2" t="s">
        <v>159</v>
      </c>
      <c r="O42" s="2" t="s">
        <v>34</v>
      </c>
      <c r="P42" s="156">
        <v>30000</v>
      </c>
      <c r="Q42" s="162">
        <v>3.6469999999999998</v>
      </c>
      <c r="R42" s="179">
        <v>2068</v>
      </c>
      <c r="T42" s="155">
        <v>2262.5990000000002</v>
      </c>
      <c r="U42" s="168">
        <v>0</v>
      </c>
      <c r="V42" s="168">
        <v>3.2832261729617098E-3</v>
      </c>
      <c r="W42" s="168">
        <v>9.3251133333240803E-4</v>
      </c>
    </row>
    <row r="43" spans="1:23">
      <c r="A43" s="2">
        <v>288</v>
      </c>
      <c r="B43" s="2">
        <v>288</v>
      </c>
      <c r="C43" s="2" t="s">
        <v>1505</v>
      </c>
      <c r="D43" s="2" t="s">
        <v>1506</v>
      </c>
      <c r="E43" s="4" t="s">
        <v>332</v>
      </c>
      <c r="F43" s="2" t="s">
        <v>1507</v>
      </c>
      <c r="G43" s="2" t="s">
        <v>1508</v>
      </c>
      <c r="H43" s="2" t="s">
        <v>339</v>
      </c>
      <c r="I43" s="2" t="s">
        <v>1001</v>
      </c>
      <c r="J43" s="2" t="s">
        <v>124</v>
      </c>
      <c r="K43" s="2" t="s">
        <v>288</v>
      </c>
      <c r="L43" s="2" t="s">
        <v>362</v>
      </c>
      <c r="M43" s="2" t="s">
        <v>753</v>
      </c>
      <c r="N43" s="2" t="s">
        <v>159</v>
      </c>
      <c r="O43" s="2" t="s">
        <v>34</v>
      </c>
      <c r="P43" s="156">
        <v>36000</v>
      </c>
      <c r="Q43" s="162">
        <v>3.6469999999999998</v>
      </c>
      <c r="R43" s="179">
        <v>2924</v>
      </c>
      <c r="T43" s="155">
        <v>3838.9780000000001</v>
      </c>
      <c r="U43" s="168">
        <v>1.46E-4</v>
      </c>
      <c r="V43" s="168">
        <v>5.5706885859226497E-3</v>
      </c>
      <c r="W43" s="168">
        <v>1.58220298181661E-3</v>
      </c>
    </row>
    <row r="44" spans="1:23">
      <c r="A44" s="2">
        <v>288</v>
      </c>
      <c r="B44" s="2">
        <v>288</v>
      </c>
      <c r="C44" s="2" t="s">
        <v>1509</v>
      </c>
      <c r="D44" s="2" t="s">
        <v>1486</v>
      </c>
      <c r="E44" s="4" t="s">
        <v>332</v>
      </c>
      <c r="F44" s="2" t="s">
        <v>1510</v>
      </c>
      <c r="G44" s="2" t="s">
        <v>1511</v>
      </c>
      <c r="H44" s="2" t="s">
        <v>339</v>
      </c>
      <c r="I44" s="2" t="s">
        <v>1001</v>
      </c>
      <c r="J44" s="2" t="s">
        <v>124</v>
      </c>
      <c r="K44" s="2" t="s">
        <v>125</v>
      </c>
      <c r="L44" s="2" t="s">
        <v>398</v>
      </c>
      <c r="M44" s="2" t="s">
        <v>753</v>
      </c>
      <c r="N44" s="2" t="s">
        <v>159</v>
      </c>
      <c r="O44" s="2" t="s">
        <v>34</v>
      </c>
      <c r="P44" s="156">
        <v>21850</v>
      </c>
      <c r="Q44" s="162">
        <v>3.6469999999999998</v>
      </c>
      <c r="R44" s="179">
        <v>42367.5</v>
      </c>
      <c r="T44" s="155">
        <v>33761.368999999999</v>
      </c>
      <c r="U44" s="168">
        <v>2.4629999999999999E-3</v>
      </c>
      <c r="V44" s="168">
        <v>4.8990660133664897E-2</v>
      </c>
      <c r="W44" s="168">
        <v>1.39144680857817E-2</v>
      </c>
    </row>
    <row r="45" spans="1:23">
      <c r="A45" s="2">
        <v>288</v>
      </c>
      <c r="B45" s="2">
        <v>288</v>
      </c>
      <c r="C45" s="2" t="s">
        <v>1391</v>
      </c>
      <c r="D45" s="2" t="s">
        <v>1392</v>
      </c>
      <c r="E45" s="4" t="s">
        <v>332</v>
      </c>
      <c r="F45" s="2" t="s">
        <v>1512</v>
      </c>
      <c r="G45" s="2" t="s">
        <v>1513</v>
      </c>
      <c r="H45" s="2" t="s">
        <v>339</v>
      </c>
      <c r="I45" s="2" t="s">
        <v>1001</v>
      </c>
      <c r="J45" s="2" t="s">
        <v>124</v>
      </c>
      <c r="K45" s="2" t="s">
        <v>271</v>
      </c>
      <c r="L45" s="2" t="s">
        <v>366</v>
      </c>
      <c r="M45" s="2" t="s">
        <v>753</v>
      </c>
      <c r="N45" s="2" t="s">
        <v>159</v>
      </c>
      <c r="O45" s="2" t="s">
        <v>1204</v>
      </c>
      <c r="P45" s="156">
        <v>121300</v>
      </c>
      <c r="Q45" s="162">
        <v>2.3285</v>
      </c>
      <c r="R45" s="179">
        <v>2919</v>
      </c>
      <c r="T45" s="155">
        <v>8244.6290000000008</v>
      </c>
      <c r="U45" s="168">
        <v>0</v>
      </c>
      <c r="V45" s="168">
        <v>1.19636689447443E-2</v>
      </c>
      <c r="W45" s="168">
        <v>3.39795563616237E-3</v>
      </c>
    </row>
    <row r="46" spans="1:23">
      <c r="A46" s="2">
        <v>288</v>
      </c>
      <c r="B46" s="2">
        <v>288</v>
      </c>
      <c r="C46" s="2" t="s">
        <v>1382</v>
      </c>
      <c r="D46" s="2" t="s">
        <v>1383</v>
      </c>
      <c r="E46" s="4" t="s">
        <v>332</v>
      </c>
      <c r="F46" s="2" t="s">
        <v>1514</v>
      </c>
      <c r="G46" s="2" t="s">
        <v>1515</v>
      </c>
      <c r="H46" s="2" t="s">
        <v>339</v>
      </c>
      <c r="I46" s="2" t="s">
        <v>1001</v>
      </c>
      <c r="J46" s="2" t="s">
        <v>124</v>
      </c>
      <c r="K46" s="2" t="s">
        <v>125</v>
      </c>
      <c r="L46" s="2" t="s">
        <v>398</v>
      </c>
      <c r="M46" s="2" t="s">
        <v>753</v>
      </c>
      <c r="N46" s="2" t="s">
        <v>159</v>
      </c>
      <c r="O46" s="2" t="s">
        <v>34</v>
      </c>
      <c r="P46" s="156">
        <v>10315</v>
      </c>
      <c r="Q46" s="162">
        <v>3.6469999999999998</v>
      </c>
      <c r="R46" s="179">
        <v>116945.5</v>
      </c>
      <c r="T46" s="155">
        <v>43993.5</v>
      </c>
      <c r="U46" s="168">
        <v>2.032E-3</v>
      </c>
      <c r="V46" s="168">
        <v>6.3838365569311994E-2</v>
      </c>
      <c r="W46" s="168">
        <v>1.8131556054543901E-2</v>
      </c>
    </row>
    <row r="47" spans="1:23">
      <c r="A47" s="2">
        <v>288</v>
      </c>
      <c r="B47" s="2">
        <v>288</v>
      </c>
      <c r="C47" s="2" t="s">
        <v>1516</v>
      </c>
      <c r="D47" s="2" t="s">
        <v>1517</v>
      </c>
      <c r="E47" s="4" t="s">
        <v>332</v>
      </c>
      <c r="F47" s="2" t="s">
        <v>1518</v>
      </c>
      <c r="G47" s="2" t="s">
        <v>1519</v>
      </c>
      <c r="H47" s="2" t="s">
        <v>339</v>
      </c>
      <c r="I47" s="2" t="s">
        <v>1003</v>
      </c>
      <c r="J47" s="2" t="s">
        <v>124</v>
      </c>
      <c r="K47" s="2" t="s">
        <v>125</v>
      </c>
      <c r="L47" s="2" t="s">
        <v>1520</v>
      </c>
      <c r="M47" s="2" t="s">
        <v>750</v>
      </c>
      <c r="N47" s="2" t="s">
        <v>159</v>
      </c>
      <c r="O47" s="2" t="s">
        <v>34</v>
      </c>
      <c r="P47" s="156">
        <v>85000</v>
      </c>
      <c r="Q47" s="162">
        <v>3.6469999999999998</v>
      </c>
      <c r="R47" s="179">
        <v>1080.5999999999999</v>
      </c>
      <c r="T47" s="155">
        <v>3349.806</v>
      </c>
      <c r="U47" s="168">
        <v>0</v>
      </c>
      <c r="V47" s="168">
        <v>4.8608576275419998E-3</v>
      </c>
      <c r="W47" s="168">
        <v>1.38059475302893E-3</v>
      </c>
    </row>
    <row r="48" spans="1:23">
      <c r="A48" s="2">
        <v>288</v>
      </c>
      <c r="B48" s="2">
        <v>288</v>
      </c>
      <c r="C48" s="2" t="s">
        <v>1516</v>
      </c>
      <c r="D48" s="2" t="s">
        <v>1517</v>
      </c>
      <c r="E48" s="4" t="s">
        <v>332</v>
      </c>
      <c r="F48" s="2" t="s">
        <v>1521</v>
      </c>
      <c r="G48" s="2" t="s">
        <v>1522</v>
      </c>
      <c r="H48" s="2" t="s">
        <v>339</v>
      </c>
      <c r="I48" s="2" t="s">
        <v>1003</v>
      </c>
      <c r="J48" s="2" t="s">
        <v>124</v>
      </c>
      <c r="K48" s="2" t="s">
        <v>125</v>
      </c>
      <c r="L48" s="2" t="s">
        <v>398</v>
      </c>
      <c r="M48" s="2" t="s">
        <v>750</v>
      </c>
      <c r="N48" s="2" t="s">
        <v>159</v>
      </c>
      <c r="O48" s="2" t="s">
        <v>34</v>
      </c>
      <c r="P48" s="156">
        <v>187200</v>
      </c>
      <c r="Q48" s="162">
        <v>3.6469999999999998</v>
      </c>
      <c r="R48" s="179">
        <v>2832</v>
      </c>
      <c r="T48" s="155">
        <v>19334.584999999999</v>
      </c>
      <c r="U48" s="168">
        <v>0</v>
      </c>
      <c r="V48" s="168">
        <v>2.80561519807563E-2</v>
      </c>
      <c r="W48" s="168">
        <v>7.9685889163557296E-3</v>
      </c>
    </row>
    <row r="49" spans="1:23">
      <c r="A49" s="2">
        <v>288</v>
      </c>
      <c r="B49" s="2">
        <v>288</v>
      </c>
      <c r="C49" s="2" t="s">
        <v>1516</v>
      </c>
      <c r="D49" s="2" t="s">
        <v>1517</v>
      </c>
      <c r="E49" s="4" t="s">
        <v>332</v>
      </c>
      <c r="F49" s="2" t="s">
        <v>1523</v>
      </c>
      <c r="G49" s="2" t="s">
        <v>1524</v>
      </c>
      <c r="H49" s="2" t="s">
        <v>339</v>
      </c>
      <c r="I49" s="2" t="s">
        <v>1001</v>
      </c>
      <c r="J49" s="2" t="s">
        <v>124</v>
      </c>
      <c r="K49" s="2" t="s">
        <v>125</v>
      </c>
      <c r="L49" s="2" t="s">
        <v>362</v>
      </c>
      <c r="M49" s="2" t="s">
        <v>753</v>
      </c>
      <c r="N49" s="2" t="s">
        <v>159</v>
      </c>
      <c r="O49" s="2" t="s">
        <v>34</v>
      </c>
      <c r="P49" s="156">
        <v>18200</v>
      </c>
      <c r="Q49" s="162">
        <v>3.6469999999999998</v>
      </c>
      <c r="R49" s="179">
        <v>6894</v>
      </c>
      <c r="T49" s="155">
        <v>4575.92</v>
      </c>
      <c r="U49" s="168">
        <v>6.0000000000000002E-5</v>
      </c>
      <c r="V49" s="168">
        <v>6.6400550371122496E-3</v>
      </c>
      <c r="W49" s="168">
        <v>1.88592751454358E-3</v>
      </c>
    </row>
    <row r="50" spans="1:23">
      <c r="A50" s="2">
        <v>288</v>
      </c>
      <c r="B50" s="2">
        <v>288</v>
      </c>
      <c r="C50" s="2" t="s">
        <v>1516</v>
      </c>
      <c r="D50" s="2" t="s">
        <v>1517</v>
      </c>
      <c r="E50" s="4" t="s">
        <v>332</v>
      </c>
      <c r="F50" s="2" t="s">
        <v>1525</v>
      </c>
      <c r="G50" s="2" t="s">
        <v>1526</v>
      </c>
      <c r="H50" s="2" t="s">
        <v>339</v>
      </c>
      <c r="I50" s="2" t="s">
        <v>1001</v>
      </c>
      <c r="J50" s="2" t="s">
        <v>124</v>
      </c>
      <c r="K50" s="2" t="s">
        <v>125</v>
      </c>
      <c r="L50" s="2" t="s">
        <v>398</v>
      </c>
      <c r="M50" s="2" t="s">
        <v>753</v>
      </c>
      <c r="N50" s="2" t="s">
        <v>159</v>
      </c>
      <c r="O50" s="2" t="s">
        <v>34</v>
      </c>
      <c r="P50" s="156">
        <v>973390</v>
      </c>
      <c r="Q50" s="162">
        <v>3.6469999999999998</v>
      </c>
      <c r="R50" s="179">
        <v>1443.9</v>
      </c>
      <c r="T50" s="155">
        <v>51257.775999999998</v>
      </c>
      <c r="U50" s="168">
        <v>0</v>
      </c>
      <c r="V50" s="168">
        <v>7.4379457888852196E-2</v>
      </c>
      <c r="W50" s="168">
        <v>2.1125467389262399E-2</v>
      </c>
    </row>
    <row r="51" spans="1:23">
      <c r="A51" s="2">
        <v>288</v>
      </c>
      <c r="B51" s="2">
        <v>288</v>
      </c>
      <c r="C51" s="2" t="s">
        <v>1516</v>
      </c>
      <c r="D51" s="2" t="s">
        <v>1517</v>
      </c>
      <c r="E51" s="4" t="s">
        <v>332</v>
      </c>
      <c r="F51" s="2" t="s">
        <v>1527</v>
      </c>
      <c r="G51" s="2" t="s">
        <v>1528</v>
      </c>
      <c r="H51" s="2" t="s">
        <v>339</v>
      </c>
      <c r="I51" s="2" t="s">
        <v>1001</v>
      </c>
      <c r="J51" s="2" t="s">
        <v>124</v>
      </c>
      <c r="K51" s="2" t="s">
        <v>125</v>
      </c>
      <c r="L51" s="2" t="s">
        <v>398</v>
      </c>
      <c r="M51" s="2" t="s">
        <v>753</v>
      </c>
      <c r="N51" s="2" t="s">
        <v>159</v>
      </c>
      <c r="O51" s="2" t="s">
        <v>34</v>
      </c>
      <c r="P51" s="156">
        <v>53200</v>
      </c>
      <c r="Q51" s="162">
        <v>3.6469999999999998</v>
      </c>
      <c r="R51" s="179">
        <v>3282</v>
      </c>
      <c r="T51" s="155">
        <v>6367.75</v>
      </c>
      <c r="U51" s="168">
        <v>0</v>
      </c>
      <c r="V51" s="168">
        <v>9.2401542479356794E-3</v>
      </c>
      <c r="W51" s="168">
        <v>2.6244151648458802E-3</v>
      </c>
    </row>
    <row r="52" spans="1:23">
      <c r="A52" s="2">
        <v>288</v>
      </c>
      <c r="B52" s="2">
        <v>288</v>
      </c>
      <c r="C52" s="2" t="s">
        <v>1516</v>
      </c>
      <c r="D52" s="2" t="s">
        <v>1517</v>
      </c>
      <c r="E52" s="4" t="s">
        <v>332</v>
      </c>
      <c r="F52" s="2" t="s">
        <v>1529</v>
      </c>
      <c r="G52" s="2" t="s">
        <v>1530</v>
      </c>
      <c r="H52" s="2" t="s">
        <v>339</v>
      </c>
      <c r="I52" s="2" t="s">
        <v>1001</v>
      </c>
      <c r="J52" s="2" t="s">
        <v>124</v>
      </c>
      <c r="K52" s="2" t="s">
        <v>125</v>
      </c>
      <c r="L52" s="2" t="s">
        <v>398</v>
      </c>
      <c r="M52" s="2" t="s">
        <v>753</v>
      </c>
      <c r="N52" s="2" t="s">
        <v>159</v>
      </c>
      <c r="O52" s="2" t="s">
        <v>34</v>
      </c>
      <c r="P52" s="156">
        <v>14700</v>
      </c>
      <c r="Q52" s="162">
        <v>3.6469999999999998</v>
      </c>
      <c r="R52" s="179">
        <v>5653.25</v>
      </c>
      <c r="T52" s="155">
        <v>3030.7579999999998</v>
      </c>
      <c r="U52" s="168">
        <v>0</v>
      </c>
      <c r="V52" s="168">
        <v>4.3978917783002603E-3</v>
      </c>
      <c r="W52" s="168">
        <v>1.2491018620063401E-3</v>
      </c>
    </row>
    <row r="53" spans="1:23">
      <c r="A53" s="2">
        <v>288</v>
      </c>
      <c r="B53" s="2">
        <v>288</v>
      </c>
      <c r="C53" s="2" t="s">
        <v>1531</v>
      </c>
      <c r="D53" s="2" t="s">
        <v>1532</v>
      </c>
      <c r="E53" s="4" t="s">
        <v>332</v>
      </c>
      <c r="F53" s="2" t="s">
        <v>1533</v>
      </c>
      <c r="G53" s="2" t="s">
        <v>1534</v>
      </c>
      <c r="H53" s="2" t="s">
        <v>339</v>
      </c>
      <c r="I53" s="2" t="s">
        <v>1001</v>
      </c>
      <c r="J53" s="2" t="s">
        <v>124</v>
      </c>
      <c r="K53" s="2" t="s">
        <v>316</v>
      </c>
      <c r="L53" s="2" t="s">
        <v>31</v>
      </c>
      <c r="M53" s="2" t="s">
        <v>753</v>
      </c>
      <c r="N53" s="2" t="s">
        <v>159</v>
      </c>
      <c r="O53" s="2" t="s">
        <v>34</v>
      </c>
      <c r="P53" s="156">
        <v>65065</v>
      </c>
      <c r="Q53" s="162">
        <v>3.6469999999999998</v>
      </c>
      <c r="R53" s="179">
        <v>6302.5</v>
      </c>
      <c r="T53" s="155">
        <v>14955.332</v>
      </c>
      <c r="U53" s="168">
        <v>0</v>
      </c>
      <c r="V53" s="168">
        <v>2.1701477381093001E-2</v>
      </c>
      <c r="W53" s="168">
        <v>6.1637159738133296E-3</v>
      </c>
    </row>
    <row r="54" spans="1:23">
      <c r="A54" s="2">
        <v>288</v>
      </c>
      <c r="B54" s="2">
        <v>288</v>
      </c>
      <c r="C54" s="2" t="s">
        <v>1531</v>
      </c>
      <c r="D54" s="2" t="s">
        <v>1532</v>
      </c>
      <c r="E54" s="4" t="s">
        <v>332</v>
      </c>
      <c r="F54" s="2" t="s">
        <v>1533</v>
      </c>
      <c r="G54" s="2" t="s">
        <v>1534</v>
      </c>
      <c r="H54" s="2" t="s">
        <v>339</v>
      </c>
      <c r="I54" s="2" t="s">
        <v>1001</v>
      </c>
      <c r="J54" s="2" t="s">
        <v>124</v>
      </c>
      <c r="K54" s="2" t="s">
        <v>316</v>
      </c>
      <c r="L54" s="2" t="s">
        <v>31</v>
      </c>
      <c r="M54" s="2" t="s">
        <v>753</v>
      </c>
      <c r="N54" s="2" t="s">
        <v>159</v>
      </c>
      <c r="O54" s="2" t="s">
        <v>1203</v>
      </c>
      <c r="P54" s="156">
        <v>4160</v>
      </c>
      <c r="Q54" s="162">
        <v>3.7964000000000002</v>
      </c>
      <c r="R54" s="179">
        <v>6049</v>
      </c>
      <c r="T54" s="155">
        <v>955.32</v>
      </c>
      <c r="U54" s="168">
        <v>0</v>
      </c>
      <c r="V54" s="168">
        <v>1.38625181759876E-3</v>
      </c>
      <c r="W54" s="168">
        <v>3.9372722519368598E-4</v>
      </c>
    </row>
    <row r="55" spans="1:23">
      <c r="A55" s="2">
        <v>288</v>
      </c>
      <c r="B55" s="2">
        <v>288</v>
      </c>
      <c r="C55" s="2" t="s">
        <v>1531</v>
      </c>
      <c r="D55" s="2" t="s">
        <v>1532</v>
      </c>
      <c r="E55" s="4" t="s">
        <v>332</v>
      </c>
      <c r="F55" s="2" t="s">
        <v>1535</v>
      </c>
      <c r="G55" s="2" t="s">
        <v>1536</v>
      </c>
      <c r="H55" s="2" t="s">
        <v>339</v>
      </c>
      <c r="I55" s="2" t="s">
        <v>1001</v>
      </c>
      <c r="J55" s="2" t="s">
        <v>124</v>
      </c>
      <c r="K55" s="2" t="s">
        <v>125</v>
      </c>
      <c r="L55" s="2" t="s">
        <v>362</v>
      </c>
      <c r="M55" s="2" t="s">
        <v>753</v>
      </c>
      <c r="N55" s="2" t="s">
        <v>159</v>
      </c>
      <c r="O55" s="2" t="s">
        <v>34</v>
      </c>
      <c r="P55" s="156">
        <v>4681</v>
      </c>
      <c r="Q55" s="162">
        <v>3.6469999999999998</v>
      </c>
      <c r="R55" s="179">
        <v>53881</v>
      </c>
      <c r="T55" s="155">
        <v>9198.3529999999992</v>
      </c>
      <c r="U55" s="168">
        <v>6.9999999999999999E-6</v>
      </c>
      <c r="V55" s="168">
        <v>1.33476036044497E-2</v>
      </c>
      <c r="W55" s="168">
        <v>3.7910247355119001E-3</v>
      </c>
    </row>
    <row r="56" spans="1:23">
      <c r="A56" s="2">
        <v>288</v>
      </c>
      <c r="B56" s="2">
        <v>288</v>
      </c>
      <c r="C56" s="2" t="s">
        <v>1531</v>
      </c>
      <c r="D56" s="2" t="s">
        <v>1532</v>
      </c>
      <c r="E56" s="4" t="s">
        <v>332</v>
      </c>
      <c r="F56" s="2" t="s">
        <v>1537</v>
      </c>
      <c r="G56" s="2" t="s">
        <v>1538</v>
      </c>
      <c r="H56" s="2" t="s">
        <v>339</v>
      </c>
      <c r="I56" s="2" t="s">
        <v>1003</v>
      </c>
      <c r="J56" s="2" t="s">
        <v>124</v>
      </c>
      <c r="K56" s="2" t="s">
        <v>125</v>
      </c>
      <c r="L56" s="2" t="s">
        <v>398</v>
      </c>
      <c r="M56" s="2" t="s">
        <v>750</v>
      </c>
      <c r="N56" s="2" t="s">
        <v>159</v>
      </c>
      <c r="O56" s="2" t="s">
        <v>34</v>
      </c>
      <c r="P56" s="156">
        <v>138300</v>
      </c>
      <c r="Q56" s="162">
        <v>3.6469999999999998</v>
      </c>
      <c r="R56" s="179">
        <v>5691</v>
      </c>
      <c r="T56" s="155">
        <v>28704.271000000001</v>
      </c>
      <c r="U56" s="168">
        <v>0</v>
      </c>
      <c r="V56" s="168">
        <v>4.1652375770308801E-2</v>
      </c>
      <c r="W56" s="168">
        <v>1.1830227471351901E-2</v>
      </c>
    </row>
    <row r="57" spans="1:23">
      <c r="A57" s="2">
        <v>288</v>
      </c>
      <c r="B57" s="2">
        <v>288</v>
      </c>
      <c r="C57" s="2" t="s">
        <v>1539</v>
      </c>
      <c r="D57" s="2" t="s">
        <v>1540</v>
      </c>
      <c r="E57" s="4" t="s">
        <v>332</v>
      </c>
      <c r="F57" s="2" t="s">
        <v>1541</v>
      </c>
      <c r="G57" s="2" t="s">
        <v>1542</v>
      </c>
      <c r="H57" s="2" t="s">
        <v>339</v>
      </c>
      <c r="I57" s="2" t="s">
        <v>1001</v>
      </c>
      <c r="J57" s="2" t="s">
        <v>124</v>
      </c>
      <c r="K57" s="2" t="s">
        <v>271</v>
      </c>
      <c r="L57" s="2" t="s">
        <v>362</v>
      </c>
      <c r="M57" s="2" t="s">
        <v>753</v>
      </c>
      <c r="N57" s="2" t="s">
        <v>159</v>
      </c>
      <c r="O57" s="2" t="s">
        <v>34</v>
      </c>
      <c r="P57" s="156">
        <v>38000</v>
      </c>
      <c r="Q57" s="162">
        <v>3.6469999999999998</v>
      </c>
      <c r="R57" s="179">
        <v>11029</v>
      </c>
      <c r="T57" s="155">
        <v>15284.65</v>
      </c>
      <c r="U57" s="168">
        <v>1.2620000000000001E-3</v>
      </c>
      <c r="V57" s="168">
        <v>2.2179346478733E-2</v>
      </c>
      <c r="W57" s="168">
        <v>6.2994417282765799E-3</v>
      </c>
    </row>
    <row r="58" spans="1:23">
      <c r="A58" s="2">
        <v>288</v>
      </c>
      <c r="B58" s="2">
        <v>288</v>
      </c>
      <c r="C58" s="2" t="s">
        <v>1516</v>
      </c>
      <c r="D58" s="2" t="s">
        <v>1517</v>
      </c>
      <c r="E58" s="4" t="s">
        <v>332</v>
      </c>
      <c r="F58" s="2" t="s">
        <v>1543</v>
      </c>
      <c r="G58" s="2" t="s">
        <v>1544</v>
      </c>
      <c r="H58" s="2" t="s">
        <v>339</v>
      </c>
      <c r="I58" s="2" t="s">
        <v>1001</v>
      </c>
      <c r="J58" s="2" t="s">
        <v>124</v>
      </c>
      <c r="K58" s="2" t="s">
        <v>316</v>
      </c>
      <c r="L58" s="2" t="s">
        <v>31</v>
      </c>
      <c r="M58" s="2" t="s">
        <v>753</v>
      </c>
      <c r="N58" s="2" t="s">
        <v>159</v>
      </c>
      <c r="O58" s="2" t="s">
        <v>34</v>
      </c>
      <c r="P58" s="156">
        <v>11714</v>
      </c>
      <c r="Q58" s="162">
        <v>3.6469999999999998</v>
      </c>
      <c r="R58" s="179">
        <v>4815</v>
      </c>
      <c r="T58" s="155">
        <v>2057.0140000000001</v>
      </c>
      <c r="U58" s="168">
        <v>1.55E-4</v>
      </c>
      <c r="V58" s="168">
        <v>2.9849050667827802E-3</v>
      </c>
      <c r="W58" s="168">
        <v>8.4778131540825001E-4</v>
      </c>
    </row>
    <row r="59" spans="1:23">
      <c r="A59" s="2">
        <v>288</v>
      </c>
      <c r="B59" s="2">
        <v>288</v>
      </c>
      <c r="C59" s="2" t="s">
        <v>1545</v>
      </c>
      <c r="D59" s="11" t="s">
        <v>2595</v>
      </c>
      <c r="E59" s="4" t="s">
        <v>31</v>
      </c>
      <c r="F59" s="2" t="s">
        <v>1546</v>
      </c>
      <c r="G59" s="2" t="s">
        <v>1547</v>
      </c>
      <c r="H59" s="2" t="s">
        <v>339</v>
      </c>
      <c r="I59" s="2" t="s">
        <v>1001</v>
      </c>
      <c r="J59" s="2" t="s">
        <v>124</v>
      </c>
      <c r="K59" s="2" t="s">
        <v>125</v>
      </c>
      <c r="L59" s="2" t="s">
        <v>31</v>
      </c>
      <c r="M59" s="2" t="s">
        <v>753</v>
      </c>
      <c r="N59" s="2" t="s">
        <v>159</v>
      </c>
      <c r="O59" s="2" t="s">
        <v>34</v>
      </c>
      <c r="P59" s="156">
        <v>20400</v>
      </c>
      <c r="Q59" s="162">
        <v>3.6469999999999998</v>
      </c>
      <c r="R59" s="179">
        <v>3741</v>
      </c>
      <c r="S59" s="159">
        <v>2.109</v>
      </c>
      <c r="T59" s="155">
        <v>2790.951</v>
      </c>
      <c r="U59" s="168">
        <v>0</v>
      </c>
      <c r="V59" s="168">
        <v>4.0499106615509203E-3</v>
      </c>
      <c r="W59" s="168">
        <v>1.1502672651617001E-3</v>
      </c>
    </row>
    <row r="60" spans="1:23">
      <c r="A60" s="2">
        <v>288</v>
      </c>
      <c r="B60" s="2">
        <v>288</v>
      </c>
      <c r="C60" s="2" t="s">
        <v>1412</v>
      </c>
      <c r="D60" s="2" t="s">
        <v>1413</v>
      </c>
      <c r="E60" s="4" t="s">
        <v>332</v>
      </c>
      <c r="F60" s="2" t="s">
        <v>1548</v>
      </c>
      <c r="G60" s="2" t="s">
        <v>1549</v>
      </c>
      <c r="H60" s="2" t="s">
        <v>339</v>
      </c>
      <c r="I60" s="2" t="s">
        <v>1003</v>
      </c>
      <c r="J60" s="2" t="s">
        <v>124</v>
      </c>
      <c r="K60" s="2" t="s">
        <v>125</v>
      </c>
      <c r="L60" s="2" t="s">
        <v>364</v>
      </c>
      <c r="M60" s="2" t="s">
        <v>750</v>
      </c>
      <c r="N60" s="2" t="s">
        <v>159</v>
      </c>
      <c r="O60" s="2" t="s">
        <v>34</v>
      </c>
      <c r="P60" s="156">
        <v>26200</v>
      </c>
      <c r="Q60" s="162">
        <v>3.6469999999999998</v>
      </c>
      <c r="R60" s="179">
        <v>5151</v>
      </c>
      <c r="T60" s="155">
        <v>4921.8530000000001</v>
      </c>
      <c r="U60" s="168">
        <v>0</v>
      </c>
      <c r="V60" s="168">
        <v>7.1420330116610999E-3</v>
      </c>
      <c r="W60" s="168">
        <v>2.0285007415131399E-3</v>
      </c>
    </row>
    <row r="61" spans="1:23">
      <c r="A61" s="2">
        <v>288</v>
      </c>
      <c r="B61" s="2">
        <v>288</v>
      </c>
      <c r="C61" s="2" t="s">
        <v>1412</v>
      </c>
      <c r="D61" s="2" t="s">
        <v>1413</v>
      </c>
      <c r="E61" s="4" t="s">
        <v>332</v>
      </c>
      <c r="F61" s="2" t="s">
        <v>1550</v>
      </c>
      <c r="G61" s="2" t="s">
        <v>1551</v>
      </c>
      <c r="H61" s="2" t="s">
        <v>339</v>
      </c>
      <c r="I61" s="2" t="s">
        <v>1001</v>
      </c>
      <c r="J61" s="2" t="s">
        <v>124</v>
      </c>
      <c r="K61" s="2" t="s">
        <v>309</v>
      </c>
      <c r="L61" s="2" t="s">
        <v>362</v>
      </c>
      <c r="M61" s="2" t="s">
        <v>753</v>
      </c>
      <c r="N61" s="2" t="s">
        <v>159</v>
      </c>
      <c r="O61" s="2" t="s">
        <v>34</v>
      </c>
      <c r="P61" s="156">
        <v>16200</v>
      </c>
      <c r="Q61" s="162">
        <v>3.6469999999999998</v>
      </c>
      <c r="R61" s="179">
        <v>5089</v>
      </c>
      <c r="T61" s="155">
        <v>3006.652</v>
      </c>
      <c r="U61" s="168">
        <v>3.2000000000000003E-4</v>
      </c>
      <c r="V61" s="168">
        <v>4.3629122421997802E-3</v>
      </c>
      <c r="W61" s="168">
        <v>1.23916687363513E-3</v>
      </c>
    </row>
    <row r="62" spans="1:23">
      <c r="A62" s="2">
        <v>288</v>
      </c>
      <c r="B62" s="2">
        <v>288</v>
      </c>
      <c r="C62" s="2" t="s">
        <v>1412</v>
      </c>
      <c r="D62" s="2" t="s">
        <v>1413</v>
      </c>
      <c r="E62" s="4" t="s">
        <v>332</v>
      </c>
      <c r="F62" s="2" t="s">
        <v>1552</v>
      </c>
      <c r="G62" s="2" t="s">
        <v>1553</v>
      </c>
      <c r="H62" s="2" t="s">
        <v>339</v>
      </c>
      <c r="I62" s="2" t="s">
        <v>1001</v>
      </c>
      <c r="J62" s="2" t="s">
        <v>124</v>
      </c>
      <c r="K62" s="2" t="s">
        <v>125</v>
      </c>
      <c r="L62" s="2" t="s">
        <v>364</v>
      </c>
      <c r="M62" s="2" t="s">
        <v>753</v>
      </c>
      <c r="N62" s="2" t="s">
        <v>159</v>
      </c>
      <c r="O62" s="2" t="s">
        <v>34</v>
      </c>
      <c r="P62" s="156">
        <v>9815</v>
      </c>
      <c r="Q62" s="162">
        <v>3.6469999999999998</v>
      </c>
      <c r="R62" s="179">
        <v>5545</v>
      </c>
      <c r="T62" s="155">
        <v>1984.85</v>
      </c>
      <c r="U62" s="168">
        <v>0</v>
      </c>
      <c r="V62" s="168">
        <v>2.8801881979666098E-3</v>
      </c>
      <c r="W62" s="168">
        <v>8.1803932938050205E-4</v>
      </c>
    </row>
    <row r="63" spans="1:23">
      <c r="A63" s="2">
        <v>288</v>
      </c>
      <c r="B63" s="2">
        <v>288</v>
      </c>
      <c r="C63" s="2" t="s">
        <v>1412</v>
      </c>
      <c r="D63" s="2" t="s">
        <v>1413</v>
      </c>
      <c r="E63" s="4" t="s">
        <v>332</v>
      </c>
      <c r="F63" s="2" t="s">
        <v>1554</v>
      </c>
      <c r="G63" s="2" t="s">
        <v>1555</v>
      </c>
      <c r="H63" s="2" t="s">
        <v>339</v>
      </c>
      <c r="I63" s="2" t="s">
        <v>1001</v>
      </c>
      <c r="J63" s="2" t="s">
        <v>124</v>
      </c>
      <c r="K63" s="2" t="s">
        <v>264</v>
      </c>
      <c r="L63" s="2" t="s">
        <v>362</v>
      </c>
      <c r="M63" s="2" t="s">
        <v>753</v>
      </c>
      <c r="N63" s="2" t="s">
        <v>159</v>
      </c>
      <c r="O63" s="2" t="s">
        <v>34</v>
      </c>
      <c r="P63" s="156">
        <v>25000</v>
      </c>
      <c r="Q63" s="162">
        <v>3.6469999999999998</v>
      </c>
      <c r="R63" s="179">
        <v>5264</v>
      </c>
      <c r="T63" s="155">
        <v>4799.4520000000002</v>
      </c>
      <c r="U63" s="168">
        <v>2.6499999999999999E-4</v>
      </c>
      <c r="V63" s="168">
        <v>6.9644191547672601E-3</v>
      </c>
      <c r="W63" s="168">
        <v>1.9780543434323801E-3</v>
      </c>
    </row>
    <row r="64" spans="1:23">
      <c r="A64" s="2">
        <v>288</v>
      </c>
      <c r="B64" s="2">
        <v>288</v>
      </c>
      <c r="C64" s="2" t="s">
        <v>1412</v>
      </c>
      <c r="D64" s="2" t="s">
        <v>1413</v>
      </c>
      <c r="E64" s="4" t="s">
        <v>332</v>
      </c>
      <c r="F64" s="2" t="s">
        <v>1556</v>
      </c>
      <c r="G64" s="2" t="s">
        <v>1557</v>
      </c>
      <c r="H64" s="2" t="s">
        <v>339</v>
      </c>
      <c r="I64" s="2" t="s">
        <v>1001</v>
      </c>
      <c r="J64" s="2" t="s">
        <v>124</v>
      </c>
      <c r="K64" s="2" t="s">
        <v>288</v>
      </c>
      <c r="L64" s="2" t="s">
        <v>362</v>
      </c>
      <c r="M64" s="2" t="s">
        <v>753</v>
      </c>
      <c r="N64" s="2" t="s">
        <v>159</v>
      </c>
      <c r="O64" s="2" t="s">
        <v>34</v>
      </c>
      <c r="P64" s="156">
        <v>5750</v>
      </c>
      <c r="Q64" s="162">
        <v>3.6469999999999998</v>
      </c>
      <c r="R64" s="179">
        <v>5176</v>
      </c>
      <c r="T64" s="155">
        <v>1085.42</v>
      </c>
      <c r="U64" s="168">
        <v>0</v>
      </c>
      <c r="V64" s="168">
        <v>1.57503831978863E-3</v>
      </c>
      <c r="W64" s="168">
        <v>4.4734691010056598E-4</v>
      </c>
    </row>
    <row r="65" spans="1:23">
      <c r="A65" s="2">
        <v>288</v>
      </c>
      <c r="B65" s="2">
        <v>288</v>
      </c>
      <c r="C65" s="2" t="s">
        <v>1412</v>
      </c>
      <c r="D65" s="2" t="s">
        <v>1413</v>
      </c>
      <c r="E65" s="4" t="s">
        <v>332</v>
      </c>
      <c r="F65" s="2" t="s">
        <v>1558</v>
      </c>
      <c r="G65" s="2" t="s">
        <v>1559</v>
      </c>
      <c r="H65" s="2" t="s">
        <v>339</v>
      </c>
      <c r="I65" s="2" t="s">
        <v>1001</v>
      </c>
      <c r="J65" s="2" t="s">
        <v>124</v>
      </c>
      <c r="K65" s="2" t="s">
        <v>125</v>
      </c>
      <c r="L65" s="2" t="s">
        <v>362</v>
      </c>
      <c r="M65" s="2" t="s">
        <v>753</v>
      </c>
      <c r="N65" s="2" t="s">
        <v>159</v>
      </c>
      <c r="O65" s="2" t="s">
        <v>34</v>
      </c>
      <c r="P65" s="156">
        <v>1678</v>
      </c>
      <c r="Q65" s="162">
        <v>3.6469999999999998</v>
      </c>
      <c r="R65" s="179">
        <v>12675</v>
      </c>
      <c r="T65" s="155">
        <v>775.66800000000001</v>
      </c>
      <c r="U65" s="168">
        <v>1.2E-5</v>
      </c>
      <c r="V65" s="168">
        <v>1.1255607405474201E-3</v>
      </c>
      <c r="W65" s="168">
        <v>3.1968499628756198E-4</v>
      </c>
    </row>
    <row r="66" spans="1:23">
      <c r="A66" s="2">
        <v>288</v>
      </c>
      <c r="B66" s="2">
        <v>288</v>
      </c>
      <c r="C66" s="2" t="s">
        <v>1412</v>
      </c>
      <c r="D66" s="2" t="s">
        <v>1413</v>
      </c>
      <c r="E66" s="4" t="s">
        <v>332</v>
      </c>
      <c r="F66" s="2" t="s">
        <v>1499</v>
      </c>
      <c r="G66" s="2" t="s">
        <v>1500</v>
      </c>
      <c r="H66" s="2" t="s">
        <v>339</v>
      </c>
      <c r="I66" s="2" t="s">
        <v>1003</v>
      </c>
      <c r="J66" s="2" t="s">
        <v>124</v>
      </c>
      <c r="K66" s="2" t="s">
        <v>125</v>
      </c>
      <c r="L66" s="2" t="s">
        <v>398</v>
      </c>
      <c r="M66" s="2" t="s">
        <v>750</v>
      </c>
      <c r="N66" s="2" t="s">
        <v>159</v>
      </c>
      <c r="O66" s="2" t="s">
        <v>34</v>
      </c>
      <c r="P66" s="156">
        <v>76600</v>
      </c>
      <c r="Q66" s="162">
        <v>3.6469999999999998</v>
      </c>
      <c r="R66" s="179">
        <v>595.1</v>
      </c>
      <c r="T66" s="155">
        <v>1662.473</v>
      </c>
      <c r="U66" s="168">
        <v>0</v>
      </c>
      <c r="V66" s="168">
        <v>2.4123911798446299E-3</v>
      </c>
      <c r="W66" s="168">
        <v>6.8517427588820896E-4</v>
      </c>
    </row>
    <row r="67" spans="1:23">
      <c r="A67" s="2">
        <v>288</v>
      </c>
      <c r="B67" s="2">
        <v>288</v>
      </c>
      <c r="C67" s="2" t="s">
        <v>1516</v>
      </c>
      <c r="D67" s="2" t="s">
        <v>1517</v>
      </c>
      <c r="E67" s="4" t="s">
        <v>332</v>
      </c>
      <c r="F67" s="2" t="s">
        <v>1560</v>
      </c>
      <c r="G67" s="2" t="s">
        <v>1561</v>
      </c>
      <c r="H67" s="2" t="s">
        <v>339</v>
      </c>
      <c r="I67" s="2" t="s">
        <v>1001</v>
      </c>
      <c r="J67" s="2" t="s">
        <v>124</v>
      </c>
      <c r="K67" s="2" t="s">
        <v>125</v>
      </c>
      <c r="L67" s="2" t="s">
        <v>362</v>
      </c>
      <c r="M67" s="2" t="s">
        <v>753</v>
      </c>
      <c r="N67" s="2" t="s">
        <v>159</v>
      </c>
      <c r="O67" s="2" t="s">
        <v>34</v>
      </c>
      <c r="P67" s="156">
        <v>2714</v>
      </c>
      <c r="Q67" s="162">
        <v>3.6469999999999998</v>
      </c>
      <c r="R67" s="179">
        <v>8566</v>
      </c>
      <c r="T67" s="155">
        <v>847.85900000000004</v>
      </c>
      <c r="U67" s="168">
        <v>6.0000000000000002E-6</v>
      </c>
      <c r="V67" s="168">
        <v>1.2303167180699401E-3</v>
      </c>
      <c r="W67" s="168">
        <v>3.4943809008248199E-4</v>
      </c>
    </row>
    <row r="68" spans="1:23">
      <c r="A68" s="2">
        <v>288</v>
      </c>
      <c r="B68" s="2">
        <v>288</v>
      </c>
      <c r="C68" s="2" t="s">
        <v>1516</v>
      </c>
      <c r="D68" s="2" t="s">
        <v>1517</v>
      </c>
      <c r="E68" s="4" t="s">
        <v>332</v>
      </c>
      <c r="F68" s="2" t="s">
        <v>1562</v>
      </c>
      <c r="G68" s="2" t="s">
        <v>1563</v>
      </c>
      <c r="H68" s="2" t="s">
        <v>339</v>
      </c>
      <c r="I68" s="2" t="s">
        <v>1003</v>
      </c>
      <c r="J68" s="2" t="s">
        <v>124</v>
      </c>
      <c r="K68" s="2" t="s">
        <v>125</v>
      </c>
      <c r="L68" s="2" t="s">
        <v>31</v>
      </c>
      <c r="M68" s="2" t="s">
        <v>750</v>
      </c>
      <c r="N68" s="2" t="s">
        <v>159</v>
      </c>
      <c r="O68" s="2" t="s">
        <v>34</v>
      </c>
      <c r="P68" s="156">
        <v>41300</v>
      </c>
      <c r="Q68" s="162">
        <v>3.6469999999999998</v>
      </c>
      <c r="R68" s="179">
        <v>3276</v>
      </c>
      <c r="T68" s="155">
        <v>4934.3469999999998</v>
      </c>
      <c r="U68" s="168">
        <v>2.3699999999999999E-4</v>
      </c>
      <c r="V68" s="168">
        <v>7.1601637867554999E-3</v>
      </c>
      <c r="W68" s="168">
        <v>2.0336502963616198E-3</v>
      </c>
    </row>
    <row r="69" spans="1:23">
      <c r="A69" s="2">
        <v>288</v>
      </c>
      <c r="B69" s="2">
        <v>288</v>
      </c>
      <c r="C69" s="2" t="s">
        <v>1516</v>
      </c>
      <c r="D69" s="2" t="s">
        <v>1517</v>
      </c>
      <c r="E69" s="4" t="s">
        <v>332</v>
      </c>
      <c r="F69" s="2" t="s">
        <v>1564</v>
      </c>
      <c r="G69" s="2" t="s">
        <v>1565</v>
      </c>
      <c r="H69" s="2" t="s">
        <v>339</v>
      </c>
      <c r="I69" s="2" t="s">
        <v>1001</v>
      </c>
      <c r="J69" s="2" t="s">
        <v>124</v>
      </c>
      <c r="K69" s="2" t="s">
        <v>313</v>
      </c>
      <c r="L69" s="2" t="s">
        <v>382</v>
      </c>
      <c r="M69" s="2" t="s">
        <v>753</v>
      </c>
      <c r="N69" s="2" t="s">
        <v>159</v>
      </c>
      <c r="O69" s="2" t="s">
        <v>1203</v>
      </c>
      <c r="P69" s="156">
        <v>3154</v>
      </c>
      <c r="Q69" s="162">
        <v>3.7964000000000002</v>
      </c>
      <c r="R69" s="179">
        <v>20950</v>
      </c>
      <c r="T69" s="155">
        <v>2508.5210000000002</v>
      </c>
      <c r="U69" s="168">
        <v>0</v>
      </c>
      <c r="V69" s="168">
        <v>3.6400800106502502E-3</v>
      </c>
      <c r="W69" s="168">
        <v>1.03386598587757E-3</v>
      </c>
    </row>
    <row r="70" spans="1:23">
      <c r="A70" s="2">
        <v>288</v>
      </c>
      <c r="B70" s="2">
        <v>288</v>
      </c>
      <c r="C70" s="2" t="s">
        <v>1516</v>
      </c>
      <c r="D70" s="2" t="s">
        <v>1517</v>
      </c>
      <c r="E70" s="4" t="s">
        <v>332</v>
      </c>
      <c r="F70" s="2" t="s">
        <v>1566</v>
      </c>
      <c r="G70" s="2" t="s">
        <v>1567</v>
      </c>
      <c r="H70" s="2" t="s">
        <v>339</v>
      </c>
      <c r="I70" s="2" t="s">
        <v>1001</v>
      </c>
      <c r="J70" s="2" t="s">
        <v>124</v>
      </c>
      <c r="K70" s="2" t="s">
        <v>125</v>
      </c>
      <c r="L70" s="2" t="s">
        <v>362</v>
      </c>
      <c r="M70" s="2" t="s">
        <v>753</v>
      </c>
      <c r="N70" s="2" t="s">
        <v>159</v>
      </c>
      <c r="O70" s="2" t="s">
        <v>34</v>
      </c>
      <c r="P70" s="156">
        <v>8020</v>
      </c>
      <c r="Q70" s="162">
        <v>3.6469999999999998</v>
      </c>
      <c r="R70" s="179">
        <v>10450</v>
      </c>
      <c r="T70" s="155">
        <v>3056.5140000000001</v>
      </c>
      <c r="U70" s="168">
        <v>4.3100000000000001E-4</v>
      </c>
      <c r="V70" s="168">
        <v>4.4352659949991602E-3</v>
      </c>
      <c r="W70" s="168">
        <v>1.2597169944432E-3</v>
      </c>
    </row>
    <row r="71" spans="1:23">
      <c r="A71" s="2">
        <v>288</v>
      </c>
      <c r="B71" s="2">
        <v>288</v>
      </c>
      <c r="C71" s="2" t="s">
        <v>1568</v>
      </c>
      <c r="D71" s="2" t="s">
        <v>1569</v>
      </c>
      <c r="E71" s="4" t="s">
        <v>332</v>
      </c>
      <c r="F71" s="2" t="s">
        <v>1570</v>
      </c>
      <c r="G71" s="2" t="s">
        <v>1571</v>
      </c>
      <c r="H71" s="2" t="s">
        <v>339</v>
      </c>
      <c r="I71" s="2" t="s">
        <v>1001</v>
      </c>
      <c r="J71" s="2" t="s">
        <v>124</v>
      </c>
      <c r="K71" s="2" t="s">
        <v>125</v>
      </c>
      <c r="L71" s="2" t="s">
        <v>362</v>
      </c>
      <c r="M71" s="2" t="s">
        <v>753</v>
      </c>
      <c r="N71" s="2" t="s">
        <v>159</v>
      </c>
      <c r="O71" s="2" t="s">
        <v>34</v>
      </c>
      <c r="P71" s="156">
        <v>2825</v>
      </c>
      <c r="Q71" s="162">
        <v>3.6469999999999998</v>
      </c>
      <c r="R71" s="179">
        <v>9272.5</v>
      </c>
      <c r="T71" s="155">
        <v>955.32500000000005</v>
      </c>
      <c r="U71" s="168">
        <v>0</v>
      </c>
      <c r="V71" s="168">
        <v>1.38625876846912E-3</v>
      </c>
      <c r="W71" s="168">
        <v>3.9372919939986202E-4</v>
      </c>
    </row>
    <row r="72" spans="1:23">
      <c r="A72" s="2">
        <v>288</v>
      </c>
      <c r="B72" s="2">
        <v>288</v>
      </c>
      <c r="C72" s="2" t="s">
        <v>1568</v>
      </c>
      <c r="D72" s="2" t="s">
        <v>1569</v>
      </c>
      <c r="E72" s="4" t="s">
        <v>332</v>
      </c>
      <c r="F72" s="2" t="s">
        <v>1572</v>
      </c>
      <c r="G72" s="2" t="s">
        <v>1573</v>
      </c>
      <c r="H72" s="2" t="s">
        <v>339</v>
      </c>
      <c r="I72" s="2" t="s">
        <v>1001</v>
      </c>
      <c r="J72" s="2" t="s">
        <v>124</v>
      </c>
      <c r="K72" s="2" t="s">
        <v>125</v>
      </c>
      <c r="L72" s="2" t="s">
        <v>364</v>
      </c>
      <c r="M72" s="2" t="s">
        <v>753</v>
      </c>
      <c r="N72" s="2" t="s">
        <v>159</v>
      </c>
      <c r="O72" s="2" t="s">
        <v>34</v>
      </c>
      <c r="P72" s="156">
        <v>6811</v>
      </c>
      <c r="Q72" s="162">
        <v>3.6469999999999998</v>
      </c>
      <c r="R72" s="179">
        <v>24217</v>
      </c>
      <c r="T72" s="155">
        <v>6015.4340000000002</v>
      </c>
      <c r="U72" s="168">
        <v>2.9799999999999998E-4</v>
      </c>
      <c r="V72" s="168">
        <v>8.7289143897277491E-3</v>
      </c>
      <c r="W72" s="168">
        <v>2.47921135106168E-3</v>
      </c>
    </row>
    <row r="73" spans="1:23">
      <c r="A73" s="2">
        <v>288</v>
      </c>
      <c r="B73" s="2">
        <v>1451</v>
      </c>
      <c r="C73" s="2" t="s">
        <v>1416</v>
      </c>
      <c r="D73" s="2" t="s">
        <v>1417</v>
      </c>
      <c r="E73" s="4" t="s">
        <v>1333</v>
      </c>
      <c r="F73" s="2" t="s">
        <v>1574</v>
      </c>
      <c r="G73" s="2" t="s">
        <v>1575</v>
      </c>
      <c r="H73" s="2" t="s">
        <v>339</v>
      </c>
      <c r="I73" s="2" t="s">
        <v>1002</v>
      </c>
      <c r="J73" s="2" t="s">
        <v>30</v>
      </c>
      <c r="K73" s="2" t="s">
        <v>30</v>
      </c>
      <c r="L73" s="2" t="s">
        <v>65</v>
      </c>
      <c r="M73" s="2" t="s">
        <v>1369</v>
      </c>
      <c r="N73" s="2" t="s">
        <v>159</v>
      </c>
      <c r="O73" s="2" t="s">
        <v>44</v>
      </c>
      <c r="P73" s="156">
        <v>4000</v>
      </c>
      <c r="Q73" s="162">
        <v>1</v>
      </c>
      <c r="R73" s="179">
        <v>4053.22</v>
      </c>
      <c r="T73" s="155">
        <v>162.12899999999999</v>
      </c>
      <c r="U73" s="168">
        <v>1.03E-4</v>
      </c>
      <c r="V73" s="168">
        <v>3.0527516933456299E-2</v>
      </c>
      <c r="W73" s="168">
        <v>3.1833688824199702E-3</v>
      </c>
    </row>
    <row r="74" spans="1:23">
      <c r="A74" s="2">
        <v>288</v>
      </c>
      <c r="B74" s="2">
        <v>1451</v>
      </c>
      <c r="C74" s="2" t="s">
        <v>1404</v>
      </c>
      <c r="D74" s="2" t="s">
        <v>1405</v>
      </c>
      <c r="E74" s="4" t="s">
        <v>1333</v>
      </c>
      <c r="F74" s="2" t="s">
        <v>1576</v>
      </c>
      <c r="G74" s="2" t="s">
        <v>1577</v>
      </c>
      <c r="H74" s="2" t="s">
        <v>339</v>
      </c>
      <c r="I74" s="2" t="s">
        <v>1002</v>
      </c>
      <c r="J74" s="2" t="s">
        <v>30</v>
      </c>
      <c r="K74" s="2" t="s">
        <v>30</v>
      </c>
      <c r="L74" s="2" t="s">
        <v>65</v>
      </c>
      <c r="M74" s="2" t="s">
        <v>1369</v>
      </c>
      <c r="N74" s="2" t="s">
        <v>159</v>
      </c>
      <c r="O74" s="2" t="s">
        <v>44</v>
      </c>
      <c r="P74" s="156">
        <v>12500</v>
      </c>
      <c r="Q74" s="162">
        <v>1</v>
      </c>
      <c r="R74" s="179">
        <v>3990.02</v>
      </c>
      <c r="T74" s="155">
        <v>498.75200000000001</v>
      </c>
      <c r="U74" s="168">
        <v>7.76E-4</v>
      </c>
      <c r="V74" s="168">
        <v>9.3910985521102205E-2</v>
      </c>
      <c r="W74" s="168">
        <v>9.7929127245077203E-3</v>
      </c>
    </row>
    <row r="75" spans="1:23">
      <c r="A75" s="2">
        <v>288</v>
      </c>
      <c r="B75" s="2">
        <v>1451</v>
      </c>
      <c r="C75" s="2" t="s">
        <v>1404</v>
      </c>
      <c r="D75" s="2" t="s">
        <v>1405</v>
      </c>
      <c r="E75" s="4" t="s">
        <v>1333</v>
      </c>
      <c r="F75" s="2" t="s">
        <v>1483</v>
      </c>
      <c r="G75" s="2" t="s">
        <v>1484</v>
      </c>
      <c r="H75" s="2" t="s">
        <v>339</v>
      </c>
      <c r="I75" s="2" t="s">
        <v>1002</v>
      </c>
      <c r="J75" s="2" t="s">
        <v>30</v>
      </c>
      <c r="K75" s="2" t="s">
        <v>30</v>
      </c>
      <c r="L75" s="2" t="s">
        <v>65</v>
      </c>
      <c r="M75" s="2" t="s">
        <v>1369</v>
      </c>
      <c r="N75" s="2" t="s">
        <v>159</v>
      </c>
      <c r="O75" s="2" t="s">
        <v>44</v>
      </c>
      <c r="P75" s="156">
        <v>163000</v>
      </c>
      <c r="Q75" s="162">
        <v>1</v>
      </c>
      <c r="R75" s="179">
        <v>373.4</v>
      </c>
      <c r="T75" s="155">
        <v>608.64200000000005</v>
      </c>
      <c r="U75" s="168">
        <v>1.2E-4</v>
      </c>
      <c r="V75" s="168">
        <v>0.11460227276963</v>
      </c>
      <c r="W75" s="168">
        <v>1.1950572651705699E-2</v>
      </c>
    </row>
    <row r="76" spans="1:23">
      <c r="A76" s="2">
        <v>288</v>
      </c>
      <c r="B76" s="2">
        <v>1451</v>
      </c>
      <c r="C76" s="2" t="s">
        <v>1412</v>
      </c>
      <c r="D76" s="2" t="s">
        <v>1413</v>
      </c>
      <c r="E76" s="4" t="s">
        <v>332</v>
      </c>
      <c r="F76" s="2" t="s">
        <v>1497</v>
      </c>
      <c r="G76" s="2" t="s">
        <v>1498</v>
      </c>
      <c r="H76" s="2" t="s">
        <v>339</v>
      </c>
      <c r="I76" s="2" t="s">
        <v>1001</v>
      </c>
      <c r="J76" s="2" t="s">
        <v>124</v>
      </c>
      <c r="K76" s="2" t="s">
        <v>125</v>
      </c>
      <c r="L76" s="2" t="s">
        <v>398</v>
      </c>
      <c r="M76" s="2" t="s">
        <v>753</v>
      </c>
      <c r="N76" s="2" t="s">
        <v>159</v>
      </c>
      <c r="O76" s="2" t="s">
        <v>34</v>
      </c>
      <c r="P76" s="156">
        <v>24900</v>
      </c>
      <c r="Q76" s="162">
        <v>3.6469999999999998</v>
      </c>
      <c r="R76" s="179">
        <v>586.15</v>
      </c>
      <c r="T76" s="155">
        <v>532.28499999999997</v>
      </c>
      <c r="U76" s="168">
        <v>0</v>
      </c>
      <c r="V76" s="168">
        <v>0.100224798613278</v>
      </c>
      <c r="W76" s="168">
        <v>1.0451308760151899E-2</v>
      </c>
    </row>
    <row r="77" spans="1:23">
      <c r="A77" s="2">
        <v>288</v>
      </c>
      <c r="B77" s="2">
        <v>1451</v>
      </c>
      <c r="C77" s="2" t="s">
        <v>1412</v>
      </c>
      <c r="D77" s="2" t="s">
        <v>1413</v>
      </c>
      <c r="E77" s="4" t="s">
        <v>332</v>
      </c>
      <c r="F77" s="2" t="s">
        <v>1499</v>
      </c>
      <c r="G77" s="2" t="s">
        <v>1500</v>
      </c>
      <c r="H77" s="2" t="s">
        <v>339</v>
      </c>
      <c r="I77" s="2" t="s">
        <v>1003</v>
      </c>
      <c r="J77" s="2" t="s">
        <v>124</v>
      </c>
      <c r="K77" s="2" t="s">
        <v>125</v>
      </c>
      <c r="L77" s="2" t="s">
        <v>398</v>
      </c>
      <c r="M77" s="2" t="s">
        <v>750</v>
      </c>
      <c r="N77" s="2" t="s">
        <v>159</v>
      </c>
      <c r="O77" s="2" t="s">
        <v>34</v>
      </c>
      <c r="P77" s="156">
        <v>67330</v>
      </c>
      <c r="Q77" s="162">
        <v>3.6469999999999998</v>
      </c>
      <c r="R77" s="179">
        <v>595.1</v>
      </c>
      <c r="T77" s="155">
        <v>1461.2829999999999</v>
      </c>
      <c r="U77" s="168">
        <v>0</v>
      </c>
      <c r="V77" s="168">
        <v>0.27514754399292002</v>
      </c>
      <c r="W77" s="168">
        <v>2.8692020105356601E-2</v>
      </c>
    </row>
    <row r="78" spans="1:23">
      <c r="A78" s="2">
        <v>288</v>
      </c>
      <c r="B78" s="2">
        <v>1451</v>
      </c>
      <c r="C78" s="2" t="s">
        <v>1516</v>
      </c>
      <c r="D78" s="2" t="s">
        <v>1517</v>
      </c>
      <c r="E78" s="4" t="s">
        <v>332</v>
      </c>
      <c r="F78" s="2" t="s">
        <v>1521</v>
      </c>
      <c r="G78" s="2" t="s">
        <v>1522</v>
      </c>
      <c r="H78" s="2" t="s">
        <v>339</v>
      </c>
      <c r="I78" s="2" t="s">
        <v>1003</v>
      </c>
      <c r="J78" s="2" t="s">
        <v>124</v>
      </c>
      <c r="K78" s="2" t="s">
        <v>125</v>
      </c>
      <c r="L78" s="2" t="s">
        <v>398</v>
      </c>
      <c r="M78" s="2" t="s">
        <v>750</v>
      </c>
      <c r="N78" s="2" t="s">
        <v>159</v>
      </c>
      <c r="O78" s="2" t="s">
        <v>34</v>
      </c>
      <c r="P78" s="156">
        <v>3550</v>
      </c>
      <c r="Q78" s="162">
        <v>3.6469999999999998</v>
      </c>
      <c r="R78" s="179">
        <v>2832</v>
      </c>
      <c r="T78" s="155">
        <v>366.65499999999997</v>
      </c>
      <c r="U78" s="168">
        <v>0</v>
      </c>
      <c r="V78" s="168">
        <v>6.90380757244419E-2</v>
      </c>
      <c r="W78" s="168">
        <v>7.1991987570559201E-3</v>
      </c>
    </row>
    <row r="79" spans="1:23">
      <c r="A79" s="2">
        <v>288</v>
      </c>
      <c r="B79" s="2">
        <v>1451</v>
      </c>
      <c r="C79" s="2" t="s">
        <v>1531</v>
      </c>
      <c r="D79" s="2" t="s">
        <v>1532</v>
      </c>
      <c r="E79" s="4" t="s">
        <v>332</v>
      </c>
      <c r="F79" s="2" t="s">
        <v>1537</v>
      </c>
      <c r="G79" s="2" t="s">
        <v>1538</v>
      </c>
      <c r="H79" s="2" t="s">
        <v>339</v>
      </c>
      <c r="I79" s="2" t="s">
        <v>1003</v>
      </c>
      <c r="J79" s="2" t="s">
        <v>124</v>
      </c>
      <c r="K79" s="2" t="s">
        <v>125</v>
      </c>
      <c r="L79" s="2" t="s">
        <v>398</v>
      </c>
      <c r="M79" s="2" t="s">
        <v>750</v>
      </c>
      <c r="N79" s="2" t="s">
        <v>159</v>
      </c>
      <c r="O79" s="2" t="s">
        <v>34</v>
      </c>
      <c r="P79" s="156">
        <v>8100</v>
      </c>
      <c r="Q79" s="162">
        <v>3.6469999999999998</v>
      </c>
      <c r="R79" s="179">
        <v>5691</v>
      </c>
      <c r="T79" s="155">
        <v>1681.1610000000001</v>
      </c>
      <c r="U79" s="168">
        <v>0</v>
      </c>
      <c r="V79" s="168">
        <v>0.31654880644517103</v>
      </c>
      <c r="W79" s="168">
        <v>3.3009288714876503E-2</v>
      </c>
    </row>
    <row r="80" spans="1:23">
      <c r="A80" s="2">
        <v>288</v>
      </c>
      <c r="B80" s="2">
        <v>1452</v>
      </c>
      <c r="C80" s="2" t="s">
        <v>1412</v>
      </c>
      <c r="D80" s="2" t="s">
        <v>1413</v>
      </c>
      <c r="E80" s="4" t="s">
        <v>332</v>
      </c>
      <c r="F80" s="2" t="s">
        <v>1414</v>
      </c>
      <c r="G80" s="2" t="s">
        <v>1415</v>
      </c>
      <c r="H80" s="2" t="s">
        <v>339</v>
      </c>
      <c r="I80" s="2" t="s">
        <v>1001</v>
      </c>
      <c r="J80" s="2" t="s">
        <v>124</v>
      </c>
      <c r="K80" s="2" t="s">
        <v>125</v>
      </c>
      <c r="L80" s="2" t="s">
        <v>362</v>
      </c>
      <c r="M80" s="2" t="s">
        <v>1403</v>
      </c>
      <c r="N80" s="2" t="s">
        <v>159</v>
      </c>
      <c r="O80" s="2" t="s">
        <v>34</v>
      </c>
      <c r="P80" s="156">
        <v>1080</v>
      </c>
      <c r="Q80" s="162">
        <v>3.6469999999999998</v>
      </c>
      <c r="R80" s="179">
        <v>10339</v>
      </c>
      <c r="T80" s="155">
        <v>407.22800000000001</v>
      </c>
      <c r="U80" s="168">
        <v>2.9E-5</v>
      </c>
      <c r="V80" s="168">
        <v>1.33018935653966E-2</v>
      </c>
      <c r="W80" s="168">
        <v>6.7879370818691902E-3</v>
      </c>
    </row>
    <row r="81" spans="1:23">
      <c r="A81" s="2">
        <v>288</v>
      </c>
      <c r="B81" s="2">
        <v>1452</v>
      </c>
      <c r="C81" s="2" t="s">
        <v>1351</v>
      </c>
      <c r="D81" s="2" t="s">
        <v>1352</v>
      </c>
      <c r="E81" s="4" t="s">
        <v>1333</v>
      </c>
      <c r="F81" s="2" t="s">
        <v>1420</v>
      </c>
      <c r="G81" s="2" t="s">
        <v>1421</v>
      </c>
      <c r="H81" s="2" t="s">
        <v>339</v>
      </c>
      <c r="I81" s="2" t="s">
        <v>1000</v>
      </c>
      <c r="J81" s="2" t="s">
        <v>30</v>
      </c>
      <c r="K81" s="2" t="s">
        <v>30</v>
      </c>
      <c r="L81" s="2" t="s">
        <v>65</v>
      </c>
      <c r="M81" s="2" t="s">
        <v>1350</v>
      </c>
      <c r="N81" s="2" t="s">
        <v>159</v>
      </c>
      <c r="O81" s="2" t="s">
        <v>44</v>
      </c>
      <c r="P81" s="156">
        <v>16400</v>
      </c>
      <c r="Q81" s="162">
        <v>1</v>
      </c>
      <c r="R81" s="179">
        <v>3748</v>
      </c>
      <c r="T81" s="155">
        <v>614.67200000000003</v>
      </c>
      <c r="U81" s="168">
        <v>1.93E-4</v>
      </c>
      <c r="V81" s="168">
        <v>2.0077925787862501E-2</v>
      </c>
      <c r="W81" s="168">
        <v>1.02457365421256E-2</v>
      </c>
    </row>
    <row r="82" spans="1:23">
      <c r="A82" s="2">
        <v>288</v>
      </c>
      <c r="B82" s="2">
        <v>1452</v>
      </c>
      <c r="C82" s="2" t="s">
        <v>1351</v>
      </c>
      <c r="D82" s="2" t="s">
        <v>1352</v>
      </c>
      <c r="E82" s="4" t="s">
        <v>1333</v>
      </c>
      <c r="F82" s="2" t="s">
        <v>1422</v>
      </c>
      <c r="G82" s="2" t="s">
        <v>1423</v>
      </c>
      <c r="H82" s="2" t="s">
        <v>339</v>
      </c>
      <c r="I82" s="2" t="s">
        <v>1000</v>
      </c>
      <c r="J82" s="2" t="s">
        <v>30</v>
      </c>
      <c r="K82" s="2" t="s">
        <v>30</v>
      </c>
      <c r="L82" s="2" t="s">
        <v>65</v>
      </c>
      <c r="M82" s="2" t="s">
        <v>1350</v>
      </c>
      <c r="N82" s="2" t="s">
        <v>159</v>
      </c>
      <c r="O82" s="2" t="s">
        <v>44</v>
      </c>
      <c r="P82" s="156">
        <v>62900</v>
      </c>
      <c r="Q82" s="162">
        <v>1</v>
      </c>
      <c r="R82" s="179">
        <v>3630</v>
      </c>
      <c r="T82" s="155">
        <v>2283.27</v>
      </c>
      <c r="U82" s="168">
        <v>1.2279999999999999E-3</v>
      </c>
      <c r="V82" s="168">
        <v>7.4581769811627799E-2</v>
      </c>
      <c r="W82" s="168">
        <v>3.8058969457758302E-2</v>
      </c>
    </row>
    <row r="83" spans="1:23">
      <c r="A83" s="2">
        <v>288</v>
      </c>
      <c r="B83" s="2">
        <v>1452</v>
      </c>
      <c r="C83" s="2" t="s">
        <v>1346</v>
      </c>
      <c r="D83" s="2" t="s">
        <v>1347</v>
      </c>
      <c r="E83" s="4" t="s">
        <v>1333</v>
      </c>
      <c r="F83" s="2" t="s">
        <v>1428</v>
      </c>
      <c r="G83" s="2" t="s">
        <v>1429</v>
      </c>
      <c r="H83" s="2" t="s">
        <v>339</v>
      </c>
      <c r="I83" s="2" t="s">
        <v>1000</v>
      </c>
      <c r="J83" s="2" t="s">
        <v>30</v>
      </c>
      <c r="K83" s="2" t="s">
        <v>30</v>
      </c>
      <c r="L83" s="2" t="s">
        <v>65</v>
      </c>
      <c r="M83" s="2" t="s">
        <v>1350</v>
      </c>
      <c r="N83" s="2" t="s">
        <v>159</v>
      </c>
      <c r="O83" s="2" t="s">
        <v>44</v>
      </c>
      <c r="P83" s="156">
        <v>16300</v>
      </c>
      <c r="Q83" s="162">
        <v>1</v>
      </c>
      <c r="R83" s="179">
        <v>2414</v>
      </c>
      <c r="T83" s="155">
        <v>393.48200000000003</v>
      </c>
      <c r="U83" s="168">
        <v>6.4999999999999994E-5</v>
      </c>
      <c r="V83" s="168">
        <v>1.2852875020921301E-2</v>
      </c>
      <c r="W83" s="168">
        <v>6.5588035668920604E-3</v>
      </c>
    </row>
    <row r="84" spans="1:23">
      <c r="A84" s="2">
        <v>288</v>
      </c>
      <c r="B84" s="2">
        <v>1452</v>
      </c>
      <c r="C84" s="2" t="s">
        <v>1346</v>
      </c>
      <c r="D84" s="2" t="s">
        <v>1347</v>
      </c>
      <c r="E84" s="4" t="s">
        <v>1333</v>
      </c>
      <c r="F84" s="2" t="s">
        <v>1430</v>
      </c>
      <c r="G84" s="2" t="s">
        <v>1431</v>
      </c>
      <c r="H84" s="2" t="s">
        <v>339</v>
      </c>
      <c r="I84" s="2" t="s">
        <v>1000</v>
      </c>
      <c r="J84" s="2" t="s">
        <v>30</v>
      </c>
      <c r="K84" s="2" t="s">
        <v>30</v>
      </c>
      <c r="L84" s="2" t="s">
        <v>65</v>
      </c>
      <c r="M84" s="2" t="s">
        <v>1350</v>
      </c>
      <c r="N84" s="2" t="s">
        <v>159</v>
      </c>
      <c r="O84" s="2" t="s">
        <v>44</v>
      </c>
      <c r="P84" s="156">
        <v>71200</v>
      </c>
      <c r="Q84" s="162">
        <v>1</v>
      </c>
      <c r="R84" s="179">
        <v>2386</v>
      </c>
      <c r="T84" s="155">
        <v>1698.8320000000001</v>
      </c>
      <c r="U84" s="168">
        <v>3.4499999999999998E-4</v>
      </c>
      <c r="V84" s="168">
        <v>5.5491421151518297E-2</v>
      </c>
      <c r="W84" s="168">
        <v>2.8317192098114698E-2</v>
      </c>
    </row>
    <row r="85" spans="1:23">
      <c r="A85" s="2">
        <v>288</v>
      </c>
      <c r="B85" s="2">
        <v>1452</v>
      </c>
      <c r="C85" s="2" t="s">
        <v>1432</v>
      </c>
      <c r="D85" s="2" t="s">
        <v>1433</v>
      </c>
      <c r="E85" s="4" t="s">
        <v>1333</v>
      </c>
      <c r="F85" s="2" t="s">
        <v>1434</v>
      </c>
      <c r="G85" s="2" t="s">
        <v>1435</v>
      </c>
      <c r="H85" s="2" t="s">
        <v>339</v>
      </c>
      <c r="I85" s="2" t="s">
        <v>1000</v>
      </c>
      <c r="J85" s="2" t="s">
        <v>30</v>
      </c>
      <c r="K85" s="2" t="s">
        <v>30</v>
      </c>
      <c r="L85" s="2" t="s">
        <v>65</v>
      </c>
      <c r="M85" s="2" t="s">
        <v>1350</v>
      </c>
      <c r="N85" s="2" t="s">
        <v>159</v>
      </c>
      <c r="O85" s="2" t="s">
        <v>44</v>
      </c>
      <c r="P85" s="156">
        <v>9300</v>
      </c>
      <c r="Q85" s="162">
        <v>1</v>
      </c>
      <c r="R85" s="179">
        <v>6621</v>
      </c>
      <c r="T85" s="155">
        <v>615.75300000000004</v>
      </c>
      <c r="U85" s="168">
        <v>8.4500000000000005E-4</v>
      </c>
      <c r="V85" s="168">
        <v>2.0113236063548898E-2</v>
      </c>
      <c r="W85" s="168">
        <v>1.02637553248293E-2</v>
      </c>
    </row>
    <row r="86" spans="1:23">
      <c r="A86" s="2">
        <v>288</v>
      </c>
      <c r="B86" s="2">
        <v>1452</v>
      </c>
      <c r="C86" s="2" t="s">
        <v>1432</v>
      </c>
      <c r="D86" s="2" t="s">
        <v>1433</v>
      </c>
      <c r="E86" s="4" t="s">
        <v>1333</v>
      </c>
      <c r="F86" s="2" t="s">
        <v>1469</v>
      </c>
      <c r="G86" s="2" t="s">
        <v>1470</v>
      </c>
      <c r="H86" s="2" t="s">
        <v>339</v>
      </c>
      <c r="I86" s="2" t="s">
        <v>1001</v>
      </c>
      <c r="J86" s="2" t="s">
        <v>30</v>
      </c>
      <c r="K86" s="2" t="s">
        <v>125</v>
      </c>
      <c r="L86" s="2" t="s">
        <v>65</v>
      </c>
      <c r="M86" s="2" t="s">
        <v>1448</v>
      </c>
      <c r="N86" s="2" t="s">
        <v>159</v>
      </c>
      <c r="O86" s="2" t="s">
        <v>44</v>
      </c>
      <c r="P86" s="156">
        <v>12300</v>
      </c>
      <c r="Q86" s="162">
        <v>1</v>
      </c>
      <c r="R86" s="179">
        <v>9295</v>
      </c>
      <c r="T86" s="155">
        <v>1143.2850000000001</v>
      </c>
      <c r="U86" s="168">
        <v>9.1100000000000003E-4</v>
      </c>
      <c r="V86" s="168">
        <v>3.7344781256306497E-2</v>
      </c>
      <c r="W86" s="168">
        <v>1.9056987958722901E-2</v>
      </c>
    </row>
    <row r="87" spans="1:23">
      <c r="A87" s="2">
        <v>288</v>
      </c>
      <c r="B87" s="2">
        <v>1452</v>
      </c>
      <c r="C87" s="2" t="s">
        <v>1416</v>
      </c>
      <c r="D87" s="2" t="s">
        <v>1417</v>
      </c>
      <c r="E87" s="4" t="s">
        <v>1333</v>
      </c>
      <c r="F87" s="2" t="s">
        <v>1578</v>
      </c>
      <c r="G87" s="2" t="s">
        <v>1579</v>
      </c>
      <c r="H87" s="2" t="s">
        <v>339</v>
      </c>
      <c r="I87" s="2" t="s">
        <v>1001</v>
      </c>
      <c r="J87" s="2" t="s">
        <v>30</v>
      </c>
      <c r="K87" s="2" t="s">
        <v>125</v>
      </c>
      <c r="L87" s="2" t="s">
        <v>65</v>
      </c>
      <c r="M87" s="2" t="s">
        <v>1403</v>
      </c>
      <c r="N87" s="2" t="s">
        <v>159</v>
      </c>
      <c r="O87" s="2" t="s">
        <v>44</v>
      </c>
      <c r="P87" s="156">
        <v>900</v>
      </c>
      <c r="Q87" s="162">
        <v>1</v>
      </c>
      <c r="R87" s="179">
        <v>74150</v>
      </c>
      <c r="T87" s="155">
        <v>667.35</v>
      </c>
      <c r="U87" s="168">
        <v>2.13E-4</v>
      </c>
      <c r="V87" s="168">
        <v>2.1798623940134002E-2</v>
      </c>
      <c r="W87" s="168">
        <v>1.1123806324979099E-2</v>
      </c>
    </row>
    <row r="88" spans="1:23">
      <c r="A88" s="2">
        <v>288</v>
      </c>
      <c r="B88" s="2">
        <v>1452</v>
      </c>
      <c r="C88" s="2" t="s">
        <v>1416</v>
      </c>
      <c r="D88" s="2" t="s">
        <v>1417</v>
      </c>
      <c r="E88" s="4" t="s">
        <v>1333</v>
      </c>
      <c r="F88" s="2" t="s">
        <v>1438</v>
      </c>
      <c r="G88" s="2" t="s">
        <v>1439</v>
      </c>
      <c r="H88" s="2" t="s">
        <v>339</v>
      </c>
      <c r="I88" s="2" t="s">
        <v>1000</v>
      </c>
      <c r="J88" s="2" t="s">
        <v>30</v>
      </c>
      <c r="K88" s="2" t="s">
        <v>30</v>
      </c>
      <c r="L88" s="2" t="s">
        <v>65</v>
      </c>
      <c r="M88" s="2" t="s">
        <v>1350</v>
      </c>
      <c r="N88" s="2" t="s">
        <v>159</v>
      </c>
      <c r="O88" s="2" t="s">
        <v>44</v>
      </c>
      <c r="P88" s="156">
        <v>5500</v>
      </c>
      <c r="Q88" s="162">
        <v>1</v>
      </c>
      <c r="R88" s="179">
        <v>23840</v>
      </c>
      <c r="T88" s="155">
        <v>1311.2</v>
      </c>
      <c r="U88" s="168">
        <v>1.55E-4</v>
      </c>
      <c r="V88" s="168">
        <v>4.2829633191434402E-2</v>
      </c>
      <c r="W88" s="168">
        <v>2.1855899982486798E-2</v>
      </c>
    </row>
    <row r="89" spans="1:23">
      <c r="A89" s="2">
        <v>288</v>
      </c>
      <c r="B89" s="2">
        <v>1452</v>
      </c>
      <c r="C89" s="2" t="s">
        <v>1416</v>
      </c>
      <c r="D89" s="2" t="s">
        <v>1417</v>
      </c>
      <c r="E89" s="4" t="s">
        <v>1333</v>
      </c>
      <c r="F89" s="2" t="s">
        <v>1440</v>
      </c>
      <c r="G89" s="2" t="s">
        <v>1441</v>
      </c>
      <c r="H89" s="2" t="s">
        <v>339</v>
      </c>
      <c r="I89" s="2" t="s">
        <v>1000</v>
      </c>
      <c r="J89" s="2" t="s">
        <v>30</v>
      </c>
      <c r="K89" s="2" t="s">
        <v>30</v>
      </c>
      <c r="L89" s="2" t="s">
        <v>65</v>
      </c>
      <c r="M89" s="2" t="s">
        <v>1350</v>
      </c>
      <c r="N89" s="2" t="s">
        <v>159</v>
      </c>
      <c r="O89" s="2" t="s">
        <v>44</v>
      </c>
      <c r="P89" s="156">
        <v>2449</v>
      </c>
      <c r="Q89" s="162">
        <v>1</v>
      </c>
      <c r="R89" s="179">
        <v>23190</v>
      </c>
      <c r="T89" s="155">
        <v>567.923</v>
      </c>
      <c r="U89" s="168">
        <v>8.1000000000000004E-5</v>
      </c>
      <c r="V89" s="168">
        <v>1.8550898454806501E-2</v>
      </c>
      <c r="W89" s="168">
        <v>9.46649669870641E-3</v>
      </c>
    </row>
    <row r="90" spans="1:23">
      <c r="A90" s="2">
        <v>288</v>
      </c>
      <c r="B90" s="2">
        <v>1452</v>
      </c>
      <c r="C90" s="2" t="s">
        <v>1404</v>
      </c>
      <c r="D90" s="2" t="s">
        <v>1405</v>
      </c>
      <c r="E90" s="4" t="s">
        <v>1333</v>
      </c>
      <c r="F90" s="2" t="s">
        <v>1444</v>
      </c>
      <c r="G90" s="2" t="s">
        <v>1445</v>
      </c>
      <c r="H90" s="2" t="s">
        <v>339</v>
      </c>
      <c r="I90" s="2" t="s">
        <v>1000</v>
      </c>
      <c r="J90" s="2" t="s">
        <v>30</v>
      </c>
      <c r="K90" s="2" t="s">
        <v>30</v>
      </c>
      <c r="L90" s="2" t="s">
        <v>65</v>
      </c>
      <c r="M90" s="2" t="s">
        <v>1350</v>
      </c>
      <c r="N90" s="2" t="s">
        <v>159</v>
      </c>
      <c r="O90" s="2" t="s">
        <v>44</v>
      </c>
      <c r="P90" s="156">
        <v>36285</v>
      </c>
      <c r="Q90" s="162">
        <v>1</v>
      </c>
      <c r="R90" s="179">
        <v>2405</v>
      </c>
      <c r="T90" s="155">
        <v>872.654</v>
      </c>
      <c r="U90" s="168">
        <v>8.8999999999999995E-5</v>
      </c>
      <c r="V90" s="168">
        <v>2.8504775343537399E-2</v>
      </c>
      <c r="W90" s="168">
        <v>1.4545945704158E-2</v>
      </c>
    </row>
    <row r="91" spans="1:23">
      <c r="A91" s="2">
        <v>288</v>
      </c>
      <c r="B91" s="2">
        <v>1452</v>
      </c>
      <c r="C91" s="2" t="s">
        <v>1485</v>
      </c>
      <c r="D91" s="2" t="s">
        <v>1486</v>
      </c>
      <c r="E91" s="4" t="s">
        <v>332</v>
      </c>
      <c r="F91" s="2" t="s">
        <v>1487</v>
      </c>
      <c r="G91" s="2" t="s">
        <v>1488</v>
      </c>
      <c r="H91" s="2" t="s">
        <v>339</v>
      </c>
      <c r="I91" s="2" t="s">
        <v>1001</v>
      </c>
      <c r="J91" s="2" t="s">
        <v>124</v>
      </c>
      <c r="K91" s="2" t="s">
        <v>125</v>
      </c>
      <c r="L91" s="2" t="s">
        <v>382</v>
      </c>
      <c r="M91" s="2" t="s">
        <v>753</v>
      </c>
      <c r="N91" s="2" t="s">
        <v>159</v>
      </c>
      <c r="O91" s="2" t="s">
        <v>34</v>
      </c>
      <c r="P91" s="156">
        <v>8000</v>
      </c>
      <c r="Q91" s="162">
        <v>3.6469999999999998</v>
      </c>
      <c r="R91" s="179">
        <v>11638.61</v>
      </c>
      <c r="T91" s="155">
        <v>3395.681</v>
      </c>
      <c r="U91" s="168">
        <v>0</v>
      </c>
      <c r="V91" s="168">
        <v>0.110918063907005</v>
      </c>
      <c r="W91" s="168">
        <v>5.6601327874257902E-2</v>
      </c>
    </row>
    <row r="92" spans="1:23">
      <c r="A92" s="2">
        <v>288</v>
      </c>
      <c r="B92" s="2">
        <v>1452</v>
      </c>
      <c r="C92" s="2" t="s">
        <v>1412</v>
      </c>
      <c r="D92" s="2" t="s">
        <v>1413</v>
      </c>
      <c r="E92" s="4" t="s">
        <v>332</v>
      </c>
      <c r="F92" s="2" t="s">
        <v>1489</v>
      </c>
      <c r="G92" s="2" t="s">
        <v>1490</v>
      </c>
      <c r="H92" s="2" t="s">
        <v>339</v>
      </c>
      <c r="I92" s="2" t="s">
        <v>1001</v>
      </c>
      <c r="J92" s="2" t="s">
        <v>124</v>
      </c>
      <c r="K92" s="2" t="s">
        <v>125</v>
      </c>
      <c r="L92" s="2" t="s">
        <v>31</v>
      </c>
      <c r="M92" s="2" t="s">
        <v>753</v>
      </c>
      <c r="N92" s="2" t="s">
        <v>159</v>
      </c>
      <c r="O92" s="2" t="s">
        <v>34</v>
      </c>
      <c r="P92" s="156">
        <v>57</v>
      </c>
      <c r="Q92" s="162">
        <v>3.6469999999999998</v>
      </c>
      <c r="R92" s="179">
        <v>121767</v>
      </c>
      <c r="T92" s="155">
        <v>253.12799999999999</v>
      </c>
      <c r="U92" s="168">
        <v>3.9999999999999998E-6</v>
      </c>
      <c r="V92" s="168">
        <v>8.26828884207996E-3</v>
      </c>
      <c r="W92" s="168">
        <v>4.2192958588062896E-3</v>
      </c>
    </row>
    <row r="93" spans="1:23">
      <c r="A93" s="2">
        <v>288</v>
      </c>
      <c r="B93" s="2">
        <v>1452</v>
      </c>
      <c r="C93" s="2" t="s">
        <v>1382</v>
      </c>
      <c r="D93" s="2" t="s">
        <v>1383</v>
      </c>
      <c r="E93" s="4" t="s">
        <v>332</v>
      </c>
      <c r="F93" s="2" t="s">
        <v>1580</v>
      </c>
      <c r="G93" s="2" t="s">
        <v>1581</v>
      </c>
      <c r="H93" s="2" t="s">
        <v>339</v>
      </c>
      <c r="I93" s="2" t="s">
        <v>1001</v>
      </c>
      <c r="J93" s="2" t="s">
        <v>124</v>
      </c>
      <c r="K93" s="2" t="s">
        <v>125</v>
      </c>
      <c r="L93" s="2" t="s">
        <v>364</v>
      </c>
      <c r="M93" s="2" t="s">
        <v>753</v>
      </c>
      <c r="N93" s="2" t="s">
        <v>159</v>
      </c>
      <c r="O93" s="2" t="s">
        <v>34</v>
      </c>
      <c r="P93" s="156">
        <v>1774</v>
      </c>
      <c r="Q93" s="162">
        <v>3.6469999999999998</v>
      </c>
      <c r="R93" s="179">
        <v>6535</v>
      </c>
      <c r="T93" s="155">
        <v>422.8</v>
      </c>
      <c r="U93" s="168">
        <v>5.3999999999999998E-5</v>
      </c>
      <c r="V93" s="168">
        <v>1.3810531256521E-2</v>
      </c>
      <c r="W93" s="168">
        <v>7.0474941613064297E-3</v>
      </c>
    </row>
    <row r="94" spans="1:23">
      <c r="A94" s="2">
        <v>288</v>
      </c>
      <c r="B94" s="2">
        <v>1452</v>
      </c>
      <c r="C94" s="2" t="s">
        <v>1412</v>
      </c>
      <c r="D94" s="2" t="s">
        <v>1413</v>
      </c>
      <c r="E94" s="4" t="s">
        <v>332</v>
      </c>
      <c r="F94" s="2" t="s">
        <v>1491</v>
      </c>
      <c r="G94" s="2" t="s">
        <v>1492</v>
      </c>
      <c r="H94" s="2" t="s">
        <v>339</v>
      </c>
      <c r="I94" s="2" t="s">
        <v>1001</v>
      </c>
      <c r="J94" s="2" t="s">
        <v>124</v>
      </c>
      <c r="K94" s="2" t="s">
        <v>313</v>
      </c>
      <c r="L94" s="2" t="s">
        <v>386</v>
      </c>
      <c r="M94" s="2" t="s">
        <v>753</v>
      </c>
      <c r="N94" s="2" t="s">
        <v>159</v>
      </c>
      <c r="O94" s="2" t="s">
        <v>1203</v>
      </c>
      <c r="P94" s="156">
        <v>9290</v>
      </c>
      <c r="Q94" s="162">
        <v>3.7964000000000002</v>
      </c>
      <c r="R94" s="179">
        <v>4909</v>
      </c>
      <c r="T94" s="155">
        <v>1731.3330000000001</v>
      </c>
      <c r="U94" s="168">
        <v>9.5000000000000005E-5</v>
      </c>
      <c r="V94" s="168">
        <v>5.6553062122793603E-2</v>
      </c>
      <c r="W94" s="168">
        <v>2.8858945953016801E-2</v>
      </c>
    </row>
    <row r="95" spans="1:23">
      <c r="A95" s="2">
        <v>288</v>
      </c>
      <c r="B95" s="2">
        <v>1452</v>
      </c>
      <c r="C95" s="2" t="s">
        <v>1412</v>
      </c>
      <c r="D95" s="2" t="s">
        <v>1413</v>
      </c>
      <c r="E95" s="4" t="s">
        <v>332</v>
      </c>
      <c r="F95" s="2" t="s">
        <v>1493</v>
      </c>
      <c r="G95" s="2" t="s">
        <v>1494</v>
      </c>
      <c r="H95" s="2" t="s">
        <v>339</v>
      </c>
      <c r="I95" s="2" t="s">
        <v>1001</v>
      </c>
      <c r="J95" s="2" t="s">
        <v>124</v>
      </c>
      <c r="K95" s="2" t="s">
        <v>125</v>
      </c>
      <c r="L95" s="2" t="s">
        <v>31</v>
      </c>
      <c r="M95" s="2" t="s">
        <v>753</v>
      </c>
      <c r="N95" s="2" t="s">
        <v>159</v>
      </c>
      <c r="O95" s="2" t="s">
        <v>34</v>
      </c>
      <c r="P95" s="156">
        <v>12185</v>
      </c>
      <c r="Q95" s="162">
        <v>3.6469999999999998</v>
      </c>
      <c r="R95" s="179">
        <v>1105.5</v>
      </c>
      <c r="T95" s="155">
        <v>491.27</v>
      </c>
      <c r="U95" s="168">
        <v>0</v>
      </c>
      <c r="V95" s="168">
        <v>1.60470593237232E-2</v>
      </c>
      <c r="W95" s="168">
        <v>8.1887912050217903E-3</v>
      </c>
    </row>
    <row r="96" spans="1:23">
      <c r="A96" s="2">
        <v>288</v>
      </c>
      <c r="B96" s="2">
        <v>1452</v>
      </c>
      <c r="C96" s="2" t="s">
        <v>1412</v>
      </c>
      <c r="D96" s="2" t="s">
        <v>1413</v>
      </c>
      <c r="E96" s="4" t="s">
        <v>332</v>
      </c>
      <c r="F96" s="2" t="s">
        <v>1495</v>
      </c>
      <c r="G96" s="2" t="s">
        <v>1496</v>
      </c>
      <c r="H96" s="2" t="s">
        <v>339</v>
      </c>
      <c r="I96" s="2" t="s">
        <v>1001</v>
      </c>
      <c r="J96" s="2" t="s">
        <v>124</v>
      </c>
      <c r="K96" s="2" t="s">
        <v>125</v>
      </c>
      <c r="L96" s="2" t="s">
        <v>31</v>
      </c>
      <c r="M96" s="2" t="s">
        <v>753</v>
      </c>
      <c r="N96" s="2" t="s">
        <v>159</v>
      </c>
      <c r="O96" s="2" t="s">
        <v>34</v>
      </c>
      <c r="P96" s="156">
        <v>21500</v>
      </c>
      <c r="Q96" s="162">
        <v>3.6469999999999998</v>
      </c>
      <c r="R96" s="179">
        <v>639.75</v>
      </c>
      <c r="T96" s="155">
        <v>501.63099999999997</v>
      </c>
      <c r="U96" s="168">
        <v>0</v>
      </c>
      <c r="V96" s="168">
        <v>1.63855088232925E-2</v>
      </c>
      <c r="W96" s="168">
        <v>8.3615014960169796E-3</v>
      </c>
    </row>
    <row r="97" spans="1:23">
      <c r="A97" s="2">
        <v>288</v>
      </c>
      <c r="B97" s="2">
        <v>1452</v>
      </c>
      <c r="C97" s="2" t="s">
        <v>1412</v>
      </c>
      <c r="D97" s="2" t="s">
        <v>1413</v>
      </c>
      <c r="E97" s="4" t="s">
        <v>332</v>
      </c>
      <c r="F97" s="2" t="s">
        <v>1582</v>
      </c>
      <c r="G97" s="2" t="s">
        <v>1583</v>
      </c>
      <c r="H97" s="2" t="s">
        <v>339</v>
      </c>
      <c r="I97" s="2" t="s">
        <v>1001</v>
      </c>
      <c r="J97" s="2" t="s">
        <v>124</v>
      </c>
      <c r="K97" s="2" t="s">
        <v>125</v>
      </c>
      <c r="L97" s="2" t="s">
        <v>362</v>
      </c>
      <c r="M97" s="2" t="s">
        <v>753</v>
      </c>
      <c r="N97" s="2" t="s">
        <v>159</v>
      </c>
      <c r="O97" s="2" t="s">
        <v>34</v>
      </c>
      <c r="P97" s="156">
        <v>490</v>
      </c>
      <c r="Q97" s="162">
        <v>3.6469999999999998</v>
      </c>
      <c r="R97" s="179">
        <v>58868</v>
      </c>
      <c r="T97" s="155">
        <v>1051.989</v>
      </c>
      <c r="U97" s="168">
        <v>9.9999999999999995E-7</v>
      </c>
      <c r="V97" s="168">
        <v>3.43626413203338E-2</v>
      </c>
      <c r="W97" s="168">
        <v>1.7535206254848001E-2</v>
      </c>
    </row>
    <row r="98" spans="1:23">
      <c r="A98" s="2">
        <v>288</v>
      </c>
      <c r="B98" s="2">
        <v>1452</v>
      </c>
      <c r="C98" s="2" t="s">
        <v>1501</v>
      </c>
      <c r="D98" s="2" t="s">
        <v>1502</v>
      </c>
      <c r="E98" s="4" t="s">
        <v>332</v>
      </c>
      <c r="F98" s="2" t="s">
        <v>1503</v>
      </c>
      <c r="G98" s="2" t="s">
        <v>1504</v>
      </c>
      <c r="H98" s="2" t="s">
        <v>339</v>
      </c>
      <c r="I98" s="2" t="s">
        <v>1001</v>
      </c>
      <c r="J98" s="2" t="s">
        <v>124</v>
      </c>
      <c r="K98" s="2" t="s">
        <v>288</v>
      </c>
      <c r="L98" s="2" t="s">
        <v>398</v>
      </c>
      <c r="M98" s="2" t="s">
        <v>753</v>
      </c>
      <c r="N98" s="2" t="s">
        <v>159</v>
      </c>
      <c r="O98" s="2" t="s">
        <v>34</v>
      </c>
      <c r="P98" s="156">
        <v>2500</v>
      </c>
      <c r="Q98" s="162">
        <v>3.6469999999999998</v>
      </c>
      <c r="R98" s="179">
        <v>2068</v>
      </c>
      <c r="T98" s="155">
        <v>188.55</v>
      </c>
      <c r="U98" s="168">
        <v>0</v>
      </c>
      <c r="V98" s="168">
        <v>6.15887969438806E-3</v>
      </c>
      <c r="W98" s="168">
        <v>3.1428674161896601E-3</v>
      </c>
    </row>
    <row r="99" spans="1:23">
      <c r="A99" s="2">
        <v>288</v>
      </c>
      <c r="B99" s="2">
        <v>1452</v>
      </c>
      <c r="C99" s="2" t="s">
        <v>1509</v>
      </c>
      <c r="D99" s="2" t="s">
        <v>1486</v>
      </c>
      <c r="E99" s="4" t="s">
        <v>332</v>
      </c>
      <c r="F99" s="2" t="s">
        <v>1510</v>
      </c>
      <c r="G99" s="2" t="s">
        <v>1511</v>
      </c>
      <c r="H99" s="2" t="s">
        <v>339</v>
      </c>
      <c r="I99" s="2" t="s">
        <v>1001</v>
      </c>
      <c r="J99" s="2" t="s">
        <v>124</v>
      </c>
      <c r="K99" s="2" t="s">
        <v>125</v>
      </c>
      <c r="L99" s="2" t="s">
        <v>398</v>
      </c>
      <c r="M99" s="2" t="s">
        <v>753</v>
      </c>
      <c r="N99" s="2" t="s">
        <v>159</v>
      </c>
      <c r="O99" s="2" t="s">
        <v>34</v>
      </c>
      <c r="P99" s="156">
        <v>2270</v>
      </c>
      <c r="Q99" s="162">
        <v>3.6469999999999998</v>
      </c>
      <c r="R99" s="179">
        <v>42367.5</v>
      </c>
      <c r="T99" s="155">
        <v>3507.4740000000002</v>
      </c>
      <c r="U99" s="168">
        <v>2.5599999999999999E-4</v>
      </c>
      <c r="V99" s="168">
        <v>0.114569725623986</v>
      </c>
      <c r="W99" s="168">
        <v>5.8464765576362397E-2</v>
      </c>
    </row>
    <row r="100" spans="1:23">
      <c r="A100" s="2">
        <v>288</v>
      </c>
      <c r="B100" s="2">
        <v>1452</v>
      </c>
      <c r="C100" s="2" t="s">
        <v>1382</v>
      </c>
      <c r="D100" s="2" t="s">
        <v>1383</v>
      </c>
      <c r="E100" s="4" t="s">
        <v>332</v>
      </c>
      <c r="F100" s="2" t="s">
        <v>1584</v>
      </c>
      <c r="G100" s="2" t="s">
        <v>1585</v>
      </c>
      <c r="H100" s="2" t="s">
        <v>339</v>
      </c>
      <c r="I100" s="2" t="s">
        <v>1001</v>
      </c>
      <c r="J100" s="2" t="s">
        <v>124</v>
      </c>
      <c r="K100" s="2" t="s">
        <v>125</v>
      </c>
      <c r="L100" s="2" t="s">
        <v>364</v>
      </c>
      <c r="M100" s="2" t="s">
        <v>753</v>
      </c>
      <c r="N100" s="2" t="s">
        <v>159</v>
      </c>
      <c r="O100" s="2" t="s">
        <v>34</v>
      </c>
      <c r="P100" s="156">
        <v>835</v>
      </c>
      <c r="Q100" s="162">
        <v>3.6469999999999998</v>
      </c>
      <c r="R100" s="179">
        <v>51123</v>
      </c>
      <c r="T100" s="155">
        <v>1556.8209999999999</v>
      </c>
      <c r="U100" s="168">
        <v>1.9999999999999999E-6</v>
      </c>
      <c r="V100" s="168">
        <v>5.08526962329841E-2</v>
      </c>
      <c r="W100" s="168">
        <v>2.5950057469326201E-2</v>
      </c>
    </row>
    <row r="101" spans="1:23">
      <c r="A101" s="2">
        <v>288</v>
      </c>
      <c r="B101" s="2">
        <v>1452</v>
      </c>
      <c r="C101" s="2" t="s">
        <v>1516</v>
      </c>
      <c r="D101" s="2" t="s">
        <v>1517</v>
      </c>
      <c r="E101" s="4" t="s">
        <v>332</v>
      </c>
      <c r="F101" s="2" t="s">
        <v>1523</v>
      </c>
      <c r="G101" s="2" t="s">
        <v>1524</v>
      </c>
      <c r="H101" s="2" t="s">
        <v>339</v>
      </c>
      <c r="I101" s="2" t="s">
        <v>1001</v>
      </c>
      <c r="J101" s="2" t="s">
        <v>124</v>
      </c>
      <c r="K101" s="2" t="s">
        <v>125</v>
      </c>
      <c r="L101" s="2" t="s">
        <v>362</v>
      </c>
      <c r="M101" s="2" t="s">
        <v>753</v>
      </c>
      <c r="N101" s="2" t="s">
        <v>159</v>
      </c>
      <c r="O101" s="2" t="s">
        <v>34</v>
      </c>
      <c r="P101" s="156">
        <v>1900</v>
      </c>
      <c r="Q101" s="162">
        <v>3.6469999999999998</v>
      </c>
      <c r="R101" s="179">
        <v>6894</v>
      </c>
      <c r="T101" s="155">
        <v>477.70600000000002</v>
      </c>
      <c r="U101" s="168">
        <v>6.0000000000000002E-6</v>
      </c>
      <c r="V101" s="168">
        <v>1.56040041711628E-2</v>
      </c>
      <c r="W101" s="168">
        <v>7.9627008003291897E-3</v>
      </c>
    </row>
    <row r="102" spans="1:23">
      <c r="A102" s="2">
        <v>288</v>
      </c>
      <c r="B102" s="2">
        <v>1452</v>
      </c>
      <c r="C102" s="2" t="s">
        <v>1516</v>
      </c>
      <c r="D102" s="2" t="s">
        <v>1517</v>
      </c>
      <c r="E102" s="4" t="s">
        <v>332</v>
      </c>
      <c r="F102" s="2" t="s">
        <v>1525</v>
      </c>
      <c r="G102" s="2" t="s">
        <v>1526</v>
      </c>
      <c r="H102" s="2" t="s">
        <v>339</v>
      </c>
      <c r="I102" s="2" t="s">
        <v>1001</v>
      </c>
      <c r="J102" s="2" t="s">
        <v>124</v>
      </c>
      <c r="K102" s="2" t="s">
        <v>125</v>
      </c>
      <c r="L102" s="2" t="s">
        <v>398</v>
      </c>
      <c r="M102" s="2" t="s">
        <v>753</v>
      </c>
      <c r="N102" s="2" t="s">
        <v>159</v>
      </c>
      <c r="O102" s="2" t="s">
        <v>34</v>
      </c>
      <c r="P102" s="156">
        <v>32890</v>
      </c>
      <c r="Q102" s="162">
        <v>3.6469999999999998</v>
      </c>
      <c r="R102" s="179">
        <v>1443.9</v>
      </c>
      <c r="T102" s="155">
        <v>1731.9559999999999</v>
      </c>
      <c r="U102" s="168">
        <v>0</v>
      </c>
      <c r="V102" s="168">
        <v>5.6573385336752102E-2</v>
      </c>
      <c r="W102" s="168">
        <v>2.8869316859758298E-2</v>
      </c>
    </row>
    <row r="103" spans="1:23">
      <c r="A103" s="2">
        <v>288</v>
      </c>
      <c r="B103" s="2">
        <v>1452</v>
      </c>
      <c r="C103" s="2" t="s">
        <v>1516</v>
      </c>
      <c r="D103" s="2" t="s">
        <v>1517</v>
      </c>
      <c r="E103" s="4" t="s">
        <v>332</v>
      </c>
      <c r="F103" s="2" t="s">
        <v>1527</v>
      </c>
      <c r="G103" s="2" t="s">
        <v>1528</v>
      </c>
      <c r="H103" s="2" t="s">
        <v>339</v>
      </c>
      <c r="I103" s="2" t="s">
        <v>1001</v>
      </c>
      <c r="J103" s="2" t="s">
        <v>124</v>
      </c>
      <c r="K103" s="2" t="s">
        <v>125</v>
      </c>
      <c r="L103" s="2" t="s">
        <v>398</v>
      </c>
      <c r="M103" s="2" t="s">
        <v>753</v>
      </c>
      <c r="N103" s="2" t="s">
        <v>159</v>
      </c>
      <c r="O103" s="2" t="s">
        <v>34</v>
      </c>
      <c r="P103" s="156">
        <v>4000</v>
      </c>
      <c r="Q103" s="162">
        <v>3.6469999999999998</v>
      </c>
      <c r="R103" s="179">
        <v>3282</v>
      </c>
      <c r="T103" s="155">
        <v>478.77800000000002</v>
      </c>
      <c r="U103" s="168">
        <v>0</v>
      </c>
      <c r="V103" s="168">
        <v>1.5639027587606699E-2</v>
      </c>
      <c r="W103" s="168">
        <v>7.9805731991756095E-3</v>
      </c>
    </row>
    <row r="104" spans="1:23">
      <c r="A104" s="2">
        <v>288</v>
      </c>
      <c r="B104" s="2">
        <v>1452</v>
      </c>
      <c r="C104" s="2" t="s">
        <v>1516</v>
      </c>
      <c r="D104" s="2" t="s">
        <v>1517</v>
      </c>
      <c r="E104" s="4" t="s">
        <v>332</v>
      </c>
      <c r="F104" s="2" t="s">
        <v>1529</v>
      </c>
      <c r="G104" s="2" t="s">
        <v>1530</v>
      </c>
      <c r="H104" s="2" t="s">
        <v>339</v>
      </c>
      <c r="I104" s="2" t="s">
        <v>1001</v>
      </c>
      <c r="J104" s="2" t="s">
        <v>124</v>
      </c>
      <c r="K104" s="2" t="s">
        <v>125</v>
      </c>
      <c r="L104" s="2" t="s">
        <v>398</v>
      </c>
      <c r="M104" s="2" t="s">
        <v>753</v>
      </c>
      <c r="N104" s="2" t="s">
        <v>159</v>
      </c>
      <c r="O104" s="2" t="s">
        <v>34</v>
      </c>
      <c r="P104" s="156">
        <v>1500</v>
      </c>
      <c r="Q104" s="162">
        <v>3.6469999999999998</v>
      </c>
      <c r="R104" s="179">
        <v>5653.25</v>
      </c>
      <c r="T104" s="155">
        <v>309.26100000000002</v>
      </c>
      <c r="U104" s="168">
        <v>0</v>
      </c>
      <c r="V104" s="168">
        <v>1.01018433169147E-2</v>
      </c>
      <c r="W104" s="168">
        <v>5.1549560601279196E-3</v>
      </c>
    </row>
    <row r="105" spans="1:23">
      <c r="A105" s="2">
        <v>288</v>
      </c>
      <c r="B105" s="2">
        <v>1452</v>
      </c>
      <c r="C105" s="2" t="s">
        <v>1516</v>
      </c>
      <c r="D105" s="2" t="s">
        <v>1517</v>
      </c>
      <c r="E105" s="4" t="s">
        <v>332</v>
      </c>
      <c r="F105" s="2" t="s">
        <v>1586</v>
      </c>
      <c r="G105" s="2" t="s">
        <v>1587</v>
      </c>
      <c r="H105" s="2" t="s">
        <v>339</v>
      </c>
      <c r="I105" s="2" t="s">
        <v>1001</v>
      </c>
      <c r="J105" s="2" t="s">
        <v>124</v>
      </c>
      <c r="K105" s="2" t="s">
        <v>125</v>
      </c>
      <c r="L105" s="2" t="s">
        <v>398</v>
      </c>
      <c r="M105" s="2" t="s">
        <v>753</v>
      </c>
      <c r="N105" s="2" t="s">
        <v>159</v>
      </c>
      <c r="O105" s="2" t="s">
        <v>34</v>
      </c>
      <c r="P105" s="156">
        <v>310</v>
      </c>
      <c r="Q105" s="162">
        <v>3.6469999999999998</v>
      </c>
      <c r="R105" s="179">
        <v>12384.5</v>
      </c>
      <c r="T105" s="155">
        <v>140.01499999999999</v>
      </c>
      <c r="U105" s="168">
        <v>0</v>
      </c>
      <c r="V105" s="168">
        <v>4.5735280712371701E-3</v>
      </c>
      <c r="W105" s="168">
        <v>2.3338647717404798E-3</v>
      </c>
    </row>
    <row r="106" spans="1:23">
      <c r="A106" s="2">
        <v>288</v>
      </c>
      <c r="B106" s="2">
        <v>1452</v>
      </c>
      <c r="C106" s="2" t="s">
        <v>1531</v>
      </c>
      <c r="D106" s="2" t="s">
        <v>1532</v>
      </c>
      <c r="E106" s="4" t="s">
        <v>332</v>
      </c>
      <c r="F106" s="2" t="s">
        <v>1533</v>
      </c>
      <c r="G106" s="2" t="s">
        <v>1534</v>
      </c>
      <c r="H106" s="2" t="s">
        <v>339</v>
      </c>
      <c r="I106" s="2" t="s">
        <v>1001</v>
      </c>
      <c r="J106" s="2" t="s">
        <v>124</v>
      </c>
      <c r="K106" s="2" t="s">
        <v>316</v>
      </c>
      <c r="L106" s="2" t="s">
        <v>31</v>
      </c>
      <c r="M106" s="2" t="s">
        <v>753</v>
      </c>
      <c r="N106" s="2" t="s">
        <v>159</v>
      </c>
      <c r="O106" s="2" t="s">
        <v>34</v>
      </c>
      <c r="P106" s="156">
        <v>2155</v>
      </c>
      <c r="Q106" s="162">
        <v>3.6469999999999998</v>
      </c>
      <c r="R106" s="179">
        <v>6302.5</v>
      </c>
      <c r="T106" s="155">
        <v>495.33100000000002</v>
      </c>
      <c r="U106" s="168">
        <v>0</v>
      </c>
      <c r="V106" s="168">
        <v>1.61797313607762E-2</v>
      </c>
      <c r="W106" s="168">
        <v>8.2564935539852398E-3</v>
      </c>
    </row>
    <row r="107" spans="1:23">
      <c r="A107" s="2">
        <v>288</v>
      </c>
      <c r="B107" s="2">
        <v>1452</v>
      </c>
      <c r="C107" s="2" t="s">
        <v>1531</v>
      </c>
      <c r="D107" s="2" t="s">
        <v>1532</v>
      </c>
      <c r="E107" s="4" t="s">
        <v>332</v>
      </c>
      <c r="F107" s="2" t="s">
        <v>1535</v>
      </c>
      <c r="G107" s="2" t="s">
        <v>1536</v>
      </c>
      <c r="H107" s="2" t="s">
        <v>339</v>
      </c>
      <c r="I107" s="2" t="s">
        <v>1001</v>
      </c>
      <c r="J107" s="2" t="s">
        <v>124</v>
      </c>
      <c r="K107" s="2" t="s">
        <v>125</v>
      </c>
      <c r="L107" s="2" t="s">
        <v>362</v>
      </c>
      <c r="M107" s="2" t="s">
        <v>753</v>
      </c>
      <c r="N107" s="2" t="s">
        <v>159</v>
      </c>
      <c r="O107" s="2" t="s">
        <v>34</v>
      </c>
      <c r="P107" s="156">
        <v>700</v>
      </c>
      <c r="Q107" s="162">
        <v>3.6469999999999998</v>
      </c>
      <c r="R107" s="179">
        <v>53881</v>
      </c>
      <c r="T107" s="155">
        <v>1375.528</v>
      </c>
      <c r="U107" s="168">
        <v>9.9999999999999995E-7</v>
      </c>
      <c r="V107" s="168">
        <v>4.4930873843196599E-2</v>
      </c>
      <c r="W107" s="168">
        <v>2.2928160053423699E-2</v>
      </c>
    </row>
    <row r="108" spans="1:23">
      <c r="A108" s="2">
        <v>288</v>
      </c>
      <c r="B108" s="2">
        <v>1452</v>
      </c>
      <c r="C108" s="2" t="s">
        <v>1539</v>
      </c>
      <c r="D108" s="2" t="s">
        <v>1540</v>
      </c>
      <c r="E108" s="4" t="s">
        <v>332</v>
      </c>
      <c r="F108" s="2" t="s">
        <v>1588</v>
      </c>
      <c r="G108" s="2" t="s">
        <v>1589</v>
      </c>
      <c r="H108" s="2" t="s">
        <v>339</v>
      </c>
      <c r="I108" s="2" t="s">
        <v>1001</v>
      </c>
      <c r="J108" s="2" t="s">
        <v>124</v>
      </c>
      <c r="K108" s="2" t="s">
        <v>125</v>
      </c>
      <c r="L108" s="2" t="s">
        <v>398</v>
      </c>
      <c r="M108" s="2" t="s">
        <v>753</v>
      </c>
      <c r="N108" s="2" t="s">
        <v>159</v>
      </c>
      <c r="O108" s="2" t="s">
        <v>34</v>
      </c>
      <c r="P108" s="156">
        <v>6400</v>
      </c>
      <c r="Q108" s="162">
        <v>3.6469999999999998</v>
      </c>
      <c r="R108" s="179">
        <v>4285.5</v>
      </c>
      <c r="T108" s="155">
        <v>1000.27</v>
      </c>
      <c r="U108" s="168">
        <v>0</v>
      </c>
      <c r="V108" s="168">
        <v>3.2673273724162497E-2</v>
      </c>
      <c r="W108" s="168">
        <v>1.6673124409539102E-2</v>
      </c>
    </row>
    <row r="109" spans="1:23">
      <c r="A109" s="2">
        <v>288</v>
      </c>
      <c r="B109" s="2">
        <v>1452</v>
      </c>
      <c r="C109" s="2" t="s">
        <v>1539</v>
      </c>
      <c r="D109" s="2" t="s">
        <v>1540</v>
      </c>
      <c r="E109" s="4" t="s">
        <v>332</v>
      </c>
      <c r="F109" s="2" t="s">
        <v>1541</v>
      </c>
      <c r="G109" s="2" t="s">
        <v>1542</v>
      </c>
      <c r="H109" s="2" t="s">
        <v>339</v>
      </c>
      <c r="I109" s="2" t="s">
        <v>1001</v>
      </c>
      <c r="J109" s="2" t="s">
        <v>124</v>
      </c>
      <c r="K109" s="2" t="s">
        <v>271</v>
      </c>
      <c r="L109" s="2" t="s">
        <v>362</v>
      </c>
      <c r="M109" s="2" t="s">
        <v>753</v>
      </c>
      <c r="N109" s="2" t="s">
        <v>159</v>
      </c>
      <c r="O109" s="2" t="s">
        <v>34</v>
      </c>
      <c r="P109" s="156">
        <v>2310</v>
      </c>
      <c r="Q109" s="162">
        <v>3.6469999999999998</v>
      </c>
      <c r="R109" s="179">
        <v>11029</v>
      </c>
      <c r="T109" s="155">
        <v>929.14599999999996</v>
      </c>
      <c r="U109" s="168">
        <v>7.7000000000000001E-5</v>
      </c>
      <c r="V109" s="168">
        <v>3.0350041853989901E-2</v>
      </c>
      <c r="W109" s="168">
        <v>1.54875825403462E-2</v>
      </c>
    </row>
    <row r="110" spans="1:23">
      <c r="A110" s="2">
        <v>288</v>
      </c>
      <c r="B110" s="2">
        <v>15046</v>
      </c>
      <c r="C110" s="2" t="s">
        <v>1351</v>
      </c>
      <c r="D110" s="2" t="s">
        <v>1352</v>
      </c>
      <c r="E110" s="4" t="s">
        <v>1333</v>
      </c>
      <c r="F110" s="2" t="s">
        <v>1590</v>
      </c>
      <c r="G110" s="2" t="s">
        <v>1591</v>
      </c>
      <c r="H110" s="2" t="s">
        <v>339</v>
      </c>
      <c r="I110" s="2" t="s">
        <v>1001</v>
      </c>
      <c r="J110" s="2" t="s">
        <v>30</v>
      </c>
      <c r="K110" s="2" t="s">
        <v>125</v>
      </c>
      <c r="L110" s="2" t="s">
        <v>65</v>
      </c>
      <c r="M110" s="2" t="s">
        <v>1403</v>
      </c>
      <c r="N110" s="2" t="s">
        <v>159</v>
      </c>
      <c r="O110" s="2" t="s">
        <v>44</v>
      </c>
      <c r="P110" s="156">
        <v>19887</v>
      </c>
      <c r="Q110" s="162">
        <v>1</v>
      </c>
      <c r="R110" s="179">
        <v>9241</v>
      </c>
      <c r="T110" s="155">
        <v>1837.758</v>
      </c>
      <c r="U110" s="168">
        <v>2.2800000000000001E-4</v>
      </c>
      <c r="V110" s="168">
        <v>0.19302387784774599</v>
      </c>
      <c r="W110" s="168">
        <v>0.108895094310815</v>
      </c>
    </row>
    <row r="111" spans="1:23">
      <c r="A111" s="2">
        <v>288</v>
      </c>
      <c r="B111" s="2">
        <v>15046</v>
      </c>
      <c r="C111" s="2" t="s">
        <v>1432</v>
      </c>
      <c r="D111" s="2" t="s">
        <v>1433</v>
      </c>
      <c r="E111" s="4" t="s">
        <v>1333</v>
      </c>
      <c r="F111" s="2" t="s">
        <v>1592</v>
      </c>
      <c r="G111" s="2" t="s">
        <v>1593</v>
      </c>
      <c r="H111" s="2" t="s">
        <v>339</v>
      </c>
      <c r="I111" s="2" t="s">
        <v>1001</v>
      </c>
      <c r="J111" s="2" t="s">
        <v>30</v>
      </c>
      <c r="K111" s="2" t="s">
        <v>125</v>
      </c>
      <c r="L111" s="2" t="s">
        <v>65</v>
      </c>
      <c r="M111" s="2" t="s">
        <v>1403</v>
      </c>
      <c r="N111" s="2" t="s">
        <v>159</v>
      </c>
      <c r="O111" s="2" t="s">
        <v>44</v>
      </c>
      <c r="P111" s="156">
        <v>18556</v>
      </c>
      <c r="Q111" s="162">
        <v>1</v>
      </c>
      <c r="R111" s="179">
        <v>10700</v>
      </c>
      <c r="T111" s="155">
        <v>1985.492</v>
      </c>
      <c r="U111" s="168">
        <v>2.7099999999999997E-4</v>
      </c>
      <c r="V111" s="168">
        <v>0.208540751336206</v>
      </c>
      <c r="W111" s="168">
        <v>0.11764899264078101</v>
      </c>
    </row>
    <row r="112" spans="1:23">
      <c r="A112" s="2">
        <v>288</v>
      </c>
      <c r="B112" s="2">
        <v>15046</v>
      </c>
      <c r="C112" s="2" t="s">
        <v>1357</v>
      </c>
      <c r="D112" s="2" t="s">
        <v>1358</v>
      </c>
      <c r="E112" s="4" t="s">
        <v>1333</v>
      </c>
      <c r="F112" s="2" t="s">
        <v>1594</v>
      </c>
      <c r="G112" s="2" t="s">
        <v>1595</v>
      </c>
      <c r="H112" s="2" t="s">
        <v>339</v>
      </c>
      <c r="I112" s="2" t="s">
        <v>1001</v>
      </c>
      <c r="J112" s="2" t="s">
        <v>30</v>
      </c>
      <c r="K112" s="2" t="s">
        <v>125</v>
      </c>
      <c r="L112" s="2" t="s">
        <v>65</v>
      </c>
      <c r="M112" s="2" t="s">
        <v>1403</v>
      </c>
      <c r="N112" s="2" t="s">
        <v>159</v>
      </c>
      <c r="O112" s="2" t="s">
        <v>44</v>
      </c>
      <c r="P112" s="156">
        <v>8616</v>
      </c>
      <c r="Q112" s="162">
        <v>1</v>
      </c>
      <c r="R112" s="179">
        <v>21370</v>
      </c>
      <c r="T112" s="155">
        <v>1841.239</v>
      </c>
      <c r="U112" s="168">
        <v>8.6000000000000003E-5</v>
      </c>
      <c r="V112" s="168">
        <v>0.19338955088092799</v>
      </c>
      <c r="W112" s="168">
        <v>0.109101390028627</v>
      </c>
    </row>
    <row r="113" spans="1:23">
      <c r="A113" s="2">
        <v>288</v>
      </c>
      <c r="B113" s="2">
        <v>15046</v>
      </c>
      <c r="C113" s="2" t="s">
        <v>1404</v>
      </c>
      <c r="D113" s="2" t="s">
        <v>1405</v>
      </c>
      <c r="E113" s="4" t="s">
        <v>1333</v>
      </c>
      <c r="F113" s="2" t="s">
        <v>1596</v>
      </c>
      <c r="G113" s="2" t="s">
        <v>1597</v>
      </c>
      <c r="H113" s="2" t="s">
        <v>339</v>
      </c>
      <c r="I113" s="2" t="s">
        <v>1001</v>
      </c>
      <c r="J113" s="2" t="s">
        <v>30</v>
      </c>
      <c r="K113" s="2" t="s">
        <v>125</v>
      </c>
      <c r="L113" s="2" t="s">
        <v>65</v>
      </c>
      <c r="M113" s="2" t="s">
        <v>1403</v>
      </c>
      <c r="N113" s="2" t="s">
        <v>159</v>
      </c>
      <c r="O113" s="2" t="s">
        <v>44</v>
      </c>
      <c r="P113" s="156">
        <v>7254</v>
      </c>
      <c r="Q113" s="162">
        <v>1</v>
      </c>
      <c r="R113" s="179">
        <v>25410</v>
      </c>
      <c r="T113" s="155">
        <v>1843.241</v>
      </c>
      <c r="U113" s="168">
        <v>2.1100000000000001E-4</v>
      </c>
      <c r="V113" s="168">
        <v>0.19359984651159601</v>
      </c>
      <c r="W113" s="168">
        <v>0.109220029042566</v>
      </c>
    </row>
    <row r="114" spans="1:23">
      <c r="A114" s="2">
        <v>288</v>
      </c>
      <c r="B114" s="2">
        <v>15046</v>
      </c>
      <c r="C114" s="2" t="s">
        <v>1412</v>
      </c>
      <c r="D114" s="2" t="s">
        <v>1413</v>
      </c>
      <c r="E114" s="4" t="s">
        <v>332</v>
      </c>
      <c r="F114" s="2" t="s">
        <v>1582</v>
      </c>
      <c r="G114" s="2" t="s">
        <v>1583</v>
      </c>
      <c r="H114" s="2" t="s">
        <v>339</v>
      </c>
      <c r="I114" s="2" t="s">
        <v>1001</v>
      </c>
      <c r="J114" s="2" t="s">
        <v>124</v>
      </c>
      <c r="K114" s="2" t="s">
        <v>125</v>
      </c>
      <c r="L114" s="2" t="s">
        <v>362</v>
      </c>
      <c r="M114" s="2" t="s">
        <v>753</v>
      </c>
      <c r="N114" s="2" t="s">
        <v>159</v>
      </c>
      <c r="O114" s="2" t="s">
        <v>34</v>
      </c>
      <c r="P114" s="156">
        <v>26</v>
      </c>
      <c r="Q114" s="162">
        <v>3.6469999999999998</v>
      </c>
      <c r="R114" s="179">
        <v>58868</v>
      </c>
      <c r="T114" s="155">
        <v>55.82</v>
      </c>
      <c r="U114" s="168">
        <v>0</v>
      </c>
      <c r="V114" s="168">
        <v>5.86288242471207E-3</v>
      </c>
      <c r="W114" s="168">
        <v>3.3075655804399098E-3</v>
      </c>
    </row>
    <row r="115" spans="1:23">
      <c r="A115" s="2">
        <v>288</v>
      </c>
      <c r="B115" s="2">
        <v>15046</v>
      </c>
      <c r="C115" s="2" t="s">
        <v>1382</v>
      </c>
      <c r="D115" s="2" t="s">
        <v>1383</v>
      </c>
      <c r="E115" s="4" t="s">
        <v>332</v>
      </c>
      <c r="F115" s="2" t="s">
        <v>1514</v>
      </c>
      <c r="G115" s="2" t="s">
        <v>1515</v>
      </c>
      <c r="H115" s="2" t="s">
        <v>339</v>
      </c>
      <c r="I115" s="2" t="s">
        <v>1001</v>
      </c>
      <c r="J115" s="2" t="s">
        <v>124</v>
      </c>
      <c r="K115" s="2" t="s">
        <v>125</v>
      </c>
      <c r="L115" s="2" t="s">
        <v>398</v>
      </c>
      <c r="M115" s="2" t="s">
        <v>753</v>
      </c>
      <c r="N115" s="2" t="s">
        <v>159</v>
      </c>
      <c r="O115" s="2" t="s">
        <v>34</v>
      </c>
      <c r="P115" s="156">
        <v>14</v>
      </c>
      <c r="Q115" s="162">
        <v>3.6469999999999998</v>
      </c>
      <c r="R115" s="179">
        <v>116945.5</v>
      </c>
      <c r="T115" s="155">
        <v>59.71</v>
      </c>
      <c r="U115" s="168">
        <v>3.0000000000000001E-6</v>
      </c>
      <c r="V115" s="168">
        <v>6.2714809354359399E-3</v>
      </c>
      <c r="W115" s="168">
        <v>3.5380778562094E-3</v>
      </c>
    </row>
    <row r="116" spans="1:23">
      <c r="A116" s="2">
        <v>288</v>
      </c>
      <c r="B116" s="2">
        <v>15046</v>
      </c>
      <c r="C116" s="2" t="s">
        <v>1516</v>
      </c>
      <c r="D116" s="2" t="s">
        <v>1517</v>
      </c>
      <c r="E116" s="4" t="s">
        <v>332</v>
      </c>
      <c r="F116" s="2" t="s">
        <v>1523</v>
      </c>
      <c r="G116" s="2" t="s">
        <v>1524</v>
      </c>
      <c r="H116" s="2" t="s">
        <v>339</v>
      </c>
      <c r="I116" s="2" t="s">
        <v>1001</v>
      </c>
      <c r="J116" s="2" t="s">
        <v>124</v>
      </c>
      <c r="K116" s="2" t="s">
        <v>125</v>
      </c>
      <c r="L116" s="2" t="s">
        <v>362</v>
      </c>
      <c r="M116" s="2" t="s">
        <v>753</v>
      </c>
      <c r="N116" s="2" t="s">
        <v>159</v>
      </c>
      <c r="O116" s="2" t="s">
        <v>34</v>
      </c>
      <c r="P116" s="156">
        <v>228</v>
      </c>
      <c r="Q116" s="162">
        <v>3.6469999999999998</v>
      </c>
      <c r="R116" s="179">
        <v>6894</v>
      </c>
      <c r="T116" s="155">
        <v>57.325000000000003</v>
      </c>
      <c r="U116" s="168">
        <v>9.9999999999999995E-7</v>
      </c>
      <c r="V116" s="168">
        <v>6.0209453009601802E-3</v>
      </c>
      <c r="W116" s="168">
        <v>3.39673730368989E-3</v>
      </c>
    </row>
    <row r="117" spans="1:23">
      <c r="A117" s="2">
        <v>288</v>
      </c>
      <c r="B117" s="2">
        <v>15046</v>
      </c>
      <c r="C117" s="2" t="s">
        <v>1516</v>
      </c>
      <c r="D117" s="2" t="s">
        <v>1517</v>
      </c>
      <c r="E117" s="4" t="s">
        <v>332</v>
      </c>
      <c r="F117" s="2" t="s">
        <v>1598</v>
      </c>
      <c r="G117" s="2" t="s">
        <v>1599</v>
      </c>
      <c r="H117" s="2" t="s">
        <v>339</v>
      </c>
      <c r="I117" s="2" t="s">
        <v>1001</v>
      </c>
      <c r="J117" s="2" t="s">
        <v>124</v>
      </c>
      <c r="K117" s="2" t="s">
        <v>125</v>
      </c>
      <c r="L117" s="2" t="s">
        <v>362</v>
      </c>
      <c r="M117" s="2" t="s">
        <v>753</v>
      </c>
      <c r="N117" s="2" t="s">
        <v>159</v>
      </c>
      <c r="O117" s="2" t="s">
        <v>34</v>
      </c>
      <c r="P117" s="156">
        <v>470</v>
      </c>
      <c r="Q117" s="162">
        <v>3.6469999999999998</v>
      </c>
      <c r="R117" s="179">
        <v>58608</v>
      </c>
      <c r="S117" s="159">
        <v>0.69299999999999995</v>
      </c>
      <c r="T117" s="155">
        <v>1007.121</v>
      </c>
      <c r="U117" s="168">
        <v>9.9999999999999995E-7</v>
      </c>
      <c r="V117" s="168">
        <v>0.105780186037795</v>
      </c>
      <c r="W117" s="168">
        <v>5.9676261109453503E-2</v>
      </c>
    </row>
    <row r="118" spans="1:23">
      <c r="A118" s="2">
        <v>288</v>
      </c>
      <c r="B118" s="2">
        <v>15046</v>
      </c>
      <c r="C118" s="2" t="s">
        <v>1531</v>
      </c>
      <c r="D118" s="2" t="s">
        <v>1532</v>
      </c>
      <c r="E118" s="4" t="s">
        <v>332</v>
      </c>
      <c r="F118" s="2" t="s">
        <v>1535</v>
      </c>
      <c r="G118" s="2" t="s">
        <v>1536</v>
      </c>
      <c r="H118" s="2" t="s">
        <v>339</v>
      </c>
      <c r="I118" s="2" t="s">
        <v>1001</v>
      </c>
      <c r="J118" s="2" t="s">
        <v>124</v>
      </c>
      <c r="K118" s="2" t="s">
        <v>125</v>
      </c>
      <c r="L118" s="2" t="s">
        <v>362</v>
      </c>
      <c r="M118" s="2" t="s">
        <v>753</v>
      </c>
      <c r="N118" s="2" t="s">
        <v>159</v>
      </c>
      <c r="O118" s="2" t="s">
        <v>34</v>
      </c>
      <c r="P118" s="156">
        <v>424</v>
      </c>
      <c r="Q118" s="162">
        <v>3.6469999999999998</v>
      </c>
      <c r="R118" s="179">
        <v>53881</v>
      </c>
      <c r="T118" s="155">
        <v>833.17700000000002</v>
      </c>
      <c r="U118" s="168">
        <v>9.9999999999999995E-7</v>
      </c>
      <c r="V118" s="168">
        <v>8.7510478724621296E-2</v>
      </c>
      <c r="W118" s="168">
        <v>4.9369341970317997E-2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>
      <selection activeCell="Y2" sqref="Y2"/>
    </sheetView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166</v>
      </c>
      <c r="E1" s="22" t="s">
        <v>167</v>
      </c>
      <c r="F1" s="22" t="s">
        <v>1132</v>
      </c>
      <c r="G1" s="22" t="s">
        <v>4</v>
      </c>
      <c r="H1" s="22" t="s">
        <v>168</v>
      </c>
      <c r="I1" s="22" t="s">
        <v>5</v>
      </c>
      <c r="J1" s="22" t="s">
        <v>6</v>
      </c>
      <c r="K1" s="22" t="s">
        <v>7</v>
      </c>
      <c r="L1" s="22" t="s">
        <v>344</v>
      </c>
      <c r="M1" s="22" t="s">
        <v>8</v>
      </c>
      <c r="N1" s="22" t="s">
        <v>587</v>
      </c>
      <c r="O1" s="22" t="s">
        <v>145</v>
      </c>
      <c r="P1" s="22" t="s">
        <v>11</v>
      </c>
      <c r="Q1" s="22" t="s">
        <v>17</v>
      </c>
      <c r="R1" s="161" t="s">
        <v>18</v>
      </c>
      <c r="S1" s="172" t="s">
        <v>19</v>
      </c>
      <c r="T1" s="22" t="s">
        <v>20</v>
      </c>
      <c r="U1" s="167" t="s">
        <v>23</v>
      </c>
      <c r="V1" s="167" t="s">
        <v>24</v>
      </c>
      <c r="W1" s="167" t="s">
        <v>25</v>
      </c>
    </row>
    <row r="2" spans="1:23">
      <c r="A2" s="21">
        <v>288</v>
      </c>
      <c r="B2" s="21">
        <v>288</v>
      </c>
      <c r="C2" s="21" t="s">
        <v>1346</v>
      </c>
      <c r="D2" s="21" t="s">
        <v>1347</v>
      </c>
      <c r="E2" s="21" t="s">
        <v>1333</v>
      </c>
      <c r="F2" s="21" t="s">
        <v>1348</v>
      </c>
      <c r="G2" s="21" t="s">
        <v>1349</v>
      </c>
      <c r="H2" s="21" t="s">
        <v>339</v>
      </c>
      <c r="I2" s="21" t="s">
        <v>950</v>
      </c>
      <c r="J2" s="21" t="s">
        <v>30</v>
      </c>
      <c r="K2" s="21" t="s">
        <v>30</v>
      </c>
      <c r="L2" s="4" t="s">
        <v>345</v>
      </c>
      <c r="M2" s="21" t="s">
        <v>65</v>
      </c>
      <c r="N2" s="23" t="s">
        <v>1350</v>
      </c>
      <c r="O2" s="23" t="s">
        <v>159</v>
      </c>
      <c r="P2" s="21" t="s">
        <v>44</v>
      </c>
      <c r="Q2" s="158">
        <v>6145000</v>
      </c>
      <c r="R2" s="180">
        <v>1</v>
      </c>
      <c r="S2" s="181">
        <v>165.33</v>
      </c>
      <c r="T2" s="158">
        <v>10159.529</v>
      </c>
      <c r="U2" s="182">
        <v>0</v>
      </c>
      <c r="V2" s="182">
        <v>6.1605585026338297E-2</v>
      </c>
      <c r="W2" s="182">
        <v>4.1871654256881996E-3</v>
      </c>
    </row>
    <row r="3" spans="1:23">
      <c r="A3" s="21">
        <v>288</v>
      </c>
      <c r="B3" s="21">
        <v>288</v>
      </c>
      <c r="C3" s="21" t="s">
        <v>1351</v>
      </c>
      <c r="D3" s="21" t="s">
        <v>1352</v>
      </c>
      <c r="E3" s="21" t="s">
        <v>1333</v>
      </c>
      <c r="F3" s="21" t="s">
        <v>1353</v>
      </c>
      <c r="G3" s="21" t="s">
        <v>1354</v>
      </c>
      <c r="H3" s="21" t="s">
        <v>339</v>
      </c>
      <c r="I3" s="21" t="s">
        <v>950</v>
      </c>
      <c r="J3" s="21" t="s">
        <v>30</v>
      </c>
      <c r="K3" s="21" t="s">
        <v>30</v>
      </c>
      <c r="L3" s="4" t="s">
        <v>345</v>
      </c>
      <c r="M3" s="21" t="s">
        <v>65</v>
      </c>
      <c r="N3" s="23" t="s">
        <v>1350</v>
      </c>
      <c r="O3" s="23" t="s">
        <v>159</v>
      </c>
      <c r="P3" s="21" t="s">
        <v>44</v>
      </c>
      <c r="Q3" s="158">
        <v>4301000</v>
      </c>
      <c r="R3" s="180">
        <v>1</v>
      </c>
      <c r="S3" s="181">
        <v>171.43</v>
      </c>
      <c r="T3" s="158">
        <v>7373.2039999999997</v>
      </c>
      <c r="U3" s="182">
        <v>1.5105E-2</v>
      </c>
      <c r="V3" s="182">
        <v>4.4709807588040502E-2</v>
      </c>
      <c r="W3" s="182">
        <v>3.0388050116199302E-3</v>
      </c>
    </row>
    <row r="4" spans="1:23">
      <c r="A4" s="21">
        <v>288</v>
      </c>
      <c r="B4" s="21">
        <v>288</v>
      </c>
      <c r="C4" s="21" t="s">
        <v>1351</v>
      </c>
      <c r="D4" s="21" t="s">
        <v>1352</v>
      </c>
      <c r="E4" s="21" t="s">
        <v>1333</v>
      </c>
      <c r="F4" s="21" t="s">
        <v>1355</v>
      </c>
      <c r="G4" s="21" t="s">
        <v>1356</v>
      </c>
      <c r="H4" s="21" t="s">
        <v>339</v>
      </c>
      <c r="I4" s="21" t="s">
        <v>950</v>
      </c>
      <c r="J4" s="21" t="s">
        <v>30</v>
      </c>
      <c r="K4" s="21" t="s">
        <v>30</v>
      </c>
      <c r="L4" s="4" t="s">
        <v>345</v>
      </c>
      <c r="M4" s="21" t="s">
        <v>65</v>
      </c>
      <c r="N4" s="23" t="s">
        <v>1350</v>
      </c>
      <c r="O4" s="23" t="s">
        <v>159</v>
      </c>
      <c r="P4" s="21" t="s">
        <v>44</v>
      </c>
      <c r="Q4" s="158">
        <v>9670000</v>
      </c>
      <c r="R4" s="180">
        <v>1</v>
      </c>
      <c r="S4" s="181">
        <v>105.86</v>
      </c>
      <c r="T4" s="158">
        <v>10236.662</v>
      </c>
      <c r="U4" s="182">
        <v>0</v>
      </c>
      <c r="V4" s="182">
        <v>6.2073308936225403E-2</v>
      </c>
      <c r="W4" s="182">
        <v>4.2189553581011398E-3</v>
      </c>
    </row>
    <row r="5" spans="1:23">
      <c r="A5" s="21">
        <v>288</v>
      </c>
      <c r="B5" s="21">
        <v>288</v>
      </c>
      <c r="C5" s="21" t="s">
        <v>1357</v>
      </c>
      <c r="D5" s="21" t="s">
        <v>1358</v>
      </c>
      <c r="E5" s="21" t="s">
        <v>1333</v>
      </c>
      <c r="F5" s="21" t="s">
        <v>1359</v>
      </c>
      <c r="G5" s="21" t="s">
        <v>1360</v>
      </c>
      <c r="H5" s="21" t="s">
        <v>339</v>
      </c>
      <c r="I5" s="21" t="s">
        <v>950</v>
      </c>
      <c r="J5" s="21" t="s">
        <v>30</v>
      </c>
      <c r="K5" s="21" t="s">
        <v>30</v>
      </c>
      <c r="L5" s="4" t="s">
        <v>345</v>
      </c>
      <c r="M5" s="21" t="s">
        <v>65</v>
      </c>
      <c r="N5" s="23" t="s">
        <v>1350</v>
      </c>
      <c r="O5" s="23" t="s">
        <v>159</v>
      </c>
      <c r="P5" s="21" t="s">
        <v>44</v>
      </c>
      <c r="Q5" s="158">
        <v>13472448</v>
      </c>
      <c r="R5" s="180">
        <v>1</v>
      </c>
      <c r="S5" s="181">
        <v>184.99</v>
      </c>
      <c r="T5" s="158">
        <v>24922.682000000001</v>
      </c>
      <c r="U5" s="182">
        <v>0.11215899999999999</v>
      </c>
      <c r="V5" s="182">
        <v>0.151126735619003</v>
      </c>
      <c r="W5" s="182">
        <v>1.0271676537289101E-2</v>
      </c>
    </row>
    <row r="6" spans="1:23">
      <c r="A6" s="21">
        <v>288</v>
      </c>
      <c r="B6" s="21">
        <v>288</v>
      </c>
      <c r="C6" s="21" t="s">
        <v>1361</v>
      </c>
      <c r="D6" s="21" t="s">
        <v>1362</v>
      </c>
      <c r="E6" s="21" t="s">
        <v>1333</v>
      </c>
      <c r="F6" s="21" t="s">
        <v>1363</v>
      </c>
      <c r="G6" s="21" t="s">
        <v>1364</v>
      </c>
      <c r="H6" s="21" t="s">
        <v>339</v>
      </c>
      <c r="I6" s="21" t="s">
        <v>950</v>
      </c>
      <c r="J6" s="21" t="s">
        <v>30</v>
      </c>
      <c r="K6" s="21" t="s">
        <v>30</v>
      </c>
      <c r="L6" s="4" t="s">
        <v>345</v>
      </c>
      <c r="M6" s="21" t="s">
        <v>31</v>
      </c>
      <c r="N6" s="23" t="s">
        <v>1350</v>
      </c>
      <c r="O6" s="23" t="s">
        <v>358</v>
      </c>
      <c r="P6" s="21" t="s">
        <v>44</v>
      </c>
      <c r="Q6" s="158">
        <v>2048000.16</v>
      </c>
      <c r="R6" s="180">
        <v>1</v>
      </c>
      <c r="S6" s="181">
        <v>159.69</v>
      </c>
      <c r="T6" s="158">
        <v>3270.451</v>
      </c>
      <c r="U6" s="182">
        <v>4.7021E-2</v>
      </c>
      <c r="V6" s="182">
        <v>1.98314395413688E-2</v>
      </c>
      <c r="W6" s="182">
        <v>1.34788944790873E-3</v>
      </c>
    </row>
    <row r="7" spans="1:23">
      <c r="A7" s="21">
        <v>288</v>
      </c>
      <c r="B7" s="21">
        <v>288</v>
      </c>
      <c r="C7" s="21" t="s">
        <v>1346</v>
      </c>
      <c r="D7" s="21" t="s">
        <v>1347</v>
      </c>
      <c r="E7" s="21" t="s">
        <v>1333</v>
      </c>
      <c r="F7" s="21" t="s">
        <v>1365</v>
      </c>
      <c r="G7" s="21" t="s">
        <v>1366</v>
      </c>
      <c r="H7" s="21" t="s">
        <v>339</v>
      </c>
      <c r="I7" s="21" t="s">
        <v>950</v>
      </c>
      <c r="J7" s="21" t="s">
        <v>30</v>
      </c>
      <c r="K7" s="21" t="s">
        <v>30</v>
      </c>
      <c r="L7" s="4" t="s">
        <v>345</v>
      </c>
      <c r="M7" s="21" t="s">
        <v>65</v>
      </c>
      <c r="N7" s="23" t="s">
        <v>1350</v>
      </c>
      <c r="O7" s="23" t="s">
        <v>159</v>
      </c>
      <c r="P7" s="21" t="s">
        <v>44</v>
      </c>
      <c r="Q7" s="158">
        <v>5780000</v>
      </c>
      <c r="R7" s="180">
        <v>1</v>
      </c>
      <c r="S7" s="181">
        <v>168.89</v>
      </c>
      <c r="T7" s="158">
        <v>9761.8420000000006</v>
      </c>
      <c r="U7" s="182">
        <v>3.4784000000000002E-2</v>
      </c>
      <c r="V7" s="182">
        <v>5.9194084385380701E-2</v>
      </c>
      <c r="W7" s="182">
        <v>4.0232622324383399E-3</v>
      </c>
    </row>
    <row r="8" spans="1:23">
      <c r="A8" s="21">
        <v>288</v>
      </c>
      <c r="B8" s="21">
        <v>288</v>
      </c>
      <c r="C8" s="21" t="s">
        <v>1357</v>
      </c>
      <c r="D8" s="21" t="s">
        <v>1358</v>
      </c>
      <c r="E8" s="21" t="s">
        <v>1333</v>
      </c>
      <c r="F8" s="21" t="s">
        <v>1367</v>
      </c>
      <c r="G8" s="21" t="s">
        <v>1368</v>
      </c>
      <c r="H8" s="21" t="s">
        <v>339</v>
      </c>
      <c r="I8" s="21" t="s">
        <v>1006</v>
      </c>
      <c r="J8" s="21" t="s">
        <v>30</v>
      </c>
      <c r="K8" s="21" t="s">
        <v>30</v>
      </c>
      <c r="L8" s="4" t="s">
        <v>345</v>
      </c>
      <c r="M8" s="21" t="s">
        <v>65</v>
      </c>
      <c r="N8" s="23" t="s">
        <v>1369</v>
      </c>
      <c r="O8" s="23" t="s">
        <v>159</v>
      </c>
      <c r="P8" s="21" t="s">
        <v>44</v>
      </c>
      <c r="Q8" s="158">
        <v>4000000</v>
      </c>
      <c r="R8" s="180">
        <v>1</v>
      </c>
      <c r="S8" s="181">
        <v>109.37</v>
      </c>
      <c r="T8" s="158">
        <v>4374.8</v>
      </c>
      <c r="U8" s="182">
        <v>0</v>
      </c>
      <c r="V8" s="182">
        <v>2.6528013910608599E-2</v>
      </c>
      <c r="W8" s="182">
        <v>1.8030375429628201E-3</v>
      </c>
    </row>
    <row r="9" spans="1:23">
      <c r="A9" s="21">
        <v>288</v>
      </c>
      <c r="B9" s="21">
        <v>288</v>
      </c>
      <c r="C9" s="21" t="s">
        <v>1370</v>
      </c>
      <c r="D9" s="21" t="s">
        <v>1371</v>
      </c>
      <c r="E9" s="21" t="s">
        <v>332</v>
      </c>
      <c r="F9" s="21" t="s">
        <v>1372</v>
      </c>
      <c r="G9" s="21" t="s">
        <v>1373</v>
      </c>
      <c r="H9" s="21" t="s">
        <v>339</v>
      </c>
      <c r="I9" s="21" t="s">
        <v>1006</v>
      </c>
      <c r="J9" s="21" t="s">
        <v>124</v>
      </c>
      <c r="K9" s="21" t="s">
        <v>125</v>
      </c>
      <c r="L9" s="4" t="s">
        <v>345</v>
      </c>
      <c r="M9" s="21" t="s">
        <v>31</v>
      </c>
      <c r="N9" s="23" t="s">
        <v>750</v>
      </c>
      <c r="O9" s="23" t="s">
        <v>159</v>
      </c>
      <c r="P9" s="21" t="s">
        <v>34</v>
      </c>
      <c r="Q9" s="158">
        <v>3294.49</v>
      </c>
      <c r="R9" s="180">
        <v>3.6469999999999998</v>
      </c>
      <c r="S9" s="181">
        <v>168274.48300000001</v>
      </c>
      <c r="T9" s="158">
        <v>20218.187999999998</v>
      </c>
      <c r="U9" s="182">
        <v>0</v>
      </c>
      <c r="V9" s="182">
        <v>0.122599515820471</v>
      </c>
      <c r="W9" s="182">
        <v>8.3327583632250308E-3</v>
      </c>
    </row>
    <row r="10" spans="1:23">
      <c r="A10" s="21">
        <v>288</v>
      </c>
      <c r="B10" s="21">
        <v>288</v>
      </c>
      <c r="C10" s="21" t="s">
        <v>1374</v>
      </c>
      <c r="D10" s="21" t="s">
        <v>1375</v>
      </c>
      <c r="E10" s="21" t="s">
        <v>332</v>
      </c>
      <c r="F10" s="21" t="s">
        <v>1376</v>
      </c>
      <c r="G10" s="21" t="s">
        <v>1377</v>
      </c>
      <c r="H10" s="21" t="s">
        <v>339</v>
      </c>
      <c r="I10" s="21" t="s">
        <v>1006</v>
      </c>
      <c r="J10" s="21" t="s">
        <v>124</v>
      </c>
      <c r="K10" s="21" t="s">
        <v>316</v>
      </c>
      <c r="L10" s="4" t="s">
        <v>345</v>
      </c>
      <c r="M10" s="21" t="s">
        <v>31</v>
      </c>
      <c r="N10" s="23" t="s">
        <v>750</v>
      </c>
      <c r="O10" s="23" t="s">
        <v>159</v>
      </c>
      <c r="P10" s="21" t="s">
        <v>34</v>
      </c>
      <c r="Q10" s="158">
        <v>0.28000000000000003</v>
      </c>
      <c r="R10" s="180">
        <v>3.6469999999999998</v>
      </c>
      <c r="S10" s="181">
        <v>181158</v>
      </c>
      <c r="T10" s="158">
        <v>1.85</v>
      </c>
      <c r="U10" s="182">
        <v>0</v>
      </c>
      <c r="V10" s="182">
        <v>1.121754564038E-5</v>
      </c>
      <c r="W10" s="182">
        <v>7.6242631648409199E-7</v>
      </c>
    </row>
    <row r="11" spans="1:23">
      <c r="A11" s="21">
        <v>288</v>
      </c>
      <c r="B11" s="21">
        <v>288</v>
      </c>
      <c r="C11" s="21" t="s">
        <v>1378</v>
      </c>
      <c r="D11" s="21" t="s">
        <v>1379</v>
      </c>
      <c r="E11" s="21" t="s">
        <v>332</v>
      </c>
      <c r="F11" s="21" t="s">
        <v>1380</v>
      </c>
      <c r="G11" s="21" t="s">
        <v>1381</v>
      </c>
      <c r="H11" s="21" t="s">
        <v>339</v>
      </c>
      <c r="I11" s="21" t="s">
        <v>1006</v>
      </c>
      <c r="J11" s="21" t="s">
        <v>124</v>
      </c>
      <c r="K11" s="21" t="s">
        <v>125</v>
      </c>
      <c r="L11" s="4" t="s">
        <v>345</v>
      </c>
      <c r="M11" s="21" t="s">
        <v>31</v>
      </c>
      <c r="N11" s="23" t="s">
        <v>750</v>
      </c>
      <c r="O11" s="23" t="s">
        <v>159</v>
      </c>
      <c r="P11" s="21" t="s">
        <v>34</v>
      </c>
      <c r="Q11" s="158">
        <v>330000</v>
      </c>
      <c r="R11" s="180">
        <v>3.6469999999999998</v>
      </c>
      <c r="S11" s="181">
        <v>1732</v>
      </c>
      <c r="T11" s="158">
        <v>20844.793000000001</v>
      </c>
      <c r="U11" s="182">
        <v>1.4649999999999999E-3</v>
      </c>
      <c r="V11" s="182">
        <v>0.12639914144037701</v>
      </c>
      <c r="W11" s="182">
        <v>8.5910086666581408E-3</v>
      </c>
    </row>
    <row r="12" spans="1:23">
      <c r="A12" s="21">
        <v>288</v>
      </c>
      <c r="B12" s="21">
        <v>288</v>
      </c>
      <c r="C12" s="21" t="s">
        <v>1382</v>
      </c>
      <c r="D12" s="21" t="s">
        <v>1383</v>
      </c>
      <c r="E12" s="21" t="s">
        <v>332</v>
      </c>
      <c r="F12" s="21" t="s">
        <v>1384</v>
      </c>
      <c r="G12" s="21" t="s">
        <v>1385</v>
      </c>
      <c r="H12" s="21" t="s">
        <v>339</v>
      </c>
      <c r="I12" s="21" t="s">
        <v>1006</v>
      </c>
      <c r="J12" s="21" t="s">
        <v>124</v>
      </c>
      <c r="K12" s="21" t="s">
        <v>316</v>
      </c>
      <c r="L12" s="4" t="s">
        <v>345</v>
      </c>
      <c r="M12" s="21" t="s">
        <v>1386</v>
      </c>
      <c r="N12" s="23" t="s">
        <v>750</v>
      </c>
      <c r="O12" s="23" t="s">
        <v>159</v>
      </c>
      <c r="P12" s="21" t="s">
        <v>34</v>
      </c>
      <c r="Q12" s="158">
        <v>22000</v>
      </c>
      <c r="R12" s="180">
        <v>3.6469999999999998</v>
      </c>
      <c r="S12" s="181">
        <v>18665</v>
      </c>
      <c r="T12" s="158">
        <v>14975.675999999999</v>
      </c>
      <c r="U12" s="182">
        <v>2.4139999999999999E-3</v>
      </c>
      <c r="V12" s="182">
        <v>9.0809852770770999E-2</v>
      </c>
      <c r="W12" s="182">
        <v>6.1721007222161001E-3</v>
      </c>
    </row>
    <row r="13" spans="1:23">
      <c r="A13" s="21">
        <v>288</v>
      </c>
      <c r="B13" s="21">
        <v>288</v>
      </c>
      <c r="C13" s="21" t="s">
        <v>1387</v>
      </c>
      <c r="D13" s="21" t="s">
        <v>1388</v>
      </c>
      <c r="E13" s="21" t="s">
        <v>332</v>
      </c>
      <c r="F13" s="21" t="s">
        <v>1389</v>
      </c>
      <c r="G13" s="21" t="s">
        <v>1390</v>
      </c>
      <c r="H13" s="21" t="s">
        <v>339</v>
      </c>
      <c r="I13" s="21" t="s">
        <v>950</v>
      </c>
      <c r="J13" s="21" t="s">
        <v>124</v>
      </c>
      <c r="K13" s="21" t="s">
        <v>264</v>
      </c>
      <c r="L13" s="4" t="s">
        <v>345</v>
      </c>
      <c r="M13" s="21" t="s">
        <v>31</v>
      </c>
      <c r="N13" s="23" t="s">
        <v>753</v>
      </c>
      <c r="O13" s="23" t="s">
        <v>159</v>
      </c>
      <c r="P13" s="21" t="s">
        <v>34</v>
      </c>
      <c r="Q13" s="158">
        <v>140000</v>
      </c>
      <c r="R13" s="180">
        <v>3.6469999999999998</v>
      </c>
      <c r="S13" s="181">
        <v>3492.29</v>
      </c>
      <c r="T13" s="158">
        <v>17830.934000000001</v>
      </c>
      <c r="U13" s="182">
        <v>6.3119999999999999E-3</v>
      </c>
      <c r="V13" s="182">
        <v>0.10812363369115</v>
      </c>
      <c r="W13" s="182">
        <v>7.34887170534625E-3</v>
      </c>
    </row>
    <row r="14" spans="1:23">
      <c r="A14" s="21">
        <v>288</v>
      </c>
      <c r="B14" s="21">
        <v>288</v>
      </c>
      <c r="C14" s="21" t="s">
        <v>1391</v>
      </c>
      <c r="D14" s="21" t="s">
        <v>1392</v>
      </c>
      <c r="E14" s="21" t="s">
        <v>332</v>
      </c>
      <c r="F14" s="21" t="s">
        <v>1393</v>
      </c>
      <c r="G14" s="21" t="s">
        <v>1394</v>
      </c>
      <c r="H14" s="21" t="s">
        <v>339</v>
      </c>
      <c r="I14" s="21" t="s">
        <v>1006</v>
      </c>
      <c r="J14" s="21" t="s">
        <v>124</v>
      </c>
      <c r="K14" s="21" t="s">
        <v>125</v>
      </c>
      <c r="L14" s="4" t="s">
        <v>345</v>
      </c>
      <c r="M14" s="21" t="s">
        <v>31</v>
      </c>
      <c r="N14" s="23" t="s">
        <v>750</v>
      </c>
      <c r="O14" s="23" t="s">
        <v>159</v>
      </c>
      <c r="P14" s="21" t="s">
        <v>34</v>
      </c>
      <c r="Q14" s="158">
        <v>14300</v>
      </c>
      <c r="R14" s="180">
        <v>3.6469999999999998</v>
      </c>
      <c r="S14" s="181">
        <v>40155.33</v>
      </c>
      <c r="T14" s="158">
        <v>20941.848000000002</v>
      </c>
      <c r="U14" s="182">
        <v>0</v>
      </c>
      <c r="V14" s="182">
        <v>0.126987663724625</v>
      </c>
      <c r="W14" s="182">
        <v>8.6310089387080999E-3</v>
      </c>
    </row>
    <row r="15" spans="1:23">
      <c r="A15" s="21">
        <v>288</v>
      </c>
      <c r="B15" s="21">
        <v>288</v>
      </c>
      <c r="C15" s="21" t="s">
        <v>1395</v>
      </c>
      <c r="D15" s="21" t="s">
        <v>1396</v>
      </c>
      <c r="E15" s="21" t="s">
        <v>43</v>
      </c>
      <c r="F15" s="21" t="s">
        <v>1397</v>
      </c>
      <c r="G15" s="21" t="s">
        <v>1398</v>
      </c>
      <c r="H15" s="21" t="s">
        <v>339</v>
      </c>
      <c r="I15" s="21" t="s">
        <v>950</v>
      </c>
      <c r="J15" s="21" t="s">
        <v>124</v>
      </c>
      <c r="K15" s="21" t="s">
        <v>316</v>
      </c>
      <c r="L15" s="4" t="s">
        <v>31</v>
      </c>
      <c r="M15" s="21" t="s">
        <v>31</v>
      </c>
      <c r="N15" s="23" t="s">
        <v>753</v>
      </c>
      <c r="O15" s="23" t="s">
        <v>159</v>
      </c>
      <c r="P15" s="21" t="s">
        <v>34</v>
      </c>
      <c r="Q15" s="158">
        <v>131.53</v>
      </c>
      <c r="R15" s="180">
        <v>3.6469999999999998</v>
      </c>
      <c r="S15" s="181">
        <v>0</v>
      </c>
      <c r="T15" s="158">
        <v>0</v>
      </c>
      <c r="U15" s="182">
        <v>2.5609999999999999E-3</v>
      </c>
      <c r="V15" s="182">
        <v>2.9E-27</v>
      </c>
      <c r="W15" s="182">
        <v>2.0000000000000002E-28</v>
      </c>
    </row>
    <row r="16" spans="1:23">
      <c r="A16" s="21">
        <v>288</v>
      </c>
      <c r="B16" s="21">
        <v>1451</v>
      </c>
      <c r="C16" s="21" t="s">
        <v>1370</v>
      </c>
      <c r="D16" s="21" t="s">
        <v>1371</v>
      </c>
      <c r="E16" s="21" t="s">
        <v>332</v>
      </c>
      <c r="F16" s="21" t="s">
        <v>1372</v>
      </c>
      <c r="G16" s="21" t="s">
        <v>1373</v>
      </c>
      <c r="H16" s="21" t="s">
        <v>339</v>
      </c>
      <c r="I16" s="21" t="s">
        <v>1006</v>
      </c>
      <c r="J16" s="21" t="s">
        <v>124</v>
      </c>
      <c r="K16" s="21" t="s">
        <v>125</v>
      </c>
      <c r="L16" s="4" t="s">
        <v>345</v>
      </c>
      <c r="M16" s="21" t="s">
        <v>31</v>
      </c>
      <c r="N16" s="23" t="s">
        <v>750</v>
      </c>
      <c r="O16" s="23" t="s">
        <v>159</v>
      </c>
      <c r="P16" s="21" t="s">
        <v>34</v>
      </c>
      <c r="Q16" s="158">
        <v>133.82</v>
      </c>
      <c r="R16" s="180">
        <v>3.6469999999999998</v>
      </c>
      <c r="S16" s="181">
        <v>168274.48300000001</v>
      </c>
      <c r="T16" s="158">
        <v>821.24900000000002</v>
      </c>
      <c r="U16" s="182">
        <v>0</v>
      </c>
      <c r="V16" s="182">
        <v>0.26876552154098898</v>
      </c>
      <c r="W16" s="182">
        <v>1.6125079044934602E-2</v>
      </c>
    </row>
    <row r="17" spans="1:23">
      <c r="A17" s="21">
        <v>288</v>
      </c>
      <c r="B17" s="21">
        <v>1451</v>
      </c>
      <c r="C17" s="21" t="s">
        <v>1378</v>
      </c>
      <c r="D17" s="21" t="s">
        <v>1379</v>
      </c>
      <c r="E17" s="21" t="s">
        <v>332</v>
      </c>
      <c r="F17" s="21" t="s">
        <v>1380</v>
      </c>
      <c r="G17" s="21" t="s">
        <v>1381</v>
      </c>
      <c r="H17" s="21" t="s">
        <v>339</v>
      </c>
      <c r="I17" s="21" t="s">
        <v>1006</v>
      </c>
      <c r="J17" s="21" t="s">
        <v>124</v>
      </c>
      <c r="K17" s="21" t="s">
        <v>125</v>
      </c>
      <c r="L17" s="4" t="s">
        <v>345</v>
      </c>
      <c r="M17" s="21" t="s">
        <v>31</v>
      </c>
      <c r="N17" s="23" t="s">
        <v>750</v>
      </c>
      <c r="O17" s="23" t="s">
        <v>159</v>
      </c>
      <c r="P17" s="21" t="s">
        <v>34</v>
      </c>
      <c r="Q17" s="158">
        <v>12500</v>
      </c>
      <c r="R17" s="180">
        <v>3.6469999999999998</v>
      </c>
      <c r="S17" s="181">
        <v>1732</v>
      </c>
      <c r="T17" s="158">
        <v>789.57600000000002</v>
      </c>
      <c r="U17" s="182">
        <v>5.5000000000000002E-5</v>
      </c>
      <c r="V17" s="182">
        <v>0.25839979508178301</v>
      </c>
      <c r="W17" s="182">
        <v>1.55031683267944E-2</v>
      </c>
    </row>
    <row r="18" spans="1:23">
      <c r="A18" s="21">
        <v>288</v>
      </c>
      <c r="B18" s="21">
        <v>1451</v>
      </c>
      <c r="C18" s="21" t="s">
        <v>1382</v>
      </c>
      <c r="D18" s="21" t="s">
        <v>1383</v>
      </c>
      <c r="E18" s="21" t="s">
        <v>332</v>
      </c>
      <c r="F18" s="21" t="s">
        <v>1384</v>
      </c>
      <c r="G18" s="21" t="s">
        <v>1385</v>
      </c>
      <c r="H18" s="21" t="s">
        <v>339</v>
      </c>
      <c r="I18" s="21" t="s">
        <v>1006</v>
      </c>
      <c r="J18" s="21" t="s">
        <v>124</v>
      </c>
      <c r="K18" s="21" t="s">
        <v>316</v>
      </c>
      <c r="L18" s="4" t="s">
        <v>345</v>
      </c>
      <c r="M18" s="21" t="s">
        <v>1386</v>
      </c>
      <c r="N18" s="23" t="s">
        <v>750</v>
      </c>
      <c r="O18" s="23" t="s">
        <v>159</v>
      </c>
      <c r="P18" s="21" t="s">
        <v>34</v>
      </c>
      <c r="Q18" s="158">
        <v>950</v>
      </c>
      <c r="R18" s="180">
        <v>3.6469999999999998</v>
      </c>
      <c r="S18" s="181">
        <v>18665</v>
      </c>
      <c r="T18" s="158">
        <v>646.67700000000002</v>
      </c>
      <c r="U18" s="182">
        <v>1.0399999999999999E-4</v>
      </c>
      <c r="V18" s="182">
        <v>0.211634206302144</v>
      </c>
      <c r="W18" s="182">
        <v>1.2697381292315801E-2</v>
      </c>
    </row>
    <row r="19" spans="1:23">
      <c r="A19" s="21">
        <v>288</v>
      </c>
      <c r="B19" s="21">
        <v>1451</v>
      </c>
      <c r="C19" s="21" t="s">
        <v>1391</v>
      </c>
      <c r="D19" s="21" t="s">
        <v>1392</v>
      </c>
      <c r="E19" s="21" t="s">
        <v>332</v>
      </c>
      <c r="F19" s="21" t="s">
        <v>1393</v>
      </c>
      <c r="G19" s="21" t="s">
        <v>1394</v>
      </c>
      <c r="H19" s="21" t="s">
        <v>339</v>
      </c>
      <c r="I19" s="21" t="s">
        <v>1006</v>
      </c>
      <c r="J19" s="21" t="s">
        <v>124</v>
      </c>
      <c r="K19" s="21" t="s">
        <v>125</v>
      </c>
      <c r="L19" s="4" t="s">
        <v>345</v>
      </c>
      <c r="M19" s="21" t="s">
        <v>31</v>
      </c>
      <c r="N19" s="23" t="s">
        <v>750</v>
      </c>
      <c r="O19" s="23" t="s">
        <v>159</v>
      </c>
      <c r="P19" s="21" t="s">
        <v>34</v>
      </c>
      <c r="Q19" s="158">
        <v>545</v>
      </c>
      <c r="R19" s="180">
        <v>3.6469999999999998</v>
      </c>
      <c r="S19" s="181">
        <v>40155.33</v>
      </c>
      <c r="T19" s="158">
        <v>798.13300000000004</v>
      </c>
      <c r="U19" s="182">
        <v>0</v>
      </c>
      <c r="V19" s="182">
        <v>0.26120047707508298</v>
      </c>
      <c r="W19" s="182">
        <v>1.5671200365512599E-2</v>
      </c>
    </row>
    <row r="20" spans="1:23">
      <c r="A20" s="4">
        <v>288</v>
      </c>
      <c r="B20" s="4">
        <v>1452</v>
      </c>
      <c r="C20" s="4" t="s">
        <v>1351</v>
      </c>
      <c r="D20" s="4" t="s">
        <v>1352</v>
      </c>
      <c r="E20" s="21" t="s">
        <v>1333</v>
      </c>
      <c r="F20" s="4" t="s">
        <v>1399</v>
      </c>
      <c r="G20" s="4" t="s">
        <v>1400</v>
      </c>
      <c r="H20" s="21" t="s">
        <v>339</v>
      </c>
      <c r="I20" s="21" t="s">
        <v>950</v>
      </c>
      <c r="J20" s="21" t="s">
        <v>30</v>
      </c>
      <c r="K20" s="21" t="s">
        <v>30</v>
      </c>
      <c r="L20" s="4" t="s">
        <v>345</v>
      </c>
      <c r="M20" s="21" t="s">
        <v>65</v>
      </c>
      <c r="N20" s="23" t="s">
        <v>1350</v>
      </c>
      <c r="O20" s="23" t="s">
        <v>159</v>
      </c>
      <c r="P20" s="4" t="s">
        <v>44</v>
      </c>
      <c r="Q20" s="156">
        <v>314000</v>
      </c>
      <c r="R20" s="171">
        <v>1</v>
      </c>
      <c r="S20" s="173">
        <v>268.52999999999997</v>
      </c>
      <c r="T20" s="156">
        <v>843.18399999999997</v>
      </c>
      <c r="U20" s="170">
        <v>6.69E-4</v>
      </c>
      <c r="V20" s="170">
        <v>1</v>
      </c>
      <c r="W20" s="170">
        <v>1.40547205170936E-2</v>
      </c>
    </row>
    <row r="21" spans="1:23">
      <c r="A21" s="4">
        <v>288</v>
      </c>
      <c r="B21" s="4">
        <v>15046</v>
      </c>
      <c r="C21" s="4" t="s">
        <v>1346</v>
      </c>
      <c r="D21" s="4" t="s">
        <v>1347</v>
      </c>
      <c r="E21" s="4" t="s">
        <v>1333</v>
      </c>
      <c r="F21" s="4" t="s">
        <v>1401</v>
      </c>
      <c r="G21" s="4" t="s">
        <v>1402</v>
      </c>
      <c r="H21" s="4" t="s">
        <v>339</v>
      </c>
      <c r="I21" s="4" t="s">
        <v>950</v>
      </c>
      <c r="J21" s="4" t="s">
        <v>30</v>
      </c>
      <c r="K21" s="4" t="s">
        <v>125</v>
      </c>
      <c r="L21" s="4" t="s">
        <v>345</v>
      </c>
      <c r="M21" s="4" t="s">
        <v>65</v>
      </c>
      <c r="N21" s="4" t="s">
        <v>1403</v>
      </c>
      <c r="O21" s="4" t="s">
        <v>159</v>
      </c>
      <c r="P21" s="4" t="s">
        <v>44</v>
      </c>
      <c r="Q21" s="156">
        <v>775050</v>
      </c>
      <c r="R21" s="171">
        <v>1</v>
      </c>
      <c r="S21" s="173">
        <v>232.72</v>
      </c>
      <c r="T21" s="156">
        <v>1803.6959999999999</v>
      </c>
      <c r="U21" s="170">
        <v>3.3526E-2</v>
      </c>
      <c r="V21" s="170">
        <v>0.25856781571543602</v>
      </c>
      <c r="W21" s="170">
        <v>0.106876814302875</v>
      </c>
    </row>
    <row r="22" spans="1:23">
      <c r="A22" s="4">
        <v>288</v>
      </c>
      <c r="B22" s="4">
        <v>15046</v>
      </c>
      <c r="C22" s="4" t="s">
        <v>1404</v>
      </c>
      <c r="D22" s="4" t="s">
        <v>1405</v>
      </c>
      <c r="E22" s="4" t="s">
        <v>1333</v>
      </c>
      <c r="F22" s="4" t="s">
        <v>1406</v>
      </c>
      <c r="G22" s="4" t="s">
        <v>1407</v>
      </c>
      <c r="H22" s="2" t="s">
        <v>339</v>
      </c>
      <c r="I22" s="4" t="s">
        <v>950</v>
      </c>
      <c r="J22" s="4" t="s">
        <v>30</v>
      </c>
      <c r="K22" s="4" t="s">
        <v>125</v>
      </c>
      <c r="L22" s="4" t="s">
        <v>345</v>
      </c>
      <c r="M22" s="4" t="s">
        <v>31</v>
      </c>
      <c r="N22" s="4" t="s">
        <v>1403</v>
      </c>
      <c r="O22" s="4" t="s">
        <v>159</v>
      </c>
      <c r="P22" s="4" t="s">
        <v>44</v>
      </c>
      <c r="Q22" s="156">
        <v>229808</v>
      </c>
      <c r="R22" s="171">
        <v>1</v>
      </c>
      <c r="S22" s="173">
        <v>764.46</v>
      </c>
      <c r="T22" s="156">
        <v>1756.79</v>
      </c>
      <c r="U22" s="170">
        <v>0</v>
      </c>
      <c r="V22" s="170">
        <v>0.25184361640535702</v>
      </c>
      <c r="W22" s="170">
        <v>0.10409742353063101</v>
      </c>
    </row>
    <row r="23" spans="1:23">
      <c r="A23" s="4">
        <v>288</v>
      </c>
      <c r="B23" s="4">
        <v>15046</v>
      </c>
      <c r="C23" s="4" t="s">
        <v>1351</v>
      </c>
      <c r="D23" s="4" t="s">
        <v>1352</v>
      </c>
      <c r="E23" s="4" t="s">
        <v>1333</v>
      </c>
      <c r="F23" s="4" t="s">
        <v>1408</v>
      </c>
      <c r="G23" s="4" t="s">
        <v>1409</v>
      </c>
      <c r="H23" s="2" t="s">
        <v>339</v>
      </c>
      <c r="I23" s="4" t="s">
        <v>950</v>
      </c>
      <c r="J23" s="4" t="s">
        <v>30</v>
      </c>
      <c r="K23" s="4" t="s">
        <v>125</v>
      </c>
      <c r="L23" s="4" t="s">
        <v>345</v>
      </c>
      <c r="M23" s="2" t="s">
        <v>65</v>
      </c>
      <c r="N23" s="4" t="s">
        <v>1403</v>
      </c>
      <c r="O23" s="4" t="s">
        <v>159</v>
      </c>
      <c r="P23" s="4" t="s">
        <v>44</v>
      </c>
      <c r="Q23" s="156">
        <v>577607</v>
      </c>
      <c r="R23" s="171">
        <v>1</v>
      </c>
      <c r="S23" s="173">
        <v>303.32</v>
      </c>
      <c r="T23" s="156">
        <v>1751.998</v>
      </c>
      <c r="U23" s="170">
        <v>0</v>
      </c>
      <c r="V23" s="170">
        <v>0.25115656399221098</v>
      </c>
      <c r="W23" s="170">
        <v>0.103813436240979</v>
      </c>
    </row>
    <row r="24" spans="1:23">
      <c r="A24" s="4">
        <v>288</v>
      </c>
      <c r="B24" s="4">
        <v>15046</v>
      </c>
      <c r="C24" s="4" t="s">
        <v>1357</v>
      </c>
      <c r="D24" s="4" t="s">
        <v>1358</v>
      </c>
      <c r="E24" s="4" t="s">
        <v>1333</v>
      </c>
      <c r="F24" s="4" t="s">
        <v>1410</v>
      </c>
      <c r="G24" s="4" t="s">
        <v>1411</v>
      </c>
      <c r="H24" s="2" t="s">
        <v>339</v>
      </c>
      <c r="I24" s="4" t="s">
        <v>950</v>
      </c>
      <c r="J24" s="4" t="s">
        <v>30</v>
      </c>
      <c r="K24" s="4" t="s">
        <v>125</v>
      </c>
      <c r="L24" s="4" t="s">
        <v>345</v>
      </c>
      <c r="M24" s="2" t="s">
        <v>65</v>
      </c>
      <c r="N24" s="4" t="s">
        <v>1403</v>
      </c>
      <c r="O24" s="4" t="s">
        <v>159</v>
      </c>
      <c r="P24" s="4" t="s">
        <v>44</v>
      </c>
      <c r="Q24" s="156">
        <v>697929</v>
      </c>
      <c r="R24" s="171">
        <v>1</v>
      </c>
      <c r="S24" s="173">
        <v>238.31</v>
      </c>
      <c r="T24" s="156">
        <v>1663.2349999999999</v>
      </c>
      <c r="U24" s="170">
        <v>9.8200000000000002E-4</v>
      </c>
      <c r="V24" s="170">
        <v>0.23843200388699601</v>
      </c>
      <c r="W24" s="170">
        <v>9.8553847209420994E-2</v>
      </c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>
      <selection activeCell="M1" sqref="M1"/>
    </sheetView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166</v>
      </c>
      <c r="E1" s="22" t="s">
        <v>167</v>
      </c>
      <c r="F1" s="22" t="s">
        <v>3</v>
      </c>
      <c r="G1" s="22" t="s">
        <v>4</v>
      </c>
      <c r="H1" s="22" t="s">
        <v>168</v>
      </c>
      <c r="I1" s="22" t="s">
        <v>6</v>
      </c>
      <c r="J1" s="22" t="s">
        <v>7</v>
      </c>
      <c r="K1" s="22" t="s">
        <v>344</v>
      </c>
      <c r="L1" s="22" t="s">
        <v>8</v>
      </c>
      <c r="M1" s="22" t="s">
        <v>1138</v>
      </c>
      <c r="N1" s="22" t="s">
        <v>169</v>
      </c>
      <c r="O1" s="183" t="s">
        <v>1139</v>
      </c>
      <c r="P1" s="22" t="s">
        <v>145</v>
      </c>
      <c r="Q1" s="22" t="s">
        <v>11</v>
      </c>
      <c r="R1" s="172" t="s">
        <v>1140</v>
      </c>
      <c r="S1" s="22" t="s">
        <v>1141</v>
      </c>
      <c r="T1" s="22" t="s">
        <v>17</v>
      </c>
      <c r="U1" s="161" t="s">
        <v>18</v>
      </c>
      <c r="V1" s="172" t="s">
        <v>19</v>
      </c>
      <c r="W1" s="22" t="s">
        <v>20</v>
      </c>
      <c r="X1" s="167" t="s">
        <v>24</v>
      </c>
      <c r="Y1" s="167" t="s">
        <v>25</v>
      </c>
    </row>
    <row r="2" spans="1:25">
      <c r="A2" s="30">
        <v>288</v>
      </c>
      <c r="B2" s="23">
        <v>288</v>
      </c>
      <c r="C2" s="23" t="s">
        <v>1727</v>
      </c>
      <c r="D2" s="23" t="s">
        <v>1728</v>
      </c>
      <c r="E2" s="21" t="s">
        <v>1333</v>
      </c>
      <c r="F2" s="23" t="s">
        <v>2496</v>
      </c>
      <c r="G2" s="23" t="s">
        <v>2497</v>
      </c>
      <c r="H2" s="21" t="s">
        <v>339</v>
      </c>
      <c r="I2" s="21" t="s">
        <v>30</v>
      </c>
      <c r="J2" s="21" t="s">
        <v>30</v>
      </c>
      <c r="K2" s="23" t="s">
        <v>345</v>
      </c>
      <c r="L2" s="21" t="s">
        <v>41</v>
      </c>
      <c r="M2" s="23" t="s">
        <v>1730</v>
      </c>
      <c r="N2" s="23" t="s">
        <v>480</v>
      </c>
      <c r="O2" s="184" t="s">
        <v>2498</v>
      </c>
      <c r="P2" s="23" t="s">
        <v>159</v>
      </c>
      <c r="Q2" s="21" t="s">
        <v>44</v>
      </c>
      <c r="R2" s="181">
        <v>58000</v>
      </c>
      <c r="S2" s="158">
        <v>1</v>
      </c>
      <c r="T2" s="157">
        <v>3897</v>
      </c>
      <c r="U2" s="177">
        <v>1</v>
      </c>
      <c r="V2" s="178">
        <v>3857</v>
      </c>
      <c r="W2" s="157">
        <v>150.30699999999999</v>
      </c>
      <c r="X2" s="176">
        <v>0.58759702168059902</v>
      </c>
      <c r="Y2" s="176">
        <v>6.1947903184374101E-5</v>
      </c>
    </row>
    <row r="3" spans="1:25">
      <c r="A3" s="23">
        <v>288</v>
      </c>
      <c r="B3" s="23">
        <v>288</v>
      </c>
      <c r="C3" s="23" t="s">
        <v>2499</v>
      </c>
      <c r="D3" s="23" t="s">
        <v>2500</v>
      </c>
      <c r="E3" s="21" t="s">
        <v>1333</v>
      </c>
      <c r="F3" s="23" t="s">
        <v>2501</v>
      </c>
      <c r="G3" s="23" t="s">
        <v>2502</v>
      </c>
      <c r="H3" s="21" t="s">
        <v>339</v>
      </c>
      <c r="I3" s="21" t="s">
        <v>30</v>
      </c>
      <c r="J3" s="21" t="s">
        <v>30</v>
      </c>
      <c r="K3" s="23" t="s">
        <v>345</v>
      </c>
      <c r="L3" s="21" t="s">
        <v>65</v>
      </c>
      <c r="M3" s="23" t="s">
        <v>2503</v>
      </c>
      <c r="N3" s="23" t="s">
        <v>480</v>
      </c>
      <c r="O3" s="184" t="s">
        <v>2504</v>
      </c>
      <c r="P3" s="23" t="s">
        <v>159</v>
      </c>
      <c r="Q3" s="21" t="s">
        <v>44</v>
      </c>
      <c r="R3" s="181">
        <v>20</v>
      </c>
      <c r="S3" s="158">
        <v>0</v>
      </c>
      <c r="T3" s="157">
        <v>67875</v>
      </c>
      <c r="U3" s="177">
        <v>1</v>
      </c>
      <c r="V3" s="178">
        <v>20.7</v>
      </c>
      <c r="W3" s="157">
        <v>14.05</v>
      </c>
      <c r="X3" s="176">
        <v>5.4926222169530997E-2</v>
      </c>
      <c r="Y3" s="176">
        <v>5.79064251127376E-6</v>
      </c>
    </row>
    <row r="4" spans="1:25">
      <c r="A4" s="23">
        <v>288</v>
      </c>
      <c r="B4" s="23">
        <v>288</v>
      </c>
      <c r="C4" s="23" t="s">
        <v>2505</v>
      </c>
      <c r="D4" s="23" t="s">
        <v>2506</v>
      </c>
      <c r="E4" s="21" t="s">
        <v>1333</v>
      </c>
      <c r="F4" s="23" t="s">
        <v>2507</v>
      </c>
      <c r="G4" s="23" t="s">
        <v>2508</v>
      </c>
      <c r="H4" s="21" t="s">
        <v>339</v>
      </c>
      <c r="I4" s="21" t="s">
        <v>30</v>
      </c>
      <c r="J4" s="21" t="s">
        <v>30</v>
      </c>
      <c r="K4" s="23" t="s">
        <v>345</v>
      </c>
      <c r="L4" s="21" t="s">
        <v>65</v>
      </c>
      <c r="M4" s="23" t="s">
        <v>2509</v>
      </c>
      <c r="N4" s="23" t="s">
        <v>487</v>
      </c>
      <c r="O4" s="184" t="s">
        <v>2510</v>
      </c>
      <c r="P4" s="23" t="s">
        <v>159</v>
      </c>
      <c r="Q4" s="21" t="s">
        <v>44</v>
      </c>
      <c r="R4" s="181">
        <v>4117.3940000000002</v>
      </c>
      <c r="S4" s="158">
        <v>1</v>
      </c>
      <c r="T4" s="157">
        <v>39714.230000000003</v>
      </c>
      <c r="U4" s="177">
        <v>1</v>
      </c>
      <c r="V4" s="178">
        <v>47</v>
      </c>
      <c r="W4" s="157">
        <v>18.666</v>
      </c>
      <c r="X4" s="176">
        <v>7.2969865501393893E-2</v>
      </c>
      <c r="Y4" s="176">
        <v>7.6929085694281605E-6</v>
      </c>
    </row>
    <row r="5" spans="1:25">
      <c r="A5" s="23">
        <v>288</v>
      </c>
      <c r="B5" s="23">
        <v>288</v>
      </c>
      <c r="C5" s="23" t="s">
        <v>2511</v>
      </c>
      <c r="D5" s="23" t="s">
        <v>2512</v>
      </c>
      <c r="E5" s="21" t="s">
        <v>1333</v>
      </c>
      <c r="F5" s="23" t="s">
        <v>2513</v>
      </c>
      <c r="G5" s="23" t="s">
        <v>2514</v>
      </c>
      <c r="H5" s="21" t="s">
        <v>339</v>
      </c>
      <c r="I5" s="21" t="s">
        <v>124</v>
      </c>
      <c r="J5" s="21" t="s">
        <v>30</v>
      </c>
      <c r="K5" s="23" t="s">
        <v>345</v>
      </c>
      <c r="L5" s="21" t="s">
        <v>65</v>
      </c>
      <c r="M5" s="23" t="s">
        <v>2515</v>
      </c>
      <c r="N5" s="23" t="s">
        <v>455</v>
      </c>
      <c r="O5" s="184" t="s">
        <v>2015</v>
      </c>
      <c r="P5" s="23" t="s">
        <v>159</v>
      </c>
      <c r="Q5" s="21" t="s">
        <v>44</v>
      </c>
      <c r="R5" s="181">
        <v>285</v>
      </c>
      <c r="S5" s="158">
        <v>0</v>
      </c>
      <c r="T5" s="157">
        <v>129250</v>
      </c>
      <c r="U5" s="177">
        <v>1</v>
      </c>
      <c r="V5" s="178">
        <v>52.1</v>
      </c>
      <c r="W5" s="157">
        <v>67.338999999999999</v>
      </c>
      <c r="X5" s="176">
        <v>0.26324965836457598</v>
      </c>
      <c r="Y5" s="176">
        <v>2.7753313492036001E-5</v>
      </c>
    </row>
    <row r="6" spans="1:25">
      <c r="A6" s="23">
        <v>288</v>
      </c>
      <c r="B6" s="23">
        <v>288</v>
      </c>
      <c r="C6" s="23" t="s">
        <v>2516</v>
      </c>
      <c r="D6" s="23" t="s">
        <v>2517</v>
      </c>
      <c r="E6" s="21" t="s">
        <v>1333</v>
      </c>
      <c r="F6" s="23" t="s">
        <v>2518</v>
      </c>
      <c r="G6" s="23" t="s">
        <v>2519</v>
      </c>
      <c r="H6" s="21" t="s">
        <v>339</v>
      </c>
      <c r="I6" s="21" t="s">
        <v>124</v>
      </c>
      <c r="J6" s="21" t="s">
        <v>30</v>
      </c>
      <c r="K6" s="23" t="s">
        <v>345</v>
      </c>
      <c r="L6" s="21" t="s">
        <v>65</v>
      </c>
      <c r="M6" s="23" t="s">
        <v>2520</v>
      </c>
      <c r="N6" s="23" t="s">
        <v>455</v>
      </c>
      <c r="O6" s="184" t="s">
        <v>2504</v>
      </c>
      <c r="P6" s="23" t="s">
        <v>159</v>
      </c>
      <c r="Q6" s="21" t="s">
        <v>44</v>
      </c>
      <c r="R6" s="181">
        <v>946.60154</v>
      </c>
      <c r="S6" s="158">
        <v>0</v>
      </c>
      <c r="T6" s="157">
        <v>52320</v>
      </c>
      <c r="U6" s="177">
        <v>1</v>
      </c>
      <c r="V6" s="178">
        <v>2.9</v>
      </c>
      <c r="W6" s="157">
        <v>1.5169999999999999</v>
      </c>
      <c r="X6" s="176">
        <v>5.9315101021084199E-3</v>
      </c>
      <c r="Y6" s="176">
        <v>6.2533437029958499E-7</v>
      </c>
    </row>
    <row r="7" spans="1:25">
      <c r="A7" s="23">
        <v>288</v>
      </c>
      <c r="B7" s="23">
        <v>288</v>
      </c>
      <c r="C7" s="23" t="s">
        <v>2521</v>
      </c>
      <c r="D7" s="23" t="s">
        <v>2522</v>
      </c>
      <c r="E7" s="21" t="s">
        <v>1333</v>
      </c>
      <c r="F7" s="23" t="s">
        <v>2523</v>
      </c>
      <c r="G7" s="23" t="s">
        <v>2524</v>
      </c>
      <c r="H7" s="21" t="s">
        <v>339</v>
      </c>
      <c r="I7" s="21" t="s">
        <v>124</v>
      </c>
      <c r="J7" s="21" t="s">
        <v>30</v>
      </c>
      <c r="K7" s="23" t="s">
        <v>345</v>
      </c>
      <c r="L7" s="21" t="s">
        <v>65</v>
      </c>
      <c r="M7" s="23" t="s">
        <v>2525</v>
      </c>
      <c r="N7" s="23" t="s">
        <v>497</v>
      </c>
      <c r="O7" s="184" t="s">
        <v>2526</v>
      </c>
      <c r="P7" s="23" t="s">
        <v>159</v>
      </c>
      <c r="Q7" s="21" t="s">
        <v>44</v>
      </c>
      <c r="R7" s="181">
        <v>1415</v>
      </c>
      <c r="S7" s="158">
        <v>0</v>
      </c>
      <c r="T7" s="157">
        <v>11169</v>
      </c>
      <c r="U7" s="177">
        <v>1</v>
      </c>
      <c r="V7" s="178">
        <v>35.1</v>
      </c>
      <c r="W7" s="157">
        <v>3.92</v>
      </c>
      <c r="X7" s="176">
        <v>1.5325722181790799E-2</v>
      </c>
      <c r="Y7" s="176">
        <v>1.6157269674934701E-6</v>
      </c>
    </row>
    <row r="8" spans="1:25">
      <c r="A8" s="23">
        <v>288</v>
      </c>
      <c r="B8" s="23">
        <v>1452</v>
      </c>
      <c r="C8" s="23" t="s">
        <v>2499</v>
      </c>
      <c r="D8" s="23" t="s">
        <v>2500</v>
      </c>
      <c r="E8" s="21" t="s">
        <v>1333</v>
      </c>
      <c r="F8" s="23" t="s">
        <v>2501</v>
      </c>
      <c r="G8" s="23" t="s">
        <v>2502</v>
      </c>
      <c r="H8" s="21" t="s">
        <v>339</v>
      </c>
      <c r="I8" s="21" t="s">
        <v>30</v>
      </c>
      <c r="J8" s="21" t="s">
        <v>30</v>
      </c>
      <c r="K8" s="23" t="s">
        <v>345</v>
      </c>
      <c r="L8" s="21" t="s">
        <v>65</v>
      </c>
      <c r="M8" s="23" t="s">
        <v>2503</v>
      </c>
      <c r="N8" s="23" t="s">
        <v>480</v>
      </c>
      <c r="O8" s="184" t="s">
        <v>2504</v>
      </c>
      <c r="P8" s="23" t="s">
        <v>159</v>
      </c>
      <c r="Q8" s="21" t="s">
        <v>44</v>
      </c>
      <c r="R8" s="181">
        <v>20</v>
      </c>
      <c r="S8" s="158">
        <v>0</v>
      </c>
      <c r="T8" s="157">
        <v>3225</v>
      </c>
      <c r="U8" s="177">
        <v>1</v>
      </c>
      <c r="V8" s="178">
        <v>20.7</v>
      </c>
      <c r="W8" s="157">
        <v>0.66800000000000004</v>
      </c>
      <c r="X8" s="176">
        <v>0.26421194707790102</v>
      </c>
      <c r="Y8" s="176">
        <v>1.11275567654123E-5</v>
      </c>
    </row>
    <row r="9" spans="1:25">
      <c r="A9" s="23">
        <v>288</v>
      </c>
      <c r="B9" s="23">
        <v>1452</v>
      </c>
      <c r="C9" s="23" t="s">
        <v>2505</v>
      </c>
      <c r="D9" s="23" t="s">
        <v>2506</v>
      </c>
      <c r="E9" s="21" t="s">
        <v>1333</v>
      </c>
      <c r="F9" s="23" t="s">
        <v>2507</v>
      </c>
      <c r="G9" s="23" t="s">
        <v>2508</v>
      </c>
      <c r="H9" s="21" t="s">
        <v>339</v>
      </c>
      <c r="I9" s="21" t="s">
        <v>30</v>
      </c>
      <c r="J9" s="21" t="s">
        <v>30</v>
      </c>
      <c r="K9" s="23" t="s">
        <v>345</v>
      </c>
      <c r="L9" s="21" t="s">
        <v>65</v>
      </c>
      <c r="M9" s="23" t="s">
        <v>2509</v>
      </c>
      <c r="N9" s="23" t="s">
        <v>487</v>
      </c>
      <c r="O9" s="184" t="s">
        <v>2510</v>
      </c>
      <c r="P9" s="23" t="s">
        <v>159</v>
      </c>
      <c r="Q9" s="21" t="s">
        <v>44</v>
      </c>
      <c r="R9" s="181">
        <v>4117.3940000000002</v>
      </c>
      <c r="S9" s="158">
        <v>1</v>
      </c>
      <c r="T9" s="157">
        <v>3955.51</v>
      </c>
      <c r="U9" s="177">
        <v>1</v>
      </c>
      <c r="V9" s="178">
        <v>47</v>
      </c>
      <c r="W9" s="157">
        <v>1.859</v>
      </c>
      <c r="X9" s="176">
        <v>0.73578805292209903</v>
      </c>
      <c r="Y9" s="176">
        <v>3.0988467466192297E-5</v>
      </c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166</v>
      </c>
      <c r="E1" s="22" t="s">
        <v>167</v>
      </c>
      <c r="F1" s="22" t="s">
        <v>3</v>
      </c>
      <c r="G1" s="22" t="s">
        <v>4</v>
      </c>
      <c r="H1" s="22" t="s">
        <v>168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169</v>
      </c>
      <c r="N1" s="22" t="s">
        <v>192</v>
      </c>
      <c r="O1" s="22" t="s">
        <v>1139</v>
      </c>
      <c r="P1" s="22" t="s">
        <v>145</v>
      </c>
      <c r="Q1" s="22" t="s">
        <v>11</v>
      </c>
      <c r="R1" s="22" t="s">
        <v>1140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>
      <selection activeCell="H29" sqref="H29"/>
    </sheetView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166</v>
      </c>
      <c r="E1" s="22" t="s">
        <v>167</v>
      </c>
      <c r="F1" s="22" t="s">
        <v>3</v>
      </c>
      <c r="G1" s="22" t="s">
        <v>4</v>
      </c>
      <c r="H1" s="22" t="s">
        <v>168</v>
      </c>
      <c r="I1" s="22" t="s">
        <v>6</v>
      </c>
      <c r="J1" s="22" t="s">
        <v>7</v>
      </c>
      <c r="K1" s="22" t="s">
        <v>8</v>
      </c>
      <c r="L1" s="22" t="s">
        <v>192</v>
      </c>
      <c r="M1" s="22" t="s">
        <v>145</v>
      </c>
      <c r="N1" s="22" t="s">
        <v>11</v>
      </c>
      <c r="O1" s="22" t="s">
        <v>17</v>
      </c>
      <c r="P1" s="161" t="s">
        <v>18</v>
      </c>
      <c r="Q1" s="172" t="s">
        <v>19</v>
      </c>
      <c r="R1" s="22" t="s">
        <v>20</v>
      </c>
      <c r="S1" s="167" t="s">
        <v>24</v>
      </c>
      <c r="T1" s="167" t="s">
        <v>25</v>
      </c>
    </row>
    <row r="2" spans="1:20">
      <c r="A2" s="23">
        <v>288</v>
      </c>
      <c r="B2" s="23">
        <v>288</v>
      </c>
      <c r="C2" s="2" t="s">
        <v>2492</v>
      </c>
      <c r="D2" s="2" t="s">
        <v>2493</v>
      </c>
      <c r="E2" s="21" t="s">
        <v>43</v>
      </c>
      <c r="F2" s="23" t="s">
        <v>2494</v>
      </c>
      <c r="G2" s="23" t="s">
        <v>2495</v>
      </c>
      <c r="H2" s="21" t="s">
        <v>31</v>
      </c>
      <c r="I2" s="21" t="s">
        <v>124</v>
      </c>
      <c r="J2" s="21" t="s">
        <v>125</v>
      </c>
      <c r="K2" s="21" t="s">
        <v>31</v>
      </c>
      <c r="L2" s="23" t="s">
        <v>31</v>
      </c>
      <c r="M2" s="23" t="s">
        <v>159</v>
      </c>
      <c r="N2" s="21" t="s">
        <v>34</v>
      </c>
      <c r="O2" s="157">
        <v>90</v>
      </c>
      <c r="P2" s="177">
        <v>3.6469999999999998</v>
      </c>
      <c r="Q2" s="178">
        <v>5935.75</v>
      </c>
      <c r="R2" s="157">
        <v>-3600.6469999999999</v>
      </c>
      <c r="S2" s="176">
        <v>1</v>
      </c>
      <c r="T2" s="176">
        <v>-1.4839768013167E-3</v>
      </c>
    </row>
    <row r="3" spans="1:20">
      <c r="A3" s="23">
        <v>288</v>
      </c>
      <c r="B3" s="23">
        <v>1452</v>
      </c>
      <c r="C3" s="2" t="s">
        <v>2492</v>
      </c>
      <c r="D3" s="2" t="s">
        <v>2493</v>
      </c>
      <c r="E3" s="21" t="s">
        <v>43</v>
      </c>
      <c r="F3" s="23" t="s">
        <v>2494</v>
      </c>
      <c r="G3" s="23" t="s">
        <v>2495</v>
      </c>
      <c r="H3" s="21" t="s">
        <v>31</v>
      </c>
      <c r="I3" s="21" t="s">
        <v>124</v>
      </c>
      <c r="J3" s="21" t="s">
        <v>125</v>
      </c>
      <c r="K3" s="21" t="s">
        <v>31</v>
      </c>
      <c r="L3" s="23" t="s">
        <v>31</v>
      </c>
      <c r="M3" s="23" t="s">
        <v>159</v>
      </c>
      <c r="N3" s="21" t="s">
        <v>34</v>
      </c>
      <c r="O3" s="157">
        <v>11</v>
      </c>
      <c r="P3" s="177">
        <v>3.6469999999999998</v>
      </c>
      <c r="Q3" s="178">
        <v>5935.75</v>
      </c>
      <c r="R3" s="157">
        <v>-398.87099999999998</v>
      </c>
      <c r="S3" s="176">
        <v>1</v>
      </c>
      <c r="T3" s="176">
        <v>-6.6486338909558101E-3</v>
      </c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D3" sqref="AD3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7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166</v>
      </c>
      <c r="E1" s="22" t="s">
        <v>167</v>
      </c>
      <c r="F1" s="22" t="s">
        <v>3</v>
      </c>
      <c r="G1" s="22" t="s">
        <v>4</v>
      </c>
      <c r="H1" s="22" t="s">
        <v>168</v>
      </c>
      <c r="I1" s="22" t="s">
        <v>5</v>
      </c>
      <c r="J1" s="22" t="s">
        <v>6</v>
      </c>
      <c r="K1" s="22" t="s">
        <v>7</v>
      </c>
      <c r="L1" s="22" t="s">
        <v>344</v>
      </c>
      <c r="M1" s="22" t="s">
        <v>8</v>
      </c>
      <c r="N1" s="22" t="s">
        <v>192</v>
      </c>
      <c r="O1" s="22" t="s">
        <v>145</v>
      </c>
      <c r="P1" s="22" t="s">
        <v>12</v>
      </c>
      <c r="Q1" s="163" t="s">
        <v>14</v>
      </c>
      <c r="R1" s="167" t="s">
        <v>15</v>
      </c>
      <c r="S1" s="22" t="s">
        <v>9</v>
      </c>
      <c r="T1" s="22" t="s">
        <v>10</v>
      </c>
      <c r="U1" s="22" t="s">
        <v>193</v>
      </c>
      <c r="V1" s="22" t="s">
        <v>11</v>
      </c>
      <c r="W1" s="22" t="s">
        <v>17</v>
      </c>
      <c r="X1" s="161" t="s">
        <v>18</v>
      </c>
      <c r="Y1" s="172" t="s">
        <v>19</v>
      </c>
      <c r="Z1" s="22" t="s">
        <v>20</v>
      </c>
      <c r="AA1" s="167" t="s">
        <v>24</v>
      </c>
      <c r="AB1" s="167" t="s">
        <v>25</v>
      </c>
    </row>
    <row r="2" spans="1:28">
      <c r="A2" s="23">
        <v>288</v>
      </c>
      <c r="B2" s="23">
        <v>288</v>
      </c>
      <c r="C2" s="23" t="s">
        <v>2771</v>
      </c>
      <c r="D2" s="23" t="s">
        <v>2772</v>
      </c>
      <c r="E2" s="21" t="s">
        <v>1333</v>
      </c>
      <c r="F2" s="23" t="s">
        <v>2773</v>
      </c>
      <c r="G2" s="23" t="s">
        <v>2774</v>
      </c>
      <c r="H2" s="21" t="s">
        <v>339</v>
      </c>
      <c r="I2" s="23" t="s">
        <v>1014</v>
      </c>
      <c r="J2" s="21" t="s">
        <v>30</v>
      </c>
      <c r="K2" s="21" t="s">
        <v>30</v>
      </c>
      <c r="L2" s="23" t="s">
        <v>345</v>
      </c>
      <c r="M2" s="21" t="s">
        <v>65</v>
      </c>
      <c r="N2" s="23" t="s">
        <v>762</v>
      </c>
      <c r="O2" s="23" t="s">
        <v>159</v>
      </c>
      <c r="P2" s="157">
        <v>3.012</v>
      </c>
      <c r="Q2" s="175">
        <v>5.0000000000000001E-4</v>
      </c>
      <c r="R2" s="176">
        <v>2.3939999999999999E-2</v>
      </c>
      <c r="S2" s="23" t="s">
        <v>132</v>
      </c>
      <c r="T2" s="23" t="s">
        <v>431</v>
      </c>
      <c r="U2" s="23" t="s">
        <v>424</v>
      </c>
      <c r="V2" s="21" t="s">
        <v>44</v>
      </c>
      <c r="W2" s="157">
        <v>1282272.8400000001</v>
      </c>
      <c r="X2" s="177">
        <v>1</v>
      </c>
      <c r="Y2" s="178">
        <v>106.76</v>
      </c>
      <c r="Z2" s="157">
        <v>1368.954</v>
      </c>
      <c r="AA2" s="176">
        <v>1</v>
      </c>
      <c r="AB2" s="176">
        <v>5.6420323882930496E-4</v>
      </c>
    </row>
    <row r="3" spans="1:28">
      <c r="A3" s="23">
        <v>288</v>
      </c>
      <c r="B3" s="23">
        <v>1451</v>
      </c>
      <c r="C3" s="23" t="s">
        <v>2771</v>
      </c>
      <c r="D3" s="23" t="s">
        <v>2772</v>
      </c>
      <c r="E3" s="21" t="s">
        <v>1333</v>
      </c>
      <c r="F3" s="23" t="s">
        <v>2773</v>
      </c>
      <c r="G3" s="23" t="s">
        <v>2774</v>
      </c>
      <c r="H3" s="21" t="s">
        <v>339</v>
      </c>
      <c r="I3" s="23" t="s">
        <v>1014</v>
      </c>
      <c r="J3" s="21" t="s">
        <v>30</v>
      </c>
      <c r="K3" s="21" t="s">
        <v>30</v>
      </c>
      <c r="L3" s="23" t="s">
        <v>345</v>
      </c>
      <c r="M3" s="21" t="s">
        <v>65</v>
      </c>
      <c r="N3" s="23" t="s">
        <v>762</v>
      </c>
      <c r="O3" s="23" t="s">
        <v>159</v>
      </c>
      <c r="P3" s="157">
        <v>3.012</v>
      </c>
      <c r="Q3" s="175">
        <v>5.0000000000000001E-4</v>
      </c>
      <c r="R3" s="176">
        <v>2.3939999999999999E-2</v>
      </c>
      <c r="S3" s="23" t="s">
        <v>132</v>
      </c>
      <c r="T3" s="23" t="s">
        <v>431</v>
      </c>
      <c r="U3" s="23" t="s">
        <v>424</v>
      </c>
      <c r="V3" s="21" t="s">
        <v>44</v>
      </c>
      <c r="W3" s="157">
        <v>90363.65</v>
      </c>
      <c r="X3" s="177">
        <v>1</v>
      </c>
      <c r="Y3" s="178">
        <v>106.76</v>
      </c>
      <c r="Z3" s="157">
        <v>96.471999999999994</v>
      </c>
      <c r="AA3" s="176">
        <v>1</v>
      </c>
      <c r="AB3" s="176">
        <v>1.8942143759905299E-3</v>
      </c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0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0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0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0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0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0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0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0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0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0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0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0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0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0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0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0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6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168</v>
      </c>
      <c r="G1" s="22" t="s">
        <v>5</v>
      </c>
      <c r="H1" s="22" t="s">
        <v>6</v>
      </c>
      <c r="I1" s="22" t="s">
        <v>7</v>
      </c>
      <c r="J1" s="22" t="s">
        <v>177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5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0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0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0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49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0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0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0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0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0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0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0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0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0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0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0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0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0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0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7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177</v>
      </c>
      <c r="G1" s="22" t="s">
        <v>12</v>
      </c>
      <c r="H1" s="22" t="s">
        <v>771</v>
      </c>
      <c r="I1" s="22" t="s">
        <v>13</v>
      </c>
      <c r="J1" s="145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0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0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0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0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0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0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0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0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0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0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0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0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0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0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0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0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0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0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1143</v>
      </c>
      <c r="B1" s="22" t="s">
        <v>1</v>
      </c>
      <c r="C1" s="22" t="s">
        <v>5</v>
      </c>
      <c r="D1" s="22" t="s">
        <v>1144</v>
      </c>
      <c r="E1" s="22" t="s">
        <v>1145</v>
      </c>
      <c r="F1" s="22" t="s">
        <v>1146</v>
      </c>
      <c r="G1" s="22" t="s">
        <v>25</v>
      </c>
      <c r="H1" s="11"/>
    </row>
    <row r="2" spans="1:8">
      <c r="A2" s="23"/>
      <c r="B2" s="23"/>
      <c r="C2" s="23"/>
      <c r="D2" s="127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166</v>
      </c>
      <c r="E1" s="22" t="s">
        <v>167</v>
      </c>
      <c r="F1" s="22" t="s">
        <v>3</v>
      </c>
      <c r="G1" s="22" t="s">
        <v>4</v>
      </c>
      <c r="H1" s="22" t="s">
        <v>168</v>
      </c>
      <c r="I1" s="22" t="s">
        <v>5</v>
      </c>
      <c r="J1" s="22" t="s">
        <v>6</v>
      </c>
      <c r="K1" s="22" t="s">
        <v>7</v>
      </c>
      <c r="L1" s="22" t="s">
        <v>169</v>
      </c>
      <c r="M1" s="22" t="s">
        <v>145</v>
      </c>
      <c r="N1" s="22" t="s">
        <v>177</v>
      </c>
      <c r="O1" s="22" t="s">
        <v>9</v>
      </c>
      <c r="P1" s="22" t="s">
        <v>10</v>
      </c>
      <c r="Q1" s="22" t="s">
        <v>193</v>
      </c>
      <c r="R1" s="22" t="s">
        <v>11</v>
      </c>
      <c r="S1" s="22" t="s">
        <v>12</v>
      </c>
      <c r="T1" s="22" t="s">
        <v>771</v>
      </c>
      <c r="U1" s="22" t="s">
        <v>928</v>
      </c>
      <c r="V1" s="22" t="s">
        <v>13</v>
      </c>
      <c r="W1" s="22" t="s">
        <v>14</v>
      </c>
      <c r="X1" s="22" t="s">
        <v>15</v>
      </c>
      <c r="Y1" s="22" t="s">
        <v>428</v>
      </c>
      <c r="Z1" s="22" t="s">
        <v>849</v>
      </c>
      <c r="AA1" s="22" t="s">
        <v>170</v>
      </c>
      <c r="AB1" s="22" t="s">
        <v>171</v>
      </c>
      <c r="AC1" s="22" t="s">
        <v>183</v>
      </c>
      <c r="AD1" s="22" t="s">
        <v>154</v>
      </c>
      <c r="AE1" s="22" t="s">
        <v>172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185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U1" zoomScale="70" zoomScaleNormal="70" workbookViewId="0">
      <selection activeCell="AF45" sqref="AF4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166</v>
      </c>
      <c r="E1" s="22" t="s">
        <v>167</v>
      </c>
      <c r="F1" s="22" t="s">
        <v>3</v>
      </c>
      <c r="G1" s="22" t="s">
        <v>4</v>
      </c>
      <c r="H1" s="22" t="s">
        <v>168</v>
      </c>
      <c r="I1" s="22" t="s">
        <v>5</v>
      </c>
      <c r="J1" s="22" t="s">
        <v>6</v>
      </c>
      <c r="K1" s="22" t="s">
        <v>7</v>
      </c>
      <c r="L1" s="22" t="s">
        <v>344</v>
      </c>
      <c r="M1" s="22" t="s">
        <v>169</v>
      </c>
      <c r="N1" s="22" t="s">
        <v>145</v>
      </c>
      <c r="O1" s="183" t="s">
        <v>177</v>
      </c>
      <c r="P1" s="22" t="s">
        <v>9</v>
      </c>
      <c r="Q1" s="22" t="s">
        <v>10</v>
      </c>
      <c r="R1" s="22" t="s">
        <v>193</v>
      </c>
      <c r="S1" s="22" t="s">
        <v>11</v>
      </c>
      <c r="T1" s="22" t="s">
        <v>12</v>
      </c>
      <c r="U1" s="22" t="s">
        <v>13</v>
      </c>
      <c r="V1" s="167" t="s">
        <v>15</v>
      </c>
      <c r="W1" s="167" t="s">
        <v>14</v>
      </c>
      <c r="X1" s="22" t="s">
        <v>428</v>
      </c>
      <c r="Y1" s="22" t="s">
        <v>849</v>
      </c>
      <c r="Z1" s="22" t="s">
        <v>170</v>
      </c>
      <c r="AA1" s="22" t="s">
        <v>171</v>
      </c>
      <c r="AB1" s="183" t="s">
        <v>154</v>
      </c>
      <c r="AC1" s="183" t="s">
        <v>172</v>
      </c>
      <c r="AD1" s="22" t="s">
        <v>17</v>
      </c>
      <c r="AE1" s="161" t="s">
        <v>18</v>
      </c>
      <c r="AF1" s="172" t="s">
        <v>19</v>
      </c>
      <c r="AG1" s="22" t="s">
        <v>20</v>
      </c>
      <c r="AH1" s="22" t="s">
        <v>21</v>
      </c>
      <c r="AI1" s="22" t="s">
        <v>185</v>
      </c>
      <c r="AJ1" s="22" t="s">
        <v>22</v>
      </c>
      <c r="AK1" s="167" t="s">
        <v>24</v>
      </c>
      <c r="AL1" s="167" t="s">
        <v>25</v>
      </c>
    </row>
    <row r="2" spans="1:38">
      <c r="A2" s="2">
        <v>288</v>
      </c>
      <c r="B2" s="23">
        <v>288</v>
      </c>
      <c r="C2" s="23" t="s">
        <v>2663</v>
      </c>
      <c r="D2" s="23" t="s">
        <v>2664</v>
      </c>
      <c r="E2" s="21" t="s">
        <v>1333</v>
      </c>
      <c r="F2" s="23" t="s">
        <v>2702</v>
      </c>
      <c r="G2" s="23" t="s">
        <v>2703</v>
      </c>
      <c r="H2" s="23" t="s">
        <v>43</v>
      </c>
      <c r="I2" s="23" t="s">
        <v>774</v>
      </c>
      <c r="J2" s="21" t="s">
        <v>30</v>
      </c>
      <c r="K2" s="21" t="s">
        <v>30</v>
      </c>
      <c r="L2" s="23" t="s">
        <v>31</v>
      </c>
      <c r="M2" s="23" t="s">
        <v>455</v>
      </c>
      <c r="N2" s="23" t="s">
        <v>159</v>
      </c>
      <c r="O2" s="184" t="s">
        <v>2547</v>
      </c>
      <c r="P2" s="23" t="s">
        <v>1325</v>
      </c>
      <c r="Q2" s="23" t="s">
        <v>427</v>
      </c>
      <c r="R2" s="23" t="s">
        <v>427</v>
      </c>
      <c r="S2" s="21" t="s">
        <v>44</v>
      </c>
      <c r="T2" s="157">
        <v>0.01</v>
      </c>
      <c r="U2" s="23" t="s">
        <v>2704</v>
      </c>
      <c r="V2" s="176">
        <v>1E-4</v>
      </c>
      <c r="W2" s="168">
        <v>3.5000000000000003E-2</v>
      </c>
      <c r="X2" s="21" t="s">
        <v>430</v>
      </c>
      <c r="Y2" s="21" t="s">
        <v>159</v>
      </c>
      <c r="Z2" s="23" t="s">
        <v>31</v>
      </c>
      <c r="AA2" s="23"/>
      <c r="AB2" s="185" t="s">
        <v>160</v>
      </c>
      <c r="AC2" s="23"/>
      <c r="AD2" s="157">
        <v>1370500</v>
      </c>
      <c r="AE2" s="177">
        <v>1</v>
      </c>
      <c r="AF2" s="178">
        <v>0</v>
      </c>
      <c r="AG2" s="157">
        <v>1E-3</v>
      </c>
      <c r="AH2" s="23"/>
      <c r="AI2" s="30"/>
      <c r="AJ2" s="23" t="s">
        <v>36</v>
      </c>
      <c r="AK2" s="168">
        <v>1.3127227243704401E-7</v>
      </c>
      <c r="AL2" s="168">
        <v>5.6484021043945799E-10</v>
      </c>
    </row>
    <row r="3" spans="1:38">
      <c r="A3" s="23">
        <v>288</v>
      </c>
      <c r="B3" s="23">
        <v>288</v>
      </c>
      <c r="C3" s="23" t="s">
        <v>2705</v>
      </c>
      <c r="D3" s="23" t="s">
        <v>2706</v>
      </c>
      <c r="E3" s="21" t="s">
        <v>1333</v>
      </c>
      <c r="F3" s="23" t="s">
        <v>2707</v>
      </c>
      <c r="G3" s="19" t="s">
        <v>2708</v>
      </c>
      <c r="H3" s="23" t="s">
        <v>339</v>
      </c>
      <c r="I3" s="23" t="s">
        <v>31</v>
      </c>
      <c r="J3" s="21" t="s">
        <v>30</v>
      </c>
      <c r="K3" s="21" t="s">
        <v>30</v>
      </c>
      <c r="L3" s="23" t="s">
        <v>346</v>
      </c>
      <c r="M3" s="23" t="s">
        <v>469</v>
      </c>
      <c r="N3" s="23" t="s">
        <v>159</v>
      </c>
      <c r="O3" s="184" t="s">
        <v>2709</v>
      </c>
      <c r="P3" s="23" t="s">
        <v>2710</v>
      </c>
      <c r="Q3" s="23" t="s">
        <v>433</v>
      </c>
      <c r="R3" s="23" t="s">
        <v>424</v>
      </c>
      <c r="S3" s="21" t="s">
        <v>44</v>
      </c>
      <c r="T3" s="157">
        <v>0.01</v>
      </c>
      <c r="U3" s="23" t="s">
        <v>2711</v>
      </c>
      <c r="V3" s="176">
        <v>1E-4</v>
      </c>
      <c r="W3" s="168">
        <v>0.06</v>
      </c>
      <c r="X3" s="21" t="s">
        <v>430</v>
      </c>
      <c r="Y3" s="21" t="s">
        <v>159</v>
      </c>
      <c r="Z3" s="23" t="s">
        <v>910</v>
      </c>
      <c r="AA3" s="23"/>
      <c r="AB3" s="185" t="s">
        <v>2712</v>
      </c>
      <c r="AC3" s="23"/>
      <c r="AD3" s="157">
        <v>0.08</v>
      </c>
      <c r="AE3" s="177">
        <v>1</v>
      </c>
      <c r="AF3" s="178">
        <v>0</v>
      </c>
      <c r="AG3" s="157">
        <v>0</v>
      </c>
      <c r="AH3" s="23"/>
      <c r="AI3" s="23"/>
      <c r="AJ3" s="23" t="s">
        <v>36</v>
      </c>
      <c r="AK3" s="168">
        <v>7.6627375373700006E-17</v>
      </c>
      <c r="AL3" s="168">
        <v>3.2971336620000001E-19</v>
      </c>
    </row>
    <row r="4" spans="1:38">
      <c r="A4" s="23">
        <v>288</v>
      </c>
      <c r="B4" s="23">
        <v>288</v>
      </c>
      <c r="C4" s="23" t="s">
        <v>2677</v>
      </c>
      <c r="D4" s="23" t="s">
        <v>2678</v>
      </c>
      <c r="E4" s="21" t="s">
        <v>1333</v>
      </c>
      <c r="F4" s="23" t="s">
        <v>2713</v>
      </c>
      <c r="G4" s="23" t="s">
        <v>2714</v>
      </c>
      <c r="H4" s="23" t="s">
        <v>339</v>
      </c>
      <c r="I4" s="23" t="s">
        <v>773</v>
      </c>
      <c r="J4" s="21" t="s">
        <v>30</v>
      </c>
      <c r="K4" s="21" t="s">
        <v>30</v>
      </c>
      <c r="L4" s="23" t="s">
        <v>31</v>
      </c>
      <c r="M4" s="23" t="s">
        <v>467</v>
      </c>
      <c r="N4" s="23" t="s">
        <v>159</v>
      </c>
      <c r="O4" s="185" t="s">
        <v>2715</v>
      </c>
      <c r="P4" s="23" t="s">
        <v>2716</v>
      </c>
      <c r="Q4" s="23" t="s">
        <v>431</v>
      </c>
      <c r="R4" s="23" t="s">
        <v>424</v>
      </c>
      <c r="S4" s="23" t="s">
        <v>44</v>
      </c>
      <c r="T4" s="157">
        <v>0.01</v>
      </c>
      <c r="U4" s="23" t="s">
        <v>2717</v>
      </c>
      <c r="V4" s="176">
        <v>0.12180000000000001</v>
      </c>
      <c r="W4" s="168">
        <v>5.3499999999999999E-2</v>
      </c>
      <c r="X4" s="21" t="s">
        <v>429</v>
      </c>
      <c r="Y4" s="21" t="s">
        <v>159</v>
      </c>
      <c r="Z4" s="23" t="s">
        <v>910</v>
      </c>
      <c r="AA4" s="23" t="s">
        <v>915</v>
      </c>
      <c r="AB4" s="185" t="s">
        <v>160</v>
      </c>
      <c r="AD4" s="155">
        <v>2891751.62</v>
      </c>
      <c r="AE4" s="177">
        <v>1</v>
      </c>
      <c r="AF4" s="178">
        <v>15.04</v>
      </c>
      <c r="AG4" s="157">
        <v>434.91899999999998</v>
      </c>
      <c r="AH4" s="23"/>
      <c r="AI4" s="23"/>
      <c r="AJ4" s="23" t="s">
        <v>36</v>
      </c>
      <c r="AK4" s="168">
        <v>4.1658419332161897E-2</v>
      </c>
      <c r="AL4" s="168">
        <v>1.79248442228638E-4</v>
      </c>
    </row>
    <row r="5" spans="1:38">
      <c r="A5" s="23">
        <v>288</v>
      </c>
      <c r="B5" s="23">
        <v>288</v>
      </c>
      <c r="C5" s="23" t="s">
        <v>2718</v>
      </c>
      <c r="D5" s="23" t="s">
        <v>2719</v>
      </c>
      <c r="E5" s="21" t="s">
        <v>1333</v>
      </c>
      <c r="F5" s="23" t="s">
        <v>2720</v>
      </c>
      <c r="G5" s="23" t="s">
        <v>2721</v>
      </c>
      <c r="H5" s="23" t="s">
        <v>43</v>
      </c>
      <c r="I5" s="23" t="s">
        <v>773</v>
      </c>
      <c r="J5" s="21" t="s">
        <v>30</v>
      </c>
      <c r="K5" s="21" t="s">
        <v>30</v>
      </c>
      <c r="L5" s="23" t="s">
        <v>31</v>
      </c>
      <c r="M5" s="23" t="s">
        <v>472</v>
      </c>
      <c r="N5" s="23" t="s">
        <v>159</v>
      </c>
      <c r="O5" s="184" t="s">
        <v>2547</v>
      </c>
      <c r="P5" s="23" t="s">
        <v>2716</v>
      </c>
      <c r="Q5" s="23" t="s">
        <v>431</v>
      </c>
      <c r="R5" s="23" t="s">
        <v>424</v>
      </c>
      <c r="S5" s="21" t="s">
        <v>44</v>
      </c>
      <c r="T5" s="157">
        <v>1E-3</v>
      </c>
      <c r="U5" s="23" t="s">
        <v>2722</v>
      </c>
      <c r="V5" s="176">
        <v>0</v>
      </c>
      <c r="W5" s="168">
        <v>6.5000000000000002E-2</v>
      </c>
      <c r="X5" s="21" t="s">
        <v>429</v>
      </c>
      <c r="Y5" s="21" t="s">
        <v>358</v>
      </c>
      <c r="Z5" s="23" t="s">
        <v>31</v>
      </c>
      <c r="AA5" s="23" t="s">
        <v>915</v>
      </c>
      <c r="AB5" s="185" t="s">
        <v>2701</v>
      </c>
      <c r="AC5" s="23"/>
      <c r="AD5" s="157">
        <v>490840.41</v>
      </c>
      <c r="AE5" s="177">
        <v>1</v>
      </c>
      <c r="AF5" s="178">
        <v>0</v>
      </c>
      <c r="AG5" s="155">
        <v>0</v>
      </c>
      <c r="AJ5" s="23" t="s">
        <v>36</v>
      </c>
      <c r="AK5" s="168">
        <v>4.7014765432054296E-10</v>
      </c>
      <c r="AL5" s="168">
        <v>2.02295804798679E-12</v>
      </c>
    </row>
    <row r="6" spans="1:38">
      <c r="A6" s="23">
        <v>288</v>
      </c>
      <c r="B6" s="23">
        <v>288</v>
      </c>
      <c r="C6" s="23" t="s">
        <v>2723</v>
      </c>
      <c r="D6" s="23" t="s">
        <v>2724</v>
      </c>
      <c r="E6" s="21" t="s">
        <v>1333</v>
      </c>
      <c r="F6" s="23" t="s">
        <v>2725</v>
      </c>
      <c r="G6" s="19" t="s">
        <v>2726</v>
      </c>
      <c r="H6" s="23" t="s">
        <v>339</v>
      </c>
      <c r="I6" s="23" t="s">
        <v>773</v>
      </c>
      <c r="J6" s="21" t="s">
        <v>30</v>
      </c>
      <c r="K6" s="21" t="s">
        <v>30</v>
      </c>
      <c r="L6" s="23" t="s">
        <v>31</v>
      </c>
      <c r="M6" s="23" t="s">
        <v>495</v>
      </c>
      <c r="N6" s="23" t="s">
        <v>159</v>
      </c>
      <c r="O6" s="184" t="s">
        <v>2547</v>
      </c>
      <c r="P6" s="23" t="s">
        <v>1968</v>
      </c>
      <c r="Q6" s="23" t="s">
        <v>431</v>
      </c>
      <c r="R6" s="23" t="s">
        <v>424</v>
      </c>
      <c r="S6" s="21" t="s">
        <v>44</v>
      </c>
      <c r="T6" s="157">
        <v>0.43</v>
      </c>
      <c r="U6" s="23" t="s">
        <v>2727</v>
      </c>
      <c r="V6" s="176">
        <v>2.3900000000000001E-2</v>
      </c>
      <c r="W6" s="168">
        <v>7.7499999999999999E-2</v>
      </c>
      <c r="X6" s="21" t="s">
        <v>430</v>
      </c>
      <c r="Y6" s="21" t="s">
        <v>159</v>
      </c>
      <c r="Z6" s="23" t="s">
        <v>912</v>
      </c>
      <c r="AA6" s="23" t="s">
        <v>1329</v>
      </c>
      <c r="AB6" s="185" t="s">
        <v>160</v>
      </c>
      <c r="AC6" s="204">
        <v>45657</v>
      </c>
      <c r="AD6" s="157">
        <v>82606.820000000007</v>
      </c>
      <c r="AE6" s="177">
        <v>1</v>
      </c>
      <c r="AF6" s="178">
        <v>147.75</v>
      </c>
      <c r="AG6" s="155">
        <v>122.05200000000001</v>
      </c>
      <c r="AJ6" s="23" t="s">
        <v>36</v>
      </c>
      <c r="AK6" s="168">
        <v>1.1690614964058601E-2</v>
      </c>
      <c r="AL6" s="168">
        <v>5.03025451900545E-5</v>
      </c>
    </row>
    <row r="7" spans="1:38">
      <c r="A7" s="23">
        <v>288</v>
      </c>
      <c r="B7" s="23">
        <v>288</v>
      </c>
      <c r="C7" s="23" t="s">
        <v>2728</v>
      </c>
      <c r="D7" s="23" t="s">
        <v>2729</v>
      </c>
      <c r="E7" s="21" t="s">
        <v>1333</v>
      </c>
      <c r="F7" s="23" t="s">
        <v>2730</v>
      </c>
      <c r="G7" s="23" t="s">
        <v>2731</v>
      </c>
      <c r="H7" s="23" t="s">
        <v>339</v>
      </c>
      <c r="I7" s="23" t="s">
        <v>986</v>
      </c>
      <c r="J7" s="21" t="s">
        <v>30</v>
      </c>
      <c r="K7" s="21" t="s">
        <v>30</v>
      </c>
      <c r="L7" s="23" t="s">
        <v>346</v>
      </c>
      <c r="M7" s="23" t="s">
        <v>467</v>
      </c>
      <c r="N7" s="23" t="s">
        <v>159</v>
      </c>
      <c r="O7" s="184" t="s">
        <v>2732</v>
      </c>
      <c r="P7" s="23" t="s">
        <v>1997</v>
      </c>
      <c r="Q7" s="23" t="s">
        <v>449</v>
      </c>
      <c r="R7" s="23" t="s">
        <v>424</v>
      </c>
      <c r="S7" s="21" t="s">
        <v>44</v>
      </c>
      <c r="T7" s="157">
        <v>2.0499999999999998</v>
      </c>
      <c r="U7" s="23" t="s">
        <v>2042</v>
      </c>
      <c r="V7" s="176">
        <v>5.6500000000000002E-2</v>
      </c>
      <c r="W7" s="168">
        <v>4.4699999999999997E-2</v>
      </c>
      <c r="X7" s="21" t="s">
        <v>430</v>
      </c>
      <c r="Y7" s="21" t="s">
        <v>159</v>
      </c>
      <c r="Z7" s="23" t="s">
        <v>912</v>
      </c>
      <c r="AA7" s="23" t="s">
        <v>914</v>
      </c>
      <c r="AB7" s="185" t="s">
        <v>160</v>
      </c>
      <c r="AC7" s="23"/>
      <c r="AD7" s="157">
        <v>888236.42</v>
      </c>
      <c r="AE7" s="177">
        <v>1</v>
      </c>
      <c r="AF7" s="178">
        <v>97.83</v>
      </c>
      <c r="AG7" s="157">
        <v>868.96199999999999</v>
      </c>
      <c r="AH7" s="23"/>
      <c r="AI7" s="23"/>
      <c r="AJ7" s="23" t="s">
        <v>36</v>
      </c>
      <c r="AK7" s="168">
        <v>8.3232816976150897E-2</v>
      </c>
      <c r="AL7" s="168">
        <v>3.5813535473627701E-4</v>
      </c>
    </row>
    <row r="8" spans="1:38">
      <c r="A8" s="23">
        <v>288</v>
      </c>
      <c r="B8" s="23">
        <v>288</v>
      </c>
      <c r="C8" s="23" t="s">
        <v>2733</v>
      </c>
      <c r="D8" s="23" t="s">
        <v>2734</v>
      </c>
      <c r="E8" s="21" t="s">
        <v>1333</v>
      </c>
      <c r="F8" s="23" t="s">
        <v>2735</v>
      </c>
      <c r="G8" s="23" t="s">
        <v>2736</v>
      </c>
      <c r="H8" s="23" t="s">
        <v>43</v>
      </c>
      <c r="I8" s="23" t="s">
        <v>986</v>
      </c>
      <c r="J8" s="21" t="s">
        <v>30</v>
      </c>
      <c r="K8" s="21" t="s">
        <v>30</v>
      </c>
      <c r="L8" s="23" t="s">
        <v>31</v>
      </c>
      <c r="M8" s="23" t="s">
        <v>479</v>
      </c>
      <c r="N8" s="23" t="s">
        <v>159</v>
      </c>
      <c r="O8" s="184" t="s">
        <v>2547</v>
      </c>
      <c r="P8" s="23" t="s">
        <v>1325</v>
      </c>
      <c r="Q8" s="23" t="s">
        <v>427</v>
      </c>
      <c r="R8" s="23" t="s">
        <v>427</v>
      </c>
      <c r="S8" s="21" t="s">
        <v>44</v>
      </c>
      <c r="T8" s="157">
        <v>0</v>
      </c>
      <c r="U8" s="23" t="s">
        <v>2737</v>
      </c>
      <c r="V8" s="176">
        <v>0</v>
      </c>
      <c r="W8" s="168">
        <v>0</v>
      </c>
      <c r="X8" s="21" t="s">
        <v>429</v>
      </c>
      <c r="Y8" s="21" t="s">
        <v>358</v>
      </c>
      <c r="Z8" s="23" t="s">
        <v>31</v>
      </c>
      <c r="AA8" s="23" t="s">
        <v>915</v>
      </c>
      <c r="AB8" s="185" t="s">
        <v>2738</v>
      </c>
      <c r="AC8" s="204">
        <v>45657</v>
      </c>
      <c r="AD8" s="157">
        <v>167923.85</v>
      </c>
      <c r="AE8" s="177">
        <v>1</v>
      </c>
      <c r="AF8" s="178">
        <v>0</v>
      </c>
      <c r="AG8" s="157">
        <v>0</v>
      </c>
      <c r="AH8" s="23"/>
      <c r="AI8" s="23"/>
      <c r="AJ8" s="23" t="s">
        <v>36</v>
      </c>
      <c r="AK8" s="168">
        <v>1.6084454860180499E-10</v>
      </c>
      <c r="AL8" s="168">
        <v>6.9208422307044202E-13</v>
      </c>
    </row>
    <row r="9" spans="1:38">
      <c r="A9" s="23">
        <v>288</v>
      </c>
      <c r="B9" s="23">
        <v>288</v>
      </c>
      <c r="C9" s="23" t="s">
        <v>2733</v>
      </c>
      <c r="D9" s="23" t="s">
        <v>2734</v>
      </c>
      <c r="E9" s="21" t="s">
        <v>1333</v>
      </c>
      <c r="F9" s="23" t="s">
        <v>2739</v>
      </c>
      <c r="G9" s="23" t="s">
        <v>2740</v>
      </c>
      <c r="H9" s="23" t="s">
        <v>339</v>
      </c>
      <c r="I9" s="23" t="s">
        <v>773</v>
      </c>
      <c r="J9" s="21" t="s">
        <v>30</v>
      </c>
      <c r="K9" s="21" t="s">
        <v>30</v>
      </c>
      <c r="L9" s="23" t="s">
        <v>31</v>
      </c>
      <c r="M9" s="23" t="s">
        <v>479</v>
      </c>
      <c r="N9" s="23" t="s">
        <v>159</v>
      </c>
      <c r="O9" s="184" t="s">
        <v>2547</v>
      </c>
      <c r="P9" s="23" t="s">
        <v>1325</v>
      </c>
      <c r="Q9" s="23" t="s">
        <v>427</v>
      </c>
      <c r="R9" s="23" t="s">
        <v>427</v>
      </c>
      <c r="S9" s="21" t="s">
        <v>44</v>
      </c>
      <c r="T9" s="157">
        <v>0</v>
      </c>
      <c r="U9" s="23" t="s">
        <v>2737</v>
      </c>
      <c r="V9" s="176">
        <v>0</v>
      </c>
      <c r="W9" s="168">
        <v>0</v>
      </c>
      <c r="X9" s="21" t="s">
        <v>429</v>
      </c>
      <c r="Y9" s="21" t="s">
        <v>358</v>
      </c>
      <c r="Z9" s="23" t="s">
        <v>31</v>
      </c>
      <c r="AA9" s="23" t="s">
        <v>915</v>
      </c>
      <c r="AB9" s="185" t="s">
        <v>2738</v>
      </c>
      <c r="AC9" s="204">
        <v>45657</v>
      </c>
      <c r="AD9" s="157">
        <v>122989.29</v>
      </c>
      <c r="AE9" s="177">
        <v>1</v>
      </c>
      <c r="AF9" s="178">
        <v>0</v>
      </c>
      <c r="AG9" s="157">
        <v>0</v>
      </c>
      <c r="AH9" s="23"/>
      <c r="AI9" s="23"/>
      <c r="AJ9" s="23" t="s">
        <v>36</v>
      </c>
      <c r="AK9" s="168">
        <v>1.1780433114716199E-10</v>
      </c>
      <c r="AL9" s="168">
        <v>5.0689016012695803E-13</v>
      </c>
    </row>
    <row r="10" spans="1:38">
      <c r="A10" s="23">
        <v>288</v>
      </c>
      <c r="B10" s="23">
        <v>288</v>
      </c>
      <c r="C10" s="23" t="s">
        <v>2385</v>
      </c>
      <c r="D10" s="23" t="s">
        <v>2386</v>
      </c>
      <c r="E10" s="21" t="s">
        <v>1333</v>
      </c>
      <c r="F10" s="23" t="s">
        <v>2741</v>
      </c>
      <c r="G10" s="23" t="s">
        <v>2742</v>
      </c>
      <c r="H10" s="23" t="s">
        <v>339</v>
      </c>
      <c r="I10" s="23" t="s">
        <v>773</v>
      </c>
      <c r="J10" s="21" t="s">
        <v>30</v>
      </c>
      <c r="K10" s="21" t="s">
        <v>30</v>
      </c>
      <c r="L10" s="23" t="s">
        <v>346</v>
      </c>
      <c r="M10" s="23" t="s">
        <v>494</v>
      </c>
      <c r="N10" s="23" t="s">
        <v>159</v>
      </c>
      <c r="O10" s="184" t="s">
        <v>2743</v>
      </c>
      <c r="P10" s="23" t="s">
        <v>132</v>
      </c>
      <c r="Q10" s="23" t="s">
        <v>431</v>
      </c>
      <c r="R10" s="23" t="s">
        <v>424</v>
      </c>
      <c r="S10" s="21" t="s">
        <v>44</v>
      </c>
      <c r="T10" s="157">
        <v>9.35</v>
      </c>
      <c r="U10" s="23" t="s">
        <v>2744</v>
      </c>
      <c r="V10" s="176">
        <v>3.1399999999999997E-2</v>
      </c>
      <c r="W10" s="168">
        <v>4.1000000000000002E-2</v>
      </c>
      <c r="X10" s="21" t="s">
        <v>430</v>
      </c>
      <c r="Y10" s="21" t="s">
        <v>159</v>
      </c>
      <c r="Z10" s="23" t="s">
        <v>912</v>
      </c>
      <c r="AA10" s="23" t="s">
        <v>1329</v>
      </c>
      <c r="AB10" s="185" t="s">
        <v>160</v>
      </c>
      <c r="AC10" s="23"/>
      <c r="AD10" s="157">
        <v>577500.30000000005</v>
      </c>
      <c r="AE10" s="177">
        <v>1</v>
      </c>
      <c r="AF10" s="178">
        <v>132.43</v>
      </c>
      <c r="AG10" s="157">
        <v>764.78399999999999</v>
      </c>
      <c r="AH10" s="23"/>
      <c r="AI10" s="23"/>
      <c r="AJ10" s="23" t="s">
        <v>36</v>
      </c>
      <c r="AK10" s="168">
        <v>7.3254204525683403E-2</v>
      </c>
      <c r="AL10" s="168">
        <v>3.1519923843556399E-4</v>
      </c>
    </row>
    <row r="11" spans="1:38">
      <c r="A11" s="23">
        <v>288</v>
      </c>
      <c r="B11" s="23">
        <v>288</v>
      </c>
      <c r="C11" s="23" t="s">
        <v>2745</v>
      </c>
      <c r="D11" s="23" t="s">
        <v>2746</v>
      </c>
      <c r="E11" s="21" t="s">
        <v>1333</v>
      </c>
      <c r="F11" s="23" t="s">
        <v>2747</v>
      </c>
      <c r="G11" s="23" t="s">
        <v>2748</v>
      </c>
      <c r="H11" s="23" t="s">
        <v>339</v>
      </c>
      <c r="I11" s="23" t="s">
        <v>986</v>
      </c>
      <c r="J11" s="21" t="s">
        <v>30</v>
      </c>
      <c r="K11" s="21" t="s">
        <v>30</v>
      </c>
      <c r="L11" s="23" t="s">
        <v>31</v>
      </c>
      <c r="M11" s="23" t="s">
        <v>480</v>
      </c>
      <c r="N11" s="23" t="s">
        <v>159</v>
      </c>
      <c r="O11" s="184" t="s">
        <v>2749</v>
      </c>
      <c r="P11" s="23" t="s">
        <v>1968</v>
      </c>
      <c r="Q11" s="23" t="s">
        <v>433</v>
      </c>
      <c r="R11" s="23" t="s">
        <v>424</v>
      </c>
      <c r="S11" s="21" t="s">
        <v>44</v>
      </c>
      <c r="T11" s="157">
        <v>1.45</v>
      </c>
      <c r="U11" s="23" t="s">
        <v>2750</v>
      </c>
      <c r="V11" s="176">
        <v>4.9200000000000001E-2</v>
      </c>
      <c r="W11" s="168">
        <v>3.1E-2</v>
      </c>
      <c r="X11" s="21" t="s">
        <v>430</v>
      </c>
      <c r="Y11" s="21" t="s">
        <v>159</v>
      </c>
      <c r="Z11" s="23" t="s">
        <v>912</v>
      </c>
      <c r="AA11" s="23" t="s">
        <v>1329</v>
      </c>
      <c r="AB11" s="185" t="s">
        <v>160</v>
      </c>
      <c r="AC11" s="204">
        <v>45657</v>
      </c>
      <c r="AD11" s="157">
        <v>787356.75</v>
      </c>
      <c r="AE11" s="177">
        <v>1</v>
      </c>
      <c r="AF11" s="178">
        <v>97.56</v>
      </c>
      <c r="AG11" s="157">
        <v>768.14499999999998</v>
      </c>
      <c r="AH11" s="23"/>
      <c r="AI11" s="23"/>
      <c r="AJ11" s="23" t="s">
        <v>36</v>
      </c>
      <c r="AK11" s="168">
        <v>7.3576192566393098E-2</v>
      </c>
      <c r="AL11" s="168">
        <v>3.1658469318009602E-4</v>
      </c>
    </row>
    <row r="12" spans="1:38">
      <c r="A12" s="23">
        <v>288</v>
      </c>
      <c r="B12" s="23">
        <v>288</v>
      </c>
      <c r="C12" s="23" t="s">
        <v>2751</v>
      </c>
      <c r="D12" s="23" t="s">
        <v>2752</v>
      </c>
      <c r="E12" s="21" t="s">
        <v>43</v>
      </c>
      <c r="F12" s="23" t="s">
        <v>2751</v>
      </c>
      <c r="G12" s="23" t="s">
        <v>2752</v>
      </c>
      <c r="H12" s="23" t="s">
        <v>43</v>
      </c>
      <c r="I12" s="23" t="s">
        <v>773</v>
      </c>
      <c r="J12" s="21" t="s">
        <v>30</v>
      </c>
      <c r="K12" s="21" t="s">
        <v>30</v>
      </c>
      <c r="L12" s="23" t="s">
        <v>31</v>
      </c>
      <c r="M12" s="23" t="s">
        <v>495</v>
      </c>
      <c r="N12" s="23" t="s">
        <v>159</v>
      </c>
      <c r="O12" s="184" t="s">
        <v>2547</v>
      </c>
      <c r="P12" s="23" t="s">
        <v>2716</v>
      </c>
      <c r="Q12" s="23" t="s">
        <v>431</v>
      </c>
      <c r="R12" s="23" t="s">
        <v>424</v>
      </c>
      <c r="S12" s="21" t="s">
        <v>44</v>
      </c>
      <c r="T12" s="157">
        <v>0.01</v>
      </c>
      <c r="U12" s="23" t="s">
        <v>2753</v>
      </c>
      <c r="V12" s="176">
        <v>4.9500000000000002E-2</v>
      </c>
      <c r="W12" s="168">
        <v>4.9500000000000002E-2</v>
      </c>
      <c r="X12" s="21" t="s">
        <v>429</v>
      </c>
      <c r="Y12" s="21" t="s">
        <v>358</v>
      </c>
      <c r="Z12" s="23" t="s">
        <v>31</v>
      </c>
      <c r="AA12" s="23" t="s">
        <v>915</v>
      </c>
      <c r="AB12" s="185" t="s">
        <v>160</v>
      </c>
      <c r="AC12" s="23"/>
      <c r="AD12" s="157">
        <v>285426.40999999997</v>
      </c>
      <c r="AE12" s="177">
        <v>1</v>
      </c>
      <c r="AF12" s="178">
        <v>0</v>
      </c>
      <c r="AG12" s="157">
        <v>0</v>
      </c>
      <c r="AH12" s="23"/>
      <c r="AI12" s="23"/>
      <c r="AJ12" s="23" t="s">
        <v>36</v>
      </c>
      <c r="AK12" s="168">
        <v>2.7339345825791599E-8</v>
      </c>
      <c r="AL12" s="168">
        <v>1.1763612804770501E-10</v>
      </c>
    </row>
    <row r="13" spans="1:38">
      <c r="A13" s="23">
        <v>288</v>
      </c>
      <c r="B13" s="23">
        <v>288</v>
      </c>
      <c r="C13" s="23" t="s">
        <v>2754</v>
      </c>
      <c r="D13" s="23" t="s">
        <v>2755</v>
      </c>
      <c r="E13" s="21" t="s">
        <v>1333</v>
      </c>
      <c r="F13" s="23" t="s">
        <v>2756</v>
      </c>
      <c r="G13" s="23" t="s">
        <v>2757</v>
      </c>
      <c r="H13" s="23" t="s">
        <v>339</v>
      </c>
      <c r="I13" s="23" t="s">
        <v>773</v>
      </c>
      <c r="J13" s="21" t="s">
        <v>30</v>
      </c>
      <c r="K13" s="21" t="s">
        <v>30</v>
      </c>
      <c r="L13" s="23" t="s">
        <v>346</v>
      </c>
      <c r="M13" s="23" t="s">
        <v>494</v>
      </c>
      <c r="N13" s="23" t="s">
        <v>159</v>
      </c>
      <c r="O13" s="184" t="s">
        <v>2758</v>
      </c>
      <c r="P13" s="23" t="s">
        <v>1979</v>
      </c>
      <c r="Q13" s="23" t="s">
        <v>431</v>
      </c>
      <c r="R13" s="23" t="s">
        <v>424</v>
      </c>
      <c r="S13" s="21" t="s">
        <v>44</v>
      </c>
      <c r="T13" s="157">
        <v>3.01</v>
      </c>
      <c r="U13" s="23" t="s">
        <v>2372</v>
      </c>
      <c r="V13" s="176">
        <v>3.1899999999999998E-2</v>
      </c>
      <c r="W13" s="168">
        <v>3.6400000000000002E-2</v>
      </c>
      <c r="X13" s="21" t="s">
        <v>430</v>
      </c>
      <c r="Y13" s="21" t="s">
        <v>159</v>
      </c>
      <c r="Z13" s="23" t="s">
        <v>912</v>
      </c>
      <c r="AA13" s="23"/>
      <c r="AB13" s="185" t="s">
        <v>160</v>
      </c>
      <c r="AC13" s="23"/>
      <c r="AD13" s="157">
        <v>1275000</v>
      </c>
      <c r="AE13" s="177">
        <v>1</v>
      </c>
      <c r="AF13" s="178">
        <v>105.49</v>
      </c>
      <c r="AG13" s="157">
        <v>1344.9970000000001</v>
      </c>
      <c r="AH13" s="23"/>
      <c r="AI13" s="23"/>
      <c r="AJ13" s="23" t="s">
        <v>36</v>
      </c>
      <c r="AK13" s="168">
        <v>0.12882953538646</v>
      </c>
      <c r="AL13" s="168">
        <v>5.5432956653815796E-4</v>
      </c>
    </row>
    <row r="14" spans="1:38">
      <c r="A14" s="23">
        <v>288</v>
      </c>
      <c r="B14" s="23">
        <v>288</v>
      </c>
      <c r="C14" s="23" t="s">
        <v>2759</v>
      </c>
      <c r="D14" s="23" t="s">
        <v>2760</v>
      </c>
      <c r="E14" s="21" t="s">
        <v>1333</v>
      </c>
      <c r="F14" s="23" t="s">
        <v>2761</v>
      </c>
      <c r="G14" s="23" t="s">
        <v>2762</v>
      </c>
      <c r="H14" s="23" t="s">
        <v>339</v>
      </c>
      <c r="I14" s="23" t="s">
        <v>986</v>
      </c>
      <c r="J14" s="21" t="s">
        <v>30</v>
      </c>
      <c r="K14" s="21" t="s">
        <v>30</v>
      </c>
      <c r="L14" s="23" t="s">
        <v>346</v>
      </c>
      <c r="M14" s="23" t="s">
        <v>478</v>
      </c>
      <c r="N14" s="23" t="s">
        <v>159</v>
      </c>
      <c r="O14" s="184" t="s">
        <v>2763</v>
      </c>
      <c r="P14" s="23" t="s">
        <v>1962</v>
      </c>
      <c r="Q14" s="23" t="s">
        <v>449</v>
      </c>
      <c r="R14" s="23" t="s">
        <v>424</v>
      </c>
      <c r="S14" s="21" t="s">
        <v>44</v>
      </c>
      <c r="T14" s="157">
        <v>1.38</v>
      </c>
      <c r="U14" s="23" t="s">
        <v>2073</v>
      </c>
      <c r="V14" s="176">
        <v>5.6300000000000003E-2</v>
      </c>
      <c r="W14" s="168">
        <v>4.2999999999999997E-2</v>
      </c>
      <c r="X14" s="21" t="s">
        <v>430</v>
      </c>
      <c r="Y14" s="21" t="s">
        <v>159</v>
      </c>
      <c r="Z14" s="23" t="s">
        <v>912</v>
      </c>
      <c r="AA14" s="23"/>
      <c r="AB14" s="185" t="s">
        <v>160</v>
      </c>
      <c r="AC14" s="23"/>
      <c r="AD14" s="157">
        <v>1020000</v>
      </c>
      <c r="AE14" s="177">
        <v>1</v>
      </c>
      <c r="AF14" s="178">
        <v>98.34</v>
      </c>
      <c r="AG14" s="157">
        <v>1003.068</v>
      </c>
      <c r="AH14" s="23"/>
      <c r="AI14" s="23"/>
      <c r="AJ14" s="23" t="s">
        <v>36</v>
      </c>
      <c r="AK14" s="168">
        <v>9.6078085201664304E-2</v>
      </c>
      <c r="AL14" s="168">
        <v>4.1340615848601701E-4</v>
      </c>
    </row>
    <row r="15" spans="1:38">
      <c r="A15" s="23">
        <v>288</v>
      </c>
      <c r="B15" s="23">
        <v>288</v>
      </c>
      <c r="C15" s="23" t="s">
        <v>2728</v>
      </c>
      <c r="D15" s="23" t="s">
        <v>2729</v>
      </c>
      <c r="E15" s="21" t="s">
        <v>1333</v>
      </c>
      <c r="F15" s="23" t="s">
        <v>2730</v>
      </c>
      <c r="G15" s="23" t="s">
        <v>2731</v>
      </c>
      <c r="H15" s="23" t="s">
        <v>339</v>
      </c>
      <c r="I15" s="23" t="s">
        <v>986</v>
      </c>
      <c r="J15" s="21" t="s">
        <v>30</v>
      </c>
      <c r="K15" s="21" t="s">
        <v>30</v>
      </c>
      <c r="L15" s="23" t="s">
        <v>346</v>
      </c>
      <c r="M15" s="23" t="s">
        <v>467</v>
      </c>
      <c r="N15" s="23" t="s">
        <v>159</v>
      </c>
      <c r="O15" s="184" t="s">
        <v>2732</v>
      </c>
      <c r="P15" s="23" t="s">
        <v>1997</v>
      </c>
      <c r="Q15" s="23" t="s">
        <v>449</v>
      </c>
      <c r="R15" s="23" t="s">
        <v>424</v>
      </c>
      <c r="S15" s="21" t="s">
        <v>44</v>
      </c>
      <c r="T15" s="157">
        <v>2.0499999999999998</v>
      </c>
      <c r="U15" s="23" t="s">
        <v>2042</v>
      </c>
      <c r="V15" s="176">
        <v>5.6500000000000002E-2</v>
      </c>
      <c r="W15" s="168">
        <v>4.4699999999999997E-2</v>
      </c>
      <c r="X15" s="21" t="s">
        <v>430</v>
      </c>
      <c r="Y15" s="21" t="s">
        <v>159</v>
      </c>
      <c r="Z15" s="23" t="s">
        <v>912</v>
      </c>
      <c r="AA15" s="23" t="s">
        <v>914</v>
      </c>
      <c r="AB15" s="185" t="s">
        <v>160</v>
      </c>
      <c r="AC15" s="23"/>
      <c r="AD15" s="157">
        <v>1519560.22</v>
      </c>
      <c r="AE15" s="177">
        <v>1</v>
      </c>
      <c r="AF15" s="178">
        <v>97.83</v>
      </c>
      <c r="AG15" s="157">
        <v>1486.586</v>
      </c>
      <c r="AH15" s="23"/>
      <c r="AI15" s="23"/>
      <c r="AJ15" s="23" t="s">
        <v>36</v>
      </c>
      <c r="AK15" s="168">
        <v>0.14239145662986799</v>
      </c>
      <c r="AL15" s="168">
        <v>6.1268399513818002E-4</v>
      </c>
    </row>
    <row r="16" spans="1:38">
      <c r="A16" s="23">
        <v>288</v>
      </c>
      <c r="B16" s="23">
        <v>288</v>
      </c>
      <c r="C16" s="23" t="s">
        <v>2385</v>
      </c>
      <c r="D16" s="23" t="s">
        <v>2386</v>
      </c>
      <c r="E16" s="21" t="s">
        <v>1333</v>
      </c>
      <c r="F16" s="23" t="s">
        <v>2741</v>
      </c>
      <c r="G16" s="23" t="s">
        <v>2742</v>
      </c>
      <c r="H16" s="23" t="s">
        <v>339</v>
      </c>
      <c r="I16" s="23" t="s">
        <v>773</v>
      </c>
      <c r="J16" s="21" t="s">
        <v>30</v>
      </c>
      <c r="K16" s="21" t="s">
        <v>30</v>
      </c>
      <c r="L16" s="23" t="s">
        <v>346</v>
      </c>
      <c r="M16" s="23" t="s">
        <v>494</v>
      </c>
      <c r="N16" s="23" t="s">
        <v>159</v>
      </c>
      <c r="O16" s="184" t="s">
        <v>2743</v>
      </c>
      <c r="P16" s="23" t="s">
        <v>132</v>
      </c>
      <c r="Q16" s="23" t="s">
        <v>431</v>
      </c>
      <c r="R16" s="23" t="s">
        <v>424</v>
      </c>
      <c r="S16" s="21" t="s">
        <v>44</v>
      </c>
      <c r="T16" s="157">
        <v>9.35</v>
      </c>
      <c r="U16" s="23" t="s">
        <v>2744</v>
      </c>
      <c r="V16" s="176">
        <v>3.1399999999999997E-2</v>
      </c>
      <c r="W16" s="168">
        <v>4.1000000000000002E-2</v>
      </c>
      <c r="X16" s="21" t="s">
        <v>430</v>
      </c>
      <c r="Y16" s="21" t="s">
        <v>159</v>
      </c>
      <c r="Z16" s="23" t="s">
        <v>912</v>
      </c>
      <c r="AA16" s="23" t="s">
        <v>1329</v>
      </c>
      <c r="AB16" s="185" t="s">
        <v>160</v>
      </c>
      <c r="AC16" s="23"/>
      <c r="AD16" s="157">
        <v>2030769.44</v>
      </c>
      <c r="AE16" s="177">
        <v>1</v>
      </c>
      <c r="AF16" s="178">
        <v>132.43</v>
      </c>
      <c r="AG16" s="157">
        <v>2689.348</v>
      </c>
      <c r="AH16" s="23"/>
      <c r="AI16" s="23"/>
      <c r="AJ16" s="23" t="s">
        <v>36</v>
      </c>
      <c r="AK16" s="168">
        <v>0.25759709545132298</v>
      </c>
      <c r="AL16" s="168">
        <v>1.10839246477658E-3</v>
      </c>
    </row>
    <row r="17" spans="1:38">
      <c r="A17" s="23">
        <v>288</v>
      </c>
      <c r="B17" s="23">
        <v>288</v>
      </c>
      <c r="C17" s="23" t="s">
        <v>2764</v>
      </c>
      <c r="D17" s="23" t="s">
        <v>2765</v>
      </c>
      <c r="E17" s="21" t="s">
        <v>1333</v>
      </c>
      <c r="F17" s="23" t="s">
        <v>2766</v>
      </c>
      <c r="G17" s="23" t="s">
        <v>2767</v>
      </c>
      <c r="H17" s="23" t="s">
        <v>339</v>
      </c>
      <c r="I17" s="23" t="s">
        <v>986</v>
      </c>
      <c r="J17" s="21" t="s">
        <v>30</v>
      </c>
      <c r="K17" s="21" t="s">
        <v>30</v>
      </c>
      <c r="L17" s="23" t="s">
        <v>31</v>
      </c>
      <c r="M17" s="23" t="s">
        <v>495</v>
      </c>
      <c r="N17" s="23" t="s">
        <v>159</v>
      </c>
      <c r="O17" s="184" t="s">
        <v>2768</v>
      </c>
      <c r="P17" s="23" t="s">
        <v>1979</v>
      </c>
      <c r="Q17" s="23" t="s">
        <v>433</v>
      </c>
      <c r="R17" s="23" t="s">
        <v>424</v>
      </c>
      <c r="S17" s="21" t="s">
        <v>44</v>
      </c>
      <c r="T17" s="157">
        <v>0.7</v>
      </c>
      <c r="U17" s="23" t="s">
        <v>2769</v>
      </c>
      <c r="V17" s="176">
        <v>6.2100000000000002E-2</v>
      </c>
      <c r="W17" s="168">
        <v>6.5000000000000002E-2</v>
      </c>
      <c r="X17" s="21" t="s">
        <v>430</v>
      </c>
      <c r="Y17" s="21" t="s">
        <v>159</v>
      </c>
      <c r="Z17" s="23" t="s">
        <v>912</v>
      </c>
      <c r="AA17" s="23" t="s">
        <v>915</v>
      </c>
      <c r="AB17" s="185" t="s">
        <v>160</v>
      </c>
      <c r="AC17" s="23"/>
      <c r="AD17" s="157">
        <v>953456.8</v>
      </c>
      <c r="AE17" s="177">
        <v>1</v>
      </c>
      <c r="AF17" s="178">
        <v>100.4</v>
      </c>
      <c r="AG17" s="157">
        <v>957.27099999999996</v>
      </c>
      <c r="AH17" s="23"/>
      <c r="AI17" s="23"/>
      <c r="AJ17" s="23" t="s">
        <v>36</v>
      </c>
      <c r="AK17" s="168">
        <v>9.1691419605821597E-2</v>
      </c>
      <c r="AL17" s="168">
        <v>3.9453115105082798E-4</v>
      </c>
    </row>
    <row r="18" spans="1:38">
      <c r="A18" s="23">
        <v>288</v>
      </c>
      <c r="B18" s="23">
        <v>1451</v>
      </c>
      <c r="C18" s="23" t="s">
        <v>2728</v>
      </c>
      <c r="D18" s="23" t="s">
        <v>2729</v>
      </c>
      <c r="E18" s="21" t="s">
        <v>1333</v>
      </c>
      <c r="F18" s="23" t="s">
        <v>2730</v>
      </c>
      <c r="G18" s="19" t="s">
        <v>2731</v>
      </c>
      <c r="H18" s="23" t="s">
        <v>339</v>
      </c>
      <c r="I18" s="23" t="s">
        <v>986</v>
      </c>
      <c r="J18" s="21" t="s">
        <v>30</v>
      </c>
      <c r="K18" s="21" t="s">
        <v>30</v>
      </c>
      <c r="L18" s="23" t="s">
        <v>346</v>
      </c>
      <c r="M18" s="23" t="s">
        <v>467</v>
      </c>
      <c r="N18" s="23" t="s">
        <v>159</v>
      </c>
      <c r="O18" s="184" t="s">
        <v>2770</v>
      </c>
      <c r="P18" s="23" t="s">
        <v>1997</v>
      </c>
      <c r="Q18" s="23" t="s">
        <v>449</v>
      </c>
      <c r="R18" s="23" t="s">
        <v>424</v>
      </c>
      <c r="S18" s="21" t="s">
        <v>44</v>
      </c>
      <c r="T18" s="157">
        <v>2.0499999999999998</v>
      </c>
      <c r="U18" s="23" t="s">
        <v>2042</v>
      </c>
      <c r="V18" s="176">
        <v>5.6500000000000002E-2</v>
      </c>
      <c r="W18" s="168">
        <v>4.4699999999999997E-2</v>
      </c>
      <c r="X18" s="21" t="s">
        <v>430</v>
      </c>
      <c r="Y18" s="21" t="s">
        <v>159</v>
      </c>
      <c r="Z18" s="23" t="s">
        <v>912</v>
      </c>
      <c r="AA18" s="23" t="s">
        <v>914</v>
      </c>
      <c r="AB18" s="185" t="s">
        <v>160</v>
      </c>
      <c r="AC18" s="23"/>
      <c r="AD18" s="157">
        <v>70414.399999999994</v>
      </c>
      <c r="AE18" s="177">
        <v>1</v>
      </c>
      <c r="AF18" s="178">
        <v>97.83</v>
      </c>
      <c r="AG18" s="157">
        <v>68.885999999999996</v>
      </c>
      <c r="AH18" s="23"/>
      <c r="AI18" s="23"/>
      <c r="AJ18" s="23" t="s">
        <v>36</v>
      </c>
      <c r="AK18" s="168">
        <v>1</v>
      </c>
      <c r="AL18" s="168">
        <v>1.3525718201878301E-3</v>
      </c>
    </row>
    <row r="19" spans="1:3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8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8">
      <c r="L21" s="2"/>
    </row>
    <row r="22" spans="1:38">
      <c r="L22" s="2"/>
    </row>
    <row r="23" spans="1:38">
      <c r="L23" s="2"/>
    </row>
    <row r="24" spans="1:38">
      <c r="L24" s="2"/>
    </row>
    <row r="25" spans="1:38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I1" zoomScale="70" zoomScaleNormal="70" workbookViewId="0">
      <selection activeCell="Z1" sqref="Z1:Z9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166</v>
      </c>
      <c r="E1" s="22" t="s">
        <v>167</v>
      </c>
      <c r="F1" s="22" t="s">
        <v>3</v>
      </c>
      <c r="G1" s="22" t="s">
        <v>4</v>
      </c>
      <c r="H1" s="22" t="s">
        <v>168</v>
      </c>
      <c r="I1" s="22" t="s">
        <v>5</v>
      </c>
      <c r="J1" s="22" t="s">
        <v>6</v>
      </c>
      <c r="K1" s="22" t="s">
        <v>7</v>
      </c>
      <c r="L1" s="22" t="s">
        <v>344</v>
      </c>
      <c r="M1" s="22" t="s">
        <v>169</v>
      </c>
      <c r="N1" s="22" t="s">
        <v>145</v>
      </c>
      <c r="O1" s="183" t="s">
        <v>177</v>
      </c>
      <c r="P1" s="22" t="s">
        <v>11</v>
      </c>
      <c r="Q1" s="22" t="s">
        <v>170</v>
      </c>
      <c r="R1" s="22" t="s">
        <v>171</v>
      </c>
      <c r="S1" s="183" t="s">
        <v>154</v>
      </c>
      <c r="T1" s="183" t="s">
        <v>172</v>
      </c>
      <c r="U1" s="22" t="s">
        <v>17</v>
      </c>
      <c r="V1" s="161" t="s">
        <v>18</v>
      </c>
      <c r="W1" s="172" t="s">
        <v>19</v>
      </c>
      <c r="X1" s="22" t="s">
        <v>20</v>
      </c>
      <c r="Y1" s="167" t="s">
        <v>24</v>
      </c>
      <c r="Z1" s="167" t="s">
        <v>25</v>
      </c>
    </row>
    <row r="2" spans="1:26">
      <c r="A2" s="23">
        <v>288</v>
      </c>
      <c r="B2" s="23">
        <v>288</v>
      </c>
      <c r="C2" s="23" t="s">
        <v>2663</v>
      </c>
      <c r="D2" s="23" t="s">
        <v>2664</v>
      </c>
      <c r="E2" s="21" t="s">
        <v>1333</v>
      </c>
      <c r="F2" s="23" t="s">
        <v>2665</v>
      </c>
      <c r="G2" s="23" t="s">
        <v>2666</v>
      </c>
      <c r="H2" s="21" t="s">
        <v>339</v>
      </c>
      <c r="I2" s="23" t="s">
        <v>785</v>
      </c>
      <c r="J2" s="21" t="s">
        <v>30</v>
      </c>
      <c r="K2" s="21" t="s">
        <v>30</v>
      </c>
      <c r="L2" s="23" t="s">
        <v>31</v>
      </c>
      <c r="M2" s="23" t="s">
        <v>460</v>
      </c>
      <c r="N2" s="23" t="s">
        <v>159</v>
      </c>
      <c r="O2" s="184" t="s">
        <v>2547</v>
      </c>
      <c r="P2" s="21" t="s">
        <v>44</v>
      </c>
      <c r="Q2" s="23" t="s">
        <v>31</v>
      </c>
      <c r="R2" s="23" t="s">
        <v>915</v>
      </c>
      <c r="S2" s="184" t="s">
        <v>160</v>
      </c>
      <c r="T2" s="23"/>
      <c r="U2" s="157">
        <v>2811.56</v>
      </c>
      <c r="V2" s="177">
        <v>1</v>
      </c>
      <c r="W2" s="178">
        <v>0</v>
      </c>
      <c r="X2" s="157">
        <v>0</v>
      </c>
      <c r="Y2" s="176">
        <v>2.4593266169929498E-11</v>
      </c>
      <c r="Z2" s="176">
        <v>1.1587611397761101E-14</v>
      </c>
    </row>
    <row r="3" spans="1:26">
      <c r="A3" s="23">
        <v>288</v>
      </c>
      <c r="B3" s="23">
        <v>288</v>
      </c>
      <c r="C3" s="23" t="s">
        <v>2667</v>
      </c>
      <c r="D3" s="23" t="s">
        <v>2668</v>
      </c>
      <c r="E3" s="21" t="s">
        <v>1333</v>
      </c>
      <c r="F3" s="23" t="s">
        <v>2667</v>
      </c>
      <c r="G3" s="23" t="s">
        <v>2669</v>
      </c>
      <c r="H3" s="21" t="s">
        <v>339</v>
      </c>
      <c r="I3" s="23" t="s">
        <v>785</v>
      </c>
      <c r="J3" s="21" t="s">
        <v>30</v>
      </c>
      <c r="K3" s="21" t="s">
        <v>30</v>
      </c>
      <c r="L3" s="23" t="s">
        <v>31</v>
      </c>
      <c r="M3" s="23" t="s">
        <v>482</v>
      </c>
      <c r="N3" s="23" t="s">
        <v>159</v>
      </c>
      <c r="O3" s="184" t="s">
        <v>2547</v>
      </c>
      <c r="P3" s="21" t="s">
        <v>44</v>
      </c>
      <c r="Q3" s="23" t="s">
        <v>31</v>
      </c>
      <c r="R3" s="23" t="s">
        <v>915</v>
      </c>
      <c r="S3" s="184" t="s">
        <v>2670</v>
      </c>
      <c r="T3" s="204">
        <v>45657</v>
      </c>
      <c r="U3" s="157">
        <v>11405</v>
      </c>
      <c r="V3" s="177">
        <v>1</v>
      </c>
      <c r="W3" s="178">
        <v>0</v>
      </c>
      <c r="X3" s="157">
        <v>0</v>
      </c>
      <c r="Y3" s="176">
        <v>9.9761769504490689E-11</v>
      </c>
      <c r="Z3" s="176">
        <v>4.7004761766231499E-14</v>
      </c>
    </row>
    <row r="4" spans="1:26">
      <c r="A4" s="23">
        <v>288</v>
      </c>
      <c r="B4" s="23">
        <v>288</v>
      </c>
      <c r="C4" s="23" t="s">
        <v>2671</v>
      </c>
      <c r="D4" s="23" t="s">
        <v>2672</v>
      </c>
      <c r="E4" s="21" t="s">
        <v>1333</v>
      </c>
      <c r="F4" s="23" t="s">
        <v>2673</v>
      </c>
      <c r="G4" s="23" t="s">
        <v>2674</v>
      </c>
      <c r="H4" s="21" t="s">
        <v>43</v>
      </c>
      <c r="I4" s="23" t="s">
        <v>785</v>
      </c>
      <c r="J4" s="21" t="s">
        <v>30</v>
      </c>
      <c r="K4" s="21" t="s">
        <v>30</v>
      </c>
      <c r="L4" s="23" t="s">
        <v>31</v>
      </c>
      <c r="M4" s="23" t="s">
        <v>480</v>
      </c>
      <c r="N4" s="23" t="s">
        <v>159</v>
      </c>
      <c r="O4" s="185" t="s">
        <v>2675</v>
      </c>
      <c r="P4" s="21" t="s">
        <v>44</v>
      </c>
      <c r="Q4" s="23" t="s">
        <v>31</v>
      </c>
      <c r="R4" s="23" t="s">
        <v>915</v>
      </c>
      <c r="S4" s="184" t="s">
        <v>2676</v>
      </c>
      <c r="T4" s="23"/>
      <c r="U4" s="157">
        <v>397</v>
      </c>
      <c r="V4" s="177">
        <v>1</v>
      </c>
      <c r="W4" s="178">
        <v>126938.924</v>
      </c>
      <c r="X4" s="157">
        <v>503.94799999999998</v>
      </c>
      <c r="Y4" s="176">
        <v>0.44081277648949702</v>
      </c>
      <c r="Z4" s="176">
        <v>2.0769779490997401E-4</v>
      </c>
    </row>
    <row r="5" spans="1:26">
      <c r="A5" s="23">
        <v>288</v>
      </c>
      <c r="B5" s="23">
        <v>288</v>
      </c>
      <c r="C5" s="23" t="s">
        <v>2677</v>
      </c>
      <c r="D5" s="23" t="s">
        <v>2678</v>
      </c>
      <c r="E5" s="21" t="s">
        <v>1333</v>
      </c>
      <c r="F5" s="23" t="s">
        <v>2679</v>
      </c>
      <c r="G5" s="23" t="s">
        <v>2680</v>
      </c>
      <c r="H5" s="21" t="s">
        <v>43</v>
      </c>
      <c r="I5" s="23" t="s">
        <v>785</v>
      </c>
      <c r="J5" s="21" t="s">
        <v>30</v>
      </c>
      <c r="K5" s="21" t="s">
        <v>30</v>
      </c>
      <c r="L5" s="23" t="s">
        <v>31</v>
      </c>
      <c r="M5" s="23" t="s">
        <v>478</v>
      </c>
      <c r="N5" s="23" t="s">
        <v>159</v>
      </c>
      <c r="O5" s="184" t="s">
        <v>2681</v>
      </c>
      <c r="P5" s="21" t="s">
        <v>44</v>
      </c>
      <c r="Q5" s="23" t="s">
        <v>31</v>
      </c>
      <c r="R5" s="23" t="s">
        <v>915</v>
      </c>
      <c r="S5" s="184" t="s">
        <v>2682</v>
      </c>
      <c r="T5" s="23"/>
      <c r="U5" s="157">
        <v>209969.79</v>
      </c>
      <c r="V5" s="177">
        <v>1</v>
      </c>
      <c r="W5" s="178">
        <v>1E-3</v>
      </c>
      <c r="X5" s="157">
        <v>2E-3</v>
      </c>
      <c r="Y5" s="176">
        <v>1.8366468910904299E-6</v>
      </c>
      <c r="Z5" s="176">
        <v>8.6537307821619002E-10</v>
      </c>
    </row>
    <row r="6" spans="1:26">
      <c r="A6" s="23">
        <v>288</v>
      </c>
      <c r="B6" s="23">
        <v>288</v>
      </c>
      <c r="C6" s="23" t="s">
        <v>2683</v>
      </c>
      <c r="D6" s="23" t="s">
        <v>2684</v>
      </c>
      <c r="E6" s="21" t="s">
        <v>1333</v>
      </c>
      <c r="F6" s="23" t="s">
        <v>2685</v>
      </c>
      <c r="G6" s="23" t="s">
        <v>2686</v>
      </c>
      <c r="H6" s="21" t="s">
        <v>43</v>
      </c>
      <c r="I6" s="23" t="s">
        <v>785</v>
      </c>
      <c r="J6" s="21" t="s">
        <v>30</v>
      </c>
      <c r="K6" s="21" t="s">
        <v>30</v>
      </c>
      <c r="L6" s="23" t="s">
        <v>31</v>
      </c>
      <c r="M6" s="23" t="s">
        <v>463</v>
      </c>
      <c r="N6" s="23" t="s">
        <v>159</v>
      </c>
      <c r="O6" s="184" t="s">
        <v>2687</v>
      </c>
      <c r="P6" s="21" t="s">
        <v>44</v>
      </c>
      <c r="Q6" s="23" t="s">
        <v>31</v>
      </c>
      <c r="R6" s="23" t="s">
        <v>915</v>
      </c>
      <c r="S6" s="184" t="s">
        <v>2688</v>
      </c>
      <c r="T6" s="204">
        <v>45657</v>
      </c>
      <c r="U6" s="157">
        <v>2235</v>
      </c>
      <c r="V6" s="177">
        <v>1</v>
      </c>
      <c r="W6" s="178">
        <v>0</v>
      </c>
      <c r="X6" s="157">
        <v>0</v>
      </c>
      <c r="Y6" s="176">
        <v>1.9549982888429297E-11</v>
      </c>
      <c r="Z6" s="176">
        <v>9.2113671676920006E-15</v>
      </c>
    </row>
    <row r="7" spans="1:26">
      <c r="A7" s="23">
        <v>288</v>
      </c>
      <c r="B7" s="23">
        <v>288</v>
      </c>
      <c r="C7" s="23" t="s">
        <v>2689</v>
      </c>
      <c r="D7" s="23" t="s">
        <v>2690</v>
      </c>
      <c r="E7" s="21" t="s">
        <v>43</v>
      </c>
      <c r="F7" s="23" t="s">
        <v>2689</v>
      </c>
      <c r="G7" s="23" t="s">
        <v>2691</v>
      </c>
      <c r="H7" s="21" t="s">
        <v>43</v>
      </c>
      <c r="I7" s="23" t="s">
        <v>785</v>
      </c>
      <c r="J7" s="21" t="s">
        <v>124</v>
      </c>
      <c r="K7" s="21" t="s">
        <v>125</v>
      </c>
      <c r="L7" s="23" t="s">
        <v>31</v>
      </c>
      <c r="M7" s="23" t="s">
        <v>586</v>
      </c>
      <c r="N7" s="23" t="s">
        <v>159</v>
      </c>
      <c r="O7" s="184" t="s">
        <v>2692</v>
      </c>
      <c r="P7" s="21" t="s">
        <v>34</v>
      </c>
      <c r="Q7" s="23" t="s">
        <v>913</v>
      </c>
      <c r="R7" s="23" t="s">
        <v>915</v>
      </c>
      <c r="S7" s="184" t="s">
        <v>2693</v>
      </c>
      <c r="T7" s="23"/>
      <c r="U7" s="157">
        <v>730365</v>
      </c>
      <c r="V7" s="177">
        <v>3.6469999999999998</v>
      </c>
      <c r="W7" s="178">
        <v>24</v>
      </c>
      <c r="X7" s="157">
        <v>639.274</v>
      </c>
      <c r="Y7" s="176">
        <v>0.55918538524742201</v>
      </c>
      <c r="Z7" s="176">
        <v>2.6347142745428398E-4</v>
      </c>
    </row>
    <row r="8" spans="1:26">
      <c r="A8" s="23">
        <v>288</v>
      </c>
      <c r="B8" s="23">
        <v>288</v>
      </c>
      <c r="C8" s="23" t="s">
        <v>2694</v>
      </c>
      <c r="D8" s="23" t="s">
        <v>2695</v>
      </c>
      <c r="E8" s="21" t="s">
        <v>43</v>
      </c>
      <c r="F8" s="23" t="s">
        <v>2694</v>
      </c>
      <c r="G8" s="23" t="s">
        <v>2696</v>
      </c>
      <c r="H8" s="21" t="s">
        <v>43</v>
      </c>
      <c r="I8" s="23" t="s">
        <v>785</v>
      </c>
      <c r="J8" s="21" t="s">
        <v>30</v>
      </c>
      <c r="K8" s="21" t="s">
        <v>30</v>
      </c>
      <c r="L8" s="23" t="s">
        <v>31</v>
      </c>
      <c r="M8" s="23" t="s">
        <v>586</v>
      </c>
      <c r="N8" s="23" t="s">
        <v>159</v>
      </c>
      <c r="O8" s="184" t="s">
        <v>2547</v>
      </c>
      <c r="P8" s="21" t="s">
        <v>34</v>
      </c>
      <c r="Q8" s="23" t="s">
        <v>31</v>
      </c>
      <c r="R8" s="23" t="s">
        <v>915</v>
      </c>
      <c r="S8" s="184" t="s">
        <v>2697</v>
      </c>
      <c r="T8" s="23"/>
      <c r="U8" s="157">
        <v>20898</v>
      </c>
      <c r="V8" s="177">
        <v>3.6469999999999998</v>
      </c>
      <c r="W8" s="178">
        <v>0</v>
      </c>
      <c r="X8" s="157">
        <v>0</v>
      </c>
      <c r="Y8" s="176">
        <v>6.6666758977250098E-10</v>
      </c>
      <c r="Z8" s="176">
        <v>3.14113827272416E-13</v>
      </c>
    </row>
    <row r="9" spans="1:26">
      <c r="A9" s="23">
        <v>288</v>
      </c>
      <c r="B9" s="23">
        <v>288</v>
      </c>
      <c r="C9" s="23" t="s">
        <v>2698</v>
      </c>
      <c r="D9" s="23" t="s">
        <v>2699</v>
      </c>
      <c r="E9" s="21" t="s">
        <v>43</v>
      </c>
      <c r="F9" s="23" t="s">
        <v>2698</v>
      </c>
      <c r="G9" s="23" t="s">
        <v>2700</v>
      </c>
      <c r="H9" s="21" t="s">
        <v>43</v>
      </c>
      <c r="I9" s="23" t="s">
        <v>785</v>
      </c>
      <c r="J9" s="21" t="s">
        <v>124</v>
      </c>
      <c r="K9" s="21" t="s">
        <v>30</v>
      </c>
      <c r="L9" s="23" t="s">
        <v>31</v>
      </c>
      <c r="M9" s="23" t="s">
        <v>1821</v>
      </c>
      <c r="N9" s="23" t="s">
        <v>159</v>
      </c>
      <c r="O9" s="184" t="s">
        <v>2547</v>
      </c>
      <c r="P9" s="21" t="s">
        <v>44</v>
      </c>
      <c r="Q9" s="23" t="s">
        <v>31</v>
      </c>
      <c r="R9" s="23" t="s">
        <v>915</v>
      </c>
      <c r="S9" s="184" t="s">
        <v>2701</v>
      </c>
      <c r="T9" s="23"/>
      <c r="U9" s="157">
        <v>921</v>
      </c>
      <c r="V9" s="177">
        <v>1</v>
      </c>
      <c r="W9" s="178">
        <v>0</v>
      </c>
      <c r="X9" s="157">
        <v>0</v>
      </c>
      <c r="Y9" s="176">
        <v>8.0561674452990698E-10</v>
      </c>
      <c r="Z9" s="176">
        <v>3.7958251281630098E-13</v>
      </c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>
      <selection activeCell="A27" sqref="A27"/>
    </sheetView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209</v>
      </c>
      <c r="D1" s="22" t="s">
        <v>210</v>
      </c>
      <c r="E1" s="22" t="s">
        <v>211</v>
      </c>
      <c r="F1" s="22" t="s">
        <v>212</v>
      </c>
      <c r="G1" s="22" t="s">
        <v>213</v>
      </c>
      <c r="H1" s="22" t="s">
        <v>214</v>
      </c>
      <c r="I1" s="22" t="s">
        <v>5</v>
      </c>
      <c r="J1" s="22" t="s">
        <v>850</v>
      </c>
      <c r="K1" s="22" t="s">
        <v>6</v>
      </c>
      <c r="L1" s="22" t="s">
        <v>1149</v>
      </c>
      <c r="M1" s="22" t="s">
        <v>1150</v>
      </c>
      <c r="N1" s="22" t="s">
        <v>7</v>
      </c>
      <c r="O1" s="22" t="s">
        <v>145</v>
      </c>
      <c r="P1" s="186" t="s">
        <v>177</v>
      </c>
      <c r="Q1" s="22" t="s">
        <v>11</v>
      </c>
      <c r="R1" s="22" t="s">
        <v>170</v>
      </c>
      <c r="S1" s="22" t="s">
        <v>171</v>
      </c>
      <c r="T1" s="183" t="s">
        <v>154</v>
      </c>
      <c r="U1" s="161" t="s">
        <v>18</v>
      </c>
      <c r="V1" s="108" t="s">
        <v>2527</v>
      </c>
      <c r="W1" s="22" t="s">
        <v>20</v>
      </c>
      <c r="X1" s="167" t="s">
        <v>1152</v>
      </c>
      <c r="Y1" s="167" t="s">
        <v>24</v>
      </c>
      <c r="Z1" s="167" t="s">
        <v>25</v>
      </c>
      <c r="AA1" s="11"/>
    </row>
    <row r="2" spans="1:27">
      <c r="A2" s="23">
        <v>288</v>
      </c>
      <c r="B2" s="23">
        <v>288</v>
      </c>
      <c r="C2" s="23" t="s">
        <v>2528</v>
      </c>
      <c r="D2" s="23" t="s">
        <v>2529</v>
      </c>
      <c r="E2" s="23" t="s">
        <v>331</v>
      </c>
      <c r="F2" s="23" t="s">
        <v>2530</v>
      </c>
      <c r="G2" s="23">
        <v>50007921</v>
      </c>
      <c r="H2" s="23" t="s">
        <v>43</v>
      </c>
      <c r="I2" s="2" t="s">
        <v>1045</v>
      </c>
      <c r="J2" s="23" t="s">
        <v>864</v>
      </c>
      <c r="K2" s="21" t="s">
        <v>30</v>
      </c>
      <c r="L2" s="23" t="s">
        <v>238</v>
      </c>
      <c r="M2" s="23" t="s">
        <v>2531</v>
      </c>
      <c r="N2" s="21" t="s">
        <v>30</v>
      </c>
      <c r="O2" s="23" t="s">
        <v>159</v>
      </c>
      <c r="P2" s="187" t="s">
        <v>2532</v>
      </c>
      <c r="Q2" s="21" t="s">
        <v>44</v>
      </c>
      <c r="R2" s="23" t="s">
        <v>911</v>
      </c>
      <c r="S2" s="23" t="s">
        <v>914</v>
      </c>
      <c r="T2" s="184" t="s">
        <v>2533</v>
      </c>
      <c r="U2" s="177">
        <v>1</v>
      </c>
      <c r="V2" s="157">
        <v>3729.924</v>
      </c>
      <c r="W2" s="157">
        <v>3729.924</v>
      </c>
      <c r="X2" s="176">
        <v>3.4285714285714301E-3</v>
      </c>
      <c r="Y2" s="176">
        <v>2.80990743714516E-2</v>
      </c>
      <c r="Z2" s="176">
        <v>1.53725724705085E-3</v>
      </c>
    </row>
    <row r="3" spans="1:27">
      <c r="A3" s="23">
        <v>288</v>
      </c>
      <c r="B3" s="23">
        <v>288</v>
      </c>
      <c r="C3" s="23" t="s">
        <v>2534</v>
      </c>
      <c r="D3" s="2" t="s">
        <v>2535</v>
      </c>
      <c r="E3" s="23" t="s">
        <v>1333</v>
      </c>
      <c r="F3" s="23" t="s">
        <v>2534</v>
      </c>
      <c r="G3" s="23">
        <v>9840805</v>
      </c>
      <c r="H3" s="23" t="s">
        <v>43</v>
      </c>
      <c r="I3" s="2" t="s">
        <v>1045</v>
      </c>
      <c r="J3" s="23" t="s">
        <v>586</v>
      </c>
      <c r="K3" s="21" t="s">
        <v>30</v>
      </c>
      <c r="L3" s="23"/>
      <c r="M3" s="23"/>
      <c r="N3" s="21" t="s">
        <v>30</v>
      </c>
      <c r="O3" s="23" t="s">
        <v>159</v>
      </c>
      <c r="P3" s="187" t="s">
        <v>2536</v>
      </c>
      <c r="Q3" s="21" t="s">
        <v>34</v>
      </c>
      <c r="R3" s="23" t="s">
        <v>31</v>
      </c>
      <c r="S3" s="23"/>
      <c r="T3" s="188" t="s">
        <v>2537</v>
      </c>
      <c r="U3" s="177">
        <v>3.6469999999999998</v>
      </c>
      <c r="V3" s="157">
        <v>0</v>
      </c>
      <c r="W3" s="157">
        <v>0</v>
      </c>
      <c r="X3" s="189">
        <v>0</v>
      </c>
      <c r="Y3" s="176">
        <v>2.7130943600935399E-10</v>
      </c>
      <c r="Z3" s="176">
        <v>1.48429229797833E-11</v>
      </c>
    </row>
    <row r="4" spans="1:27">
      <c r="A4" s="23">
        <v>288</v>
      </c>
      <c r="B4" s="23">
        <v>288</v>
      </c>
      <c r="C4" s="23" t="s">
        <v>2538</v>
      </c>
      <c r="D4" s="2" t="s">
        <v>2539</v>
      </c>
      <c r="E4" s="23" t="s">
        <v>330</v>
      </c>
      <c r="F4" s="23" t="s">
        <v>2540</v>
      </c>
      <c r="G4" s="23">
        <v>50000868</v>
      </c>
      <c r="H4" s="23" t="s">
        <v>43</v>
      </c>
      <c r="I4" s="2" t="s">
        <v>1048</v>
      </c>
      <c r="J4" s="23" t="s">
        <v>866</v>
      </c>
      <c r="K4" s="21" t="s">
        <v>30</v>
      </c>
      <c r="L4" s="23" t="s">
        <v>30</v>
      </c>
      <c r="M4" s="23" t="s">
        <v>2541</v>
      </c>
      <c r="N4" s="21" t="s">
        <v>30</v>
      </c>
      <c r="O4" s="23" t="s">
        <v>159</v>
      </c>
      <c r="P4" s="187" t="s">
        <v>2542</v>
      </c>
      <c r="Q4" s="21" t="s">
        <v>44</v>
      </c>
      <c r="R4" s="23" t="s">
        <v>913</v>
      </c>
      <c r="S4" s="23" t="s">
        <v>915</v>
      </c>
      <c r="T4" s="184" t="s">
        <v>2543</v>
      </c>
      <c r="U4" s="177">
        <v>1</v>
      </c>
      <c r="V4" s="157">
        <v>5108.6009999999997</v>
      </c>
      <c r="W4" s="157">
        <v>5108.6009999999997</v>
      </c>
      <c r="X4" s="189">
        <v>3.5000000000000001E-3</v>
      </c>
      <c r="Y4" s="176">
        <v>3.8485226079083897E-2</v>
      </c>
      <c r="Z4" s="176">
        <v>2.1054676717240802E-3</v>
      </c>
    </row>
    <row r="5" spans="1:27">
      <c r="A5" s="23">
        <v>288</v>
      </c>
      <c r="B5" s="23">
        <v>288</v>
      </c>
      <c r="C5" s="23" t="s">
        <v>2544</v>
      </c>
      <c r="D5" s="2" t="s">
        <v>2545</v>
      </c>
      <c r="E5" s="23" t="s">
        <v>43</v>
      </c>
      <c r="F5" s="23" t="s">
        <v>2546</v>
      </c>
      <c r="G5" s="23">
        <v>9840878</v>
      </c>
      <c r="H5" s="23" t="s">
        <v>43</v>
      </c>
      <c r="I5" s="2" t="s">
        <v>1045</v>
      </c>
      <c r="J5" s="23" t="s">
        <v>586</v>
      </c>
      <c r="K5" s="21" t="s">
        <v>30</v>
      </c>
      <c r="L5" s="23"/>
      <c r="M5" s="23"/>
      <c r="N5" s="21" t="s">
        <v>30</v>
      </c>
      <c r="O5" s="23" t="s">
        <v>159</v>
      </c>
      <c r="P5" s="187" t="s">
        <v>2547</v>
      </c>
      <c r="Q5" s="21" t="s">
        <v>34</v>
      </c>
      <c r="R5" s="23" t="s">
        <v>31</v>
      </c>
      <c r="S5" s="23"/>
      <c r="T5" s="184" t="s">
        <v>2548</v>
      </c>
      <c r="U5" s="177">
        <v>3.6469999999999998</v>
      </c>
      <c r="V5" s="157">
        <v>1E-3</v>
      </c>
      <c r="W5" s="157">
        <v>3.0000000000000001E-3</v>
      </c>
      <c r="X5" s="189">
        <v>0</v>
      </c>
      <c r="Y5" s="176">
        <v>2.4726935940093102E-8</v>
      </c>
      <c r="Z5" s="176">
        <v>1.3527727272713901E-9</v>
      </c>
    </row>
    <row r="6" spans="1:27">
      <c r="A6" s="23">
        <v>288</v>
      </c>
      <c r="B6" s="23">
        <v>288</v>
      </c>
      <c r="C6" s="23" t="s">
        <v>2549</v>
      </c>
      <c r="D6" s="2" t="s">
        <v>2550</v>
      </c>
      <c r="E6" s="23" t="s">
        <v>43</v>
      </c>
      <c r="F6" s="23" t="s">
        <v>2549</v>
      </c>
      <c r="G6" s="23">
        <v>9840926</v>
      </c>
      <c r="H6" s="23" t="s">
        <v>43</v>
      </c>
      <c r="I6" s="2" t="s">
        <v>1045</v>
      </c>
      <c r="J6" s="23" t="s">
        <v>586</v>
      </c>
      <c r="K6" s="21" t="s">
        <v>30</v>
      </c>
      <c r="L6" s="23"/>
      <c r="M6" s="23"/>
      <c r="N6" s="21" t="s">
        <v>30</v>
      </c>
      <c r="O6" s="23" t="s">
        <v>159</v>
      </c>
      <c r="P6" s="187" t="s">
        <v>2551</v>
      </c>
      <c r="Q6" s="21" t="s">
        <v>44</v>
      </c>
      <c r="R6" s="23" t="s">
        <v>31</v>
      </c>
      <c r="S6" s="23"/>
      <c r="T6" s="184" t="s">
        <v>160</v>
      </c>
      <c r="U6" s="177">
        <v>1</v>
      </c>
      <c r="V6" s="157">
        <v>1E-3</v>
      </c>
      <c r="W6" s="157">
        <v>1E-3</v>
      </c>
      <c r="X6" s="176">
        <v>0</v>
      </c>
      <c r="Y6" s="176">
        <v>3.7667087012297906E-9</v>
      </c>
      <c r="Z6" s="176">
        <v>2.06070853863356E-10</v>
      </c>
    </row>
    <row r="7" spans="1:27">
      <c r="A7" s="23">
        <v>288</v>
      </c>
      <c r="B7" s="23">
        <v>288</v>
      </c>
      <c r="C7" s="23" t="s">
        <v>2552</v>
      </c>
      <c r="D7" s="2" t="s">
        <v>2553</v>
      </c>
      <c r="E7" s="23" t="s">
        <v>1333</v>
      </c>
      <c r="F7" s="23" t="s">
        <v>2554</v>
      </c>
      <c r="G7" s="23">
        <v>45856</v>
      </c>
      <c r="H7" s="23" t="s">
        <v>43</v>
      </c>
      <c r="I7" s="2" t="s">
        <v>1045</v>
      </c>
      <c r="J7" s="23" t="s">
        <v>868</v>
      </c>
      <c r="K7" s="21" t="s">
        <v>30</v>
      </c>
      <c r="L7" s="23" t="s">
        <v>238</v>
      </c>
      <c r="M7" s="23" t="s">
        <v>2555</v>
      </c>
      <c r="N7" s="21" t="s">
        <v>30</v>
      </c>
      <c r="O7" s="23" t="s">
        <v>159</v>
      </c>
      <c r="P7" s="187" t="s">
        <v>2556</v>
      </c>
      <c r="Q7" s="21" t="s">
        <v>44</v>
      </c>
      <c r="R7" s="23" t="s">
        <v>913</v>
      </c>
      <c r="S7" s="23" t="s">
        <v>915</v>
      </c>
      <c r="T7" s="184" t="s">
        <v>2557</v>
      </c>
      <c r="U7" s="177">
        <v>1</v>
      </c>
      <c r="V7" s="157">
        <v>9120.9650000000001</v>
      </c>
      <c r="W7" s="157">
        <v>9120.9650000000001</v>
      </c>
      <c r="X7" s="176">
        <v>2.5000000000000001E-3</v>
      </c>
      <c r="Y7" s="176">
        <v>6.8712039435668504E-2</v>
      </c>
      <c r="Z7" s="176">
        <v>3.7591302541069502E-3</v>
      </c>
    </row>
    <row r="8" spans="1:27">
      <c r="A8" s="23">
        <v>288</v>
      </c>
      <c r="B8" s="23">
        <v>288</v>
      </c>
      <c r="C8" s="23" t="s">
        <v>2558</v>
      </c>
      <c r="D8" s="2" t="s">
        <v>2559</v>
      </c>
      <c r="E8" s="23" t="s">
        <v>1333</v>
      </c>
      <c r="F8" s="23" t="s">
        <v>2560</v>
      </c>
      <c r="G8" s="23">
        <v>38414</v>
      </c>
      <c r="H8" s="23" t="s">
        <v>43</v>
      </c>
      <c r="I8" s="2" t="s">
        <v>1047</v>
      </c>
      <c r="J8" s="23" t="s">
        <v>868</v>
      </c>
      <c r="K8" s="21" t="s">
        <v>30</v>
      </c>
      <c r="L8" s="23" t="s">
        <v>30</v>
      </c>
      <c r="M8" s="23" t="s">
        <v>2561</v>
      </c>
      <c r="N8" s="21" t="s">
        <v>30</v>
      </c>
      <c r="O8" s="23" t="s">
        <v>159</v>
      </c>
      <c r="P8" s="187" t="s">
        <v>2562</v>
      </c>
      <c r="Q8" s="21" t="s">
        <v>44</v>
      </c>
      <c r="R8" s="23" t="s">
        <v>913</v>
      </c>
      <c r="S8" s="23" t="s">
        <v>915</v>
      </c>
      <c r="T8" s="184" t="s">
        <v>2557</v>
      </c>
      <c r="U8" s="177">
        <v>1</v>
      </c>
      <c r="V8" s="157">
        <v>7740.7179999999998</v>
      </c>
      <c r="W8" s="157">
        <v>7740.7179999999998</v>
      </c>
      <c r="X8" s="176">
        <v>1.1188851764705899E-3</v>
      </c>
      <c r="Y8" s="176">
        <v>5.8314062465887197E-2</v>
      </c>
      <c r="Z8" s="176">
        <v>3.1902728874847902E-3</v>
      </c>
    </row>
    <row r="9" spans="1:27">
      <c r="A9" s="23">
        <v>288</v>
      </c>
      <c r="B9" s="23">
        <v>288</v>
      </c>
      <c r="C9" s="23" t="s">
        <v>2558</v>
      </c>
      <c r="D9" s="2" t="s">
        <v>2559</v>
      </c>
      <c r="E9" s="23" t="s">
        <v>1333</v>
      </c>
      <c r="F9" s="23" t="s">
        <v>2563</v>
      </c>
      <c r="G9" s="23">
        <v>50008077</v>
      </c>
      <c r="H9" s="23" t="s">
        <v>43</v>
      </c>
      <c r="I9" s="2" t="s">
        <v>1047</v>
      </c>
      <c r="J9" s="23" t="s">
        <v>868</v>
      </c>
      <c r="K9" s="21" t="s">
        <v>30</v>
      </c>
      <c r="L9" s="23" t="s">
        <v>238</v>
      </c>
      <c r="M9" s="23" t="s">
        <v>2561</v>
      </c>
      <c r="N9" s="21" t="s">
        <v>30</v>
      </c>
      <c r="O9" s="23" t="s">
        <v>159</v>
      </c>
      <c r="P9" s="187" t="s">
        <v>2564</v>
      </c>
      <c r="Q9" s="21" t="s">
        <v>44</v>
      </c>
      <c r="R9" s="23" t="s">
        <v>913</v>
      </c>
      <c r="S9" s="23" t="s">
        <v>915</v>
      </c>
      <c r="T9" s="184" t="s">
        <v>2557</v>
      </c>
      <c r="U9" s="177">
        <v>1</v>
      </c>
      <c r="V9" s="157">
        <v>6720.95</v>
      </c>
      <c r="W9" s="157">
        <v>6720.95</v>
      </c>
      <c r="X9" s="176">
        <v>1.0390909090909101E-3</v>
      </c>
      <c r="Y9" s="176">
        <v>5.0631722022060198E-2</v>
      </c>
      <c r="Z9" s="176">
        <v>2.7699838286543198E-3</v>
      </c>
    </row>
    <row r="10" spans="1:27">
      <c r="A10" s="23">
        <v>288</v>
      </c>
      <c r="B10" s="23">
        <v>288</v>
      </c>
      <c r="C10" s="23" t="s">
        <v>2565</v>
      </c>
      <c r="D10" s="2" t="s">
        <v>2566</v>
      </c>
      <c r="E10" s="23" t="s">
        <v>1333</v>
      </c>
      <c r="F10" s="23" t="s">
        <v>2567</v>
      </c>
      <c r="G10" s="23">
        <v>62022116</v>
      </c>
      <c r="H10" s="23" t="s">
        <v>43</v>
      </c>
      <c r="I10" s="2" t="s">
        <v>1045</v>
      </c>
      <c r="J10" s="23" t="s">
        <v>586</v>
      </c>
      <c r="K10" s="21" t="s">
        <v>30</v>
      </c>
      <c r="L10" s="23" t="s">
        <v>30</v>
      </c>
      <c r="M10" s="23" t="s">
        <v>2568</v>
      </c>
      <c r="N10" s="21" t="s">
        <v>30</v>
      </c>
      <c r="O10" s="23" t="s">
        <v>159</v>
      </c>
      <c r="P10" s="187" t="s">
        <v>2569</v>
      </c>
      <c r="Q10" s="21" t="s">
        <v>34</v>
      </c>
      <c r="R10" s="23" t="s">
        <v>31</v>
      </c>
      <c r="S10" s="23" t="s">
        <v>914</v>
      </c>
      <c r="T10" s="184" t="s">
        <v>2569</v>
      </c>
      <c r="U10" s="177">
        <v>3.6469999999999998</v>
      </c>
      <c r="V10" s="157">
        <v>615.41099999999994</v>
      </c>
      <c r="W10" s="157">
        <v>2244.404</v>
      </c>
      <c r="X10" s="176">
        <v>0</v>
      </c>
      <c r="Y10" s="176">
        <v>1.69080315264762E-2</v>
      </c>
      <c r="Z10" s="176">
        <v>9.2501246318090098E-4</v>
      </c>
    </row>
    <row r="11" spans="1:27">
      <c r="A11" s="23">
        <v>288</v>
      </c>
      <c r="B11" s="23">
        <v>288</v>
      </c>
      <c r="C11" s="23" t="s">
        <v>2570</v>
      </c>
      <c r="D11" s="2" t="s">
        <v>2571</v>
      </c>
      <c r="E11" s="23" t="s">
        <v>1333</v>
      </c>
      <c r="F11" s="23" t="s">
        <v>2572</v>
      </c>
      <c r="G11" s="23">
        <v>62019773</v>
      </c>
      <c r="H11" s="23" t="s">
        <v>43</v>
      </c>
      <c r="I11" s="2" t="s">
        <v>1045</v>
      </c>
      <c r="J11" s="23" t="s">
        <v>857</v>
      </c>
      <c r="K11" s="21" t="s">
        <v>30</v>
      </c>
      <c r="L11" s="23" t="s">
        <v>30</v>
      </c>
      <c r="M11" s="23" t="s">
        <v>2573</v>
      </c>
      <c r="N11" s="21" t="s">
        <v>30</v>
      </c>
      <c r="O11" s="23" t="s">
        <v>159</v>
      </c>
      <c r="P11" s="187" t="s">
        <v>2574</v>
      </c>
      <c r="Q11" s="21" t="s">
        <v>34</v>
      </c>
      <c r="R11" s="23" t="s">
        <v>911</v>
      </c>
      <c r="S11" s="23" t="s">
        <v>914</v>
      </c>
      <c r="T11" s="184" t="s">
        <v>2543</v>
      </c>
      <c r="U11" s="177">
        <v>3.6469999999999998</v>
      </c>
      <c r="V11" s="157">
        <v>726.81200000000001</v>
      </c>
      <c r="W11" s="157">
        <v>2650.683</v>
      </c>
      <c r="X11" s="176">
        <v>3.8461538461538499E-4</v>
      </c>
      <c r="Y11" s="176">
        <v>1.9968698687893E-2</v>
      </c>
      <c r="Z11" s="176">
        <v>1.0924568676655799E-3</v>
      </c>
    </row>
    <row r="12" spans="1:27">
      <c r="A12" s="23">
        <v>288</v>
      </c>
      <c r="B12" s="23">
        <v>288</v>
      </c>
      <c r="C12" s="23" t="s">
        <v>2575</v>
      </c>
      <c r="D12" s="2" t="s">
        <v>2576</v>
      </c>
      <c r="E12" s="23" t="s">
        <v>43</v>
      </c>
      <c r="F12" s="23" t="s">
        <v>2577</v>
      </c>
      <c r="G12" s="23">
        <v>62021456</v>
      </c>
      <c r="H12" s="23" t="s">
        <v>43</v>
      </c>
      <c r="I12" s="2" t="s">
        <v>1045</v>
      </c>
      <c r="J12" s="23" t="s">
        <v>862</v>
      </c>
      <c r="K12" s="21" t="s">
        <v>124</v>
      </c>
      <c r="L12" s="23" t="s">
        <v>2578</v>
      </c>
      <c r="M12" s="23" t="s">
        <v>2579</v>
      </c>
      <c r="N12" s="21" t="s">
        <v>313</v>
      </c>
      <c r="O12" s="23" t="s">
        <v>159</v>
      </c>
      <c r="P12" s="187" t="s">
        <v>2580</v>
      </c>
      <c r="Q12" s="21" t="s">
        <v>1203</v>
      </c>
      <c r="R12" s="23" t="s">
        <v>913</v>
      </c>
      <c r="S12" s="23" t="s">
        <v>915</v>
      </c>
      <c r="T12" s="184" t="s">
        <v>2581</v>
      </c>
      <c r="U12" s="177">
        <v>3.7964000000000002</v>
      </c>
      <c r="V12" s="157">
        <v>1080.0039999999999</v>
      </c>
      <c r="W12" s="157">
        <v>4100.125</v>
      </c>
      <c r="X12" s="176">
        <v>7.5128509292210401E-4</v>
      </c>
      <c r="Y12" s="176">
        <v>3.0887955491275199E-2</v>
      </c>
      <c r="Z12" s="176">
        <v>1.6898326541954999E-3</v>
      </c>
    </row>
    <row r="13" spans="1:27">
      <c r="A13" s="23">
        <v>288</v>
      </c>
      <c r="B13" s="23">
        <v>288</v>
      </c>
      <c r="C13" s="23" t="s">
        <v>2582</v>
      </c>
      <c r="E13" s="23" t="s">
        <v>31</v>
      </c>
      <c r="F13" s="23" t="s">
        <v>2582</v>
      </c>
      <c r="G13" s="23">
        <v>62022041</v>
      </c>
      <c r="H13" s="23" t="s">
        <v>43</v>
      </c>
      <c r="I13" s="2" t="s">
        <v>1045</v>
      </c>
      <c r="J13" s="23" t="s">
        <v>586</v>
      </c>
      <c r="K13" s="21" t="s">
        <v>124</v>
      </c>
      <c r="L13" s="23" t="s">
        <v>273</v>
      </c>
      <c r="M13" s="23" t="s">
        <v>2583</v>
      </c>
      <c r="N13" s="21" t="s">
        <v>313</v>
      </c>
      <c r="O13" s="23" t="s">
        <v>159</v>
      </c>
      <c r="P13" s="187" t="s">
        <v>2584</v>
      </c>
      <c r="Q13" s="21" t="s">
        <v>1203</v>
      </c>
      <c r="R13" s="23" t="s">
        <v>31</v>
      </c>
      <c r="S13" s="23" t="s">
        <v>1329</v>
      </c>
      <c r="T13" s="184" t="s">
        <v>160</v>
      </c>
      <c r="U13" s="177">
        <v>3.7964000000000002</v>
      </c>
      <c r="V13" s="157">
        <v>1291.837</v>
      </c>
      <c r="W13" s="157">
        <v>4904.3280000000004</v>
      </c>
      <c r="X13" s="176">
        <v>0</v>
      </c>
      <c r="Y13" s="176">
        <v>3.6946352286022499E-2</v>
      </c>
      <c r="Z13" s="176">
        <v>2.02127824756697E-3</v>
      </c>
    </row>
    <row r="14" spans="1:27">
      <c r="A14" s="23">
        <v>288</v>
      </c>
      <c r="B14" s="23">
        <v>288</v>
      </c>
      <c r="C14" s="23" t="s">
        <v>2585</v>
      </c>
      <c r="D14" s="2" t="s">
        <v>2586</v>
      </c>
      <c r="E14" s="23" t="s">
        <v>43</v>
      </c>
      <c r="F14" s="23" t="s">
        <v>2587</v>
      </c>
      <c r="G14" s="23">
        <v>62021167</v>
      </c>
      <c r="H14" s="23" t="s">
        <v>43</v>
      </c>
      <c r="I14" s="2" t="s">
        <v>1049</v>
      </c>
      <c r="J14" s="23" t="s">
        <v>863</v>
      </c>
      <c r="K14" s="21" t="s">
        <v>124</v>
      </c>
      <c r="L14" s="23" t="s">
        <v>238</v>
      </c>
      <c r="M14" s="23" t="s">
        <v>2588</v>
      </c>
      <c r="N14" s="21" t="s">
        <v>125</v>
      </c>
      <c r="O14" s="23" t="s">
        <v>159</v>
      </c>
      <c r="P14" s="187" t="s">
        <v>2589</v>
      </c>
      <c r="Q14" s="21" t="s">
        <v>34</v>
      </c>
      <c r="R14" s="23" t="s">
        <v>913</v>
      </c>
      <c r="S14" s="23" t="s">
        <v>915</v>
      </c>
      <c r="T14" s="184" t="s">
        <v>2590</v>
      </c>
      <c r="U14" s="177">
        <v>3.6469999999999998</v>
      </c>
      <c r="V14" s="157">
        <v>1434.576</v>
      </c>
      <c r="W14" s="157">
        <v>5231.8980000000001</v>
      </c>
      <c r="X14" s="176">
        <v>1.8749999999999999E-3</v>
      </c>
      <c r="Y14" s="176">
        <v>3.9414074442971903E-2</v>
      </c>
      <c r="Z14" s="176">
        <v>2.1562835406001299E-3</v>
      </c>
    </row>
    <row r="15" spans="1:27">
      <c r="A15" s="23">
        <v>288</v>
      </c>
      <c r="B15" s="23">
        <v>288</v>
      </c>
      <c r="C15" s="23" t="s">
        <v>2585</v>
      </c>
      <c r="D15" s="2" t="s">
        <v>2591</v>
      </c>
      <c r="E15" s="23" t="s">
        <v>1333</v>
      </c>
      <c r="F15" s="23" t="s">
        <v>2592</v>
      </c>
      <c r="G15" s="23">
        <v>62012711</v>
      </c>
      <c r="H15" s="23" t="s">
        <v>43</v>
      </c>
      <c r="I15" s="2" t="s">
        <v>1045</v>
      </c>
      <c r="J15" s="23" t="s">
        <v>858</v>
      </c>
      <c r="K15" s="21" t="s">
        <v>124</v>
      </c>
      <c r="L15" s="23" t="s">
        <v>238</v>
      </c>
      <c r="M15" s="23" t="s">
        <v>2593</v>
      </c>
      <c r="N15" s="21" t="s">
        <v>125</v>
      </c>
      <c r="O15" s="23" t="s">
        <v>159</v>
      </c>
      <c r="P15" s="187" t="s">
        <v>2594</v>
      </c>
      <c r="Q15" s="21" t="s">
        <v>34</v>
      </c>
      <c r="R15" s="23" t="s">
        <v>913</v>
      </c>
      <c r="S15" s="23" t="s">
        <v>915</v>
      </c>
      <c r="T15" s="184" t="s">
        <v>2590</v>
      </c>
      <c r="U15" s="177">
        <v>3.6469999999999998</v>
      </c>
      <c r="V15" s="157">
        <v>1069.7819999999999</v>
      </c>
      <c r="W15" s="157">
        <v>3901.4949999999999</v>
      </c>
      <c r="X15" s="176">
        <v>5.5999999999999995E-4</v>
      </c>
      <c r="Y15" s="176">
        <v>2.9391589982071802E-2</v>
      </c>
      <c r="Z15" s="176">
        <v>1.60796879302871E-3</v>
      </c>
    </row>
    <row r="16" spans="1:27">
      <c r="A16" s="23">
        <v>288</v>
      </c>
      <c r="B16" s="23">
        <v>288</v>
      </c>
      <c r="C16" s="23" t="s">
        <v>2585</v>
      </c>
      <c r="D16" s="2" t="s">
        <v>2595</v>
      </c>
      <c r="E16" s="23" t="s">
        <v>332</v>
      </c>
      <c r="F16" s="23" t="s">
        <v>2596</v>
      </c>
      <c r="G16" s="23">
        <v>62021589</v>
      </c>
      <c r="H16" s="23" t="s">
        <v>43</v>
      </c>
      <c r="I16" s="2" t="s">
        <v>1045</v>
      </c>
      <c r="J16" s="23" t="s">
        <v>586</v>
      </c>
      <c r="K16" s="21" t="s">
        <v>124</v>
      </c>
      <c r="L16" s="23" t="s">
        <v>238</v>
      </c>
      <c r="M16" s="23" t="s">
        <v>2597</v>
      </c>
      <c r="N16" s="21" t="s">
        <v>253</v>
      </c>
      <c r="O16" s="23" t="s">
        <v>159</v>
      </c>
      <c r="P16" s="187" t="s">
        <v>2598</v>
      </c>
      <c r="Q16" s="21" t="s">
        <v>1205</v>
      </c>
      <c r="R16" s="23" t="s">
        <v>31</v>
      </c>
      <c r="S16" s="23" t="s">
        <v>1329</v>
      </c>
      <c r="T16" s="184" t="s">
        <v>2590</v>
      </c>
      <c r="U16" s="177">
        <v>4.5743</v>
      </c>
      <c r="V16" s="157">
        <v>286.22199999999998</v>
      </c>
      <c r="W16" s="157">
        <v>1309.2660000000001</v>
      </c>
      <c r="X16" s="176">
        <v>2.6153846153846201E-3</v>
      </c>
      <c r="Y16" s="176">
        <v>9.8632488467982407E-3</v>
      </c>
      <c r="Z16" s="176">
        <v>5.3960321143572303E-4</v>
      </c>
    </row>
    <row r="17" spans="1:26">
      <c r="A17" s="23">
        <v>288</v>
      </c>
      <c r="B17" s="23">
        <v>288</v>
      </c>
      <c r="C17" s="23" t="s">
        <v>2599</v>
      </c>
      <c r="D17" s="2" t="s">
        <v>2600</v>
      </c>
      <c r="E17" s="23" t="s">
        <v>331</v>
      </c>
      <c r="F17" s="23" t="s">
        <v>2601</v>
      </c>
      <c r="G17" s="23">
        <v>62020904</v>
      </c>
      <c r="H17" s="23" t="s">
        <v>43</v>
      </c>
      <c r="I17" s="2" t="s">
        <v>1045</v>
      </c>
      <c r="J17" s="23" t="s">
        <v>858</v>
      </c>
      <c r="K17" s="21" t="s">
        <v>124</v>
      </c>
      <c r="L17" s="23" t="s">
        <v>125</v>
      </c>
      <c r="M17" s="23" t="s">
        <v>2602</v>
      </c>
      <c r="N17" s="21" t="s">
        <v>125</v>
      </c>
      <c r="O17" s="23" t="s">
        <v>159</v>
      </c>
      <c r="P17" s="187" t="s">
        <v>2603</v>
      </c>
      <c r="Q17" s="21" t="s">
        <v>34</v>
      </c>
      <c r="R17" s="23" t="s">
        <v>913</v>
      </c>
      <c r="S17" s="23" t="s">
        <v>915</v>
      </c>
      <c r="T17" s="184" t="s">
        <v>2590</v>
      </c>
      <c r="U17" s="177">
        <v>3.6469999999999998</v>
      </c>
      <c r="V17" s="157">
        <v>1694.442</v>
      </c>
      <c r="W17" s="157">
        <v>6179.63</v>
      </c>
      <c r="X17" s="176">
        <v>2.9999999999999997E-4</v>
      </c>
      <c r="Y17" s="176">
        <v>4.6553732352576302E-2</v>
      </c>
      <c r="Z17" s="176">
        <v>2.5468832706095402E-3</v>
      </c>
    </row>
    <row r="18" spans="1:26">
      <c r="A18" s="23">
        <v>288</v>
      </c>
      <c r="B18" s="23">
        <v>288</v>
      </c>
      <c r="C18" s="23" t="s">
        <v>2604</v>
      </c>
      <c r="D18" s="2" t="s">
        <v>2605</v>
      </c>
      <c r="E18" s="23" t="s">
        <v>1333</v>
      </c>
      <c r="F18" s="23" t="s">
        <v>2606</v>
      </c>
      <c r="G18" s="23">
        <v>62002035</v>
      </c>
      <c r="H18" s="23" t="s">
        <v>43</v>
      </c>
      <c r="I18" s="2" t="s">
        <v>1049</v>
      </c>
      <c r="J18" s="23" t="s">
        <v>858</v>
      </c>
      <c r="K18" s="21" t="s">
        <v>124</v>
      </c>
      <c r="L18" s="23" t="s">
        <v>313</v>
      </c>
      <c r="M18" s="23" t="s">
        <v>2607</v>
      </c>
      <c r="N18" s="21" t="s">
        <v>313</v>
      </c>
      <c r="O18" s="23" t="s">
        <v>159</v>
      </c>
      <c r="P18" s="187" t="s">
        <v>2608</v>
      </c>
      <c r="Q18" s="21" t="s">
        <v>1203</v>
      </c>
      <c r="R18" s="23" t="s">
        <v>911</v>
      </c>
      <c r="S18" s="23" t="s">
        <v>914</v>
      </c>
      <c r="T18" s="184" t="s">
        <v>2584</v>
      </c>
      <c r="U18" s="177">
        <v>3.7964000000000002</v>
      </c>
      <c r="V18" s="157">
        <v>911.08299999999997</v>
      </c>
      <c r="W18" s="157">
        <v>3458.8359999999998</v>
      </c>
      <c r="X18" s="176">
        <v>1E-3</v>
      </c>
      <c r="Y18" s="176">
        <v>2.6056854503915199E-2</v>
      </c>
      <c r="Z18" s="176">
        <v>1.4255305314323701E-3</v>
      </c>
    </row>
    <row r="19" spans="1:26">
      <c r="A19" s="23">
        <v>288</v>
      </c>
      <c r="B19" s="23">
        <v>288</v>
      </c>
      <c r="C19" s="23" t="s">
        <v>2609</v>
      </c>
      <c r="D19" s="2" t="s">
        <v>2610</v>
      </c>
      <c r="E19" s="23" t="s">
        <v>331</v>
      </c>
      <c r="F19" s="23" t="s">
        <v>2611</v>
      </c>
      <c r="G19" s="23">
        <v>62007901</v>
      </c>
      <c r="H19" s="23" t="s">
        <v>43</v>
      </c>
      <c r="I19" s="2" t="s">
        <v>1045</v>
      </c>
      <c r="J19" s="23" t="s">
        <v>866</v>
      </c>
      <c r="K19" s="21" t="s">
        <v>124</v>
      </c>
      <c r="L19" s="23" t="s">
        <v>238</v>
      </c>
      <c r="M19" s="23" t="s">
        <v>2612</v>
      </c>
      <c r="N19" s="21" t="s">
        <v>125</v>
      </c>
      <c r="O19" s="23" t="s">
        <v>159</v>
      </c>
      <c r="P19" s="187" t="s">
        <v>2562</v>
      </c>
      <c r="Q19" s="21" t="s">
        <v>34</v>
      </c>
      <c r="R19" s="23" t="s">
        <v>913</v>
      </c>
      <c r="S19" s="23" t="s">
        <v>915</v>
      </c>
      <c r="T19" s="184" t="s">
        <v>2584</v>
      </c>
      <c r="U19" s="177">
        <v>3.6469999999999998</v>
      </c>
      <c r="V19" s="157">
        <v>235.92099999999999</v>
      </c>
      <c r="W19" s="157">
        <v>860.404</v>
      </c>
      <c r="X19" s="176">
        <v>2.0000000000000001E-4</v>
      </c>
      <c r="Y19" s="176">
        <v>6.4817806827146898E-3</v>
      </c>
      <c r="Z19" s="176">
        <v>3.5460827629328699E-4</v>
      </c>
    </row>
    <row r="20" spans="1:26">
      <c r="A20" s="2">
        <v>288</v>
      </c>
      <c r="B20" s="2">
        <v>288</v>
      </c>
      <c r="C20" s="2" t="s">
        <v>2609</v>
      </c>
      <c r="D20" s="2" t="s">
        <v>2610</v>
      </c>
      <c r="E20" s="23" t="s">
        <v>331</v>
      </c>
      <c r="F20" s="2" t="s">
        <v>2613</v>
      </c>
      <c r="G20" s="2">
        <v>62018031</v>
      </c>
      <c r="H20" s="23" t="s">
        <v>43</v>
      </c>
      <c r="I20" s="2" t="s">
        <v>1045</v>
      </c>
      <c r="J20" s="23" t="s">
        <v>866</v>
      </c>
      <c r="K20" s="21" t="s">
        <v>124</v>
      </c>
      <c r="L20" s="23" t="s">
        <v>238</v>
      </c>
      <c r="M20" s="23" t="s">
        <v>2612</v>
      </c>
      <c r="N20" s="21" t="s">
        <v>125</v>
      </c>
      <c r="O20" s="23" t="s">
        <v>159</v>
      </c>
      <c r="P20" s="187" t="s">
        <v>2614</v>
      </c>
      <c r="Q20" s="2" t="s">
        <v>34</v>
      </c>
      <c r="R20" s="23" t="s">
        <v>913</v>
      </c>
      <c r="S20" s="23" t="s">
        <v>915</v>
      </c>
      <c r="T20" s="185" t="s">
        <v>2615</v>
      </c>
      <c r="U20" s="162">
        <v>3.6469999999999998</v>
      </c>
      <c r="V20" s="155">
        <v>869.16099999999994</v>
      </c>
      <c r="W20" s="155">
        <v>3169.83</v>
      </c>
      <c r="X20" s="168">
        <v>1.4999999999999999E-4</v>
      </c>
      <c r="Y20" s="168">
        <v>2.3879649823974499E-2</v>
      </c>
      <c r="Z20" s="168">
        <v>1.3064190038315801E-3</v>
      </c>
    </row>
    <row r="21" spans="1:26">
      <c r="A21" s="2">
        <v>288</v>
      </c>
      <c r="B21" s="2">
        <v>288</v>
      </c>
      <c r="C21" s="2" t="s">
        <v>2609</v>
      </c>
      <c r="D21" s="2" t="s">
        <v>2610</v>
      </c>
      <c r="E21" s="2" t="s">
        <v>331</v>
      </c>
      <c r="F21" s="2" t="s">
        <v>2616</v>
      </c>
      <c r="G21" s="2">
        <v>62008453</v>
      </c>
      <c r="H21" s="2" t="s">
        <v>43</v>
      </c>
      <c r="I21" s="2" t="s">
        <v>1045</v>
      </c>
      <c r="J21" s="2" t="s">
        <v>852</v>
      </c>
      <c r="K21" s="2" t="s">
        <v>124</v>
      </c>
      <c r="L21" s="2" t="s">
        <v>238</v>
      </c>
      <c r="M21" s="2" t="s">
        <v>2612</v>
      </c>
      <c r="N21" s="2" t="s">
        <v>125</v>
      </c>
      <c r="O21" s="2" t="s">
        <v>159</v>
      </c>
      <c r="P21" s="187" t="s">
        <v>2617</v>
      </c>
      <c r="Q21" s="2" t="s">
        <v>34</v>
      </c>
      <c r="R21" s="2" t="s">
        <v>913</v>
      </c>
      <c r="S21" s="2" t="s">
        <v>915</v>
      </c>
      <c r="T21" s="185" t="s">
        <v>2618</v>
      </c>
      <c r="U21" s="162">
        <v>3.6469999999999998</v>
      </c>
      <c r="V21" s="155">
        <v>2945.56</v>
      </c>
      <c r="W21" s="155">
        <v>10742.456</v>
      </c>
      <c r="X21" s="168">
        <v>2.0000000000000001E-4</v>
      </c>
      <c r="Y21" s="168">
        <v>8.0927405351441994E-2</v>
      </c>
      <c r="Z21" s="168">
        <v>4.4274141815831896E-3</v>
      </c>
    </row>
    <row r="22" spans="1:26">
      <c r="A22" s="2">
        <v>288</v>
      </c>
      <c r="B22" s="2">
        <v>288</v>
      </c>
      <c r="C22" s="2" t="s">
        <v>2619</v>
      </c>
      <c r="D22" s="2" t="s">
        <v>2620</v>
      </c>
      <c r="E22" s="2" t="s">
        <v>43</v>
      </c>
      <c r="F22" s="2" t="s">
        <v>2621</v>
      </c>
      <c r="G22" s="2">
        <v>62020698</v>
      </c>
      <c r="H22" s="2" t="s">
        <v>43</v>
      </c>
      <c r="I22" s="2" t="s">
        <v>1045</v>
      </c>
      <c r="J22" s="2" t="s">
        <v>852</v>
      </c>
      <c r="K22" s="2" t="s">
        <v>124</v>
      </c>
      <c r="L22" s="2" t="s">
        <v>238</v>
      </c>
      <c r="M22" s="2" t="s">
        <v>2622</v>
      </c>
      <c r="N22" s="2" t="s">
        <v>316</v>
      </c>
      <c r="O22" s="2" t="s">
        <v>159</v>
      </c>
      <c r="P22" s="187" t="s">
        <v>2623</v>
      </c>
      <c r="Q22" s="2" t="s">
        <v>34</v>
      </c>
      <c r="R22" s="2" t="s">
        <v>911</v>
      </c>
      <c r="S22" s="2" t="s">
        <v>914</v>
      </c>
      <c r="T22" s="185" t="s">
        <v>2624</v>
      </c>
      <c r="U22" s="162">
        <v>3.6469999999999998</v>
      </c>
      <c r="V22" s="155">
        <v>1020.81</v>
      </c>
      <c r="W22" s="155">
        <v>3722.895</v>
      </c>
      <c r="X22" s="168">
        <v>1.36986301369863E-4</v>
      </c>
      <c r="Y22" s="168">
        <v>2.8046119095607499E-2</v>
      </c>
      <c r="Z22" s="168">
        <v>1.53436014515757E-3</v>
      </c>
    </row>
    <row r="23" spans="1:26">
      <c r="A23" s="2">
        <v>288</v>
      </c>
      <c r="B23" s="2">
        <v>288</v>
      </c>
      <c r="C23" s="2" t="s">
        <v>1900</v>
      </c>
      <c r="D23" s="2" t="s">
        <v>1901</v>
      </c>
      <c r="E23" s="2" t="s">
        <v>332</v>
      </c>
      <c r="F23" s="2" t="s">
        <v>2625</v>
      </c>
      <c r="G23" s="2">
        <v>62021621</v>
      </c>
      <c r="H23" s="2" t="s">
        <v>43</v>
      </c>
      <c r="I23" s="2" t="s">
        <v>1045</v>
      </c>
      <c r="J23" s="2" t="s">
        <v>586</v>
      </c>
      <c r="K23" s="2" t="s">
        <v>124</v>
      </c>
      <c r="L23" s="2" t="s">
        <v>273</v>
      </c>
      <c r="M23" s="2" t="s">
        <v>2626</v>
      </c>
      <c r="N23" s="2" t="s">
        <v>125</v>
      </c>
      <c r="O23" s="2" t="s">
        <v>159</v>
      </c>
      <c r="P23" s="187" t="s">
        <v>2627</v>
      </c>
      <c r="Q23" s="2" t="s">
        <v>34</v>
      </c>
      <c r="R23" s="2" t="s">
        <v>31</v>
      </c>
      <c r="S23" s="2" t="s">
        <v>1329</v>
      </c>
      <c r="T23" s="185" t="s">
        <v>2624</v>
      </c>
      <c r="U23" s="162">
        <v>3.6469999999999998</v>
      </c>
      <c r="V23" s="155">
        <v>959.93299999999999</v>
      </c>
      <c r="W23" s="155">
        <v>3500.875</v>
      </c>
      <c r="X23" s="168">
        <v>0</v>
      </c>
      <c r="Y23" s="168">
        <v>2.63735539819713E-2</v>
      </c>
      <c r="Z23" s="168">
        <v>1.4428566739715599E-3</v>
      </c>
    </row>
    <row r="24" spans="1:26">
      <c r="A24" s="2">
        <v>288</v>
      </c>
      <c r="B24" s="2">
        <v>288</v>
      </c>
      <c r="C24" s="2" t="s">
        <v>2628</v>
      </c>
      <c r="D24" s="2" t="s">
        <v>2629</v>
      </c>
      <c r="E24" s="2" t="s">
        <v>331</v>
      </c>
      <c r="F24" s="2" t="s">
        <v>2630</v>
      </c>
      <c r="G24" s="2">
        <v>62008925</v>
      </c>
      <c r="H24" s="2" t="s">
        <v>43</v>
      </c>
      <c r="I24" s="2" t="s">
        <v>1045</v>
      </c>
      <c r="J24" s="2" t="s">
        <v>852</v>
      </c>
      <c r="K24" s="2" t="s">
        <v>124</v>
      </c>
      <c r="L24" s="2" t="s">
        <v>238</v>
      </c>
      <c r="M24" s="2" t="s">
        <v>2631</v>
      </c>
      <c r="N24" s="2" t="s">
        <v>125</v>
      </c>
      <c r="O24" s="2" t="s">
        <v>159</v>
      </c>
      <c r="P24" s="187" t="s">
        <v>2632</v>
      </c>
      <c r="Q24" s="2" t="s">
        <v>34</v>
      </c>
      <c r="R24" s="2" t="s">
        <v>911</v>
      </c>
      <c r="S24" s="2" t="s">
        <v>914</v>
      </c>
      <c r="T24" s="185" t="s">
        <v>2533</v>
      </c>
      <c r="U24" s="162">
        <v>3.6469999999999998</v>
      </c>
      <c r="V24" s="155">
        <v>2518.998</v>
      </c>
      <c r="W24" s="155">
        <v>9186.7870000000003</v>
      </c>
      <c r="X24" s="168">
        <v>2.0000000000000001E-4</v>
      </c>
      <c r="Y24" s="168">
        <v>6.9207901122796595E-2</v>
      </c>
      <c r="Z24" s="168">
        <v>3.7862580862197E-3</v>
      </c>
    </row>
    <row r="25" spans="1:26">
      <c r="A25" s="2">
        <v>288</v>
      </c>
      <c r="B25" s="2">
        <v>288</v>
      </c>
      <c r="C25" s="2" t="s">
        <v>2633</v>
      </c>
      <c r="D25" s="2" t="s">
        <v>2634</v>
      </c>
      <c r="E25" s="2" t="s">
        <v>1333</v>
      </c>
      <c r="F25" s="2" t="s">
        <v>2635</v>
      </c>
      <c r="G25" s="2">
        <v>62018759</v>
      </c>
      <c r="H25" s="2" t="s">
        <v>43</v>
      </c>
      <c r="I25" s="2" t="s">
        <v>1045</v>
      </c>
      <c r="J25" s="2" t="s">
        <v>862</v>
      </c>
      <c r="K25" s="2" t="s">
        <v>124</v>
      </c>
      <c r="L25" s="2" t="s">
        <v>2636</v>
      </c>
      <c r="M25" s="2" t="s">
        <v>2637</v>
      </c>
      <c r="N25" s="2" t="s">
        <v>313</v>
      </c>
      <c r="O25" s="2" t="s">
        <v>159</v>
      </c>
      <c r="P25" s="187" t="s">
        <v>2638</v>
      </c>
      <c r="Q25" s="2" t="s">
        <v>1203</v>
      </c>
      <c r="R25" s="11" t="s">
        <v>913</v>
      </c>
      <c r="S25" s="2" t="s">
        <v>915</v>
      </c>
      <c r="T25" s="185" t="s">
        <v>2639</v>
      </c>
      <c r="U25" s="162">
        <v>3.7964000000000002</v>
      </c>
      <c r="V25" s="155">
        <v>291.71899999999999</v>
      </c>
      <c r="W25" s="155">
        <v>1107.4839999999999</v>
      </c>
      <c r="X25" s="168">
        <v>1E-4</v>
      </c>
      <c r="Y25" s="168">
        <v>8.3431357292461598E-3</v>
      </c>
      <c r="Z25" s="168">
        <v>4.5644015505162498E-4</v>
      </c>
    </row>
    <row r="26" spans="1:26">
      <c r="A26" s="2">
        <v>288</v>
      </c>
      <c r="B26" s="2">
        <v>288</v>
      </c>
      <c r="C26" s="2" t="s">
        <v>2640</v>
      </c>
      <c r="D26" s="2" t="s">
        <v>2641</v>
      </c>
      <c r="E26" s="2" t="s">
        <v>43</v>
      </c>
      <c r="F26" s="2" t="s">
        <v>2642</v>
      </c>
      <c r="G26" s="2">
        <v>62021118</v>
      </c>
      <c r="H26" s="2" t="s">
        <v>43</v>
      </c>
      <c r="I26" s="2" t="s">
        <v>1049</v>
      </c>
      <c r="J26" s="2" t="s">
        <v>858</v>
      </c>
      <c r="K26" s="2" t="s">
        <v>124</v>
      </c>
      <c r="L26" s="2" t="s">
        <v>253</v>
      </c>
      <c r="M26" s="2" t="s">
        <v>2643</v>
      </c>
      <c r="N26" s="2" t="s">
        <v>253</v>
      </c>
      <c r="O26" s="2" t="s">
        <v>159</v>
      </c>
      <c r="P26" s="187" t="s">
        <v>2644</v>
      </c>
      <c r="Q26" s="2" t="s">
        <v>1205</v>
      </c>
      <c r="R26" s="11" t="s">
        <v>913</v>
      </c>
      <c r="S26" s="2" t="s">
        <v>915</v>
      </c>
      <c r="T26" s="185" t="s">
        <v>2645</v>
      </c>
      <c r="U26" s="162">
        <v>4.5743</v>
      </c>
      <c r="V26" s="155">
        <v>597.42399999999998</v>
      </c>
      <c r="W26" s="155">
        <v>2732.797</v>
      </c>
      <c r="X26" s="168">
        <v>9.4339622641509402E-4</v>
      </c>
      <c r="Y26" s="168">
        <v>2.0587297608195099E-2</v>
      </c>
      <c r="Z26" s="168">
        <v>1.1262994654921601E-3</v>
      </c>
    </row>
    <row r="27" spans="1:26">
      <c r="A27" s="2">
        <v>288</v>
      </c>
      <c r="B27" s="2">
        <v>288</v>
      </c>
      <c r="C27" s="2" t="s">
        <v>2646</v>
      </c>
      <c r="D27" s="2" t="s">
        <v>2647</v>
      </c>
      <c r="E27" s="2" t="s">
        <v>332</v>
      </c>
      <c r="F27" s="2" t="s">
        <v>2648</v>
      </c>
      <c r="G27" s="2">
        <v>62015821</v>
      </c>
      <c r="H27" s="2" t="s">
        <v>43</v>
      </c>
      <c r="I27" s="2" t="s">
        <v>1045</v>
      </c>
      <c r="J27" s="2" t="s">
        <v>852</v>
      </c>
      <c r="K27" s="2" t="s">
        <v>124</v>
      </c>
      <c r="L27" s="2" t="s">
        <v>238</v>
      </c>
      <c r="M27" s="2" t="s">
        <v>2649</v>
      </c>
      <c r="N27" s="2" t="s">
        <v>125</v>
      </c>
      <c r="O27" s="2" t="s">
        <v>159</v>
      </c>
      <c r="P27" s="187" t="s">
        <v>2650</v>
      </c>
      <c r="Q27" s="2" t="s">
        <v>34</v>
      </c>
      <c r="R27" s="2" t="s">
        <v>913</v>
      </c>
      <c r="S27" s="2" t="s">
        <v>915</v>
      </c>
      <c r="T27" s="185" t="s">
        <v>2645</v>
      </c>
      <c r="U27" s="162">
        <v>3.6469999999999998</v>
      </c>
      <c r="V27" s="155">
        <v>865.23099999999999</v>
      </c>
      <c r="W27" s="155">
        <v>3155.498</v>
      </c>
      <c r="X27" s="168">
        <v>8.3333333333333295E-4</v>
      </c>
      <c r="Y27" s="168">
        <v>2.37716870109663E-2</v>
      </c>
      <c r="Z27" s="168">
        <v>1.3005125239769499E-3</v>
      </c>
    </row>
    <row r="28" spans="1:26">
      <c r="A28" s="2">
        <v>288</v>
      </c>
      <c r="B28" s="2">
        <v>288</v>
      </c>
      <c r="C28" s="2" t="s">
        <v>2651</v>
      </c>
      <c r="D28" s="2" t="s">
        <v>2652</v>
      </c>
      <c r="E28" s="2" t="s">
        <v>43</v>
      </c>
      <c r="F28" s="2" t="s">
        <v>2653</v>
      </c>
      <c r="G28" s="2">
        <v>62020110</v>
      </c>
      <c r="H28" s="2" t="s">
        <v>43</v>
      </c>
      <c r="I28" s="2" t="s">
        <v>1045</v>
      </c>
      <c r="J28" s="2" t="s">
        <v>586</v>
      </c>
      <c r="K28" s="2" t="s">
        <v>124</v>
      </c>
      <c r="L28" s="2" t="s">
        <v>238</v>
      </c>
      <c r="M28" s="2" t="s">
        <v>2654</v>
      </c>
      <c r="N28" s="2" t="s">
        <v>238</v>
      </c>
      <c r="O28" s="2" t="s">
        <v>159</v>
      </c>
      <c r="P28" s="187" t="s">
        <v>2655</v>
      </c>
      <c r="Q28" s="2" t="s">
        <v>34</v>
      </c>
      <c r="R28" s="2" t="s">
        <v>911</v>
      </c>
      <c r="S28" s="2" t="s">
        <v>914</v>
      </c>
      <c r="T28" s="185" t="s">
        <v>2543</v>
      </c>
      <c r="U28" s="162">
        <v>3.6469999999999998</v>
      </c>
      <c r="V28" s="155">
        <v>3006.72</v>
      </c>
      <c r="W28" s="155">
        <v>10965.508</v>
      </c>
      <c r="X28" s="168">
        <v>1.16E-3</v>
      </c>
      <c r="Y28" s="168">
        <v>8.2607747588662905E-2</v>
      </c>
      <c r="Z28" s="168">
        <v>4.5193431272682397E-3</v>
      </c>
    </row>
    <row r="29" spans="1:26">
      <c r="A29" s="2">
        <v>288</v>
      </c>
      <c r="B29" s="2">
        <v>288</v>
      </c>
      <c r="C29" s="2" t="s">
        <v>2656</v>
      </c>
      <c r="D29" s="2" t="s">
        <v>2657</v>
      </c>
      <c r="E29" s="2" t="s">
        <v>329</v>
      </c>
      <c r="F29" s="2" t="s">
        <v>2658</v>
      </c>
      <c r="G29" s="2">
        <v>62018676</v>
      </c>
      <c r="H29" s="2" t="s">
        <v>43</v>
      </c>
      <c r="I29" s="2" t="s">
        <v>1045</v>
      </c>
      <c r="J29" s="2" t="s">
        <v>858</v>
      </c>
      <c r="K29" s="2" t="s">
        <v>124</v>
      </c>
      <c r="L29" s="2" t="s">
        <v>125</v>
      </c>
      <c r="M29" s="2" t="s">
        <v>30</v>
      </c>
      <c r="N29" s="2" t="s">
        <v>125</v>
      </c>
      <c r="O29" s="2" t="s">
        <v>358</v>
      </c>
      <c r="P29" s="187" t="s">
        <v>2659</v>
      </c>
      <c r="Q29" s="2" t="s">
        <v>34</v>
      </c>
      <c r="R29" s="2" t="s">
        <v>911</v>
      </c>
      <c r="S29" s="2" t="s">
        <v>915</v>
      </c>
      <c r="T29" s="185" t="s">
        <v>160</v>
      </c>
      <c r="U29" s="162">
        <v>3.6469999999999998</v>
      </c>
      <c r="V29" s="155">
        <v>4714.9769999999999</v>
      </c>
      <c r="W29" s="155">
        <v>17195.52</v>
      </c>
      <c r="X29" s="168">
        <v>0.24440000000000001</v>
      </c>
      <c r="Y29" s="168">
        <v>0.129541030745317</v>
      </c>
      <c r="Z29" s="168">
        <v>7.0869910400321598E-3</v>
      </c>
    </row>
    <row r="30" spans="1:26">
      <c r="A30" s="2">
        <v>288</v>
      </c>
      <c r="B30" s="2">
        <v>1452</v>
      </c>
      <c r="C30" s="2" t="s">
        <v>2660</v>
      </c>
      <c r="D30" s="2" t="s">
        <v>2559</v>
      </c>
      <c r="E30" s="2" t="s">
        <v>1333</v>
      </c>
      <c r="F30" s="2" t="s">
        <v>2661</v>
      </c>
      <c r="G30" s="2">
        <v>996141</v>
      </c>
      <c r="H30" s="2" t="s">
        <v>43</v>
      </c>
      <c r="I30" s="2" t="s">
        <v>1047</v>
      </c>
      <c r="J30" s="2" t="s">
        <v>586</v>
      </c>
      <c r="K30" s="2" t="s">
        <v>30</v>
      </c>
      <c r="L30" s="2" t="s">
        <v>30</v>
      </c>
      <c r="M30" s="2" t="s">
        <v>2561</v>
      </c>
      <c r="N30" s="2" t="s">
        <v>30</v>
      </c>
      <c r="O30" s="2" t="s">
        <v>159</v>
      </c>
      <c r="P30" s="187" t="s">
        <v>2662</v>
      </c>
      <c r="Q30" s="2" t="s">
        <v>44</v>
      </c>
      <c r="R30" s="2" t="s">
        <v>31</v>
      </c>
      <c r="S30" s="2" t="s">
        <v>1329</v>
      </c>
      <c r="T30" s="185" t="s">
        <v>2557</v>
      </c>
      <c r="U30" s="162">
        <v>1</v>
      </c>
      <c r="V30" s="155">
        <v>1194.2639999999999</v>
      </c>
      <c r="W30" s="155">
        <v>1194.2639999999999</v>
      </c>
      <c r="X30" s="168">
        <v>0</v>
      </c>
      <c r="Y30" s="168">
        <v>1</v>
      </c>
      <c r="Z30" s="168">
        <v>1.9906737813476901E-2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topLeftCell="Q1" zoomScaleNormal="100" workbookViewId="0">
      <selection sqref="A1:AB5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166</v>
      </c>
      <c r="E1" s="22" t="s">
        <v>167</v>
      </c>
      <c r="F1" s="22" t="s">
        <v>3</v>
      </c>
      <c r="G1" s="22" t="s">
        <v>4</v>
      </c>
      <c r="H1" s="22" t="s">
        <v>168</v>
      </c>
      <c r="I1" s="22" t="s">
        <v>6</v>
      </c>
      <c r="J1" s="22" t="s">
        <v>7</v>
      </c>
      <c r="K1" s="22" t="s">
        <v>344</v>
      </c>
      <c r="L1" s="22" t="s">
        <v>1138</v>
      </c>
      <c r="M1" s="22" t="s">
        <v>169</v>
      </c>
      <c r="N1" s="183" t="s">
        <v>1139</v>
      </c>
      <c r="O1" s="22" t="s">
        <v>145</v>
      </c>
      <c r="P1" s="183" t="s">
        <v>177</v>
      </c>
      <c r="Q1" s="22" t="s">
        <v>11</v>
      </c>
      <c r="R1" s="22" t="s">
        <v>170</v>
      </c>
      <c r="S1" s="22" t="s">
        <v>171</v>
      </c>
      <c r="T1" s="183" t="s">
        <v>154</v>
      </c>
      <c r="U1" s="172" t="s">
        <v>1140</v>
      </c>
      <c r="V1" s="22" t="s">
        <v>1141</v>
      </c>
      <c r="W1" s="22" t="s">
        <v>17</v>
      </c>
      <c r="X1" s="172" t="s">
        <v>19</v>
      </c>
      <c r="Y1" s="161" t="s">
        <v>18</v>
      </c>
      <c r="Z1" s="22" t="s">
        <v>20</v>
      </c>
      <c r="AA1" s="167" t="s">
        <v>24</v>
      </c>
      <c r="AB1" s="167" t="s">
        <v>25</v>
      </c>
    </row>
    <row r="2" spans="1:28">
      <c r="A2" s="23">
        <v>288</v>
      </c>
      <c r="B2" s="23">
        <v>288</v>
      </c>
      <c r="C2" s="23" t="s">
        <v>1331</v>
      </c>
      <c r="D2" s="23" t="s">
        <v>1332</v>
      </c>
      <c r="E2" s="21" t="s">
        <v>1333</v>
      </c>
      <c r="F2" s="23" t="s">
        <v>1334</v>
      </c>
      <c r="G2" s="23" t="s">
        <v>1335</v>
      </c>
      <c r="H2" s="23" t="s">
        <v>339</v>
      </c>
      <c r="I2" s="21" t="s">
        <v>30</v>
      </c>
      <c r="J2" s="21" t="s">
        <v>30</v>
      </c>
      <c r="K2" s="23" t="s">
        <v>347</v>
      </c>
      <c r="L2" s="23" t="s">
        <v>1335</v>
      </c>
      <c r="M2" s="23" t="s">
        <v>494</v>
      </c>
      <c r="N2" s="184" t="s">
        <v>1336</v>
      </c>
      <c r="O2" s="23" t="s">
        <v>159</v>
      </c>
      <c r="P2" s="184" t="s">
        <v>1337</v>
      </c>
      <c r="Q2" s="21" t="s">
        <v>44</v>
      </c>
      <c r="R2" s="23" t="s">
        <v>31</v>
      </c>
      <c r="S2" s="23"/>
      <c r="T2" s="184" t="s">
        <v>1338</v>
      </c>
      <c r="U2" s="178">
        <v>22.5</v>
      </c>
      <c r="V2" s="157">
        <v>1</v>
      </c>
      <c r="W2" s="157">
        <v>33550</v>
      </c>
      <c r="X2" s="178">
        <v>0.41899999999999998</v>
      </c>
      <c r="Y2" s="177">
        <v>1</v>
      </c>
      <c r="Z2" s="157">
        <v>0.14099999999999999</v>
      </c>
      <c r="AA2" s="176">
        <v>1.4246847065505399E-3</v>
      </c>
      <c r="AB2" s="176">
        <v>5.7922787138534399E-8</v>
      </c>
    </row>
    <row r="3" spans="1:28">
      <c r="A3" s="23">
        <v>288</v>
      </c>
      <c r="B3" s="23">
        <v>288</v>
      </c>
      <c r="C3" s="23" t="s">
        <v>1339</v>
      </c>
      <c r="D3" s="23" t="s">
        <v>1340</v>
      </c>
      <c r="E3" s="21" t="s">
        <v>332</v>
      </c>
      <c r="F3" s="23" t="s">
        <v>1341</v>
      </c>
      <c r="G3" s="23" t="s">
        <v>1342</v>
      </c>
      <c r="H3" s="23" t="s">
        <v>43</v>
      </c>
      <c r="I3" s="21" t="s">
        <v>124</v>
      </c>
      <c r="J3" s="21" t="s">
        <v>125</v>
      </c>
      <c r="K3" s="23" t="s">
        <v>346</v>
      </c>
      <c r="L3" s="23" t="s">
        <v>2811</v>
      </c>
      <c r="M3" s="23" t="s">
        <v>31</v>
      </c>
      <c r="N3" s="204" t="s">
        <v>1343</v>
      </c>
      <c r="O3" s="23" t="s">
        <v>159</v>
      </c>
      <c r="P3" s="204" t="s">
        <v>1344</v>
      </c>
      <c r="Q3" s="21" t="s">
        <v>34</v>
      </c>
      <c r="R3" s="23" t="s">
        <v>31</v>
      </c>
      <c r="S3" s="23"/>
      <c r="T3" s="204">
        <v>45657</v>
      </c>
      <c r="U3" s="178">
        <v>0</v>
      </c>
      <c r="V3" s="157">
        <v>0</v>
      </c>
      <c r="W3" s="157">
        <v>15184</v>
      </c>
      <c r="X3" s="178">
        <v>177.887</v>
      </c>
      <c r="Y3" s="177">
        <v>3.6469999999999998</v>
      </c>
      <c r="Z3" s="157">
        <v>98.507000000000005</v>
      </c>
      <c r="AA3" s="176">
        <v>0.99857531529344901</v>
      </c>
      <c r="AB3" s="176">
        <v>4.0598642747826398E-5</v>
      </c>
    </row>
    <row r="4" spans="1:28">
      <c r="A4" s="23">
        <v>288</v>
      </c>
      <c r="B4" s="23">
        <v>1452</v>
      </c>
      <c r="C4" s="23" t="s">
        <v>1331</v>
      </c>
      <c r="D4" s="23" t="s">
        <v>1332</v>
      </c>
      <c r="E4" s="21" t="s">
        <v>1333</v>
      </c>
      <c r="F4" s="23" t="s">
        <v>1334</v>
      </c>
      <c r="G4" s="23" t="s">
        <v>1335</v>
      </c>
      <c r="H4" s="23" t="s">
        <v>339</v>
      </c>
      <c r="I4" s="21" t="s">
        <v>30</v>
      </c>
      <c r="J4" s="21" t="s">
        <v>30</v>
      </c>
      <c r="K4" s="23" t="s">
        <v>347</v>
      </c>
      <c r="L4" s="23" t="s">
        <v>1335</v>
      </c>
      <c r="M4" s="23" t="s">
        <v>494</v>
      </c>
      <c r="N4" s="184" t="s">
        <v>1336</v>
      </c>
      <c r="O4" s="23" t="s">
        <v>159</v>
      </c>
      <c r="P4" s="184" t="s">
        <v>1337</v>
      </c>
      <c r="Q4" s="21" t="s">
        <v>44</v>
      </c>
      <c r="R4" s="23" t="s">
        <v>31</v>
      </c>
      <c r="S4" s="23"/>
      <c r="T4" s="184" t="s">
        <v>1338</v>
      </c>
      <c r="U4" s="178">
        <v>22.5</v>
      </c>
      <c r="V4" s="157">
        <v>1</v>
      </c>
      <c r="W4" s="157">
        <v>1454</v>
      </c>
      <c r="X4" s="178">
        <v>0.41899999999999998</v>
      </c>
      <c r="Y4" s="177">
        <v>1</v>
      </c>
      <c r="Z4" s="157">
        <v>6.0000000000000001E-3</v>
      </c>
      <c r="AA4" s="176">
        <v>1</v>
      </c>
      <c r="AB4" s="176">
        <v>1.01525355970661E-7</v>
      </c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166</v>
      </c>
      <c r="E1" s="22" t="s">
        <v>167</v>
      </c>
      <c r="F1" s="22" t="s">
        <v>3</v>
      </c>
      <c r="G1" s="22" t="s">
        <v>4</v>
      </c>
      <c r="H1" s="22" t="s">
        <v>168</v>
      </c>
      <c r="I1" s="22" t="s">
        <v>5</v>
      </c>
      <c r="J1" s="22" t="s">
        <v>6</v>
      </c>
      <c r="K1" s="22" t="s">
        <v>7</v>
      </c>
      <c r="L1" s="22" t="s">
        <v>169</v>
      </c>
      <c r="M1" s="22" t="s">
        <v>192</v>
      </c>
      <c r="N1" s="22" t="s">
        <v>1139</v>
      </c>
      <c r="O1" s="22" t="s">
        <v>145</v>
      </c>
      <c r="P1" s="22" t="s">
        <v>177</v>
      </c>
      <c r="Q1" s="22" t="s">
        <v>11</v>
      </c>
      <c r="R1" s="22" t="s">
        <v>170</v>
      </c>
      <c r="S1" s="22" t="s">
        <v>171</v>
      </c>
      <c r="T1" s="22" t="s">
        <v>154</v>
      </c>
      <c r="U1" s="22" t="s">
        <v>1140</v>
      </c>
      <c r="V1" s="22" t="s">
        <v>1141</v>
      </c>
      <c r="W1" s="22" t="s">
        <v>17</v>
      </c>
      <c r="X1" s="22" t="s">
        <v>19</v>
      </c>
      <c r="Y1" s="22" t="s">
        <v>18</v>
      </c>
      <c r="Z1" s="22" t="s">
        <v>1345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W1" zoomScale="70" zoomScaleNormal="70" workbookViewId="0">
      <selection activeCell="AI4" sqref="AI4"/>
    </sheetView>
  </sheetViews>
  <sheetFormatPr defaultColWidth="9" defaultRowHeight="14.25"/>
  <cols>
    <col min="1" max="33" width="11.625" style="11" customWidth="1"/>
    <col min="34" max="34" width="11.625" style="146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1154</v>
      </c>
      <c r="E1" s="22" t="s">
        <v>1155</v>
      </c>
      <c r="F1" s="22" t="s">
        <v>18</v>
      </c>
      <c r="G1" s="22" t="s">
        <v>1156</v>
      </c>
      <c r="H1" s="22" t="s">
        <v>1157</v>
      </c>
      <c r="I1" s="22" t="s">
        <v>1158</v>
      </c>
      <c r="J1" s="22" t="s">
        <v>1159</v>
      </c>
      <c r="K1" s="22" t="s">
        <v>1160</v>
      </c>
      <c r="L1" s="22" t="s">
        <v>1161</v>
      </c>
      <c r="M1" s="22" t="s">
        <v>18</v>
      </c>
      <c r="N1" s="22" t="s">
        <v>1162</v>
      </c>
      <c r="O1" s="22" t="s">
        <v>1163</v>
      </c>
      <c r="P1" s="22" t="s">
        <v>1317</v>
      </c>
      <c r="Q1" s="22" t="s">
        <v>1318</v>
      </c>
      <c r="R1" s="22" t="s">
        <v>1319</v>
      </c>
      <c r="S1" s="22" t="s">
        <v>6</v>
      </c>
      <c r="T1" s="22" t="s">
        <v>7</v>
      </c>
      <c r="U1" s="22" t="s">
        <v>1167</v>
      </c>
      <c r="V1" s="22" t="s">
        <v>946</v>
      </c>
      <c r="W1" s="22" t="s">
        <v>953</v>
      </c>
      <c r="X1" s="22" t="s">
        <v>342</v>
      </c>
      <c r="Y1" s="22" t="s">
        <v>145</v>
      </c>
      <c r="Z1" s="22" t="s">
        <v>1168</v>
      </c>
      <c r="AA1" s="22" t="s">
        <v>1169</v>
      </c>
      <c r="AB1" s="22" t="s">
        <v>917</v>
      </c>
      <c r="AC1" s="22" t="s">
        <v>925</v>
      </c>
      <c r="AD1" s="22" t="s">
        <v>1170</v>
      </c>
      <c r="AE1" s="22" t="s">
        <v>943</v>
      </c>
      <c r="AF1" s="22" t="s">
        <v>928</v>
      </c>
      <c r="AG1" s="22" t="s">
        <v>939</v>
      </c>
      <c r="AH1" s="145" t="s">
        <v>1171</v>
      </c>
      <c r="AI1" s="22" t="s">
        <v>1172</v>
      </c>
      <c r="AJ1" s="22" t="s">
        <v>1173</v>
      </c>
      <c r="AK1" s="22" t="s">
        <v>968</v>
      </c>
      <c r="AL1" s="22" t="s">
        <v>1174</v>
      </c>
      <c r="AM1" s="22" t="s">
        <v>1175</v>
      </c>
      <c r="AN1" s="22" t="s">
        <v>24</v>
      </c>
      <c r="AO1" s="22" t="s">
        <v>25</v>
      </c>
    </row>
    <row r="2" spans="1:41" ht="15">
      <c r="A2" s="193">
        <v>288</v>
      </c>
      <c r="B2" s="193">
        <v>288</v>
      </c>
      <c r="C2" s="194" t="s">
        <v>1064</v>
      </c>
      <c r="D2" s="193">
        <v>9934605</v>
      </c>
      <c r="E2" s="194" t="s">
        <v>34</v>
      </c>
      <c r="F2" s="195">
        <v>3.6469999999999998</v>
      </c>
      <c r="G2" s="196">
        <v>-54300000</v>
      </c>
      <c r="H2" s="196">
        <v>196827.75099999999</v>
      </c>
      <c r="I2" s="196">
        <v>60.53</v>
      </c>
      <c r="J2" s="197">
        <v>8.0648559790375801E-2</v>
      </c>
      <c r="K2" s="193">
        <v>9934605</v>
      </c>
      <c r="L2" s="194" t="s">
        <v>44</v>
      </c>
      <c r="M2" s="195">
        <v>1</v>
      </c>
      <c r="N2" s="196">
        <v>202321800</v>
      </c>
      <c r="O2" s="196">
        <v>-191283.56200000001</v>
      </c>
      <c r="P2" s="196">
        <v>61.72</v>
      </c>
      <c r="Q2" s="196">
        <v>-7.8376873730945887E-2</v>
      </c>
      <c r="R2" s="196">
        <v>5544.1890000000003</v>
      </c>
      <c r="S2" s="194" t="s">
        <v>30</v>
      </c>
      <c r="T2" s="194" t="s">
        <v>30</v>
      </c>
      <c r="U2" s="194" t="s">
        <v>764</v>
      </c>
      <c r="V2" s="194" t="s">
        <v>31</v>
      </c>
      <c r="W2" s="194" t="s">
        <v>31</v>
      </c>
      <c r="X2" s="194" t="s">
        <v>2775</v>
      </c>
      <c r="Y2" s="194" t="s">
        <v>159</v>
      </c>
      <c r="Z2" s="194" t="s">
        <v>2776</v>
      </c>
      <c r="AA2" s="194" t="s">
        <v>2777</v>
      </c>
      <c r="AB2" s="194" t="s">
        <v>922</v>
      </c>
      <c r="AC2" s="194" t="s">
        <v>927</v>
      </c>
      <c r="AD2" s="194" t="s">
        <v>159</v>
      </c>
      <c r="AE2" s="194" t="s">
        <v>945</v>
      </c>
      <c r="AF2" s="194" t="s">
        <v>924</v>
      </c>
      <c r="AG2" s="194" t="s">
        <v>922</v>
      </c>
      <c r="AH2" s="196">
        <v>4.1980000000000004</v>
      </c>
      <c r="AI2" s="196">
        <v>-362.48200000000003</v>
      </c>
      <c r="AJ2" s="196">
        <v>352.27100000000002</v>
      </c>
      <c r="AK2" s="194" t="s">
        <v>159</v>
      </c>
      <c r="AL2" s="194" t="s">
        <v>2778</v>
      </c>
      <c r="AM2" s="194" t="s">
        <v>2779</v>
      </c>
      <c r="AN2" s="194" t="s">
        <v>2780</v>
      </c>
      <c r="AO2" s="198">
        <v>2.2716860594299217E-3</v>
      </c>
    </row>
    <row r="3" spans="1:41" ht="15">
      <c r="A3" s="193">
        <v>288</v>
      </c>
      <c r="B3" s="193">
        <v>288</v>
      </c>
      <c r="C3" s="194" t="s">
        <v>1064</v>
      </c>
      <c r="D3" s="193">
        <v>9935986</v>
      </c>
      <c r="E3" s="194" t="s">
        <v>34</v>
      </c>
      <c r="F3" s="195">
        <v>3.6469999999999998</v>
      </c>
      <c r="G3" s="196">
        <v>-50000000</v>
      </c>
      <c r="H3" s="196">
        <v>187070.495</v>
      </c>
      <c r="I3" s="196">
        <v>57.77</v>
      </c>
      <c r="J3" s="197">
        <v>7.6650604014790055E-2</v>
      </c>
      <c r="K3" s="193">
        <v>9935986</v>
      </c>
      <c r="L3" s="194" t="s">
        <v>44</v>
      </c>
      <c r="M3" s="195">
        <v>1</v>
      </c>
      <c r="N3" s="196">
        <v>187530000</v>
      </c>
      <c r="O3" s="196">
        <v>-181863.00399999999</v>
      </c>
      <c r="P3" s="196">
        <v>58.43</v>
      </c>
      <c r="Q3" s="196">
        <v>-7.4516877204736001E-2</v>
      </c>
      <c r="R3" s="196">
        <v>5207.49</v>
      </c>
      <c r="S3" s="194" t="s">
        <v>30</v>
      </c>
      <c r="T3" s="194" t="s">
        <v>30</v>
      </c>
      <c r="U3" s="194" t="s">
        <v>764</v>
      </c>
      <c r="V3" s="194" t="s">
        <v>31</v>
      </c>
      <c r="W3" s="194" t="s">
        <v>31</v>
      </c>
      <c r="X3" s="194" t="s">
        <v>2775</v>
      </c>
      <c r="Y3" s="194" t="s">
        <v>159</v>
      </c>
      <c r="Z3" s="194" t="s">
        <v>2781</v>
      </c>
      <c r="AA3" s="194" t="s">
        <v>2782</v>
      </c>
      <c r="AB3" s="194" t="s">
        <v>921</v>
      </c>
      <c r="AC3" s="194" t="s">
        <v>927</v>
      </c>
      <c r="AD3" s="194" t="s">
        <v>159</v>
      </c>
      <c r="AE3" s="194" t="s">
        <v>945</v>
      </c>
      <c r="AF3" s="194" t="s">
        <v>924</v>
      </c>
      <c r="AG3" s="194" t="s">
        <v>919</v>
      </c>
      <c r="AH3" s="196">
        <v>4.3380000000000001</v>
      </c>
      <c r="AI3" s="196">
        <v>-374.14</v>
      </c>
      <c r="AJ3" s="196">
        <v>363.726</v>
      </c>
      <c r="AK3" s="194" t="s">
        <v>159</v>
      </c>
      <c r="AL3" s="194" t="s">
        <v>2778</v>
      </c>
      <c r="AM3" s="194" t="s">
        <v>2779</v>
      </c>
      <c r="AN3" s="194" t="s">
        <v>2783</v>
      </c>
      <c r="AO3" s="198">
        <v>2.1337264003122411E-3</v>
      </c>
    </row>
    <row r="4" spans="1:41" ht="15">
      <c r="A4" s="193">
        <v>288</v>
      </c>
      <c r="B4" s="193">
        <v>288</v>
      </c>
      <c r="C4" s="194" t="s">
        <v>1064</v>
      </c>
      <c r="D4" s="193">
        <v>9935997</v>
      </c>
      <c r="E4" s="194" t="s">
        <v>1203</v>
      </c>
      <c r="F4" s="195">
        <v>3.7964000000000002</v>
      </c>
      <c r="G4" s="196">
        <v>-6719000</v>
      </c>
      <c r="H4" s="196">
        <v>26751.473999999998</v>
      </c>
      <c r="I4" s="196">
        <v>8.26</v>
      </c>
      <c r="J4" s="197">
        <v>1.096119749074247E-2</v>
      </c>
      <c r="K4" s="193">
        <v>9935997</v>
      </c>
      <c r="L4" s="194" t="s">
        <v>44</v>
      </c>
      <c r="M4" s="195">
        <v>1</v>
      </c>
      <c r="N4" s="196">
        <v>26815529</v>
      </c>
      <c r="O4" s="196">
        <v>-25459.743999999999</v>
      </c>
      <c r="P4" s="196">
        <v>8.18</v>
      </c>
      <c r="Q4" s="196">
        <v>-1.0431921697015486E-2</v>
      </c>
      <c r="R4" s="196">
        <v>1291.73</v>
      </c>
      <c r="S4" s="194" t="s">
        <v>30</v>
      </c>
      <c r="T4" s="194" t="s">
        <v>30</v>
      </c>
      <c r="U4" s="194" t="s">
        <v>764</v>
      </c>
      <c r="V4" s="194" t="s">
        <v>31</v>
      </c>
      <c r="W4" s="194" t="s">
        <v>31</v>
      </c>
      <c r="X4" s="194" t="s">
        <v>2784</v>
      </c>
      <c r="Y4" s="194" t="s">
        <v>159</v>
      </c>
      <c r="Z4" s="194" t="s">
        <v>2781</v>
      </c>
      <c r="AA4" s="194" t="s">
        <v>2782</v>
      </c>
      <c r="AB4" s="194" t="s">
        <v>921</v>
      </c>
      <c r="AC4" s="194" t="s">
        <v>927</v>
      </c>
      <c r="AD4" s="194" t="s">
        <v>159</v>
      </c>
      <c r="AE4" s="194" t="s">
        <v>945</v>
      </c>
      <c r="AF4" s="194" t="s">
        <v>924</v>
      </c>
      <c r="AG4" s="194" t="s">
        <v>919</v>
      </c>
      <c r="AH4" s="196">
        <v>2.8839999999999999</v>
      </c>
      <c r="AI4" s="196">
        <v>-398.14600000000002</v>
      </c>
      <c r="AJ4" s="196">
        <v>378.92099999999999</v>
      </c>
      <c r="AK4" s="194" t="s">
        <v>159</v>
      </c>
      <c r="AL4" s="194" t="s">
        <v>2778</v>
      </c>
      <c r="AM4" s="194" t="s">
        <v>2779</v>
      </c>
      <c r="AN4" s="194" t="s">
        <v>2785</v>
      </c>
      <c r="AO4" s="198">
        <v>5.2927579372698383E-4</v>
      </c>
    </row>
    <row r="5" spans="1:41" ht="15">
      <c r="A5" s="193">
        <v>288</v>
      </c>
      <c r="B5" s="193">
        <v>288</v>
      </c>
      <c r="C5" s="194" t="s">
        <v>1064</v>
      </c>
      <c r="D5" s="193">
        <v>9936584</v>
      </c>
      <c r="E5" s="194" t="s">
        <v>34</v>
      </c>
      <c r="F5" s="195">
        <v>3.6469999999999998</v>
      </c>
      <c r="G5" s="196">
        <v>-4400000</v>
      </c>
      <c r="H5" s="196">
        <v>15907.414000000001</v>
      </c>
      <c r="I5" s="196">
        <v>4.91</v>
      </c>
      <c r="J5" s="197">
        <v>6.5179326724576613E-3</v>
      </c>
      <c r="K5" s="193">
        <v>9936584</v>
      </c>
      <c r="L5" s="194" t="s">
        <v>44</v>
      </c>
      <c r="M5" s="195">
        <v>1</v>
      </c>
      <c r="N5" s="196">
        <v>15946480</v>
      </c>
      <c r="O5" s="196">
        <v>-16004.016</v>
      </c>
      <c r="P5" s="196">
        <v>5.14</v>
      </c>
      <c r="Q5" s="196">
        <v>-6.5575145511982758E-3</v>
      </c>
      <c r="R5" s="196">
        <v>-96.602000000000004</v>
      </c>
      <c r="S5" s="194" t="s">
        <v>30</v>
      </c>
      <c r="T5" s="194" t="s">
        <v>30</v>
      </c>
      <c r="U5" s="194" t="s">
        <v>764</v>
      </c>
      <c r="V5" s="194" t="s">
        <v>31</v>
      </c>
      <c r="W5" s="194" t="s">
        <v>31</v>
      </c>
      <c r="X5" s="194" t="s">
        <v>2775</v>
      </c>
      <c r="Y5" s="194" t="s">
        <v>159</v>
      </c>
      <c r="Z5" s="194" t="s">
        <v>2786</v>
      </c>
      <c r="AA5" s="194" t="s">
        <v>2782</v>
      </c>
      <c r="AB5" s="194" t="s">
        <v>920</v>
      </c>
      <c r="AC5" s="194" t="s">
        <v>927</v>
      </c>
      <c r="AD5" s="194" t="s">
        <v>159</v>
      </c>
      <c r="AE5" s="194" t="s">
        <v>945</v>
      </c>
      <c r="AF5" s="194" t="s">
        <v>924</v>
      </c>
      <c r="AG5" s="194" t="s">
        <v>919</v>
      </c>
      <c r="AH5" s="196">
        <v>4.3380000000000001</v>
      </c>
      <c r="AI5" s="196">
        <v>-361.53199999999998</v>
      </c>
      <c r="AJ5" s="196">
        <v>363.72699999999998</v>
      </c>
      <c r="AK5" s="194" t="s">
        <v>159</v>
      </c>
      <c r="AL5" s="194" t="s">
        <v>2778</v>
      </c>
      <c r="AM5" s="194" t="s">
        <v>2779</v>
      </c>
      <c r="AN5" s="194" t="s">
        <v>2787</v>
      </c>
      <c r="AO5" s="198">
        <v>-3.9581878740614595E-5</v>
      </c>
    </row>
    <row r="6" spans="1:41" ht="15">
      <c r="A6" s="193">
        <v>288</v>
      </c>
      <c r="B6" s="193">
        <v>288</v>
      </c>
      <c r="C6" s="194" t="s">
        <v>1064</v>
      </c>
      <c r="D6" s="193">
        <v>9936913</v>
      </c>
      <c r="E6" s="194" t="s">
        <v>34</v>
      </c>
      <c r="F6" s="195">
        <v>3.6469999999999998</v>
      </c>
      <c r="G6" s="196">
        <v>7000000</v>
      </c>
      <c r="H6" s="196">
        <v>-24998.611000000001</v>
      </c>
      <c r="I6" s="196">
        <v>7.72</v>
      </c>
      <c r="J6" s="197">
        <v>-1.024297622498286E-2</v>
      </c>
      <c r="K6" s="193">
        <v>9936913</v>
      </c>
      <c r="L6" s="194" t="s">
        <v>44</v>
      </c>
      <c r="M6" s="195">
        <v>1</v>
      </c>
      <c r="N6" s="196">
        <v>-25060000</v>
      </c>
      <c r="O6" s="196">
        <v>25460.972000000002</v>
      </c>
      <c r="P6" s="196">
        <v>8.18</v>
      </c>
      <c r="Q6" s="196">
        <v>1.0432424859963391E-2</v>
      </c>
      <c r="R6" s="196">
        <v>462.36200000000002</v>
      </c>
      <c r="S6" s="194" t="s">
        <v>30</v>
      </c>
      <c r="T6" s="194" t="s">
        <v>30</v>
      </c>
      <c r="U6" s="194" t="s">
        <v>764</v>
      </c>
      <c r="V6" s="194" t="s">
        <v>31</v>
      </c>
      <c r="W6" s="194" t="s">
        <v>31</v>
      </c>
      <c r="X6" s="194" t="s">
        <v>2775</v>
      </c>
      <c r="Y6" s="194" t="s">
        <v>159</v>
      </c>
      <c r="Z6" s="194" t="s">
        <v>2639</v>
      </c>
      <c r="AA6" s="194" t="s">
        <v>2782</v>
      </c>
      <c r="AB6" s="194" t="s">
        <v>920</v>
      </c>
      <c r="AC6" s="194" t="s">
        <v>927</v>
      </c>
      <c r="AD6" s="194" t="s">
        <v>159</v>
      </c>
      <c r="AE6" s="194" t="s">
        <v>945</v>
      </c>
      <c r="AF6" s="194" t="s">
        <v>924</v>
      </c>
      <c r="AG6" s="194" t="s">
        <v>919</v>
      </c>
      <c r="AH6" s="196">
        <v>4.3380000000000001</v>
      </c>
      <c r="AI6" s="196">
        <v>-357.12299999999999</v>
      </c>
      <c r="AJ6" s="196">
        <v>363.72800000000001</v>
      </c>
      <c r="AK6" s="194" t="s">
        <v>159</v>
      </c>
      <c r="AL6" s="194" t="s">
        <v>2778</v>
      </c>
      <c r="AM6" s="194" t="s">
        <v>2779</v>
      </c>
      <c r="AN6" s="194" t="s">
        <v>2788</v>
      </c>
      <c r="AO6" s="198">
        <v>1.8944904472234579E-4</v>
      </c>
    </row>
    <row r="7" spans="1:41" ht="15">
      <c r="A7" s="193">
        <v>288</v>
      </c>
      <c r="B7" s="193">
        <v>288</v>
      </c>
      <c r="C7" s="194" t="s">
        <v>1064</v>
      </c>
      <c r="D7" s="193">
        <v>9936959</v>
      </c>
      <c r="E7" s="194" t="s">
        <v>1203</v>
      </c>
      <c r="F7" s="195">
        <v>3.7964000000000002</v>
      </c>
      <c r="G7" s="196">
        <v>-1300000</v>
      </c>
      <c r="H7" s="196">
        <v>4866.62</v>
      </c>
      <c r="I7" s="196">
        <v>1.5</v>
      </c>
      <c r="J7" s="197">
        <v>1.9940577080873045E-3</v>
      </c>
      <c r="K7" s="193">
        <v>9936959</v>
      </c>
      <c r="L7" s="194" t="s">
        <v>44</v>
      </c>
      <c r="M7" s="195">
        <v>1</v>
      </c>
      <c r="N7" s="196">
        <v>4878250</v>
      </c>
      <c r="O7" s="196">
        <v>-4926.0200000000004</v>
      </c>
      <c r="P7" s="196">
        <v>1.58</v>
      </c>
      <c r="Q7" s="196">
        <v>1.9988230053870848</v>
      </c>
      <c r="R7" s="196">
        <v>-59.4</v>
      </c>
      <c r="S7" s="194" t="s">
        <v>30</v>
      </c>
      <c r="T7" s="194" t="s">
        <v>30</v>
      </c>
      <c r="U7" s="194" t="s">
        <v>764</v>
      </c>
      <c r="V7" s="194" t="s">
        <v>31</v>
      </c>
      <c r="W7" s="194" t="s">
        <v>31</v>
      </c>
      <c r="X7" s="194" t="s">
        <v>2784</v>
      </c>
      <c r="Y7" s="194" t="s">
        <v>159</v>
      </c>
      <c r="Z7" s="194" t="s">
        <v>2584</v>
      </c>
      <c r="AA7" s="194" t="s">
        <v>2782</v>
      </c>
      <c r="AB7" s="194" t="s">
        <v>920</v>
      </c>
      <c r="AC7" s="194" t="s">
        <v>927</v>
      </c>
      <c r="AD7" s="194" t="s">
        <v>159</v>
      </c>
      <c r="AE7" s="194" t="s">
        <v>945</v>
      </c>
      <c r="AF7" s="194" t="s">
        <v>924</v>
      </c>
      <c r="AG7" s="194" t="s">
        <v>919</v>
      </c>
      <c r="AH7" s="196">
        <v>2.8839999999999999</v>
      </c>
      <c r="AI7" s="196">
        <v>-374.35500000000002</v>
      </c>
      <c r="AJ7" s="196">
        <v>378.92399999999998</v>
      </c>
      <c r="AK7" s="194" t="s">
        <v>159</v>
      </c>
      <c r="AL7" s="194" t="s">
        <v>2778</v>
      </c>
      <c r="AM7" s="194" t="s">
        <v>2779</v>
      </c>
      <c r="AN7" s="194" t="s">
        <v>2789</v>
      </c>
      <c r="AO7" s="198">
        <v>-2.4338663766718154E-5</v>
      </c>
    </row>
    <row r="8" spans="1:41" ht="15">
      <c r="A8" s="193">
        <v>288</v>
      </c>
      <c r="B8" s="193">
        <v>288</v>
      </c>
      <c r="C8" s="194" t="s">
        <v>1064</v>
      </c>
      <c r="D8" s="193">
        <v>9936977</v>
      </c>
      <c r="E8" s="194" t="s">
        <v>34</v>
      </c>
      <c r="F8" s="195">
        <v>3.6469999999999998</v>
      </c>
      <c r="G8" s="196">
        <v>27500000</v>
      </c>
      <c r="H8" s="196">
        <v>-97901.77</v>
      </c>
      <c r="I8" s="196">
        <v>30.23</v>
      </c>
      <c r="J8" s="197">
        <v>-4.011444885852819E-2</v>
      </c>
      <c r="K8" s="193">
        <v>9936977</v>
      </c>
      <c r="L8" s="194" t="s">
        <v>44</v>
      </c>
      <c r="M8" s="195">
        <v>1</v>
      </c>
      <c r="N8" s="196">
        <v>-98142000</v>
      </c>
      <c r="O8" s="196">
        <v>100025.106</v>
      </c>
      <c r="P8" s="196">
        <v>32.14</v>
      </c>
      <c r="Q8" s="196">
        <v>4.0984468403440111E-2</v>
      </c>
      <c r="R8" s="196">
        <v>2123.3359999999998</v>
      </c>
      <c r="S8" s="194" t="s">
        <v>30</v>
      </c>
      <c r="T8" s="194" t="s">
        <v>30</v>
      </c>
      <c r="U8" s="194" t="s">
        <v>764</v>
      </c>
      <c r="V8" s="194" t="s">
        <v>31</v>
      </c>
      <c r="W8" s="194" t="s">
        <v>31</v>
      </c>
      <c r="X8" s="194" t="s">
        <v>2775</v>
      </c>
      <c r="Y8" s="194" t="s">
        <v>159</v>
      </c>
      <c r="Z8" s="194" t="s">
        <v>2584</v>
      </c>
      <c r="AA8" s="194" t="s">
        <v>2782</v>
      </c>
      <c r="AB8" s="194" t="s">
        <v>920</v>
      </c>
      <c r="AC8" s="194" t="s">
        <v>927</v>
      </c>
      <c r="AD8" s="194" t="s">
        <v>159</v>
      </c>
      <c r="AE8" s="194" t="s">
        <v>945</v>
      </c>
      <c r="AF8" s="194" t="s">
        <v>924</v>
      </c>
      <c r="AG8" s="194" t="s">
        <v>919</v>
      </c>
      <c r="AH8" s="196">
        <v>4.3380000000000001</v>
      </c>
      <c r="AI8" s="196">
        <v>-356.00599999999997</v>
      </c>
      <c r="AJ8" s="196">
        <v>363.72699999999998</v>
      </c>
      <c r="AK8" s="194" t="s">
        <v>159</v>
      </c>
      <c r="AL8" s="194" t="s">
        <v>2778</v>
      </c>
      <c r="AM8" s="194" t="s">
        <v>2779</v>
      </c>
      <c r="AN8" s="194" t="s">
        <v>2790</v>
      </c>
      <c r="AO8" s="198">
        <v>8.700195449119234E-4</v>
      </c>
    </row>
    <row r="9" spans="1:41" ht="15">
      <c r="A9" s="193">
        <v>288</v>
      </c>
      <c r="B9" s="193">
        <v>288</v>
      </c>
      <c r="C9" s="194" t="s">
        <v>1064</v>
      </c>
      <c r="D9" s="193">
        <v>9937147</v>
      </c>
      <c r="E9" s="194" t="s">
        <v>34</v>
      </c>
      <c r="F9" s="195">
        <v>3.6469999999999998</v>
      </c>
      <c r="G9" s="196">
        <v>-4500000</v>
      </c>
      <c r="H9" s="196">
        <v>16105.999</v>
      </c>
      <c r="I9" s="196">
        <v>4.97</v>
      </c>
      <c r="J9" s="197">
        <v>6.599301250641394E-3</v>
      </c>
      <c r="K9" s="193">
        <v>9937147</v>
      </c>
      <c r="L9" s="194" t="s">
        <v>44</v>
      </c>
      <c r="M9" s="195">
        <v>1</v>
      </c>
      <c r="N9" s="196">
        <v>16145550</v>
      </c>
      <c r="O9" s="196">
        <v>-16367.763999999999</v>
      </c>
      <c r="P9" s="196">
        <v>5.26</v>
      </c>
      <c r="Q9" s="196">
        <v>-6.7065573166497265E-3</v>
      </c>
      <c r="R9" s="196">
        <v>-261.76600000000002</v>
      </c>
      <c r="S9" s="194" t="s">
        <v>30</v>
      </c>
      <c r="T9" s="194" t="s">
        <v>30</v>
      </c>
      <c r="U9" s="194" t="s">
        <v>764</v>
      </c>
      <c r="V9" s="194" t="s">
        <v>31</v>
      </c>
      <c r="W9" s="194" t="s">
        <v>31</v>
      </c>
      <c r="X9" s="194" t="s">
        <v>2775</v>
      </c>
      <c r="Y9" s="194" t="s">
        <v>159</v>
      </c>
      <c r="Z9" s="194" t="s">
        <v>2581</v>
      </c>
      <c r="AA9" s="194" t="s">
        <v>2782</v>
      </c>
      <c r="AB9" s="194" t="s">
        <v>920</v>
      </c>
      <c r="AC9" s="194" t="s">
        <v>927</v>
      </c>
      <c r="AD9" s="194" t="s">
        <v>159</v>
      </c>
      <c r="AE9" s="194" t="s">
        <v>945</v>
      </c>
      <c r="AF9" s="194" t="s">
        <v>924</v>
      </c>
      <c r="AG9" s="194" t="s">
        <v>919</v>
      </c>
      <c r="AH9" s="196">
        <v>4.3380000000000001</v>
      </c>
      <c r="AI9" s="196">
        <v>-357.911</v>
      </c>
      <c r="AJ9" s="196">
        <v>363.72800000000001</v>
      </c>
      <c r="AK9" s="194" t="s">
        <v>159</v>
      </c>
      <c r="AL9" s="194" t="s">
        <v>2778</v>
      </c>
      <c r="AM9" s="194" t="s">
        <v>2779</v>
      </c>
      <c r="AN9" s="194" t="s">
        <v>2791</v>
      </c>
      <c r="AO9" s="198">
        <v>-1.0725647575014722E-4</v>
      </c>
    </row>
    <row r="10" spans="1:41" ht="15">
      <c r="A10" s="199">
        <v>288</v>
      </c>
      <c r="B10" s="199">
        <v>1451</v>
      </c>
      <c r="C10" s="200" t="s">
        <v>1064</v>
      </c>
      <c r="D10" s="199">
        <v>9934605</v>
      </c>
      <c r="E10" s="200" t="s">
        <v>34</v>
      </c>
      <c r="F10" s="201">
        <v>3.6469999999999998</v>
      </c>
      <c r="G10" s="202">
        <v>-715000</v>
      </c>
      <c r="H10" s="202">
        <v>2591.7460000000001</v>
      </c>
      <c r="I10" s="202">
        <v>49.11</v>
      </c>
      <c r="J10" s="202">
        <v>5.0741526281481729E-2</v>
      </c>
      <c r="K10" s="199">
        <v>9934605</v>
      </c>
      <c r="L10" s="200" t="s">
        <v>44</v>
      </c>
      <c r="M10" s="201">
        <v>1</v>
      </c>
      <c r="N10" s="202">
        <v>2664090</v>
      </c>
      <c r="O10" s="202">
        <v>-2518.7429999999999</v>
      </c>
      <c r="P10" s="202">
        <v>49.31</v>
      </c>
      <c r="Q10" s="202">
        <v>-4.9312264446746759E-2</v>
      </c>
      <c r="R10" s="202">
        <v>73.004000000000005</v>
      </c>
      <c r="S10" s="200" t="s">
        <v>30</v>
      </c>
      <c r="T10" s="200" t="s">
        <v>30</v>
      </c>
      <c r="U10" s="200" t="s">
        <v>764</v>
      </c>
      <c r="V10" s="200" t="s">
        <v>31</v>
      </c>
      <c r="W10" s="200" t="s">
        <v>31</v>
      </c>
      <c r="X10" s="200" t="s">
        <v>2775</v>
      </c>
      <c r="Y10" s="200" t="s">
        <v>159</v>
      </c>
      <c r="Z10" s="200" t="s">
        <v>2776</v>
      </c>
      <c r="AA10" s="200" t="s">
        <v>2777</v>
      </c>
      <c r="AB10" s="200" t="s">
        <v>922</v>
      </c>
      <c r="AC10" s="200" t="s">
        <v>927</v>
      </c>
      <c r="AD10" s="200" t="s">
        <v>159</v>
      </c>
      <c r="AE10" s="200" t="s">
        <v>945</v>
      </c>
      <c r="AF10" s="200" t="s">
        <v>924</v>
      </c>
      <c r="AG10" s="200" t="s">
        <v>922</v>
      </c>
      <c r="AH10" s="202">
        <v>4.1980000000000004</v>
      </c>
      <c r="AI10" s="202">
        <v>-362.48200000000003</v>
      </c>
      <c r="AJ10" s="202">
        <v>352.27100000000002</v>
      </c>
      <c r="AK10" s="200" t="s">
        <v>159</v>
      </c>
      <c r="AL10" s="200" t="s">
        <v>2778</v>
      </c>
      <c r="AM10" s="200" t="s">
        <v>2779</v>
      </c>
      <c r="AN10" s="200" t="s">
        <v>2792</v>
      </c>
      <c r="AO10" s="203">
        <v>1.4292814128596292E-3</v>
      </c>
    </row>
    <row r="11" spans="1:41" ht="15">
      <c r="A11" s="199">
        <v>288</v>
      </c>
      <c r="B11" s="199">
        <v>1451</v>
      </c>
      <c r="C11" s="200" t="s">
        <v>1064</v>
      </c>
      <c r="D11" s="199">
        <v>9935986</v>
      </c>
      <c r="E11" s="200" t="s">
        <v>34</v>
      </c>
      <c r="F11" s="201">
        <v>3.6469999999999998</v>
      </c>
      <c r="G11" s="202">
        <v>-715000</v>
      </c>
      <c r="H11" s="202">
        <v>2675.1080000000002</v>
      </c>
      <c r="I11" s="202">
        <v>50.89</v>
      </c>
      <c r="J11" s="202">
        <v>5.2373597909595324E-2</v>
      </c>
      <c r="K11" s="199">
        <v>9935986</v>
      </c>
      <c r="L11" s="200" t="s">
        <v>44</v>
      </c>
      <c r="M11" s="201">
        <v>1</v>
      </c>
      <c r="N11" s="202">
        <v>2681679</v>
      </c>
      <c r="O11" s="202">
        <v>-2600.64</v>
      </c>
      <c r="P11" s="202">
        <v>50.69</v>
      </c>
      <c r="Q11" s="202">
        <v>-5.0915654122229814E-2</v>
      </c>
      <c r="R11" s="202">
        <v>74.466999999999999</v>
      </c>
      <c r="S11" s="200" t="s">
        <v>30</v>
      </c>
      <c r="T11" s="200" t="s">
        <v>30</v>
      </c>
      <c r="U11" s="200" t="s">
        <v>764</v>
      </c>
      <c r="V11" s="200" t="s">
        <v>31</v>
      </c>
      <c r="W11" s="200" t="s">
        <v>31</v>
      </c>
      <c r="X11" s="200" t="s">
        <v>2775</v>
      </c>
      <c r="Y11" s="200" t="s">
        <v>159</v>
      </c>
      <c r="Z11" s="200" t="s">
        <v>2781</v>
      </c>
      <c r="AA11" s="200" t="s">
        <v>2782</v>
      </c>
      <c r="AB11" s="200" t="s">
        <v>921</v>
      </c>
      <c r="AC11" s="200" t="s">
        <v>927</v>
      </c>
      <c r="AD11" s="200" t="s">
        <v>159</v>
      </c>
      <c r="AE11" s="200" t="s">
        <v>945</v>
      </c>
      <c r="AF11" s="200" t="s">
        <v>924</v>
      </c>
      <c r="AG11" s="200" t="s">
        <v>919</v>
      </c>
      <c r="AH11" s="202">
        <v>4.3380000000000001</v>
      </c>
      <c r="AI11" s="202">
        <v>-374.14</v>
      </c>
      <c r="AJ11" s="202">
        <v>363.726</v>
      </c>
      <c r="AK11" s="200" t="s">
        <v>159</v>
      </c>
      <c r="AL11" s="200" t="s">
        <v>2778</v>
      </c>
      <c r="AM11" s="200" t="s">
        <v>2779</v>
      </c>
      <c r="AN11" s="200" t="s">
        <v>2793</v>
      </c>
      <c r="AO11" s="203">
        <v>1.457924209240836E-3</v>
      </c>
    </row>
    <row r="12" spans="1:41" ht="15">
      <c r="A12" s="199">
        <v>288</v>
      </c>
      <c r="B12" s="199">
        <v>1452</v>
      </c>
      <c r="C12" s="200" t="s">
        <v>1064</v>
      </c>
      <c r="D12" s="199">
        <v>9934605</v>
      </c>
      <c r="E12" s="200" t="s">
        <v>34</v>
      </c>
      <c r="F12" s="201">
        <v>3.6469999999999998</v>
      </c>
      <c r="G12" s="202">
        <v>-722500</v>
      </c>
      <c r="H12" s="202">
        <v>2618.9319999999998</v>
      </c>
      <c r="I12" s="202">
        <v>37.51</v>
      </c>
      <c r="J12" s="202">
        <v>4.3397670370014081E-2</v>
      </c>
      <c r="K12" s="199">
        <v>9934605</v>
      </c>
      <c r="L12" s="200" t="s">
        <v>44</v>
      </c>
      <c r="M12" s="201">
        <v>1</v>
      </c>
      <c r="N12" s="202">
        <v>2692035</v>
      </c>
      <c r="O12" s="202">
        <v>-2545.163</v>
      </c>
      <c r="P12" s="202">
        <v>38.61</v>
      </c>
      <c r="Q12" s="202">
        <v>-4.2175262630704487E-2</v>
      </c>
      <c r="R12" s="202">
        <v>73.769000000000005</v>
      </c>
      <c r="S12" s="200" t="s">
        <v>30</v>
      </c>
      <c r="T12" s="200" t="s">
        <v>30</v>
      </c>
      <c r="U12" s="200" t="s">
        <v>764</v>
      </c>
      <c r="V12" s="200" t="s">
        <v>31</v>
      </c>
      <c r="W12" s="200" t="s">
        <v>31</v>
      </c>
      <c r="X12" s="200" t="s">
        <v>2775</v>
      </c>
      <c r="Y12" s="200" t="s">
        <v>159</v>
      </c>
      <c r="Z12" s="200" t="s">
        <v>2776</v>
      </c>
      <c r="AA12" s="200" t="s">
        <v>2777</v>
      </c>
      <c r="AB12" s="200" t="s">
        <v>922</v>
      </c>
      <c r="AC12" s="200" t="s">
        <v>927</v>
      </c>
      <c r="AD12" s="200" t="s">
        <v>159</v>
      </c>
      <c r="AE12" s="200" t="s">
        <v>945</v>
      </c>
      <c r="AF12" s="200" t="s">
        <v>924</v>
      </c>
      <c r="AG12" s="200" t="s">
        <v>922</v>
      </c>
      <c r="AH12" s="202">
        <v>4.1980000000000004</v>
      </c>
      <c r="AI12" s="202">
        <v>-362.48200000000003</v>
      </c>
      <c r="AJ12" s="202">
        <v>352.27100000000002</v>
      </c>
      <c r="AK12" s="200" t="s">
        <v>159</v>
      </c>
      <c r="AL12" s="200" t="s">
        <v>2778</v>
      </c>
      <c r="AM12" s="200" t="s">
        <v>2779</v>
      </c>
      <c r="AN12" s="200" t="s">
        <v>2794</v>
      </c>
      <c r="AO12" s="203">
        <v>1.2224077393095999E-3</v>
      </c>
    </row>
    <row r="13" spans="1:41" ht="15">
      <c r="A13" s="199">
        <v>288</v>
      </c>
      <c r="B13" s="199">
        <v>1452</v>
      </c>
      <c r="C13" s="200" t="s">
        <v>1064</v>
      </c>
      <c r="D13" s="199">
        <v>9935986</v>
      </c>
      <c r="E13" s="200" t="s">
        <v>34</v>
      </c>
      <c r="F13" s="201">
        <v>3.6469999999999998</v>
      </c>
      <c r="G13" s="202">
        <v>-1222500</v>
      </c>
      <c r="H13" s="202">
        <v>4573.8729999999996</v>
      </c>
      <c r="I13" s="202">
        <v>65.790000000000006</v>
      </c>
      <c r="J13" s="202">
        <v>7.5792511133663421E-2</v>
      </c>
      <c r="K13" s="199">
        <v>9935986</v>
      </c>
      <c r="L13" s="200" t="s">
        <v>44</v>
      </c>
      <c r="M13" s="201">
        <v>1</v>
      </c>
      <c r="N13" s="202">
        <v>4585108.5</v>
      </c>
      <c r="O13" s="202">
        <v>-4446.55</v>
      </c>
      <c r="P13" s="202">
        <v>67.17</v>
      </c>
      <c r="Q13" s="202">
        <v>-7.3682673388918124E-2</v>
      </c>
      <c r="R13" s="202">
        <v>127.32299999999999</v>
      </c>
      <c r="S13" s="200" t="s">
        <v>30</v>
      </c>
      <c r="T13" s="200" t="s">
        <v>30</v>
      </c>
      <c r="U13" s="200" t="s">
        <v>764</v>
      </c>
      <c r="V13" s="200" t="s">
        <v>31</v>
      </c>
      <c r="W13" s="200" t="s">
        <v>31</v>
      </c>
      <c r="X13" s="200" t="s">
        <v>2775</v>
      </c>
      <c r="Y13" s="200" t="s">
        <v>159</v>
      </c>
      <c r="Z13" s="200" t="s">
        <v>2781</v>
      </c>
      <c r="AA13" s="200" t="s">
        <v>2782</v>
      </c>
      <c r="AB13" s="200" t="s">
        <v>921</v>
      </c>
      <c r="AC13" s="200" t="s">
        <v>927</v>
      </c>
      <c r="AD13" s="200" t="s">
        <v>159</v>
      </c>
      <c r="AE13" s="200" t="s">
        <v>945</v>
      </c>
      <c r="AF13" s="200" t="s">
        <v>924</v>
      </c>
      <c r="AG13" s="200" t="s">
        <v>919</v>
      </c>
      <c r="AH13" s="202">
        <v>4.3380000000000001</v>
      </c>
      <c r="AI13" s="202">
        <v>-374.14</v>
      </c>
      <c r="AJ13" s="202">
        <v>363.726</v>
      </c>
      <c r="AK13" s="200" t="s">
        <v>159</v>
      </c>
      <c r="AL13" s="200" t="s">
        <v>2778</v>
      </c>
      <c r="AM13" s="200" t="s">
        <v>2779</v>
      </c>
      <c r="AN13" s="200" t="s">
        <v>2795</v>
      </c>
      <c r="AO13" s="203">
        <v>2.1098377447453017E-3</v>
      </c>
    </row>
    <row r="14" spans="1:41" ht="15">
      <c r="A14" s="199">
        <v>288</v>
      </c>
      <c r="B14" s="199">
        <v>1452</v>
      </c>
      <c r="C14" s="200" t="s">
        <v>1064</v>
      </c>
      <c r="D14" s="199">
        <v>9935997</v>
      </c>
      <c r="E14" s="200" t="s">
        <v>1203</v>
      </c>
      <c r="F14" s="201">
        <v>3.7964000000000002</v>
      </c>
      <c r="G14" s="202">
        <v>-475000</v>
      </c>
      <c r="H14" s="202">
        <v>1891.1959999999999</v>
      </c>
      <c r="I14" s="202">
        <v>27.2</v>
      </c>
      <c r="J14" s="202">
        <v>3.1338538233558241E-2</v>
      </c>
      <c r="K14" s="199">
        <v>9935997</v>
      </c>
      <c r="L14" s="200" t="s">
        <v>44</v>
      </c>
      <c r="M14" s="201">
        <v>1</v>
      </c>
      <c r="N14" s="202">
        <v>1895725</v>
      </c>
      <c r="O14" s="202">
        <v>-1799.877</v>
      </c>
      <c r="P14" s="202">
        <v>27.19</v>
      </c>
      <c r="Q14" s="202">
        <v>-2.9825313812107315E-2</v>
      </c>
      <c r="R14" s="202">
        <v>91.319000000000003</v>
      </c>
      <c r="S14" s="200" t="s">
        <v>30</v>
      </c>
      <c r="T14" s="200" t="s">
        <v>30</v>
      </c>
      <c r="U14" s="200" t="s">
        <v>764</v>
      </c>
      <c r="V14" s="200" t="s">
        <v>31</v>
      </c>
      <c r="W14" s="200" t="s">
        <v>31</v>
      </c>
      <c r="X14" s="200" t="s">
        <v>2784</v>
      </c>
      <c r="Y14" s="200" t="s">
        <v>159</v>
      </c>
      <c r="Z14" s="200" t="s">
        <v>2781</v>
      </c>
      <c r="AA14" s="200" t="s">
        <v>2782</v>
      </c>
      <c r="AB14" s="200" t="s">
        <v>921</v>
      </c>
      <c r="AC14" s="200" t="s">
        <v>927</v>
      </c>
      <c r="AD14" s="200" t="s">
        <v>159</v>
      </c>
      <c r="AE14" s="200" t="s">
        <v>945</v>
      </c>
      <c r="AF14" s="200" t="s">
        <v>924</v>
      </c>
      <c r="AG14" s="200" t="s">
        <v>919</v>
      </c>
      <c r="AH14" s="202">
        <v>2.8839999999999999</v>
      </c>
      <c r="AI14" s="202">
        <v>-398.14600000000002</v>
      </c>
      <c r="AJ14" s="202">
        <v>378.92099999999999</v>
      </c>
      <c r="AK14" s="200" t="s">
        <v>159</v>
      </c>
      <c r="AL14" s="200" t="s">
        <v>2778</v>
      </c>
      <c r="AM14" s="200" t="s">
        <v>2779</v>
      </c>
      <c r="AN14" s="200" t="s">
        <v>2796</v>
      </c>
      <c r="AO14" s="203">
        <v>1.5132244214509259E-3</v>
      </c>
    </row>
    <row r="15" spans="1:41" ht="15">
      <c r="A15" s="199">
        <v>288</v>
      </c>
      <c r="B15" s="199">
        <v>1452</v>
      </c>
      <c r="C15" s="200" t="s">
        <v>1064</v>
      </c>
      <c r="D15" s="199">
        <v>9936641</v>
      </c>
      <c r="E15" s="200" t="s">
        <v>34</v>
      </c>
      <c r="F15" s="201">
        <v>3.6469999999999998</v>
      </c>
      <c r="G15" s="202">
        <v>-500000</v>
      </c>
      <c r="H15" s="202">
        <v>1798.3330000000001</v>
      </c>
      <c r="I15" s="202">
        <v>25.87</v>
      </c>
      <c r="J15" s="202">
        <v>2.9799728572379329E-2</v>
      </c>
      <c r="K15" s="199">
        <v>9936641</v>
      </c>
      <c r="L15" s="200" t="s">
        <v>44</v>
      </c>
      <c r="M15" s="201">
        <v>1</v>
      </c>
      <c r="N15" s="202">
        <v>1802750</v>
      </c>
      <c r="O15" s="202">
        <v>-1818.6389999999999</v>
      </c>
      <c r="P15" s="202">
        <v>27.47</v>
      </c>
      <c r="Q15" s="202">
        <v>-3.0136214244605067E-2</v>
      </c>
      <c r="R15" s="202">
        <v>-20.306000000000001</v>
      </c>
      <c r="S15" s="200" t="s">
        <v>30</v>
      </c>
      <c r="T15" s="200" t="s">
        <v>30</v>
      </c>
      <c r="U15" s="200" t="s">
        <v>764</v>
      </c>
      <c r="V15" s="200" t="s">
        <v>31</v>
      </c>
      <c r="W15" s="200" t="s">
        <v>31</v>
      </c>
      <c r="X15" s="200" t="s">
        <v>2775</v>
      </c>
      <c r="Y15" s="200" t="s">
        <v>159</v>
      </c>
      <c r="Z15" s="200" t="s">
        <v>2797</v>
      </c>
      <c r="AA15" s="200" t="s">
        <v>2782</v>
      </c>
      <c r="AB15" s="200" t="s">
        <v>920</v>
      </c>
      <c r="AC15" s="200" t="s">
        <v>927</v>
      </c>
      <c r="AD15" s="200" t="s">
        <v>159</v>
      </c>
      <c r="AE15" s="200" t="s">
        <v>945</v>
      </c>
      <c r="AF15" s="200" t="s">
        <v>924</v>
      </c>
      <c r="AG15" s="200" t="s">
        <v>919</v>
      </c>
      <c r="AH15" s="202">
        <v>4.3380000000000001</v>
      </c>
      <c r="AI15" s="202">
        <v>-359.666</v>
      </c>
      <c r="AJ15" s="202">
        <v>363.72699999999998</v>
      </c>
      <c r="AK15" s="200" t="s">
        <v>159</v>
      </c>
      <c r="AL15" s="200" t="s">
        <v>2778</v>
      </c>
      <c r="AM15" s="200" t="s">
        <v>2779</v>
      </c>
      <c r="AN15" s="200" t="s">
        <v>2798</v>
      </c>
      <c r="AO15" s="203">
        <v>-3.3648567222574163E-4</v>
      </c>
    </row>
    <row r="16" spans="1:41" ht="15">
      <c r="A16" s="199">
        <v>288</v>
      </c>
      <c r="B16" s="199">
        <v>1452</v>
      </c>
      <c r="C16" s="200" t="s">
        <v>1064</v>
      </c>
      <c r="D16" s="199">
        <v>9936913</v>
      </c>
      <c r="E16" s="200" t="s">
        <v>34</v>
      </c>
      <c r="F16" s="201">
        <v>3.6469999999999998</v>
      </c>
      <c r="G16" s="202">
        <v>350000</v>
      </c>
      <c r="H16" s="202">
        <v>-1249.93</v>
      </c>
      <c r="I16" s="202">
        <v>17.98</v>
      </c>
      <c r="J16" s="202">
        <v>-2.0712278946376502E-2</v>
      </c>
      <c r="K16" s="199">
        <v>9936913</v>
      </c>
      <c r="L16" s="200" t="s">
        <v>44</v>
      </c>
      <c r="M16" s="201">
        <v>1</v>
      </c>
      <c r="N16" s="202">
        <v>-1253000</v>
      </c>
      <c r="O16" s="202">
        <v>1273.048</v>
      </c>
      <c r="P16" s="202">
        <v>19.23</v>
      </c>
      <c r="Q16" s="202">
        <v>2.1095361570749333E-2</v>
      </c>
      <c r="R16" s="202">
        <v>23.117999999999999</v>
      </c>
      <c r="S16" s="200" t="s">
        <v>30</v>
      </c>
      <c r="T16" s="200" t="s">
        <v>30</v>
      </c>
      <c r="U16" s="200" t="s">
        <v>764</v>
      </c>
      <c r="V16" s="200" t="s">
        <v>31</v>
      </c>
      <c r="W16" s="200" t="s">
        <v>31</v>
      </c>
      <c r="X16" s="200" t="s">
        <v>2775</v>
      </c>
      <c r="Y16" s="200" t="s">
        <v>159</v>
      </c>
      <c r="Z16" s="200" t="s">
        <v>2639</v>
      </c>
      <c r="AA16" s="200" t="s">
        <v>2782</v>
      </c>
      <c r="AB16" s="200" t="s">
        <v>920</v>
      </c>
      <c r="AC16" s="200" t="s">
        <v>927</v>
      </c>
      <c r="AD16" s="200" t="s">
        <v>159</v>
      </c>
      <c r="AE16" s="200" t="s">
        <v>945</v>
      </c>
      <c r="AF16" s="200" t="s">
        <v>924</v>
      </c>
      <c r="AG16" s="200" t="s">
        <v>919</v>
      </c>
      <c r="AH16" s="202">
        <v>4.3380000000000001</v>
      </c>
      <c r="AI16" s="202">
        <v>-357.12299999999999</v>
      </c>
      <c r="AJ16" s="202">
        <v>363.72800000000001</v>
      </c>
      <c r="AK16" s="200" t="s">
        <v>159</v>
      </c>
      <c r="AL16" s="200" t="s">
        <v>2778</v>
      </c>
      <c r="AM16" s="200" t="s">
        <v>2779</v>
      </c>
      <c r="AN16" s="200" t="s">
        <v>2799</v>
      </c>
      <c r="AO16" s="203">
        <v>3.8308262437283043E-4</v>
      </c>
    </row>
    <row r="17" spans="1:41" ht="15">
      <c r="A17" s="199">
        <v>288</v>
      </c>
      <c r="B17" s="199">
        <v>1452</v>
      </c>
      <c r="C17" s="200" t="s">
        <v>1064</v>
      </c>
      <c r="D17" s="199">
        <v>9936978</v>
      </c>
      <c r="E17" s="200" t="s">
        <v>34</v>
      </c>
      <c r="F17" s="201">
        <v>3.6469999999999998</v>
      </c>
      <c r="G17" s="202">
        <v>750000</v>
      </c>
      <c r="H17" s="202">
        <v>-2668.846</v>
      </c>
      <c r="I17" s="202">
        <v>38.39</v>
      </c>
      <c r="J17" s="202">
        <v>-4.4224782841376029E-2</v>
      </c>
      <c r="K17" s="199">
        <v>9936978</v>
      </c>
      <c r="L17" s="200" t="s">
        <v>44</v>
      </c>
      <c r="M17" s="201">
        <v>1</v>
      </c>
      <c r="N17" s="202">
        <v>-2675400</v>
      </c>
      <c r="O17" s="202">
        <v>2727.962</v>
      </c>
      <c r="P17" s="202">
        <v>41.21</v>
      </c>
      <c r="Q17" s="202">
        <v>4.5204379364536522E-2</v>
      </c>
      <c r="R17" s="202">
        <v>59.116</v>
      </c>
      <c r="S17" s="200" t="s">
        <v>30</v>
      </c>
      <c r="T17" s="200" t="s">
        <v>30</v>
      </c>
      <c r="U17" s="200" t="s">
        <v>764</v>
      </c>
      <c r="V17" s="200" t="s">
        <v>31</v>
      </c>
      <c r="W17" s="200" t="s">
        <v>31</v>
      </c>
      <c r="X17" s="200" t="s">
        <v>2775</v>
      </c>
      <c r="Y17" s="200" t="s">
        <v>159</v>
      </c>
      <c r="Z17" s="200" t="s">
        <v>2584</v>
      </c>
      <c r="AA17" s="200" t="s">
        <v>2782</v>
      </c>
      <c r="AB17" s="200" t="s">
        <v>920</v>
      </c>
      <c r="AC17" s="200" t="s">
        <v>927</v>
      </c>
      <c r="AD17" s="200" t="s">
        <v>159</v>
      </c>
      <c r="AE17" s="200" t="s">
        <v>945</v>
      </c>
      <c r="AF17" s="200" t="s">
        <v>924</v>
      </c>
      <c r="AG17" s="200" t="s">
        <v>919</v>
      </c>
      <c r="AH17" s="202">
        <v>4.3380000000000001</v>
      </c>
      <c r="AI17" s="202">
        <v>-355.846</v>
      </c>
      <c r="AJ17" s="202">
        <v>363.72800000000001</v>
      </c>
      <c r="AK17" s="200" t="s">
        <v>159</v>
      </c>
      <c r="AL17" s="200" t="s">
        <v>2778</v>
      </c>
      <c r="AM17" s="200" t="s">
        <v>2779</v>
      </c>
      <c r="AN17" s="200" t="s">
        <v>2800</v>
      </c>
      <c r="AO17" s="203">
        <v>9.795965231604916E-4</v>
      </c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topLeftCell="N1" zoomScale="70" zoomScaleNormal="70" workbookViewId="0">
      <selection activeCell="Z2" sqref="Z2"/>
    </sheetView>
  </sheetViews>
  <sheetFormatPr defaultColWidth="9" defaultRowHeight="14.25"/>
  <cols>
    <col min="1" max="21" width="11.625" style="2" customWidth="1"/>
    <col min="22" max="22" width="11.625" style="147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7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140</v>
      </c>
      <c r="D1" s="22" t="s">
        <v>141</v>
      </c>
      <c r="E1" s="22" t="s">
        <v>142</v>
      </c>
      <c r="F1" s="22" t="s">
        <v>143</v>
      </c>
      <c r="G1" s="22" t="s">
        <v>5</v>
      </c>
      <c r="H1" s="22" t="s">
        <v>1176</v>
      </c>
      <c r="I1" s="22" t="s">
        <v>6</v>
      </c>
      <c r="J1" s="22" t="s">
        <v>7</v>
      </c>
      <c r="K1" s="22" t="s">
        <v>169</v>
      </c>
      <c r="L1" s="22" t="s">
        <v>145</v>
      </c>
      <c r="M1" s="22" t="s">
        <v>1177</v>
      </c>
      <c r="N1" s="22" t="s">
        <v>1178</v>
      </c>
      <c r="O1" s="183" t="s">
        <v>1179</v>
      </c>
      <c r="P1" s="22" t="s">
        <v>9</v>
      </c>
      <c r="Q1" s="22" t="s">
        <v>10</v>
      </c>
      <c r="R1" s="22" t="s">
        <v>146</v>
      </c>
      <c r="S1" s="22" t="s">
        <v>11</v>
      </c>
      <c r="T1" s="22" t="s">
        <v>12</v>
      </c>
      <c r="U1" s="22" t="s">
        <v>147</v>
      </c>
      <c r="V1" s="163" t="s">
        <v>14</v>
      </c>
      <c r="W1" s="22" t="s">
        <v>771</v>
      </c>
      <c r="X1" s="22" t="s">
        <v>928</v>
      </c>
      <c r="Y1" s="190" t="s">
        <v>1181</v>
      </c>
      <c r="Z1" s="167" t="s">
        <v>15</v>
      </c>
      <c r="AA1" s="22" t="s">
        <v>13</v>
      </c>
      <c r="AB1" s="22" t="s">
        <v>428</v>
      </c>
      <c r="AC1" s="22" t="s">
        <v>776</v>
      </c>
      <c r="AD1" s="192" t="s">
        <v>1182</v>
      </c>
      <c r="AE1" s="167" t="s">
        <v>1183</v>
      </c>
      <c r="AF1" s="183" t="s">
        <v>1184</v>
      </c>
      <c r="AG1" s="22" t="s">
        <v>799</v>
      </c>
      <c r="AH1" s="22" t="s">
        <v>800</v>
      </c>
      <c r="AI1" s="22" t="s">
        <v>1185</v>
      </c>
      <c r="AJ1" s="22" t="s">
        <v>806</v>
      </c>
      <c r="AK1" s="22" t="s">
        <v>170</v>
      </c>
      <c r="AL1" s="22" t="s">
        <v>183</v>
      </c>
      <c r="AM1" s="22" t="s">
        <v>171</v>
      </c>
      <c r="AN1" s="183" t="s">
        <v>154</v>
      </c>
      <c r="AO1" s="183" t="s">
        <v>172</v>
      </c>
      <c r="AP1" s="163" t="s">
        <v>1186</v>
      </c>
      <c r="AQ1" s="22" t="s">
        <v>1187</v>
      </c>
      <c r="AR1" s="172" t="s">
        <v>1188</v>
      </c>
      <c r="AS1" s="161" t="s">
        <v>18</v>
      </c>
      <c r="AT1" s="22" t="s">
        <v>20</v>
      </c>
      <c r="AU1" s="22" t="s">
        <v>184</v>
      </c>
      <c r="AV1" s="22" t="s">
        <v>21</v>
      </c>
      <c r="AW1" s="22" t="s">
        <v>185</v>
      </c>
      <c r="AX1" s="22" t="s">
        <v>849</v>
      </c>
      <c r="AY1" s="22" t="s">
        <v>22</v>
      </c>
      <c r="AZ1" s="167" t="s">
        <v>24</v>
      </c>
      <c r="BA1" s="167" t="s">
        <v>25</v>
      </c>
    </row>
    <row r="2" spans="1:53">
      <c r="A2" s="2">
        <v>288</v>
      </c>
      <c r="B2" s="2">
        <v>288</v>
      </c>
      <c r="C2" s="23" t="s">
        <v>1320</v>
      </c>
      <c r="D2" s="23" t="s">
        <v>43</v>
      </c>
      <c r="E2" s="23" t="s">
        <v>1321</v>
      </c>
      <c r="F2" s="23" t="s">
        <v>1322</v>
      </c>
      <c r="G2" s="23" t="s">
        <v>1058</v>
      </c>
      <c r="I2" s="21" t="s">
        <v>30</v>
      </c>
      <c r="J2" s="21" t="s">
        <v>30</v>
      </c>
      <c r="K2" s="23" t="s">
        <v>1323</v>
      </c>
      <c r="L2" s="23" t="s">
        <v>159</v>
      </c>
      <c r="M2" s="23" t="s">
        <v>159</v>
      </c>
      <c r="N2" s="23"/>
      <c r="O2" s="184" t="s">
        <v>1324</v>
      </c>
      <c r="P2" s="23" t="s">
        <v>1325</v>
      </c>
      <c r="Q2" s="23" t="s">
        <v>427</v>
      </c>
      <c r="R2" s="23" t="s">
        <v>425</v>
      </c>
      <c r="S2" s="21" t="s">
        <v>44</v>
      </c>
      <c r="T2" s="157">
        <v>2.7160000000000002</v>
      </c>
      <c r="U2" s="23" t="s">
        <v>847</v>
      </c>
      <c r="V2" s="175">
        <v>5.5948999999999999E-2</v>
      </c>
      <c r="W2" s="23"/>
      <c r="X2" s="23" t="s">
        <v>1326</v>
      </c>
      <c r="Y2" s="191">
        <f>559.49%/100</f>
        <v>5.5948999999999999E-2</v>
      </c>
      <c r="Z2" s="176">
        <v>5.1310000000000001E-2</v>
      </c>
      <c r="AA2" s="23"/>
      <c r="AB2" s="21" t="s">
        <v>430</v>
      </c>
      <c r="AC2" s="23"/>
      <c r="AD2" s="23"/>
      <c r="AE2" s="176">
        <v>0</v>
      </c>
      <c r="AF2" s="23"/>
      <c r="AG2" s="23" t="s">
        <v>159</v>
      </c>
      <c r="AH2" s="23" t="s">
        <v>805</v>
      </c>
      <c r="AI2" s="2" t="s">
        <v>1327</v>
      </c>
      <c r="AJ2" s="2" t="s">
        <v>159</v>
      </c>
      <c r="AK2" s="23" t="s">
        <v>31</v>
      </c>
      <c r="AL2" s="23" t="s">
        <v>1328</v>
      </c>
      <c r="AM2" s="23" t="s">
        <v>1329</v>
      </c>
      <c r="AN2" s="185" t="s">
        <v>160</v>
      </c>
      <c r="AO2" s="185" t="s">
        <v>1330</v>
      </c>
      <c r="AP2" s="166">
        <v>0</v>
      </c>
      <c r="AQ2" s="155">
        <v>32834950.460000001</v>
      </c>
      <c r="AR2" s="178">
        <v>101.81</v>
      </c>
      <c r="AS2" s="177">
        <v>1</v>
      </c>
      <c r="AT2" s="157">
        <v>33429.391000000003</v>
      </c>
      <c r="AU2" s="160">
        <v>33429.391000000003</v>
      </c>
      <c r="AV2" s="30"/>
      <c r="AW2" s="30"/>
      <c r="AX2" s="21" t="s">
        <v>159</v>
      </c>
      <c r="AY2" s="23" t="s">
        <v>36</v>
      </c>
      <c r="AZ2" s="176">
        <v>1</v>
      </c>
      <c r="BA2" s="176">
        <v>1.3777646344309599E-2</v>
      </c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0"/>
      <c r="W3" s="23"/>
      <c r="X3" s="23"/>
      <c r="Y3" s="23"/>
      <c r="Z3" s="23"/>
      <c r="AA3" s="23"/>
      <c r="AB3" s="21"/>
      <c r="AC3" s="23"/>
      <c r="AD3" s="23"/>
      <c r="AE3" s="151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0"/>
      <c r="W4" s="23"/>
      <c r="X4" s="23"/>
      <c r="Y4" s="23"/>
      <c r="Z4" s="23"/>
      <c r="AA4" s="23"/>
      <c r="AB4" s="21"/>
      <c r="AC4" s="23"/>
      <c r="AD4" s="23"/>
      <c r="AE4" s="151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0"/>
      <c r="W5" s="23"/>
      <c r="X5" s="23"/>
      <c r="Y5" s="23"/>
      <c r="Z5" s="23"/>
      <c r="AA5" s="23"/>
      <c r="AB5" s="21"/>
      <c r="AC5" s="23"/>
      <c r="AD5" s="23"/>
      <c r="AE5" s="151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0"/>
      <c r="W6" s="23"/>
      <c r="X6" s="23"/>
      <c r="Y6" s="23"/>
      <c r="Z6" s="23"/>
      <c r="AA6" s="23"/>
      <c r="AB6" s="21"/>
      <c r="AC6" s="23"/>
      <c r="AD6" s="23"/>
      <c r="AE6" s="151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0"/>
      <c r="W7" s="23"/>
      <c r="X7" s="23"/>
      <c r="Y7" s="23"/>
      <c r="Z7" s="23"/>
      <c r="AA7" s="23"/>
      <c r="AB7" s="21"/>
      <c r="AC7" s="23"/>
      <c r="AD7" s="23"/>
      <c r="AE7" s="151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0"/>
      <c r="W8" s="23"/>
      <c r="X8" s="23"/>
      <c r="Y8" s="23"/>
      <c r="Z8" s="23"/>
      <c r="AA8" s="23"/>
      <c r="AB8" s="21"/>
      <c r="AC8" s="23"/>
      <c r="AD8" s="23"/>
      <c r="AE8" s="151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0"/>
      <c r="W9" s="23"/>
      <c r="X9" s="23"/>
      <c r="Y9" s="23"/>
      <c r="Z9" s="23"/>
      <c r="AA9" s="23"/>
      <c r="AB9" s="21"/>
      <c r="AC9" s="23"/>
      <c r="AD9" s="23"/>
      <c r="AE9" s="151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0"/>
      <c r="W10" s="23"/>
      <c r="X10" s="23"/>
      <c r="Y10" s="23"/>
      <c r="Z10" s="23"/>
      <c r="AA10" s="23"/>
      <c r="AB10" s="21"/>
      <c r="AC10" s="23"/>
      <c r="AD10" s="23"/>
      <c r="AE10" s="151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0"/>
      <c r="W11" s="23"/>
      <c r="X11" s="23"/>
      <c r="Y11" s="23"/>
      <c r="Z11" s="23"/>
      <c r="AA11" s="23"/>
      <c r="AB11" s="21"/>
      <c r="AC11" s="23"/>
      <c r="AD11" s="23"/>
      <c r="AE11" s="151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0"/>
      <c r="W12" s="23"/>
      <c r="X12" s="23"/>
      <c r="Y12" s="23"/>
      <c r="Z12" s="23"/>
      <c r="AA12" s="23"/>
      <c r="AB12" s="21"/>
      <c r="AC12" s="23"/>
      <c r="AD12" s="23"/>
      <c r="AE12" s="151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0"/>
      <c r="W13" s="23"/>
      <c r="X13" s="23"/>
      <c r="Y13" s="23"/>
      <c r="Z13" s="23"/>
      <c r="AA13" s="23"/>
      <c r="AB13" s="21"/>
      <c r="AC13" s="23"/>
      <c r="AD13" s="23"/>
      <c r="AE13" s="151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0"/>
      <c r="W14" s="23"/>
      <c r="X14" s="23"/>
      <c r="Y14" s="23"/>
      <c r="Z14" s="23"/>
      <c r="AA14" s="23"/>
      <c r="AB14" s="21"/>
      <c r="AC14" s="23"/>
      <c r="AD14" s="23"/>
      <c r="AE14" s="151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0"/>
      <c r="W15" s="23"/>
      <c r="X15" s="23"/>
      <c r="Y15" s="23"/>
      <c r="Z15" s="23"/>
      <c r="AA15" s="23"/>
      <c r="AB15" s="21"/>
      <c r="AC15" s="23"/>
      <c r="AD15" s="23"/>
      <c r="AE15" s="151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0"/>
      <c r="W16" s="23"/>
      <c r="X16" s="23"/>
      <c r="Y16" s="23"/>
      <c r="Z16" s="23"/>
      <c r="AA16" s="23"/>
      <c r="AB16" s="21"/>
      <c r="AC16" s="23"/>
      <c r="AD16" s="23"/>
      <c r="AE16" s="151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0"/>
      <c r="W17" s="23"/>
      <c r="X17" s="23"/>
      <c r="Y17" s="23"/>
      <c r="Z17" s="23"/>
      <c r="AA17" s="23"/>
      <c r="AB17" s="21"/>
      <c r="AC17" s="23"/>
      <c r="AD17" s="23"/>
      <c r="AE17" s="151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0"/>
      <c r="W18" s="23"/>
      <c r="X18" s="23"/>
      <c r="Y18" s="23"/>
      <c r="Z18" s="23"/>
      <c r="AA18" s="23"/>
      <c r="AB18" s="21"/>
      <c r="AC18" s="23"/>
      <c r="AD18" s="23"/>
      <c r="AE18" s="151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0"/>
      <c r="W19" s="23"/>
      <c r="X19" s="23"/>
      <c r="Y19" s="23"/>
      <c r="Z19" s="23"/>
      <c r="AA19" s="23"/>
      <c r="AB19" s="21"/>
      <c r="AC19" s="23"/>
      <c r="AD19" s="23"/>
      <c r="AE19" s="151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E20" s="152"/>
      <c r="AG20" s="23"/>
      <c r="AH20" s="23"/>
      <c r="AK20" s="23"/>
      <c r="AM20" s="23"/>
      <c r="AX20" s="21"/>
      <c r="AY20" s="23"/>
    </row>
    <row r="21" spans="3:53">
      <c r="D21" s="4"/>
      <c r="S21" s="21"/>
      <c r="AE21" s="152"/>
    </row>
    <row r="22" spans="3:53">
      <c r="D22" s="4"/>
      <c r="S22" s="21"/>
      <c r="AE22" s="152"/>
    </row>
    <row r="23" spans="3:53">
      <c r="D23" s="4"/>
      <c r="AE23" s="152"/>
    </row>
    <row r="24" spans="3:53">
      <c r="AE24" s="152"/>
    </row>
    <row r="25" spans="3:53">
      <c r="AE25" s="152"/>
    </row>
    <row r="26" spans="3:53">
      <c r="AE26" s="152"/>
    </row>
    <row r="27" spans="3:53">
      <c r="AE27" s="152"/>
    </row>
    <row r="28" spans="3:53">
      <c r="AE28" s="152"/>
    </row>
    <row r="29" spans="3:53">
      <c r="AE29" s="152"/>
    </row>
    <row r="30" spans="3:53">
      <c r="AE30" s="152"/>
    </row>
    <row r="31" spans="3:53">
      <c r="AE31" s="152"/>
    </row>
    <row r="32" spans="3:53">
      <c r="AE32" s="152"/>
    </row>
    <row r="33" spans="31:31">
      <c r="AE33" s="152"/>
    </row>
    <row r="34" spans="31:31">
      <c r="AE34" s="152"/>
    </row>
    <row r="35" spans="31:31">
      <c r="AE35" s="152"/>
    </row>
    <row r="36" spans="31:31">
      <c r="AE36" s="152"/>
    </row>
    <row r="37" spans="31:31">
      <c r="AE37" s="152"/>
    </row>
    <row r="38" spans="31:31">
      <c r="AE38" s="152"/>
    </row>
    <row r="39" spans="31:31">
      <c r="AE39" s="152"/>
    </row>
    <row r="40" spans="31:31">
      <c r="AE40" s="152"/>
    </row>
    <row r="41" spans="31:31">
      <c r="AE41" s="152"/>
    </row>
    <row r="42" spans="31:31">
      <c r="AE42" s="152"/>
    </row>
    <row r="43" spans="31:31">
      <c r="AE43" s="152"/>
    </row>
    <row r="44" spans="31:31">
      <c r="AE44" s="152"/>
    </row>
    <row r="45" spans="31:31">
      <c r="AE45" s="152"/>
    </row>
    <row r="46" spans="31:31">
      <c r="AE46" s="152"/>
    </row>
    <row r="47" spans="31:31">
      <c r="AE47" s="152"/>
    </row>
    <row r="48" spans="31:31">
      <c r="AE48" s="152"/>
    </row>
    <row r="49" spans="31:31">
      <c r="AE49" s="152"/>
    </row>
    <row r="50" spans="31:31">
      <c r="AE50" s="152"/>
    </row>
    <row r="51" spans="31:31">
      <c r="AE51" s="152"/>
    </row>
    <row r="52" spans="31:31">
      <c r="AE52" s="152"/>
    </row>
    <row r="53" spans="31:31">
      <c r="AE53" s="152"/>
    </row>
    <row r="54" spans="31:31">
      <c r="AE54" s="152"/>
    </row>
    <row r="55" spans="31:31">
      <c r="AE55" s="152"/>
    </row>
    <row r="56" spans="31:31">
      <c r="AE56" s="152"/>
    </row>
    <row r="57" spans="31:31">
      <c r="AE57" s="152"/>
    </row>
    <row r="58" spans="31:31">
      <c r="AE58" s="152"/>
    </row>
    <row r="59" spans="31:31">
      <c r="AE59" s="152"/>
    </row>
    <row r="60" spans="31:31">
      <c r="AE60" s="152"/>
    </row>
    <row r="61" spans="31:31">
      <c r="AE61" s="152"/>
    </row>
    <row r="62" spans="31:31">
      <c r="AE62" s="152"/>
    </row>
    <row r="63" spans="31:31">
      <c r="AE63" s="152"/>
    </row>
    <row r="64" spans="31:31">
      <c r="AE64" s="152"/>
    </row>
    <row r="65" spans="31:31">
      <c r="AE65" s="152"/>
    </row>
    <row r="66" spans="31:31">
      <c r="AE66" s="152"/>
    </row>
    <row r="67" spans="31:31">
      <c r="AE67" s="152"/>
    </row>
    <row r="68" spans="31:31">
      <c r="AE68" s="152"/>
    </row>
    <row r="69" spans="31:31">
      <c r="AE69" s="152"/>
    </row>
    <row r="70" spans="31:31">
      <c r="AE70" s="152"/>
    </row>
    <row r="71" spans="31:31">
      <c r="AE71" s="152"/>
    </row>
    <row r="72" spans="31:31">
      <c r="AE72" s="152"/>
    </row>
    <row r="73" spans="31:31">
      <c r="AE73" s="152"/>
    </row>
    <row r="74" spans="31:31">
      <c r="AE74" s="152"/>
    </row>
    <row r="75" spans="31:31">
      <c r="AE75" s="152"/>
    </row>
    <row r="76" spans="31:31">
      <c r="AE76" s="152"/>
    </row>
    <row r="77" spans="31:31">
      <c r="AE77" s="152"/>
    </row>
    <row r="78" spans="31:31">
      <c r="AE78" s="152"/>
    </row>
    <row r="79" spans="31:31">
      <c r="AE79" s="152"/>
    </row>
    <row r="80" spans="31:31">
      <c r="AE80" s="152"/>
    </row>
    <row r="81" spans="31:31">
      <c r="AE81" s="152"/>
    </row>
    <row r="82" spans="31:31">
      <c r="AE82" s="152"/>
    </row>
    <row r="83" spans="31:31">
      <c r="AE83" s="152"/>
    </row>
    <row r="84" spans="31:31">
      <c r="AE84" s="152"/>
    </row>
    <row r="85" spans="31:31">
      <c r="AE85" s="152"/>
    </row>
    <row r="86" spans="31:31">
      <c r="AE86" s="152"/>
    </row>
    <row r="87" spans="31:31">
      <c r="AE87" s="152"/>
    </row>
    <row r="88" spans="31:31">
      <c r="AE88" s="152"/>
    </row>
    <row r="89" spans="31:31">
      <c r="AE89" s="152"/>
    </row>
    <row r="90" spans="31:31">
      <c r="AE90" s="152"/>
    </row>
    <row r="91" spans="31:31">
      <c r="AE91" s="152"/>
    </row>
    <row r="92" spans="31:31">
      <c r="AE92" s="152"/>
    </row>
    <row r="93" spans="31:31">
      <c r="AE93" s="152"/>
    </row>
    <row r="94" spans="31:31">
      <c r="AE94" s="152"/>
    </row>
    <row r="95" spans="31:31">
      <c r="AE95" s="152"/>
    </row>
    <row r="96" spans="31:31">
      <c r="AE96" s="152"/>
    </row>
    <row r="97" spans="31:31">
      <c r="AE97" s="152"/>
    </row>
    <row r="98" spans="31:31">
      <c r="AE98" s="152"/>
    </row>
    <row r="99" spans="31:31">
      <c r="AE99" s="152"/>
    </row>
    <row r="100" spans="31:31">
      <c r="AE100" s="152"/>
    </row>
    <row r="101" spans="31:31">
      <c r="AE101" s="152"/>
    </row>
    <row r="102" spans="31:31">
      <c r="AE102" s="152"/>
    </row>
    <row r="103" spans="31:31">
      <c r="AE103" s="152"/>
    </row>
    <row r="104" spans="31:31">
      <c r="AE104" s="152"/>
    </row>
    <row r="105" spans="31:31">
      <c r="AE105" s="152"/>
    </row>
    <row r="106" spans="31:31">
      <c r="AE106" s="152"/>
    </row>
    <row r="107" spans="31:31">
      <c r="AE107" s="152"/>
    </row>
    <row r="108" spans="31:31">
      <c r="AE108" s="152"/>
    </row>
    <row r="109" spans="31:31">
      <c r="AE109" s="152"/>
    </row>
    <row r="110" spans="31:31">
      <c r="AE110" s="152"/>
    </row>
    <row r="111" spans="31:31">
      <c r="AE111" s="152"/>
    </row>
    <row r="112" spans="31:31">
      <c r="AE112" s="152"/>
    </row>
    <row r="113" spans="31:31">
      <c r="AE113" s="152"/>
    </row>
    <row r="114" spans="31:31">
      <c r="AE114" s="152"/>
    </row>
    <row r="115" spans="31:31">
      <c r="AE115" s="152"/>
    </row>
    <row r="116" spans="31:31">
      <c r="AE116" s="152"/>
    </row>
    <row r="117" spans="31:31">
      <c r="AE117" s="152"/>
    </row>
    <row r="118" spans="31:31">
      <c r="AE118" s="152"/>
    </row>
    <row r="119" spans="31:31">
      <c r="AE119" s="152"/>
    </row>
    <row r="120" spans="31:31">
      <c r="AE120" s="152"/>
    </row>
    <row r="121" spans="31:31">
      <c r="AE121" s="152"/>
    </row>
    <row r="122" spans="31:31">
      <c r="AE122" s="152"/>
    </row>
    <row r="123" spans="31:31">
      <c r="AE123" s="152"/>
    </row>
    <row r="124" spans="31:31">
      <c r="AE124" s="152"/>
    </row>
    <row r="125" spans="31:31">
      <c r="AE125" s="152"/>
    </row>
    <row r="126" spans="31:31">
      <c r="AE126" s="152"/>
    </row>
    <row r="127" spans="31:31">
      <c r="AE127" s="152"/>
    </row>
    <row r="128" spans="31:31">
      <c r="AE128" s="152"/>
    </row>
    <row r="129" spans="31:31">
      <c r="AE129" s="152"/>
    </row>
    <row r="130" spans="31:31">
      <c r="AE130" s="152"/>
    </row>
    <row r="131" spans="31:31">
      <c r="AE131" s="152"/>
    </row>
    <row r="132" spans="31:31">
      <c r="AE132" s="152"/>
    </row>
    <row r="133" spans="31:31">
      <c r="AE133" s="152"/>
    </row>
    <row r="134" spans="31:31">
      <c r="AE134" s="152"/>
    </row>
    <row r="135" spans="31:31">
      <c r="AE135" s="152"/>
    </row>
    <row r="136" spans="31:31">
      <c r="AE136" s="152"/>
    </row>
    <row r="137" spans="31:31">
      <c r="AE137" s="152"/>
    </row>
    <row r="138" spans="31:31">
      <c r="AE138" s="152"/>
    </row>
    <row r="139" spans="31:31">
      <c r="AE139" s="152"/>
    </row>
    <row r="140" spans="31:31">
      <c r="AE140" s="152"/>
    </row>
    <row r="141" spans="31:31">
      <c r="AE141" s="152"/>
    </row>
    <row r="142" spans="31:31">
      <c r="AE142" s="152"/>
    </row>
    <row r="143" spans="31:31">
      <c r="AE143" s="152"/>
    </row>
    <row r="144" spans="31:31">
      <c r="AE144" s="152"/>
    </row>
    <row r="145" spans="31:31">
      <c r="AE145" s="152"/>
    </row>
    <row r="146" spans="31:31">
      <c r="AE146" s="152"/>
    </row>
    <row r="147" spans="31:31">
      <c r="AE147" s="152"/>
    </row>
    <row r="148" spans="31:31">
      <c r="AE148" s="152"/>
    </row>
    <row r="149" spans="31:31">
      <c r="AE149" s="152"/>
    </row>
    <row r="150" spans="31:31">
      <c r="AE150" s="152"/>
    </row>
    <row r="151" spans="31:31">
      <c r="AE151" s="152"/>
    </row>
    <row r="152" spans="31:31">
      <c r="AE152" s="152"/>
    </row>
    <row r="153" spans="31:31">
      <c r="AE153" s="152"/>
    </row>
    <row r="154" spans="31:31">
      <c r="AE154" s="152"/>
    </row>
    <row r="155" spans="31:31">
      <c r="AE155" s="152"/>
    </row>
    <row r="156" spans="31:31">
      <c r="AE156" s="152"/>
    </row>
    <row r="157" spans="31:31">
      <c r="AE157" s="152"/>
    </row>
    <row r="158" spans="31:31">
      <c r="AE158" s="152"/>
    </row>
    <row r="159" spans="31:31">
      <c r="AE159" s="152"/>
    </row>
    <row r="160" spans="31:31">
      <c r="AE160" s="152"/>
    </row>
    <row r="161" spans="31:31">
      <c r="AE161" s="152"/>
    </row>
    <row r="162" spans="31:31">
      <c r="AE162" s="152"/>
    </row>
    <row r="163" spans="31:31">
      <c r="AE163" s="152"/>
    </row>
    <row r="164" spans="31:31">
      <c r="AE164" s="152"/>
    </row>
    <row r="165" spans="31:31">
      <c r="AE165" s="152"/>
    </row>
    <row r="166" spans="31:31">
      <c r="AE166" s="152"/>
    </row>
    <row r="167" spans="31:31">
      <c r="AE167" s="152"/>
    </row>
    <row r="168" spans="31:31">
      <c r="AE168" s="152"/>
    </row>
    <row r="169" spans="31:31">
      <c r="AE169" s="152"/>
    </row>
    <row r="170" spans="31:31">
      <c r="AE170" s="152"/>
    </row>
    <row r="171" spans="31:31">
      <c r="AE171" s="152"/>
    </row>
    <row r="172" spans="31:31">
      <c r="AE172" s="152"/>
    </row>
    <row r="173" spans="31:31">
      <c r="AE173" s="152"/>
    </row>
    <row r="174" spans="31:31">
      <c r="AE174" s="152"/>
    </row>
    <row r="175" spans="31:31">
      <c r="AE175" s="152"/>
    </row>
    <row r="176" spans="31:31">
      <c r="AE176" s="152"/>
    </row>
    <row r="177" spans="31:31">
      <c r="AE177" s="152"/>
    </row>
    <row r="178" spans="31:31">
      <c r="AE178" s="152"/>
    </row>
    <row r="179" spans="31:31">
      <c r="AE179" s="152"/>
    </row>
    <row r="180" spans="31:31">
      <c r="AE180" s="152"/>
    </row>
    <row r="181" spans="31:31">
      <c r="AE181" s="152"/>
    </row>
    <row r="182" spans="31:31">
      <c r="AE182" s="152"/>
    </row>
    <row r="183" spans="31:31">
      <c r="AE183" s="152"/>
    </row>
    <row r="184" spans="31:31">
      <c r="AE184" s="152"/>
    </row>
    <row r="185" spans="31:31">
      <c r="AE185" s="152"/>
    </row>
    <row r="186" spans="31:31">
      <c r="AE186" s="152"/>
    </row>
    <row r="187" spans="31:31">
      <c r="AE187" s="152"/>
    </row>
    <row r="188" spans="31:31">
      <c r="AE188" s="152"/>
    </row>
    <row r="189" spans="31:31">
      <c r="AE189" s="152"/>
    </row>
    <row r="190" spans="31:31">
      <c r="AE190" s="152"/>
    </row>
    <row r="191" spans="31:31">
      <c r="AE191" s="152"/>
    </row>
    <row r="192" spans="31:31">
      <c r="AE192" s="152"/>
    </row>
    <row r="193" spans="31:31">
      <c r="AE193" s="152"/>
    </row>
    <row r="194" spans="31:31">
      <c r="AE194" s="152"/>
    </row>
    <row r="195" spans="31:31">
      <c r="AE195" s="152"/>
    </row>
    <row r="196" spans="31:31">
      <c r="AE196" s="152"/>
    </row>
    <row r="197" spans="31:31">
      <c r="AE197" s="152"/>
    </row>
    <row r="198" spans="31:31">
      <c r="AE198" s="152"/>
    </row>
    <row r="199" spans="31:31">
      <c r="AE199" s="152"/>
    </row>
    <row r="200" spans="31:31">
      <c r="AE200" s="152"/>
    </row>
    <row r="201" spans="31:31">
      <c r="AE201" s="152"/>
    </row>
    <row r="202" spans="31:31">
      <c r="AE202" s="152"/>
    </row>
    <row r="203" spans="31:31">
      <c r="AE203" s="152"/>
    </row>
    <row r="204" spans="31:31">
      <c r="AE204" s="152"/>
    </row>
    <row r="205" spans="31:31">
      <c r="AE205" s="152"/>
    </row>
    <row r="206" spans="31:31">
      <c r="AE206" s="152"/>
    </row>
    <row r="207" spans="31:31">
      <c r="AE207" s="152"/>
    </row>
    <row r="208" spans="31:31">
      <c r="AE208" s="152"/>
    </row>
    <row r="209" spans="31:31">
      <c r="AE209" s="152"/>
    </row>
    <row r="210" spans="31:31">
      <c r="AE210" s="152"/>
    </row>
    <row r="211" spans="31:31">
      <c r="AE211" s="152"/>
    </row>
    <row r="212" spans="31:31">
      <c r="AE212" s="152"/>
    </row>
    <row r="213" spans="31:31">
      <c r="AE213" s="152"/>
    </row>
    <row r="214" spans="31:31">
      <c r="AE214" s="152"/>
    </row>
    <row r="215" spans="31:31">
      <c r="AE215" s="152"/>
    </row>
    <row r="216" spans="31:31">
      <c r="AE216" s="152"/>
    </row>
    <row r="217" spans="31:31">
      <c r="AE217" s="152"/>
    </row>
    <row r="218" spans="31:31">
      <c r="AE218" s="152"/>
    </row>
    <row r="219" spans="31:31">
      <c r="AE219" s="152"/>
    </row>
    <row r="220" spans="31:31">
      <c r="AE220" s="152"/>
    </row>
    <row r="221" spans="31:31">
      <c r="AE221" s="152"/>
    </row>
    <row r="222" spans="31:31">
      <c r="AE222" s="152"/>
    </row>
    <row r="223" spans="31:31">
      <c r="AE223" s="152"/>
    </row>
    <row r="224" spans="31:31">
      <c r="AE224" s="152"/>
    </row>
    <row r="225" spans="31:31">
      <c r="AE225" s="152"/>
    </row>
    <row r="226" spans="31:31">
      <c r="AE226" s="152"/>
    </row>
    <row r="227" spans="31:31">
      <c r="AE227" s="152"/>
    </row>
    <row r="228" spans="31:31">
      <c r="AE228" s="152"/>
    </row>
    <row r="229" spans="31:31">
      <c r="AE229" s="152"/>
    </row>
    <row r="230" spans="31:31">
      <c r="AE230" s="152"/>
    </row>
    <row r="231" spans="31:31">
      <c r="AE231" s="152"/>
    </row>
    <row r="232" spans="31:31">
      <c r="AE232" s="152"/>
    </row>
    <row r="233" spans="31:31">
      <c r="AE233" s="152"/>
    </row>
    <row r="234" spans="31:31">
      <c r="AE234" s="152"/>
    </row>
    <row r="235" spans="31:31">
      <c r="AE235" s="152"/>
    </row>
    <row r="236" spans="31:31">
      <c r="AE236" s="152"/>
    </row>
    <row r="237" spans="31:31">
      <c r="AE237" s="152"/>
    </row>
    <row r="238" spans="31:31">
      <c r="AE238" s="152"/>
    </row>
    <row r="239" spans="31:31">
      <c r="AE239" s="152"/>
    </row>
    <row r="240" spans="31:31">
      <c r="AE240" s="152"/>
    </row>
    <row r="241" spans="31:31">
      <c r="AE241" s="152"/>
    </row>
    <row r="242" spans="31:31">
      <c r="AE242" s="152"/>
    </row>
    <row r="243" spans="31:31">
      <c r="AE243" s="152"/>
    </row>
    <row r="244" spans="31:31">
      <c r="AE244" s="152"/>
    </row>
    <row r="245" spans="31:31">
      <c r="AE245" s="152"/>
    </row>
    <row r="246" spans="31:31">
      <c r="AE246" s="152"/>
    </row>
    <row r="247" spans="31:31">
      <c r="AE247" s="152"/>
    </row>
    <row r="248" spans="31:31">
      <c r="AE248" s="152"/>
    </row>
    <row r="249" spans="31:31">
      <c r="AE249" s="152"/>
    </row>
    <row r="250" spans="31:31">
      <c r="AE250" s="152"/>
    </row>
    <row r="251" spans="31:31">
      <c r="AE251" s="152"/>
    </row>
    <row r="252" spans="31:31">
      <c r="AE252" s="152"/>
    </row>
    <row r="253" spans="31:31">
      <c r="AE253" s="152"/>
    </row>
    <row r="254" spans="31:31">
      <c r="AE254" s="152"/>
    </row>
    <row r="255" spans="31:31">
      <c r="AE255" s="152"/>
    </row>
    <row r="256" spans="31:31">
      <c r="AE256" s="152"/>
    </row>
    <row r="257" spans="31:31">
      <c r="AE257" s="152"/>
    </row>
    <row r="258" spans="31:31">
      <c r="AE258" s="152"/>
    </row>
    <row r="259" spans="31:31">
      <c r="AE259" s="152"/>
    </row>
    <row r="260" spans="31:31">
      <c r="AE260" s="152"/>
    </row>
    <row r="261" spans="31:31">
      <c r="AE261" s="152"/>
    </row>
    <row r="262" spans="31:31">
      <c r="AE262" s="152"/>
    </row>
    <row r="263" spans="31:31">
      <c r="AE263" s="152"/>
    </row>
    <row r="264" spans="31:31">
      <c r="AE264" s="152"/>
    </row>
    <row r="265" spans="31:31">
      <c r="AE265" s="152"/>
    </row>
    <row r="266" spans="31:31">
      <c r="AE266" s="152"/>
    </row>
    <row r="267" spans="31:31">
      <c r="AE267" s="152"/>
    </row>
    <row r="268" spans="31:31">
      <c r="AE268" s="152"/>
    </row>
    <row r="269" spans="31:31">
      <c r="AE269" s="152"/>
    </row>
    <row r="270" spans="31:31">
      <c r="AE270" s="152"/>
    </row>
    <row r="271" spans="31:31">
      <c r="AE271" s="152"/>
    </row>
    <row r="272" spans="31:31">
      <c r="AE272" s="152"/>
    </row>
    <row r="273" spans="31:31">
      <c r="AE273" s="152"/>
    </row>
    <row r="274" spans="31:31">
      <c r="AE274" s="152"/>
    </row>
    <row r="275" spans="31:31">
      <c r="AE275" s="152"/>
    </row>
    <row r="276" spans="31:31">
      <c r="AE276" s="152"/>
    </row>
    <row r="277" spans="31:31">
      <c r="AE277" s="152"/>
    </row>
    <row r="278" spans="31:31">
      <c r="AE278" s="152"/>
    </row>
    <row r="279" spans="31:31">
      <c r="AE279" s="152"/>
    </row>
    <row r="280" spans="31:31">
      <c r="AE280" s="152"/>
    </row>
    <row r="281" spans="31:31">
      <c r="AE281" s="152"/>
    </row>
    <row r="282" spans="31:31">
      <c r="AE282" s="152"/>
    </row>
    <row r="283" spans="31:31">
      <c r="AE283" s="152"/>
    </row>
    <row r="284" spans="31:31">
      <c r="AE284" s="152"/>
    </row>
    <row r="285" spans="31:31">
      <c r="AE285" s="152"/>
    </row>
    <row r="286" spans="31:31">
      <c r="AE286" s="152"/>
    </row>
    <row r="287" spans="31:31">
      <c r="AE287" s="152"/>
    </row>
    <row r="288" spans="31:31">
      <c r="AE288" s="152"/>
    </row>
    <row r="289" spans="31:31">
      <c r="AE289" s="152"/>
    </row>
    <row r="290" spans="31:31">
      <c r="AE290" s="152"/>
    </row>
    <row r="291" spans="31:31">
      <c r="AE291" s="152"/>
    </row>
    <row r="292" spans="31:31">
      <c r="AE292" s="152"/>
    </row>
    <row r="293" spans="31:31">
      <c r="AE293" s="152"/>
    </row>
    <row r="294" spans="31:31">
      <c r="AE294" s="152"/>
    </row>
    <row r="295" spans="31:31">
      <c r="AE295" s="152"/>
    </row>
    <row r="296" spans="31:31">
      <c r="AE296" s="152"/>
    </row>
    <row r="297" spans="31:31">
      <c r="AE297" s="152"/>
    </row>
    <row r="298" spans="31:31">
      <c r="AE298" s="152"/>
    </row>
    <row r="299" spans="31:31">
      <c r="AE299" s="152"/>
    </row>
    <row r="300" spans="31:31">
      <c r="AE300" s="152"/>
    </row>
    <row r="301" spans="31:31">
      <c r="AE301" s="152"/>
    </row>
    <row r="302" spans="31:31">
      <c r="AE302" s="152"/>
    </row>
    <row r="303" spans="31:31">
      <c r="AE303" s="152"/>
    </row>
    <row r="304" spans="31:31">
      <c r="AE304" s="152"/>
    </row>
    <row r="305" spans="31:31">
      <c r="AE305" s="152"/>
    </row>
    <row r="306" spans="31:31">
      <c r="AE306" s="152"/>
    </row>
    <row r="307" spans="31:31">
      <c r="AE307" s="152"/>
    </row>
    <row r="308" spans="31:31">
      <c r="AE308" s="152"/>
    </row>
    <row r="309" spans="31:31">
      <c r="AE309" s="152"/>
    </row>
    <row r="310" spans="31:31">
      <c r="AE310" s="152"/>
    </row>
    <row r="311" spans="31:31">
      <c r="AE311" s="152"/>
    </row>
    <row r="312" spans="31:31">
      <c r="AE312" s="152"/>
    </row>
    <row r="313" spans="31:31">
      <c r="AE313" s="152"/>
    </row>
    <row r="314" spans="31:31">
      <c r="AE314" s="152"/>
    </row>
    <row r="315" spans="31:31">
      <c r="AE315" s="152"/>
    </row>
    <row r="316" spans="31:31">
      <c r="AE316" s="152"/>
    </row>
    <row r="317" spans="31:31">
      <c r="AE317" s="152"/>
    </row>
    <row r="318" spans="31:31">
      <c r="AE318" s="152"/>
    </row>
    <row r="319" spans="31:31">
      <c r="AE319" s="152"/>
    </row>
    <row r="320" spans="31:31">
      <c r="AE320" s="152"/>
    </row>
    <row r="321" spans="31:31">
      <c r="AE321" s="152"/>
    </row>
    <row r="322" spans="31:31">
      <c r="AE322" s="152"/>
    </row>
    <row r="323" spans="31:31">
      <c r="AE323" s="152"/>
    </row>
    <row r="324" spans="31:31">
      <c r="AE324" s="152"/>
    </row>
    <row r="325" spans="31:31">
      <c r="AE325" s="152"/>
    </row>
    <row r="326" spans="31:31">
      <c r="AE326" s="152"/>
    </row>
    <row r="327" spans="31:31">
      <c r="AE327" s="152"/>
    </row>
    <row r="328" spans="31:31">
      <c r="AE328" s="152"/>
    </row>
    <row r="329" spans="31:31">
      <c r="AE329" s="152"/>
    </row>
    <row r="330" spans="31:31">
      <c r="AE330" s="152"/>
    </row>
    <row r="331" spans="31:31">
      <c r="AE331" s="152"/>
    </row>
    <row r="332" spans="31:31">
      <c r="AE332" s="152"/>
    </row>
    <row r="333" spans="31:31">
      <c r="AE333" s="152"/>
    </row>
    <row r="334" spans="31:31">
      <c r="AE334" s="152"/>
    </row>
    <row r="335" spans="31:31">
      <c r="AE335" s="152"/>
    </row>
    <row r="336" spans="31:31">
      <c r="AE336" s="152"/>
    </row>
    <row r="337" spans="31:31">
      <c r="AE337" s="152"/>
    </row>
    <row r="338" spans="31:31">
      <c r="AE338" s="152"/>
    </row>
    <row r="339" spans="31:31">
      <c r="AE339" s="152"/>
    </row>
    <row r="340" spans="31:31">
      <c r="AE340" s="152"/>
    </row>
    <row r="341" spans="31:31">
      <c r="AE341" s="152"/>
    </row>
    <row r="342" spans="31:31">
      <c r="AE342" s="152"/>
    </row>
    <row r="343" spans="31:31">
      <c r="AE343" s="152"/>
    </row>
    <row r="344" spans="31:31">
      <c r="AE344" s="152"/>
    </row>
    <row r="345" spans="31:31">
      <c r="AE345" s="152"/>
    </row>
    <row r="346" spans="31:31">
      <c r="AE346" s="152"/>
    </row>
    <row r="347" spans="31:31">
      <c r="AE347" s="152"/>
    </row>
    <row r="348" spans="31:31">
      <c r="AE348" s="152"/>
    </row>
    <row r="349" spans="31:31">
      <c r="AE349" s="152"/>
    </row>
    <row r="350" spans="31:31">
      <c r="AE350" s="152"/>
    </row>
    <row r="351" spans="31:31">
      <c r="AE351" s="152"/>
    </row>
    <row r="352" spans="31:31">
      <c r="AE352" s="152"/>
    </row>
    <row r="353" spans="31:31">
      <c r="AE353" s="152"/>
    </row>
    <row r="354" spans="31:31">
      <c r="AE354" s="152"/>
    </row>
    <row r="355" spans="31:31">
      <c r="AE355" s="152"/>
    </row>
    <row r="356" spans="31:31">
      <c r="AE356" s="152"/>
    </row>
    <row r="357" spans="31:31">
      <c r="AE357" s="152"/>
    </row>
    <row r="358" spans="31:31">
      <c r="AE358" s="152"/>
    </row>
    <row r="359" spans="31:31">
      <c r="AE359" s="152"/>
    </row>
    <row r="360" spans="31:31">
      <c r="AE360" s="152"/>
    </row>
    <row r="361" spans="31:31">
      <c r="AE361" s="152"/>
    </row>
    <row r="362" spans="31:31">
      <c r="AE362" s="152"/>
    </row>
    <row r="363" spans="31:31">
      <c r="AE363" s="152"/>
    </row>
    <row r="364" spans="31:31">
      <c r="AE364" s="152"/>
    </row>
    <row r="365" spans="31:31">
      <c r="AE365" s="152"/>
    </row>
    <row r="366" spans="31:31">
      <c r="AE366" s="152"/>
    </row>
    <row r="367" spans="31:31">
      <c r="AE367" s="152"/>
    </row>
    <row r="368" spans="31:31">
      <c r="AE368" s="152"/>
    </row>
    <row r="369" spans="31:31">
      <c r="AE369" s="152"/>
    </row>
    <row r="370" spans="31:31">
      <c r="AE370" s="152"/>
    </row>
    <row r="371" spans="31:31">
      <c r="AE371" s="152"/>
    </row>
    <row r="372" spans="31:31">
      <c r="AE372" s="152"/>
    </row>
    <row r="373" spans="31:31">
      <c r="AE373" s="152"/>
    </row>
    <row r="374" spans="31:31">
      <c r="AE374" s="152"/>
    </row>
    <row r="375" spans="31:31">
      <c r="AE375" s="152"/>
    </row>
    <row r="376" spans="31:31">
      <c r="AE376" s="152"/>
    </row>
    <row r="377" spans="31:31">
      <c r="AE377" s="152"/>
    </row>
    <row r="378" spans="31:31">
      <c r="AE378" s="152"/>
    </row>
    <row r="379" spans="31:31">
      <c r="AE379" s="152"/>
    </row>
    <row r="380" spans="31:31">
      <c r="AE380" s="152"/>
    </row>
    <row r="381" spans="31:31">
      <c r="AE381" s="152"/>
    </row>
    <row r="382" spans="31:31">
      <c r="AE382" s="152"/>
    </row>
    <row r="383" spans="31:31">
      <c r="AE383" s="152"/>
    </row>
    <row r="384" spans="31:31">
      <c r="AE384" s="152"/>
    </row>
    <row r="385" spans="31:31">
      <c r="AE385" s="152"/>
    </row>
    <row r="386" spans="31:31">
      <c r="AE386" s="152"/>
    </row>
    <row r="387" spans="31:31">
      <c r="AE387" s="152"/>
    </row>
    <row r="388" spans="31:31">
      <c r="AE388" s="152"/>
    </row>
    <row r="389" spans="31:31">
      <c r="AE389" s="152"/>
    </row>
    <row r="390" spans="31:31">
      <c r="AE390" s="152"/>
    </row>
    <row r="391" spans="31:31">
      <c r="AE391" s="152"/>
    </row>
    <row r="392" spans="31:31">
      <c r="AE392" s="152"/>
    </row>
    <row r="393" spans="31:31">
      <c r="AE393" s="152"/>
    </row>
    <row r="394" spans="31:31">
      <c r="AE394" s="152"/>
    </row>
    <row r="395" spans="31:31">
      <c r="AE395" s="152"/>
    </row>
    <row r="396" spans="31:31">
      <c r="AE396" s="152"/>
    </row>
    <row r="397" spans="31:31">
      <c r="AE397" s="152"/>
    </row>
    <row r="398" spans="31:31">
      <c r="AE398" s="152"/>
    </row>
    <row r="399" spans="31:31">
      <c r="AE399" s="152"/>
    </row>
    <row r="400" spans="31:31">
      <c r="AE400" s="152"/>
    </row>
    <row r="401" spans="31:31">
      <c r="AE401" s="152"/>
    </row>
    <row r="402" spans="31:31">
      <c r="AE402" s="152"/>
    </row>
    <row r="403" spans="31:31">
      <c r="AE403" s="152"/>
    </row>
    <row r="404" spans="31:31">
      <c r="AE404" s="152"/>
    </row>
    <row r="405" spans="31:31">
      <c r="AE405" s="152"/>
    </row>
    <row r="406" spans="31:31">
      <c r="AE406" s="152"/>
    </row>
    <row r="407" spans="31:31">
      <c r="AE407" s="152"/>
    </row>
    <row r="408" spans="31:31">
      <c r="AE408" s="152"/>
    </row>
    <row r="409" spans="31:31">
      <c r="AE409" s="152"/>
    </row>
    <row r="410" spans="31:31">
      <c r="AE410" s="152"/>
    </row>
    <row r="411" spans="31:31">
      <c r="AE411" s="152"/>
    </row>
    <row r="412" spans="31:31">
      <c r="AE412" s="152"/>
    </row>
    <row r="413" spans="31:31">
      <c r="AE413" s="152"/>
    </row>
    <row r="414" spans="31:31">
      <c r="AE414" s="152"/>
    </row>
    <row r="415" spans="31:31">
      <c r="AE415" s="152"/>
    </row>
    <row r="416" spans="31:31">
      <c r="AE416" s="152"/>
    </row>
    <row r="417" spans="31:31">
      <c r="AE417" s="152"/>
    </row>
    <row r="418" spans="31:31">
      <c r="AE418" s="152"/>
    </row>
    <row r="419" spans="31:31">
      <c r="AE419" s="152"/>
    </row>
    <row r="420" spans="31:31">
      <c r="AE420" s="152"/>
    </row>
    <row r="421" spans="31:31">
      <c r="AE421" s="152"/>
    </row>
    <row r="422" spans="31:31">
      <c r="AE422" s="152"/>
    </row>
    <row r="423" spans="31:31">
      <c r="AE423" s="152"/>
    </row>
    <row r="424" spans="31:31">
      <c r="AE424" s="152"/>
    </row>
    <row r="425" spans="31:31">
      <c r="AE425" s="152"/>
    </row>
    <row r="426" spans="31:31">
      <c r="AE426" s="152"/>
    </row>
    <row r="427" spans="31:31">
      <c r="AE427" s="152"/>
    </row>
    <row r="428" spans="31:31">
      <c r="AE428" s="152"/>
    </row>
    <row r="429" spans="31:31">
      <c r="AE429" s="152"/>
    </row>
    <row r="430" spans="31:31">
      <c r="AE430" s="152"/>
    </row>
    <row r="431" spans="31:31">
      <c r="AE431" s="152"/>
    </row>
    <row r="432" spans="31:31">
      <c r="AE432" s="152"/>
    </row>
    <row r="433" spans="31:31">
      <c r="AE433" s="152"/>
    </row>
    <row r="434" spans="31:31">
      <c r="AE434" s="152"/>
    </row>
    <row r="435" spans="31:31">
      <c r="AE435" s="152"/>
    </row>
    <row r="436" spans="31:31">
      <c r="AE436" s="152"/>
    </row>
    <row r="437" spans="31:31">
      <c r="AE437" s="152"/>
    </row>
    <row r="438" spans="31:31">
      <c r="AE438" s="152"/>
    </row>
    <row r="439" spans="31:31">
      <c r="AE439" s="152"/>
    </row>
    <row r="440" spans="31:31">
      <c r="AE440" s="152"/>
    </row>
    <row r="441" spans="31:31">
      <c r="AE441" s="152"/>
    </row>
    <row r="442" spans="31:31">
      <c r="AE442" s="152"/>
    </row>
    <row r="443" spans="31:31">
      <c r="AE443" s="152"/>
    </row>
    <row r="444" spans="31:31">
      <c r="AE444" s="152"/>
    </row>
    <row r="445" spans="31:31">
      <c r="AE445" s="152"/>
    </row>
    <row r="446" spans="31:31">
      <c r="AE446" s="152"/>
    </row>
    <row r="447" spans="31:31">
      <c r="AE447" s="152"/>
    </row>
    <row r="448" spans="31:31">
      <c r="AE448" s="152"/>
    </row>
    <row r="449" spans="31:31">
      <c r="AE449" s="152"/>
    </row>
    <row r="450" spans="31:31">
      <c r="AE450" s="152"/>
    </row>
    <row r="451" spans="31:31">
      <c r="AE451" s="152"/>
    </row>
    <row r="452" spans="31:31">
      <c r="AE452" s="152"/>
    </row>
    <row r="453" spans="31:31">
      <c r="AE453" s="152"/>
    </row>
    <row r="454" spans="31:31">
      <c r="AE454" s="152"/>
    </row>
    <row r="455" spans="31:31">
      <c r="AE455" s="152"/>
    </row>
    <row r="456" spans="31:31">
      <c r="AE456" s="152"/>
    </row>
    <row r="457" spans="31:31">
      <c r="AE457" s="152"/>
    </row>
    <row r="458" spans="31:31">
      <c r="AE458" s="152"/>
    </row>
    <row r="459" spans="31:31">
      <c r="AE459" s="152"/>
    </row>
    <row r="460" spans="31:31">
      <c r="AE460" s="152"/>
    </row>
    <row r="461" spans="31:31">
      <c r="AE461" s="152"/>
    </row>
    <row r="462" spans="31:31">
      <c r="AE462" s="152"/>
    </row>
    <row r="463" spans="31:31">
      <c r="AE463" s="152"/>
    </row>
    <row r="464" spans="31:31">
      <c r="AE464" s="152"/>
    </row>
    <row r="465" spans="31:31">
      <c r="AE465" s="152"/>
    </row>
    <row r="466" spans="31:31">
      <c r="AE466" s="152"/>
    </row>
    <row r="467" spans="31:31">
      <c r="AE467" s="152"/>
    </row>
    <row r="468" spans="31:31">
      <c r="AE468" s="152"/>
    </row>
    <row r="469" spans="31:31">
      <c r="AE469" s="152"/>
    </row>
    <row r="470" spans="31:31">
      <c r="AE470" s="152"/>
    </row>
    <row r="471" spans="31:31">
      <c r="AE471" s="152"/>
    </row>
    <row r="472" spans="31:31">
      <c r="AE472" s="152"/>
    </row>
    <row r="473" spans="31:31">
      <c r="AE473" s="152"/>
    </row>
    <row r="474" spans="31:31">
      <c r="AE474" s="152"/>
    </row>
    <row r="475" spans="31:31">
      <c r="AE475" s="152"/>
    </row>
    <row r="476" spans="31:31">
      <c r="AE476" s="152"/>
    </row>
    <row r="477" spans="31:31">
      <c r="AE477" s="152"/>
    </row>
    <row r="478" spans="31:31">
      <c r="AE478" s="152"/>
    </row>
    <row r="479" spans="31:31">
      <c r="AE479" s="152"/>
    </row>
    <row r="480" spans="31:31">
      <c r="AE480" s="152"/>
    </row>
    <row r="481" spans="31:31">
      <c r="AE481" s="152"/>
    </row>
    <row r="482" spans="31:31">
      <c r="AE482" s="152"/>
    </row>
    <row r="483" spans="31:31">
      <c r="AE483" s="152"/>
    </row>
    <row r="484" spans="31:31">
      <c r="AE484" s="152"/>
    </row>
    <row r="485" spans="31:31">
      <c r="AE485" s="152"/>
    </row>
    <row r="486" spans="31:31">
      <c r="AE486" s="152"/>
    </row>
    <row r="487" spans="31:31">
      <c r="AE487" s="152"/>
    </row>
    <row r="488" spans="31:31">
      <c r="AE488" s="152"/>
    </row>
    <row r="489" spans="31:31">
      <c r="AE489" s="152"/>
    </row>
    <row r="490" spans="31:31">
      <c r="AE490" s="152"/>
    </row>
    <row r="491" spans="31:31">
      <c r="AE491" s="152"/>
    </row>
    <row r="492" spans="31:31">
      <c r="AE492" s="152"/>
    </row>
    <row r="493" spans="31:31">
      <c r="AE493" s="152"/>
    </row>
    <row r="494" spans="31:31">
      <c r="AE494" s="152"/>
    </row>
    <row r="495" spans="31:31">
      <c r="AE495" s="152"/>
    </row>
    <row r="496" spans="31:31">
      <c r="AE496" s="152"/>
    </row>
    <row r="497" spans="31:31">
      <c r="AE497" s="152"/>
    </row>
    <row r="498" spans="31:31">
      <c r="AE498" s="152"/>
    </row>
    <row r="499" spans="31:31">
      <c r="AE499" s="152"/>
    </row>
    <row r="500" spans="31:31">
      <c r="AE500" s="152"/>
    </row>
    <row r="501" spans="31:31">
      <c r="AE501" s="152"/>
    </row>
    <row r="502" spans="31:31">
      <c r="AE502" s="152"/>
    </row>
    <row r="503" spans="31:31">
      <c r="AE503" s="152"/>
    </row>
    <row r="504" spans="31:31">
      <c r="AE504" s="152"/>
    </row>
    <row r="505" spans="31:31">
      <c r="AE505" s="152"/>
    </row>
    <row r="506" spans="31:31">
      <c r="AE506" s="152"/>
    </row>
    <row r="507" spans="31:31">
      <c r="AE507" s="152"/>
    </row>
    <row r="508" spans="31:31">
      <c r="AE508" s="152"/>
    </row>
    <row r="509" spans="31:31">
      <c r="AE509" s="152"/>
    </row>
    <row r="510" spans="31:31">
      <c r="AE510" s="152"/>
    </row>
    <row r="511" spans="31:31">
      <c r="AE511" s="152"/>
    </row>
    <row r="512" spans="31:31">
      <c r="AE512" s="152"/>
    </row>
    <row r="513" spans="31:31">
      <c r="AE513" s="152"/>
    </row>
    <row r="514" spans="31:31">
      <c r="AE514" s="152"/>
    </row>
    <row r="515" spans="31:31">
      <c r="AE515" s="152"/>
    </row>
    <row r="516" spans="31:31">
      <c r="AE516" s="152"/>
    </row>
    <row r="517" spans="31:31">
      <c r="AE517" s="152"/>
    </row>
    <row r="518" spans="31:31">
      <c r="AE518" s="152"/>
    </row>
    <row r="519" spans="31:31">
      <c r="AE519" s="152"/>
    </row>
    <row r="520" spans="31:31">
      <c r="AE520" s="152"/>
    </row>
    <row r="521" spans="31:31">
      <c r="AE521" s="152"/>
    </row>
    <row r="522" spans="31:31">
      <c r="AE522" s="152"/>
    </row>
    <row r="523" spans="31:31">
      <c r="AE523" s="152"/>
    </row>
    <row r="524" spans="31:31">
      <c r="AE524" s="152"/>
    </row>
    <row r="525" spans="31:31">
      <c r="AE525" s="152"/>
    </row>
    <row r="526" spans="31:31">
      <c r="AE526" s="152"/>
    </row>
    <row r="527" spans="31:31">
      <c r="AE527" s="152"/>
    </row>
    <row r="528" spans="31:31">
      <c r="AE528" s="152"/>
    </row>
    <row r="529" spans="31:31">
      <c r="AE529" s="152"/>
    </row>
    <row r="530" spans="31:31">
      <c r="AE530" s="152"/>
    </row>
    <row r="531" spans="31:31">
      <c r="AE531" s="152"/>
    </row>
    <row r="532" spans="31:31">
      <c r="AE532" s="152"/>
    </row>
    <row r="533" spans="31:31">
      <c r="AE533" s="152"/>
    </row>
    <row r="534" spans="31:31">
      <c r="AE534" s="152"/>
    </row>
    <row r="535" spans="31:31">
      <c r="AE535" s="152"/>
    </row>
    <row r="536" spans="31:31">
      <c r="AE536" s="152"/>
    </row>
    <row r="537" spans="31:31">
      <c r="AE537" s="152"/>
    </row>
    <row r="538" spans="31:31">
      <c r="AE538" s="152"/>
    </row>
    <row r="539" spans="31:31">
      <c r="AE539" s="152"/>
    </row>
    <row r="540" spans="31:31">
      <c r="AE540" s="152"/>
    </row>
    <row r="541" spans="31:31">
      <c r="AE541" s="152"/>
    </row>
    <row r="542" spans="31:31">
      <c r="AE542" s="152"/>
    </row>
    <row r="543" spans="31:31">
      <c r="AE543" s="152"/>
    </row>
    <row r="544" spans="31:31">
      <c r="AE544" s="152"/>
    </row>
    <row r="545" spans="31:31">
      <c r="AE545" s="152"/>
    </row>
    <row r="546" spans="31:31">
      <c r="AE546" s="152"/>
    </row>
    <row r="547" spans="31:31">
      <c r="AE547" s="152"/>
    </row>
    <row r="548" spans="31:31">
      <c r="AE548" s="152"/>
    </row>
    <row r="549" spans="31:31">
      <c r="AE549" s="152"/>
    </row>
    <row r="550" spans="31:31">
      <c r="AE550" s="152"/>
    </row>
    <row r="551" spans="31:31">
      <c r="AE551" s="152"/>
    </row>
    <row r="552" spans="31:31">
      <c r="AE552" s="152"/>
    </row>
    <row r="553" spans="31:31">
      <c r="AE553" s="152"/>
    </row>
    <row r="554" spans="31:31">
      <c r="AE554" s="152"/>
    </row>
    <row r="555" spans="31:31">
      <c r="AE555" s="152"/>
    </row>
    <row r="556" spans="31:31">
      <c r="AE556" s="152"/>
    </row>
    <row r="557" spans="31:31">
      <c r="AE557" s="152"/>
    </row>
    <row r="558" spans="31:31">
      <c r="AE558" s="152"/>
    </row>
    <row r="559" spans="31:31">
      <c r="AE559" s="152"/>
    </row>
    <row r="560" spans="31:31">
      <c r="AE560" s="152"/>
    </row>
    <row r="561" spans="31:31">
      <c r="AE561" s="152"/>
    </row>
    <row r="562" spans="31:31">
      <c r="AE562" s="152"/>
    </row>
    <row r="563" spans="31:31">
      <c r="AE563" s="152"/>
    </row>
    <row r="564" spans="31:31">
      <c r="AE564" s="152"/>
    </row>
    <row r="565" spans="31:31">
      <c r="AE565" s="152"/>
    </row>
    <row r="566" spans="31:31">
      <c r="AE566" s="152"/>
    </row>
    <row r="567" spans="31:31">
      <c r="AE567" s="152"/>
    </row>
    <row r="568" spans="31:31">
      <c r="AE568" s="152"/>
    </row>
    <row r="569" spans="31:31">
      <c r="AE569" s="152"/>
    </row>
    <row r="570" spans="31:31">
      <c r="AE570" s="152"/>
    </row>
    <row r="571" spans="31:31">
      <c r="AE571" s="152"/>
    </row>
    <row r="572" spans="31:31">
      <c r="AE572" s="152"/>
    </row>
    <row r="573" spans="31:31">
      <c r="AE573" s="152"/>
    </row>
    <row r="574" spans="31:31">
      <c r="AE574" s="152"/>
    </row>
    <row r="575" spans="31:31">
      <c r="AE575" s="152"/>
    </row>
    <row r="576" spans="31:31">
      <c r="AE576" s="152"/>
    </row>
    <row r="577" spans="31:31">
      <c r="AE577" s="152"/>
    </row>
    <row r="578" spans="31:31">
      <c r="AE578" s="152"/>
    </row>
    <row r="579" spans="31:31">
      <c r="AE579" s="152"/>
    </row>
    <row r="580" spans="31:31">
      <c r="AE580" s="152"/>
    </row>
    <row r="581" spans="31:31">
      <c r="AE581" s="152"/>
    </row>
    <row r="582" spans="31:31">
      <c r="AE582" s="152"/>
    </row>
    <row r="583" spans="31:31">
      <c r="AE583" s="152"/>
    </row>
    <row r="584" spans="31:31">
      <c r="AE584" s="152"/>
    </row>
    <row r="585" spans="31:31">
      <c r="AE585" s="152"/>
    </row>
    <row r="586" spans="31:31">
      <c r="AE586" s="152"/>
    </row>
    <row r="587" spans="31:31">
      <c r="AE587" s="152"/>
    </row>
    <row r="588" spans="31:31">
      <c r="AE588" s="152"/>
    </row>
    <row r="589" spans="31:31">
      <c r="AE589" s="152"/>
    </row>
    <row r="590" spans="31:31">
      <c r="AE590" s="152"/>
    </row>
    <row r="591" spans="31:31">
      <c r="AE591" s="152"/>
    </row>
    <row r="592" spans="31:31">
      <c r="AE592" s="152"/>
    </row>
    <row r="593" spans="31:31">
      <c r="AE593" s="152"/>
    </row>
    <row r="594" spans="31:31">
      <c r="AE594" s="152"/>
    </row>
    <row r="595" spans="31:31">
      <c r="AE595" s="152"/>
    </row>
    <row r="596" spans="31:31">
      <c r="AE596" s="152"/>
    </row>
    <row r="597" spans="31:31">
      <c r="AE597" s="152"/>
    </row>
    <row r="598" spans="31:31">
      <c r="AE598" s="152"/>
    </row>
    <row r="599" spans="31:31">
      <c r="AE599" s="152"/>
    </row>
    <row r="600" spans="31:31">
      <c r="AE600" s="152"/>
    </row>
    <row r="601" spans="31:31">
      <c r="AE601" s="152"/>
    </row>
    <row r="602" spans="31:31">
      <c r="AE602" s="152"/>
    </row>
    <row r="603" spans="31:31">
      <c r="AE603" s="152"/>
    </row>
    <row r="604" spans="31:31">
      <c r="AE604" s="152"/>
    </row>
    <row r="605" spans="31:31">
      <c r="AE605" s="152"/>
    </row>
    <row r="606" spans="31:31">
      <c r="AE606" s="152"/>
    </row>
    <row r="607" spans="31:31">
      <c r="AE607" s="152"/>
    </row>
    <row r="608" spans="31:31">
      <c r="AE608" s="152"/>
    </row>
    <row r="609" spans="31:31">
      <c r="AE609" s="152"/>
    </row>
    <row r="610" spans="31:31">
      <c r="AE610" s="152"/>
    </row>
    <row r="611" spans="31:31">
      <c r="AE611" s="152"/>
    </row>
    <row r="612" spans="31:31">
      <c r="AE612" s="152"/>
    </row>
    <row r="613" spans="31:31">
      <c r="AE613" s="152"/>
    </row>
    <row r="614" spans="31:31">
      <c r="AE614" s="152"/>
    </row>
    <row r="615" spans="31:31">
      <c r="AE615" s="152"/>
    </row>
    <row r="616" spans="31:31">
      <c r="AE616" s="152"/>
    </row>
    <row r="617" spans="31:31">
      <c r="AE617" s="152"/>
    </row>
    <row r="618" spans="31:31">
      <c r="AE618" s="152"/>
    </row>
    <row r="619" spans="31:31">
      <c r="AE619" s="152"/>
    </row>
    <row r="620" spans="31:31">
      <c r="AE620" s="152"/>
    </row>
    <row r="621" spans="31:31">
      <c r="AE621" s="152"/>
    </row>
    <row r="622" spans="31:31">
      <c r="AE622" s="152"/>
    </row>
    <row r="623" spans="31:31">
      <c r="AE623" s="152"/>
    </row>
    <row r="624" spans="31:31">
      <c r="AE624" s="152"/>
    </row>
    <row r="625" spans="31:31">
      <c r="AE625" s="152"/>
    </row>
    <row r="626" spans="31:31">
      <c r="AE626" s="152"/>
    </row>
    <row r="627" spans="31:31">
      <c r="AE627" s="152"/>
    </row>
    <row r="628" spans="31:31">
      <c r="AE628" s="152"/>
    </row>
    <row r="629" spans="31:31">
      <c r="AE629" s="152"/>
    </row>
    <row r="630" spans="31:31">
      <c r="AE630" s="152"/>
    </row>
    <row r="631" spans="31:31">
      <c r="AE631" s="152"/>
    </row>
    <row r="632" spans="31:31">
      <c r="AE632" s="152"/>
    </row>
    <row r="633" spans="31:31">
      <c r="AE633" s="152"/>
    </row>
    <row r="634" spans="31:31">
      <c r="AE634" s="152"/>
    </row>
    <row r="635" spans="31:31">
      <c r="AE635" s="152"/>
    </row>
    <row r="636" spans="31:31">
      <c r="AE636" s="152"/>
    </row>
    <row r="637" spans="31:31">
      <c r="AE637" s="152"/>
    </row>
    <row r="638" spans="31:31">
      <c r="AE638" s="152"/>
    </row>
    <row r="639" spans="31:31">
      <c r="AE639" s="152"/>
    </row>
    <row r="640" spans="31:31">
      <c r="AE640" s="152"/>
    </row>
    <row r="641" spans="31:31">
      <c r="AE641" s="152"/>
    </row>
    <row r="642" spans="31:31">
      <c r="AE642" s="152"/>
    </row>
    <row r="643" spans="31:31">
      <c r="AE643" s="152"/>
    </row>
    <row r="644" spans="31:31">
      <c r="AE644" s="152"/>
    </row>
    <row r="645" spans="31:31">
      <c r="AE645" s="152"/>
    </row>
    <row r="646" spans="31:31">
      <c r="AE646" s="152"/>
    </row>
    <row r="647" spans="31:31">
      <c r="AE647" s="152"/>
    </row>
    <row r="648" spans="31:31">
      <c r="AE648" s="152"/>
    </row>
    <row r="649" spans="31:31">
      <c r="AE649" s="152"/>
    </row>
    <row r="650" spans="31:31">
      <c r="AE650" s="152"/>
    </row>
    <row r="651" spans="31:31">
      <c r="AE651" s="152"/>
    </row>
    <row r="652" spans="31:31">
      <c r="AE652" s="152"/>
    </row>
    <row r="653" spans="31:31">
      <c r="AE653" s="152"/>
    </row>
    <row r="654" spans="31:31">
      <c r="AE654" s="152"/>
    </row>
    <row r="655" spans="31:31">
      <c r="AE655" s="152"/>
    </row>
    <row r="656" spans="31:31">
      <c r="AE656" s="152"/>
    </row>
    <row r="657" spans="31:31">
      <c r="AE657" s="152"/>
    </row>
    <row r="658" spans="31:31">
      <c r="AE658" s="152"/>
    </row>
    <row r="659" spans="31:31">
      <c r="AE659" s="152"/>
    </row>
    <row r="660" spans="31:31">
      <c r="AE660" s="152"/>
    </row>
    <row r="661" spans="31:31">
      <c r="AE661" s="152"/>
    </row>
    <row r="662" spans="31:31">
      <c r="AE662" s="152"/>
    </row>
    <row r="663" spans="31:31">
      <c r="AE663" s="152"/>
    </row>
    <row r="664" spans="31:31">
      <c r="AE664" s="152"/>
    </row>
    <row r="665" spans="31:31">
      <c r="AE665" s="152"/>
    </row>
    <row r="666" spans="31:31">
      <c r="AE666" s="152"/>
    </row>
    <row r="667" spans="31:31">
      <c r="AE667" s="152"/>
    </row>
    <row r="668" spans="31:31">
      <c r="AE668" s="152"/>
    </row>
    <row r="669" spans="31:31">
      <c r="AE669" s="152"/>
    </row>
    <row r="670" spans="31:31">
      <c r="AE670" s="152"/>
    </row>
    <row r="671" spans="31:31">
      <c r="AE671" s="152"/>
    </row>
    <row r="672" spans="31:31">
      <c r="AE672" s="152"/>
    </row>
    <row r="673" spans="31:31">
      <c r="AE673" s="152"/>
    </row>
    <row r="674" spans="31:31">
      <c r="AE674" s="152"/>
    </row>
    <row r="675" spans="31:31">
      <c r="AE675" s="152"/>
    </row>
    <row r="676" spans="31:31">
      <c r="AE676" s="152"/>
    </row>
    <row r="677" spans="31:31">
      <c r="AE677" s="152"/>
    </row>
    <row r="678" spans="31:31">
      <c r="AE678" s="152"/>
    </row>
    <row r="679" spans="31:31">
      <c r="AE679" s="152"/>
    </row>
    <row r="680" spans="31:31">
      <c r="AE680" s="152"/>
    </row>
    <row r="681" spans="31:31">
      <c r="AE681" s="152"/>
    </row>
    <row r="682" spans="31:31">
      <c r="AE682" s="152"/>
    </row>
    <row r="683" spans="31:31">
      <c r="AE683" s="152"/>
    </row>
    <row r="684" spans="31:31">
      <c r="AE684" s="152"/>
    </row>
    <row r="685" spans="31:31">
      <c r="AE685" s="152"/>
    </row>
    <row r="686" spans="31:31">
      <c r="AE686" s="152"/>
    </row>
    <row r="687" spans="31:31">
      <c r="AE687" s="152"/>
    </row>
    <row r="688" spans="31:31">
      <c r="AE688" s="152"/>
    </row>
    <row r="689" spans="31:31">
      <c r="AE689" s="152"/>
    </row>
    <row r="690" spans="31:31">
      <c r="AE690" s="152"/>
    </row>
    <row r="691" spans="31:31">
      <c r="AE691" s="152"/>
    </row>
    <row r="692" spans="31:31">
      <c r="AE692" s="152"/>
    </row>
    <row r="693" spans="31:31">
      <c r="AE693" s="152"/>
    </row>
    <row r="694" spans="31:31">
      <c r="AE694" s="152"/>
    </row>
    <row r="695" spans="31:31">
      <c r="AE695" s="152"/>
    </row>
    <row r="696" spans="31:31">
      <c r="AE696" s="152"/>
    </row>
    <row r="697" spans="31:31">
      <c r="AE697" s="152"/>
    </row>
    <row r="698" spans="31:31">
      <c r="AE698" s="152"/>
    </row>
    <row r="699" spans="31:31">
      <c r="AE699" s="152"/>
    </row>
    <row r="700" spans="31:31">
      <c r="AE700" s="152"/>
    </row>
    <row r="701" spans="31:31">
      <c r="AE701" s="152"/>
    </row>
    <row r="702" spans="31:31">
      <c r="AE702" s="152"/>
    </row>
    <row r="703" spans="31:31">
      <c r="AE703" s="152"/>
    </row>
    <row r="704" spans="31:31">
      <c r="AE704" s="152"/>
    </row>
    <row r="705" spans="31:31">
      <c r="AE705" s="152"/>
    </row>
    <row r="706" spans="31:31">
      <c r="AE706" s="152"/>
    </row>
    <row r="707" spans="31:31">
      <c r="AE707" s="152"/>
    </row>
    <row r="708" spans="31:31">
      <c r="AE708" s="152"/>
    </row>
    <row r="709" spans="31:31">
      <c r="AE709" s="152"/>
    </row>
    <row r="710" spans="31:31">
      <c r="AE710" s="152"/>
    </row>
    <row r="711" spans="31:31">
      <c r="AE711" s="152"/>
    </row>
    <row r="712" spans="31:31">
      <c r="AE712" s="152"/>
    </row>
    <row r="713" spans="31:31">
      <c r="AE713" s="152"/>
    </row>
    <row r="714" spans="31:31">
      <c r="AE714" s="152"/>
    </row>
    <row r="715" spans="31:31">
      <c r="AE715" s="152"/>
    </row>
    <row r="716" spans="31:31">
      <c r="AE716" s="152"/>
    </row>
    <row r="717" spans="31:31">
      <c r="AE717" s="152"/>
    </row>
    <row r="718" spans="31:31">
      <c r="AE718" s="152"/>
    </row>
    <row r="719" spans="31:31">
      <c r="AE719" s="152"/>
    </row>
    <row r="720" spans="31:31">
      <c r="AE720" s="152"/>
    </row>
    <row r="721" spans="31:31">
      <c r="AE721" s="152"/>
    </row>
    <row r="722" spans="31:31">
      <c r="AE722" s="152"/>
    </row>
    <row r="723" spans="31:31">
      <c r="AE723" s="152"/>
    </row>
    <row r="724" spans="31:31">
      <c r="AE724" s="152"/>
    </row>
    <row r="725" spans="31:31">
      <c r="AE725" s="152"/>
    </row>
    <row r="726" spans="31:31">
      <c r="AE726" s="152"/>
    </row>
    <row r="727" spans="31:31">
      <c r="AE727" s="152"/>
    </row>
    <row r="728" spans="31:31">
      <c r="AE728" s="152"/>
    </row>
    <row r="729" spans="31:31">
      <c r="AE729" s="152"/>
    </row>
    <row r="730" spans="31:31">
      <c r="AE730" s="152"/>
    </row>
    <row r="731" spans="31:31">
      <c r="AE731" s="152"/>
    </row>
    <row r="732" spans="31:31">
      <c r="AE732" s="152"/>
    </row>
    <row r="733" spans="31:31">
      <c r="AE733" s="152"/>
    </row>
    <row r="734" spans="31:31">
      <c r="AE734" s="152"/>
    </row>
    <row r="735" spans="31:31">
      <c r="AE735" s="152"/>
    </row>
    <row r="736" spans="31:31">
      <c r="AE736" s="152"/>
    </row>
    <row r="737" spans="31:31">
      <c r="AE737" s="152"/>
    </row>
    <row r="738" spans="31:31">
      <c r="AE738" s="152"/>
    </row>
    <row r="739" spans="31:31">
      <c r="AE739" s="152"/>
    </row>
    <row r="740" spans="31:31">
      <c r="AE740" s="152"/>
    </row>
    <row r="741" spans="31:31">
      <c r="AE741" s="152"/>
    </row>
    <row r="742" spans="31:31">
      <c r="AE742" s="152"/>
    </row>
    <row r="743" spans="31:31">
      <c r="AE743" s="152"/>
    </row>
    <row r="744" spans="31:31">
      <c r="AE744" s="152"/>
    </row>
    <row r="745" spans="31:31">
      <c r="AE745" s="152"/>
    </row>
    <row r="746" spans="31:31">
      <c r="AE746" s="152"/>
    </row>
    <row r="747" spans="31:31">
      <c r="AE747" s="152"/>
    </row>
    <row r="748" spans="31:31">
      <c r="AE748" s="152"/>
    </row>
    <row r="749" spans="31:31">
      <c r="AE749" s="152"/>
    </row>
    <row r="750" spans="31:31">
      <c r="AE750" s="152"/>
    </row>
    <row r="751" spans="31:31">
      <c r="AE751" s="152"/>
    </row>
    <row r="752" spans="31:31">
      <c r="AE752" s="152"/>
    </row>
    <row r="753" spans="31:31">
      <c r="AE753" s="152"/>
    </row>
    <row r="754" spans="31:31">
      <c r="AE754" s="152"/>
    </row>
    <row r="755" spans="31:31">
      <c r="AE755" s="152"/>
    </row>
    <row r="756" spans="31:31">
      <c r="AE756" s="152"/>
    </row>
    <row r="757" spans="31:31">
      <c r="AE757" s="152"/>
    </row>
    <row r="758" spans="31:31">
      <c r="AE758" s="152"/>
    </row>
    <row r="759" spans="31:31">
      <c r="AE759" s="152"/>
    </row>
    <row r="760" spans="31:31">
      <c r="AE760" s="152"/>
    </row>
    <row r="761" spans="31:31">
      <c r="AE761" s="152"/>
    </row>
    <row r="762" spans="31:31">
      <c r="AE762" s="152"/>
    </row>
    <row r="763" spans="31:31">
      <c r="AE763" s="152"/>
    </row>
    <row r="764" spans="31:31">
      <c r="AE764" s="152"/>
    </row>
    <row r="765" spans="31:31">
      <c r="AE765" s="152"/>
    </row>
    <row r="766" spans="31:31">
      <c r="AE766" s="152"/>
    </row>
    <row r="767" spans="31:31">
      <c r="AE767" s="152"/>
    </row>
    <row r="768" spans="31:31">
      <c r="AE768" s="152"/>
    </row>
    <row r="769" spans="31:31">
      <c r="AE769" s="152"/>
    </row>
    <row r="770" spans="31:31">
      <c r="AE770" s="152"/>
    </row>
    <row r="771" spans="31:31">
      <c r="AE771" s="152"/>
    </row>
    <row r="772" spans="31:31">
      <c r="AE772" s="152"/>
    </row>
    <row r="773" spans="31:31">
      <c r="AE773" s="152"/>
    </row>
    <row r="774" spans="31:31">
      <c r="AE774" s="152"/>
    </row>
    <row r="775" spans="31:31">
      <c r="AE775" s="152"/>
    </row>
    <row r="776" spans="31:31">
      <c r="AE776" s="152"/>
    </row>
    <row r="777" spans="31:31">
      <c r="AE777" s="152"/>
    </row>
    <row r="778" spans="31:31">
      <c r="AE778" s="152"/>
    </row>
    <row r="779" spans="31:31">
      <c r="AE779" s="152"/>
    </row>
    <row r="780" spans="31:31">
      <c r="AE780" s="152"/>
    </row>
    <row r="781" spans="31:31">
      <c r="AE781" s="152"/>
    </row>
    <row r="782" spans="31:31">
      <c r="AE782" s="152"/>
    </row>
    <row r="783" spans="31:31">
      <c r="AE783" s="152"/>
    </row>
    <row r="784" spans="31:31">
      <c r="AE784" s="152"/>
    </row>
    <row r="785" spans="31:31">
      <c r="AE785" s="152"/>
    </row>
    <row r="786" spans="31:31">
      <c r="AE786" s="152"/>
    </row>
    <row r="787" spans="31:31">
      <c r="AE787" s="152"/>
    </row>
    <row r="788" spans="31:31">
      <c r="AE788" s="152"/>
    </row>
    <row r="789" spans="31:31">
      <c r="AE789" s="152"/>
    </row>
    <row r="790" spans="31:31">
      <c r="AE790" s="152"/>
    </row>
    <row r="791" spans="31:31">
      <c r="AE791" s="152"/>
    </row>
    <row r="792" spans="31:31">
      <c r="AE792" s="152"/>
    </row>
    <row r="793" spans="31:31">
      <c r="AE793" s="152"/>
    </row>
    <row r="794" spans="31:31">
      <c r="AE794" s="152"/>
    </row>
    <row r="795" spans="31:31">
      <c r="AE795" s="152"/>
    </row>
    <row r="796" spans="31:31">
      <c r="AE796" s="152"/>
    </row>
    <row r="797" spans="31:31">
      <c r="AE797" s="152"/>
    </row>
    <row r="798" spans="31:31">
      <c r="AE798" s="152"/>
    </row>
    <row r="799" spans="31:31">
      <c r="AE799" s="152"/>
    </row>
    <row r="800" spans="31:31">
      <c r="AE800" s="152"/>
    </row>
    <row r="801" spans="31:31">
      <c r="AE801" s="152"/>
    </row>
    <row r="802" spans="31:31">
      <c r="AE802" s="152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L37" sqref="L37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7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166</v>
      </c>
      <c r="E1" s="22" t="s">
        <v>167</v>
      </c>
      <c r="F1" s="22" t="s">
        <v>3</v>
      </c>
      <c r="G1" s="22" t="s">
        <v>4</v>
      </c>
      <c r="H1" s="22" t="s">
        <v>168</v>
      </c>
      <c r="I1" s="22" t="s">
        <v>5</v>
      </c>
      <c r="J1" s="22" t="s">
        <v>6</v>
      </c>
      <c r="K1" s="22" t="s">
        <v>7</v>
      </c>
      <c r="L1" s="22" t="s">
        <v>145</v>
      </c>
      <c r="M1" s="22" t="s">
        <v>192</v>
      </c>
      <c r="N1" s="22" t="s">
        <v>177</v>
      </c>
      <c r="O1" s="22" t="s">
        <v>9</v>
      </c>
      <c r="P1" s="22" t="s">
        <v>10</v>
      </c>
      <c r="Q1" s="22" t="s">
        <v>193</v>
      </c>
      <c r="R1" s="22" t="s">
        <v>11</v>
      </c>
      <c r="S1" s="22" t="s">
        <v>12</v>
      </c>
      <c r="T1" s="145" t="s">
        <v>14</v>
      </c>
      <c r="U1" s="22" t="s">
        <v>15</v>
      </c>
      <c r="V1" s="22" t="s">
        <v>170</v>
      </c>
      <c r="W1" s="22" t="s">
        <v>171</v>
      </c>
      <c r="X1" s="22" t="s">
        <v>154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0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0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0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0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0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0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0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0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0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0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0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0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0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0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0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0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0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0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7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186</v>
      </c>
      <c r="D1" s="22" t="s">
        <v>187</v>
      </c>
      <c r="E1" s="22" t="s">
        <v>188</v>
      </c>
      <c r="F1" s="22" t="s">
        <v>5</v>
      </c>
      <c r="G1" s="22" t="s">
        <v>189</v>
      </c>
      <c r="H1" s="22" t="s">
        <v>6</v>
      </c>
      <c r="I1" s="22" t="s">
        <v>7</v>
      </c>
      <c r="J1" s="22" t="s">
        <v>145</v>
      </c>
      <c r="K1" s="22" t="s">
        <v>190</v>
      </c>
      <c r="L1" s="22" t="s">
        <v>10</v>
      </c>
      <c r="M1" s="22" t="s">
        <v>11</v>
      </c>
      <c r="N1" s="22" t="s">
        <v>12</v>
      </c>
      <c r="O1" s="145" t="s">
        <v>14</v>
      </c>
      <c r="P1" s="22" t="s">
        <v>15</v>
      </c>
      <c r="Q1" s="22" t="s">
        <v>155</v>
      </c>
      <c r="R1" s="22" t="s">
        <v>18</v>
      </c>
      <c r="S1" s="22" t="s">
        <v>191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0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0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0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0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0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0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0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0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0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0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0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0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0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0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0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0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0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0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175</v>
      </c>
      <c r="D1" s="22" t="s">
        <v>5</v>
      </c>
      <c r="E1" s="22" t="s">
        <v>176</v>
      </c>
      <c r="F1" s="22" t="s">
        <v>145</v>
      </c>
      <c r="G1" s="22" t="s">
        <v>177</v>
      </c>
      <c r="H1" s="22" t="s">
        <v>178</v>
      </c>
      <c r="I1" s="22" t="s">
        <v>179</v>
      </c>
      <c r="J1" s="22" t="s">
        <v>180</v>
      </c>
      <c r="K1" s="22" t="s">
        <v>181</v>
      </c>
      <c r="L1" s="22" t="s">
        <v>182</v>
      </c>
      <c r="M1" s="22" t="s">
        <v>170</v>
      </c>
      <c r="N1" s="22" t="s">
        <v>183</v>
      </c>
      <c r="O1" s="22" t="s">
        <v>171</v>
      </c>
      <c r="P1" s="22" t="s">
        <v>154</v>
      </c>
      <c r="Q1" s="22" t="s">
        <v>11</v>
      </c>
      <c r="R1" s="22" t="s">
        <v>184</v>
      </c>
      <c r="S1" s="22" t="s">
        <v>20</v>
      </c>
      <c r="T1" s="22" t="s">
        <v>21</v>
      </c>
      <c r="U1" s="22" t="s">
        <v>185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166</v>
      </c>
      <c r="E1" s="22" t="s">
        <v>167</v>
      </c>
      <c r="F1" s="22" t="s">
        <v>3</v>
      </c>
      <c r="G1" s="22" t="s">
        <v>4</v>
      </c>
      <c r="H1" s="22" t="s">
        <v>168</v>
      </c>
      <c r="I1" s="22" t="s">
        <v>5</v>
      </c>
      <c r="J1" s="22" t="s">
        <v>6</v>
      </c>
      <c r="K1" s="22" t="s">
        <v>7</v>
      </c>
      <c r="L1" s="22" t="s">
        <v>169</v>
      </c>
      <c r="M1" s="22" t="s">
        <v>145</v>
      </c>
      <c r="N1" s="22" t="s">
        <v>11</v>
      </c>
      <c r="O1" s="22" t="s">
        <v>170</v>
      </c>
      <c r="P1" s="22" t="s">
        <v>171</v>
      </c>
      <c r="Q1" s="22" t="s">
        <v>154</v>
      </c>
      <c r="R1" s="22" t="s">
        <v>172</v>
      </c>
      <c r="S1" s="22" t="s">
        <v>173</v>
      </c>
      <c r="T1" s="22" t="s">
        <v>174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151</v>
      </c>
      <c r="D1" s="22" t="s">
        <v>152</v>
      </c>
      <c r="E1" s="22" t="s">
        <v>5</v>
      </c>
      <c r="F1" s="22" t="s">
        <v>6</v>
      </c>
      <c r="G1" s="22" t="s">
        <v>7</v>
      </c>
      <c r="H1" s="22" t="s">
        <v>145</v>
      </c>
      <c r="I1" s="183" t="s">
        <v>153</v>
      </c>
      <c r="J1" s="22" t="s">
        <v>11</v>
      </c>
      <c r="K1" s="183" t="s">
        <v>154</v>
      </c>
      <c r="L1" s="22" t="s">
        <v>155</v>
      </c>
      <c r="M1" s="161" t="s">
        <v>18</v>
      </c>
      <c r="N1" s="22" t="s">
        <v>20</v>
      </c>
      <c r="O1" s="22" t="s">
        <v>21</v>
      </c>
      <c r="P1" s="22" t="s">
        <v>22</v>
      </c>
      <c r="Q1" s="167" t="s">
        <v>24</v>
      </c>
      <c r="R1" s="167" t="s">
        <v>25</v>
      </c>
    </row>
    <row r="2" spans="1:18">
      <c r="A2" s="23">
        <v>288</v>
      </c>
      <c r="B2" s="23">
        <v>288</v>
      </c>
      <c r="C2" s="30" t="s">
        <v>156</v>
      </c>
      <c r="D2" s="30" t="s">
        <v>157</v>
      </c>
      <c r="E2" s="30" t="s">
        <v>158</v>
      </c>
      <c r="F2" s="21" t="s">
        <v>30</v>
      </c>
      <c r="G2" s="21" t="s">
        <v>30</v>
      </c>
      <c r="H2" s="23" t="s">
        <v>159</v>
      </c>
      <c r="I2" s="23"/>
      <c r="J2" s="21" t="s">
        <v>44</v>
      </c>
      <c r="K2" s="184" t="s">
        <v>160</v>
      </c>
      <c r="L2" s="155">
        <v>-510.03</v>
      </c>
      <c r="M2" s="177">
        <v>1</v>
      </c>
      <c r="N2" s="157">
        <v>-510.03</v>
      </c>
      <c r="O2" s="23"/>
      <c r="P2" s="21" t="s">
        <v>36</v>
      </c>
      <c r="Q2" s="176">
        <v>0.96051901096621095</v>
      </c>
      <c r="R2" s="176">
        <v>-2.1020448269942299E-4</v>
      </c>
    </row>
    <row r="3" spans="1:18">
      <c r="A3" s="23">
        <v>288</v>
      </c>
      <c r="B3" s="23">
        <v>288</v>
      </c>
      <c r="C3" s="30" t="s">
        <v>161</v>
      </c>
      <c r="D3" s="23" t="s">
        <v>162</v>
      </c>
      <c r="E3" s="30" t="s">
        <v>163</v>
      </c>
      <c r="F3" s="21" t="s">
        <v>30</v>
      </c>
      <c r="G3" s="21" t="s">
        <v>30</v>
      </c>
      <c r="H3" s="23" t="s">
        <v>159</v>
      </c>
      <c r="I3" s="23"/>
      <c r="J3" s="21" t="s">
        <v>44</v>
      </c>
      <c r="K3" s="184" t="s">
        <v>160</v>
      </c>
      <c r="L3" s="155">
        <v>-47.106000000000002</v>
      </c>
      <c r="M3" s="177">
        <v>1</v>
      </c>
      <c r="N3" s="157">
        <v>-47.106000000000002</v>
      </c>
      <c r="O3" s="23"/>
      <c r="P3" s="21" t="s">
        <v>36</v>
      </c>
      <c r="Q3" s="176">
        <v>8.87126005748579E-2</v>
      </c>
      <c r="R3" s="176">
        <v>-1.94142813415012E-5</v>
      </c>
    </row>
    <row r="4" spans="1:18">
      <c r="A4" s="23">
        <v>288</v>
      </c>
      <c r="B4" s="23">
        <v>288</v>
      </c>
      <c r="C4" s="30" t="s">
        <v>164</v>
      </c>
      <c r="D4" s="23" t="s">
        <v>165</v>
      </c>
      <c r="E4" s="30" t="s">
        <v>158</v>
      </c>
      <c r="F4" s="21" t="s">
        <v>30</v>
      </c>
      <c r="G4" s="21" t="s">
        <v>30</v>
      </c>
      <c r="H4" s="23" t="s">
        <v>159</v>
      </c>
      <c r="I4" s="23"/>
      <c r="J4" s="21" t="s">
        <v>44</v>
      </c>
      <c r="K4" s="184" t="s">
        <v>160</v>
      </c>
      <c r="L4" s="155">
        <v>26.141999999999999</v>
      </c>
      <c r="M4" s="177">
        <v>1</v>
      </c>
      <c r="N4" s="157">
        <v>26.141999999999999</v>
      </c>
      <c r="O4" s="23"/>
      <c r="P4" s="21" t="s">
        <v>36</v>
      </c>
      <c r="Q4" s="176">
        <v>-4.9231611541069101E-2</v>
      </c>
      <c r="R4" s="176">
        <v>1.0774076638045199E-5</v>
      </c>
    </row>
    <row r="5" spans="1:18">
      <c r="A5" s="23">
        <v>288</v>
      </c>
      <c r="B5" s="23">
        <v>1451</v>
      </c>
      <c r="C5" s="30" t="s">
        <v>156</v>
      </c>
      <c r="D5" s="23" t="s">
        <v>157</v>
      </c>
      <c r="E5" s="30" t="s">
        <v>158</v>
      </c>
      <c r="F5" s="21" t="s">
        <v>30</v>
      </c>
      <c r="G5" s="21" t="s">
        <v>30</v>
      </c>
      <c r="H5" s="23" t="s">
        <v>159</v>
      </c>
      <c r="I5" s="23"/>
      <c r="J5" s="21" t="s">
        <v>44</v>
      </c>
      <c r="K5" s="184" t="s">
        <v>160</v>
      </c>
      <c r="L5" s="155">
        <v>-10.701000000000001</v>
      </c>
      <c r="M5" s="177">
        <v>1</v>
      </c>
      <c r="N5" s="157">
        <v>-10.701000000000001</v>
      </c>
      <c r="O5" s="23"/>
      <c r="P5" s="21" t="s">
        <v>36</v>
      </c>
      <c r="Q5" s="176">
        <v>0.99484015161586903</v>
      </c>
      <c r="R5" s="176">
        <v>-2.10104883057727E-4</v>
      </c>
    </row>
    <row r="6" spans="1:18">
      <c r="A6" s="23">
        <v>288</v>
      </c>
      <c r="B6" s="23">
        <v>1451</v>
      </c>
      <c r="C6" s="30" t="s">
        <v>161</v>
      </c>
      <c r="D6" s="23" t="s">
        <v>162</v>
      </c>
      <c r="E6" s="30" t="s">
        <v>163</v>
      </c>
      <c r="F6" s="21" t="s">
        <v>30</v>
      </c>
      <c r="G6" s="21" t="s">
        <v>30</v>
      </c>
      <c r="H6" s="23" t="s">
        <v>159</v>
      </c>
      <c r="I6" s="23"/>
      <c r="J6" s="21" t="s">
        <v>44</v>
      </c>
      <c r="K6" s="184" t="s">
        <v>160</v>
      </c>
      <c r="L6" s="155">
        <v>-5.6000000000000001E-2</v>
      </c>
      <c r="M6" s="177">
        <v>1</v>
      </c>
      <c r="N6" s="157">
        <v>-5.6000000000000001E-2</v>
      </c>
      <c r="O6" s="23"/>
      <c r="P6" s="21" t="s">
        <v>36</v>
      </c>
      <c r="Q6" s="176">
        <v>5.1598483841307202E-3</v>
      </c>
      <c r="R6" s="176">
        <v>-1.0897321942450001E-6</v>
      </c>
    </row>
    <row r="7" spans="1:18">
      <c r="A7" s="23">
        <v>288</v>
      </c>
      <c r="B7" s="23">
        <v>1452</v>
      </c>
      <c r="C7" s="30" t="s">
        <v>156</v>
      </c>
      <c r="D7" s="23" t="s">
        <v>157</v>
      </c>
      <c r="E7" s="30" t="s">
        <v>158</v>
      </c>
      <c r="F7" s="21" t="s">
        <v>30</v>
      </c>
      <c r="G7" s="21" t="s">
        <v>30</v>
      </c>
      <c r="H7" s="23" t="s">
        <v>159</v>
      </c>
      <c r="I7" s="23"/>
      <c r="J7" s="21" t="s">
        <v>44</v>
      </c>
      <c r="K7" s="184" t="s">
        <v>160</v>
      </c>
      <c r="L7" s="155">
        <v>-12.217000000000001</v>
      </c>
      <c r="M7" s="177">
        <v>1</v>
      </c>
      <c r="N7" s="157">
        <v>-12.217000000000001</v>
      </c>
      <c r="O7" s="23"/>
      <c r="P7" s="21" t="s">
        <v>36</v>
      </c>
      <c r="Q7" s="176">
        <v>1.0655194126748</v>
      </c>
      <c r="R7" s="176">
        <v>-2.0364858215225201E-4</v>
      </c>
    </row>
    <row r="8" spans="1:18">
      <c r="A8" s="23">
        <v>288</v>
      </c>
      <c r="B8" s="23">
        <v>1452</v>
      </c>
      <c r="C8" s="30" t="s">
        <v>161</v>
      </c>
      <c r="D8" s="23" t="s">
        <v>162</v>
      </c>
      <c r="E8" s="30" t="s">
        <v>163</v>
      </c>
      <c r="F8" s="21" t="s">
        <v>30</v>
      </c>
      <c r="G8" s="21" t="s">
        <v>30</v>
      </c>
      <c r="H8" s="23" t="s">
        <v>159</v>
      </c>
      <c r="I8" s="23"/>
      <c r="J8" s="21" t="s">
        <v>44</v>
      </c>
      <c r="K8" s="184" t="s">
        <v>160</v>
      </c>
      <c r="L8" s="155">
        <v>-3.0000000000000001E-3</v>
      </c>
      <c r="M8" s="177">
        <v>1</v>
      </c>
      <c r="N8" s="157">
        <v>-3.0000000000000001E-3</v>
      </c>
      <c r="O8" s="23"/>
      <c r="P8" s="21" t="s">
        <v>36</v>
      </c>
      <c r="Q8" s="176">
        <v>2.4855619375871001E-4</v>
      </c>
      <c r="R8" s="176">
        <v>-4.7505578820994003E-8</v>
      </c>
    </row>
    <row r="9" spans="1:18">
      <c r="A9" s="23">
        <v>288</v>
      </c>
      <c r="B9" s="23">
        <v>1452</v>
      </c>
      <c r="C9" s="30" t="s">
        <v>164</v>
      </c>
      <c r="D9" s="23" t="s">
        <v>165</v>
      </c>
      <c r="E9" s="30" t="s">
        <v>158</v>
      </c>
      <c r="F9" s="21" t="s">
        <v>30</v>
      </c>
      <c r="G9" s="21" t="s">
        <v>30</v>
      </c>
      <c r="H9" s="23" t="s">
        <v>159</v>
      </c>
      <c r="I9" s="23"/>
      <c r="J9" s="21" t="s">
        <v>44</v>
      </c>
      <c r="K9" s="184" t="s">
        <v>160</v>
      </c>
      <c r="L9" s="155">
        <v>0.754</v>
      </c>
      <c r="M9" s="177">
        <v>1</v>
      </c>
      <c r="N9" s="157">
        <v>0.754</v>
      </c>
      <c r="O9" s="23"/>
      <c r="P9" s="21" t="s">
        <v>36</v>
      </c>
      <c r="Q9" s="176">
        <v>-6.5767968868554794E-2</v>
      </c>
      <c r="R9" s="176">
        <v>1.2569976156035E-5</v>
      </c>
    </row>
    <row r="10" spans="1:18">
      <c r="A10" s="23">
        <v>288</v>
      </c>
      <c r="B10" s="23">
        <v>15046</v>
      </c>
      <c r="C10" s="30" t="s">
        <v>156</v>
      </c>
      <c r="D10" s="23" t="s">
        <v>157</v>
      </c>
      <c r="E10" s="30" t="s">
        <v>158</v>
      </c>
      <c r="F10" s="21" t="s">
        <v>30</v>
      </c>
      <c r="G10" s="21" t="s">
        <v>30</v>
      </c>
      <c r="H10" s="23" t="s">
        <v>159</v>
      </c>
      <c r="I10" s="23"/>
      <c r="J10" s="21" t="s">
        <v>44</v>
      </c>
      <c r="K10" s="184" t="s">
        <v>160</v>
      </c>
      <c r="L10" s="155">
        <v>-3.07</v>
      </c>
      <c r="M10" s="177">
        <v>1</v>
      </c>
      <c r="N10" s="157">
        <v>-3.07</v>
      </c>
      <c r="O10" s="23"/>
      <c r="P10" s="21" t="s">
        <v>36</v>
      </c>
      <c r="Q10" s="176">
        <v>0.99900751683967304</v>
      </c>
      <c r="R10" s="176">
        <v>-1.8191374725097401E-4</v>
      </c>
    </row>
    <row r="11" spans="1:18">
      <c r="A11" s="23">
        <v>288</v>
      </c>
      <c r="B11" s="23">
        <v>15046</v>
      </c>
      <c r="C11" s="30" t="s">
        <v>161</v>
      </c>
      <c r="D11" s="23" t="s">
        <v>162</v>
      </c>
      <c r="E11" s="30" t="s">
        <v>163</v>
      </c>
      <c r="F11" s="21" t="s">
        <v>30</v>
      </c>
      <c r="G11" s="21" t="s">
        <v>30</v>
      </c>
      <c r="H11" s="23" t="s">
        <v>159</v>
      </c>
      <c r="I11" s="23"/>
      <c r="J11" s="21" t="s">
        <v>44</v>
      </c>
      <c r="K11" s="184" t="s">
        <v>160</v>
      </c>
      <c r="L11" s="155">
        <v>-3.0000000000000001E-3</v>
      </c>
      <c r="M11" s="177">
        <v>1</v>
      </c>
      <c r="N11" s="157">
        <v>-3.0000000000000001E-3</v>
      </c>
      <c r="O11" s="23"/>
      <c r="P11" s="21" t="s">
        <v>36</v>
      </c>
      <c r="Q11" s="176">
        <v>9.9248316032670607E-4</v>
      </c>
      <c r="R11" s="176">
        <v>-1.8072569799041401E-7</v>
      </c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7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140</v>
      </c>
      <c r="D1" s="22" t="s">
        <v>141</v>
      </c>
      <c r="E1" s="22" t="s">
        <v>142</v>
      </c>
      <c r="F1" s="22" t="s">
        <v>143</v>
      </c>
      <c r="G1" s="22" t="s">
        <v>144</v>
      </c>
      <c r="H1" s="22" t="s">
        <v>6</v>
      </c>
      <c r="I1" s="22" t="s">
        <v>7</v>
      </c>
      <c r="J1" s="22" t="s">
        <v>145</v>
      </c>
      <c r="K1" s="22" t="s">
        <v>9</v>
      </c>
      <c r="L1" s="22" t="s">
        <v>10</v>
      </c>
      <c r="M1" s="22" t="s">
        <v>146</v>
      </c>
      <c r="N1" s="22" t="s">
        <v>11</v>
      </c>
      <c r="O1" s="22" t="s">
        <v>18</v>
      </c>
      <c r="P1" s="145" t="s">
        <v>14</v>
      </c>
      <c r="Q1" s="22" t="s">
        <v>147</v>
      </c>
      <c r="R1" s="22" t="s">
        <v>148</v>
      </c>
      <c r="S1" s="22" t="s">
        <v>149</v>
      </c>
      <c r="T1" s="22" t="s">
        <v>150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6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8"/>
  <sheetViews>
    <sheetView rightToLeft="1" topLeftCell="C1" zoomScale="70" zoomScaleNormal="70" workbookViewId="0">
      <selection activeCell="G40" sqref="G40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11" width="11.625" style="2" customWidth="1"/>
    <col min="12" max="12" width="18.75" style="2" bestFit="1" customWidth="1"/>
    <col min="13" max="13" width="14.75" style="2" bestFit="1" customWidth="1"/>
    <col min="14" max="14" width="18.75" style="2" bestFit="1" customWidth="1"/>
    <col min="15" max="15" width="14.375" style="2" bestFit="1" customWidth="1"/>
    <col min="16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209</v>
      </c>
      <c r="E1" s="22" t="s">
        <v>210</v>
      </c>
      <c r="F1" s="22" t="s">
        <v>211</v>
      </c>
      <c r="G1" s="22" t="s">
        <v>212</v>
      </c>
      <c r="H1" s="22" t="s">
        <v>213</v>
      </c>
      <c r="I1" s="22" t="s">
        <v>214</v>
      </c>
      <c r="J1" s="22" t="s">
        <v>11</v>
      </c>
      <c r="K1" s="22" t="s">
        <v>215</v>
      </c>
      <c r="L1" s="22" t="s">
        <v>216</v>
      </c>
      <c r="M1" s="22" t="s">
        <v>217</v>
      </c>
      <c r="N1" s="22" t="s">
        <v>218</v>
      </c>
      <c r="O1" s="22" t="s">
        <v>219</v>
      </c>
      <c r="P1" s="22" t="s">
        <v>220</v>
      </c>
      <c r="Q1" s="22" t="s">
        <v>221</v>
      </c>
    </row>
    <row r="2" spans="1:22" s="205" customFormat="1" ht="15">
      <c r="A2" s="205">
        <v>288</v>
      </c>
      <c r="B2" s="205">
        <v>288</v>
      </c>
      <c r="C2" s="205" t="s">
        <v>1119</v>
      </c>
      <c r="D2" s="205" t="s">
        <v>2585</v>
      </c>
      <c r="E2" s="205" t="s">
        <v>2804</v>
      </c>
      <c r="F2" s="206" t="s">
        <v>332</v>
      </c>
      <c r="G2" s="205" t="s">
        <v>2596</v>
      </c>
      <c r="H2" s="205">
        <v>62021589</v>
      </c>
      <c r="I2" s="206" t="s">
        <v>43</v>
      </c>
      <c r="J2" s="205" t="s">
        <v>1205</v>
      </c>
      <c r="K2" s="206" t="s">
        <v>2598</v>
      </c>
      <c r="L2" s="207">
        <v>1700000</v>
      </c>
      <c r="M2" s="207">
        <v>7776310</v>
      </c>
      <c r="N2" s="208">
        <v>1360000</v>
      </c>
      <c r="O2" s="209">
        <v>6221048</v>
      </c>
      <c r="P2" s="210">
        <v>0.8</v>
      </c>
      <c r="Q2" s="211">
        <v>47178</v>
      </c>
      <c r="V2" s="212"/>
    </row>
    <row r="3" spans="1:22" s="205" customFormat="1" ht="15">
      <c r="A3" s="205">
        <v>288</v>
      </c>
      <c r="B3" s="205">
        <v>288</v>
      </c>
      <c r="C3" s="205" t="s">
        <v>1119</v>
      </c>
      <c r="D3" s="205" t="s">
        <v>2599</v>
      </c>
      <c r="E3" s="205" t="s">
        <v>2600</v>
      </c>
      <c r="F3" s="206" t="s">
        <v>331</v>
      </c>
      <c r="G3" s="205" t="s">
        <v>2601</v>
      </c>
      <c r="H3" s="205">
        <v>62020904</v>
      </c>
      <c r="I3" s="206" t="s">
        <v>43</v>
      </c>
      <c r="J3" s="205" t="s">
        <v>34</v>
      </c>
      <c r="K3" s="206" t="s">
        <v>2603</v>
      </c>
      <c r="L3" s="207">
        <v>3000000</v>
      </c>
      <c r="M3" s="207">
        <v>10941000</v>
      </c>
      <c r="N3" s="208">
        <v>1419467</v>
      </c>
      <c r="O3" s="209">
        <v>5176796.1490000002</v>
      </c>
      <c r="P3" s="210">
        <v>0.47315566666666664</v>
      </c>
      <c r="Q3" s="211">
        <v>47757</v>
      </c>
      <c r="V3" s="212"/>
    </row>
    <row r="4" spans="1:22" s="205" customFormat="1" ht="30">
      <c r="A4" s="205">
        <v>288</v>
      </c>
      <c r="B4" s="205">
        <v>288</v>
      </c>
      <c r="C4" s="205" t="s">
        <v>1119</v>
      </c>
      <c r="D4" s="205" t="s">
        <v>2609</v>
      </c>
      <c r="E4" s="205" t="s">
        <v>2805</v>
      </c>
      <c r="F4" s="206" t="s">
        <v>331</v>
      </c>
      <c r="G4" s="213" t="s">
        <v>2806</v>
      </c>
      <c r="H4" s="205">
        <v>62008453</v>
      </c>
      <c r="I4" s="206" t="s">
        <v>43</v>
      </c>
      <c r="J4" s="205" t="s">
        <v>34</v>
      </c>
      <c r="K4" s="206" t="s">
        <v>2617</v>
      </c>
      <c r="L4" s="207">
        <v>3000000</v>
      </c>
      <c r="M4" s="207">
        <v>10941000</v>
      </c>
      <c r="N4" s="208">
        <v>640424</v>
      </c>
      <c r="O4" s="209">
        <v>2335626.3280000002</v>
      </c>
      <c r="P4" s="210">
        <v>0.21347466666666667</v>
      </c>
      <c r="Q4" s="211">
        <v>46188</v>
      </c>
      <c r="V4" s="212"/>
    </row>
    <row r="5" spans="1:22" s="205" customFormat="1" ht="45">
      <c r="A5" s="205">
        <v>288</v>
      </c>
      <c r="B5" s="205">
        <v>288</v>
      </c>
      <c r="C5" s="205" t="s">
        <v>1119</v>
      </c>
      <c r="D5" s="205" t="s">
        <v>2609</v>
      </c>
      <c r="E5" s="205" t="s">
        <v>2805</v>
      </c>
      <c r="F5" s="206" t="s">
        <v>331</v>
      </c>
      <c r="G5" s="213" t="s">
        <v>2807</v>
      </c>
      <c r="H5" s="205">
        <v>62007901</v>
      </c>
      <c r="I5" s="206" t="s">
        <v>43</v>
      </c>
      <c r="J5" s="205" t="s">
        <v>34</v>
      </c>
      <c r="K5" s="206" t="s">
        <v>2562</v>
      </c>
      <c r="L5" s="207">
        <v>1000000</v>
      </c>
      <c r="M5" s="207">
        <v>3647000</v>
      </c>
      <c r="N5" s="208">
        <v>138727</v>
      </c>
      <c r="O5" s="209">
        <v>505937.36900000001</v>
      </c>
      <c r="P5" s="210">
        <v>0.13872699999999999</v>
      </c>
      <c r="Q5" s="211">
        <v>45809</v>
      </c>
      <c r="V5" s="212"/>
    </row>
    <row r="6" spans="1:22" s="205" customFormat="1" ht="15">
      <c r="A6" s="205">
        <v>288</v>
      </c>
      <c r="B6" s="205">
        <v>288</v>
      </c>
      <c r="C6" s="205" t="s">
        <v>1119</v>
      </c>
      <c r="D6" s="205" t="s">
        <v>2619</v>
      </c>
      <c r="E6" s="205" t="s">
        <v>2620</v>
      </c>
      <c r="F6" s="206" t="s">
        <v>43</v>
      </c>
      <c r="G6" s="205" t="s">
        <v>2621</v>
      </c>
      <c r="H6" s="205">
        <v>62020698</v>
      </c>
      <c r="I6" s="206" t="s">
        <v>43</v>
      </c>
      <c r="J6" s="205" t="s">
        <v>34</v>
      </c>
      <c r="K6" s="206" t="s">
        <v>2623</v>
      </c>
      <c r="L6" s="207">
        <v>1000000</v>
      </c>
      <c r="M6" s="207">
        <v>3647000</v>
      </c>
      <c r="N6" s="208">
        <v>145000</v>
      </c>
      <c r="O6" s="209">
        <v>528815</v>
      </c>
      <c r="P6" s="210">
        <v>0.14499999999999999</v>
      </c>
      <c r="Q6" s="211">
        <v>46813</v>
      </c>
      <c r="V6" s="212"/>
    </row>
    <row r="7" spans="1:22" s="205" customFormat="1" ht="15">
      <c r="A7" s="205">
        <v>288</v>
      </c>
      <c r="B7" s="205">
        <v>288</v>
      </c>
      <c r="C7" s="205" t="s">
        <v>1119</v>
      </c>
      <c r="D7" s="205" t="s">
        <v>2628</v>
      </c>
      <c r="E7" s="205" t="s">
        <v>2629</v>
      </c>
      <c r="F7" s="206" t="s">
        <v>331</v>
      </c>
      <c r="G7" s="205" t="s">
        <v>2630</v>
      </c>
      <c r="H7" s="205">
        <v>62008925</v>
      </c>
      <c r="I7" s="206" t="s">
        <v>43</v>
      </c>
      <c r="J7" s="205" t="s">
        <v>34</v>
      </c>
      <c r="K7" s="206" t="s">
        <v>2632</v>
      </c>
      <c r="L7" s="207">
        <v>2000000</v>
      </c>
      <c r="M7" s="207">
        <v>7294000</v>
      </c>
      <c r="N7" s="208">
        <v>183668.25</v>
      </c>
      <c r="O7" s="209">
        <v>669838.10774999997</v>
      </c>
      <c r="P7" s="210">
        <v>9.1834125000000003E-2</v>
      </c>
      <c r="Q7" s="211">
        <v>46174</v>
      </c>
      <c r="V7" s="212"/>
    </row>
    <row r="8" spans="1:22" s="205" customFormat="1" ht="15">
      <c r="A8" s="205">
        <v>288</v>
      </c>
      <c r="B8" s="205">
        <v>288</v>
      </c>
      <c r="C8" s="205" t="s">
        <v>1119</v>
      </c>
      <c r="D8" s="205" t="s">
        <v>2640</v>
      </c>
      <c r="E8" s="205" t="s">
        <v>2641</v>
      </c>
      <c r="F8" s="206" t="s">
        <v>43</v>
      </c>
      <c r="G8" s="205" t="s">
        <v>2642</v>
      </c>
      <c r="H8" s="205">
        <v>62021118</v>
      </c>
      <c r="I8" s="206" t="s">
        <v>43</v>
      </c>
      <c r="J8" s="205" t="s">
        <v>1205</v>
      </c>
      <c r="K8" s="206" t="s">
        <v>2644</v>
      </c>
      <c r="L8" s="207">
        <v>2500000</v>
      </c>
      <c r="M8" s="207">
        <v>11435750</v>
      </c>
      <c r="N8" s="208">
        <v>2008661</v>
      </c>
      <c r="O8" s="209">
        <v>9188218.0122999996</v>
      </c>
      <c r="P8" s="210">
        <v>0.80346439999999997</v>
      </c>
      <c r="Q8" s="211">
        <v>48580</v>
      </c>
      <c r="V8" s="212"/>
    </row>
    <row r="9" spans="1:22" s="205" customFormat="1" ht="15">
      <c r="A9" s="205">
        <v>288</v>
      </c>
      <c r="B9" s="205">
        <v>288</v>
      </c>
      <c r="C9" s="205" t="s">
        <v>1119</v>
      </c>
      <c r="D9" s="205" t="s">
        <v>2646</v>
      </c>
      <c r="E9" s="205" t="s">
        <v>2647</v>
      </c>
      <c r="F9" s="206" t="s">
        <v>332</v>
      </c>
      <c r="G9" s="205" t="s">
        <v>2648</v>
      </c>
      <c r="H9" s="205">
        <v>62015821</v>
      </c>
      <c r="I9" s="206" t="s">
        <v>43</v>
      </c>
      <c r="J9" s="205" t="s">
        <v>34</v>
      </c>
      <c r="K9" s="206" t="s">
        <v>2650</v>
      </c>
      <c r="L9" s="207">
        <v>1000000</v>
      </c>
      <c r="M9" s="207">
        <v>3647000</v>
      </c>
      <c r="N9" s="208">
        <v>170511.1</v>
      </c>
      <c r="O9" s="209">
        <v>621853.9817</v>
      </c>
      <c r="P9" s="210">
        <v>0.1705111</v>
      </c>
      <c r="Q9" s="211">
        <v>47453</v>
      </c>
      <c r="V9" s="212"/>
    </row>
    <row r="10" spans="1:22" s="205" customFormat="1" ht="15">
      <c r="A10" s="205">
        <v>288</v>
      </c>
      <c r="B10" s="205">
        <v>288</v>
      </c>
      <c r="C10" s="205" t="s">
        <v>1119</v>
      </c>
      <c r="D10" s="205" t="s">
        <v>2604</v>
      </c>
      <c r="E10" s="205" t="s">
        <v>2605</v>
      </c>
      <c r="F10" s="206" t="s">
        <v>1333</v>
      </c>
      <c r="G10" s="205" t="s">
        <v>2606</v>
      </c>
      <c r="H10" s="205">
        <v>62002035</v>
      </c>
      <c r="I10" s="206" t="s">
        <v>43</v>
      </c>
      <c r="J10" s="205" t="s">
        <v>1203</v>
      </c>
      <c r="K10" s="206" t="s">
        <v>2608</v>
      </c>
      <c r="L10" s="207">
        <v>1500000</v>
      </c>
      <c r="M10" s="207">
        <v>5694600</v>
      </c>
      <c r="N10" s="208">
        <v>9256</v>
      </c>
      <c r="O10" s="209">
        <v>35139.4784</v>
      </c>
      <c r="P10" s="210">
        <v>6.1706666666666663E-3</v>
      </c>
      <c r="Q10" s="211">
        <v>45814</v>
      </c>
    </row>
    <row r="11" spans="1:22" s="205" customFormat="1" ht="15">
      <c r="A11" s="205">
        <v>288</v>
      </c>
      <c r="B11" s="205">
        <v>288</v>
      </c>
      <c r="C11" s="205" t="s">
        <v>1119</v>
      </c>
      <c r="D11" s="205" t="s">
        <v>2808</v>
      </c>
      <c r="E11" s="205">
        <v>540328218</v>
      </c>
      <c r="F11" s="206" t="s">
        <v>1333</v>
      </c>
      <c r="G11" s="205" t="s">
        <v>2808</v>
      </c>
      <c r="H11" s="205">
        <v>62022116</v>
      </c>
      <c r="I11" s="206" t="s">
        <v>43</v>
      </c>
      <c r="J11" s="205" t="s">
        <v>34</v>
      </c>
      <c r="K11" s="214">
        <v>45650</v>
      </c>
      <c r="L11" s="207">
        <v>3200000</v>
      </c>
      <c r="M11" s="207">
        <v>11670400</v>
      </c>
      <c r="N11" s="208">
        <v>2584589</v>
      </c>
      <c r="O11" s="209">
        <v>9425996.0830000006</v>
      </c>
      <c r="P11" s="210">
        <v>0.80768406250000002</v>
      </c>
      <c r="Q11" s="211">
        <v>49218</v>
      </c>
    </row>
    <row r="12" spans="1:22" s="205" customFormat="1" ht="15">
      <c r="A12" s="205">
        <v>288</v>
      </c>
      <c r="B12" s="205">
        <v>288</v>
      </c>
      <c r="C12" s="205" t="s">
        <v>1119</v>
      </c>
      <c r="D12" s="205" t="s">
        <v>2570</v>
      </c>
      <c r="E12" s="205" t="s">
        <v>2571</v>
      </c>
      <c r="F12" s="206" t="s">
        <v>1333</v>
      </c>
      <c r="G12" s="205" t="s">
        <v>2572</v>
      </c>
      <c r="H12" s="205">
        <v>62019773</v>
      </c>
      <c r="I12" s="206" t="s">
        <v>43</v>
      </c>
      <c r="J12" s="205" t="s">
        <v>34</v>
      </c>
      <c r="K12" s="206" t="s">
        <v>2574</v>
      </c>
      <c r="L12" s="207">
        <v>1000000</v>
      </c>
      <c r="M12" s="207">
        <v>3647000</v>
      </c>
      <c r="N12" s="208">
        <v>140000</v>
      </c>
      <c r="O12" s="209">
        <v>510580</v>
      </c>
      <c r="P12" s="210">
        <v>0.14000000000000001</v>
      </c>
      <c r="Q12" s="211">
        <v>47757</v>
      </c>
      <c r="V12" s="212"/>
    </row>
    <row r="13" spans="1:22" s="205" customFormat="1" ht="15">
      <c r="A13" s="205">
        <v>288</v>
      </c>
      <c r="B13" s="205">
        <v>288</v>
      </c>
      <c r="C13" s="205" t="s">
        <v>1119</v>
      </c>
      <c r="D13" s="205" t="s">
        <v>2575</v>
      </c>
      <c r="E13" s="205" t="s">
        <v>2576</v>
      </c>
      <c r="F13" s="206" t="s">
        <v>43</v>
      </c>
      <c r="G13" s="205" t="s">
        <v>2577</v>
      </c>
      <c r="H13" s="205">
        <v>62021456</v>
      </c>
      <c r="I13" s="206" t="s">
        <v>43</v>
      </c>
      <c r="J13" s="205" t="s">
        <v>1203</v>
      </c>
      <c r="K13" s="206" t="s">
        <v>2580</v>
      </c>
      <c r="L13" s="207">
        <v>3800000</v>
      </c>
      <c r="M13" s="207">
        <v>14426320</v>
      </c>
      <c r="N13" s="208">
        <v>2762980.93</v>
      </c>
      <c r="O13" s="209">
        <v>10489380.802652</v>
      </c>
      <c r="P13" s="210">
        <v>0.72710024473684209</v>
      </c>
      <c r="Q13" s="211">
        <v>48153</v>
      </c>
    </row>
    <row r="14" spans="1:22" s="205" customFormat="1" ht="15">
      <c r="A14" s="205">
        <v>288</v>
      </c>
      <c r="B14" s="205">
        <v>288</v>
      </c>
      <c r="C14" s="205" t="s">
        <v>1119</v>
      </c>
      <c r="D14" s="205" t="s">
        <v>2582</v>
      </c>
      <c r="E14" s="205" t="s">
        <v>2809</v>
      </c>
      <c r="F14" s="206" t="s">
        <v>43</v>
      </c>
      <c r="G14" s="205" t="s">
        <v>2582</v>
      </c>
      <c r="H14" s="205">
        <v>62022041</v>
      </c>
      <c r="I14" s="206" t="s">
        <v>43</v>
      </c>
      <c r="J14" s="205" t="s">
        <v>1203</v>
      </c>
      <c r="K14" s="214">
        <v>45643</v>
      </c>
      <c r="L14" s="207">
        <v>3000000</v>
      </c>
      <c r="M14" s="207">
        <v>11389200</v>
      </c>
      <c r="N14" s="208">
        <v>1708163.44</v>
      </c>
      <c r="O14" s="209">
        <v>6484871.6836160002</v>
      </c>
      <c r="P14" s="210">
        <v>0.56938781333333333</v>
      </c>
      <c r="Q14" s="211">
        <v>47818</v>
      </c>
    </row>
    <row r="15" spans="1:22" s="205" customFormat="1" ht="15">
      <c r="A15" s="205">
        <v>288</v>
      </c>
      <c r="B15" s="205">
        <v>288</v>
      </c>
      <c r="C15" s="205" t="s">
        <v>1119</v>
      </c>
      <c r="D15" s="205" t="s">
        <v>2585</v>
      </c>
      <c r="E15" s="205" t="s">
        <v>2586</v>
      </c>
      <c r="F15" s="206" t="s">
        <v>43</v>
      </c>
      <c r="G15" s="205" t="s">
        <v>2587</v>
      </c>
      <c r="H15" s="205">
        <v>62021167</v>
      </c>
      <c r="I15" s="206" t="s">
        <v>43</v>
      </c>
      <c r="J15" s="205" t="s">
        <v>34</v>
      </c>
      <c r="K15" s="206" t="s">
        <v>2589</v>
      </c>
      <c r="L15" s="207">
        <v>2250000</v>
      </c>
      <c r="M15" s="207">
        <v>8205750</v>
      </c>
      <c r="N15" s="208">
        <v>607500</v>
      </c>
      <c r="O15" s="209">
        <v>2215552.5</v>
      </c>
      <c r="P15" s="210">
        <v>0.27</v>
      </c>
      <c r="Q15" s="211">
        <v>47453</v>
      </c>
    </row>
    <row r="16" spans="1:22" s="205" customFormat="1" ht="15">
      <c r="A16" s="205">
        <v>288</v>
      </c>
      <c r="B16" s="205">
        <v>288</v>
      </c>
      <c r="C16" s="205" t="s">
        <v>1119</v>
      </c>
      <c r="D16" s="205" t="s">
        <v>2609</v>
      </c>
      <c r="E16" s="205" t="s">
        <v>2805</v>
      </c>
      <c r="F16" s="206" t="s">
        <v>331</v>
      </c>
      <c r="G16" s="205" t="s">
        <v>2613</v>
      </c>
      <c r="H16" s="205">
        <v>62018031</v>
      </c>
      <c r="I16" s="206" t="s">
        <v>43</v>
      </c>
      <c r="J16" s="205" t="s">
        <v>34</v>
      </c>
      <c r="K16" s="206" t="s">
        <v>2614</v>
      </c>
      <c r="L16" s="207">
        <v>1500000</v>
      </c>
      <c r="M16" s="207">
        <v>5470500</v>
      </c>
      <c r="N16" s="208">
        <v>137199</v>
      </c>
      <c r="O16" s="209">
        <v>500364.75300000003</v>
      </c>
      <c r="P16" s="210">
        <v>9.1466000000000006E-2</v>
      </c>
      <c r="Q16" s="211">
        <v>46082</v>
      </c>
    </row>
    <row r="17" spans="1:17" s="205" customFormat="1" ht="15">
      <c r="A17" s="205">
        <v>288</v>
      </c>
      <c r="B17" s="205">
        <v>288</v>
      </c>
      <c r="C17" s="205" t="s">
        <v>1119</v>
      </c>
      <c r="D17" s="205" t="s">
        <v>2810</v>
      </c>
      <c r="E17" s="205">
        <v>949417</v>
      </c>
      <c r="F17" s="206" t="s">
        <v>331</v>
      </c>
      <c r="G17" s="205" t="s">
        <v>2625</v>
      </c>
      <c r="H17" s="205">
        <v>62021621</v>
      </c>
      <c r="I17" s="206" t="s">
        <v>43</v>
      </c>
      <c r="J17" s="205" t="s">
        <v>34</v>
      </c>
      <c r="K17" s="214">
        <v>45390</v>
      </c>
      <c r="L17" s="207">
        <v>2500000</v>
      </c>
      <c r="M17" s="207">
        <v>9117500</v>
      </c>
      <c r="N17" s="208">
        <v>1680679</v>
      </c>
      <c r="O17" s="209">
        <v>6129436.3130000001</v>
      </c>
      <c r="P17" s="210">
        <v>0.67227159999999997</v>
      </c>
      <c r="Q17" s="211">
        <v>47574</v>
      </c>
    </row>
    <row r="18" spans="1:17" s="205" customFormat="1" ht="15">
      <c r="A18" s="205">
        <v>288</v>
      </c>
      <c r="B18" s="205">
        <v>288</v>
      </c>
      <c r="C18" s="205" t="s">
        <v>1119</v>
      </c>
      <c r="D18" s="205" t="s">
        <v>2528</v>
      </c>
      <c r="E18" s="205" t="s">
        <v>2529</v>
      </c>
      <c r="F18" s="206" t="s">
        <v>331</v>
      </c>
      <c r="G18" s="205" t="s">
        <v>2530</v>
      </c>
      <c r="H18" s="205">
        <v>50007921</v>
      </c>
      <c r="I18" s="206" t="s">
        <v>43</v>
      </c>
      <c r="J18" s="205" t="s">
        <v>44</v>
      </c>
      <c r="K18" s="206" t="s">
        <v>2532</v>
      </c>
      <c r="L18" s="207">
        <v>12000000</v>
      </c>
      <c r="M18" s="207">
        <v>12000000</v>
      </c>
      <c r="N18" s="208">
        <v>8400000</v>
      </c>
      <c r="O18" s="209">
        <v>8400000</v>
      </c>
      <c r="P18" s="210">
        <v>0.7</v>
      </c>
      <c r="Q18" s="211">
        <v>47939</v>
      </c>
    </row>
    <row r="19" spans="1:17" s="205" customFormat="1" ht="15">
      <c r="A19" s="205">
        <v>288</v>
      </c>
      <c r="B19" s="205">
        <v>288</v>
      </c>
      <c r="C19" s="205" t="s">
        <v>1119</v>
      </c>
      <c r="D19" s="205" t="s">
        <v>2633</v>
      </c>
      <c r="E19" s="205" t="s">
        <v>2634</v>
      </c>
      <c r="F19" s="206" t="s">
        <v>1333</v>
      </c>
      <c r="G19" s="205" t="s">
        <v>2635</v>
      </c>
      <c r="H19" s="205">
        <v>62018759</v>
      </c>
      <c r="I19" s="206" t="s">
        <v>43</v>
      </c>
      <c r="J19" s="205" t="s">
        <v>1203</v>
      </c>
      <c r="K19" s="206" t="s">
        <v>2638</v>
      </c>
      <c r="L19" s="207">
        <v>700000</v>
      </c>
      <c r="M19" s="207">
        <v>2657480</v>
      </c>
      <c r="N19" s="208">
        <v>62222.559999999998</v>
      </c>
      <c r="O19" s="209">
        <v>236221.726784</v>
      </c>
      <c r="P19" s="210">
        <v>8.8889371428571423E-2</v>
      </c>
      <c r="Q19" s="211">
        <v>46753</v>
      </c>
    </row>
    <row r="20" spans="1:17" s="205" customFormat="1" ht="15">
      <c r="A20" s="205">
        <v>288</v>
      </c>
      <c r="B20" s="205">
        <v>288</v>
      </c>
      <c r="C20" s="205" t="s">
        <v>1119</v>
      </c>
      <c r="D20" s="205" t="s">
        <v>2538</v>
      </c>
      <c r="E20" s="205" t="s">
        <v>2539</v>
      </c>
      <c r="F20" s="206" t="s">
        <v>330</v>
      </c>
      <c r="G20" s="205" t="s">
        <v>2540</v>
      </c>
      <c r="H20" s="205">
        <v>50000868</v>
      </c>
      <c r="I20" s="206" t="s">
        <v>43</v>
      </c>
      <c r="J20" s="205" t="s">
        <v>44</v>
      </c>
      <c r="K20" s="206" t="s">
        <v>2542</v>
      </c>
      <c r="L20" s="207">
        <v>7000000</v>
      </c>
      <c r="M20" s="207">
        <v>7000000</v>
      </c>
      <c r="N20" s="208">
        <v>2075952</v>
      </c>
      <c r="O20" s="209">
        <v>2075952</v>
      </c>
      <c r="P20" s="210">
        <v>0.29656457142857146</v>
      </c>
      <c r="Q20" s="211">
        <v>46327</v>
      </c>
    </row>
    <row r="24" spans="1:17" ht="14.1" customHeight="1">
      <c r="K24" s="11"/>
    </row>
    <row r="25" spans="1:17" ht="14.1" customHeight="1">
      <c r="K25" s="11"/>
    </row>
    <row r="26" spans="1:17" ht="14.1" customHeight="1">
      <c r="K26" s="11"/>
    </row>
    <row r="28" spans="1:17" ht="14.1" customHeight="1">
      <c r="K28" s="11"/>
    </row>
  </sheetData>
  <sheetProtection formatColumns="0"/>
  <dataConsolidate/>
  <dataValidations count="2">
    <dataValidation type="list" allowBlank="1" showInputMessage="1" showErrorMessage="1" sqref="F2:F20" xr:uid="{55628D88-A8E1-4DE2-964D-C808102C6A3E}">
      <formula1>Issuer_Number_Fund</formula1>
    </dataValidation>
    <dataValidation type="list" allowBlank="1" showInputMessage="1" showErrorMessage="1" sqref="I2:I20" xr:uid="{74A464F5-E5F8-42B4-9A71-C6B62CCAD192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FE278E-9495-4CA7-804A-EA0C381A779C}">
          <x14:formula1>
            <xm:f>'I:\EXCEL\account\Name\ALL\PDF דוחות לאוצר 2024אקסל\אקסל רשימות ניע 032024\Hamahar hishtalmut\[520027954_gm_0124.xlsx]אפשרויות בחירה'!#REF!</xm:f>
          </x14:formula1>
          <xm:sqref>C2:C20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3" customFormat="1" ht="45">
      <c r="A1" s="52" t="s">
        <v>222</v>
      </c>
      <c r="B1" s="52" t="s">
        <v>223</v>
      </c>
      <c r="C1" s="52" t="s">
        <v>224</v>
      </c>
      <c r="D1" s="52" t="s">
        <v>225</v>
      </c>
    </row>
    <row r="2" spans="1:5">
      <c r="A2" s="87"/>
      <c r="B2" s="87" t="s">
        <v>226</v>
      </c>
      <c r="C2" s="24" t="s">
        <v>30</v>
      </c>
      <c r="D2" s="24"/>
    </row>
    <row r="3" spans="1:5">
      <c r="A3" s="88"/>
      <c r="B3" s="88"/>
      <c r="C3" s="24" t="s">
        <v>124</v>
      </c>
      <c r="D3" s="24"/>
    </row>
    <row r="4" spans="1:5" ht="42.75">
      <c r="A4" s="80"/>
      <c r="B4" s="101" t="s">
        <v>227</v>
      </c>
      <c r="C4" s="25" t="s">
        <v>30</v>
      </c>
      <c r="D4" s="25"/>
    </row>
    <row r="5" spans="1:5">
      <c r="A5" s="81"/>
      <c r="B5" s="102"/>
      <c r="C5" s="25" t="s">
        <v>228</v>
      </c>
      <c r="D5" s="25"/>
    </row>
    <row r="6" spans="1:5">
      <c r="A6" s="81"/>
      <c r="B6" s="102"/>
      <c r="C6" s="25" t="s">
        <v>229</v>
      </c>
      <c r="D6" s="25"/>
    </row>
    <row r="7" spans="1:5">
      <c r="A7" s="81"/>
      <c r="B7" s="102"/>
      <c r="C7" s="25" t="s">
        <v>230</v>
      </c>
      <c r="D7" s="25"/>
    </row>
    <row r="8" spans="1:5">
      <c r="A8" s="81"/>
      <c r="B8" s="102"/>
      <c r="C8" s="25" t="s">
        <v>231</v>
      </c>
      <c r="D8" s="25"/>
    </row>
    <row r="9" spans="1:5">
      <c r="A9" s="81"/>
      <c r="B9" s="102"/>
      <c r="C9" s="25" t="s">
        <v>232</v>
      </c>
      <c r="D9" s="25"/>
    </row>
    <row r="10" spans="1:5">
      <c r="A10" s="81"/>
      <c r="B10" s="102"/>
      <c r="C10" s="25" t="s">
        <v>233</v>
      </c>
      <c r="D10" s="25"/>
    </row>
    <row r="11" spans="1:5">
      <c r="A11" s="81"/>
      <c r="B11" s="102"/>
      <c r="C11" s="25" t="s">
        <v>234</v>
      </c>
      <c r="D11" s="25"/>
      <c r="E11" t="s">
        <v>235</v>
      </c>
    </row>
    <row r="12" spans="1:5">
      <c r="A12" s="81"/>
      <c r="B12" s="102"/>
      <c r="C12" s="25" t="s">
        <v>236</v>
      </c>
      <c r="D12" s="25"/>
      <c r="E12" t="s">
        <v>235</v>
      </c>
    </row>
    <row r="13" spans="1:5">
      <c r="A13" s="81"/>
      <c r="B13" s="102"/>
      <c r="C13" s="25" t="s">
        <v>237</v>
      </c>
      <c r="D13" s="25"/>
    </row>
    <row r="14" spans="1:5">
      <c r="A14" s="81"/>
      <c r="B14" s="102"/>
      <c r="C14" s="25" t="s">
        <v>238</v>
      </c>
      <c r="D14" s="25"/>
    </row>
    <row r="15" spans="1:5">
      <c r="A15" s="81"/>
      <c r="B15" s="102"/>
      <c r="C15" s="25" t="s">
        <v>239</v>
      </c>
      <c r="D15" s="25"/>
    </row>
    <row r="16" spans="1:5">
      <c r="A16" s="81"/>
      <c r="B16" s="102"/>
      <c r="C16" s="25" t="s">
        <v>240</v>
      </c>
      <c r="D16" s="25"/>
    </row>
    <row r="17" spans="1:4">
      <c r="A17" s="81"/>
      <c r="B17" s="102"/>
      <c r="C17" s="25" t="s">
        <v>241</v>
      </c>
      <c r="D17" s="25"/>
    </row>
    <row r="18" spans="1:4">
      <c r="A18" s="81"/>
      <c r="B18" s="102"/>
      <c r="C18" s="25" t="s">
        <v>242</v>
      </c>
      <c r="D18" s="25"/>
    </row>
    <row r="19" spans="1:4">
      <c r="A19" s="81"/>
      <c r="B19" s="102"/>
      <c r="C19" s="25" t="s">
        <v>243</v>
      </c>
      <c r="D19" s="25"/>
    </row>
    <row r="20" spans="1:4">
      <c r="A20" s="81"/>
      <c r="B20" s="102"/>
      <c r="C20" s="25" t="s">
        <v>244</v>
      </c>
      <c r="D20" s="25"/>
    </row>
    <row r="21" spans="1:4">
      <c r="A21" s="81"/>
      <c r="B21" s="102"/>
      <c r="C21" s="25" t="s">
        <v>125</v>
      </c>
      <c r="D21" s="25"/>
    </row>
    <row r="22" spans="1:4">
      <c r="A22" s="81"/>
      <c r="B22" s="102"/>
      <c r="C22" s="25" t="s">
        <v>245</v>
      </c>
      <c r="D22" s="25"/>
    </row>
    <row r="23" spans="1:4">
      <c r="A23" s="81"/>
      <c r="B23" s="102"/>
      <c r="C23" s="25" t="s">
        <v>246</v>
      </c>
      <c r="D23" s="25"/>
    </row>
    <row r="24" spans="1:4">
      <c r="A24" s="81"/>
      <c r="B24" s="102"/>
      <c r="C24" s="25" t="s">
        <v>247</v>
      </c>
      <c r="D24" s="25"/>
    </row>
    <row r="25" spans="1:4">
      <c r="A25" s="81"/>
      <c r="B25" s="102"/>
      <c r="C25" s="25" t="s">
        <v>248</v>
      </c>
      <c r="D25" s="25"/>
    </row>
    <row r="26" spans="1:4">
      <c r="A26" s="81"/>
      <c r="B26" s="102"/>
      <c r="C26" s="25" t="s">
        <v>249</v>
      </c>
      <c r="D26" s="25"/>
    </row>
    <row r="27" spans="1:4">
      <c r="A27" s="81"/>
      <c r="B27" s="102"/>
      <c r="C27" s="25" t="s">
        <v>250</v>
      </c>
      <c r="D27" s="25"/>
    </row>
    <row r="28" spans="1:4">
      <c r="A28" s="81"/>
      <c r="B28" s="102"/>
      <c r="C28" s="25" t="s">
        <v>251</v>
      </c>
      <c r="D28" s="25"/>
    </row>
    <row r="29" spans="1:4">
      <c r="A29" s="81"/>
      <c r="B29" s="102"/>
      <c r="C29" s="25" t="s">
        <v>252</v>
      </c>
      <c r="D29" s="25"/>
    </row>
    <row r="30" spans="1:4">
      <c r="A30" s="81"/>
      <c r="B30" s="102"/>
      <c r="C30" s="25" t="s">
        <v>253</v>
      </c>
      <c r="D30" s="25"/>
    </row>
    <row r="31" spans="1:4">
      <c r="A31" s="81"/>
      <c r="B31" s="102"/>
      <c r="C31" s="25" t="s">
        <v>254</v>
      </c>
      <c r="D31" s="25"/>
    </row>
    <row r="32" spans="1:4">
      <c r="A32" s="81"/>
      <c r="B32" s="102"/>
      <c r="C32" s="25" t="s">
        <v>255</v>
      </c>
      <c r="D32" s="25"/>
    </row>
    <row r="33" spans="1:5">
      <c r="A33" s="81"/>
      <c r="B33" s="102"/>
      <c r="C33" s="25" t="s">
        <v>256</v>
      </c>
      <c r="D33" s="25"/>
    </row>
    <row r="34" spans="1:5">
      <c r="A34" s="81"/>
      <c r="B34" s="102"/>
      <c r="C34" s="25" t="s">
        <v>257</v>
      </c>
      <c r="D34" s="25"/>
    </row>
    <row r="35" spans="1:5">
      <c r="A35" s="81"/>
      <c r="B35" s="102"/>
      <c r="C35" s="25" t="s">
        <v>258</v>
      </c>
      <c r="D35" s="25"/>
    </row>
    <row r="36" spans="1:5">
      <c r="A36" s="81"/>
      <c r="B36" s="102"/>
      <c r="C36" s="25" t="s">
        <v>259</v>
      </c>
      <c r="D36" s="25"/>
      <c r="E36" t="s">
        <v>235</v>
      </c>
    </row>
    <row r="37" spans="1:5">
      <c r="A37" s="81"/>
      <c r="B37" s="102"/>
      <c r="C37" s="11" t="s">
        <v>260</v>
      </c>
      <c r="D37" s="25"/>
      <c r="E37" t="s">
        <v>235</v>
      </c>
    </row>
    <row r="38" spans="1:5">
      <c r="A38" s="81"/>
      <c r="B38" s="102"/>
      <c r="C38" s="25" t="s">
        <v>261</v>
      </c>
      <c r="D38" s="25"/>
    </row>
    <row r="39" spans="1:5">
      <c r="A39" s="81"/>
      <c r="B39" s="102"/>
      <c r="C39" s="25" t="s">
        <v>262</v>
      </c>
      <c r="D39" s="25"/>
    </row>
    <row r="40" spans="1:5">
      <c r="A40" s="81"/>
      <c r="B40" s="102"/>
      <c r="C40" s="25" t="s">
        <v>263</v>
      </c>
      <c r="D40" s="25"/>
      <c r="E40" t="s">
        <v>235</v>
      </c>
    </row>
    <row r="41" spans="1:5">
      <c r="A41" s="81"/>
      <c r="B41" s="102"/>
      <c r="C41" s="25" t="s">
        <v>264</v>
      </c>
      <c r="D41" s="25"/>
    </row>
    <row r="42" spans="1:5">
      <c r="A42" s="81"/>
      <c r="B42" s="102"/>
      <c r="C42" s="25" t="s">
        <v>265</v>
      </c>
      <c r="D42" s="25"/>
    </row>
    <row r="43" spans="1:5">
      <c r="A43" s="81"/>
      <c r="B43" s="102"/>
      <c r="C43" s="25" t="s">
        <v>266</v>
      </c>
      <c r="D43" s="25"/>
    </row>
    <row r="44" spans="1:5">
      <c r="A44" s="81"/>
      <c r="B44" s="102"/>
      <c r="C44" s="25" t="s">
        <v>267</v>
      </c>
      <c r="D44" s="25"/>
    </row>
    <row r="45" spans="1:5">
      <c r="A45" s="81"/>
      <c r="B45" s="102"/>
      <c r="C45" s="25" t="s">
        <v>268</v>
      </c>
      <c r="D45" s="25"/>
    </row>
    <row r="46" spans="1:5">
      <c r="A46" s="81"/>
      <c r="B46" s="102"/>
      <c r="C46" s="25" t="s">
        <v>269</v>
      </c>
      <c r="D46" s="25"/>
      <c r="E46" t="s">
        <v>235</v>
      </c>
    </row>
    <row r="47" spans="1:5">
      <c r="A47" s="81"/>
      <c r="B47" s="102"/>
      <c r="C47" s="25" t="s">
        <v>270</v>
      </c>
      <c r="D47" s="25"/>
    </row>
    <row r="48" spans="1:5">
      <c r="A48" s="81"/>
      <c r="B48" s="102"/>
      <c r="C48" s="25" t="s">
        <v>271</v>
      </c>
      <c r="D48" s="25"/>
    </row>
    <row r="49" spans="1:5">
      <c r="A49" s="81"/>
      <c r="B49" s="102"/>
      <c r="C49" s="25" t="s">
        <v>272</v>
      </c>
      <c r="D49" s="25"/>
    </row>
    <row r="50" spans="1:5">
      <c r="A50" s="81"/>
      <c r="B50" s="102"/>
      <c r="C50" s="25" t="s">
        <v>273</v>
      </c>
      <c r="D50" s="25"/>
    </row>
    <row r="51" spans="1:5">
      <c r="A51" s="81"/>
      <c r="B51" s="102"/>
      <c r="C51" s="25" t="s">
        <v>274</v>
      </c>
      <c r="D51" s="25"/>
    </row>
    <row r="52" spans="1:5">
      <c r="A52" s="81"/>
      <c r="B52" s="102"/>
      <c r="C52" s="25" t="s">
        <v>275</v>
      </c>
      <c r="D52" s="25"/>
    </row>
    <row r="53" spans="1:5">
      <c r="A53" s="81"/>
      <c r="B53" s="102"/>
      <c r="C53" s="25" t="s">
        <v>276</v>
      </c>
      <c r="D53" s="25"/>
    </row>
    <row r="54" spans="1:5">
      <c r="A54" s="81"/>
      <c r="B54" s="102"/>
      <c r="C54" s="25" t="s">
        <v>277</v>
      </c>
      <c r="D54" s="25"/>
    </row>
    <row r="55" spans="1:5">
      <c r="A55" s="81"/>
      <c r="B55" s="102"/>
      <c r="C55" s="25" t="s">
        <v>278</v>
      </c>
      <c r="D55" s="25"/>
    </row>
    <row r="56" spans="1:5">
      <c r="A56" s="81"/>
      <c r="B56" s="102"/>
      <c r="C56" s="25" t="s">
        <v>279</v>
      </c>
      <c r="D56" s="25"/>
    </row>
    <row r="57" spans="1:5">
      <c r="A57" s="81"/>
      <c r="B57" s="102"/>
      <c r="C57" s="25" t="s">
        <v>280</v>
      </c>
      <c r="D57" s="25"/>
    </row>
    <row r="58" spans="1:5">
      <c r="A58" s="81"/>
      <c r="B58" s="102"/>
      <c r="C58" s="25" t="s">
        <v>281</v>
      </c>
      <c r="D58" s="25"/>
    </row>
    <row r="59" spans="1:5">
      <c r="A59" s="81"/>
      <c r="B59" s="102"/>
      <c r="C59" s="25" t="s">
        <v>282</v>
      </c>
      <c r="D59" s="25"/>
    </row>
    <row r="60" spans="1:5">
      <c r="A60" s="81"/>
      <c r="B60" s="102"/>
      <c r="C60" s="25" t="s">
        <v>283</v>
      </c>
      <c r="D60" s="25"/>
    </row>
    <row r="61" spans="1:5">
      <c r="A61" s="81"/>
      <c r="B61" s="102"/>
      <c r="C61" s="25" t="s">
        <v>284</v>
      </c>
      <c r="D61" s="25"/>
    </row>
    <row r="62" spans="1:5">
      <c r="A62" s="81"/>
      <c r="B62" s="102"/>
      <c r="C62" s="25" t="s">
        <v>285</v>
      </c>
      <c r="D62" s="25"/>
    </row>
    <row r="63" spans="1:5">
      <c r="A63" s="81"/>
      <c r="B63" s="102"/>
      <c r="C63" s="25" t="s">
        <v>286</v>
      </c>
      <c r="D63" s="25"/>
      <c r="E63" t="s">
        <v>235</v>
      </c>
    </row>
    <row r="64" spans="1:5">
      <c r="A64" s="81"/>
      <c r="B64" s="102"/>
      <c r="C64" s="25" t="s">
        <v>287</v>
      </c>
      <c r="D64" s="25"/>
    </row>
    <row r="65" spans="1:4">
      <c r="A65" s="81"/>
      <c r="B65" s="102"/>
      <c r="C65" s="25" t="s">
        <v>288</v>
      </c>
      <c r="D65" s="25"/>
    </row>
    <row r="66" spans="1:4">
      <c r="A66" s="81"/>
      <c r="B66" s="102"/>
      <c r="C66" s="25" t="s">
        <v>289</v>
      </c>
      <c r="D66" s="25"/>
    </row>
    <row r="67" spans="1:4">
      <c r="A67" s="81"/>
      <c r="B67" s="102"/>
      <c r="C67" s="25" t="s">
        <v>290</v>
      </c>
      <c r="D67" s="25"/>
    </row>
    <row r="68" spans="1:4">
      <c r="A68" s="81"/>
      <c r="B68" s="102"/>
      <c r="C68" s="25" t="s">
        <v>291</v>
      </c>
      <c r="D68" s="25"/>
    </row>
    <row r="69" spans="1:4">
      <c r="A69" s="81"/>
      <c r="B69" s="102"/>
      <c r="C69" s="25" t="s">
        <v>292</v>
      </c>
      <c r="D69" s="25"/>
    </row>
    <row r="70" spans="1:4">
      <c r="A70" s="81"/>
      <c r="B70" s="102"/>
      <c r="C70" s="25" t="s">
        <v>293</v>
      </c>
      <c r="D70" s="25"/>
    </row>
    <row r="71" spans="1:4">
      <c r="A71" s="81"/>
      <c r="B71" s="102"/>
      <c r="C71" s="25" t="s">
        <v>294</v>
      </c>
      <c r="D71" s="25"/>
    </row>
    <row r="72" spans="1:4">
      <c r="A72" s="81"/>
      <c r="B72" s="102"/>
      <c r="C72" s="25" t="s">
        <v>295</v>
      </c>
      <c r="D72" s="25"/>
    </row>
    <row r="73" spans="1:4">
      <c r="A73" s="81"/>
      <c r="B73" s="102"/>
      <c r="C73" s="25" t="s">
        <v>296</v>
      </c>
      <c r="D73" s="25"/>
    </row>
    <row r="74" spans="1:4">
      <c r="A74" s="81"/>
      <c r="B74" s="102"/>
      <c r="C74" s="25" t="s">
        <v>297</v>
      </c>
      <c r="D74" s="25"/>
    </row>
    <row r="75" spans="1:4">
      <c r="A75" s="81"/>
      <c r="B75" s="102"/>
      <c r="C75" s="25" t="s">
        <v>298</v>
      </c>
      <c r="D75" s="25"/>
    </row>
    <row r="76" spans="1:4">
      <c r="A76" s="81"/>
      <c r="B76" s="102"/>
      <c r="C76" s="25" t="s">
        <v>299</v>
      </c>
      <c r="D76" s="25"/>
    </row>
    <row r="77" spans="1:4">
      <c r="A77" s="81"/>
      <c r="B77" s="102"/>
      <c r="C77" s="25" t="s">
        <v>300</v>
      </c>
      <c r="D77" s="25"/>
    </row>
    <row r="78" spans="1:4">
      <c r="A78" s="81"/>
      <c r="B78" s="102"/>
      <c r="C78" s="25" t="s">
        <v>301</v>
      </c>
      <c r="D78" s="25"/>
    </row>
    <row r="79" spans="1:4">
      <c r="A79" s="81"/>
      <c r="B79" s="102"/>
      <c r="C79" s="25" t="s">
        <v>302</v>
      </c>
      <c r="D79" s="25"/>
    </row>
    <row r="80" spans="1:4">
      <c r="A80" s="81"/>
      <c r="B80" s="102"/>
      <c r="C80" s="25" t="s">
        <v>303</v>
      </c>
      <c r="D80" s="25"/>
    </row>
    <row r="81" spans="1:5">
      <c r="A81" s="81"/>
      <c r="B81" s="102"/>
      <c r="C81" s="25" t="s">
        <v>304</v>
      </c>
      <c r="D81" s="25"/>
    </row>
    <row r="82" spans="1:5">
      <c r="A82" s="81"/>
      <c r="B82" s="102"/>
      <c r="C82" s="25" t="s">
        <v>305</v>
      </c>
      <c r="D82" s="25"/>
    </row>
    <row r="83" spans="1:5">
      <c r="A83" s="81"/>
      <c r="B83" s="102"/>
      <c r="C83" s="25" t="s">
        <v>306</v>
      </c>
      <c r="D83" s="25"/>
    </row>
    <row r="84" spans="1:5">
      <c r="A84" s="81"/>
      <c r="B84" s="102"/>
      <c r="C84" s="25" t="s">
        <v>307</v>
      </c>
      <c r="D84" s="25"/>
    </row>
    <row r="85" spans="1:5">
      <c r="A85" s="81"/>
      <c r="B85" s="102"/>
      <c r="C85" s="25" t="s">
        <v>308</v>
      </c>
      <c r="D85" s="25"/>
    </row>
    <row r="86" spans="1:5">
      <c r="A86" s="81"/>
      <c r="B86" s="102"/>
      <c r="C86" s="25" t="s">
        <v>309</v>
      </c>
      <c r="D86" s="25"/>
    </row>
    <row r="87" spans="1:5">
      <c r="A87" s="81"/>
      <c r="B87" s="102"/>
      <c r="C87" s="25" t="s">
        <v>310</v>
      </c>
      <c r="D87" s="25"/>
    </row>
    <row r="88" spans="1:5">
      <c r="A88" s="81"/>
      <c r="B88" s="102"/>
      <c r="C88" s="25" t="s">
        <v>311</v>
      </c>
      <c r="D88" s="25"/>
    </row>
    <row r="89" spans="1:5">
      <c r="A89" s="81"/>
      <c r="B89" s="102"/>
      <c r="C89" s="25" t="s">
        <v>312</v>
      </c>
      <c r="D89" s="25"/>
    </row>
    <row r="90" spans="1:5">
      <c r="A90" s="81"/>
      <c r="B90" s="102"/>
      <c r="C90" s="25" t="s">
        <v>313</v>
      </c>
      <c r="D90" s="25"/>
    </row>
    <row r="91" spans="1:5">
      <c r="A91" s="81"/>
      <c r="B91" s="102"/>
      <c r="C91" s="25" t="s">
        <v>314</v>
      </c>
      <c r="D91" s="25"/>
    </row>
    <row r="92" spans="1:5">
      <c r="A92" s="81"/>
      <c r="B92" s="102"/>
      <c r="C92" s="25" t="s">
        <v>315</v>
      </c>
      <c r="D92" s="25"/>
    </row>
    <row r="93" spans="1:5">
      <c r="A93" s="81"/>
      <c r="B93" s="102"/>
      <c r="C93" s="25" t="s">
        <v>316</v>
      </c>
      <c r="D93" s="25"/>
    </row>
    <row r="94" spans="1:5">
      <c r="A94" s="81"/>
      <c r="B94" s="102"/>
      <c r="C94" s="25" t="s">
        <v>317</v>
      </c>
      <c r="D94" s="25" t="s">
        <v>318</v>
      </c>
      <c r="E94" t="s">
        <v>235</v>
      </c>
    </row>
    <row r="95" spans="1:5">
      <c r="A95" s="81"/>
      <c r="B95" s="102"/>
      <c r="C95" s="25" t="s">
        <v>319</v>
      </c>
      <c r="D95" s="25" t="s">
        <v>320</v>
      </c>
      <c r="E95" t="s">
        <v>235</v>
      </c>
    </row>
    <row r="96" spans="1:5">
      <c r="A96" s="81"/>
      <c r="B96" s="102"/>
      <c r="C96" s="25" t="s">
        <v>321</v>
      </c>
      <c r="D96" s="25" t="s">
        <v>320</v>
      </c>
      <c r="E96" t="s">
        <v>235</v>
      </c>
    </row>
    <row r="97" spans="1:5">
      <c r="A97" s="81"/>
      <c r="B97" s="102"/>
      <c r="C97" s="25" t="s">
        <v>322</v>
      </c>
      <c r="D97" s="25" t="s">
        <v>320</v>
      </c>
      <c r="E97" t="s">
        <v>235</v>
      </c>
    </row>
    <row r="98" spans="1:5">
      <c r="A98" s="81"/>
      <c r="B98" s="102"/>
      <c r="C98" s="25" t="s">
        <v>323</v>
      </c>
      <c r="D98" s="25" t="s">
        <v>320</v>
      </c>
      <c r="E98" t="s">
        <v>235</v>
      </c>
    </row>
    <row r="99" spans="1:5">
      <c r="A99" s="81"/>
      <c r="B99" s="102"/>
      <c r="C99" s="25" t="s">
        <v>324</v>
      </c>
      <c r="D99" s="25" t="s">
        <v>320</v>
      </c>
      <c r="E99" t="s">
        <v>235</v>
      </c>
    </row>
    <row r="100" spans="1:5">
      <c r="A100" s="81"/>
      <c r="B100" s="102"/>
      <c r="C100" s="25" t="s">
        <v>325</v>
      </c>
      <c r="D100" s="25" t="s">
        <v>320</v>
      </c>
      <c r="E100" t="s">
        <v>235</v>
      </c>
    </row>
    <row r="101" spans="1:5">
      <c r="A101" s="81"/>
      <c r="B101" s="102"/>
      <c r="C101" s="25" t="s">
        <v>326</v>
      </c>
      <c r="D101" s="25" t="s">
        <v>320</v>
      </c>
      <c r="E101" t="s">
        <v>235</v>
      </c>
    </row>
    <row r="102" spans="1:5">
      <c r="A102" s="81"/>
      <c r="B102" s="102"/>
      <c r="C102" s="25" t="s">
        <v>327</v>
      </c>
      <c r="D102" s="25" t="s">
        <v>320</v>
      </c>
      <c r="E102" t="s">
        <v>235</v>
      </c>
    </row>
    <row r="103" spans="1:5">
      <c r="A103" s="81"/>
      <c r="B103" s="102"/>
      <c r="C103" s="25" t="s">
        <v>328</v>
      </c>
      <c r="D103" s="25" t="s">
        <v>320</v>
      </c>
      <c r="E103" t="s">
        <v>235</v>
      </c>
    </row>
    <row r="104" spans="1:5">
      <c r="A104" s="76"/>
      <c r="B104" s="76" t="s">
        <v>167</v>
      </c>
      <c r="C104" s="24" t="s">
        <v>329</v>
      </c>
      <c r="D104" s="24"/>
    </row>
    <row r="105" spans="1:5">
      <c r="A105" s="77"/>
      <c r="B105" s="77"/>
      <c r="C105" s="24" t="s">
        <v>166</v>
      </c>
      <c r="D105" s="24"/>
    </row>
    <row r="106" spans="1:5">
      <c r="A106" s="77"/>
      <c r="B106" s="77"/>
      <c r="C106" s="24" t="s">
        <v>330</v>
      </c>
      <c r="D106" s="24"/>
    </row>
    <row r="107" spans="1:5">
      <c r="A107" s="77"/>
      <c r="B107" s="77"/>
      <c r="C107" s="24" t="s">
        <v>331</v>
      </c>
      <c r="D107" s="24"/>
    </row>
    <row r="108" spans="1:5">
      <c r="A108" s="77"/>
      <c r="B108" s="77"/>
      <c r="C108" s="24" t="s">
        <v>43</v>
      </c>
      <c r="D108" s="24"/>
    </row>
    <row r="109" spans="1:5">
      <c r="A109" s="77"/>
      <c r="B109" s="77"/>
      <c r="C109" s="24" t="s">
        <v>332</v>
      </c>
      <c r="D109" s="24"/>
    </row>
    <row r="110" spans="1:5">
      <c r="A110" s="78"/>
      <c r="B110" s="78"/>
      <c r="C110" s="24" t="s">
        <v>31</v>
      </c>
      <c r="D110" s="24"/>
    </row>
    <row r="111" spans="1:5">
      <c r="A111" s="81"/>
      <c r="B111" s="67" t="s">
        <v>188</v>
      </c>
      <c r="C111" s="25" t="s">
        <v>329</v>
      </c>
      <c r="D111" s="25"/>
    </row>
    <row r="112" spans="1:5">
      <c r="A112" s="81"/>
      <c r="B112" s="68"/>
      <c r="C112" s="25" t="s">
        <v>333</v>
      </c>
      <c r="D112" s="25"/>
    </row>
    <row r="113" spans="1:4">
      <c r="A113" s="81"/>
      <c r="B113" s="69"/>
      <c r="C113" s="25" t="s">
        <v>334</v>
      </c>
      <c r="D113" s="25"/>
    </row>
    <row r="114" spans="1:4">
      <c r="A114" s="94"/>
      <c r="B114" s="94" t="s">
        <v>335</v>
      </c>
      <c r="C114" s="24" t="s">
        <v>329</v>
      </c>
      <c r="D114" s="24"/>
    </row>
    <row r="115" spans="1:4">
      <c r="A115" s="94"/>
      <c r="B115" s="94"/>
      <c r="C115" s="24" t="s">
        <v>330</v>
      </c>
      <c r="D115" s="24"/>
    </row>
    <row r="116" spans="1:4">
      <c r="A116" s="94"/>
      <c r="B116" s="94"/>
      <c r="C116" s="24" t="s">
        <v>331</v>
      </c>
      <c r="D116" s="24"/>
    </row>
    <row r="117" spans="1:4">
      <c r="A117" s="94"/>
      <c r="B117" s="94"/>
      <c r="C117" s="24" t="s">
        <v>332</v>
      </c>
      <c r="D117" s="24"/>
    </row>
    <row r="118" spans="1:4">
      <c r="A118" s="80"/>
      <c r="B118" s="95" t="s">
        <v>141</v>
      </c>
      <c r="C118" s="25" t="s">
        <v>329</v>
      </c>
      <c r="D118" s="25"/>
    </row>
    <row r="119" spans="1:4">
      <c r="A119" s="12"/>
      <c r="B119" s="115"/>
      <c r="C119" s="25" t="s">
        <v>336</v>
      </c>
      <c r="D119" s="25"/>
    </row>
    <row r="120" spans="1:4">
      <c r="A120" s="12"/>
      <c r="B120" s="115"/>
      <c r="C120" s="25" t="s">
        <v>331</v>
      </c>
      <c r="D120" s="25"/>
    </row>
    <row r="121" spans="1:4">
      <c r="A121" s="12"/>
      <c r="B121" s="115"/>
      <c r="C121" s="25" t="s">
        <v>43</v>
      </c>
      <c r="D121" s="25"/>
    </row>
    <row r="122" spans="1:4">
      <c r="A122" s="12"/>
      <c r="B122" s="115"/>
      <c r="C122" s="25" t="s">
        <v>330</v>
      </c>
      <c r="D122" s="25"/>
    </row>
    <row r="123" spans="1:4">
      <c r="A123" s="12"/>
      <c r="B123" s="115"/>
      <c r="C123" s="25" t="s">
        <v>337</v>
      </c>
      <c r="D123" s="25"/>
    </row>
    <row r="124" spans="1:4">
      <c r="A124" s="12"/>
      <c r="B124" s="115"/>
      <c r="C124" s="25" t="s">
        <v>338</v>
      </c>
      <c r="D124" s="25"/>
    </row>
    <row r="125" spans="1:4">
      <c r="A125" s="12"/>
      <c r="B125" s="115"/>
      <c r="C125" s="25" t="s">
        <v>332</v>
      </c>
      <c r="D125" s="25"/>
    </row>
    <row r="126" spans="1:4">
      <c r="A126" s="81"/>
      <c r="B126" s="96"/>
      <c r="C126" s="25" t="s">
        <v>31</v>
      </c>
      <c r="D126" s="25"/>
    </row>
    <row r="127" spans="1:4">
      <c r="A127" s="76"/>
      <c r="B127" s="76" t="s">
        <v>168</v>
      </c>
      <c r="C127" s="24" t="s">
        <v>339</v>
      </c>
      <c r="D127" s="24"/>
    </row>
    <row r="128" spans="1:4">
      <c r="A128" s="77"/>
      <c r="B128" s="77"/>
      <c r="C128" s="24" t="s">
        <v>340</v>
      </c>
      <c r="D128" s="24"/>
    </row>
    <row r="129" spans="1:5">
      <c r="A129" s="77"/>
      <c r="B129" s="77"/>
      <c r="C129" s="24" t="s">
        <v>341</v>
      </c>
      <c r="D129" s="24"/>
    </row>
    <row r="130" spans="1:5">
      <c r="A130" s="77"/>
      <c r="B130" s="77"/>
      <c r="C130" s="24" t="s">
        <v>342</v>
      </c>
      <c r="D130" s="24"/>
    </row>
    <row r="131" spans="1:5">
      <c r="A131" s="77"/>
      <c r="B131" s="77"/>
      <c r="C131" s="24" t="s">
        <v>43</v>
      </c>
      <c r="D131" s="24"/>
    </row>
    <row r="132" spans="1:5">
      <c r="A132" s="81"/>
      <c r="B132" s="68" t="s">
        <v>343</v>
      </c>
      <c r="C132" s="25" t="s">
        <v>339</v>
      </c>
      <c r="D132" s="25"/>
    </row>
    <row r="133" spans="1:5">
      <c r="A133" s="81"/>
      <c r="B133" s="68"/>
      <c r="C133" s="25" t="s">
        <v>43</v>
      </c>
      <c r="D133" s="25"/>
    </row>
    <row r="134" spans="1:5">
      <c r="A134" s="82"/>
      <c r="B134" s="69"/>
      <c r="C134" s="25" t="s">
        <v>31</v>
      </c>
      <c r="D134" s="25"/>
    </row>
    <row r="135" spans="1:5">
      <c r="A135" s="83"/>
      <c r="B135" s="83" t="s">
        <v>344</v>
      </c>
      <c r="C135" s="24" t="s">
        <v>345</v>
      </c>
      <c r="D135" s="24"/>
    </row>
    <row r="136" spans="1:5">
      <c r="A136" s="84"/>
      <c r="B136" s="84"/>
      <c r="C136" s="24" t="s">
        <v>346</v>
      </c>
      <c r="D136" s="24"/>
      <c r="E136" t="s">
        <v>235</v>
      </c>
    </row>
    <row r="137" spans="1:5">
      <c r="A137" s="84"/>
      <c r="B137" s="84"/>
      <c r="C137" s="24" t="s">
        <v>347</v>
      </c>
      <c r="D137" s="24" t="s">
        <v>348</v>
      </c>
    </row>
    <row r="138" spans="1:5">
      <c r="A138" s="84"/>
      <c r="B138" s="84"/>
      <c r="C138" s="24" t="s">
        <v>349</v>
      </c>
      <c r="D138" s="24" t="s">
        <v>350</v>
      </c>
    </row>
    <row r="139" spans="1:5">
      <c r="A139" s="84"/>
      <c r="B139" s="84"/>
      <c r="C139" s="24" t="s">
        <v>351</v>
      </c>
      <c r="D139" s="24"/>
    </row>
    <row r="140" spans="1:5">
      <c r="A140" s="84"/>
      <c r="B140" s="84"/>
      <c r="C140" s="24" t="s">
        <v>352</v>
      </c>
      <c r="D140" s="24"/>
    </row>
    <row r="141" spans="1:5">
      <c r="A141" s="84"/>
      <c r="B141" s="84"/>
      <c r="C141" s="24" t="s">
        <v>353</v>
      </c>
      <c r="D141" s="24"/>
    </row>
    <row r="142" spans="1:5">
      <c r="A142" s="84"/>
      <c r="B142" s="84"/>
      <c r="C142" s="24" t="s">
        <v>354</v>
      </c>
      <c r="D142" s="24"/>
    </row>
    <row r="143" spans="1:5">
      <c r="A143" s="84"/>
      <c r="B143" s="84"/>
      <c r="C143" s="24" t="s">
        <v>355</v>
      </c>
      <c r="D143" s="24"/>
    </row>
    <row r="144" spans="1:5">
      <c r="A144" s="84"/>
      <c r="B144" s="84"/>
      <c r="C144" s="24" t="s">
        <v>356</v>
      </c>
      <c r="D144" s="24"/>
    </row>
    <row r="145" spans="1:4">
      <c r="A145" s="84"/>
      <c r="B145" s="84"/>
      <c r="C145" s="24" t="s">
        <v>31</v>
      </c>
      <c r="D145" s="24"/>
    </row>
    <row r="146" spans="1:4">
      <c r="A146" s="80"/>
      <c r="B146" s="73" t="s">
        <v>357</v>
      </c>
      <c r="C146" s="25" t="s">
        <v>358</v>
      </c>
      <c r="D146" s="25"/>
    </row>
    <row r="147" spans="1:4">
      <c r="A147" s="82"/>
      <c r="B147" s="75"/>
      <c r="C147" s="25" t="s">
        <v>159</v>
      </c>
      <c r="D147" s="25"/>
    </row>
    <row r="148" spans="1:4">
      <c r="A148" s="62"/>
      <c r="B148" s="114" t="s">
        <v>8</v>
      </c>
      <c r="C148" s="24" t="s">
        <v>65</v>
      </c>
      <c r="D148" s="24" t="s">
        <v>359</v>
      </c>
    </row>
    <row r="149" spans="1:4">
      <c r="A149" s="63"/>
      <c r="B149" s="63"/>
      <c r="C149" s="24" t="s">
        <v>360</v>
      </c>
      <c r="D149" s="24" t="s">
        <v>361</v>
      </c>
    </row>
    <row r="150" spans="1:4">
      <c r="A150" s="63"/>
      <c r="B150" s="63"/>
      <c r="C150" s="24" t="s">
        <v>362</v>
      </c>
      <c r="D150" s="24" t="s">
        <v>363</v>
      </c>
    </row>
    <row r="151" spans="1:4">
      <c r="A151" s="63"/>
      <c r="B151" s="63"/>
      <c r="C151" s="24" t="s">
        <v>364</v>
      </c>
      <c r="D151" s="24" t="s">
        <v>365</v>
      </c>
    </row>
    <row r="152" spans="1:4">
      <c r="A152" s="63"/>
      <c r="B152" s="63"/>
      <c r="C152" s="24" t="s">
        <v>366</v>
      </c>
      <c r="D152" s="24" t="s">
        <v>367</v>
      </c>
    </row>
    <row r="153" spans="1:4">
      <c r="A153" s="63"/>
      <c r="B153" s="63"/>
      <c r="C153" s="24" t="s">
        <v>368</v>
      </c>
      <c r="D153" s="24" t="s">
        <v>369</v>
      </c>
    </row>
    <row r="154" spans="1:4">
      <c r="A154" s="63"/>
      <c r="B154" s="63"/>
      <c r="C154" s="24" t="s">
        <v>370</v>
      </c>
      <c r="D154" s="24" t="s">
        <v>371</v>
      </c>
    </row>
    <row r="155" spans="1:4">
      <c r="A155" s="63"/>
      <c r="B155" s="63"/>
      <c r="C155" s="24" t="s">
        <v>372</v>
      </c>
      <c r="D155" s="24" t="s">
        <v>373</v>
      </c>
    </row>
    <row r="156" spans="1:4">
      <c r="A156" s="63"/>
      <c r="B156" s="63"/>
      <c r="C156" s="24" t="s">
        <v>374</v>
      </c>
      <c r="D156" s="24" t="s">
        <v>375</v>
      </c>
    </row>
    <row r="157" spans="1:4">
      <c r="A157" s="63"/>
      <c r="B157" s="63"/>
      <c r="C157" s="24" t="s">
        <v>376</v>
      </c>
      <c r="D157" s="24" t="s">
        <v>377</v>
      </c>
    </row>
    <row r="158" spans="1:4">
      <c r="A158" s="63"/>
      <c r="B158" s="63"/>
      <c r="C158" s="24" t="s">
        <v>378</v>
      </c>
      <c r="D158" s="24" t="s">
        <v>379</v>
      </c>
    </row>
    <row r="159" spans="1:4">
      <c r="A159" s="63"/>
      <c r="B159" s="63"/>
      <c r="C159" s="24" t="s">
        <v>380</v>
      </c>
      <c r="D159" s="24" t="s">
        <v>381</v>
      </c>
    </row>
    <row r="160" spans="1:4">
      <c r="A160" s="63"/>
      <c r="B160" s="63"/>
      <c r="C160" s="24" t="s">
        <v>382</v>
      </c>
      <c r="D160" s="24" t="s">
        <v>383</v>
      </c>
    </row>
    <row r="161" spans="1:4">
      <c r="A161" s="63"/>
      <c r="B161" s="63"/>
      <c r="C161" s="24" t="s">
        <v>384</v>
      </c>
      <c r="D161" s="24" t="s">
        <v>385</v>
      </c>
    </row>
    <row r="162" spans="1:4">
      <c r="A162" s="63"/>
      <c r="B162" s="63"/>
      <c r="C162" s="24" t="s">
        <v>386</v>
      </c>
      <c r="D162" s="24" t="s">
        <v>387</v>
      </c>
    </row>
    <row r="163" spans="1:4">
      <c r="A163" s="63"/>
      <c r="B163" s="63"/>
      <c r="C163" s="24" t="s">
        <v>388</v>
      </c>
      <c r="D163" s="24" t="s">
        <v>389</v>
      </c>
    </row>
    <row r="164" spans="1:4">
      <c r="A164" s="63"/>
      <c r="B164" s="63"/>
      <c r="C164" s="24" t="s">
        <v>390</v>
      </c>
      <c r="D164" s="24" t="s">
        <v>391</v>
      </c>
    </row>
    <row r="165" spans="1:4">
      <c r="A165" s="63"/>
      <c r="B165" s="63"/>
      <c r="C165" s="24" t="s">
        <v>392</v>
      </c>
      <c r="D165" s="24" t="s">
        <v>393</v>
      </c>
    </row>
    <row r="166" spans="1:4">
      <c r="A166" s="63"/>
      <c r="B166" s="63"/>
      <c r="C166" s="24" t="s">
        <v>394</v>
      </c>
      <c r="D166" s="24" t="s">
        <v>395</v>
      </c>
    </row>
    <row r="167" spans="1:4">
      <c r="A167" s="63"/>
      <c r="B167" s="63"/>
      <c r="C167" s="24" t="s">
        <v>396</v>
      </c>
      <c r="D167" s="24" t="s">
        <v>397</v>
      </c>
    </row>
    <row r="168" spans="1:4">
      <c r="A168" s="63"/>
      <c r="B168" s="63"/>
      <c r="C168" s="24" t="s">
        <v>398</v>
      </c>
      <c r="D168" s="24" t="s">
        <v>399</v>
      </c>
    </row>
    <row r="169" spans="1:4">
      <c r="A169" s="63"/>
      <c r="B169" s="63"/>
      <c r="C169" s="24" t="s">
        <v>400</v>
      </c>
      <c r="D169" s="24" t="s">
        <v>401</v>
      </c>
    </row>
    <row r="170" spans="1:4">
      <c r="A170" s="63"/>
      <c r="B170" s="63"/>
      <c r="C170" s="24" t="s">
        <v>402</v>
      </c>
      <c r="D170" s="24" t="s">
        <v>403</v>
      </c>
    </row>
    <row r="171" spans="1:4">
      <c r="A171" s="63"/>
      <c r="B171" s="63"/>
      <c r="C171" s="24" t="s">
        <v>404</v>
      </c>
      <c r="D171" s="24" t="s">
        <v>405</v>
      </c>
    </row>
    <row r="172" spans="1:4">
      <c r="A172" s="63"/>
      <c r="B172" s="63"/>
      <c r="C172" s="24" t="s">
        <v>406</v>
      </c>
      <c r="D172" s="24" t="s">
        <v>407</v>
      </c>
    </row>
    <row r="173" spans="1:4">
      <c r="A173" s="63"/>
      <c r="B173" s="63"/>
      <c r="C173" s="24" t="s">
        <v>408</v>
      </c>
      <c r="D173" s="24" t="s">
        <v>409</v>
      </c>
    </row>
    <row r="174" spans="1:4">
      <c r="A174" s="63"/>
      <c r="B174" s="63"/>
      <c r="C174" s="24" t="s">
        <v>410</v>
      </c>
      <c r="D174" s="24" t="s">
        <v>411</v>
      </c>
    </row>
    <row r="175" spans="1:4">
      <c r="A175" s="63"/>
      <c r="B175" s="63"/>
      <c r="C175" s="24" t="s">
        <v>412</v>
      </c>
      <c r="D175" s="24" t="s">
        <v>413</v>
      </c>
    </row>
    <row r="176" spans="1:4">
      <c r="A176" s="63"/>
      <c r="B176" s="63"/>
      <c r="C176" s="24" t="s">
        <v>414</v>
      </c>
      <c r="D176" s="24" t="s">
        <v>415</v>
      </c>
    </row>
    <row r="177" spans="1:5">
      <c r="A177" s="63"/>
      <c r="B177" s="63"/>
      <c r="C177" s="24" t="s">
        <v>416</v>
      </c>
      <c r="D177" s="24" t="s">
        <v>417</v>
      </c>
    </row>
    <row r="178" spans="1:5">
      <c r="A178" s="63"/>
      <c r="B178" s="63"/>
      <c r="C178" s="24" t="s">
        <v>418</v>
      </c>
      <c r="D178" s="24" t="s">
        <v>419</v>
      </c>
    </row>
    <row r="179" spans="1:5">
      <c r="A179" s="63"/>
      <c r="B179" s="63"/>
      <c r="C179" s="24" t="s">
        <v>420</v>
      </c>
      <c r="D179" s="24" t="s">
        <v>421</v>
      </c>
    </row>
    <row r="180" spans="1:5">
      <c r="A180" s="63"/>
      <c r="B180" s="63"/>
      <c r="C180" s="24" t="s">
        <v>131</v>
      </c>
      <c r="D180" s="24" t="s">
        <v>422</v>
      </c>
      <c r="E180" t="s">
        <v>235</v>
      </c>
    </row>
    <row r="181" spans="1:5">
      <c r="A181" s="63"/>
      <c r="B181" s="63"/>
      <c r="C181" s="24" t="s">
        <v>31</v>
      </c>
      <c r="D181" s="24" t="s">
        <v>31</v>
      </c>
    </row>
    <row r="182" spans="1:5">
      <c r="A182" s="80"/>
      <c r="B182" s="73" t="s">
        <v>423</v>
      </c>
      <c r="C182" s="55" t="s">
        <v>424</v>
      </c>
      <c r="D182" s="55"/>
    </row>
    <row r="183" spans="1:5">
      <c r="A183" s="81"/>
      <c r="B183" s="74"/>
      <c r="C183" s="55" t="s">
        <v>425</v>
      </c>
      <c r="D183" s="55"/>
    </row>
    <row r="184" spans="1:5">
      <c r="A184" s="81"/>
      <c r="B184" s="74"/>
      <c r="C184" s="55" t="s">
        <v>426</v>
      </c>
      <c r="D184" s="55"/>
    </row>
    <row r="185" spans="1:5">
      <c r="A185" s="82"/>
      <c r="B185" s="75"/>
      <c r="C185" s="56" t="s">
        <v>427</v>
      </c>
      <c r="D185" s="56"/>
    </row>
    <row r="186" spans="1:5">
      <c r="A186" s="76"/>
      <c r="B186" s="76" t="s">
        <v>428</v>
      </c>
      <c r="C186" s="54" t="s">
        <v>429</v>
      </c>
      <c r="D186" s="54"/>
    </row>
    <row r="187" spans="1:5">
      <c r="A187" s="77"/>
      <c r="B187" s="77"/>
      <c r="C187" s="54" t="s">
        <v>430</v>
      </c>
      <c r="D187" s="54"/>
    </row>
    <row r="188" spans="1:5">
      <c r="A188" s="80"/>
      <c r="B188" s="73" t="s">
        <v>10</v>
      </c>
      <c r="C188" s="56" t="s">
        <v>431</v>
      </c>
      <c r="D188" s="56" t="s">
        <v>432</v>
      </c>
    </row>
    <row r="189" spans="1:5">
      <c r="A189" s="81"/>
      <c r="B189" s="74"/>
      <c r="C189" s="56" t="s">
        <v>433</v>
      </c>
      <c r="D189" s="56" t="s">
        <v>434</v>
      </c>
    </row>
    <row r="190" spans="1:5">
      <c r="A190" s="81"/>
      <c r="B190" s="74"/>
      <c r="C190" s="56" t="s">
        <v>43</v>
      </c>
      <c r="D190" s="56" t="s">
        <v>43</v>
      </c>
    </row>
    <row r="191" spans="1:5">
      <c r="A191" s="81"/>
      <c r="B191" s="74"/>
      <c r="C191" s="56" t="s">
        <v>435</v>
      </c>
      <c r="D191" s="56" t="s">
        <v>436</v>
      </c>
    </row>
    <row r="192" spans="1:5">
      <c r="A192" s="81"/>
      <c r="B192" s="74"/>
      <c r="C192" s="56" t="s">
        <v>437</v>
      </c>
      <c r="D192" s="56" t="s">
        <v>438</v>
      </c>
    </row>
    <row r="193" spans="1:4">
      <c r="A193" s="81"/>
      <c r="B193" s="74"/>
      <c r="C193" s="56" t="s">
        <v>439</v>
      </c>
      <c r="D193" s="56" t="s">
        <v>440</v>
      </c>
    </row>
    <row r="194" spans="1:4">
      <c r="A194" s="81"/>
      <c r="B194" s="74"/>
      <c r="C194" s="56" t="s">
        <v>127</v>
      </c>
      <c r="D194" s="56" t="s">
        <v>441</v>
      </c>
    </row>
    <row r="195" spans="1:4">
      <c r="A195" s="81"/>
      <c r="B195" s="74"/>
      <c r="C195" s="56" t="s">
        <v>442</v>
      </c>
      <c r="D195" s="56" t="s">
        <v>443</v>
      </c>
    </row>
    <row r="196" spans="1:4">
      <c r="A196" s="81"/>
      <c r="B196" s="74"/>
      <c r="C196" s="56" t="s">
        <v>444</v>
      </c>
      <c r="D196" s="56" t="s">
        <v>445</v>
      </c>
    </row>
    <row r="197" spans="1:4">
      <c r="A197" s="81"/>
      <c r="B197" s="74"/>
      <c r="C197" s="56" t="s">
        <v>446</v>
      </c>
      <c r="D197" s="56" t="s">
        <v>447</v>
      </c>
    </row>
    <row r="198" spans="1:4">
      <c r="A198" s="81"/>
      <c r="B198" s="74"/>
      <c r="C198" s="56" t="s">
        <v>33</v>
      </c>
      <c r="D198" s="56" t="s">
        <v>448</v>
      </c>
    </row>
    <row r="199" spans="1:4">
      <c r="A199" s="81"/>
      <c r="B199" s="74"/>
      <c r="C199" s="56" t="s">
        <v>449</v>
      </c>
      <c r="D199" s="56" t="s">
        <v>450</v>
      </c>
    </row>
    <row r="200" spans="1:4">
      <c r="A200" s="81"/>
      <c r="B200" s="74"/>
      <c r="C200" s="56" t="s">
        <v>31</v>
      </c>
      <c r="D200" s="56" t="s">
        <v>31</v>
      </c>
    </row>
    <row r="201" spans="1:4">
      <c r="A201" s="82"/>
      <c r="B201" s="75"/>
      <c r="C201" s="56" t="s">
        <v>427</v>
      </c>
      <c r="D201" s="56" t="s">
        <v>451</v>
      </c>
    </row>
    <row r="202" spans="1:4">
      <c r="A202" s="114"/>
      <c r="B202" s="114" t="s">
        <v>169</v>
      </c>
      <c r="C202" s="24" t="s">
        <v>452</v>
      </c>
      <c r="D202" s="24"/>
    </row>
    <row r="203" spans="1:4">
      <c r="A203" s="63"/>
      <c r="B203" s="63"/>
      <c r="C203" s="24" t="s">
        <v>453</v>
      </c>
      <c r="D203" s="24"/>
    </row>
    <row r="204" spans="1:4">
      <c r="A204" s="63"/>
      <c r="B204" s="63"/>
      <c r="C204" s="24" t="s">
        <v>454</v>
      </c>
      <c r="D204" s="24"/>
    </row>
    <row r="205" spans="1:4">
      <c r="A205" s="63"/>
      <c r="B205" s="63"/>
      <c r="C205" s="24" t="s">
        <v>455</v>
      </c>
      <c r="D205" s="24"/>
    </row>
    <row r="206" spans="1:4">
      <c r="A206" s="63"/>
      <c r="B206" s="63"/>
      <c r="C206" s="24" t="s">
        <v>456</v>
      </c>
      <c r="D206" s="24"/>
    </row>
    <row r="207" spans="1:4">
      <c r="A207" s="63"/>
      <c r="B207" s="63"/>
      <c r="C207" s="24" t="s">
        <v>457</v>
      </c>
      <c r="D207" s="24"/>
    </row>
    <row r="208" spans="1:4">
      <c r="A208" s="63"/>
      <c r="B208" s="63"/>
      <c r="C208" s="24" t="s">
        <v>458</v>
      </c>
      <c r="D208" s="24"/>
    </row>
    <row r="209" spans="1:5">
      <c r="A209" s="63"/>
      <c r="B209" s="63"/>
      <c r="C209" s="24" t="s">
        <v>459</v>
      </c>
      <c r="D209" s="24"/>
    </row>
    <row r="210" spans="1:5">
      <c r="A210" s="63"/>
      <c r="B210" s="63"/>
      <c r="C210" s="24" t="s">
        <v>460</v>
      </c>
      <c r="D210" s="24"/>
    </row>
    <row r="211" spans="1:5">
      <c r="A211" s="63"/>
      <c r="B211" s="63"/>
      <c r="C211" s="24" t="s">
        <v>461</v>
      </c>
      <c r="D211" s="24"/>
    </row>
    <row r="212" spans="1:5">
      <c r="A212" s="63"/>
      <c r="B212" s="63"/>
      <c r="C212" s="24" t="s">
        <v>462</v>
      </c>
      <c r="D212" s="24"/>
    </row>
    <row r="213" spans="1:5">
      <c r="A213" s="63"/>
      <c r="B213" s="63"/>
      <c r="C213" s="24" t="s">
        <v>463</v>
      </c>
      <c r="D213" s="24"/>
    </row>
    <row r="214" spans="1:5">
      <c r="A214" s="63"/>
      <c r="B214" s="63"/>
      <c r="C214" s="24" t="s">
        <v>464</v>
      </c>
      <c r="D214" s="24"/>
    </row>
    <row r="215" spans="1:5">
      <c r="A215" s="63"/>
      <c r="B215" s="63"/>
      <c r="C215" s="24" t="s">
        <v>465</v>
      </c>
      <c r="D215" s="24"/>
    </row>
    <row r="216" spans="1:5">
      <c r="A216" s="63"/>
      <c r="B216" s="63"/>
      <c r="C216" s="24" t="s">
        <v>466</v>
      </c>
      <c r="D216" s="24"/>
    </row>
    <row r="217" spans="1:5">
      <c r="A217" s="63"/>
      <c r="B217" s="63"/>
      <c r="C217" s="24" t="s">
        <v>467</v>
      </c>
      <c r="D217" s="24"/>
    </row>
    <row r="218" spans="1:5">
      <c r="A218" s="63"/>
      <c r="B218" s="63"/>
      <c r="C218" s="24" t="s">
        <v>468</v>
      </c>
      <c r="D218" s="24" t="s">
        <v>469</v>
      </c>
      <c r="E218" t="s">
        <v>235</v>
      </c>
    </row>
    <row r="219" spans="1:5">
      <c r="A219" s="63"/>
      <c r="B219" s="63"/>
      <c r="C219" s="24" t="s">
        <v>470</v>
      </c>
      <c r="D219" s="24"/>
    </row>
    <row r="220" spans="1:5">
      <c r="A220" s="63"/>
      <c r="B220" s="63"/>
      <c r="C220" s="24" t="s">
        <v>471</v>
      </c>
      <c r="D220" s="24"/>
    </row>
    <row r="221" spans="1:5">
      <c r="A221" s="63"/>
      <c r="B221" s="63"/>
      <c r="C221" s="24" t="s">
        <v>472</v>
      </c>
      <c r="D221" s="24"/>
    </row>
    <row r="222" spans="1:5">
      <c r="A222" s="63"/>
      <c r="B222" s="63"/>
      <c r="C222" s="24" t="s">
        <v>473</v>
      </c>
      <c r="D222" s="24"/>
    </row>
    <row r="223" spans="1:5">
      <c r="A223" s="63"/>
      <c r="B223" s="63"/>
      <c r="C223" s="24" t="s">
        <v>474</v>
      </c>
      <c r="D223" s="24"/>
    </row>
    <row r="224" spans="1:5">
      <c r="A224" s="63"/>
      <c r="B224" s="63"/>
      <c r="C224" s="24" t="s">
        <v>475</v>
      </c>
      <c r="D224" s="24"/>
    </row>
    <row r="225" spans="1:4">
      <c r="A225" s="63"/>
      <c r="B225" s="63"/>
      <c r="C225" s="24" t="s">
        <v>476</v>
      </c>
      <c r="D225" s="24"/>
    </row>
    <row r="226" spans="1:4">
      <c r="A226" s="63"/>
      <c r="B226" s="63"/>
      <c r="C226" s="24" t="s">
        <v>477</v>
      </c>
      <c r="D226" s="24"/>
    </row>
    <row r="227" spans="1:4">
      <c r="A227" s="63"/>
      <c r="B227" s="63"/>
      <c r="C227" s="24" t="s">
        <v>478</v>
      </c>
      <c r="D227" s="24"/>
    </row>
    <row r="228" spans="1:4">
      <c r="A228" s="63"/>
      <c r="B228" s="63"/>
      <c r="C228" s="24" t="s">
        <v>479</v>
      </c>
      <c r="D228" s="24"/>
    </row>
    <row r="229" spans="1:4">
      <c r="A229" s="63"/>
      <c r="B229" s="63"/>
      <c r="C229" s="24" t="s">
        <v>480</v>
      </c>
      <c r="D229" s="24"/>
    </row>
    <row r="230" spans="1:4">
      <c r="A230" s="63"/>
      <c r="B230" s="63"/>
      <c r="C230" s="24" t="s">
        <v>481</v>
      </c>
      <c r="D230" s="24"/>
    </row>
    <row r="231" spans="1:4">
      <c r="A231" s="63"/>
      <c r="B231" s="63"/>
      <c r="C231" s="24" t="s">
        <v>482</v>
      </c>
      <c r="D231" s="24"/>
    </row>
    <row r="232" spans="1:4">
      <c r="A232" s="63"/>
      <c r="B232" s="63"/>
      <c r="C232" s="24" t="s">
        <v>483</v>
      </c>
      <c r="D232" s="24"/>
    </row>
    <row r="233" spans="1:4">
      <c r="A233" s="63"/>
      <c r="B233" s="63"/>
      <c r="C233" s="24" t="s">
        <v>484</v>
      </c>
      <c r="D233" s="24"/>
    </row>
    <row r="234" spans="1:4">
      <c r="A234" s="63"/>
      <c r="B234" s="63"/>
      <c r="C234" s="24" t="s">
        <v>485</v>
      </c>
      <c r="D234" s="24"/>
    </row>
    <row r="235" spans="1:4">
      <c r="A235" s="63"/>
      <c r="B235" s="63"/>
      <c r="C235" s="24" t="s">
        <v>486</v>
      </c>
      <c r="D235" s="24"/>
    </row>
    <row r="236" spans="1:4">
      <c r="A236" s="63"/>
      <c r="B236" s="63"/>
      <c r="C236" s="24" t="s">
        <v>487</v>
      </c>
      <c r="D236" s="24"/>
    </row>
    <row r="237" spans="1:4">
      <c r="A237" s="63"/>
      <c r="B237" s="63"/>
      <c r="C237" s="24" t="s">
        <v>488</v>
      </c>
      <c r="D237" s="24"/>
    </row>
    <row r="238" spans="1:4">
      <c r="A238" s="63"/>
      <c r="B238" s="63"/>
      <c r="C238" s="24" t="s">
        <v>489</v>
      </c>
      <c r="D238" s="24"/>
    </row>
    <row r="239" spans="1:4">
      <c r="A239" s="63"/>
      <c r="B239" s="63"/>
      <c r="C239" s="24" t="s">
        <v>490</v>
      </c>
      <c r="D239" s="24"/>
    </row>
    <row r="240" spans="1:4">
      <c r="A240" s="63"/>
      <c r="B240" s="63"/>
      <c r="C240" s="24" t="s">
        <v>491</v>
      </c>
      <c r="D240" s="24"/>
    </row>
    <row r="241" spans="1:4">
      <c r="A241" s="63"/>
      <c r="B241" s="63"/>
      <c r="C241" s="24" t="s">
        <v>492</v>
      </c>
      <c r="D241" s="24"/>
    </row>
    <row r="242" spans="1:4">
      <c r="A242" s="63"/>
      <c r="B242" s="63"/>
      <c r="C242" s="24" t="s">
        <v>493</v>
      </c>
      <c r="D242" s="24"/>
    </row>
    <row r="243" spans="1:4">
      <c r="A243" s="63"/>
      <c r="B243" s="63"/>
      <c r="C243" s="24" t="s">
        <v>494</v>
      </c>
      <c r="D243" s="24"/>
    </row>
    <row r="244" spans="1:4">
      <c r="A244" s="63"/>
      <c r="B244" s="63"/>
      <c r="C244" s="24" t="s">
        <v>495</v>
      </c>
      <c r="D244" s="24"/>
    </row>
    <row r="245" spans="1:4">
      <c r="A245" s="63"/>
      <c r="B245" s="63"/>
      <c r="C245" s="24" t="s">
        <v>496</v>
      </c>
      <c r="D245" s="24"/>
    </row>
    <row r="246" spans="1:4">
      <c r="A246" s="63"/>
      <c r="B246" s="63"/>
      <c r="C246" s="24" t="s">
        <v>497</v>
      </c>
      <c r="D246" s="24"/>
    </row>
    <row r="247" spans="1:4">
      <c r="A247" s="63"/>
      <c r="B247" s="63"/>
      <c r="C247" s="24" t="s">
        <v>498</v>
      </c>
      <c r="D247" s="24"/>
    </row>
    <row r="248" spans="1:4">
      <c r="A248" s="63"/>
      <c r="B248" s="63"/>
      <c r="C248" s="24" t="s">
        <v>499</v>
      </c>
      <c r="D248" s="24"/>
    </row>
    <row r="249" spans="1:4">
      <c r="A249" s="63"/>
      <c r="B249" s="63"/>
      <c r="C249" s="24" t="s">
        <v>500</v>
      </c>
      <c r="D249" s="24"/>
    </row>
    <row r="250" spans="1:4">
      <c r="A250" s="63"/>
      <c r="B250" s="63"/>
      <c r="C250" s="24" t="s">
        <v>501</v>
      </c>
      <c r="D250" s="24"/>
    </row>
    <row r="251" spans="1:4">
      <c r="A251" s="63"/>
      <c r="B251" s="63"/>
      <c r="C251" s="24" t="s">
        <v>502</v>
      </c>
      <c r="D251" s="24"/>
    </row>
    <row r="252" spans="1:4">
      <c r="A252" s="63"/>
      <c r="B252" s="63"/>
      <c r="C252" s="24" t="s">
        <v>31</v>
      </c>
      <c r="D252" s="24"/>
    </row>
    <row r="253" spans="1:4">
      <c r="A253" s="63"/>
      <c r="B253" s="63"/>
      <c r="C253" s="24" t="s">
        <v>503</v>
      </c>
      <c r="D253" s="24"/>
    </row>
    <row r="254" spans="1:4">
      <c r="A254" s="63"/>
      <c r="B254" s="63"/>
      <c r="C254" s="24" t="s">
        <v>504</v>
      </c>
      <c r="D254" s="24"/>
    </row>
    <row r="255" spans="1:4">
      <c r="A255" s="63"/>
      <c r="B255" s="63"/>
      <c r="C255" s="24" t="s">
        <v>505</v>
      </c>
      <c r="D255" s="24"/>
    </row>
    <row r="256" spans="1:4">
      <c r="A256" s="63"/>
      <c r="B256" s="63"/>
      <c r="C256" s="24" t="s">
        <v>506</v>
      </c>
      <c r="D256" s="24"/>
    </row>
    <row r="257" spans="1:5">
      <c r="A257" s="63"/>
      <c r="B257" s="63"/>
      <c r="C257" s="24" t="s">
        <v>507</v>
      </c>
      <c r="D257" s="24"/>
    </row>
    <row r="258" spans="1:5">
      <c r="A258" s="63"/>
      <c r="B258" s="63"/>
      <c r="C258" s="24" t="s">
        <v>508</v>
      </c>
      <c r="D258" s="24"/>
    </row>
    <row r="259" spans="1:5">
      <c r="A259" s="63"/>
      <c r="B259" s="63"/>
      <c r="C259" s="24" t="s">
        <v>509</v>
      </c>
      <c r="D259" s="24"/>
    </row>
    <row r="260" spans="1:5">
      <c r="A260" s="63"/>
      <c r="B260" s="63"/>
      <c r="C260" s="24" t="s">
        <v>510</v>
      </c>
      <c r="D260" s="24"/>
    </row>
    <row r="261" spans="1:5">
      <c r="A261" s="63"/>
      <c r="B261" s="63"/>
      <c r="C261" s="24" t="s">
        <v>511</v>
      </c>
      <c r="D261" s="24"/>
    </row>
    <row r="262" spans="1:5">
      <c r="A262" s="63"/>
      <c r="B262" s="63"/>
      <c r="C262" s="24" t="s">
        <v>512</v>
      </c>
      <c r="D262" s="24"/>
    </row>
    <row r="263" spans="1:5">
      <c r="A263" s="63"/>
      <c r="B263" s="63"/>
      <c r="C263" s="24" t="s">
        <v>513</v>
      </c>
      <c r="D263" s="24"/>
    </row>
    <row r="264" spans="1:5">
      <c r="A264" s="63"/>
      <c r="B264" s="63"/>
      <c r="C264" s="24" t="s">
        <v>514</v>
      </c>
      <c r="D264" s="24"/>
    </row>
    <row r="265" spans="1:5">
      <c r="A265" s="63"/>
      <c r="B265" s="63"/>
      <c r="C265" s="24" t="s">
        <v>515</v>
      </c>
      <c r="D265" s="24"/>
    </row>
    <row r="266" spans="1:5">
      <c r="A266" s="63"/>
      <c r="B266" s="63"/>
      <c r="C266" s="24" t="s">
        <v>516</v>
      </c>
      <c r="D266" s="24"/>
    </row>
    <row r="267" spans="1:5">
      <c r="A267" s="63"/>
      <c r="B267" s="63"/>
      <c r="C267" s="24" t="s">
        <v>517</v>
      </c>
      <c r="D267" s="24"/>
    </row>
    <row r="268" spans="1:5">
      <c r="A268" s="63"/>
      <c r="B268" s="63"/>
      <c r="C268" s="24" t="s">
        <v>518</v>
      </c>
      <c r="D268" s="24"/>
    </row>
    <row r="269" spans="1:5">
      <c r="A269" s="63"/>
      <c r="B269" s="63"/>
      <c r="C269" s="24" t="s">
        <v>519</v>
      </c>
      <c r="D269" s="24"/>
    </row>
    <row r="270" spans="1:5">
      <c r="A270" s="63"/>
      <c r="B270" s="63"/>
      <c r="C270" s="24" t="s">
        <v>520</v>
      </c>
      <c r="D270" s="24" t="s">
        <v>521</v>
      </c>
      <c r="E270" t="s">
        <v>235</v>
      </c>
    </row>
    <row r="271" spans="1:5">
      <c r="A271" s="63"/>
      <c r="B271" s="63"/>
      <c r="C271" s="24" t="s">
        <v>522</v>
      </c>
      <c r="D271" s="24" t="s">
        <v>523</v>
      </c>
      <c r="E271" t="s">
        <v>235</v>
      </c>
    </row>
    <row r="272" spans="1:5">
      <c r="A272" s="63"/>
      <c r="B272" s="63"/>
      <c r="C272" s="24" t="s">
        <v>524</v>
      </c>
      <c r="D272" s="24" t="s">
        <v>525</v>
      </c>
      <c r="E272" t="s">
        <v>235</v>
      </c>
    </row>
    <row r="273" spans="1:5">
      <c r="A273" s="63"/>
      <c r="B273" s="63"/>
      <c r="C273" s="24" t="s">
        <v>526</v>
      </c>
      <c r="D273" s="24"/>
    </row>
    <row r="274" spans="1:5">
      <c r="A274" s="63"/>
      <c r="B274" s="63"/>
      <c r="C274" s="24" t="s">
        <v>527</v>
      </c>
      <c r="D274" s="24" t="s">
        <v>528</v>
      </c>
      <c r="E274" t="s">
        <v>235</v>
      </c>
    </row>
    <row r="275" spans="1:5">
      <c r="A275" s="63"/>
      <c r="B275" s="63"/>
      <c r="C275" s="24" t="s">
        <v>529</v>
      </c>
      <c r="D275" s="24"/>
    </row>
    <row r="276" spans="1:5">
      <c r="A276" s="63"/>
      <c r="B276" s="63"/>
      <c r="C276" s="24" t="s">
        <v>530</v>
      </c>
      <c r="D276" s="24"/>
    </row>
    <row r="277" spans="1:5">
      <c r="A277" s="63"/>
      <c r="B277" s="63"/>
      <c r="C277" s="24" t="s">
        <v>531</v>
      </c>
      <c r="D277" s="24"/>
    </row>
    <row r="278" spans="1:5">
      <c r="A278" s="63"/>
      <c r="B278" s="63"/>
      <c r="C278" s="24" t="s">
        <v>532</v>
      </c>
      <c r="D278" s="24"/>
    </row>
    <row r="279" spans="1:5">
      <c r="A279" s="63"/>
      <c r="B279" s="63"/>
      <c r="C279" s="24" t="s">
        <v>533</v>
      </c>
      <c r="D279" s="24"/>
    </row>
    <row r="280" spans="1:5">
      <c r="A280" s="63"/>
      <c r="B280" s="63"/>
      <c r="C280" s="24" t="s">
        <v>534</v>
      </c>
      <c r="D280" s="24"/>
    </row>
    <row r="281" spans="1:5">
      <c r="A281" s="63"/>
      <c r="B281" s="63"/>
      <c r="C281" s="24" t="s">
        <v>535</v>
      </c>
      <c r="D281" s="24"/>
    </row>
    <row r="282" spans="1:5">
      <c r="A282" s="63"/>
      <c r="B282" s="63"/>
      <c r="C282" s="24" t="s">
        <v>536</v>
      </c>
      <c r="D282" s="24" t="s">
        <v>537</v>
      </c>
      <c r="E282" t="s">
        <v>235</v>
      </c>
    </row>
    <row r="283" spans="1:5">
      <c r="A283" s="63"/>
      <c r="B283" s="63"/>
      <c r="C283" s="24" t="s">
        <v>538</v>
      </c>
      <c r="D283" s="24"/>
    </row>
    <row r="284" spans="1:5">
      <c r="A284" s="63"/>
      <c r="B284" s="63"/>
      <c r="C284" s="24" t="s">
        <v>539</v>
      </c>
      <c r="D284" s="24" t="s">
        <v>540</v>
      </c>
      <c r="E284" t="s">
        <v>235</v>
      </c>
    </row>
    <row r="285" spans="1:5">
      <c r="A285" s="63"/>
      <c r="B285" s="63"/>
      <c r="C285" s="24" t="s">
        <v>541</v>
      </c>
      <c r="D285" s="24"/>
    </row>
    <row r="286" spans="1:5">
      <c r="A286" s="63"/>
      <c r="B286" s="63"/>
      <c r="C286" s="24" t="s">
        <v>542</v>
      </c>
      <c r="D286" s="24"/>
    </row>
    <row r="287" spans="1:5">
      <c r="A287" s="63"/>
      <c r="B287" s="63"/>
      <c r="C287" s="24" t="s">
        <v>543</v>
      </c>
      <c r="D287" s="24"/>
    </row>
    <row r="288" spans="1:5">
      <c r="A288" s="63"/>
      <c r="B288" s="63"/>
      <c r="C288" s="24" t="s">
        <v>544</v>
      </c>
      <c r="D288" s="24"/>
    </row>
    <row r="289" spans="1:5">
      <c r="A289" s="63"/>
      <c r="B289" s="63"/>
      <c r="C289" s="24" t="s">
        <v>545</v>
      </c>
      <c r="D289" s="24" t="s">
        <v>546</v>
      </c>
      <c r="E289" t="s">
        <v>235</v>
      </c>
    </row>
    <row r="290" spans="1:5">
      <c r="A290" s="63"/>
      <c r="B290" s="63"/>
      <c r="C290" s="24" t="s">
        <v>547</v>
      </c>
      <c r="D290" s="24"/>
    </row>
    <row r="291" spans="1:5">
      <c r="A291" s="63"/>
      <c r="B291" s="63"/>
      <c r="C291" s="24" t="s">
        <v>548</v>
      </c>
      <c r="D291" s="24"/>
    </row>
    <row r="292" spans="1:5">
      <c r="A292" s="63"/>
      <c r="B292" s="63"/>
      <c r="C292" s="24" t="s">
        <v>549</v>
      </c>
      <c r="D292" s="24"/>
    </row>
    <row r="293" spans="1:5">
      <c r="A293" s="63"/>
      <c r="B293" s="63"/>
      <c r="C293" s="24" t="s">
        <v>550</v>
      </c>
      <c r="D293" s="24"/>
    </row>
    <row r="294" spans="1:5">
      <c r="A294" s="63"/>
      <c r="B294" s="63"/>
      <c r="C294" s="24" t="s">
        <v>551</v>
      </c>
      <c r="D294" s="24"/>
    </row>
    <row r="295" spans="1:5">
      <c r="A295" s="63"/>
      <c r="B295" s="63"/>
      <c r="C295" s="24" t="s">
        <v>552</v>
      </c>
      <c r="D295" s="24"/>
    </row>
    <row r="296" spans="1:5">
      <c r="A296" s="63"/>
      <c r="B296" s="63"/>
      <c r="C296" s="24" t="s">
        <v>553</v>
      </c>
      <c r="D296" s="24"/>
    </row>
    <row r="297" spans="1:5">
      <c r="A297" s="63"/>
      <c r="B297" s="63"/>
      <c r="C297" s="24" t="s">
        <v>554</v>
      </c>
      <c r="D297" s="24" t="s">
        <v>555</v>
      </c>
      <c r="E297" t="s">
        <v>235</v>
      </c>
    </row>
    <row r="298" spans="1:5">
      <c r="A298" s="63"/>
      <c r="B298" s="63"/>
      <c r="C298" s="24" t="s">
        <v>556</v>
      </c>
      <c r="D298" s="24"/>
    </row>
    <row r="299" spans="1:5">
      <c r="A299" s="63"/>
      <c r="B299" s="63"/>
      <c r="C299" s="24" t="s">
        <v>557</v>
      </c>
      <c r="D299" s="24"/>
    </row>
    <row r="300" spans="1:5">
      <c r="A300" s="63"/>
      <c r="B300" s="63"/>
      <c r="C300" s="133" t="s">
        <v>558</v>
      </c>
      <c r="D300" s="24"/>
      <c r="E300" t="s">
        <v>235</v>
      </c>
    </row>
    <row r="301" spans="1:5">
      <c r="A301" s="63"/>
      <c r="B301" s="63"/>
      <c r="C301" s="24" t="s">
        <v>559</v>
      </c>
      <c r="D301" s="24"/>
    </row>
    <row r="302" spans="1:5">
      <c r="A302" s="63"/>
      <c r="B302" s="63"/>
      <c r="C302" s="24" t="s">
        <v>560</v>
      </c>
      <c r="D302" s="24"/>
    </row>
    <row r="303" spans="1:5">
      <c r="A303" s="63"/>
      <c r="B303" s="63"/>
      <c r="C303" s="24" t="s">
        <v>561</v>
      </c>
      <c r="D303" s="24"/>
    </row>
    <row r="304" spans="1:5">
      <c r="A304" s="63"/>
      <c r="B304" s="63"/>
      <c r="C304" s="24" t="s">
        <v>562</v>
      </c>
      <c r="D304" s="24"/>
    </row>
    <row r="305" spans="1:5">
      <c r="A305" s="63"/>
      <c r="B305" s="63"/>
      <c r="C305" s="24" t="s">
        <v>563</v>
      </c>
      <c r="D305" s="24"/>
    </row>
    <row r="306" spans="1:5">
      <c r="A306" s="63"/>
      <c r="B306" s="63"/>
      <c r="C306" s="24" t="s">
        <v>564</v>
      </c>
      <c r="D306" s="24"/>
    </row>
    <row r="307" spans="1:5">
      <c r="A307" s="63"/>
      <c r="B307" s="63"/>
      <c r="C307" s="24" t="s">
        <v>565</v>
      </c>
      <c r="D307" s="24"/>
    </row>
    <row r="308" spans="1:5">
      <c r="A308" s="63"/>
      <c r="B308" s="63"/>
      <c r="C308" s="24" t="s">
        <v>566</v>
      </c>
      <c r="D308" s="24"/>
    </row>
    <row r="309" spans="1:5">
      <c r="A309" s="63"/>
      <c r="B309" s="63"/>
      <c r="C309" s="24" t="s">
        <v>567</v>
      </c>
      <c r="D309" s="24"/>
    </row>
    <row r="310" spans="1:5">
      <c r="A310" s="63"/>
      <c r="B310" s="63"/>
      <c r="C310" s="133" t="s">
        <v>568</v>
      </c>
      <c r="D310" s="24"/>
      <c r="E310" t="s">
        <v>235</v>
      </c>
    </row>
    <row r="311" spans="1:5">
      <c r="A311" s="63"/>
      <c r="B311" s="63"/>
      <c r="C311" s="133" t="s">
        <v>569</v>
      </c>
      <c r="D311" s="24"/>
      <c r="E311" t="s">
        <v>235</v>
      </c>
    </row>
    <row r="312" spans="1:5">
      <c r="A312" s="63"/>
      <c r="B312" s="63"/>
      <c r="C312" s="133" t="s">
        <v>570</v>
      </c>
      <c r="D312" s="24"/>
      <c r="E312" t="s">
        <v>235</v>
      </c>
    </row>
    <row r="313" spans="1:5">
      <c r="A313" s="63"/>
      <c r="B313" s="63"/>
      <c r="C313" s="24" t="s">
        <v>571</v>
      </c>
      <c r="D313" s="24"/>
    </row>
    <row r="314" spans="1:5">
      <c r="A314" s="63"/>
      <c r="B314" s="63"/>
      <c r="C314" s="24" t="s">
        <v>572</v>
      </c>
      <c r="D314" s="24"/>
    </row>
    <row r="315" spans="1:5">
      <c r="A315" s="63"/>
      <c r="B315" s="63"/>
      <c r="C315" s="24" t="s">
        <v>573</v>
      </c>
      <c r="D315" s="24"/>
    </row>
    <row r="316" spans="1:5">
      <c r="A316" s="63"/>
      <c r="B316" s="63"/>
      <c r="C316" s="24" t="s">
        <v>574</v>
      </c>
      <c r="D316" s="24"/>
    </row>
    <row r="317" spans="1:5">
      <c r="A317" s="63"/>
      <c r="B317" s="63"/>
      <c r="C317" s="24" t="s">
        <v>575</v>
      </c>
      <c r="D317" s="24"/>
    </row>
    <row r="318" spans="1:5">
      <c r="A318" s="63"/>
      <c r="B318" s="63"/>
      <c r="C318" s="24" t="s">
        <v>576</v>
      </c>
      <c r="D318" s="128" t="s">
        <v>577</v>
      </c>
      <c r="E318" t="s">
        <v>235</v>
      </c>
    </row>
    <row r="319" spans="1:5">
      <c r="A319" s="63"/>
      <c r="B319" s="63"/>
      <c r="C319" s="24" t="s">
        <v>578</v>
      </c>
      <c r="D319" s="24"/>
    </row>
    <row r="320" spans="1:5">
      <c r="A320" s="63"/>
      <c r="B320" s="63"/>
      <c r="C320" s="24" t="s">
        <v>579</v>
      </c>
      <c r="D320" s="24"/>
    </row>
    <row r="321" spans="1:5">
      <c r="A321" s="63"/>
      <c r="B321" s="63"/>
      <c r="C321" s="24" t="s">
        <v>580</v>
      </c>
      <c r="D321" s="24"/>
    </row>
    <row r="322" spans="1:5">
      <c r="A322" s="63"/>
      <c r="B322" s="63"/>
      <c r="C322" s="24" t="s">
        <v>581</v>
      </c>
      <c r="D322" s="24"/>
    </row>
    <row r="323" spans="1:5">
      <c r="A323" s="63"/>
      <c r="B323" s="63"/>
      <c r="C323" s="24" t="s">
        <v>582</v>
      </c>
      <c r="D323" s="24"/>
    </row>
    <row r="324" spans="1:5">
      <c r="A324" s="63"/>
      <c r="B324" s="63"/>
      <c r="C324" s="24" t="s">
        <v>583</v>
      </c>
      <c r="D324" s="24"/>
    </row>
    <row r="325" spans="1:5">
      <c r="A325" s="63"/>
      <c r="B325" s="63"/>
      <c r="C325" s="24" t="s">
        <v>584</v>
      </c>
      <c r="D325" s="24"/>
    </row>
    <row r="326" spans="1:5">
      <c r="A326" s="63"/>
      <c r="B326" s="63"/>
      <c r="C326" s="24" t="s">
        <v>585</v>
      </c>
      <c r="D326" s="24"/>
    </row>
    <row r="327" spans="1:5">
      <c r="A327" s="63"/>
      <c r="B327" s="63"/>
      <c r="C327" s="24" t="s">
        <v>586</v>
      </c>
      <c r="D327" s="24"/>
    </row>
    <row r="328" spans="1:5">
      <c r="A328" s="80"/>
      <c r="B328" s="70" t="s">
        <v>587</v>
      </c>
      <c r="C328" s="56" t="s">
        <v>588</v>
      </c>
      <c r="D328" s="56"/>
      <c r="E328" t="s">
        <v>235</v>
      </c>
    </row>
    <row r="329" spans="1:5">
      <c r="A329" s="81"/>
      <c r="B329" s="71"/>
      <c r="C329" s="56" t="s">
        <v>589</v>
      </c>
      <c r="D329" s="56"/>
      <c r="E329" t="s">
        <v>235</v>
      </c>
    </row>
    <row r="330" spans="1:5">
      <c r="A330" s="81"/>
      <c r="B330" s="71"/>
      <c r="C330" s="130" t="s">
        <v>590</v>
      </c>
      <c r="D330" s="56"/>
      <c r="E330" t="s">
        <v>235</v>
      </c>
    </row>
    <row r="331" spans="1:5">
      <c r="A331" s="81"/>
      <c r="B331" s="71"/>
      <c r="C331" s="129" t="s">
        <v>591</v>
      </c>
      <c r="D331" s="56"/>
      <c r="E331" t="s">
        <v>235</v>
      </c>
    </row>
    <row r="332" spans="1:5">
      <c r="A332" s="81"/>
      <c r="B332" s="71"/>
      <c r="C332" s="129" t="s">
        <v>592</v>
      </c>
      <c r="D332" s="56"/>
      <c r="E332" t="s">
        <v>235</v>
      </c>
    </row>
    <row r="333" spans="1:5">
      <c r="A333" s="81"/>
      <c r="B333" s="71"/>
      <c r="C333" s="129" t="s">
        <v>593</v>
      </c>
      <c r="D333" s="56"/>
      <c r="E333" t="s">
        <v>235</v>
      </c>
    </row>
    <row r="334" spans="1:5">
      <c r="A334" s="81"/>
      <c r="B334" s="71"/>
      <c r="C334" s="129" t="s">
        <v>594</v>
      </c>
      <c r="D334" s="56"/>
      <c r="E334" t="s">
        <v>235</v>
      </c>
    </row>
    <row r="335" spans="1:5">
      <c r="A335" s="81"/>
      <c r="B335" s="71"/>
      <c r="C335" s="56" t="s">
        <v>595</v>
      </c>
      <c r="D335" s="56"/>
      <c r="E335" t="s">
        <v>235</v>
      </c>
    </row>
    <row r="336" spans="1:5">
      <c r="A336" s="81"/>
      <c r="B336" s="71"/>
      <c r="C336" s="56" t="s">
        <v>596</v>
      </c>
      <c r="D336" s="56"/>
      <c r="E336" t="s">
        <v>235</v>
      </c>
    </row>
    <row r="337" spans="1:5">
      <c r="A337" s="81"/>
      <c r="B337" s="71"/>
      <c r="C337" s="56" t="s">
        <v>597</v>
      </c>
      <c r="D337" s="56"/>
      <c r="E337" t="s">
        <v>235</v>
      </c>
    </row>
    <row r="338" spans="1:5">
      <c r="A338" s="81"/>
      <c r="B338" s="71"/>
      <c r="C338" s="56" t="s">
        <v>598</v>
      </c>
      <c r="D338" s="56"/>
      <c r="E338" t="s">
        <v>235</v>
      </c>
    </row>
    <row r="339" spans="1:5">
      <c r="A339" s="81"/>
      <c r="B339" s="71"/>
      <c r="C339" s="56" t="s">
        <v>599</v>
      </c>
      <c r="D339" s="56"/>
      <c r="E339" t="s">
        <v>235</v>
      </c>
    </row>
    <row r="340" spans="1:5">
      <c r="A340" s="81"/>
      <c r="B340" s="71"/>
      <c r="C340" s="56" t="s">
        <v>600</v>
      </c>
      <c r="D340" s="56"/>
      <c r="E340" t="s">
        <v>235</v>
      </c>
    </row>
    <row r="341" spans="1:5">
      <c r="A341" s="81"/>
      <c r="B341" s="71"/>
      <c r="C341" s="56" t="s">
        <v>601</v>
      </c>
      <c r="D341" s="56"/>
      <c r="E341" t="s">
        <v>235</v>
      </c>
    </row>
    <row r="342" spans="1:5">
      <c r="A342" s="81"/>
      <c r="B342" s="71"/>
      <c r="C342" s="56" t="s">
        <v>602</v>
      </c>
      <c r="D342" s="56"/>
      <c r="E342" t="s">
        <v>235</v>
      </c>
    </row>
    <row r="343" spans="1:5">
      <c r="A343" s="81"/>
      <c r="B343" s="71"/>
      <c r="C343" s="56" t="s">
        <v>603</v>
      </c>
      <c r="D343" s="56"/>
      <c r="E343" t="s">
        <v>235</v>
      </c>
    </row>
    <row r="344" spans="1:5">
      <c r="A344" s="81"/>
      <c r="B344" s="71"/>
      <c r="C344" s="56" t="s">
        <v>604</v>
      </c>
      <c r="D344" s="56"/>
      <c r="E344" t="s">
        <v>235</v>
      </c>
    </row>
    <row r="345" spans="1:5">
      <c r="A345" s="81"/>
      <c r="B345" s="71"/>
      <c r="C345" s="56" t="s">
        <v>605</v>
      </c>
      <c r="D345" s="56"/>
      <c r="E345" t="s">
        <v>235</v>
      </c>
    </row>
    <row r="346" spans="1:5">
      <c r="A346" s="81"/>
      <c r="B346" s="71"/>
      <c r="C346" s="56" t="s">
        <v>606</v>
      </c>
      <c r="D346" s="56"/>
      <c r="E346" t="s">
        <v>235</v>
      </c>
    </row>
    <row r="347" spans="1:5">
      <c r="A347" s="81"/>
      <c r="B347" s="71"/>
      <c r="C347" s="56" t="s">
        <v>607</v>
      </c>
      <c r="D347" s="56"/>
      <c r="E347" t="s">
        <v>235</v>
      </c>
    </row>
    <row r="348" spans="1:5">
      <c r="A348" s="81"/>
      <c r="B348" s="71"/>
      <c r="C348" s="56" t="s">
        <v>608</v>
      </c>
      <c r="D348" s="56"/>
      <c r="E348" t="s">
        <v>235</v>
      </c>
    </row>
    <row r="349" spans="1:5">
      <c r="A349" s="81"/>
      <c r="B349" s="71"/>
      <c r="C349" s="56" t="s">
        <v>609</v>
      </c>
      <c r="D349" s="56"/>
      <c r="E349" t="s">
        <v>235</v>
      </c>
    </row>
    <row r="350" spans="1:5">
      <c r="A350" s="81"/>
      <c r="B350" s="71"/>
      <c r="C350" s="56" t="s">
        <v>610</v>
      </c>
      <c r="D350" s="56"/>
      <c r="E350" t="s">
        <v>235</v>
      </c>
    </row>
    <row r="351" spans="1:5">
      <c r="A351" s="81"/>
      <c r="B351" s="71"/>
      <c r="C351" s="56" t="s">
        <v>611</v>
      </c>
      <c r="D351" s="56"/>
      <c r="E351" t="s">
        <v>235</v>
      </c>
    </row>
    <row r="352" spans="1:5">
      <c r="A352" s="81"/>
      <c r="B352" s="71"/>
      <c r="C352" s="56" t="s">
        <v>612</v>
      </c>
      <c r="D352" s="56"/>
      <c r="E352" t="s">
        <v>235</v>
      </c>
    </row>
    <row r="353" spans="1:5">
      <c r="A353" s="81"/>
      <c r="B353" s="71"/>
      <c r="C353" s="56" t="s">
        <v>613</v>
      </c>
      <c r="D353" s="56"/>
      <c r="E353" t="s">
        <v>235</v>
      </c>
    </row>
    <row r="354" spans="1:5">
      <c r="A354" s="81"/>
      <c r="B354" s="71"/>
      <c r="C354" s="56" t="s">
        <v>614</v>
      </c>
      <c r="D354" s="56"/>
      <c r="E354" t="s">
        <v>235</v>
      </c>
    </row>
    <row r="355" spans="1:5">
      <c r="A355" s="81"/>
      <c r="B355" s="71"/>
      <c r="C355" s="56" t="s">
        <v>615</v>
      </c>
      <c r="D355" s="56"/>
      <c r="E355" t="s">
        <v>235</v>
      </c>
    </row>
    <row r="356" spans="1:5">
      <c r="A356" s="81"/>
      <c r="B356" s="71"/>
      <c r="C356" s="56" t="s">
        <v>616</v>
      </c>
      <c r="D356" s="56"/>
      <c r="E356" t="s">
        <v>235</v>
      </c>
    </row>
    <row r="357" spans="1:5">
      <c r="A357" s="81"/>
      <c r="B357" s="71"/>
      <c r="C357" s="56" t="s">
        <v>617</v>
      </c>
      <c r="D357" s="56"/>
      <c r="E357" t="s">
        <v>235</v>
      </c>
    </row>
    <row r="358" spans="1:5">
      <c r="A358" s="81"/>
      <c r="B358" s="71"/>
      <c r="C358" s="56" t="s">
        <v>618</v>
      </c>
      <c r="D358" s="56"/>
      <c r="E358" t="s">
        <v>235</v>
      </c>
    </row>
    <row r="359" spans="1:5">
      <c r="A359" s="81"/>
      <c r="B359" s="71"/>
      <c r="C359" s="56" t="s">
        <v>619</v>
      </c>
      <c r="D359" s="56"/>
      <c r="E359" t="s">
        <v>235</v>
      </c>
    </row>
    <row r="360" spans="1:5">
      <c r="A360" s="81"/>
      <c r="B360" s="71"/>
      <c r="C360" s="56" t="s">
        <v>620</v>
      </c>
      <c r="D360" s="56"/>
      <c r="E360" t="s">
        <v>235</v>
      </c>
    </row>
    <row r="361" spans="1:5">
      <c r="A361" s="81"/>
      <c r="B361" s="71"/>
      <c r="C361" s="56" t="s">
        <v>621</v>
      </c>
      <c r="D361" s="56"/>
      <c r="E361" t="s">
        <v>235</v>
      </c>
    </row>
    <row r="362" spans="1:5">
      <c r="A362" s="81"/>
      <c r="B362" s="71"/>
      <c r="C362" s="56" t="s">
        <v>622</v>
      </c>
      <c r="D362" s="56"/>
      <c r="E362" t="s">
        <v>235</v>
      </c>
    </row>
    <row r="363" spans="1:5">
      <c r="A363" s="81"/>
      <c r="B363" s="71"/>
      <c r="C363" s="56" t="s">
        <v>623</v>
      </c>
      <c r="D363" s="56"/>
      <c r="E363" t="s">
        <v>235</v>
      </c>
    </row>
    <row r="364" spans="1:5">
      <c r="A364" s="81"/>
      <c r="B364" s="71"/>
      <c r="C364" s="56" t="s">
        <v>624</v>
      </c>
      <c r="D364" s="56"/>
      <c r="E364" t="s">
        <v>235</v>
      </c>
    </row>
    <row r="365" spans="1:5">
      <c r="A365" s="81"/>
      <c r="B365" s="71"/>
      <c r="C365" s="56" t="s">
        <v>625</v>
      </c>
      <c r="D365" s="56"/>
      <c r="E365" t="s">
        <v>235</v>
      </c>
    </row>
    <row r="366" spans="1:5">
      <c r="A366" s="81"/>
      <c r="B366" s="71"/>
      <c r="C366" s="56" t="s">
        <v>626</v>
      </c>
      <c r="D366" s="56"/>
      <c r="E366" t="s">
        <v>235</v>
      </c>
    </row>
    <row r="367" spans="1:5">
      <c r="A367" s="81"/>
      <c r="B367" s="71"/>
      <c r="C367" s="56" t="s">
        <v>627</v>
      </c>
      <c r="D367" s="56"/>
      <c r="E367" t="s">
        <v>235</v>
      </c>
    </row>
    <row r="368" spans="1:5">
      <c r="A368" s="81"/>
      <c r="B368" s="71"/>
      <c r="C368" s="56" t="s">
        <v>628</v>
      </c>
      <c r="D368" s="56"/>
      <c r="E368" t="s">
        <v>235</v>
      </c>
    </row>
    <row r="369" spans="1:5">
      <c r="A369" s="81"/>
      <c r="B369" s="71"/>
      <c r="C369" s="56" t="s">
        <v>629</v>
      </c>
      <c r="D369" s="56"/>
      <c r="E369" t="s">
        <v>235</v>
      </c>
    </row>
    <row r="370" spans="1:5">
      <c r="A370" s="81"/>
      <c r="B370" s="71"/>
      <c r="C370" s="56" t="s">
        <v>630</v>
      </c>
      <c r="D370" s="56"/>
      <c r="E370" t="s">
        <v>235</v>
      </c>
    </row>
    <row r="371" spans="1:5">
      <c r="A371" s="81"/>
      <c r="B371" s="71"/>
      <c r="C371" s="56" t="s">
        <v>631</v>
      </c>
      <c r="D371" s="56"/>
      <c r="E371" t="s">
        <v>235</v>
      </c>
    </row>
    <row r="372" spans="1:5">
      <c r="A372" s="81"/>
      <c r="B372" s="71"/>
      <c r="C372" s="56" t="s">
        <v>632</v>
      </c>
      <c r="D372" s="56"/>
      <c r="E372" t="s">
        <v>235</v>
      </c>
    </row>
    <row r="373" spans="1:5">
      <c r="A373" s="81"/>
      <c r="B373" s="71"/>
      <c r="C373" s="56" t="s">
        <v>633</v>
      </c>
      <c r="D373" s="56"/>
      <c r="E373" t="s">
        <v>235</v>
      </c>
    </row>
    <row r="374" spans="1:5">
      <c r="A374" s="81"/>
      <c r="B374" s="71"/>
      <c r="C374" s="56" t="s">
        <v>634</v>
      </c>
      <c r="D374" s="56"/>
      <c r="E374" t="s">
        <v>235</v>
      </c>
    </row>
    <row r="375" spans="1:5">
      <c r="A375" s="81"/>
      <c r="B375" s="71"/>
      <c r="C375" s="56" t="s">
        <v>635</v>
      </c>
      <c r="D375" s="56"/>
      <c r="E375" t="s">
        <v>235</v>
      </c>
    </row>
    <row r="376" spans="1:5">
      <c r="A376" s="81"/>
      <c r="B376" s="71"/>
      <c r="C376" s="56" t="s">
        <v>636</v>
      </c>
      <c r="D376" s="56"/>
      <c r="E376" t="s">
        <v>235</v>
      </c>
    </row>
    <row r="377" spans="1:5">
      <c r="A377" s="81"/>
      <c r="B377" s="71"/>
      <c r="C377" s="56" t="s">
        <v>637</v>
      </c>
      <c r="D377" s="56"/>
      <c r="E377" t="s">
        <v>235</v>
      </c>
    </row>
    <row r="378" spans="1:5">
      <c r="A378" s="81"/>
      <c r="B378" s="71"/>
      <c r="C378" s="56" t="s">
        <v>638</v>
      </c>
      <c r="D378" s="56"/>
      <c r="E378" t="s">
        <v>235</v>
      </c>
    </row>
    <row r="379" spans="1:5">
      <c r="A379" s="81"/>
      <c r="B379" s="71"/>
      <c r="C379" s="56" t="s">
        <v>639</v>
      </c>
      <c r="D379" s="56"/>
      <c r="E379" t="s">
        <v>235</v>
      </c>
    </row>
    <row r="380" spans="1:5">
      <c r="A380" s="81"/>
      <c r="B380" s="71"/>
      <c r="C380" s="56" t="s">
        <v>640</v>
      </c>
      <c r="D380" s="56"/>
      <c r="E380" t="s">
        <v>235</v>
      </c>
    </row>
    <row r="381" spans="1:5">
      <c r="A381" s="81"/>
      <c r="B381" s="71"/>
      <c r="C381" s="56" t="s">
        <v>641</v>
      </c>
      <c r="D381" s="56"/>
      <c r="E381" t="s">
        <v>235</v>
      </c>
    </row>
    <row r="382" spans="1:5">
      <c r="A382" s="81"/>
      <c r="B382" s="71"/>
      <c r="C382" s="56" t="s">
        <v>642</v>
      </c>
      <c r="D382" s="56"/>
      <c r="E382" t="s">
        <v>235</v>
      </c>
    </row>
    <row r="383" spans="1:5">
      <c r="A383" s="81"/>
      <c r="B383" s="71"/>
      <c r="C383" s="56" t="s">
        <v>643</v>
      </c>
      <c r="D383" s="56"/>
      <c r="E383" t="s">
        <v>235</v>
      </c>
    </row>
    <row r="384" spans="1:5">
      <c r="A384" s="81"/>
      <c r="B384" s="71"/>
      <c r="C384" s="56" t="s">
        <v>644</v>
      </c>
      <c r="D384" s="56"/>
      <c r="E384" t="s">
        <v>235</v>
      </c>
    </row>
    <row r="385" spans="1:5">
      <c r="A385" s="81"/>
      <c r="B385" s="71"/>
      <c r="C385" s="56" t="s">
        <v>645</v>
      </c>
      <c r="D385" s="56"/>
      <c r="E385" t="s">
        <v>235</v>
      </c>
    </row>
    <row r="386" spans="1:5">
      <c r="A386" s="81"/>
      <c r="B386" s="71"/>
      <c r="C386" s="56" t="s">
        <v>646</v>
      </c>
      <c r="D386" s="56"/>
      <c r="E386" t="s">
        <v>235</v>
      </c>
    </row>
    <row r="387" spans="1:5">
      <c r="A387" s="81"/>
      <c r="B387" s="71"/>
      <c r="C387" s="56" t="s">
        <v>647</v>
      </c>
      <c r="D387" s="56"/>
      <c r="E387" t="s">
        <v>235</v>
      </c>
    </row>
    <row r="388" spans="1:5">
      <c r="A388" s="81"/>
      <c r="B388" s="71"/>
      <c r="C388" s="56" t="s">
        <v>648</v>
      </c>
      <c r="D388" s="56"/>
      <c r="E388" t="s">
        <v>235</v>
      </c>
    </row>
    <row r="389" spans="1:5">
      <c r="A389" s="81"/>
      <c r="B389" s="71"/>
      <c r="C389" s="56" t="s">
        <v>649</v>
      </c>
      <c r="D389" s="56"/>
      <c r="E389" t="s">
        <v>235</v>
      </c>
    </row>
    <row r="390" spans="1:5">
      <c r="A390" s="81"/>
      <c r="B390" s="71"/>
      <c r="C390" s="56" t="s">
        <v>650</v>
      </c>
      <c r="D390" s="56"/>
      <c r="E390" t="s">
        <v>235</v>
      </c>
    </row>
    <row r="391" spans="1:5">
      <c r="A391" s="81"/>
      <c r="B391" s="71"/>
      <c r="C391" s="56" t="s">
        <v>651</v>
      </c>
      <c r="D391" s="56"/>
      <c r="E391" t="s">
        <v>235</v>
      </c>
    </row>
    <row r="392" spans="1:5">
      <c r="A392" s="81"/>
      <c r="B392" s="71"/>
      <c r="C392" s="56" t="s">
        <v>652</v>
      </c>
      <c r="D392" s="56"/>
      <c r="E392" t="s">
        <v>235</v>
      </c>
    </row>
    <row r="393" spans="1:5">
      <c r="A393" s="81"/>
      <c r="B393" s="71"/>
      <c r="C393" s="56" t="s">
        <v>653</v>
      </c>
      <c r="D393" s="56"/>
      <c r="E393" t="s">
        <v>235</v>
      </c>
    </row>
    <row r="394" spans="1:5">
      <c r="A394" s="81"/>
      <c r="B394" s="71"/>
      <c r="C394" s="56" t="s">
        <v>654</v>
      </c>
      <c r="D394" s="56"/>
      <c r="E394" t="s">
        <v>235</v>
      </c>
    </row>
    <row r="395" spans="1:5">
      <c r="A395" s="81"/>
      <c r="B395" s="71"/>
      <c r="C395" s="56" t="s">
        <v>655</v>
      </c>
      <c r="D395" s="56"/>
      <c r="E395" t="s">
        <v>235</v>
      </c>
    </row>
    <row r="396" spans="1:5">
      <c r="A396" s="81"/>
      <c r="B396" s="71"/>
      <c r="C396" s="56" t="s">
        <v>656</v>
      </c>
      <c r="D396" s="56"/>
      <c r="E396" t="s">
        <v>235</v>
      </c>
    </row>
    <row r="397" spans="1:5">
      <c r="A397" s="81"/>
      <c r="B397" s="71"/>
      <c r="C397" s="56" t="s">
        <v>657</v>
      </c>
      <c r="D397" s="56"/>
      <c r="E397" t="s">
        <v>235</v>
      </c>
    </row>
    <row r="398" spans="1:5">
      <c r="A398" s="81"/>
      <c r="B398" s="71"/>
      <c r="C398" s="56" t="s">
        <v>658</v>
      </c>
      <c r="D398" s="56"/>
      <c r="E398" t="s">
        <v>235</v>
      </c>
    </row>
    <row r="399" spans="1:5">
      <c r="A399" s="81"/>
      <c r="B399" s="71"/>
      <c r="C399" s="56" t="s">
        <v>659</v>
      </c>
      <c r="D399" s="56"/>
      <c r="E399" t="s">
        <v>235</v>
      </c>
    </row>
    <row r="400" spans="1:5">
      <c r="A400" s="81"/>
      <c r="B400" s="71"/>
      <c r="C400" s="56" t="s">
        <v>660</v>
      </c>
      <c r="D400" s="56"/>
      <c r="E400" t="s">
        <v>235</v>
      </c>
    </row>
    <row r="401" spans="1:5">
      <c r="A401" s="81"/>
      <c r="B401" s="71"/>
      <c r="C401" s="56" t="s">
        <v>661</v>
      </c>
      <c r="D401" s="56"/>
      <c r="E401" t="s">
        <v>235</v>
      </c>
    </row>
    <row r="402" spans="1:5">
      <c r="A402" s="81"/>
      <c r="B402" s="71"/>
      <c r="C402" s="56" t="s">
        <v>662</v>
      </c>
      <c r="D402" s="56"/>
      <c r="E402" t="s">
        <v>235</v>
      </c>
    </row>
    <row r="403" spans="1:5">
      <c r="A403" s="81"/>
      <c r="B403" s="71"/>
      <c r="C403" s="56" t="s">
        <v>663</v>
      </c>
      <c r="D403" s="56"/>
      <c r="E403" t="s">
        <v>235</v>
      </c>
    </row>
    <row r="404" spans="1:5">
      <c r="A404" s="81"/>
      <c r="B404" s="71"/>
      <c r="C404" s="56" t="s">
        <v>664</v>
      </c>
      <c r="D404" s="56"/>
      <c r="E404" t="s">
        <v>235</v>
      </c>
    </row>
    <row r="405" spans="1:5">
      <c r="A405" s="81"/>
      <c r="B405" s="71"/>
      <c r="C405" s="56" t="s">
        <v>665</v>
      </c>
      <c r="D405" s="56"/>
      <c r="E405" t="s">
        <v>235</v>
      </c>
    </row>
    <row r="406" spans="1:5">
      <c r="A406" s="81"/>
      <c r="B406" s="71"/>
      <c r="C406" s="56" t="s">
        <v>666</v>
      </c>
      <c r="D406" s="56"/>
      <c r="E406" t="s">
        <v>235</v>
      </c>
    </row>
    <row r="407" spans="1:5">
      <c r="A407" s="81"/>
      <c r="B407" s="71"/>
      <c r="C407" s="56" t="s">
        <v>667</v>
      </c>
      <c r="D407" s="56"/>
      <c r="E407" t="s">
        <v>235</v>
      </c>
    </row>
    <row r="408" spans="1:5">
      <c r="A408" s="81"/>
      <c r="B408" s="71"/>
      <c r="C408" s="56" t="s">
        <v>668</v>
      </c>
      <c r="D408" s="56"/>
      <c r="E408" t="s">
        <v>235</v>
      </c>
    </row>
    <row r="409" spans="1:5">
      <c r="A409" s="81"/>
      <c r="B409" s="71"/>
      <c r="C409" s="56" t="s">
        <v>669</v>
      </c>
      <c r="D409" s="56"/>
      <c r="E409" t="s">
        <v>235</v>
      </c>
    </row>
    <row r="410" spans="1:5">
      <c r="A410" s="81"/>
      <c r="B410" s="71"/>
      <c r="C410" s="56" t="s">
        <v>670</v>
      </c>
      <c r="D410" s="56"/>
      <c r="E410" t="s">
        <v>235</v>
      </c>
    </row>
    <row r="411" spans="1:5">
      <c r="A411" s="81"/>
      <c r="B411" s="71"/>
      <c r="C411" s="56" t="s">
        <v>671</v>
      </c>
      <c r="D411" s="56"/>
      <c r="E411" t="s">
        <v>235</v>
      </c>
    </row>
    <row r="412" spans="1:5">
      <c r="A412" s="81"/>
      <c r="B412" s="71"/>
      <c r="C412" s="56" t="s">
        <v>672</v>
      </c>
      <c r="D412" s="56"/>
      <c r="E412" t="s">
        <v>235</v>
      </c>
    </row>
    <row r="413" spans="1:5">
      <c r="A413" s="81"/>
      <c r="B413" s="71"/>
      <c r="C413" s="56" t="s">
        <v>673</v>
      </c>
      <c r="D413" s="56"/>
      <c r="E413" t="s">
        <v>235</v>
      </c>
    </row>
    <row r="414" spans="1:5">
      <c r="A414" s="81"/>
      <c r="B414" s="71"/>
      <c r="C414" s="56" t="s">
        <v>674</v>
      </c>
      <c r="D414" s="56"/>
      <c r="E414" t="s">
        <v>235</v>
      </c>
    </row>
    <row r="415" spans="1:5">
      <c r="A415" s="81"/>
      <c r="B415" s="71"/>
      <c r="C415" s="56" t="s">
        <v>675</v>
      </c>
      <c r="D415" s="56"/>
      <c r="E415" t="s">
        <v>235</v>
      </c>
    </row>
    <row r="416" spans="1:5">
      <c r="A416" s="81"/>
      <c r="B416" s="71"/>
      <c r="C416" s="56" t="s">
        <v>676</v>
      </c>
      <c r="D416" s="56"/>
      <c r="E416" t="s">
        <v>235</v>
      </c>
    </row>
    <row r="417" spans="1:5">
      <c r="A417" s="81"/>
      <c r="B417" s="71"/>
      <c r="C417" s="56" t="s">
        <v>677</v>
      </c>
      <c r="D417" s="56"/>
      <c r="E417" t="s">
        <v>235</v>
      </c>
    </row>
    <row r="418" spans="1:5">
      <c r="A418" s="81"/>
      <c r="B418" s="71"/>
      <c r="C418" s="56" t="s">
        <v>678</v>
      </c>
      <c r="D418" s="56"/>
      <c r="E418" t="s">
        <v>235</v>
      </c>
    </row>
    <row r="419" spans="1:5">
      <c r="A419" s="81"/>
      <c r="B419" s="71"/>
      <c r="C419" s="56" t="s">
        <v>679</v>
      </c>
      <c r="D419" s="56"/>
      <c r="E419" t="s">
        <v>235</v>
      </c>
    </row>
    <row r="420" spans="1:5">
      <c r="A420" s="81"/>
      <c r="B420" s="71"/>
      <c r="C420" s="56" t="s">
        <v>680</v>
      </c>
      <c r="D420" s="56"/>
      <c r="E420" t="s">
        <v>235</v>
      </c>
    </row>
    <row r="421" spans="1:5">
      <c r="A421" s="81"/>
      <c r="B421" s="71"/>
      <c r="C421" s="56" t="s">
        <v>681</v>
      </c>
      <c r="D421" s="56"/>
      <c r="E421" t="s">
        <v>235</v>
      </c>
    </row>
    <row r="422" spans="1:5">
      <c r="A422" s="81"/>
      <c r="B422" s="71"/>
      <c r="C422" s="56" t="s">
        <v>682</v>
      </c>
      <c r="D422" s="56"/>
      <c r="E422" t="s">
        <v>235</v>
      </c>
    </row>
    <row r="423" spans="1:5">
      <c r="A423" s="81"/>
      <c r="B423" s="71"/>
      <c r="C423" s="56" t="s">
        <v>683</v>
      </c>
      <c r="D423" s="56"/>
      <c r="E423" t="s">
        <v>235</v>
      </c>
    </row>
    <row r="424" spans="1:5">
      <c r="A424" s="81"/>
      <c r="B424" s="71"/>
      <c r="C424" s="56" t="s">
        <v>684</v>
      </c>
      <c r="D424" s="56"/>
      <c r="E424" t="s">
        <v>235</v>
      </c>
    </row>
    <row r="425" spans="1:5">
      <c r="A425" s="81"/>
      <c r="B425" s="71"/>
      <c r="C425" s="56" t="s">
        <v>685</v>
      </c>
      <c r="D425" s="56"/>
      <c r="E425" t="s">
        <v>235</v>
      </c>
    </row>
    <row r="426" spans="1:5">
      <c r="A426" s="81"/>
      <c r="B426" s="71"/>
      <c r="C426" s="56" t="s">
        <v>686</v>
      </c>
      <c r="D426" s="56"/>
      <c r="E426" t="s">
        <v>235</v>
      </c>
    </row>
    <row r="427" spans="1:5">
      <c r="A427" s="81"/>
      <c r="B427" s="71"/>
      <c r="C427" s="56" t="s">
        <v>687</v>
      </c>
      <c r="D427" s="56"/>
      <c r="E427" t="s">
        <v>235</v>
      </c>
    </row>
    <row r="428" spans="1:5">
      <c r="A428" s="81"/>
      <c r="B428" s="71"/>
      <c r="C428" s="56" t="s">
        <v>688</v>
      </c>
      <c r="D428" s="56"/>
      <c r="E428" t="s">
        <v>235</v>
      </c>
    </row>
    <row r="429" spans="1:5">
      <c r="A429" s="81"/>
      <c r="B429" s="71"/>
      <c r="C429" s="56" t="s">
        <v>689</v>
      </c>
      <c r="D429" s="56"/>
      <c r="E429" t="s">
        <v>235</v>
      </c>
    </row>
    <row r="430" spans="1:5">
      <c r="A430" s="81"/>
      <c r="B430" s="71"/>
      <c r="C430" s="56" t="s">
        <v>690</v>
      </c>
      <c r="D430" s="56"/>
      <c r="E430" t="s">
        <v>235</v>
      </c>
    </row>
    <row r="431" spans="1:5">
      <c r="A431" s="81"/>
      <c r="B431" s="71"/>
      <c r="C431" s="56" t="s">
        <v>691</v>
      </c>
      <c r="D431" s="56"/>
      <c r="E431" t="s">
        <v>235</v>
      </c>
    </row>
    <row r="432" spans="1:5">
      <c r="A432" s="81"/>
      <c r="B432" s="71"/>
      <c r="C432" s="56" t="s">
        <v>692</v>
      </c>
      <c r="D432" s="56"/>
      <c r="E432" t="s">
        <v>235</v>
      </c>
    </row>
    <row r="433" spans="1:5">
      <c r="A433" s="81"/>
      <c r="B433" s="71"/>
      <c r="C433" s="56" t="s">
        <v>693</v>
      </c>
      <c r="D433" s="56"/>
      <c r="E433" t="s">
        <v>235</v>
      </c>
    </row>
    <row r="434" spans="1:5">
      <c r="A434" s="81"/>
      <c r="B434" s="71"/>
      <c r="C434" s="56" t="s">
        <v>694</v>
      </c>
      <c r="D434" s="56"/>
      <c r="E434" t="s">
        <v>235</v>
      </c>
    </row>
    <row r="435" spans="1:5">
      <c r="A435" s="81"/>
      <c r="B435" s="71"/>
      <c r="C435" s="56" t="s">
        <v>695</v>
      </c>
      <c r="D435" s="56"/>
      <c r="E435" t="s">
        <v>235</v>
      </c>
    </row>
    <row r="436" spans="1:5">
      <c r="A436" s="81"/>
      <c r="B436" s="71"/>
      <c r="C436" s="56" t="s">
        <v>696</v>
      </c>
      <c r="D436" s="56"/>
      <c r="E436" t="s">
        <v>235</v>
      </c>
    </row>
    <row r="437" spans="1:5">
      <c r="A437" s="81"/>
      <c r="B437" s="71"/>
      <c r="C437" s="56" t="s">
        <v>697</v>
      </c>
      <c r="D437" s="56"/>
      <c r="E437" t="s">
        <v>235</v>
      </c>
    </row>
    <row r="438" spans="1:5">
      <c r="A438" s="81"/>
      <c r="B438" s="71"/>
      <c r="C438" s="56" t="s">
        <v>698</v>
      </c>
      <c r="D438" s="56"/>
      <c r="E438" t="s">
        <v>235</v>
      </c>
    </row>
    <row r="439" spans="1:5">
      <c r="A439" s="81"/>
      <c r="B439" s="71"/>
      <c r="C439" s="56" t="s">
        <v>699</v>
      </c>
      <c r="D439" s="56"/>
      <c r="E439" t="s">
        <v>235</v>
      </c>
    </row>
    <row r="440" spans="1:5">
      <c r="A440" s="81"/>
      <c r="B440" s="71"/>
      <c r="C440" s="56" t="s">
        <v>700</v>
      </c>
      <c r="D440" s="56"/>
      <c r="E440" t="s">
        <v>235</v>
      </c>
    </row>
    <row r="441" spans="1:5">
      <c r="A441" s="81"/>
      <c r="B441" s="71"/>
      <c r="C441" s="56" t="s">
        <v>701</v>
      </c>
      <c r="D441" s="56"/>
      <c r="E441" t="s">
        <v>235</v>
      </c>
    </row>
    <row r="442" spans="1:5">
      <c r="A442" s="81"/>
      <c r="B442" s="71"/>
      <c r="C442" s="56" t="s">
        <v>702</v>
      </c>
      <c r="D442" s="56"/>
      <c r="E442" t="s">
        <v>235</v>
      </c>
    </row>
    <row r="443" spans="1:5">
      <c r="A443" s="81"/>
      <c r="B443" s="71"/>
      <c r="C443" s="56" t="s">
        <v>703</v>
      </c>
      <c r="D443" s="56"/>
      <c r="E443" t="s">
        <v>235</v>
      </c>
    </row>
    <row r="444" spans="1:5">
      <c r="A444" s="81"/>
      <c r="B444" s="71"/>
      <c r="C444" s="56" t="s">
        <v>704</v>
      </c>
      <c r="D444" s="56"/>
      <c r="E444" t="s">
        <v>235</v>
      </c>
    </row>
    <row r="445" spans="1:5">
      <c r="A445" s="81"/>
      <c r="B445" s="71"/>
      <c r="C445" s="56" t="s">
        <v>705</v>
      </c>
      <c r="D445" s="56"/>
      <c r="E445" t="s">
        <v>235</v>
      </c>
    </row>
    <row r="446" spans="1:5">
      <c r="A446" s="81"/>
      <c r="B446" s="71"/>
      <c r="C446" s="56" t="s">
        <v>706</v>
      </c>
      <c r="D446" s="56"/>
      <c r="E446" t="s">
        <v>235</v>
      </c>
    </row>
    <row r="447" spans="1:5">
      <c r="A447" s="81"/>
      <c r="B447" s="71"/>
      <c r="C447" s="56" t="s">
        <v>707</v>
      </c>
      <c r="D447" s="56"/>
      <c r="E447" t="s">
        <v>235</v>
      </c>
    </row>
    <row r="448" spans="1:5">
      <c r="A448" s="81"/>
      <c r="B448" s="71"/>
      <c r="C448" s="56" t="s">
        <v>708</v>
      </c>
      <c r="D448" s="56"/>
      <c r="E448" t="s">
        <v>235</v>
      </c>
    </row>
    <row r="449" spans="1:5">
      <c r="A449" s="81"/>
      <c r="B449" s="71"/>
      <c r="C449" s="56" t="s">
        <v>709</v>
      </c>
      <c r="D449" s="56"/>
      <c r="E449" t="s">
        <v>235</v>
      </c>
    </row>
    <row r="450" spans="1:5">
      <c r="A450" s="81"/>
      <c r="B450" s="71"/>
      <c r="C450" s="56" t="s">
        <v>710</v>
      </c>
      <c r="D450" s="56"/>
      <c r="E450" t="s">
        <v>235</v>
      </c>
    </row>
    <row r="451" spans="1:5">
      <c r="A451" s="81"/>
      <c r="B451" s="71"/>
      <c r="C451" s="56" t="s">
        <v>711</v>
      </c>
      <c r="D451" s="56"/>
      <c r="E451" t="s">
        <v>235</v>
      </c>
    </row>
    <row r="452" spans="1:5">
      <c r="A452" s="81"/>
      <c r="B452" s="71"/>
      <c r="C452" s="56" t="s">
        <v>712</v>
      </c>
      <c r="D452" s="56"/>
      <c r="E452" t="s">
        <v>235</v>
      </c>
    </row>
    <row r="453" spans="1:5">
      <c r="A453" s="81"/>
      <c r="B453" s="71"/>
      <c r="C453" s="56" t="s">
        <v>713</v>
      </c>
      <c r="D453" s="56"/>
      <c r="E453" t="s">
        <v>235</v>
      </c>
    </row>
    <row r="454" spans="1:5">
      <c r="A454" s="81"/>
      <c r="B454" s="71"/>
      <c r="C454" s="56" t="s">
        <v>714</v>
      </c>
      <c r="D454" s="56"/>
      <c r="E454" t="s">
        <v>235</v>
      </c>
    </row>
    <row r="455" spans="1:5">
      <c r="A455" s="81"/>
      <c r="B455" s="71"/>
      <c r="C455" s="56" t="s">
        <v>715</v>
      </c>
      <c r="D455" s="56"/>
      <c r="E455" t="s">
        <v>235</v>
      </c>
    </row>
    <row r="456" spans="1:5">
      <c r="A456" s="81"/>
      <c r="B456" s="71"/>
      <c r="C456" s="56" t="s">
        <v>716</v>
      </c>
      <c r="D456" s="56"/>
      <c r="E456" t="s">
        <v>235</v>
      </c>
    </row>
    <row r="457" spans="1:5">
      <c r="A457" s="81"/>
      <c r="B457" s="71"/>
      <c r="C457" s="56" t="s">
        <v>717</v>
      </c>
      <c r="D457" s="56"/>
      <c r="E457" t="s">
        <v>235</v>
      </c>
    </row>
    <row r="458" spans="1:5">
      <c r="A458" s="81"/>
      <c r="B458" s="71"/>
      <c r="C458" s="56" t="s">
        <v>718</v>
      </c>
      <c r="D458" s="56"/>
      <c r="E458" t="s">
        <v>235</v>
      </c>
    </row>
    <row r="459" spans="1:5">
      <c r="A459" s="81"/>
      <c r="B459" s="71"/>
      <c r="C459" s="56" t="s">
        <v>719</v>
      </c>
      <c r="D459" s="56"/>
      <c r="E459" t="s">
        <v>235</v>
      </c>
    </row>
    <row r="460" spans="1:5">
      <c r="A460" s="81"/>
      <c r="B460" s="71"/>
      <c r="C460" s="56" t="s">
        <v>720</v>
      </c>
      <c r="D460" s="56"/>
      <c r="E460" t="s">
        <v>235</v>
      </c>
    </row>
    <row r="461" spans="1:5">
      <c r="A461" s="81"/>
      <c r="B461" s="71"/>
      <c r="C461" s="56" t="s">
        <v>721</v>
      </c>
      <c r="D461" s="56"/>
      <c r="E461" t="s">
        <v>235</v>
      </c>
    </row>
    <row r="462" spans="1:5">
      <c r="A462" s="81"/>
      <c r="B462" s="71"/>
      <c r="C462" s="56" t="s">
        <v>722</v>
      </c>
      <c r="D462" s="56"/>
      <c r="E462" t="s">
        <v>235</v>
      </c>
    </row>
    <row r="463" spans="1:5">
      <c r="A463" s="81"/>
      <c r="B463" s="71"/>
      <c r="C463" s="56" t="s">
        <v>723</v>
      </c>
      <c r="D463" s="56"/>
      <c r="E463" t="s">
        <v>235</v>
      </c>
    </row>
    <row r="464" spans="1:5">
      <c r="A464" s="81"/>
      <c r="B464" s="71"/>
      <c r="C464" s="56" t="s">
        <v>724</v>
      </c>
      <c r="D464" s="56"/>
      <c r="E464" t="s">
        <v>235</v>
      </c>
    </row>
    <row r="465" spans="1:5">
      <c r="A465" s="81"/>
      <c r="B465" s="71"/>
      <c r="C465" s="56" t="s">
        <v>725</v>
      </c>
      <c r="D465" s="56"/>
      <c r="E465" t="s">
        <v>235</v>
      </c>
    </row>
    <row r="466" spans="1:5">
      <c r="A466" s="81"/>
      <c r="B466" s="71"/>
      <c r="C466" s="56" t="s">
        <v>726</v>
      </c>
      <c r="D466" s="56"/>
      <c r="E466" t="s">
        <v>235</v>
      </c>
    </row>
    <row r="467" spans="1:5">
      <c r="A467" s="81"/>
      <c r="B467" s="71"/>
      <c r="C467" s="56" t="s">
        <v>727</v>
      </c>
      <c r="D467" s="56"/>
      <c r="E467" t="s">
        <v>235</v>
      </c>
    </row>
    <row r="468" spans="1:5">
      <c r="A468" s="81"/>
      <c r="B468" s="71"/>
      <c r="C468" s="56" t="s">
        <v>728</v>
      </c>
      <c r="D468" s="56"/>
      <c r="E468" t="s">
        <v>235</v>
      </c>
    </row>
    <row r="469" spans="1:5">
      <c r="A469" s="81"/>
      <c r="B469" s="71"/>
      <c r="C469" s="56" t="s">
        <v>729</v>
      </c>
      <c r="D469" s="56"/>
      <c r="E469" t="s">
        <v>235</v>
      </c>
    </row>
    <row r="470" spans="1:5">
      <c r="A470" s="81"/>
      <c r="B470" s="71"/>
      <c r="C470" s="56" t="s">
        <v>730</v>
      </c>
      <c r="D470" s="56"/>
      <c r="E470" t="s">
        <v>235</v>
      </c>
    </row>
    <row r="471" spans="1:5">
      <c r="A471" s="81"/>
      <c r="B471" s="71"/>
      <c r="C471" s="56" t="s">
        <v>731</v>
      </c>
      <c r="D471" s="56"/>
      <c r="E471" t="s">
        <v>235</v>
      </c>
    </row>
    <row r="472" spans="1:5">
      <c r="A472" s="81"/>
      <c r="B472" s="71"/>
      <c r="C472" s="56" t="s">
        <v>732</v>
      </c>
      <c r="D472" s="56"/>
      <c r="E472" t="s">
        <v>235</v>
      </c>
    </row>
    <row r="473" spans="1:5">
      <c r="A473" s="81"/>
      <c r="B473" s="71"/>
      <c r="C473" s="56" t="s">
        <v>733</v>
      </c>
      <c r="D473" s="56"/>
      <c r="E473" t="s">
        <v>235</v>
      </c>
    </row>
    <row r="474" spans="1:5">
      <c r="A474" s="81"/>
      <c r="B474" s="71"/>
      <c r="C474" s="56" t="s">
        <v>734</v>
      </c>
      <c r="D474" s="56"/>
      <c r="E474" t="s">
        <v>235</v>
      </c>
    </row>
    <row r="475" spans="1:5">
      <c r="A475" s="81"/>
      <c r="B475" s="71"/>
      <c r="C475" s="56" t="s">
        <v>735</v>
      </c>
      <c r="D475" s="56"/>
      <c r="E475" t="s">
        <v>235</v>
      </c>
    </row>
    <row r="476" spans="1:5">
      <c r="A476" s="81"/>
      <c r="B476" s="71"/>
      <c r="C476" s="56" t="s">
        <v>736</v>
      </c>
      <c r="D476" s="56"/>
      <c r="E476" t="s">
        <v>235</v>
      </c>
    </row>
    <row r="477" spans="1:5">
      <c r="A477" s="81"/>
      <c r="B477" s="71"/>
      <c r="C477" s="56" t="s">
        <v>737</v>
      </c>
      <c r="D477" s="56"/>
      <c r="E477" t="s">
        <v>235</v>
      </c>
    </row>
    <row r="478" spans="1:5">
      <c r="A478" s="81"/>
      <c r="B478" s="71"/>
      <c r="C478" s="56" t="s">
        <v>738</v>
      </c>
      <c r="D478" s="56"/>
      <c r="E478" t="s">
        <v>235</v>
      </c>
    </row>
    <row r="479" spans="1:5">
      <c r="A479" s="81"/>
      <c r="B479" s="71"/>
      <c r="C479" s="56" t="s">
        <v>739</v>
      </c>
      <c r="D479" s="56"/>
      <c r="E479" t="s">
        <v>235</v>
      </c>
    </row>
    <row r="480" spans="1:5">
      <c r="A480" s="81"/>
      <c r="B480" s="71"/>
      <c r="C480" s="56" t="s">
        <v>740</v>
      </c>
      <c r="D480" s="56"/>
      <c r="E480" t="s">
        <v>235</v>
      </c>
    </row>
    <row r="481" spans="1:5">
      <c r="A481" s="81"/>
      <c r="B481" s="71"/>
      <c r="C481" s="56" t="s">
        <v>741</v>
      </c>
      <c r="D481" s="56"/>
      <c r="E481" t="s">
        <v>235</v>
      </c>
    </row>
    <row r="482" spans="1:5">
      <c r="A482" s="81"/>
      <c r="B482" s="71"/>
      <c r="C482" s="56" t="s">
        <v>742</v>
      </c>
      <c r="D482" s="56"/>
      <c r="E482" t="s">
        <v>235</v>
      </c>
    </row>
    <row r="483" spans="1:5">
      <c r="A483" s="81"/>
      <c r="B483" s="71"/>
      <c r="C483" s="56" t="s">
        <v>743</v>
      </c>
      <c r="D483" s="56"/>
      <c r="E483" t="s">
        <v>235</v>
      </c>
    </row>
    <row r="484" spans="1:5">
      <c r="A484" s="81"/>
      <c r="B484" s="71"/>
      <c r="C484" s="56" t="s">
        <v>744</v>
      </c>
      <c r="D484" s="56"/>
      <c r="E484" t="s">
        <v>235</v>
      </c>
    </row>
    <row r="485" spans="1:5">
      <c r="A485" s="81"/>
      <c r="B485" s="71"/>
      <c r="C485" s="56" t="s">
        <v>745</v>
      </c>
      <c r="D485" s="56"/>
      <c r="E485" t="s">
        <v>235</v>
      </c>
    </row>
    <row r="486" spans="1:5">
      <c r="A486" s="81"/>
      <c r="B486" s="71"/>
      <c r="C486" s="56" t="s">
        <v>746</v>
      </c>
      <c r="D486" s="56"/>
      <c r="E486" t="s">
        <v>235</v>
      </c>
    </row>
    <row r="487" spans="1:5">
      <c r="A487" s="81"/>
      <c r="B487" s="71"/>
      <c r="C487" s="56" t="s">
        <v>747</v>
      </c>
      <c r="D487" s="56"/>
      <c r="E487" t="s">
        <v>235</v>
      </c>
    </row>
    <row r="488" spans="1:5">
      <c r="A488" s="81"/>
      <c r="B488" s="71"/>
      <c r="C488" s="56" t="s">
        <v>748</v>
      </c>
      <c r="D488" s="56"/>
      <c r="E488" t="s">
        <v>235</v>
      </c>
    </row>
    <row r="489" spans="1:5">
      <c r="A489" s="81"/>
      <c r="B489" s="71"/>
      <c r="C489" s="56" t="s">
        <v>31</v>
      </c>
      <c r="D489" s="56"/>
    </row>
    <row r="490" spans="1:5">
      <c r="A490" s="81"/>
      <c r="B490" s="71"/>
      <c r="C490" s="56" t="s">
        <v>749</v>
      </c>
      <c r="D490" s="56"/>
    </row>
    <row r="491" spans="1:5">
      <c r="A491" s="81"/>
      <c r="B491" s="71"/>
      <c r="C491" s="56" t="s">
        <v>750</v>
      </c>
      <c r="D491" s="56"/>
    </row>
    <row r="492" spans="1:5">
      <c r="A492" s="81"/>
      <c r="B492" s="71"/>
      <c r="C492" s="56" t="s">
        <v>751</v>
      </c>
      <c r="D492" s="56"/>
    </row>
    <row r="493" spans="1:5">
      <c r="A493" s="81"/>
      <c r="B493" s="71"/>
      <c r="C493" s="56" t="s">
        <v>752</v>
      </c>
      <c r="D493" s="56"/>
    </row>
    <row r="494" spans="1:5">
      <c r="A494" s="81"/>
      <c r="B494" s="71"/>
      <c r="C494" s="56" t="s">
        <v>753</v>
      </c>
      <c r="D494" s="56"/>
    </row>
    <row r="495" spans="1:5">
      <c r="A495" s="81"/>
      <c r="B495" s="71"/>
      <c r="C495" s="56" t="s">
        <v>754</v>
      </c>
      <c r="D495" s="56"/>
    </row>
    <row r="496" spans="1:5">
      <c r="A496" s="81"/>
      <c r="B496" s="71"/>
      <c r="C496" s="56" t="s">
        <v>755</v>
      </c>
      <c r="D496" s="56"/>
    </row>
    <row r="497" spans="1:4">
      <c r="A497" s="81"/>
      <c r="B497" s="71"/>
      <c r="C497" s="56" t="s">
        <v>756</v>
      </c>
      <c r="D497" s="56"/>
    </row>
    <row r="498" spans="1:4">
      <c r="A498" s="82"/>
      <c r="B498" s="72"/>
      <c r="C498" s="56" t="s">
        <v>586</v>
      </c>
      <c r="D498" s="56"/>
    </row>
    <row r="499" spans="1:4">
      <c r="A499" s="114"/>
      <c r="B499" s="118" t="s">
        <v>757</v>
      </c>
      <c r="C499" s="54" t="s">
        <v>456</v>
      </c>
      <c r="D499" s="54"/>
    </row>
    <row r="500" spans="1:4">
      <c r="A500" s="63"/>
      <c r="B500" s="118"/>
      <c r="C500" s="54" t="s">
        <v>758</v>
      </c>
      <c r="D500" s="54"/>
    </row>
    <row r="501" spans="1:4">
      <c r="A501" s="63"/>
      <c r="B501" s="118"/>
      <c r="C501" s="54" t="s">
        <v>759</v>
      </c>
      <c r="D501" s="54"/>
    </row>
    <row r="502" spans="1:4">
      <c r="A502" s="63"/>
      <c r="B502" s="118"/>
      <c r="C502" s="54" t="s">
        <v>760</v>
      </c>
      <c r="D502" s="54"/>
    </row>
    <row r="503" spans="1:4">
      <c r="A503" s="63"/>
      <c r="B503" s="118"/>
      <c r="C503" s="54" t="s">
        <v>761</v>
      </c>
      <c r="D503" s="54"/>
    </row>
    <row r="504" spans="1:4">
      <c r="A504" s="63"/>
      <c r="B504" s="118"/>
      <c r="C504" s="54" t="s">
        <v>762</v>
      </c>
      <c r="D504" s="54"/>
    </row>
    <row r="505" spans="1:4">
      <c r="A505" s="63"/>
      <c r="B505" s="118"/>
      <c r="C505" s="54" t="s">
        <v>763</v>
      </c>
      <c r="D505" s="54"/>
    </row>
    <row r="506" spans="1:4">
      <c r="A506" s="63"/>
      <c r="B506" s="118"/>
      <c r="C506" s="54" t="s">
        <v>764</v>
      </c>
      <c r="D506" s="54"/>
    </row>
    <row r="507" spans="1:4">
      <c r="A507" s="63"/>
      <c r="B507" s="118"/>
      <c r="C507" s="54" t="s">
        <v>765</v>
      </c>
      <c r="D507" s="54"/>
    </row>
    <row r="508" spans="1:4">
      <c r="A508" s="63"/>
      <c r="B508" s="118"/>
      <c r="C508" s="54" t="s">
        <v>766</v>
      </c>
      <c r="D508" s="54"/>
    </row>
    <row r="509" spans="1:4">
      <c r="A509" s="63"/>
      <c r="B509" s="118"/>
      <c r="C509" s="54" t="s">
        <v>767</v>
      </c>
      <c r="D509" s="54"/>
    </row>
    <row r="510" spans="1:4">
      <c r="A510" s="63"/>
      <c r="B510" s="118"/>
      <c r="C510" s="54" t="s">
        <v>768</v>
      </c>
      <c r="D510" s="54"/>
    </row>
    <row r="511" spans="1:4">
      <c r="A511" s="63"/>
      <c r="B511" s="118"/>
      <c r="C511" s="54" t="s">
        <v>769</v>
      </c>
      <c r="D511" s="54"/>
    </row>
    <row r="512" spans="1:4">
      <c r="A512" s="63"/>
      <c r="B512" s="118"/>
      <c r="C512" s="54" t="s">
        <v>502</v>
      </c>
      <c r="D512" s="54"/>
    </row>
    <row r="513" spans="1:4">
      <c r="A513" s="63"/>
      <c r="B513" s="118"/>
      <c r="C513" s="54" t="s">
        <v>31</v>
      </c>
      <c r="D513" s="54"/>
    </row>
    <row r="514" spans="1:4">
      <c r="A514" s="81"/>
      <c r="B514" s="67" t="s">
        <v>770</v>
      </c>
      <c r="C514" s="56" t="s">
        <v>358</v>
      </c>
      <c r="D514" s="56"/>
    </row>
    <row r="515" spans="1:4">
      <c r="A515" s="82"/>
      <c r="B515" s="69"/>
      <c r="C515" s="56" t="s">
        <v>159</v>
      </c>
      <c r="D515" s="56"/>
    </row>
    <row r="516" spans="1:4">
      <c r="A516" s="63"/>
      <c r="B516" s="118" t="s">
        <v>771</v>
      </c>
      <c r="C516" s="54" t="s">
        <v>772</v>
      </c>
      <c r="D516" s="54"/>
    </row>
    <row r="517" spans="1:4">
      <c r="A517" s="63"/>
      <c r="B517" s="118"/>
      <c r="C517" s="54" t="s">
        <v>773</v>
      </c>
      <c r="D517" s="54"/>
    </row>
    <row r="518" spans="1:4">
      <c r="A518" s="63"/>
      <c r="B518" s="118"/>
      <c r="C518" s="54" t="s">
        <v>774</v>
      </c>
      <c r="D518" s="54"/>
    </row>
    <row r="519" spans="1:4">
      <c r="A519" s="63"/>
      <c r="B519" s="118"/>
      <c r="C519" s="54" t="s">
        <v>775</v>
      </c>
      <c r="D519" s="54"/>
    </row>
    <row r="520" spans="1:4">
      <c r="A520" s="116"/>
      <c r="B520" s="67" t="s">
        <v>776</v>
      </c>
      <c r="C520" s="56" t="s">
        <v>777</v>
      </c>
      <c r="D520" s="56"/>
    </row>
    <row r="521" spans="1:4">
      <c r="A521" s="79"/>
      <c r="B521" s="68"/>
      <c r="C521" s="56" t="s">
        <v>778</v>
      </c>
      <c r="D521" s="56"/>
    </row>
    <row r="522" spans="1:4">
      <c r="A522" s="79"/>
      <c r="B522" s="68"/>
      <c r="C522" s="56" t="s">
        <v>779</v>
      </c>
      <c r="D522" s="56"/>
    </row>
    <row r="523" spans="1:4">
      <c r="A523" s="79"/>
      <c r="B523" s="68"/>
      <c r="C523" s="56" t="s">
        <v>780</v>
      </c>
      <c r="D523" s="56"/>
    </row>
    <row r="524" spans="1:4">
      <c r="A524" s="79"/>
      <c r="B524" s="68"/>
      <c r="C524" s="56" t="s">
        <v>781</v>
      </c>
      <c r="D524" s="56"/>
    </row>
    <row r="525" spans="1:4">
      <c r="A525" s="79"/>
      <c r="B525" s="68"/>
      <c r="C525" s="56" t="s">
        <v>782</v>
      </c>
      <c r="D525" s="56"/>
    </row>
    <row r="526" spans="1:4">
      <c r="A526" s="79"/>
      <c r="B526" s="68"/>
      <c r="C526" s="56" t="s">
        <v>783</v>
      </c>
      <c r="D526" s="56"/>
    </row>
    <row r="527" spans="1:4">
      <c r="A527" s="79"/>
      <c r="B527" s="68"/>
      <c r="C527" s="56" t="s">
        <v>784</v>
      </c>
      <c r="D527" s="56"/>
    </row>
    <row r="528" spans="1:4">
      <c r="A528" s="79"/>
      <c r="B528" s="68"/>
      <c r="C528" s="56" t="s">
        <v>785</v>
      </c>
      <c r="D528" s="56"/>
    </row>
    <row r="529" spans="1:4">
      <c r="A529" s="79"/>
      <c r="B529" s="68"/>
      <c r="C529" s="56" t="s">
        <v>766</v>
      </c>
      <c r="D529" s="56"/>
    </row>
    <row r="530" spans="1:4">
      <c r="B530" s="68"/>
      <c r="C530" s="56" t="s">
        <v>786</v>
      </c>
      <c r="D530" s="56"/>
    </row>
    <row r="531" spans="1:4" ht="15">
      <c r="A531" s="79"/>
      <c r="B531" s="68"/>
      <c r="C531" s="56" t="s">
        <v>787</v>
      </c>
      <c r="D531" s="56" t="s">
        <v>788</v>
      </c>
    </row>
    <row r="532" spans="1:4" ht="15">
      <c r="A532" s="79"/>
      <c r="B532" s="68"/>
      <c r="C532" s="56" t="s">
        <v>789</v>
      </c>
      <c r="D532" s="56" t="s">
        <v>788</v>
      </c>
    </row>
    <row r="533" spans="1:4" ht="15">
      <c r="A533" s="79"/>
      <c r="B533" s="68"/>
      <c r="C533" s="56" t="s">
        <v>790</v>
      </c>
      <c r="D533" s="56" t="s">
        <v>788</v>
      </c>
    </row>
    <row r="534" spans="1:4">
      <c r="A534" s="79"/>
      <c r="B534" s="68"/>
      <c r="C534" s="56" t="s">
        <v>791</v>
      </c>
      <c r="D534" s="56"/>
    </row>
    <row r="535" spans="1:4">
      <c r="A535" s="79"/>
      <c r="B535" s="68"/>
      <c r="C535" s="56" t="s">
        <v>792</v>
      </c>
      <c r="D535" s="56"/>
    </row>
    <row r="536" spans="1:4">
      <c r="A536" s="79"/>
      <c r="B536" s="68"/>
      <c r="C536" s="56" t="s">
        <v>793</v>
      </c>
      <c r="D536" s="56"/>
    </row>
    <row r="537" spans="1:4">
      <c r="A537" s="79"/>
      <c r="B537" s="68"/>
      <c r="C537" s="56" t="s">
        <v>794</v>
      </c>
      <c r="D537" s="56"/>
    </row>
    <row r="538" spans="1:4">
      <c r="A538" s="79"/>
      <c r="B538" s="68"/>
      <c r="C538" s="56" t="s">
        <v>795</v>
      </c>
      <c r="D538" s="56"/>
    </row>
    <row r="539" spans="1:4">
      <c r="A539" s="79"/>
      <c r="B539" s="68"/>
      <c r="C539" s="56" t="s">
        <v>796</v>
      </c>
      <c r="D539" s="56"/>
    </row>
    <row r="540" spans="1:4">
      <c r="A540" s="79"/>
      <c r="B540" s="68"/>
      <c r="C540" s="56" t="s">
        <v>797</v>
      </c>
      <c r="D540" s="56"/>
    </row>
    <row r="541" spans="1:4">
      <c r="A541" s="79"/>
      <c r="B541" s="68"/>
      <c r="C541" s="56" t="s">
        <v>798</v>
      </c>
      <c r="D541" s="56"/>
    </row>
    <row r="542" spans="1:4">
      <c r="A542" s="79"/>
      <c r="B542" s="68"/>
      <c r="C542" s="56" t="s">
        <v>502</v>
      </c>
      <c r="D542" s="56"/>
    </row>
    <row r="543" spans="1:4">
      <c r="A543" s="79"/>
      <c r="B543" s="68"/>
      <c r="C543" s="56" t="s">
        <v>31</v>
      </c>
      <c r="D543" s="57"/>
    </row>
    <row r="544" spans="1:4">
      <c r="A544" s="85"/>
      <c r="B544" s="58" t="s">
        <v>799</v>
      </c>
      <c r="C544" s="54" t="s">
        <v>358</v>
      </c>
      <c r="D544" s="54"/>
    </row>
    <row r="545" spans="1:4">
      <c r="A545" s="86"/>
      <c r="B545" s="117"/>
      <c r="C545" s="54" t="s">
        <v>159</v>
      </c>
      <c r="D545" s="54"/>
    </row>
    <row r="546" spans="1:4">
      <c r="A546" s="79"/>
      <c r="B546" s="67" t="s">
        <v>800</v>
      </c>
      <c r="C546" s="56" t="s">
        <v>801</v>
      </c>
      <c r="D546" s="56"/>
    </row>
    <row r="547" spans="1:4">
      <c r="A547" s="79"/>
      <c r="B547" s="68"/>
      <c r="C547" s="56" t="s">
        <v>802</v>
      </c>
      <c r="D547" s="56"/>
    </row>
    <row r="548" spans="1:4">
      <c r="A548" s="79"/>
      <c r="B548" s="68"/>
      <c r="C548" s="56" t="s">
        <v>803</v>
      </c>
      <c r="D548" s="56"/>
    </row>
    <row r="549" spans="1:4">
      <c r="A549" s="79"/>
      <c r="B549" s="68"/>
      <c r="C549" s="56" t="s">
        <v>804</v>
      </c>
      <c r="D549" s="56"/>
    </row>
    <row r="550" spans="1:4">
      <c r="A550" s="79"/>
      <c r="B550" s="68"/>
      <c r="C550" s="56" t="s">
        <v>805</v>
      </c>
      <c r="D550" s="56"/>
    </row>
    <row r="551" spans="1:4">
      <c r="A551" s="85"/>
      <c r="B551" s="58" t="s">
        <v>806</v>
      </c>
      <c r="C551" s="54" t="s">
        <v>358</v>
      </c>
      <c r="D551" s="54"/>
    </row>
    <row r="552" spans="1:4">
      <c r="A552" s="86"/>
      <c r="B552" s="117"/>
      <c r="C552" s="54" t="s">
        <v>159</v>
      </c>
      <c r="D552" s="54"/>
    </row>
    <row r="553" spans="1:4">
      <c r="A553" s="64"/>
      <c r="B553" s="67" t="s">
        <v>807</v>
      </c>
      <c r="C553" s="56" t="s">
        <v>808</v>
      </c>
      <c r="D553" s="56"/>
    </row>
    <row r="554" spans="1:4">
      <c r="A554" s="65"/>
      <c r="B554" s="65"/>
      <c r="C554" s="56" t="s">
        <v>809</v>
      </c>
      <c r="D554" s="56"/>
    </row>
    <row r="555" spans="1:4">
      <c r="A555" s="65"/>
      <c r="B555" s="65"/>
      <c r="C555" s="56" t="s">
        <v>810</v>
      </c>
      <c r="D555" s="56"/>
    </row>
    <row r="556" spans="1:4">
      <c r="A556" s="65"/>
      <c r="B556" s="65"/>
      <c r="C556" s="56" t="s">
        <v>811</v>
      </c>
      <c r="D556" s="56"/>
    </row>
    <row r="557" spans="1:4">
      <c r="A557" s="65"/>
      <c r="B557" s="65"/>
      <c r="C557" s="56" t="s">
        <v>812</v>
      </c>
      <c r="D557" s="56"/>
    </row>
    <row r="558" spans="1:4">
      <c r="A558" s="65"/>
      <c r="B558" s="65"/>
      <c r="C558" s="56" t="s">
        <v>813</v>
      </c>
      <c r="D558" s="56"/>
    </row>
    <row r="559" spans="1:4">
      <c r="A559" s="65"/>
      <c r="B559" s="65"/>
      <c r="C559" s="56" t="s">
        <v>814</v>
      </c>
      <c r="D559" s="56"/>
    </row>
    <row r="560" spans="1:4">
      <c r="A560" s="65"/>
      <c r="B560" s="65"/>
      <c r="C560" s="56" t="s">
        <v>815</v>
      </c>
      <c r="D560" s="56"/>
    </row>
    <row r="561" spans="1:4">
      <c r="A561" s="65"/>
      <c r="B561" s="65"/>
      <c r="C561" s="56" t="s">
        <v>816</v>
      </c>
      <c r="D561" s="56"/>
    </row>
    <row r="562" spans="1:4">
      <c r="A562" s="65"/>
      <c r="B562" s="65"/>
      <c r="C562" s="56" t="s">
        <v>817</v>
      </c>
      <c r="D562" s="56"/>
    </row>
    <row r="563" spans="1:4">
      <c r="A563" s="65"/>
      <c r="B563" s="65"/>
      <c r="C563" s="56" t="s">
        <v>818</v>
      </c>
      <c r="D563" s="56"/>
    </row>
    <row r="564" spans="1:4">
      <c r="A564" s="65"/>
      <c r="B564" s="65"/>
      <c r="C564" s="56" t="s">
        <v>819</v>
      </c>
      <c r="D564" s="56"/>
    </row>
    <row r="565" spans="1:4">
      <c r="A565" s="65"/>
      <c r="B565" s="65"/>
      <c r="C565" s="56" t="s">
        <v>820</v>
      </c>
      <c r="D565" s="56"/>
    </row>
    <row r="566" spans="1:4">
      <c r="A566" s="65"/>
      <c r="B566" s="65"/>
      <c r="C566" s="56" t="s">
        <v>821</v>
      </c>
      <c r="D566" s="56"/>
    </row>
    <row r="567" spans="1:4">
      <c r="A567" s="65"/>
      <c r="B567" s="65"/>
      <c r="C567" s="56" t="s">
        <v>822</v>
      </c>
      <c r="D567" s="56"/>
    </row>
    <row r="568" spans="1:4">
      <c r="A568" s="65"/>
      <c r="B568" s="65"/>
      <c r="C568" s="56" t="s">
        <v>823</v>
      </c>
      <c r="D568" s="56"/>
    </row>
    <row r="569" spans="1:4">
      <c r="A569" s="65"/>
      <c r="B569" s="65"/>
      <c r="C569" s="56" t="s">
        <v>824</v>
      </c>
      <c r="D569" s="56"/>
    </row>
    <row r="570" spans="1:4">
      <c r="A570" s="65"/>
      <c r="B570" s="65"/>
      <c r="C570" s="56" t="s">
        <v>825</v>
      </c>
      <c r="D570" s="56"/>
    </row>
    <row r="571" spans="1:4">
      <c r="A571" s="65"/>
      <c r="B571" s="65"/>
      <c r="C571" s="56" t="s">
        <v>826</v>
      </c>
      <c r="D571" s="56"/>
    </row>
    <row r="572" spans="1:4">
      <c r="A572" s="65"/>
      <c r="B572" s="65"/>
      <c r="C572" s="56" t="s">
        <v>827</v>
      </c>
      <c r="D572" s="56"/>
    </row>
    <row r="573" spans="1:4">
      <c r="A573" s="65"/>
      <c r="B573" s="65"/>
      <c r="C573" s="56" t="s">
        <v>828</v>
      </c>
      <c r="D573" s="56"/>
    </row>
    <row r="574" spans="1:4">
      <c r="A574" s="65"/>
      <c r="B574" s="65"/>
      <c r="C574" s="56" t="s">
        <v>829</v>
      </c>
      <c r="D574" s="56"/>
    </row>
    <row r="575" spans="1:4">
      <c r="A575" s="65"/>
      <c r="B575" s="65"/>
      <c r="C575" s="56" t="s">
        <v>830</v>
      </c>
      <c r="D575" s="56"/>
    </row>
    <row r="576" spans="1:4">
      <c r="A576" s="65"/>
      <c r="B576" s="65"/>
      <c r="C576" s="56" t="s">
        <v>831</v>
      </c>
      <c r="D576" s="56"/>
    </row>
    <row r="577" spans="1:5">
      <c r="A577" s="65"/>
      <c r="B577" s="65"/>
      <c r="C577" s="56" t="s">
        <v>832</v>
      </c>
      <c r="D577" s="56"/>
    </row>
    <row r="578" spans="1:5">
      <c r="A578" s="65"/>
      <c r="B578" s="65"/>
      <c r="C578" s="56" t="s">
        <v>833</v>
      </c>
      <c r="D578" s="56"/>
    </row>
    <row r="579" spans="1:5">
      <c r="A579" s="65"/>
      <c r="B579" s="65"/>
      <c r="C579" s="56" t="s">
        <v>834</v>
      </c>
      <c r="D579" s="56"/>
    </row>
    <row r="580" spans="1:5">
      <c r="A580" s="65"/>
      <c r="B580" s="65"/>
      <c r="C580" s="56" t="s">
        <v>835</v>
      </c>
      <c r="D580" s="56"/>
      <c r="E580" t="s">
        <v>235</v>
      </c>
    </row>
    <row r="581" spans="1:5">
      <c r="A581" s="65"/>
      <c r="B581" s="65"/>
      <c r="C581" s="56" t="s">
        <v>836</v>
      </c>
      <c r="D581" s="56"/>
      <c r="E581" t="s">
        <v>235</v>
      </c>
    </row>
    <row r="582" spans="1:5">
      <c r="A582" s="65"/>
      <c r="B582" s="65"/>
      <c r="C582" s="56" t="s">
        <v>837</v>
      </c>
      <c r="D582" s="56"/>
    </row>
    <row r="583" spans="1:5">
      <c r="A583" s="65"/>
      <c r="B583" s="65"/>
      <c r="C583" s="56" t="s">
        <v>838</v>
      </c>
      <c r="D583" s="56"/>
    </row>
    <row r="584" spans="1:5">
      <c r="A584" s="65"/>
      <c r="B584" s="65"/>
      <c r="C584" s="56" t="s">
        <v>839</v>
      </c>
      <c r="D584" s="56"/>
    </row>
    <row r="585" spans="1:5">
      <c r="A585" s="65"/>
      <c r="B585" s="65"/>
      <c r="C585" s="56" t="s">
        <v>840</v>
      </c>
      <c r="D585" s="56"/>
    </row>
    <row r="586" spans="1:5">
      <c r="A586" s="65"/>
      <c r="B586" s="65"/>
      <c r="C586" s="56" t="s">
        <v>841</v>
      </c>
      <c r="D586" s="56"/>
    </row>
    <row r="587" spans="1:5">
      <c r="A587" s="65"/>
      <c r="B587" s="65"/>
      <c r="C587" s="56" t="s">
        <v>842</v>
      </c>
      <c r="D587" s="56"/>
    </row>
    <row r="588" spans="1:5">
      <c r="A588" s="65"/>
      <c r="B588" s="65"/>
      <c r="C588" s="56" t="s">
        <v>843</v>
      </c>
      <c r="D588" s="56"/>
    </row>
    <row r="589" spans="1:5">
      <c r="A589" s="65"/>
      <c r="B589" s="65"/>
      <c r="C589" s="56" t="s">
        <v>844</v>
      </c>
      <c r="D589" s="56"/>
    </row>
    <row r="590" spans="1:5">
      <c r="A590" s="65"/>
      <c r="B590" s="65"/>
      <c r="C590" s="56" t="s">
        <v>845</v>
      </c>
      <c r="D590" s="56"/>
    </row>
    <row r="591" spans="1:5">
      <c r="A591" s="66"/>
      <c r="B591" s="66"/>
      <c r="C591" s="56" t="s">
        <v>846</v>
      </c>
      <c r="D591" s="56"/>
    </row>
    <row r="592" spans="1:5">
      <c r="A592" s="63"/>
      <c r="B592" s="118" t="s">
        <v>147</v>
      </c>
      <c r="C592" s="54" t="s">
        <v>847</v>
      </c>
      <c r="D592" s="54"/>
    </row>
    <row r="593" spans="1:4">
      <c r="A593" s="63"/>
      <c r="B593" s="118"/>
      <c r="C593" s="54" t="s">
        <v>848</v>
      </c>
      <c r="D593" s="54"/>
    </row>
    <row r="594" spans="1:4">
      <c r="A594" s="63"/>
      <c r="B594" s="118"/>
      <c r="C594" s="54" t="s">
        <v>31</v>
      </c>
      <c r="D594" s="54"/>
    </row>
    <row r="595" spans="1:4">
      <c r="A595" s="67"/>
      <c r="B595" s="73" t="s">
        <v>849</v>
      </c>
      <c r="C595" s="56" t="s">
        <v>358</v>
      </c>
      <c r="D595" s="56"/>
    </row>
    <row r="596" spans="1:4">
      <c r="A596" s="119"/>
      <c r="B596" s="121"/>
      <c r="C596" s="120" t="s">
        <v>159</v>
      </c>
      <c r="D596" s="56"/>
    </row>
    <row r="597" spans="1:4">
      <c r="A597" s="114"/>
      <c r="B597" s="114" t="s">
        <v>850</v>
      </c>
      <c r="C597" s="54" t="s">
        <v>851</v>
      </c>
      <c r="D597" s="54"/>
    </row>
    <row r="598" spans="1:4">
      <c r="A598" s="63"/>
      <c r="B598" s="63"/>
      <c r="C598" s="54" t="s">
        <v>852</v>
      </c>
      <c r="D598" s="54"/>
    </row>
    <row r="599" spans="1:4">
      <c r="A599" s="63"/>
      <c r="B599" s="63"/>
      <c r="C599" s="54" t="s">
        <v>853</v>
      </c>
      <c r="D599" s="54"/>
    </row>
    <row r="600" spans="1:4">
      <c r="A600" s="63"/>
      <c r="B600" s="63"/>
      <c r="C600" s="54" t="s">
        <v>854</v>
      </c>
      <c r="D600" s="54"/>
    </row>
    <row r="601" spans="1:4">
      <c r="A601" s="63"/>
      <c r="B601" s="63"/>
      <c r="C601" s="54" t="s">
        <v>855</v>
      </c>
      <c r="D601" s="54"/>
    </row>
    <row r="602" spans="1:4">
      <c r="A602" s="63"/>
      <c r="B602" s="63"/>
      <c r="C602" s="54" t="s">
        <v>856</v>
      </c>
      <c r="D602" s="54"/>
    </row>
    <row r="603" spans="1:4">
      <c r="A603" s="63"/>
      <c r="B603" s="63"/>
      <c r="C603" s="54" t="s">
        <v>857</v>
      </c>
      <c r="D603" s="54"/>
    </row>
    <row r="604" spans="1:4">
      <c r="A604" s="63"/>
      <c r="B604" s="63"/>
      <c r="C604" s="54" t="s">
        <v>858</v>
      </c>
      <c r="D604" s="54"/>
    </row>
    <row r="605" spans="1:4">
      <c r="A605" s="63"/>
      <c r="B605" s="63"/>
      <c r="C605" s="54" t="s">
        <v>859</v>
      </c>
      <c r="D605" s="54"/>
    </row>
    <row r="606" spans="1:4">
      <c r="A606" s="63"/>
      <c r="B606" s="63"/>
      <c r="C606" s="54" t="s">
        <v>860</v>
      </c>
      <c r="D606" s="54"/>
    </row>
    <row r="607" spans="1:4">
      <c r="A607" s="63"/>
      <c r="B607" s="63"/>
      <c r="C607" s="54" t="s">
        <v>861</v>
      </c>
      <c r="D607" s="54"/>
    </row>
    <row r="608" spans="1:4">
      <c r="A608" s="63"/>
      <c r="B608" s="63"/>
      <c r="C608" s="54" t="s">
        <v>862</v>
      </c>
      <c r="D608" s="54"/>
    </row>
    <row r="609" spans="1:5">
      <c r="A609" s="63"/>
      <c r="B609" s="63"/>
      <c r="C609" s="54" t="s">
        <v>863</v>
      </c>
      <c r="D609" s="54"/>
    </row>
    <row r="610" spans="1:5">
      <c r="A610" s="63"/>
      <c r="B610" s="63"/>
      <c r="C610" s="54" t="s">
        <v>864</v>
      </c>
      <c r="D610" s="54"/>
    </row>
    <row r="611" spans="1:5">
      <c r="A611" s="63"/>
      <c r="B611" s="63"/>
      <c r="C611" s="54" t="s">
        <v>865</v>
      </c>
      <c r="D611" s="54"/>
    </row>
    <row r="612" spans="1:5">
      <c r="A612" s="63"/>
      <c r="B612" s="63"/>
      <c r="C612" s="54" t="s">
        <v>866</v>
      </c>
      <c r="D612" s="54"/>
    </row>
    <row r="613" spans="1:5">
      <c r="A613" s="63"/>
      <c r="B613" s="63"/>
      <c r="C613" s="54" t="s">
        <v>867</v>
      </c>
      <c r="D613" s="54"/>
    </row>
    <row r="614" spans="1:5">
      <c r="A614" s="63"/>
      <c r="B614" s="63"/>
      <c r="C614" s="54" t="s">
        <v>868</v>
      </c>
      <c r="D614" s="54"/>
    </row>
    <row r="615" spans="1:5">
      <c r="A615" s="63"/>
      <c r="B615" s="63"/>
      <c r="C615" s="54" t="s">
        <v>869</v>
      </c>
      <c r="D615" s="54"/>
    </row>
    <row r="616" spans="1:5">
      <c r="A616" s="63"/>
      <c r="B616" s="63"/>
      <c r="C616" s="54" t="s">
        <v>870</v>
      </c>
      <c r="D616" s="54"/>
    </row>
    <row r="617" spans="1:5">
      <c r="A617" s="63"/>
      <c r="B617" s="63"/>
      <c r="C617" s="54" t="s">
        <v>871</v>
      </c>
      <c r="D617" s="54"/>
    </row>
    <row r="618" spans="1:5">
      <c r="A618" s="63"/>
      <c r="B618" s="63"/>
      <c r="C618" s="54" t="s">
        <v>872</v>
      </c>
      <c r="D618" s="54"/>
    </row>
    <row r="619" spans="1:5">
      <c r="A619" s="63"/>
      <c r="B619" s="63"/>
      <c r="C619" s="54" t="s">
        <v>873</v>
      </c>
      <c r="D619" s="54"/>
    </row>
    <row r="620" spans="1:5">
      <c r="A620" s="63"/>
      <c r="B620" s="63"/>
      <c r="C620" s="54" t="s">
        <v>586</v>
      </c>
      <c r="D620" s="54"/>
    </row>
    <row r="621" spans="1:5">
      <c r="A621" s="63"/>
      <c r="B621" s="63"/>
      <c r="C621" s="54" t="s">
        <v>874</v>
      </c>
      <c r="D621" s="54"/>
      <c r="E621" t="s">
        <v>235</v>
      </c>
    </row>
    <row r="622" spans="1:5">
      <c r="A622" s="67"/>
      <c r="B622" s="67" t="s">
        <v>178</v>
      </c>
      <c r="C622" s="56" t="s">
        <v>875</v>
      </c>
      <c r="D622" s="56"/>
    </row>
    <row r="623" spans="1:5">
      <c r="A623" s="68"/>
      <c r="B623" s="68"/>
      <c r="C623" s="56" t="s">
        <v>876</v>
      </c>
      <c r="D623" s="56"/>
    </row>
    <row r="624" spans="1:5">
      <c r="A624" s="68"/>
      <c r="B624" s="68"/>
      <c r="C624" s="56" t="s">
        <v>877</v>
      </c>
      <c r="D624" s="56"/>
    </row>
    <row r="625" spans="1:5">
      <c r="A625" s="68"/>
      <c r="B625" s="68"/>
      <c r="C625" s="56" t="s">
        <v>878</v>
      </c>
      <c r="D625" s="56"/>
    </row>
    <row r="626" spans="1:5">
      <c r="A626" s="68"/>
      <c r="B626" s="68"/>
      <c r="C626" s="56" t="s">
        <v>879</v>
      </c>
      <c r="D626" s="56"/>
      <c r="E626" t="s">
        <v>235</v>
      </c>
    </row>
    <row r="627" spans="1:5">
      <c r="A627" s="68"/>
      <c r="B627" s="68"/>
      <c r="C627" s="56" t="s">
        <v>880</v>
      </c>
      <c r="D627" s="56"/>
    </row>
    <row r="628" spans="1:5">
      <c r="A628" s="68"/>
      <c r="B628" s="68"/>
      <c r="C628" s="56" t="s">
        <v>881</v>
      </c>
      <c r="D628" s="56"/>
    </row>
    <row r="629" spans="1:5">
      <c r="A629" s="68"/>
      <c r="B629" s="68"/>
      <c r="C629" s="56" t="s">
        <v>478</v>
      </c>
      <c r="D629" s="56"/>
    </row>
    <row r="630" spans="1:5">
      <c r="A630" s="68"/>
      <c r="B630" s="68"/>
      <c r="C630" s="56" t="s">
        <v>882</v>
      </c>
      <c r="D630" s="56"/>
    </row>
    <row r="631" spans="1:5">
      <c r="A631" s="68"/>
      <c r="B631" s="68"/>
      <c r="C631" s="56" t="s">
        <v>883</v>
      </c>
      <c r="D631" s="56"/>
    </row>
    <row r="632" spans="1:5">
      <c r="A632" s="68"/>
      <c r="B632" s="68"/>
      <c r="C632" s="56" t="s">
        <v>884</v>
      </c>
      <c r="D632" s="56"/>
    </row>
    <row r="633" spans="1:5">
      <c r="A633" s="69"/>
      <c r="B633" s="69"/>
      <c r="C633" s="56" t="s">
        <v>31</v>
      </c>
      <c r="D633" s="56"/>
    </row>
    <row r="634" spans="1:5">
      <c r="A634" s="63"/>
      <c r="B634" s="118" t="s">
        <v>179</v>
      </c>
      <c r="C634" s="54" t="s">
        <v>885</v>
      </c>
      <c r="D634" s="54" t="s">
        <v>886</v>
      </c>
    </row>
    <row r="635" spans="1:5">
      <c r="A635" s="63"/>
      <c r="B635" s="118"/>
      <c r="C635" s="54" t="s">
        <v>887</v>
      </c>
      <c r="D635" s="54" t="s">
        <v>888</v>
      </c>
    </row>
    <row r="636" spans="1:5">
      <c r="A636" s="63"/>
      <c r="B636" s="118"/>
      <c r="C636" s="54" t="s">
        <v>889</v>
      </c>
      <c r="D636" s="54" t="s">
        <v>890</v>
      </c>
    </row>
    <row r="637" spans="1:5">
      <c r="A637" s="63"/>
      <c r="B637" s="118"/>
      <c r="C637" s="54" t="s">
        <v>891</v>
      </c>
      <c r="D637" s="54" t="s">
        <v>892</v>
      </c>
    </row>
    <row r="638" spans="1:5">
      <c r="A638" s="63"/>
      <c r="B638" s="118"/>
      <c r="C638" s="54" t="s">
        <v>893</v>
      </c>
      <c r="D638" s="54" t="s">
        <v>894</v>
      </c>
    </row>
    <row r="639" spans="1:5">
      <c r="A639" s="63"/>
      <c r="B639" s="118"/>
      <c r="C639" s="54" t="s">
        <v>895</v>
      </c>
      <c r="D639" s="54" t="s">
        <v>896</v>
      </c>
    </row>
    <row r="640" spans="1:5">
      <c r="A640" s="63"/>
      <c r="B640" s="118"/>
      <c r="C640" s="54" t="s">
        <v>897</v>
      </c>
      <c r="D640" s="54" t="s">
        <v>898</v>
      </c>
    </row>
    <row r="641" spans="1:4">
      <c r="A641" s="63"/>
      <c r="B641" s="118"/>
      <c r="C641" s="54" t="s">
        <v>899</v>
      </c>
      <c r="D641" s="54" t="s">
        <v>899</v>
      </c>
    </row>
    <row r="642" spans="1:4">
      <c r="A642" s="63"/>
      <c r="B642" s="118"/>
      <c r="C642" s="54" t="s">
        <v>31</v>
      </c>
      <c r="D642" s="54"/>
    </row>
    <row r="643" spans="1:4">
      <c r="A643" s="70"/>
      <c r="B643" s="70" t="s">
        <v>900</v>
      </c>
      <c r="C643" s="56" t="s">
        <v>901</v>
      </c>
      <c r="D643" s="56" t="s">
        <v>902</v>
      </c>
    </row>
    <row r="644" spans="1:4">
      <c r="A644" s="71"/>
      <c r="B644" s="71"/>
      <c r="C644" s="56" t="s">
        <v>903</v>
      </c>
      <c r="D644" s="56" t="s">
        <v>904</v>
      </c>
    </row>
    <row r="645" spans="1:4">
      <c r="A645" s="71"/>
      <c r="B645" s="71"/>
      <c r="C645" s="56" t="s">
        <v>905</v>
      </c>
      <c r="D645" s="56" t="s">
        <v>906</v>
      </c>
    </row>
    <row r="646" spans="1:4">
      <c r="A646" s="71"/>
      <c r="B646" s="71"/>
      <c r="C646" s="56" t="s">
        <v>907</v>
      </c>
      <c r="D646" s="56" t="s">
        <v>908</v>
      </c>
    </row>
    <row r="647" spans="1:4">
      <c r="A647" s="71"/>
      <c r="B647" s="71"/>
      <c r="C647" s="56" t="s">
        <v>909</v>
      </c>
      <c r="D647" s="56"/>
    </row>
    <row r="648" spans="1:4">
      <c r="A648" s="72"/>
      <c r="B648" s="72"/>
      <c r="C648" s="56" t="s">
        <v>31</v>
      </c>
      <c r="D648" s="56"/>
    </row>
    <row r="649" spans="1:4">
      <c r="A649" s="63"/>
      <c r="B649" s="118" t="s">
        <v>170</v>
      </c>
      <c r="C649" s="54" t="s">
        <v>910</v>
      </c>
      <c r="D649" s="54"/>
    </row>
    <row r="650" spans="1:4">
      <c r="A650" s="63"/>
      <c r="B650" s="118"/>
      <c r="C650" s="54" t="s">
        <v>911</v>
      </c>
      <c r="D650" s="54"/>
    </row>
    <row r="651" spans="1:4">
      <c r="A651" s="63"/>
      <c r="B651" s="118"/>
      <c r="C651" s="54" t="s">
        <v>912</v>
      </c>
      <c r="D651" s="54"/>
    </row>
    <row r="652" spans="1:4">
      <c r="A652" s="63"/>
      <c r="B652" s="118"/>
      <c r="C652" s="54" t="s">
        <v>913</v>
      </c>
      <c r="D652" s="54"/>
    </row>
    <row r="653" spans="1:4">
      <c r="A653" s="63"/>
      <c r="B653" s="118"/>
      <c r="C653" s="54" t="s">
        <v>31</v>
      </c>
      <c r="D653" s="54"/>
    </row>
    <row r="654" spans="1:4">
      <c r="A654" s="70"/>
      <c r="B654" s="70" t="s">
        <v>171</v>
      </c>
      <c r="C654" s="56" t="s">
        <v>914</v>
      </c>
      <c r="D654" s="56"/>
    </row>
    <row r="655" spans="1:4">
      <c r="A655" s="71"/>
      <c r="B655" s="71"/>
      <c r="C655" s="56" t="s">
        <v>915</v>
      </c>
      <c r="D655" s="56"/>
    </row>
    <row r="656" spans="1:4">
      <c r="A656" s="63"/>
      <c r="B656" s="118" t="s">
        <v>22</v>
      </c>
      <c r="C656" s="54" t="s">
        <v>36</v>
      </c>
      <c r="D656" s="54"/>
    </row>
    <row r="657" spans="1:6">
      <c r="A657" s="63"/>
      <c r="B657" s="118"/>
      <c r="C657" s="54" t="s">
        <v>916</v>
      </c>
      <c r="D657" s="54"/>
    </row>
    <row r="658" spans="1:6">
      <c r="A658" s="70"/>
      <c r="B658" s="70" t="s">
        <v>917</v>
      </c>
      <c r="C658" s="56" t="s">
        <v>918</v>
      </c>
      <c r="D658" s="56"/>
    </row>
    <row r="659" spans="1:6">
      <c r="A659" s="71"/>
      <c r="B659" s="71"/>
      <c r="C659" s="56" t="s">
        <v>919</v>
      </c>
      <c r="D659" s="56"/>
    </row>
    <row r="660" spans="1:6">
      <c r="A660" s="71"/>
      <c r="B660" s="71"/>
      <c r="C660" s="56" t="s">
        <v>920</v>
      </c>
      <c r="D660" s="56"/>
    </row>
    <row r="661" spans="1:6">
      <c r="A661" s="71"/>
      <c r="B661" s="71"/>
      <c r="C661" s="56" t="s">
        <v>921</v>
      </c>
      <c r="D661" s="56"/>
    </row>
    <row r="662" spans="1:6">
      <c r="A662" s="71"/>
      <c r="B662" s="71"/>
      <c r="C662" s="56" t="s">
        <v>922</v>
      </c>
      <c r="D662" s="56"/>
    </row>
    <row r="663" spans="1:6">
      <c r="A663" s="71"/>
      <c r="B663" s="71"/>
      <c r="C663" s="56" t="s">
        <v>923</v>
      </c>
      <c r="D663" s="56"/>
    </row>
    <row r="664" spans="1:6">
      <c r="A664" s="71"/>
      <c r="B664" s="71"/>
      <c r="C664" s="56" t="s">
        <v>31</v>
      </c>
      <c r="D664" s="56"/>
    </row>
    <row r="665" spans="1:6">
      <c r="A665" s="72"/>
      <c r="B665" s="72"/>
      <c r="C665" s="56" t="s">
        <v>924</v>
      </c>
      <c r="D665" s="56"/>
    </row>
    <row r="666" spans="1:6">
      <c r="A666" s="63"/>
      <c r="B666" s="118" t="s">
        <v>925</v>
      </c>
      <c r="C666" s="54" t="s">
        <v>926</v>
      </c>
      <c r="D666" s="54"/>
    </row>
    <row r="667" spans="1:6">
      <c r="A667" s="63"/>
      <c r="B667" s="118"/>
      <c r="C667" s="54" t="s">
        <v>927</v>
      </c>
      <c r="D667" s="54"/>
      <c r="F667" s="8"/>
    </row>
    <row r="668" spans="1:6">
      <c r="A668" s="70"/>
      <c r="B668" s="70" t="s">
        <v>928</v>
      </c>
      <c r="C668" s="56" t="s">
        <v>929</v>
      </c>
      <c r="D668" s="56"/>
    </row>
    <row r="669" spans="1:6">
      <c r="A669" s="71"/>
      <c r="B669" s="71"/>
      <c r="C669" s="56" t="s">
        <v>930</v>
      </c>
      <c r="D669" s="56"/>
    </row>
    <row r="670" spans="1:6">
      <c r="A670" s="71"/>
      <c r="B670" s="71"/>
      <c r="C670" s="56" t="s">
        <v>931</v>
      </c>
      <c r="D670" s="56"/>
    </row>
    <row r="671" spans="1:6">
      <c r="A671" s="71"/>
      <c r="B671" s="71"/>
      <c r="C671" s="56" t="s">
        <v>932</v>
      </c>
      <c r="D671" s="56"/>
    </row>
    <row r="672" spans="1:6">
      <c r="A672" s="71"/>
      <c r="B672" s="71"/>
      <c r="C672" s="56" t="s">
        <v>933</v>
      </c>
      <c r="D672" s="56"/>
    </row>
    <row r="673" spans="1:4">
      <c r="A673" s="71"/>
      <c r="B673" s="71"/>
      <c r="C673" s="56" t="s">
        <v>934</v>
      </c>
      <c r="D673" s="56"/>
    </row>
    <row r="674" spans="1:4">
      <c r="A674" s="71"/>
      <c r="B674" s="71"/>
      <c r="C674" s="56" t="s">
        <v>935</v>
      </c>
      <c r="D674" s="56"/>
    </row>
    <row r="675" spans="1:4">
      <c r="A675" s="71"/>
      <c r="B675" s="71"/>
      <c r="C675" s="56" t="s">
        <v>936</v>
      </c>
      <c r="D675" s="56"/>
    </row>
    <row r="676" spans="1:4">
      <c r="A676" s="71"/>
      <c r="B676" s="71"/>
      <c r="C676" s="56" t="s">
        <v>937</v>
      </c>
      <c r="D676" s="56"/>
    </row>
    <row r="677" spans="1:4">
      <c r="A677" s="71"/>
      <c r="B677" s="71"/>
      <c r="C677" s="56" t="s">
        <v>938</v>
      </c>
      <c r="D677" s="56"/>
    </row>
    <row r="678" spans="1:4">
      <c r="A678" s="71"/>
      <c r="B678" s="71"/>
      <c r="C678" s="56" t="s">
        <v>586</v>
      </c>
      <c r="D678" s="56"/>
    </row>
    <row r="679" spans="1:4">
      <c r="A679" s="72"/>
      <c r="B679" s="72"/>
      <c r="C679" s="56" t="s">
        <v>924</v>
      </c>
      <c r="D679" s="56"/>
    </row>
    <row r="680" spans="1:4">
      <c r="A680" s="92"/>
      <c r="B680" s="92" t="s">
        <v>939</v>
      </c>
      <c r="C680" s="54" t="s">
        <v>918</v>
      </c>
      <c r="D680" s="54"/>
    </row>
    <row r="681" spans="1:4">
      <c r="A681" s="94"/>
      <c r="B681" s="94"/>
      <c r="C681" s="54" t="s">
        <v>919</v>
      </c>
      <c r="D681" s="54"/>
    </row>
    <row r="682" spans="1:4">
      <c r="A682" s="94"/>
      <c r="B682" s="94"/>
      <c r="C682" s="54" t="s">
        <v>920</v>
      </c>
      <c r="D682" s="54"/>
    </row>
    <row r="683" spans="1:4">
      <c r="A683" s="94"/>
      <c r="B683" s="94"/>
      <c r="C683" s="54" t="s">
        <v>921</v>
      </c>
      <c r="D683" s="54"/>
    </row>
    <row r="684" spans="1:4">
      <c r="A684" s="94"/>
      <c r="B684" s="94"/>
      <c r="C684" s="54" t="s">
        <v>922</v>
      </c>
      <c r="D684" s="54"/>
    </row>
    <row r="685" spans="1:4">
      <c r="A685" s="94"/>
      <c r="B685" s="94"/>
      <c r="C685" s="54" t="s">
        <v>923</v>
      </c>
      <c r="D685" s="54"/>
    </row>
    <row r="686" spans="1:4">
      <c r="A686" s="94"/>
      <c r="B686" s="94"/>
      <c r="C686" s="54" t="s">
        <v>31</v>
      </c>
      <c r="D686" s="54"/>
    </row>
    <row r="687" spans="1:4">
      <c r="A687" s="94"/>
      <c r="B687" s="94"/>
      <c r="C687" s="54" t="s">
        <v>924</v>
      </c>
      <c r="D687" s="54"/>
    </row>
    <row r="688" spans="1:4">
      <c r="A688" s="70"/>
      <c r="B688" s="67" t="s">
        <v>940</v>
      </c>
      <c r="C688" s="56" t="s">
        <v>941</v>
      </c>
      <c r="D688" s="56"/>
    </row>
    <row r="689" spans="1:4">
      <c r="A689" s="71"/>
      <c r="B689" s="69"/>
      <c r="C689" s="56" t="s">
        <v>942</v>
      </c>
      <c r="D689" s="56"/>
    </row>
    <row r="690" spans="1:4">
      <c r="A690" s="92"/>
      <c r="B690" s="92" t="s">
        <v>943</v>
      </c>
      <c r="C690" s="54" t="s">
        <v>944</v>
      </c>
      <c r="D690" s="54"/>
    </row>
    <row r="691" spans="1:4">
      <c r="A691" s="94"/>
      <c r="B691" s="94"/>
      <c r="C691" s="54" t="s">
        <v>945</v>
      </c>
      <c r="D691" s="54"/>
    </row>
    <row r="692" spans="1:4">
      <c r="A692" s="70"/>
      <c r="B692" s="70" t="s">
        <v>946</v>
      </c>
      <c r="C692" s="56" t="s">
        <v>947</v>
      </c>
      <c r="D692" s="56"/>
    </row>
    <row r="693" spans="1:4">
      <c r="A693" s="71"/>
      <c r="B693" s="71"/>
      <c r="C693" s="56" t="s">
        <v>763</v>
      </c>
      <c r="D693" s="56"/>
    </row>
    <row r="694" spans="1:4">
      <c r="A694" s="71"/>
      <c r="B694" s="71"/>
      <c r="C694" s="56" t="s">
        <v>948</v>
      </c>
      <c r="D694" s="56"/>
    </row>
    <row r="695" spans="1:4">
      <c r="A695" s="71"/>
      <c r="B695" s="71"/>
      <c r="C695" s="56" t="s">
        <v>949</v>
      </c>
      <c r="D695" s="56"/>
    </row>
    <row r="696" spans="1:4">
      <c r="A696" s="71"/>
      <c r="B696" s="71"/>
      <c r="C696" s="56" t="s">
        <v>950</v>
      </c>
      <c r="D696" s="56"/>
    </row>
    <row r="697" spans="1:4">
      <c r="A697" s="71"/>
      <c r="B697" s="71"/>
      <c r="C697" s="56" t="s">
        <v>169</v>
      </c>
      <c r="D697" s="56"/>
    </row>
    <row r="698" spans="1:4">
      <c r="A698" s="71"/>
      <c r="B698" s="71"/>
      <c r="C698" s="56" t="s">
        <v>951</v>
      </c>
      <c r="D698" s="56"/>
    </row>
    <row r="699" spans="1:4">
      <c r="A699" s="71"/>
      <c r="B699" s="71"/>
      <c r="C699" s="56" t="s">
        <v>952</v>
      </c>
      <c r="D699" s="56"/>
    </row>
    <row r="700" spans="1:4">
      <c r="A700" s="71"/>
      <c r="B700" s="71"/>
      <c r="C700" s="56" t="s">
        <v>31</v>
      </c>
      <c r="D700" s="56"/>
    </row>
    <row r="701" spans="1:4">
      <c r="A701" s="92"/>
      <c r="B701" s="92" t="s">
        <v>953</v>
      </c>
      <c r="C701" s="54" t="s">
        <v>452</v>
      </c>
      <c r="D701" s="54"/>
    </row>
    <row r="702" spans="1:4">
      <c r="A702" s="94"/>
      <c r="B702" s="94"/>
      <c r="C702" s="54" t="s">
        <v>453</v>
      </c>
      <c r="D702" s="54"/>
    </row>
    <row r="703" spans="1:4">
      <c r="A703" s="94"/>
      <c r="B703" s="94"/>
      <c r="C703" s="54" t="s">
        <v>454</v>
      </c>
      <c r="D703" s="54"/>
    </row>
    <row r="704" spans="1:4">
      <c r="A704" s="94"/>
      <c r="B704" s="94"/>
      <c r="C704" s="54" t="s">
        <v>455</v>
      </c>
      <c r="D704" s="54"/>
    </row>
    <row r="705" spans="1:5">
      <c r="A705" s="94"/>
      <c r="B705" s="94"/>
      <c r="C705" s="54" t="s">
        <v>456</v>
      </c>
      <c r="D705" s="54"/>
    </row>
    <row r="706" spans="1:5">
      <c r="A706" s="94"/>
      <c r="B706" s="94"/>
      <c r="C706" s="54" t="s">
        <v>457</v>
      </c>
      <c r="D706" s="54"/>
    </row>
    <row r="707" spans="1:5">
      <c r="A707" s="94"/>
      <c r="B707" s="94"/>
      <c r="C707" s="54" t="s">
        <v>459</v>
      </c>
      <c r="D707" s="54"/>
    </row>
    <row r="708" spans="1:5">
      <c r="A708" s="94"/>
      <c r="B708" s="94"/>
      <c r="C708" s="54" t="s">
        <v>460</v>
      </c>
      <c r="D708" s="54"/>
    </row>
    <row r="709" spans="1:5">
      <c r="A709" s="94"/>
      <c r="B709" s="94"/>
      <c r="C709" s="54" t="s">
        <v>461</v>
      </c>
      <c r="D709" s="54"/>
    </row>
    <row r="710" spans="1:5">
      <c r="A710" s="94"/>
      <c r="B710" s="94"/>
      <c r="C710" s="54" t="s">
        <v>462</v>
      </c>
      <c r="D710" s="54"/>
    </row>
    <row r="711" spans="1:5">
      <c r="A711" s="94"/>
      <c r="B711" s="94"/>
      <c r="C711" s="54" t="s">
        <v>463</v>
      </c>
      <c r="D711" s="54"/>
    </row>
    <row r="712" spans="1:5">
      <c r="A712" s="94"/>
      <c r="B712" s="94"/>
      <c r="C712" s="54" t="s">
        <v>464</v>
      </c>
      <c r="D712" s="54"/>
    </row>
    <row r="713" spans="1:5">
      <c r="A713" s="94"/>
      <c r="B713" s="94"/>
      <c r="C713" s="54" t="s">
        <v>465</v>
      </c>
      <c r="D713" s="54"/>
    </row>
    <row r="714" spans="1:5">
      <c r="A714" s="94"/>
      <c r="B714" s="94"/>
      <c r="C714" s="54" t="s">
        <v>466</v>
      </c>
      <c r="D714" s="54"/>
    </row>
    <row r="715" spans="1:5">
      <c r="A715" s="94"/>
      <c r="B715" s="94"/>
      <c r="C715" s="54" t="s">
        <v>467</v>
      </c>
      <c r="D715" s="54"/>
    </row>
    <row r="716" spans="1:5">
      <c r="A716" s="94"/>
      <c r="B716" s="94"/>
      <c r="C716" s="54" t="s">
        <v>468</v>
      </c>
      <c r="D716" s="54" t="s">
        <v>469</v>
      </c>
      <c r="E716" t="s">
        <v>235</v>
      </c>
    </row>
    <row r="717" spans="1:5">
      <c r="A717" s="94"/>
      <c r="B717" s="94"/>
      <c r="C717" s="54" t="s">
        <v>470</v>
      </c>
      <c r="D717" s="54"/>
    </row>
    <row r="718" spans="1:5">
      <c r="A718" s="94"/>
      <c r="B718" s="94"/>
      <c r="C718" s="54" t="s">
        <v>471</v>
      </c>
      <c r="D718" s="54"/>
    </row>
    <row r="719" spans="1:5">
      <c r="A719" s="94"/>
      <c r="B719" s="94"/>
      <c r="C719" s="54" t="s">
        <v>472</v>
      </c>
      <c r="D719" s="54"/>
    </row>
    <row r="720" spans="1:5">
      <c r="A720" s="94"/>
      <c r="B720" s="94"/>
      <c r="C720" s="54" t="s">
        <v>473</v>
      </c>
      <c r="D720" s="54"/>
    </row>
    <row r="721" spans="1:4">
      <c r="A721" s="94"/>
      <c r="B721" s="94"/>
      <c r="C721" s="54" t="s">
        <v>474</v>
      </c>
      <c r="D721" s="54"/>
    </row>
    <row r="722" spans="1:4">
      <c r="A722" s="94"/>
      <c r="B722" s="94"/>
      <c r="C722" s="54" t="s">
        <v>475</v>
      </c>
      <c r="D722" s="54"/>
    </row>
    <row r="723" spans="1:4">
      <c r="A723" s="94"/>
      <c r="B723" s="94"/>
      <c r="C723" s="54" t="s">
        <v>476</v>
      </c>
      <c r="D723" s="54"/>
    </row>
    <row r="724" spans="1:4">
      <c r="A724" s="94"/>
      <c r="B724" s="94"/>
      <c r="C724" s="54" t="s">
        <v>477</v>
      </c>
      <c r="D724" s="54"/>
    </row>
    <row r="725" spans="1:4">
      <c r="A725" s="94"/>
      <c r="B725" s="94"/>
      <c r="C725" s="54" t="s">
        <v>478</v>
      </c>
      <c r="D725" s="54"/>
    </row>
    <row r="726" spans="1:4">
      <c r="A726" s="94"/>
      <c r="B726" s="94"/>
      <c r="C726" s="54" t="s">
        <v>479</v>
      </c>
      <c r="D726" s="54"/>
    </row>
    <row r="727" spans="1:4">
      <c r="A727" s="94"/>
      <c r="B727" s="94"/>
      <c r="C727" s="54" t="s">
        <v>480</v>
      </c>
      <c r="D727" s="54"/>
    </row>
    <row r="728" spans="1:4">
      <c r="A728" s="94"/>
      <c r="B728" s="94"/>
      <c r="C728" s="54" t="s">
        <v>481</v>
      </c>
      <c r="D728" s="54"/>
    </row>
    <row r="729" spans="1:4">
      <c r="A729" s="94"/>
      <c r="B729" s="94"/>
      <c r="C729" s="54" t="s">
        <v>482</v>
      </c>
      <c r="D729" s="54"/>
    </row>
    <row r="730" spans="1:4">
      <c r="A730" s="94"/>
      <c r="B730" s="94"/>
      <c r="C730" s="54" t="s">
        <v>483</v>
      </c>
      <c r="D730" s="54"/>
    </row>
    <row r="731" spans="1:4">
      <c r="A731" s="94"/>
      <c r="B731" s="94"/>
      <c r="C731" s="54" t="s">
        <v>484</v>
      </c>
      <c r="D731" s="54"/>
    </row>
    <row r="732" spans="1:4">
      <c r="A732" s="94"/>
      <c r="B732" s="94"/>
      <c r="C732" s="54" t="s">
        <v>485</v>
      </c>
      <c r="D732" s="54"/>
    </row>
    <row r="733" spans="1:4">
      <c r="A733" s="94"/>
      <c r="B733" s="94"/>
      <c r="C733" s="54" t="s">
        <v>486</v>
      </c>
      <c r="D733" s="54"/>
    </row>
    <row r="734" spans="1:4">
      <c r="A734" s="94"/>
      <c r="B734" s="94"/>
      <c r="C734" s="54" t="s">
        <v>487</v>
      </c>
      <c r="D734" s="54"/>
    </row>
    <row r="735" spans="1:4">
      <c r="A735" s="94"/>
      <c r="B735" s="94"/>
      <c r="C735" s="54" t="s">
        <v>488</v>
      </c>
      <c r="D735" s="54"/>
    </row>
    <row r="736" spans="1:4">
      <c r="A736" s="94"/>
      <c r="B736" s="94"/>
      <c r="C736" s="54" t="s">
        <v>489</v>
      </c>
      <c r="D736" s="54"/>
    </row>
    <row r="737" spans="1:4">
      <c r="A737" s="94"/>
      <c r="B737" s="94"/>
      <c r="C737" s="54" t="s">
        <v>490</v>
      </c>
      <c r="D737" s="54"/>
    </row>
    <row r="738" spans="1:4">
      <c r="A738" s="94"/>
      <c r="B738" s="94"/>
      <c r="C738" s="54" t="s">
        <v>491</v>
      </c>
      <c r="D738" s="54"/>
    </row>
    <row r="739" spans="1:4">
      <c r="A739" s="94"/>
      <c r="B739" s="94"/>
      <c r="C739" s="54" t="s">
        <v>492</v>
      </c>
      <c r="D739" s="54"/>
    </row>
    <row r="740" spans="1:4">
      <c r="A740" s="94"/>
      <c r="B740" s="94"/>
      <c r="C740" s="54" t="s">
        <v>493</v>
      </c>
      <c r="D740" s="54"/>
    </row>
    <row r="741" spans="1:4">
      <c r="A741" s="94"/>
      <c r="B741" s="94"/>
      <c r="C741" s="54" t="s">
        <v>494</v>
      </c>
      <c r="D741" s="54"/>
    </row>
    <row r="742" spans="1:4">
      <c r="A742" s="94"/>
      <c r="B742" s="94"/>
      <c r="C742" s="54" t="s">
        <v>495</v>
      </c>
      <c r="D742" s="54"/>
    </row>
    <row r="743" spans="1:4">
      <c r="A743" s="94"/>
      <c r="B743" s="94"/>
      <c r="C743" s="54" t="s">
        <v>496</v>
      </c>
      <c r="D743" s="54"/>
    </row>
    <row r="744" spans="1:4">
      <c r="A744" s="94"/>
      <c r="B744" s="94"/>
      <c r="C744" s="54" t="s">
        <v>497</v>
      </c>
      <c r="D744" s="54"/>
    </row>
    <row r="745" spans="1:4">
      <c r="A745" s="94"/>
      <c r="B745" s="94"/>
      <c r="C745" s="54" t="s">
        <v>498</v>
      </c>
      <c r="D745" s="54"/>
    </row>
    <row r="746" spans="1:4">
      <c r="A746" s="94"/>
      <c r="B746" s="94"/>
      <c r="C746" s="54" t="s">
        <v>499</v>
      </c>
      <c r="D746" s="54"/>
    </row>
    <row r="747" spans="1:4">
      <c r="A747" s="94"/>
      <c r="B747" s="94"/>
      <c r="C747" s="54" t="s">
        <v>500</v>
      </c>
      <c r="D747" s="54"/>
    </row>
    <row r="748" spans="1:4">
      <c r="A748" s="94"/>
      <c r="B748" s="94"/>
      <c r="C748" s="54" t="s">
        <v>501</v>
      </c>
      <c r="D748" s="54"/>
    </row>
    <row r="749" spans="1:4">
      <c r="A749" s="94"/>
      <c r="B749" s="94"/>
      <c r="C749" s="54" t="s">
        <v>502</v>
      </c>
      <c r="D749" s="54"/>
    </row>
    <row r="750" spans="1:4">
      <c r="A750" s="94"/>
      <c r="B750" s="94"/>
      <c r="C750" s="54" t="s">
        <v>30</v>
      </c>
      <c r="D750" s="54"/>
    </row>
    <row r="751" spans="1:4">
      <c r="A751" s="94"/>
      <c r="B751" s="94"/>
      <c r="C751" s="54" t="s">
        <v>228</v>
      </c>
      <c r="D751" s="54"/>
    </row>
    <row r="752" spans="1:4">
      <c r="A752" s="94"/>
      <c r="B752" s="94"/>
      <c r="C752" s="54" t="s">
        <v>229</v>
      </c>
      <c r="D752" s="54"/>
    </row>
    <row r="753" spans="1:4">
      <c r="A753" s="94"/>
      <c r="B753" s="94"/>
      <c r="C753" s="54" t="s">
        <v>230</v>
      </c>
      <c r="D753" s="54"/>
    </row>
    <row r="754" spans="1:4">
      <c r="A754" s="94"/>
      <c r="B754" s="94"/>
      <c r="C754" s="54" t="s">
        <v>231</v>
      </c>
      <c r="D754" s="54"/>
    </row>
    <row r="755" spans="1:4">
      <c r="A755" s="94"/>
      <c r="B755" s="94"/>
      <c r="C755" s="54" t="s">
        <v>232</v>
      </c>
      <c r="D755" s="54"/>
    </row>
    <row r="756" spans="1:4">
      <c r="A756" s="94"/>
      <c r="B756" s="94"/>
      <c r="C756" s="54" t="s">
        <v>233</v>
      </c>
      <c r="D756" s="54"/>
    </row>
    <row r="757" spans="1:4">
      <c r="A757" s="94"/>
      <c r="B757" s="94"/>
      <c r="C757" s="54" t="s">
        <v>234</v>
      </c>
      <c r="D757" s="54"/>
    </row>
    <row r="758" spans="1:4">
      <c r="A758" s="94"/>
      <c r="B758" s="94"/>
      <c r="C758" s="54" t="s">
        <v>236</v>
      </c>
      <c r="D758" s="54"/>
    </row>
    <row r="759" spans="1:4">
      <c r="A759" s="94"/>
      <c r="B759" s="94"/>
      <c r="C759" s="54" t="s">
        <v>237</v>
      </c>
      <c r="D759" s="54"/>
    </row>
    <row r="760" spans="1:4">
      <c r="A760" s="94"/>
      <c r="B760" s="94"/>
      <c r="C760" s="54" t="s">
        <v>238</v>
      </c>
      <c r="D760" s="54"/>
    </row>
    <row r="761" spans="1:4">
      <c r="A761" s="94"/>
      <c r="B761" s="94"/>
      <c r="C761" s="54" t="s">
        <v>239</v>
      </c>
      <c r="D761" s="54"/>
    </row>
    <row r="762" spans="1:4">
      <c r="A762" s="94"/>
      <c r="B762" s="94"/>
      <c r="C762" s="54" t="s">
        <v>240</v>
      </c>
      <c r="D762" s="54"/>
    </row>
    <row r="763" spans="1:4">
      <c r="A763" s="94"/>
      <c r="B763" s="94"/>
      <c r="C763" s="54" t="s">
        <v>241</v>
      </c>
      <c r="D763" s="54"/>
    </row>
    <row r="764" spans="1:4">
      <c r="A764" s="94"/>
      <c r="B764" s="94"/>
      <c r="C764" s="54" t="s">
        <v>242</v>
      </c>
      <c r="D764" s="54"/>
    </row>
    <row r="765" spans="1:4">
      <c r="A765" s="94"/>
      <c r="B765" s="94"/>
      <c r="C765" s="54" t="s">
        <v>243</v>
      </c>
      <c r="D765" s="54"/>
    </row>
    <row r="766" spans="1:4">
      <c r="A766" s="94"/>
      <c r="B766" s="94"/>
      <c r="C766" s="54" t="s">
        <v>244</v>
      </c>
      <c r="D766" s="54"/>
    </row>
    <row r="767" spans="1:4">
      <c r="A767" s="94"/>
      <c r="B767" s="94"/>
      <c r="C767" s="54" t="s">
        <v>125</v>
      </c>
      <c r="D767" s="54"/>
    </row>
    <row r="768" spans="1:4">
      <c r="A768" s="94"/>
      <c r="B768" s="94"/>
      <c r="C768" s="54" t="s">
        <v>245</v>
      </c>
      <c r="D768" s="54"/>
    </row>
    <row r="769" spans="1:5">
      <c r="A769" s="94"/>
      <c r="B769" s="94"/>
      <c r="C769" s="54" t="s">
        <v>246</v>
      </c>
      <c r="D769" s="54"/>
    </row>
    <row r="770" spans="1:5">
      <c r="A770" s="94"/>
      <c r="B770" s="94"/>
      <c r="C770" s="54" t="s">
        <v>247</v>
      </c>
      <c r="D770" s="54"/>
    </row>
    <row r="771" spans="1:5">
      <c r="A771" s="94"/>
      <c r="B771" s="94"/>
      <c r="C771" s="54" t="s">
        <v>248</v>
      </c>
      <c r="D771" s="54"/>
    </row>
    <row r="772" spans="1:5">
      <c r="A772" s="94"/>
      <c r="B772" s="94"/>
      <c r="C772" s="54" t="s">
        <v>249</v>
      </c>
      <c r="D772" s="54"/>
    </row>
    <row r="773" spans="1:5">
      <c r="A773" s="94"/>
      <c r="B773" s="94"/>
      <c r="C773" s="54" t="s">
        <v>250</v>
      </c>
      <c r="D773" s="54"/>
    </row>
    <row r="774" spans="1:5">
      <c r="A774" s="94"/>
      <c r="B774" s="94"/>
      <c r="C774" s="54" t="s">
        <v>251</v>
      </c>
      <c r="D774" s="54"/>
    </row>
    <row r="775" spans="1:5">
      <c r="A775" s="94"/>
      <c r="B775" s="94"/>
      <c r="C775" s="54" t="s">
        <v>252</v>
      </c>
      <c r="D775" s="54"/>
    </row>
    <row r="776" spans="1:5">
      <c r="A776" s="94"/>
      <c r="B776" s="94"/>
      <c r="C776" s="54" t="s">
        <v>253</v>
      </c>
      <c r="D776" s="54"/>
    </row>
    <row r="777" spans="1:5">
      <c r="A777" s="94"/>
      <c r="B777" s="94"/>
      <c r="C777" s="54" t="s">
        <v>254</v>
      </c>
      <c r="D777" s="54"/>
    </row>
    <row r="778" spans="1:5">
      <c r="A778" s="94"/>
      <c r="B778" s="94"/>
      <c r="C778" s="54" t="s">
        <v>255</v>
      </c>
      <c r="D778" s="54"/>
    </row>
    <row r="779" spans="1:5">
      <c r="A779" s="94"/>
      <c r="B779" s="94"/>
      <c r="C779" s="54" t="s">
        <v>256</v>
      </c>
      <c r="D779" s="54"/>
    </row>
    <row r="780" spans="1:5">
      <c r="A780" s="94"/>
      <c r="B780" s="94"/>
      <c r="C780" s="54" t="s">
        <v>257</v>
      </c>
      <c r="D780" s="54"/>
    </row>
    <row r="781" spans="1:5">
      <c r="A781" s="94"/>
      <c r="B781" s="94"/>
      <c r="C781" s="54" t="s">
        <v>258</v>
      </c>
      <c r="D781" s="54"/>
    </row>
    <row r="782" spans="1:5">
      <c r="A782" s="94"/>
      <c r="B782" s="94"/>
      <c r="C782" s="54" t="s">
        <v>259</v>
      </c>
      <c r="D782" s="54"/>
      <c r="E782" t="s">
        <v>235</v>
      </c>
    </row>
    <row r="783" spans="1:5">
      <c r="A783" s="94"/>
      <c r="B783" s="94"/>
      <c r="C783" s="54" t="s">
        <v>260</v>
      </c>
      <c r="D783" s="54"/>
      <c r="E783" t="s">
        <v>235</v>
      </c>
    </row>
    <row r="784" spans="1:5">
      <c r="A784" s="94"/>
      <c r="B784" s="94"/>
      <c r="C784" s="54" t="s">
        <v>263</v>
      </c>
      <c r="D784" s="54"/>
      <c r="E784" t="s">
        <v>235</v>
      </c>
    </row>
    <row r="785" spans="1:5">
      <c r="A785" s="94"/>
      <c r="B785" s="94"/>
      <c r="C785" s="54" t="s">
        <v>264</v>
      </c>
      <c r="D785" s="54"/>
    </row>
    <row r="786" spans="1:5">
      <c r="A786" s="94"/>
      <c r="B786" s="94"/>
      <c r="C786" s="54" t="s">
        <v>265</v>
      </c>
      <c r="D786" s="54"/>
    </row>
    <row r="787" spans="1:5">
      <c r="A787" s="94"/>
      <c r="B787" s="94"/>
      <c r="C787" s="54" t="s">
        <v>266</v>
      </c>
      <c r="D787" s="54"/>
    </row>
    <row r="788" spans="1:5">
      <c r="A788" s="94"/>
      <c r="B788" s="94"/>
      <c r="C788" s="54" t="s">
        <v>267</v>
      </c>
      <c r="D788" s="54"/>
    </row>
    <row r="789" spans="1:5">
      <c r="A789" s="94"/>
      <c r="B789" s="94"/>
      <c r="C789" s="54" t="s">
        <v>268</v>
      </c>
      <c r="D789" s="54"/>
    </row>
    <row r="790" spans="1:5">
      <c r="A790" s="94"/>
      <c r="B790" s="94"/>
      <c r="C790" s="54" t="s">
        <v>269</v>
      </c>
      <c r="D790" s="54"/>
      <c r="E790" t="s">
        <v>235</v>
      </c>
    </row>
    <row r="791" spans="1:5">
      <c r="A791" s="94"/>
      <c r="B791" s="94"/>
      <c r="C791" s="54" t="s">
        <v>270</v>
      </c>
      <c r="D791" s="54"/>
    </row>
    <row r="792" spans="1:5">
      <c r="A792" s="94"/>
      <c r="B792" s="94"/>
      <c r="C792" s="54" t="s">
        <v>271</v>
      </c>
      <c r="D792" s="54"/>
    </row>
    <row r="793" spans="1:5">
      <c r="A793" s="94"/>
      <c r="B793" s="94"/>
      <c r="C793" s="54" t="s">
        <v>272</v>
      </c>
      <c r="D793" s="54"/>
    </row>
    <row r="794" spans="1:5">
      <c r="A794" s="94"/>
      <c r="B794" s="94"/>
      <c r="C794" s="54" t="s">
        <v>954</v>
      </c>
      <c r="D794" s="54"/>
    </row>
    <row r="795" spans="1:5">
      <c r="A795" s="94"/>
      <c r="B795" s="94"/>
      <c r="C795" s="54" t="s">
        <v>273</v>
      </c>
      <c r="D795" s="54"/>
    </row>
    <row r="796" spans="1:5">
      <c r="A796" s="94"/>
      <c r="B796" s="94"/>
      <c r="C796" s="54" t="s">
        <v>274</v>
      </c>
      <c r="D796" s="54"/>
    </row>
    <row r="797" spans="1:5">
      <c r="A797" s="94"/>
      <c r="B797" s="94"/>
      <c r="C797" s="54" t="s">
        <v>275</v>
      </c>
      <c r="D797" s="54"/>
    </row>
    <row r="798" spans="1:5">
      <c r="A798" s="94"/>
      <c r="B798" s="94"/>
      <c r="C798" s="54" t="s">
        <v>276</v>
      </c>
      <c r="D798" s="54"/>
    </row>
    <row r="799" spans="1:5">
      <c r="A799" s="94"/>
      <c r="B799" s="94"/>
      <c r="C799" s="54" t="s">
        <v>277</v>
      </c>
      <c r="D799" s="54"/>
    </row>
    <row r="800" spans="1:5">
      <c r="A800" s="94"/>
      <c r="B800" s="94"/>
      <c r="C800" s="54" t="s">
        <v>278</v>
      </c>
      <c r="D800" s="54"/>
    </row>
    <row r="801" spans="1:5">
      <c r="A801" s="94"/>
      <c r="B801" s="94"/>
      <c r="C801" s="54" t="s">
        <v>279</v>
      </c>
      <c r="D801" s="54"/>
    </row>
    <row r="802" spans="1:5">
      <c r="A802" s="94"/>
      <c r="B802" s="94"/>
      <c r="C802" s="54" t="s">
        <v>280</v>
      </c>
      <c r="D802" s="54"/>
    </row>
    <row r="803" spans="1:5">
      <c r="A803" s="94"/>
      <c r="B803" s="94"/>
      <c r="C803" s="54" t="s">
        <v>281</v>
      </c>
      <c r="D803" s="54"/>
    </row>
    <row r="804" spans="1:5">
      <c r="A804" s="94"/>
      <c r="B804" s="94"/>
      <c r="C804" s="54" t="s">
        <v>282</v>
      </c>
      <c r="D804" s="54"/>
    </row>
    <row r="805" spans="1:5">
      <c r="A805" s="94"/>
      <c r="B805" s="94"/>
      <c r="C805" s="54" t="s">
        <v>283</v>
      </c>
      <c r="D805" s="54"/>
    </row>
    <row r="806" spans="1:5">
      <c r="A806" s="94"/>
      <c r="B806" s="94"/>
      <c r="C806" s="54" t="s">
        <v>284</v>
      </c>
      <c r="D806" s="54"/>
    </row>
    <row r="807" spans="1:5">
      <c r="A807" s="94"/>
      <c r="B807" s="94"/>
      <c r="C807" s="54" t="s">
        <v>285</v>
      </c>
      <c r="D807" s="54"/>
    </row>
    <row r="808" spans="1:5">
      <c r="A808" s="94"/>
      <c r="B808" s="94"/>
      <c r="C808" s="54" t="s">
        <v>287</v>
      </c>
      <c r="D808" s="54"/>
    </row>
    <row r="809" spans="1:5">
      <c r="A809" s="94"/>
      <c r="B809" s="94"/>
      <c r="C809" s="54" t="s">
        <v>286</v>
      </c>
      <c r="D809" s="54"/>
      <c r="E809" t="s">
        <v>235</v>
      </c>
    </row>
    <row r="810" spans="1:5">
      <c r="A810" s="94"/>
      <c r="B810" s="94"/>
      <c r="C810" s="54" t="s">
        <v>288</v>
      </c>
      <c r="D810" s="54"/>
    </row>
    <row r="811" spans="1:5">
      <c r="A811" s="94"/>
      <c r="B811" s="94"/>
      <c r="C811" s="54" t="s">
        <v>289</v>
      </c>
      <c r="D811" s="54"/>
    </row>
    <row r="812" spans="1:5">
      <c r="A812" s="94"/>
      <c r="B812" s="94"/>
      <c r="C812" s="54" t="s">
        <v>290</v>
      </c>
      <c r="D812" s="54"/>
    </row>
    <row r="813" spans="1:5">
      <c r="A813" s="94"/>
      <c r="B813" s="94"/>
      <c r="C813" s="54" t="s">
        <v>291</v>
      </c>
      <c r="D813" s="54"/>
    </row>
    <row r="814" spans="1:5">
      <c r="A814" s="94"/>
      <c r="B814" s="94"/>
      <c r="C814" s="54" t="s">
        <v>292</v>
      </c>
      <c r="D814" s="54"/>
    </row>
    <row r="815" spans="1:5">
      <c r="A815" s="94"/>
      <c r="B815" s="94"/>
      <c r="C815" s="54" t="s">
        <v>293</v>
      </c>
      <c r="D815" s="54"/>
    </row>
    <row r="816" spans="1:5">
      <c r="A816" s="94"/>
      <c r="B816" s="94"/>
      <c r="C816" s="54" t="s">
        <v>294</v>
      </c>
      <c r="D816" s="54"/>
    </row>
    <row r="817" spans="1:4">
      <c r="A817" s="94"/>
      <c r="B817" s="94"/>
      <c r="C817" s="54" t="s">
        <v>295</v>
      </c>
      <c r="D817" s="54"/>
    </row>
    <row r="818" spans="1:4">
      <c r="A818" s="94"/>
      <c r="B818" s="94"/>
      <c r="C818" s="54" t="s">
        <v>296</v>
      </c>
      <c r="D818" s="54"/>
    </row>
    <row r="819" spans="1:4">
      <c r="A819" s="94"/>
      <c r="B819" s="94"/>
      <c r="C819" s="54" t="s">
        <v>297</v>
      </c>
      <c r="D819" s="54"/>
    </row>
    <row r="820" spans="1:4">
      <c r="A820" s="94"/>
      <c r="B820" s="94"/>
      <c r="C820" s="54" t="s">
        <v>298</v>
      </c>
      <c r="D820" s="54"/>
    </row>
    <row r="821" spans="1:4">
      <c r="A821" s="94"/>
      <c r="B821" s="94"/>
      <c r="C821" s="54" t="s">
        <v>299</v>
      </c>
      <c r="D821" s="54"/>
    </row>
    <row r="822" spans="1:4">
      <c r="A822" s="94"/>
      <c r="B822" s="94"/>
      <c r="C822" s="54" t="s">
        <v>300</v>
      </c>
      <c r="D822" s="54"/>
    </row>
    <row r="823" spans="1:4">
      <c r="A823" s="94"/>
      <c r="B823" s="94"/>
      <c r="C823" s="54" t="s">
        <v>301</v>
      </c>
      <c r="D823" s="54"/>
    </row>
    <row r="824" spans="1:4">
      <c r="A824" s="94"/>
      <c r="B824" s="94"/>
      <c r="C824" s="54" t="s">
        <v>302</v>
      </c>
      <c r="D824" s="54"/>
    </row>
    <row r="825" spans="1:4">
      <c r="A825" s="94"/>
      <c r="B825" s="94"/>
      <c r="C825" s="54" t="s">
        <v>303</v>
      </c>
      <c r="D825" s="54"/>
    </row>
    <row r="826" spans="1:4">
      <c r="A826" s="94"/>
      <c r="B826" s="94"/>
      <c r="C826" s="54" t="s">
        <v>304</v>
      </c>
      <c r="D826" s="54"/>
    </row>
    <row r="827" spans="1:4">
      <c r="A827" s="94"/>
      <c r="B827" s="94"/>
      <c r="C827" s="54" t="s">
        <v>305</v>
      </c>
      <c r="D827" s="54"/>
    </row>
    <row r="828" spans="1:4">
      <c r="A828" s="94"/>
      <c r="B828" s="94"/>
      <c r="C828" s="54" t="s">
        <v>306</v>
      </c>
      <c r="D828" s="54"/>
    </row>
    <row r="829" spans="1:4">
      <c r="A829" s="94"/>
      <c r="B829" s="94"/>
      <c r="C829" s="54" t="s">
        <v>307</v>
      </c>
      <c r="D829" s="54"/>
    </row>
    <row r="830" spans="1:4">
      <c r="A830" s="94"/>
      <c r="B830" s="94"/>
      <c r="C830" s="54" t="s">
        <v>308</v>
      </c>
      <c r="D830" s="54"/>
    </row>
    <row r="831" spans="1:4">
      <c r="A831" s="94"/>
      <c r="B831" s="94"/>
      <c r="C831" s="54" t="s">
        <v>955</v>
      </c>
      <c r="D831" s="126" t="s">
        <v>956</v>
      </c>
    </row>
    <row r="832" spans="1:4">
      <c r="A832" s="94"/>
      <c r="B832" s="94"/>
      <c r="C832" s="54" t="s">
        <v>957</v>
      </c>
      <c r="D832" s="126" t="s">
        <v>320</v>
      </c>
    </row>
    <row r="833" spans="1:4">
      <c r="A833" s="94"/>
      <c r="B833" s="94"/>
      <c r="C833" s="54" t="s">
        <v>958</v>
      </c>
      <c r="D833" s="126" t="s">
        <v>320</v>
      </c>
    </row>
    <row r="834" spans="1:4" ht="15">
      <c r="A834" s="94"/>
      <c r="B834" s="94"/>
      <c r="C834" s="54" t="s">
        <v>959</v>
      </c>
      <c r="D834" s="124"/>
    </row>
    <row r="835" spans="1:4">
      <c r="A835" s="94"/>
      <c r="B835" s="94"/>
      <c r="C835" s="54" t="s">
        <v>316</v>
      </c>
      <c r="D835" s="54"/>
    </row>
    <row r="836" spans="1:4">
      <c r="A836" s="94"/>
      <c r="B836" s="94"/>
      <c r="C836" s="54" t="s">
        <v>311</v>
      </c>
      <c r="D836" s="54"/>
    </row>
    <row r="837" spans="1:4">
      <c r="A837" s="94"/>
      <c r="B837" s="94"/>
      <c r="C837" s="54" t="s">
        <v>312</v>
      </c>
      <c r="D837" s="54"/>
    </row>
    <row r="838" spans="1:4">
      <c r="A838" s="94"/>
      <c r="B838" s="94"/>
      <c r="C838" s="54" t="s">
        <v>309</v>
      </c>
      <c r="D838" s="54"/>
    </row>
    <row r="839" spans="1:4">
      <c r="A839" s="94"/>
      <c r="B839" s="94"/>
      <c r="C839" s="54" t="s">
        <v>313</v>
      </c>
      <c r="D839" s="54"/>
    </row>
    <row r="840" spans="1:4">
      <c r="A840" s="94"/>
      <c r="B840" s="94"/>
      <c r="C840" s="54" t="s">
        <v>310</v>
      </c>
      <c r="D840" s="54"/>
    </row>
    <row r="841" spans="1:4">
      <c r="A841" s="94"/>
      <c r="B841" s="94"/>
      <c r="C841" s="54" t="s">
        <v>314</v>
      </c>
      <c r="D841" s="54"/>
    </row>
    <row r="842" spans="1:4">
      <c r="A842" s="94"/>
      <c r="B842" s="94"/>
      <c r="C842" s="54" t="s">
        <v>960</v>
      </c>
      <c r="D842" s="54"/>
    </row>
    <row r="843" spans="1:4">
      <c r="A843" s="94"/>
      <c r="B843" s="94"/>
      <c r="C843" s="54" t="s">
        <v>961</v>
      </c>
      <c r="D843" s="54"/>
    </row>
    <row r="844" spans="1:4">
      <c r="A844" s="94"/>
      <c r="B844" s="94"/>
      <c r="C844" s="54" t="s">
        <v>962</v>
      </c>
      <c r="D844" s="54"/>
    </row>
    <row r="845" spans="1:4">
      <c r="A845" s="94"/>
      <c r="B845" s="94"/>
      <c r="C845" s="54" t="s">
        <v>963</v>
      </c>
      <c r="D845" s="54"/>
    </row>
    <row r="846" spans="1:4">
      <c r="A846" s="94"/>
      <c r="B846" s="94"/>
      <c r="C846" s="54" t="s">
        <v>964</v>
      </c>
      <c r="D846" s="54"/>
    </row>
    <row r="847" spans="1:4">
      <c r="A847" s="94"/>
      <c r="B847" s="94"/>
      <c r="C847" s="54" t="s">
        <v>965</v>
      </c>
      <c r="D847" s="54"/>
    </row>
    <row r="848" spans="1:4">
      <c r="A848" s="94"/>
      <c r="B848" s="94"/>
      <c r="C848" s="54" t="s">
        <v>966</v>
      </c>
      <c r="D848" s="54"/>
    </row>
    <row r="849" spans="1:4">
      <c r="A849" s="94"/>
      <c r="B849" s="94"/>
      <c r="C849" s="54" t="s">
        <v>967</v>
      </c>
      <c r="D849" s="54"/>
    </row>
    <row r="850" spans="1:4">
      <c r="A850" s="94"/>
      <c r="B850" s="94"/>
      <c r="C850" s="54" t="s">
        <v>31</v>
      </c>
      <c r="D850" s="54"/>
    </row>
    <row r="851" spans="1:4">
      <c r="A851" s="67" t="s">
        <v>968</v>
      </c>
      <c r="B851" s="67"/>
      <c r="C851" s="56" t="s">
        <v>358</v>
      </c>
      <c r="D851" s="56"/>
    </row>
    <row r="852" spans="1:4">
      <c r="A852" s="68"/>
      <c r="B852" s="68"/>
      <c r="C852" s="56" t="s">
        <v>159</v>
      </c>
      <c r="D852" s="56"/>
    </row>
    <row r="853" spans="1:4">
      <c r="A853" s="94" t="s">
        <v>969</v>
      </c>
      <c r="B853" s="94" t="s">
        <v>5</v>
      </c>
      <c r="C853" s="54" t="s">
        <v>970</v>
      </c>
      <c r="D853" s="54"/>
    </row>
    <row r="854" spans="1:4">
      <c r="A854" s="94"/>
      <c r="B854" s="94"/>
      <c r="C854" s="54" t="s">
        <v>971</v>
      </c>
      <c r="D854" s="54"/>
    </row>
    <row r="855" spans="1:4">
      <c r="A855" s="94"/>
      <c r="B855" s="94"/>
      <c r="C855" s="54" t="s">
        <v>972</v>
      </c>
      <c r="D855" s="54"/>
    </row>
    <row r="856" spans="1:4">
      <c r="A856" s="94"/>
      <c r="B856" s="94"/>
      <c r="C856" s="54" t="s">
        <v>973</v>
      </c>
      <c r="D856" s="54"/>
    </row>
    <row r="857" spans="1:4">
      <c r="A857" s="94"/>
      <c r="B857" s="94"/>
      <c r="C857" s="54" t="s">
        <v>974</v>
      </c>
      <c r="D857" s="54"/>
    </row>
    <row r="858" spans="1:4">
      <c r="A858" s="94"/>
      <c r="B858" s="94"/>
      <c r="C858" s="54" t="s">
        <v>975</v>
      </c>
      <c r="D858" s="54"/>
    </row>
    <row r="859" spans="1:4">
      <c r="A859" s="94"/>
      <c r="B859" s="94"/>
      <c r="C859" s="54" t="s">
        <v>976</v>
      </c>
      <c r="D859" s="54"/>
    </row>
    <row r="860" spans="1:4">
      <c r="A860" s="94"/>
      <c r="B860" s="94"/>
      <c r="C860" s="54" t="s">
        <v>977</v>
      </c>
      <c r="D860" s="54"/>
    </row>
    <row r="861" spans="1:4">
      <c r="A861" s="94"/>
      <c r="B861" s="94"/>
      <c r="C861" s="54" t="s">
        <v>978</v>
      </c>
      <c r="D861" s="54"/>
    </row>
    <row r="862" spans="1:4">
      <c r="A862" s="67" t="s">
        <v>979</v>
      </c>
      <c r="B862" s="67" t="s">
        <v>5</v>
      </c>
      <c r="C862" s="56" t="s">
        <v>64</v>
      </c>
      <c r="D862" s="56"/>
    </row>
    <row r="863" spans="1:4">
      <c r="A863" s="68"/>
      <c r="B863" s="68"/>
      <c r="C863" s="56" t="s">
        <v>980</v>
      </c>
      <c r="D863" s="56"/>
    </row>
    <row r="864" spans="1:4">
      <c r="A864" s="68"/>
      <c r="B864" s="68"/>
      <c r="C864" s="56" t="s">
        <v>76</v>
      </c>
      <c r="D864" s="56"/>
    </row>
    <row r="865" spans="1:4">
      <c r="A865" s="68"/>
      <c r="B865" s="68"/>
      <c r="C865" s="56" t="s">
        <v>981</v>
      </c>
      <c r="D865" s="56"/>
    </row>
    <row r="866" spans="1:4">
      <c r="A866" s="68"/>
      <c r="B866" s="68"/>
      <c r="C866" s="56" t="s">
        <v>29</v>
      </c>
      <c r="D866" s="56"/>
    </row>
    <row r="867" spans="1:4">
      <c r="A867" s="68"/>
      <c r="B867" s="68"/>
      <c r="C867" s="56" t="s">
        <v>982</v>
      </c>
      <c r="D867" s="56"/>
    </row>
    <row r="868" spans="1:4">
      <c r="A868" s="68"/>
      <c r="B868" s="68"/>
      <c r="C868" s="56" t="s">
        <v>40</v>
      </c>
      <c r="D868" s="56"/>
    </row>
    <row r="869" spans="1:4">
      <c r="A869" s="68"/>
      <c r="B869" s="68"/>
      <c r="C869" s="56" t="s">
        <v>983</v>
      </c>
      <c r="D869" s="56"/>
    </row>
    <row r="870" spans="1:4">
      <c r="A870" s="94" t="s">
        <v>984</v>
      </c>
      <c r="B870" s="94" t="s">
        <v>5</v>
      </c>
      <c r="C870" s="54" t="s">
        <v>64</v>
      </c>
      <c r="D870" s="54"/>
    </row>
    <row r="871" spans="1:4">
      <c r="A871" s="94"/>
      <c r="B871" s="94"/>
      <c r="C871" s="54" t="s">
        <v>76</v>
      </c>
      <c r="D871" s="54"/>
    </row>
    <row r="872" spans="1:4">
      <c r="A872" s="94"/>
      <c r="B872" s="94"/>
      <c r="C872" s="54" t="s">
        <v>29</v>
      </c>
      <c r="D872" s="54"/>
    </row>
    <row r="873" spans="1:4">
      <c r="A873" s="94"/>
      <c r="B873" s="94"/>
      <c r="C873" s="54" t="s">
        <v>31</v>
      </c>
      <c r="D873" s="54"/>
    </row>
    <row r="874" spans="1:4">
      <c r="A874" s="67" t="s">
        <v>985</v>
      </c>
      <c r="B874" s="67" t="s">
        <v>5</v>
      </c>
      <c r="C874" s="56" t="s">
        <v>986</v>
      </c>
      <c r="D874" s="56"/>
    </row>
    <row r="875" spans="1:4">
      <c r="A875" s="68"/>
      <c r="B875" s="68"/>
      <c r="C875" s="56" t="s">
        <v>773</v>
      </c>
      <c r="D875" s="56"/>
    </row>
    <row r="876" spans="1:4">
      <c r="A876" s="68"/>
      <c r="B876" s="68"/>
      <c r="C876" s="56" t="s">
        <v>774</v>
      </c>
      <c r="D876" s="56"/>
    </row>
    <row r="877" spans="1:4">
      <c r="A877" s="68"/>
      <c r="B877" s="68"/>
      <c r="C877" s="56" t="s">
        <v>775</v>
      </c>
      <c r="D877" s="56"/>
    </row>
    <row r="878" spans="1:4">
      <c r="A878" s="68"/>
      <c r="B878" s="68"/>
      <c r="C878" s="56" t="s">
        <v>987</v>
      </c>
      <c r="D878" s="56"/>
    </row>
    <row r="879" spans="1:4">
      <c r="A879" s="68"/>
      <c r="B879" s="68"/>
      <c r="C879" s="56" t="s">
        <v>988</v>
      </c>
      <c r="D879" s="56"/>
    </row>
    <row r="880" spans="1:4">
      <c r="A880" s="68"/>
      <c r="B880" s="68"/>
      <c r="C880" s="56" t="s">
        <v>989</v>
      </c>
      <c r="D880" s="56"/>
    </row>
    <row r="881" spans="1:5">
      <c r="A881" s="68"/>
      <c r="B881" s="68"/>
      <c r="C881" s="56" t="s">
        <v>990</v>
      </c>
      <c r="D881" s="56"/>
    </row>
    <row r="882" spans="1:5">
      <c r="A882" s="68"/>
      <c r="B882" s="68"/>
      <c r="C882" s="56" t="s">
        <v>991</v>
      </c>
      <c r="D882" s="56" t="s">
        <v>991</v>
      </c>
      <c r="E882" t="s">
        <v>235</v>
      </c>
    </row>
    <row r="883" spans="1:5">
      <c r="A883" s="69"/>
      <c r="B883" s="69"/>
      <c r="C883" s="56" t="s">
        <v>31</v>
      </c>
      <c r="D883" s="56"/>
    </row>
    <row r="884" spans="1:5">
      <c r="A884" s="83" t="s">
        <v>992</v>
      </c>
      <c r="B884" s="83" t="s">
        <v>5</v>
      </c>
      <c r="C884" s="54" t="s">
        <v>950</v>
      </c>
      <c r="D884" s="54"/>
    </row>
    <row r="885" spans="1:5">
      <c r="A885" s="84"/>
      <c r="B885" s="84"/>
      <c r="C885" s="54" t="s">
        <v>993</v>
      </c>
      <c r="D885" s="54"/>
    </row>
    <row r="886" spans="1:5">
      <c r="A886" s="84"/>
      <c r="B886" s="84"/>
      <c r="C886" s="54" t="s">
        <v>994</v>
      </c>
      <c r="D886" s="54"/>
    </row>
    <row r="887" spans="1:5">
      <c r="A887" s="84"/>
      <c r="B887" s="84"/>
      <c r="C887" s="54" t="s">
        <v>995</v>
      </c>
      <c r="D887" s="54"/>
    </row>
    <row r="888" spans="1:5">
      <c r="A888" s="84"/>
      <c r="B888" s="84"/>
      <c r="C888" s="54" t="s">
        <v>996</v>
      </c>
      <c r="D888" s="54"/>
    </row>
    <row r="889" spans="1:5">
      <c r="A889" s="84"/>
      <c r="B889" s="84"/>
      <c r="C889" s="54" t="s">
        <v>997</v>
      </c>
      <c r="D889" s="54" t="s">
        <v>998</v>
      </c>
    </row>
    <row r="890" spans="1:5">
      <c r="A890" s="84"/>
      <c r="B890" s="84"/>
      <c r="C890" s="54" t="s">
        <v>999</v>
      </c>
      <c r="D890" s="54"/>
    </row>
    <row r="891" spans="1:5">
      <c r="A891" s="67" t="s">
        <v>489</v>
      </c>
      <c r="B891" s="67" t="s">
        <v>5</v>
      </c>
      <c r="C891" s="56" t="s">
        <v>1000</v>
      </c>
      <c r="D891" s="56"/>
    </row>
    <row r="892" spans="1:5">
      <c r="A892" s="68"/>
      <c r="B892" s="68"/>
      <c r="C892" s="56" t="s">
        <v>1001</v>
      </c>
      <c r="D892" s="56"/>
    </row>
    <row r="893" spans="1:5">
      <c r="A893" s="68"/>
      <c r="B893" s="68"/>
      <c r="C893" s="56" t="s">
        <v>1002</v>
      </c>
      <c r="D893" s="56"/>
    </row>
    <row r="894" spans="1:5">
      <c r="A894" s="68"/>
      <c r="B894" s="68"/>
      <c r="C894" s="56" t="s">
        <v>1003</v>
      </c>
      <c r="D894" s="56"/>
    </row>
    <row r="895" spans="1:5">
      <c r="A895" s="68"/>
      <c r="B895" s="68"/>
      <c r="C895" s="56" t="s">
        <v>1004</v>
      </c>
      <c r="D895" s="56"/>
    </row>
    <row r="896" spans="1:5">
      <c r="A896" s="68"/>
      <c r="B896" s="68"/>
      <c r="C896" s="56" t="s">
        <v>31</v>
      </c>
      <c r="D896" s="56"/>
    </row>
    <row r="897" spans="1:4">
      <c r="A897" s="83" t="s">
        <v>1005</v>
      </c>
      <c r="B897" s="83" t="s">
        <v>5</v>
      </c>
      <c r="C897" s="54" t="s">
        <v>1006</v>
      </c>
      <c r="D897" s="54"/>
    </row>
    <row r="898" spans="1:4">
      <c r="A898" s="84"/>
      <c r="B898" s="84"/>
      <c r="C898" s="54" t="s">
        <v>1007</v>
      </c>
      <c r="D898" s="54"/>
    </row>
    <row r="899" spans="1:4">
      <c r="A899" s="84"/>
      <c r="B899" s="84"/>
      <c r="C899" s="54" t="s">
        <v>950</v>
      </c>
      <c r="D899" s="54"/>
    </row>
    <row r="900" spans="1:4">
      <c r="A900" s="84"/>
      <c r="B900" s="84"/>
      <c r="C900" s="54" t="s">
        <v>31</v>
      </c>
      <c r="D900" s="54"/>
    </row>
    <row r="901" spans="1:4">
      <c r="A901" s="67" t="s">
        <v>1008</v>
      </c>
      <c r="B901" s="67" t="s">
        <v>5</v>
      </c>
      <c r="C901" s="56" t="s">
        <v>1009</v>
      </c>
      <c r="D901" s="56"/>
    </row>
    <row r="902" spans="1:4">
      <c r="A902" s="68"/>
      <c r="B902" s="68"/>
      <c r="C902" s="56" t="s">
        <v>1010</v>
      </c>
      <c r="D902" s="56"/>
    </row>
    <row r="903" spans="1:4">
      <c r="A903" s="68"/>
      <c r="B903" s="68"/>
      <c r="C903" s="56" t="s">
        <v>764</v>
      </c>
      <c r="D903" s="56"/>
    </row>
    <row r="904" spans="1:4">
      <c r="A904" s="68"/>
      <c r="B904" s="68"/>
      <c r="C904" s="56" t="s">
        <v>1011</v>
      </c>
      <c r="D904" s="56"/>
    </row>
    <row r="905" spans="1:4">
      <c r="A905" s="68"/>
      <c r="B905" s="68"/>
      <c r="C905" s="56" t="s">
        <v>1012</v>
      </c>
      <c r="D905" s="56"/>
    </row>
    <row r="906" spans="1:4">
      <c r="A906" s="93" t="s">
        <v>1013</v>
      </c>
      <c r="B906" s="93" t="s">
        <v>5</v>
      </c>
      <c r="C906" s="59" t="s">
        <v>1014</v>
      </c>
      <c r="D906" s="59"/>
    </row>
    <row r="907" spans="1:4">
      <c r="A907" s="94"/>
      <c r="B907" s="94"/>
      <c r="C907" s="59" t="s">
        <v>1015</v>
      </c>
      <c r="D907" s="59"/>
    </row>
    <row r="908" spans="1:4">
      <c r="A908" s="94"/>
      <c r="B908" s="94"/>
      <c r="C908" s="54" t="s">
        <v>1016</v>
      </c>
      <c r="D908" s="54"/>
    </row>
    <row r="909" spans="1:4">
      <c r="A909" s="94"/>
      <c r="B909" s="94"/>
      <c r="C909" s="54" t="s">
        <v>1017</v>
      </c>
      <c r="D909" s="54"/>
    </row>
    <row r="910" spans="1:4">
      <c r="A910" s="94"/>
      <c r="B910" s="94"/>
      <c r="C910" s="54" t="s">
        <v>1018</v>
      </c>
      <c r="D910" s="54"/>
    </row>
    <row r="911" spans="1:4">
      <c r="A911" s="94"/>
      <c r="B911" s="94"/>
      <c r="C911" s="54" t="s">
        <v>1019</v>
      </c>
      <c r="D911" s="54"/>
    </row>
    <row r="912" spans="1:4">
      <c r="A912" s="89" t="s">
        <v>1020</v>
      </c>
      <c r="B912" s="89" t="s">
        <v>5</v>
      </c>
      <c r="C912" s="61" t="s">
        <v>64</v>
      </c>
      <c r="D912" s="61"/>
    </row>
    <row r="913" spans="1:5">
      <c r="A913" s="71"/>
      <c r="B913" s="71"/>
      <c r="C913" s="61" t="s">
        <v>980</v>
      </c>
      <c r="D913" s="61"/>
    </row>
    <row r="914" spans="1:5">
      <c r="A914" s="71"/>
      <c r="B914" s="71"/>
      <c r="C914" s="56" t="s">
        <v>76</v>
      </c>
      <c r="D914" s="56"/>
    </row>
    <row r="915" spans="1:5">
      <c r="A915" s="71"/>
      <c r="B915" s="71"/>
      <c r="C915" s="56" t="s">
        <v>981</v>
      </c>
      <c r="D915" s="56"/>
    </row>
    <row r="916" spans="1:5">
      <c r="A916" s="71"/>
      <c r="B916" s="71"/>
      <c r="C916" s="56" t="s">
        <v>29</v>
      </c>
      <c r="D916" s="56"/>
    </row>
    <row r="917" spans="1:5">
      <c r="A917" s="71"/>
      <c r="B917" s="71"/>
      <c r="C917" s="56" t="s">
        <v>982</v>
      </c>
      <c r="D917" s="56"/>
    </row>
    <row r="918" spans="1:5">
      <c r="A918" s="71"/>
      <c r="B918" s="71"/>
      <c r="C918" s="61" t="s">
        <v>40</v>
      </c>
      <c r="D918" s="61"/>
    </row>
    <row r="919" spans="1:5">
      <c r="A919" s="71"/>
      <c r="B919" s="71"/>
      <c r="C919" s="61" t="s">
        <v>983</v>
      </c>
      <c r="D919" s="61"/>
    </row>
    <row r="920" spans="1:5" ht="15">
      <c r="A920" s="93" t="s">
        <v>1021</v>
      </c>
      <c r="B920" s="93" t="s">
        <v>5</v>
      </c>
      <c r="C920" s="59" t="s">
        <v>1022</v>
      </c>
      <c r="D920" s="59"/>
      <c r="E920" s="60"/>
    </row>
    <row r="921" spans="1:5" ht="15">
      <c r="A921" s="94"/>
      <c r="B921" s="94"/>
      <c r="C921" s="59" t="s">
        <v>1023</v>
      </c>
      <c r="D921" s="59"/>
      <c r="E921" s="60"/>
    </row>
    <row r="922" spans="1:5" ht="15">
      <c r="A922" s="94"/>
      <c r="B922" s="94"/>
      <c r="C922" s="54" t="s">
        <v>1024</v>
      </c>
      <c r="D922" s="54"/>
      <c r="E922" s="60"/>
    </row>
    <row r="923" spans="1:5" ht="15">
      <c r="A923" s="94"/>
      <c r="B923" s="94"/>
      <c r="C923" s="54" t="s">
        <v>1025</v>
      </c>
      <c r="D923" s="54"/>
      <c r="E923" s="60"/>
    </row>
    <row r="924" spans="1:5" ht="15">
      <c r="A924" s="94"/>
      <c r="B924" s="94"/>
      <c r="C924" s="54" t="s">
        <v>1026</v>
      </c>
      <c r="D924" s="54"/>
      <c r="E924" s="60"/>
    </row>
    <row r="925" spans="1:5">
      <c r="A925" s="94"/>
      <c r="B925" s="94"/>
      <c r="C925" s="54" t="s">
        <v>31</v>
      </c>
      <c r="D925" s="54"/>
    </row>
    <row r="926" spans="1:5">
      <c r="A926" s="89" t="s">
        <v>1027</v>
      </c>
      <c r="B926" s="89" t="s">
        <v>5</v>
      </c>
      <c r="C926" s="56" t="s">
        <v>1028</v>
      </c>
      <c r="D926" s="56"/>
    </row>
    <row r="927" spans="1:5">
      <c r="A927" s="71"/>
      <c r="B927" s="71"/>
      <c r="C927" s="56" t="s">
        <v>1029</v>
      </c>
      <c r="D927" s="56"/>
    </row>
    <row r="928" spans="1:5">
      <c r="A928" s="71"/>
      <c r="B928" s="71"/>
      <c r="C928" s="56" t="s">
        <v>1030</v>
      </c>
      <c r="D928" s="56"/>
    </row>
    <row r="929" spans="1:5">
      <c r="A929" s="90" t="s">
        <v>1031</v>
      </c>
      <c r="B929" s="90" t="s">
        <v>5</v>
      </c>
      <c r="C929" s="59" t="s">
        <v>1032</v>
      </c>
      <c r="D929" s="59"/>
    </row>
    <row r="930" spans="1:5">
      <c r="A930" s="91"/>
      <c r="B930" s="91"/>
      <c r="C930" s="59" t="s">
        <v>773</v>
      </c>
      <c r="D930" s="59"/>
    </row>
    <row r="931" spans="1:5">
      <c r="A931" s="91"/>
      <c r="B931" s="91"/>
      <c r="C931" s="54" t="s">
        <v>986</v>
      </c>
      <c r="D931" s="54"/>
    </row>
    <row r="932" spans="1:5">
      <c r="A932" s="91"/>
      <c r="B932" s="91"/>
      <c r="C932" s="54" t="s">
        <v>774</v>
      </c>
      <c r="D932" s="54"/>
    </row>
    <row r="933" spans="1:5">
      <c r="A933" s="91"/>
      <c r="B933" s="91"/>
      <c r="C933" s="54" t="s">
        <v>31</v>
      </c>
      <c r="D933" s="54"/>
    </row>
    <row r="934" spans="1:5">
      <c r="A934" s="97" t="s">
        <v>1033</v>
      </c>
      <c r="B934" s="97" t="s">
        <v>5</v>
      </c>
      <c r="C934" s="61" t="s">
        <v>986</v>
      </c>
      <c r="D934" s="61"/>
    </row>
    <row r="935" spans="1:5">
      <c r="A935" s="98"/>
      <c r="B935" s="98"/>
      <c r="C935" s="61" t="s">
        <v>773</v>
      </c>
      <c r="D935" s="61"/>
    </row>
    <row r="936" spans="1:5">
      <c r="A936" s="98"/>
      <c r="B936" s="98"/>
      <c r="C936" s="56" t="s">
        <v>774</v>
      </c>
      <c r="D936" s="56"/>
    </row>
    <row r="937" spans="1:5">
      <c r="A937" s="98"/>
      <c r="B937" s="98"/>
      <c r="C937" s="56" t="s">
        <v>775</v>
      </c>
      <c r="D937" s="56"/>
    </row>
    <row r="938" spans="1:5">
      <c r="A938" s="98"/>
      <c r="B938" s="98"/>
      <c r="C938" s="56" t="s">
        <v>1034</v>
      </c>
      <c r="D938" s="56"/>
    </row>
    <row r="939" spans="1:5">
      <c r="A939" s="98"/>
      <c r="B939" s="98"/>
      <c r="C939" s="61" t="s">
        <v>1034</v>
      </c>
      <c r="D939" s="61"/>
    </row>
    <row r="940" spans="1:5">
      <c r="A940" s="98"/>
      <c r="B940" s="98"/>
      <c r="C940" s="61" t="s">
        <v>988</v>
      </c>
      <c r="D940" s="61"/>
    </row>
    <row r="941" spans="1:5">
      <c r="A941" s="98"/>
      <c r="B941" s="98"/>
      <c r="C941" s="56" t="s">
        <v>989</v>
      </c>
      <c r="D941" s="56"/>
    </row>
    <row r="942" spans="1:5">
      <c r="A942" s="98"/>
      <c r="B942" s="98"/>
      <c r="C942" s="61" t="s">
        <v>990</v>
      </c>
      <c r="D942" s="61"/>
    </row>
    <row r="943" spans="1:5">
      <c r="A943" s="98"/>
      <c r="B943" s="98"/>
      <c r="C943" s="61" t="s">
        <v>1032</v>
      </c>
      <c r="D943" s="61"/>
    </row>
    <row r="944" spans="1:5">
      <c r="A944" s="98"/>
      <c r="B944" s="98"/>
      <c r="C944" s="56" t="s">
        <v>1035</v>
      </c>
      <c r="D944" s="56" t="s">
        <v>1035</v>
      </c>
      <c r="E944" t="s">
        <v>235</v>
      </c>
    </row>
    <row r="945" spans="1:4">
      <c r="A945" s="122"/>
      <c r="B945" s="122"/>
      <c r="C945" s="56" t="s">
        <v>31</v>
      </c>
      <c r="D945" s="56"/>
    </row>
    <row r="946" spans="1:4" ht="14.25" customHeight="1">
      <c r="A946" s="90" t="s">
        <v>1036</v>
      </c>
      <c r="B946" s="90" t="s">
        <v>5</v>
      </c>
      <c r="C946" s="59" t="s">
        <v>1037</v>
      </c>
      <c r="D946" s="59"/>
    </row>
    <row r="947" spans="1:4">
      <c r="A947" s="91"/>
      <c r="B947" s="91"/>
      <c r="C947" s="59" t="s">
        <v>1038</v>
      </c>
      <c r="D947" s="59"/>
    </row>
    <row r="948" spans="1:4">
      <c r="A948" s="91"/>
      <c r="B948" s="91"/>
      <c r="C948" s="54" t="s">
        <v>1039</v>
      </c>
      <c r="D948" s="54"/>
    </row>
    <row r="949" spans="1:4">
      <c r="A949" s="91"/>
      <c r="B949" s="91"/>
      <c r="C949" s="54" t="s">
        <v>1040</v>
      </c>
      <c r="D949" s="54"/>
    </row>
    <row r="950" spans="1:4">
      <c r="A950" s="91"/>
      <c r="B950" s="91"/>
      <c r="C950" s="54" t="s">
        <v>1041</v>
      </c>
      <c r="D950" s="54"/>
    </row>
    <row r="951" spans="1:4">
      <c r="A951" s="91"/>
      <c r="B951" s="91"/>
      <c r="C951" s="59" t="s">
        <v>785</v>
      </c>
      <c r="D951" s="59"/>
    </row>
    <row r="952" spans="1:4">
      <c r="A952" s="91"/>
      <c r="B952" s="91"/>
      <c r="C952" s="59" t="s">
        <v>1032</v>
      </c>
      <c r="D952" s="59"/>
    </row>
    <row r="953" spans="1:4">
      <c r="A953" s="91"/>
      <c r="B953" s="91"/>
      <c r="C953" s="54" t="s">
        <v>1042</v>
      </c>
      <c r="D953" s="54" t="s">
        <v>1043</v>
      </c>
    </row>
    <row r="954" spans="1:4">
      <c r="A954" s="91"/>
      <c r="B954" s="91"/>
      <c r="C954" s="54" t="s">
        <v>997</v>
      </c>
      <c r="D954" s="54" t="s">
        <v>998</v>
      </c>
    </row>
    <row r="955" spans="1:4">
      <c r="A955" s="91"/>
      <c r="B955" s="91"/>
      <c r="C955" s="54" t="s">
        <v>31</v>
      </c>
      <c r="D955" s="54"/>
    </row>
    <row r="956" spans="1:4">
      <c r="A956" s="97" t="s">
        <v>793</v>
      </c>
      <c r="B956" s="97" t="s">
        <v>5</v>
      </c>
      <c r="C956" s="56" t="s">
        <v>1044</v>
      </c>
      <c r="D956" s="56"/>
    </row>
    <row r="957" spans="1:4">
      <c r="A957" s="98"/>
      <c r="B957" s="98"/>
      <c r="C957" s="56" t="s">
        <v>1045</v>
      </c>
      <c r="D957" s="56"/>
    </row>
    <row r="958" spans="1:4">
      <c r="A958" s="98"/>
      <c r="B958" s="98"/>
      <c r="C958" s="56" t="s">
        <v>1046</v>
      </c>
      <c r="D958" s="56"/>
    </row>
    <row r="959" spans="1:4">
      <c r="A959" s="98"/>
      <c r="B959" s="98"/>
      <c r="C959" s="56" t="s">
        <v>1047</v>
      </c>
      <c r="D959" s="56"/>
    </row>
    <row r="960" spans="1:4">
      <c r="A960" s="98"/>
      <c r="B960" s="98"/>
      <c r="C960" s="56" t="s">
        <v>1048</v>
      </c>
      <c r="D960" s="56"/>
    </row>
    <row r="961" spans="1:5">
      <c r="A961" s="98"/>
      <c r="B961" s="98"/>
      <c r="C961" s="56" t="s">
        <v>1049</v>
      </c>
      <c r="D961" s="56"/>
    </row>
    <row r="962" spans="1:5">
      <c r="A962" s="98"/>
      <c r="B962" s="98"/>
      <c r="C962" s="56" t="s">
        <v>1050</v>
      </c>
      <c r="D962" s="56"/>
    </row>
    <row r="963" spans="1:5">
      <c r="A963" s="98"/>
      <c r="B963" s="98"/>
      <c r="C963" s="56" t="s">
        <v>874</v>
      </c>
      <c r="D963" s="56"/>
      <c r="E963" t="s">
        <v>235</v>
      </c>
    </row>
    <row r="964" spans="1:5">
      <c r="A964" s="99" t="s">
        <v>1051</v>
      </c>
      <c r="B964" s="90" t="s">
        <v>5</v>
      </c>
      <c r="C964" s="54" t="s">
        <v>1009</v>
      </c>
      <c r="D964" s="54"/>
    </row>
    <row r="965" spans="1:5">
      <c r="A965" s="100"/>
      <c r="B965" s="91"/>
      <c r="C965" s="54" t="s">
        <v>1010</v>
      </c>
      <c r="D965" s="54"/>
    </row>
    <row r="966" spans="1:5">
      <c r="A966" s="100"/>
      <c r="B966" s="91"/>
      <c r="C966" s="54" t="s">
        <v>764</v>
      </c>
      <c r="D966" s="54"/>
    </row>
    <row r="967" spans="1:5">
      <c r="A967" s="100"/>
      <c r="B967" s="91"/>
      <c r="C967" s="54" t="s">
        <v>1011</v>
      </c>
      <c r="D967" s="54"/>
    </row>
    <row r="968" spans="1:5">
      <c r="A968" s="100"/>
      <c r="B968" s="91"/>
      <c r="C968" s="54" t="s">
        <v>1012</v>
      </c>
      <c r="D968" s="54"/>
    </row>
    <row r="969" spans="1:5">
      <c r="A969" s="100"/>
      <c r="B969" s="91"/>
      <c r="C969" s="54" t="s">
        <v>1052</v>
      </c>
      <c r="D969" s="54"/>
      <c r="E969" t="s">
        <v>235</v>
      </c>
    </row>
    <row r="970" spans="1:5">
      <c r="A970" s="101" t="s">
        <v>1053</v>
      </c>
      <c r="B970" s="97" t="s">
        <v>5</v>
      </c>
      <c r="C970" s="56" t="s">
        <v>1054</v>
      </c>
      <c r="D970" s="56"/>
    </row>
    <row r="971" spans="1:5">
      <c r="A971" s="102"/>
      <c r="B971" s="98"/>
      <c r="C971" s="56" t="s">
        <v>1055</v>
      </c>
      <c r="D971" s="56"/>
    </row>
    <row r="972" spans="1:5">
      <c r="A972" s="102"/>
      <c r="B972" s="98"/>
      <c r="C972" s="56" t="s">
        <v>1056</v>
      </c>
      <c r="D972" s="56"/>
    </row>
    <row r="973" spans="1:5">
      <c r="A973" s="102"/>
      <c r="B973" s="98"/>
      <c r="C973" s="56" t="s">
        <v>1057</v>
      </c>
      <c r="D973" s="56"/>
    </row>
    <row r="974" spans="1:5">
      <c r="A974" s="102"/>
      <c r="B974" s="98"/>
      <c r="C974" s="56" t="s">
        <v>1058</v>
      </c>
      <c r="D974" s="56"/>
    </row>
    <row r="975" spans="1:5">
      <c r="A975" s="102"/>
      <c r="B975" s="98"/>
      <c r="C975" s="56" t="s">
        <v>1059</v>
      </c>
      <c r="D975" s="56"/>
    </row>
    <row r="976" spans="1:5">
      <c r="A976" s="123"/>
      <c r="B976" s="122"/>
      <c r="C976" s="56" t="s">
        <v>31</v>
      </c>
      <c r="D976" s="56"/>
    </row>
    <row r="977" spans="1:5">
      <c r="A977" s="90" t="s">
        <v>1060</v>
      </c>
      <c r="B977" s="90" t="s">
        <v>5</v>
      </c>
      <c r="C977" s="54" t="s">
        <v>1061</v>
      </c>
      <c r="D977" s="54"/>
      <c r="E977" t="s">
        <v>1062</v>
      </c>
    </row>
    <row r="978" spans="1:5">
      <c r="A978" s="91"/>
      <c r="B978" s="91"/>
      <c r="C978" s="54" t="s">
        <v>1063</v>
      </c>
      <c r="D978" s="54"/>
    </row>
    <row r="979" spans="1:5">
      <c r="A979" s="91"/>
      <c r="B979" s="91"/>
      <c r="C979" s="54" t="s">
        <v>1064</v>
      </c>
      <c r="D979" s="54"/>
    </row>
    <row r="980" spans="1:5">
      <c r="A980" s="91"/>
      <c r="B980" s="91"/>
      <c r="C980" s="54" t="s">
        <v>1065</v>
      </c>
      <c r="D980" s="54"/>
    </row>
    <row r="981" spans="1:5">
      <c r="A981" s="91"/>
      <c r="B981" s="91"/>
      <c r="C981" s="54" t="s">
        <v>1066</v>
      </c>
      <c r="D981" s="54"/>
    </row>
    <row r="982" spans="1:5">
      <c r="A982" s="91"/>
      <c r="B982" s="91"/>
      <c r="C982" s="54" t="s">
        <v>1067</v>
      </c>
      <c r="D982" s="54"/>
    </row>
    <row r="983" spans="1:5">
      <c r="A983" s="91"/>
      <c r="B983" s="91"/>
      <c r="C983" s="54" t="s">
        <v>1068</v>
      </c>
      <c r="D983" s="54"/>
    </row>
    <row r="984" spans="1:5">
      <c r="A984" s="91"/>
      <c r="B984" s="91"/>
      <c r="C984" s="54" t="s">
        <v>1069</v>
      </c>
      <c r="D984" s="54"/>
    </row>
    <row r="985" spans="1:5">
      <c r="A985" s="91"/>
      <c r="B985" s="91"/>
      <c r="C985" s="54" t="s">
        <v>1070</v>
      </c>
      <c r="D985" s="54" t="s">
        <v>1071</v>
      </c>
      <c r="E985" t="s">
        <v>235</v>
      </c>
    </row>
    <row r="986" spans="1:5">
      <c r="A986" s="101" t="s">
        <v>1072</v>
      </c>
      <c r="B986" s="97" t="s">
        <v>5</v>
      </c>
      <c r="C986" s="56" t="s">
        <v>1014</v>
      </c>
      <c r="D986" s="56"/>
    </row>
    <row r="987" spans="1:5">
      <c r="A987" s="102"/>
      <c r="B987" s="98"/>
      <c r="C987" s="56" t="s">
        <v>1015</v>
      </c>
      <c r="D987" s="56"/>
    </row>
    <row r="988" spans="1:5">
      <c r="A988" s="102"/>
      <c r="B988" s="98"/>
      <c r="C988" s="56" t="s">
        <v>1073</v>
      </c>
      <c r="D988" s="56"/>
    </row>
    <row r="989" spans="1:5">
      <c r="A989" s="102"/>
      <c r="B989" s="98"/>
      <c r="C989" s="56" t="s">
        <v>1074</v>
      </c>
      <c r="D989" s="56"/>
    </row>
    <row r="990" spans="1:5">
      <c r="A990" s="102"/>
      <c r="B990" s="98"/>
      <c r="C990" s="56" t="s">
        <v>1075</v>
      </c>
      <c r="D990" s="56"/>
    </row>
    <row r="991" spans="1:5">
      <c r="A991" s="102"/>
      <c r="B991" s="98"/>
      <c r="C991" s="56" t="s">
        <v>1076</v>
      </c>
      <c r="D991" s="56"/>
    </row>
    <row r="992" spans="1:5">
      <c r="A992" s="90" t="s">
        <v>1077</v>
      </c>
      <c r="B992" s="90" t="s">
        <v>5</v>
      </c>
      <c r="C992" s="54" t="s">
        <v>773</v>
      </c>
      <c r="D992" s="54"/>
    </row>
    <row r="993" spans="1:5">
      <c r="A993" s="91"/>
      <c r="B993" s="91"/>
      <c r="C993" s="54" t="s">
        <v>986</v>
      </c>
      <c r="D993" s="54"/>
    </row>
    <row r="994" spans="1:5">
      <c r="A994" s="91"/>
      <c r="B994" s="91"/>
      <c r="C994" s="54" t="s">
        <v>983</v>
      </c>
      <c r="D994" s="54"/>
    </row>
    <row r="995" spans="1:5">
      <c r="A995" s="91"/>
      <c r="B995" s="91"/>
      <c r="C995" s="54" t="s">
        <v>774</v>
      </c>
      <c r="D995" s="54"/>
    </row>
    <row r="996" spans="1:5">
      <c r="A996" s="91"/>
      <c r="B996" s="91"/>
      <c r="C996" s="54" t="s">
        <v>1078</v>
      </c>
      <c r="D996" s="54" t="s">
        <v>1079</v>
      </c>
    </row>
    <row r="997" spans="1:5">
      <c r="A997" s="91"/>
      <c r="B997" s="91"/>
      <c r="C997" s="54" t="s">
        <v>31</v>
      </c>
      <c r="D997" s="54"/>
    </row>
    <row r="998" spans="1:5">
      <c r="A998" s="97" t="s">
        <v>1080</v>
      </c>
      <c r="B998" s="97" t="s">
        <v>5</v>
      </c>
      <c r="C998" s="56" t="s">
        <v>1081</v>
      </c>
      <c r="D998" s="56"/>
      <c r="E998" t="s">
        <v>1062</v>
      </c>
    </row>
    <row r="999" spans="1:5">
      <c r="A999" s="98"/>
      <c r="B999" s="98"/>
      <c r="C999" s="56" t="s">
        <v>1082</v>
      </c>
      <c r="D999" s="56"/>
    </row>
    <row r="1000" spans="1:5">
      <c r="A1000" s="90" t="s">
        <v>1083</v>
      </c>
      <c r="B1000" s="90" t="s">
        <v>5</v>
      </c>
      <c r="C1000" s="54" t="s">
        <v>1084</v>
      </c>
      <c r="D1000" s="54"/>
    </row>
    <row r="1001" spans="1:5">
      <c r="A1001" s="91"/>
      <c r="B1001" s="91"/>
      <c r="C1001" s="54" t="s">
        <v>1085</v>
      </c>
      <c r="D1001" s="54"/>
    </row>
    <row r="1002" spans="1:5">
      <c r="A1002" s="91"/>
      <c r="B1002" s="91"/>
      <c r="C1002" s="54" t="s">
        <v>1086</v>
      </c>
      <c r="D1002" s="54"/>
    </row>
    <row r="1003" spans="1:5">
      <c r="A1003" s="91"/>
      <c r="B1003" s="91"/>
      <c r="C1003" s="54" t="s">
        <v>1087</v>
      </c>
      <c r="D1003" s="54"/>
      <c r="E1003" t="s">
        <v>235</v>
      </c>
    </row>
    <row r="1004" spans="1:5">
      <c r="A1004" s="91"/>
      <c r="B1004" s="91"/>
      <c r="C1004" s="54" t="s">
        <v>1088</v>
      </c>
      <c r="D1004" s="54"/>
    </row>
    <row r="1005" spans="1:5">
      <c r="A1005" s="91"/>
      <c r="B1005" s="91"/>
      <c r="C1005" s="54" t="s">
        <v>1089</v>
      </c>
      <c r="D1005" s="54"/>
    </row>
    <row r="1006" spans="1:5">
      <c r="A1006" s="91"/>
      <c r="B1006" s="91"/>
      <c r="C1006" s="54" t="s">
        <v>1090</v>
      </c>
      <c r="D1006" s="54"/>
      <c r="E1006" t="s">
        <v>235</v>
      </c>
    </row>
    <row r="1007" spans="1:5">
      <c r="A1007" s="91"/>
      <c r="B1007" s="91"/>
      <c r="C1007" s="54" t="s">
        <v>1091</v>
      </c>
      <c r="D1007" s="54"/>
    </row>
    <row r="1008" spans="1:5">
      <c r="A1008" s="91"/>
      <c r="B1008" s="91"/>
      <c r="C1008" s="54" t="s">
        <v>1092</v>
      </c>
      <c r="D1008" s="54"/>
    </row>
    <row r="1009" spans="1:4">
      <c r="A1009" s="91"/>
      <c r="B1009" s="91"/>
      <c r="C1009" s="54" t="s">
        <v>1093</v>
      </c>
      <c r="D1009" s="54"/>
    </row>
    <row r="1010" spans="1:4">
      <c r="A1010" s="91"/>
      <c r="B1010" s="91"/>
      <c r="C1010" s="54" t="s">
        <v>1094</v>
      </c>
      <c r="D1010" s="54"/>
    </row>
    <row r="1011" spans="1:4">
      <c r="A1011" s="91"/>
      <c r="B1011" s="91"/>
      <c r="C1011" s="54" t="s">
        <v>1095</v>
      </c>
      <c r="D1011" s="54"/>
    </row>
    <row r="1012" spans="1:4">
      <c r="A1012" s="91"/>
      <c r="B1012" s="91"/>
      <c r="C1012" s="54" t="s">
        <v>1096</v>
      </c>
      <c r="D1012" s="54"/>
    </row>
    <row r="1013" spans="1:4">
      <c r="A1013" s="91"/>
      <c r="B1013" s="91"/>
      <c r="C1013" s="54" t="s">
        <v>1097</v>
      </c>
      <c r="D1013" s="54"/>
    </row>
    <row r="1014" spans="1:4">
      <c r="A1014" s="91"/>
      <c r="B1014" s="91"/>
      <c r="C1014" s="54" t="s">
        <v>1098</v>
      </c>
      <c r="D1014" s="54"/>
    </row>
    <row r="1015" spans="1:4">
      <c r="A1015" s="91"/>
      <c r="B1015" s="91"/>
      <c r="C1015" s="54" t="s">
        <v>158</v>
      </c>
      <c r="D1015" s="54"/>
    </row>
    <row r="1016" spans="1:4">
      <c r="A1016" s="91"/>
      <c r="B1016" s="91"/>
      <c r="C1016" s="54" t="s">
        <v>1099</v>
      </c>
      <c r="D1016" s="54"/>
    </row>
    <row r="1017" spans="1:4">
      <c r="A1017" s="91"/>
      <c r="B1017" s="91"/>
      <c r="C1017" s="54" t="s">
        <v>163</v>
      </c>
      <c r="D1017" s="54"/>
    </row>
    <row r="1018" spans="1:4">
      <c r="A1018" s="91"/>
      <c r="B1018" s="91"/>
      <c r="C1018" s="54" t="s">
        <v>1100</v>
      </c>
      <c r="D1018" s="54"/>
    </row>
    <row r="1019" spans="1:4">
      <c r="A1019" s="91"/>
      <c r="B1019" s="91"/>
      <c r="C1019" s="54" t="s">
        <v>1101</v>
      </c>
      <c r="D1019" s="54"/>
    </row>
    <row r="1020" spans="1:4">
      <c r="A1020" s="91"/>
      <c r="B1020" s="91"/>
      <c r="C1020" s="54" t="s">
        <v>1102</v>
      </c>
      <c r="D1020" s="54"/>
    </row>
    <row r="1021" spans="1:4">
      <c r="A1021" s="91"/>
      <c r="B1021" s="91"/>
      <c r="C1021" s="54" t="s">
        <v>1103</v>
      </c>
      <c r="D1021" s="54"/>
    </row>
    <row r="1022" spans="1:4">
      <c r="A1022" s="91"/>
      <c r="B1022" s="91"/>
      <c r="C1022" s="54" t="s">
        <v>1104</v>
      </c>
      <c r="D1022" s="54"/>
    </row>
    <row r="1023" spans="1:4">
      <c r="A1023" s="91"/>
      <c r="B1023" s="91"/>
      <c r="C1023" s="54" t="s">
        <v>1105</v>
      </c>
      <c r="D1023" s="54"/>
    </row>
    <row r="1024" spans="1:4">
      <c r="A1024" s="91"/>
      <c r="B1024" s="91"/>
      <c r="C1024" s="54" t="s">
        <v>1106</v>
      </c>
      <c r="D1024" s="54"/>
    </row>
    <row r="1025" spans="1:5">
      <c r="A1025" s="91"/>
      <c r="B1025" s="91"/>
      <c r="C1025" s="54" t="s">
        <v>1107</v>
      </c>
      <c r="D1025" s="54"/>
    </row>
    <row r="1026" spans="1:5">
      <c r="A1026" s="91"/>
      <c r="B1026" s="91"/>
      <c r="C1026" s="54" t="s">
        <v>1108</v>
      </c>
      <c r="D1026" s="54"/>
    </row>
    <row r="1027" spans="1:5">
      <c r="A1027" s="91"/>
      <c r="B1027" s="91"/>
      <c r="C1027" s="54" t="s">
        <v>1109</v>
      </c>
      <c r="D1027" s="54"/>
    </row>
    <row r="1028" spans="1:5">
      <c r="A1028" s="91"/>
      <c r="B1028" s="91"/>
      <c r="C1028" s="54" t="s">
        <v>1110</v>
      </c>
      <c r="D1028" s="54"/>
    </row>
    <row r="1029" spans="1:5">
      <c r="A1029" s="91"/>
      <c r="B1029" s="91"/>
      <c r="C1029" s="54" t="s">
        <v>1111</v>
      </c>
      <c r="D1029" s="54"/>
    </row>
    <row r="1030" spans="1:5">
      <c r="A1030" s="91"/>
      <c r="B1030" s="91"/>
      <c r="C1030" s="54" t="s">
        <v>1112</v>
      </c>
      <c r="D1030" s="54"/>
    </row>
    <row r="1031" spans="1:5">
      <c r="A1031" s="91"/>
      <c r="B1031" s="91"/>
      <c r="C1031" s="132" t="s">
        <v>1113</v>
      </c>
      <c r="D1031" s="54"/>
      <c r="E1031" t="s">
        <v>235</v>
      </c>
    </row>
    <row r="1032" spans="1:5">
      <c r="A1032" s="91"/>
      <c r="B1032" s="91"/>
      <c r="C1032" s="54" t="s">
        <v>1114</v>
      </c>
      <c r="D1032" s="54"/>
    </row>
    <row r="1033" spans="1:5">
      <c r="A1033" s="91"/>
      <c r="B1033" s="91"/>
      <c r="C1033" s="54" t="s">
        <v>31</v>
      </c>
      <c r="D1033" s="54"/>
    </row>
    <row r="1034" spans="1:5">
      <c r="A1034" s="67" t="s">
        <v>1115</v>
      </c>
      <c r="B1034" s="67" t="s">
        <v>5</v>
      </c>
      <c r="C1034" s="56" t="s">
        <v>1116</v>
      </c>
      <c r="D1034" s="56"/>
      <c r="E1034" t="s">
        <v>1062</v>
      </c>
    </row>
    <row r="1035" spans="1:5">
      <c r="A1035" s="68"/>
      <c r="B1035" s="68"/>
      <c r="C1035" s="56" t="s">
        <v>1117</v>
      </c>
      <c r="D1035" s="56"/>
    </row>
    <row r="1036" spans="1:5">
      <c r="A1036" s="68"/>
      <c r="B1036" s="68"/>
      <c r="C1036" s="56" t="s">
        <v>31</v>
      </c>
      <c r="D1036" s="56"/>
    </row>
    <row r="1037" spans="1:5">
      <c r="A1037" s="90" t="s">
        <v>1118</v>
      </c>
      <c r="B1037" s="90" t="s">
        <v>5</v>
      </c>
      <c r="C1037" s="54" t="s">
        <v>1119</v>
      </c>
      <c r="D1037" s="54"/>
    </row>
    <row r="1038" spans="1:5">
      <c r="A1038" s="91"/>
      <c r="B1038" s="91"/>
      <c r="C1038" s="54" t="s">
        <v>1120</v>
      </c>
      <c r="D1038" s="54" t="s">
        <v>1121</v>
      </c>
    </row>
    <row r="1039" spans="1:5">
      <c r="A1039" s="91"/>
      <c r="B1039" s="91"/>
      <c r="C1039" s="54" t="s">
        <v>1122</v>
      </c>
      <c r="D1039" s="54" t="s">
        <v>1123</v>
      </c>
    </row>
    <row r="1040" spans="1:5">
      <c r="A1040" s="91"/>
      <c r="B1040" s="91"/>
      <c r="C1040" s="54" t="s">
        <v>1124</v>
      </c>
      <c r="D1040" s="54" t="s">
        <v>1125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3"/>
    </row>
    <row r="1075" spans="1:3" s="11" customFormat="1">
      <c r="C1075" s="18"/>
    </row>
    <row r="1076" spans="1:3" s="11" customFormat="1">
      <c r="C1076" s="18" t="s">
        <v>329</v>
      </c>
    </row>
    <row r="1077" spans="1:3" s="11" customFormat="1">
      <c r="C1077" s="18" t="s">
        <v>166</v>
      </c>
    </row>
    <row r="1078" spans="1:3" s="11" customFormat="1">
      <c r="C1078" s="18" t="s">
        <v>330</v>
      </c>
    </row>
    <row r="1079" spans="1:3" s="11" customFormat="1">
      <c r="C1079" s="18" t="s">
        <v>332</v>
      </c>
    </row>
    <row r="1080" spans="1:3" s="11" customFormat="1">
      <c r="C1080" s="18"/>
    </row>
    <row r="1081" spans="1:3" s="11" customFormat="1">
      <c r="C1081" s="18" t="s">
        <v>329</v>
      </c>
    </row>
    <row r="1082" spans="1:3" s="11" customFormat="1">
      <c r="C1082" s="18" t="s">
        <v>166</v>
      </c>
    </row>
    <row r="1083" spans="1:3" s="11" customFormat="1">
      <c r="C1083" s="18" t="s">
        <v>330</v>
      </c>
    </row>
    <row r="1084" spans="1:3" s="11" customFormat="1">
      <c r="C1084" s="18" t="s">
        <v>332</v>
      </c>
    </row>
    <row r="1085" spans="1:3" s="11" customFormat="1">
      <c r="C1085" s="18" t="s">
        <v>331</v>
      </c>
    </row>
    <row r="1086" spans="1:3" s="11" customFormat="1">
      <c r="C1086" s="18"/>
    </row>
    <row r="1087" spans="1:3" s="11" customFormat="1">
      <c r="C1087" s="18" t="s">
        <v>329</v>
      </c>
    </row>
    <row r="1088" spans="1:3" s="11" customFormat="1">
      <c r="C1088" s="18" t="s">
        <v>166</v>
      </c>
    </row>
    <row r="1089" spans="3:3" s="11" customFormat="1">
      <c r="C1089" s="18" t="s">
        <v>332</v>
      </c>
    </row>
    <row r="1090" spans="3:3" s="11" customFormat="1">
      <c r="C1090" s="18"/>
    </row>
    <row r="1091" spans="3:3" s="11" customFormat="1">
      <c r="C1091" s="18" t="s">
        <v>912</v>
      </c>
    </row>
    <row r="1092" spans="3:3" s="11" customFormat="1">
      <c r="C1092" s="18" t="s">
        <v>31</v>
      </c>
    </row>
    <row r="1093" spans="3:3" s="11" customFormat="1">
      <c r="C1093" s="18"/>
    </row>
    <row r="1094" spans="3:3" s="11" customFormat="1">
      <c r="C1094" s="18" t="s">
        <v>456</v>
      </c>
    </row>
    <row r="1095" spans="3:3" s="11" customFormat="1">
      <c r="C1095" s="18" t="s">
        <v>758</v>
      </c>
    </row>
    <row r="1096" spans="3:3" s="11" customFormat="1">
      <c r="C1096" s="18" t="s">
        <v>759</v>
      </c>
    </row>
    <row r="1097" spans="3:3" s="11" customFormat="1">
      <c r="C1097" s="18" t="s">
        <v>762</v>
      </c>
    </row>
    <row r="1098" spans="3:3" s="11" customFormat="1">
      <c r="C1098" s="18" t="s">
        <v>763</v>
      </c>
    </row>
    <row r="1099" spans="3:3" s="11" customFormat="1">
      <c r="C1099" s="18" t="s">
        <v>764</v>
      </c>
    </row>
    <row r="1100" spans="3:3" s="11" customFormat="1">
      <c r="C1100" s="18" t="s">
        <v>765</v>
      </c>
    </row>
    <row r="1101" spans="3:3" s="11" customFormat="1">
      <c r="C1101" s="18" t="s">
        <v>766</v>
      </c>
    </row>
    <row r="1102" spans="3:3" s="11" customFormat="1">
      <c r="C1102" s="18" t="s">
        <v>767</v>
      </c>
    </row>
    <row r="1103" spans="3:3" s="11" customFormat="1">
      <c r="C1103" s="18" t="s">
        <v>769</v>
      </c>
    </row>
    <row r="1104" spans="3:3" s="11" customFormat="1">
      <c r="C1104" s="18" t="s">
        <v>502</v>
      </c>
    </row>
    <row r="1105" spans="3:3" s="11" customFormat="1">
      <c r="C1105" s="18" t="s">
        <v>31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910</v>
      </c>
    </row>
    <row r="1109" spans="3:3" s="11" customFormat="1">
      <c r="C1109" s="18" t="s">
        <v>911</v>
      </c>
    </row>
    <row r="1110" spans="3:3" s="11" customFormat="1">
      <c r="C1110" s="18" t="s">
        <v>913</v>
      </c>
    </row>
    <row r="1111" spans="3:3" s="11" customFormat="1">
      <c r="C1111" s="18" t="s">
        <v>31</v>
      </c>
    </row>
    <row r="1112" spans="3:3" s="11" customFormat="1">
      <c r="C1112" s="18"/>
    </row>
    <row r="1113" spans="3:3" s="11" customFormat="1">
      <c r="C1113" s="18" t="s">
        <v>339</v>
      </c>
    </row>
    <row r="1114" spans="3:3" s="11" customFormat="1">
      <c r="C1114" s="18" t="s">
        <v>340</v>
      </c>
    </row>
    <row r="1115" spans="3:3" s="11" customFormat="1">
      <c r="C1115" s="18" t="s">
        <v>43</v>
      </c>
    </row>
    <row r="1116" spans="3:3" s="11" customFormat="1">
      <c r="C1116" s="18" t="s">
        <v>31</v>
      </c>
    </row>
    <row r="1117" spans="3:3" s="11" customFormat="1">
      <c r="C1117" s="18"/>
    </row>
    <row r="1118" spans="3:3" s="11" customFormat="1">
      <c r="C1118" s="18" t="s">
        <v>345</v>
      </c>
    </row>
    <row r="1119" spans="3:3" s="11" customFormat="1">
      <c r="C1119" s="18" t="s">
        <v>1126</v>
      </c>
    </row>
    <row r="1120" spans="3:3" s="11" customFormat="1">
      <c r="C1120" s="18"/>
    </row>
    <row r="1121" spans="3:3">
      <c r="C1121" s="18" t="s">
        <v>345</v>
      </c>
    </row>
    <row r="1122" spans="3:3" s="11" customFormat="1">
      <c r="C1122" s="18" t="s">
        <v>347</v>
      </c>
    </row>
    <row r="1123" spans="3:3" s="11" customFormat="1">
      <c r="C1123" s="18" t="s">
        <v>349</v>
      </c>
    </row>
    <row r="1124" spans="3:3" s="11" customFormat="1">
      <c r="C1124" s="18" t="s">
        <v>351</v>
      </c>
    </row>
    <row r="1125" spans="3:3">
      <c r="C1125" s="18" t="s">
        <v>356</v>
      </c>
    </row>
    <row r="1126" spans="3:3">
      <c r="C1126" s="18" t="s">
        <v>31</v>
      </c>
    </row>
    <row r="1129" spans="3:3">
      <c r="C1129" s="18" t="s">
        <v>452</v>
      </c>
    </row>
    <row r="1130" spans="3:3">
      <c r="C1130" s="18" t="s">
        <v>453</v>
      </c>
    </row>
    <row r="1131" spans="3:3">
      <c r="C1131" s="18" t="s">
        <v>455</v>
      </c>
    </row>
    <row r="1132" spans="3:3">
      <c r="C1132" s="18" t="s">
        <v>456</v>
      </c>
    </row>
    <row r="1133" spans="3:3">
      <c r="C1133" s="18" t="s">
        <v>457</v>
      </c>
    </row>
    <row r="1134" spans="3:3">
      <c r="C1134" s="18" t="s">
        <v>459</v>
      </c>
    </row>
    <row r="1135" spans="3:3">
      <c r="C1135" s="18" t="s">
        <v>460</v>
      </c>
    </row>
    <row r="1136" spans="3:3">
      <c r="C1136" s="18" t="s">
        <v>461</v>
      </c>
    </row>
    <row r="1137" spans="3:3">
      <c r="C1137" s="18" t="s">
        <v>462</v>
      </c>
    </row>
    <row r="1138" spans="3:3">
      <c r="C1138" s="18" t="s">
        <v>463</v>
      </c>
    </row>
    <row r="1139" spans="3:3">
      <c r="C1139" s="18" t="s">
        <v>464</v>
      </c>
    </row>
    <row r="1140" spans="3:3">
      <c r="C1140" s="18" t="s">
        <v>465</v>
      </c>
    </row>
    <row r="1141" spans="3:3">
      <c r="C1141" s="18" t="s">
        <v>466</v>
      </c>
    </row>
    <row r="1142" spans="3:3">
      <c r="C1142" s="18" t="s">
        <v>467</v>
      </c>
    </row>
    <row r="1143" spans="3:3">
      <c r="C1143" s="18" t="s">
        <v>468</v>
      </c>
    </row>
    <row r="1144" spans="3:3">
      <c r="C1144" s="18" t="s">
        <v>470</v>
      </c>
    </row>
    <row r="1145" spans="3:3">
      <c r="C1145" s="18" t="s">
        <v>471</v>
      </c>
    </row>
    <row r="1146" spans="3:3">
      <c r="C1146" s="18" t="s">
        <v>472</v>
      </c>
    </row>
    <row r="1147" spans="3:3">
      <c r="C1147" s="18" t="s">
        <v>474</v>
      </c>
    </row>
    <row r="1148" spans="3:3">
      <c r="C1148" s="18" t="s">
        <v>475</v>
      </c>
    </row>
    <row r="1149" spans="3:3">
      <c r="C1149" s="18" t="s">
        <v>476</v>
      </c>
    </row>
    <row r="1150" spans="3:3">
      <c r="C1150" s="18" t="s">
        <v>477</v>
      </c>
    </row>
    <row r="1151" spans="3:3">
      <c r="C1151" s="18" t="s">
        <v>478</v>
      </c>
    </row>
    <row r="1152" spans="3:3">
      <c r="C1152" s="18" t="s">
        <v>479</v>
      </c>
    </row>
    <row r="1153" spans="3:3">
      <c r="C1153" s="18" t="s">
        <v>480</v>
      </c>
    </row>
    <row r="1154" spans="3:3">
      <c r="C1154" s="18" t="s">
        <v>481</v>
      </c>
    </row>
    <row r="1155" spans="3:3">
      <c r="C1155" s="18" t="s">
        <v>482</v>
      </c>
    </row>
    <row r="1156" spans="3:3">
      <c r="C1156" s="18" t="s">
        <v>483</v>
      </c>
    </row>
    <row r="1157" spans="3:3">
      <c r="C1157" s="18" t="s">
        <v>484</v>
      </c>
    </row>
    <row r="1158" spans="3:3">
      <c r="C1158" s="18" t="s">
        <v>485</v>
      </c>
    </row>
    <row r="1159" spans="3:3">
      <c r="C1159" s="18" t="s">
        <v>486</v>
      </c>
    </row>
    <row r="1160" spans="3:3">
      <c r="C1160" s="18" t="s">
        <v>487</v>
      </c>
    </row>
    <row r="1161" spans="3:3">
      <c r="C1161" s="18" t="s">
        <v>488</v>
      </c>
    </row>
    <row r="1162" spans="3:3">
      <c r="C1162" s="18" t="s">
        <v>489</v>
      </c>
    </row>
    <row r="1163" spans="3:3" ht="14.45" customHeight="1">
      <c r="C1163" s="18" t="s">
        <v>490</v>
      </c>
    </row>
    <row r="1164" spans="3:3">
      <c r="C1164" s="18" t="s">
        <v>492</v>
      </c>
    </row>
    <row r="1165" spans="3:3">
      <c r="C1165" s="18" t="s">
        <v>493</v>
      </c>
    </row>
    <row r="1166" spans="3:3">
      <c r="C1166" s="18" t="s">
        <v>494</v>
      </c>
    </row>
    <row r="1167" spans="3:3">
      <c r="C1167" s="18" t="s">
        <v>495</v>
      </c>
    </row>
    <row r="1168" spans="3:3">
      <c r="C1168" s="18" t="s">
        <v>497</v>
      </c>
    </row>
    <row r="1169" spans="3:3">
      <c r="C1169" s="18" t="s">
        <v>501</v>
      </c>
    </row>
    <row r="1170" spans="3:3">
      <c r="C1170" s="18" t="s">
        <v>31</v>
      </c>
    </row>
    <row r="1171" spans="3:3">
      <c r="C1171" s="18" t="s">
        <v>503</v>
      </c>
    </row>
    <row r="1172" spans="3:3">
      <c r="C1172" s="18" t="s">
        <v>504</v>
      </c>
    </row>
    <row r="1173" spans="3:3">
      <c r="C1173" s="18" t="s">
        <v>505</v>
      </c>
    </row>
    <row r="1174" spans="3:3">
      <c r="C1174" s="18" t="s">
        <v>506</v>
      </c>
    </row>
    <row r="1175" spans="3:3">
      <c r="C1175" s="18" t="s">
        <v>507</v>
      </c>
    </row>
    <row r="1176" spans="3:3">
      <c r="C1176" s="18" t="s">
        <v>508</v>
      </c>
    </row>
    <row r="1177" spans="3:3">
      <c r="C1177" s="18" t="s">
        <v>509</v>
      </c>
    </row>
    <row r="1178" spans="3:3">
      <c r="C1178" s="18" t="s">
        <v>510</v>
      </c>
    </row>
    <row r="1179" spans="3:3">
      <c r="C1179" s="18" t="s">
        <v>511</v>
      </c>
    </row>
    <row r="1180" spans="3:3">
      <c r="C1180" s="18" t="s">
        <v>512</v>
      </c>
    </row>
    <row r="1181" spans="3:3">
      <c r="C1181" s="18" t="s">
        <v>513</v>
      </c>
    </row>
    <row r="1182" spans="3:3">
      <c r="C1182" s="18" t="s">
        <v>514</v>
      </c>
    </row>
    <row r="1183" spans="3:3">
      <c r="C1183" s="18" t="s">
        <v>515</v>
      </c>
    </row>
    <row r="1184" spans="3:3">
      <c r="C1184" s="18" t="s">
        <v>516</v>
      </c>
    </row>
    <row r="1185" spans="3:3">
      <c r="C1185" s="18" t="s">
        <v>517</v>
      </c>
    </row>
    <row r="1186" spans="3:3">
      <c r="C1186" s="18" t="s">
        <v>518</v>
      </c>
    </row>
    <row r="1187" spans="3:3">
      <c r="C1187" s="18" t="s">
        <v>519</v>
      </c>
    </row>
    <row r="1188" spans="3:3">
      <c r="C1188" s="18" t="s">
        <v>520</v>
      </c>
    </row>
    <row r="1189" spans="3:3">
      <c r="C1189" s="18" t="s">
        <v>522</v>
      </c>
    </row>
    <row r="1190" spans="3:3">
      <c r="C1190" s="18" t="s">
        <v>524</v>
      </c>
    </row>
    <row r="1191" spans="3:3">
      <c r="C1191" s="18" t="s">
        <v>526</v>
      </c>
    </row>
    <row r="1192" spans="3:3">
      <c r="C1192" s="131" t="s">
        <v>527</v>
      </c>
    </row>
    <row r="1193" spans="3:3">
      <c r="C1193" s="18" t="s">
        <v>529</v>
      </c>
    </row>
    <row r="1194" spans="3:3">
      <c r="C1194" s="18" t="s">
        <v>530</v>
      </c>
    </row>
    <row r="1195" spans="3:3">
      <c r="C1195" s="18" t="s">
        <v>531</v>
      </c>
    </row>
    <row r="1196" spans="3:3">
      <c r="C1196" s="18" t="s">
        <v>532</v>
      </c>
    </row>
    <row r="1197" spans="3:3">
      <c r="C1197" s="18" t="s">
        <v>533</v>
      </c>
    </row>
    <row r="1198" spans="3:3">
      <c r="C1198" s="18" t="s">
        <v>534</v>
      </c>
    </row>
    <row r="1199" spans="3:3">
      <c r="C1199" s="18" t="s">
        <v>535</v>
      </c>
    </row>
    <row r="1200" spans="3:3">
      <c r="C1200" s="18" t="s">
        <v>536</v>
      </c>
    </row>
    <row r="1201" spans="3:3">
      <c r="C1201" s="18" t="s">
        <v>538</v>
      </c>
    </row>
    <row r="1202" spans="3:3">
      <c r="C1202" s="18" t="s">
        <v>539</v>
      </c>
    </row>
    <row r="1203" spans="3:3">
      <c r="C1203" s="18" t="s">
        <v>541</v>
      </c>
    </row>
    <row r="1204" spans="3:3">
      <c r="C1204" s="18" t="s">
        <v>542</v>
      </c>
    </row>
    <row r="1205" spans="3:3">
      <c r="C1205" s="18" t="s">
        <v>543</v>
      </c>
    </row>
    <row r="1206" spans="3:3">
      <c r="C1206" s="18" t="s">
        <v>544</v>
      </c>
    </row>
    <row r="1207" spans="3:3">
      <c r="C1207" s="18" t="s">
        <v>545</v>
      </c>
    </row>
    <row r="1208" spans="3:3">
      <c r="C1208" s="18" t="s">
        <v>547</v>
      </c>
    </row>
    <row r="1209" spans="3:3">
      <c r="C1209" s="18" t="s">
        <v>548</v>
      </c>
    </row>
    <row r="1210" spans="3:3">
      <c r="C1210" s="18" t="s">
        <v>549</v>
      </c>
    </row>
    <row r="1211" spans="3:3">
      <c r="C1211" s="18" t="s">
        <v>550</v>
      </c>
    </row>
    <row r="1212" spans="3:3">
      <c r="C1212" s="18" t="s">
        <v>551</v>
      </c>
    </row>
    <row r="1213" spans="3:3">
      <c r="C1213" s="18" t="s">
        <v>552</v>
      </c>
    </row>
    <row r="1214" spans="3:3">
      <c r="C1214" s="18" t="s">
        <v>553</v>
      </c>
    </row>
    <row r="1215" spans="3:3">
      <c r="C1215" s="18" t="s">
        <v>554</v>
      </c>
    </row>
    <row r="1216" spans="3:3">
      <c r="C1216" s="18" t="s">
        <v>556</v>
      </c>
    </row>
    <row r="1217" spans="3:3">
      <c r="C1217" s="18" t="s">
        <v>557</v>
      </c>
    </row>
    <row r="1218" spans="3:3">
      <c r="C1218" s="18" t="s">
        <v>558</v>
      </c>
    </row>
    <row r="1219" spans="3:3">
      <c r="C1219" s="18" t="s">
        <v>559</v>
      </c>
    </row>
    <row r="1220" spans="3:3">
      <c r="C1220" s="18" t="s">
        <v>560</v>
      </c>
    </row>
    <row r="1221" spans="3:3">
      <c r="C1221" s="18" t="s">
        <v>561</v>
      </c>
    </row>
    <row r="1222" spans="3:3">
      <c r="C1222" s="18" t="s">
        <v>562</v>
      </c>
    </row>
    <row r="1223" spans="3:3">
      <c r="C1223" s="18" t="s">
        <v>563</v>
      </c>
    </row>
    <row r="1224" spans="3:3">
      <c r="C1224" s="18" t="s">
        <v>564</v>
      </c>
    </row>
    <row r="1225" spans="3:3">
      <c r="C1225" s="18" t="s">
        <v>565</v>
      </c>
    </row>
    <row r="1226" spans="3:3">
      <c r="C1226" s="18" t="s">
        <v>566</v>
      </c>
    </row>
    <row r="1227" spans="3:3">
      <c r="C1227" s="18" t="s">
        <v>567</v>
      </c>
    </row>
    <row r="1228" spans="3:3">
      <c r="C1228" s="18" t="s">
        <v>568</v>
      </c>
    </row>
    <row r="1229" spans="3:3">
      <c r="C1229" s="18" t="s">
        <v>569</v>
      </c>
    </row>
    <row r="1230" spans="3:3">
      <c r="C1230" s="18" t="s">
        <v>570</v>
      </c>
    </row>
    <row r="1231" spans="3:3">
      <c r="C1231" s="18" t="s">
        <v>571</v>
      </c>
    </row>
    <row r="1232" spans="3:3">
      <c r="C1232" s="18" t="s">
        <v>572</v>
      </c>
    </row>
    <row r="1233" spans="3:3">
      <c r="C1233" s="18" t="s">
        <v>573</v>
      </c>
    </row>
    <row r="1234" spans="3:3">
      <c r="C1234" s="18" t="s">
        <v>574</v>
      </c>
    </row>
    <row r="1235" spans="3:3">
      <c r="C1235" s="18" t="s">
        <v>575</v>
      </c>
    </row>
    <row r="1236" spans="3:3">
      <c r="C1236" s="18" t="s">
        <v>576</v>
      </c>
    </row>
    <row r="1237" spans="3:3">
      <c r="C1237" s="18" t="s">
        <v>578</v>
      </c>
    </row>
    <row r="1238" spans="3:3">
      <c r="C1238" s="18" t="s">
        <v>579</v>
      </c>
    </row>
    <row r="1239" spans="3:3">
      <c r="C1239" s="18" t="s">
        <v>580</v>
      </c>
    </row>
    <row r="1240" spans="3:3">
      <c r="C1240" s="18" t="s">
        <v>581</v>
      </c>
    </row>
    <row r="1241" spans="3:3">
      <c r="C1241" s="18" t="s">
        <v>582</v>
      </c>
    </row>
    <row r="1242" spans="3:3">
      <c r="C1242" s="18" t="s">
        <v>583</v>
      </c>
    </row>
    <row r="1243" spans="3:3">
      <c r="C1243" s="18" t="s">
        <v>584</v>
      </c>
    </row>
    <row r="1244" spans="3:3">
      <c r="C1244" s="18" t="s">
        <v>585</v>
      </c>
    </row>
    <row r="1245" spans="3:3">
      <c r="C1245" s="18" t="s">
        <v>586</v>
      </c>
    </row>
    <row r="1248" spans="3:3">
      <c r="C1248" s="18" t="s">
        <v>346</v>
      </c>
    </row>
    <row r="1249" spans="3:3">
      <c r="C1249" s="18" t="s">
        <v>347</v>
      </c>
    </row>
    <row r="1250" spans="3:3">
      <c r="C1250" s="18" t="s">
        <v>349</v>
      </c>
    </row>
    <row r="1251" spans="3:3">
      <c r="C1251" s="18" t="s">
        <v>352</v>
      </c>
    </row>
    <row r="1252" spans="3:3">
      <c r="C1252" s="18" t="s">
        <v>354</v>
      </c>
    </row>
    <row r="1253" spans="3:3">
      <c r="C1253" s="18" t="s">
        <v>31</v>
      </c>
    </row>
    <row r="1255" spans="3:3">
      <c r="C1255" s="18" t="s">
        <v>346</v>
      </c>
    </row>
    <row r="1256" spans="3:3">
      <c r="C1256" s="18" t="s">
        <v>351</v>
      </c>
    </row>
    <row r="1257" spans="3:3">
      <c r="C1257" s="18" t="s">
        <v>356</v>
      </c>
    </row>
    <row r="1258" spans="3:3">
      <c r="C1258" s="18" t="s">
        <v>347</v>
      </c>
    </row>
    <row r="1259" spans="3:3">
      <c r="C1259" s="18" t="s">
        <v>31</v>
      </c>
    </row>
    <row r="1261" spans="3:3">
      <c r="C1261" s="18" t="s">
        <v>345</v>
      </c>
    </row>
    <row r="1262" spans="3:3">
      <c r="C1262" s="18" t="s">
        <v>347</v>
      </c>
    </row>
    <row r="1263" spans="3:3">
      <c r="C1263" s="18" t="s">
        <v>354</v>
      </c>
    </row>
    <row r="1264" spans="3:3">
      <c r="C1264" s="18" t="s">
        <v>352</v>
      </c>
    </row>
    <row r="1265" spans="3:3">
      <c r="C1265" s="18" t="s">
        <v>31</v>
      </c>
    </row>
    <row r="1267" spans="3:3">
      <c r="C1267" s="18" t="s">
        <v>346</v>
      </c>
    </row>
    <row r="1268" spans="3:3">
      <c r="C1268" s="18" t="s">
        <v>347</v>
      </c>
    </row>
    <row r="1269" spans="3:3">
      <c r="C1269" s="18" t="s">
        <v>31</v>
      </c>
    </row>
    <row r="1272" spans="3:3">
      <c r="C1272" s="18" t="s">
        <v>345</v>
      </c>
    </row>
    <row r="1273" spans="3:3">
      <c r="C1273" s="18" t="s">
        <v>347</v>
      </c>
    </row>
    <row r="1274" spans="3:3">
      <c r="C1274" s="18" t="s">
        <v>349</v>
      </c>
    </row>
    <row r="1275" spans="3:3">
      <c r="C1275" s="18" t="s">
        <v>351</v>
      </c>
    </row>
    <row r="1276" spans="3:3">
      <c r="C1276" s="18" t="s">
        <v>352</v>
      </c>
    </row>
    <row r="1277" spans="3:3">
      <c r="C1277" s="18" t="s">
        <v>353</v>
      </c>
    </row>
    <row r="1278" spans="3:3">
      <c r="C1278" s="18" t="s">
        <v>354</v>
      </c>
    </row>
    <row r="1279" spans="3:3">
      <c r="C1279" s="18" t="s">
        <v>355</v>
      </c>
    </row>
    <row r="1280" spans="3:3">
      <c r="C1280" s="18" t="s">
        <v>356</v>
      </c>
    </row>
    <row r="1281" spans="3:3">
      <c r="C1281" s="18" t="s">
        <v>31</v>
      </c>
    </row>
    <row r="1283" spans="3:3">
      <c r="C1283" s="18" t="s">
        <v>65</v>
      </c>
    </row>
    <row r="1284" spans="3:3">
      <c r="C1284" s="18" t="s">
        <v>360</v>
      </c>
    </row>
    <row r="1285" spans="3:3">
      <c r="C1285" s="18" t="s">
        <v>362</v>
      </c>
    </row>
    <row r="1286" spans="3:3">
      <c r="C1286" s="18" t="s">
        <v>364</v>
      </c>
    </row>
    <row r="1287" spans="3:3">
      <c r="C1287" s="18" t="s">
        <v>366</v>
      </c>
    </row>
    <row r="1288" spans="3:3">
      <c r="C1288" s="18" t="s">
        <v>368</v>
      </c>
    </row>
    <row r="1289" spans="3:3">
      <c r="C1289" s="18" t="s">
        <v>370</v>
      </c>
    </row>
    <row r="1290" spans="3:3">
      <c r="C1290" s="18" t="s">
        <v>372</v>
      </c>
    </row>
    <row r="1291" spans="3:3">
      <c r="C1291" s="18" t="s">
        <v>374</v>
      </c>
    </row>
    <row r="1292" spans="3:3">
      <c r="C1292" s="18" t="s">
        <v>376</v>
      </c>
    </row>
    <row r="1293" spans="3:3">
      <c r="C1293" s="18" t="s">
        <v>378</v>
      </c>
    </row>
    <row r="1294" spans="3:3">
      <c r="C1294" s="18" t="s">
        <v>380</v>
      </c>
    </row>
    <row r="1295" spans="3:3">
      <c r="C1295" s="18" t="s">
        <v>382</v>
      </c>
    </row>
    <row r="1296" spans="3:3">
      <c r="C1296" s="18" t="s">
        <v>384</v>
      </c>
    </row>
    <row r="1297" spans="3:3">
      <c r="C1297" s="18" t="s">
        <v>386</v>
      </c>
    </row>
    <row r="1298" spans="3:3">
      <c r="C1298" s="18" t="s">
        <v>388</v>
      </c>
    </row>
    <row r="1299" spans="3:3">
      <c r="C1299" s="18" t="s">
        <v>390</v>
      </c>
    </row>
    <row r="1300" spans="3:3">
      <c r="C1300" s="18" t="s">
        <v>392</v>
      </c>
    </row>
    <row r="1301" spans="3:3">
      <c r="C1301" s="18" t="s">
        <v>394</v>
      </c>
    </row>
    <row r="1302" spans="3:3">
      <c r="C1302" s="18" t="s">
        <v>396</v>
      </c>
    </row>
    <row r="1303" spans="3:3">
      <c r="C1303" s="18" t="s">
        <v>398</v>
      </c>
    </row>
    <row r="1304" spans="3:3">
      <c r="C1304" s="18" t="s">
        <v>400</v>
      </c>
    </row>
    <row r="1305" spans="3:3">
      <c r="C1305" s="18" t="s">
        <v>402</v>
      </c>
    </row>
    <row r="1306" spans="3:3">
      <c r="C1306" s="18" t="s">
        <v>404</v>
      </c>
    </row>
    <row r="1307" spans="3:3">
      <c r="C1307" s="18" t="s">
        <v>406</v>
      </c>
    </row>
    <row r="1308" spans="3:3">
      <c r="C1308" s="18" t="s">
        <v>408</v>
      </c>
    </row>
    <row r="1309" spans="3:3">
      <c r="C1309" s="18" t="s">
        <v>410</v>
      </c>
    </row>
    <row r="1310" spans="3:3">
      <c r="C1310" s="18" t="s">
        <v>412</v>
      </c>
    </row>
    <row r="1311" spans="3:3">
      <c r="C1311" s="18" t="s">
        <v>414</v>
      </c>
    </row>
    <row r="1312" spans="3:3">
      <c r="C1312" s="18" t="s">
        <v>416</v>
      </c>
    </row>
    <row r="1313" spans="3:3">
      <c r="C1313" s="18" t="s">
        <v>418</v>
      </c>
    </row>
    <row r="1314" spans="3:3">
      <c r="C1314" s="18" t="s">
        <v>420</v>
      </c>
    </row>
    <row r="1315" spans="3:3">
      <c r="C1315" s="18" t="s">
        <v>31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0" customWidth="1"/>
    <col min="2" max="2" width="48.75" style="60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9" t="s">
        <v>1127</v>
      </c>
      <c r="B1" s="110" t="s">
        <v>1128</v>
      </c>
      <c r="C1" s="110" t="s">
        <v>1129</v>
      </c>
      <c r="D1" s="111" t="s">
        <v>1130</v>
      </c>
      <c r="E1" s="125"/>
    </row>
    <row r="2" spans="1:5" ht="15.75" outlineLevel="1">
      <c r="A2" s="39" t="s">
        <v>969</v>
      </c>
      <c r="B2" s="40" t="s">
        <v>0</v>
      </c>
      <c r="C2" s="39">
        <v>5.0999999999999996</v>
      </c>
      <c r="D2" s="113"/>
    </row>
    <row r="3" spans="1:5" ht="15.75" outlineLevel="1">
      <c r="A3" s="39" t="s">
        <v>969</v>
      </c>
      <c r="B3" s="40" t="s">
        <v>1</v>
      </c>
      <c r="C3" s="39">
        <v>5.2</v>
      </c>
      <c r="D3" s="113"/>
    </row>
    <row r="4" spans="1:5" ht="15.75" outlineLevel="1">
      <c r="A4" s="39" t="s">
        <v>969</v>
      </c>
      <c r="B4" s="40" t="s">
        <v>186</v>
      </c>
      <c r="C4" s="39">
        <v>5.4</v>
      </c>
      <c r="D4" s="113"/>
    </row>
    <row r="5" spans="1:5" ht="15.75" outlineLevel="1">
      <c r="A5" s="39" t="s">
        <v>969</v>
      </c>
      <c r="B5" s="40" t="s">
        <v>187</v>
      </c>
      <c r="C5" s="39">
        <v>5.7</v>
      </c>
      <c r="D5" s="113"/>
    </row>
    <row r="6" spans="1:5" ht="15.75" outlineLevel="1">
      <c r="A6" s="39" t="s">
        <v>969</v>
      </c>
      <c r="B6" s="40" t="s">
        <v>188</v>
      </c>
      <c r="C6" s="39">
        <v>5.1100000000000003</v>
      </c>
      <c r="D6" s="113"/>
    </row>
    <row r="7" spans="1:5" ht="15.75" outlineLevel="1">
      <c r="A7" s="39" t="s">
        <v>969</v>
      </c>
      <c r="B7" s="40" t="s">
        <v>5</v>
      </c>
      <c r="C7" s="39">
        <v>5.26</v>
      </c>
      <c r="D7" s="113"/>
    </row>
    <row r="8" spans="1:5" ht="15.75" outlineLevel="1">
      <c r="A8" s="39" t="s">
        <v>969</v>
      </c>
      <c r="B8" s="40" t="s">
        <v>6</v>
      </c>
      <c r="C8" s="39">
        <v>5.27</v>
      </c>
      <c r="D8" s="113"/>
    </row>
    <row r="9" spans="1:5" ht="15.75" outlineLevel="1">
      <c r="A9" s="39" t="s">
        <v>969</v>
      </c>
      <c r="B9" s="40" t="s">
        <v>145</v>
      </c>
      <c r="C9" s="39">
        <v>5.36</v>
      </c>
      <c r="D9" s="113"/>
    </row>
    <row r="10" spans="1:5" ht="15.75" outlineLevel="1">
      <c r="A10" s="39" t="s">
        <v>969</v>
      </c>
      <c r="B10" s="40" t="s">
        <v>190</v>
      </c>
      <c r="C10" s="41">
        <v>5.5</v>
      </c>
      <c r="D10" s="113"/>
    </row>
    <row r="11" spans="1:5" ht="15.75" outlineLevel="1">
      <c r="A11" s="39" t="s">
        <v>969</v>
      </c>
      <c r="B11" s="40" t="s">
        <v>10</v>
      </c>
      <c r="C11" s="39">
        <v>5.51</v>
      </c>
      <c r="D11" s="113"/>
    </row>
    <row r="12" spans="1:5" ht="15.75" outlineLevel="1">
      <c r="A12" s="39" t="s">
        <v>969</v>
      </c>
      <c r="B12" s="40" t="s">
        <v>11</v>
      </c>
      <c r="C12" s="39">
        <v>5.53</v>
      </c>
      <c r="D12" s="113"/>
    </row>
    <row r="13" spans="1:5" ht="15.75" outlineLevel="1">
      <c r="A13" s="39" t="s">
        <v>969</v>
      </c>
      <c r="B13" s="40" t="s">
        <v>155</v>
      </c>
      <c r="C13" s="39">
        <v>5.59</v>
      </c>
      <c r="D13" s="113"/>
    </row>
    <row r="14" spans="1:5" ht="15.75" outlineLevel="1">
      <c r="A14" s="39" t="s">
        <v>969</v>
      </c>
      <c r="B14" s="40" t="s">
        <v>18</v>
      </c>
      <c r="C14" s="39">
        <v>5.54</v>
      </c>
      <c r="D14" s="113"/>
    </row>
    <row r="15" spans="1:5" ht="15.75" outlineLevel="1">
      <c r="A15" s="39" t="s">
        <v>969</v>
      </c>
      <c r="B15" s="40" t="s">
        <v>14</v>
      </c>
      <c r="C15" s="41">
        <v>5.7</v>
      </c>
      <c r="D15" s="112" t="s">
        <v>1131</v>
      </c>
    </row>
    <row r="16" spans="1:5" ht="15.75" outlineLevel="1">
      <c r="A16" s="39" t="s">
        <v>969</v>
      </c>
      <c r="B16" s="40" t="s">
        <v>20</v>
      </c>
      <c r="C16" s="39">
        <v>5.63</v>
      </c>
      <c r="D16" s="113"/>
    </row>
    <row r="17" spans="1:4" ht="15.75" outlineLevel="1">
      <c r="A17" s="39" t="s">
        <v>969</v>
      </c>
      <c r="B17" s="40" t="s">
        <v>24</v>
      </c>
      <c r="C17" s="39">
        <v>5.47</v>
      </c>
      <c r="D17" s="113"/>
    </row>
    <row r="18" spans="1:4" ht="15.75" outlineLevel="1">
      <c r="A18" s="39" t="s">
        <v>969</v>
      </c>
      <c r="B18" s="40" t="s">
        <v>25</v>
      </c>
      <c r="C18" s="39">
        <v>5.48</v>
      </c>
      <c r="D18" s="113"/>
    </row>
    <row r="19" spans="1:4" ht="15.75">
      <c r="A19" s="45" t="s">
        <v>969</v>
      </c>
      <c r="B19" s="40"/>
      <c r="C19" s="39"/>
      <c r="D19" s="113"/>
    </row>
    <row r="20" spans="1:4" ht="15.75" outlineLevel="1">
      <c r="A20" s="39" t="s">
        <v>979</v>
      </c>
      <c r="B20" s="40" t="s">
        <v>0</v>
      </c>
      <c r="C20" s="39">
        <v>5.0999999999999996</v>
      </c>
      <c r="D20" s="113"/>
    </row>
    <row r="21" spans="1:4" ht="15.75" outlineLevel="1">
      <c r="A21" s="39" t="s">
        <v>979</v>
      </c>
      <c r="B21" s="40" t="s">
        <v>1</v>
      </c>
      <c r="C21" s="39">
        <v>5.2</v>
      </c>
      <c r="D21" s="113"/>
    </row>
    <row r="22" spans="1:4" ht="15.75" outlineLevel="1">
      <c r="A22" s="39" t="s">
        <v>979</v>
      </c>
      <c r="B22" s="40" t="s">
        <v>2</v>
      </c>
      <c r="C22" s="39">
        <v>5.3</v>
      </c>
      <c r="D22" s="113"/>
    </row>
    <row r="23" spans="1:4" ht="15.75" outlineLevel="1">
      <c r="A23" s="39" t="s">
        <v>979</v>
      </c>
      <c r="B23" s="40" t="s">
        <v>1132</v>
      </c>
      <c r="C23" s="39">
        <v>5.14</v>
      </c>
      <c r="D23" s="113"/>
    </row>
    <row r="24" spans="1:4" ht="15.75" outlineLevel="1">
      <c r="A24" s="39" t="s">
        <v>979</v>
      </c>
      <c r="B24" s="40" t="s">
        <v>4</v>
      </c>
      <c r="C24" s="39">
        <v>5.19</v>
      </c>
      <c r="D24" s="113"/>
    </row>
    <row r="25" spans="1:4" ht="15.75" outlineLevel="1">
      <c r="A25" s="39" t="s">
        <v>979</v>
      </c>
      <c r="B25" s="40" t="s">
        <v>5</v>
      </c>
      <c r="C25" s="39">
        <v>5.26</v>
      </c>
      <c r="D25" s="113"/>
    </row>
    <row r="26" spans="1:4" ht="15.75" outlineLevel="1">
      <c r="A26" s="39" t="s">
        <v>979</v>
      </c>
      <c r="B26" s="40" t="s">
        <v>6</v>
      </c>
      <c r="C26" s="39">
        <v>5.27</v>
      </c>
      <c r="D26" s="113"/>
    </row>
    <row r="27" spans="1:4" ht="15.75" outlineLevel="1">
      <c r="A27" s="39" t="s">
        <v>979</v>
      </c>
      <c r="B27" s="40" t="s">
        <v>7</v>
      </c>
      <c r="C27" s="39">
        <v>5.28</v>
      </c>
      <c r="D27" s="113"/>
    </row>
    <row r="28" spans="1:4" ht="15.75" outlineLevel="1">
      <c r="A28" s="39" t="s">
        <v>979</v>
      </c>
      <c r="B28" s="40" t="s">
        <v>8</v>
      </c>
      <c r="C28" s="41">
        <v>5.3</v>
      </c>
      <c r="D28" s="113"/>
    </row>
    <row r="29" spans="1:4" ht="15.75" outlineLevel="1">
      <c r="A29" s="39" t="s">
        <v>979</v>
      </c>
      <c r="B29" s="40" t="s">
        <v>9</v>
      </c>
      <c r="C29" s="39">
        <v>5.49</v>
      </c>
      <c r="D29" s="113"/>
    </row>
    <row r="30" spans="1:4" ht="15.75" outlineLevel="1">
      <c r="A30" s="39" t="s">
        <v>979</v>
      </c>
      <c r="B30" s="40" t="s">
        <v>10</v>
      </c>
      <c r="C30" s="39">
        <v>5.51</v>
      </c>
      <c r="D30" s="113"/>
    </row>
    <row r="31" spans="1:4" ht="15.75" outlineLevel="1">
      <c r="A31" s="39" t="s">
        <v>979</v>
      </c>
      <c r="B31" s="40" t="s">
        <v>11</v>
      </c>
      <c r="C31" s="39">
        <v>5.53</v>
      </c>
      <c r="D31" s="113"/>
    </row>
    <row r="32" spans="1:4" ht="15.75" outlineLevel="1">
      <c r="A32" s="39" t="s">
        <v>979</v>
      </c>
      <c r="B32" s="40" t="s">
        <v>12</v>
      </c>
      <c r="C32" s="39">
        <v>5.69</v>
      </c>
      <c r="D32" s="113"/>
    </row>
    <row r="33" spans="1:4" ht="15.75" outlineLevel="1">
      <c r="A33" s="39" t="s">
        <v>979</v>
      </c>
      <c r="B33" s="40" t="s">
        <v>13</v>
      </c>
      <c r="C33" s="39">
        <v>5.75</v>
      </c>
      <c r="D33" s="113"/>
    </row>
    <row r="34" spans="1:4" ht="15.75" outlineLevel="1">
      <c r="A34" s="39" t="s">
        <v>979</v>
      </c>
      <c r="B34" s="40" t="s">
        <v>14</v>
      </c>
      <c r="C34" s="41">
        <v>5.7</v>
      </c>
      <c r="D34" s="113"/>
    </row>
    <row r="35" spans="1:4" ht="15.75" outlineLevel="1">
      <c r="A35" s="39" t="s">
        <v>979</v>
      </c>
      <c r="B35" s="40" t="s">
        <v>15</v>
      </c>
      <c r="C35" s="39">
        <v>5.74</v>
      </c>
      <c r="D35" s="113"/>
    </row>
    <row r="36" spans="1:4" ht="15.75" outlineLevel="1">
      <c r="A36" s="39" t="s">
        <v>979</v>
      </c>
      <c r="B36" s="40" t="s">
        <v>16</v>
      </c>
      <c r="C36" s="39">
        <v>5.62</v>
      </c>
      <c r="D36" s="113"/>
    </row>
    <row r="37" spans="1:4" ht="15.75" outlineLevel="1">
      <c r="A37" s="39" t="s">
        <v>979</v>
      </c>
      <c r="B37" s="40" t="s">
        <v>17</v>
      </c>
      <c r="C37" s="39">
        <v>5.58</v>
      </c>
      <c r="D37" s="113"/>
    </row>
    <row r="38" spans="1:4" ht="15.75" outlineLevel="1">
      <c r="A38" s="39" t="s">
        <v>979</v>
      </c>
      <c r="B38" s="40" t="s">
        <v>18</v>
      </c>
      <c r="C38" s="39">
        <v>5.54</v>
      </c>
      <c r="D38" s="113"/>
    </row>
    <row r="39" spans="1:4" ht="15.75" outlineLevel="1">
      <c r="A39" s="39" t="s">
        <v>979</v>
      </c>
      <c r="B39" s="40" t="s">
        <v>19</v>
      </c>
      <c r="C39" s="39">
        <v>5.55</v>
      </c>
      <c r="D39" s="113"/>
    </row>
    <row r="40" spans="1:4" ht="15.75" outlineLevel="1">
      <c r="A40" s="39" t="s">
        <v>979</v>
      </c>
      <c r="B40" s="40" t="s">
        <v>20</v>
      </c>
      <c r="C40" s="39">
        <v>5.63</v>
      </c>
      <c r="D40" s="113"/>
    </row>
    <row r="41" spans="1:4" ht="15.75" outlineLevel="1">
      <c r="A41" s="39" t="s">
        <v>979</v>
      </c>
      <c r="B41" s="40" t="s">
        <v>21</v>
      </c>
      <c r="C41" s="39">
        <v>5.65</v>
      </c>
      <c r="D41" s="113"/>
    </row>
    <row r="42" spans="1:4" ht="15.75" outlineLevel="1">
      <c r="A42" s="39" t="s">
        <v>979</v>
      </c>
      <c r="B42" s="40" t="s">
        <v>22</v>
      </c>
      <c r="C42" s="39">
        <v>5.68</v>
      </c>
      <c r="D42" s="113"/>
    </row>
    <row r="43" spans="1:4" ht="15.75" outlineLevel="1">
      <c r="A43" s="39" t="s">
        <v>979</v>
      </c>
      <c r="B43" s="40" t="s">
        <v>23</v>
      </c>
      <c r="C43" s="39">
        <v>5.45</v>
      </c>
      <c r="D43" s="113"/>
    </row>
    <row r="44" spans="1:4" ht="15.75" outlineLevel="1">
      <c r="A44" s="39" t="s">
        <v>979</v>
      </c>
      <c r="B44" s="40" t="s">
        <v>24</v>
      </c>
      <c r="C44" s="39">
        <v>5.47</v>
      </c>
      <c r="D44" s="113"/>
    </row>
    <row r="45" spans="1:4" ht="15.75" outlineLevel="1">
      <c r="A45" s="39" t="s">
        <v>979</v>
      </c>
      <c r="B45" s="40" t="s">
        <v>25</v>
      </c>
      <c r="C45" s="39">
        <v>5.48</v>
      </c>
      <c r="D45" s="113"/>
    </row>
    <row r="46" spans="1:4" ht="15.75">
      <c r="A46" s="45" t="s">
        <v>979</v>
      </c>
      <c r="B46" s="40"/>
      <c r="C46" s="39"/>
      <c r="D46" s="113"/>
    </row>
    <row r="47" spans="1:4" ht="15.75" outlineLevel="1">
      <c r="A47" s="39" t="s">
        <v>984</v>
      </c>
      <c r="B47" s="40" t="s">
        <v>0</v>
      </c>
      <c r="C47" s="39">
        <v>5.0999999999999996</v>
      </c>
      <c r="D47" s="113"/>
    </row>
    <row r="48" spans="1:4" ht="15.75" outlineLevel="1">
      <c r="A48" s="39" t="s">
        <v>984</v>
      </c>
      <c r="B48" s="40" t="s">
        <v>1</v>
      </c>
      <c r="C48" s="39">
        <v>5.2</v>
      </c>
      <c r="D48" s="113"/>
    </row>
    <row r="49" spans="1:4" ht="15.75" outlineLevel="1">
      <c r="A49" s="39" t="s">
        <v>984</v>
      </c>
      <c r="B49" s="40" t="s">
        <v>2</v>
      </c>
      <c r="C49" s="39">
        <v>5.3</v>
      </c>
      <c r="D49" s="113"/>
    </row>
    <row r="50" spans="1:4" ht="15.75" outlineLevel="1">
      <c r="A50" s="39" t="s">
        <v>984</v>
      </c>
      <c r="B50" s="40" t="s">
        <v>166</v>
      </c>
      <c r="C50" s="39">
        <v>5.6</v>
      </c>
      <c r="D50" s="113"/>
    </row>
    <row r="51" spans="1:4" ht="15.75" outlineLevel="1">
      <c r="A51" s="39" t="s">
        <v>984</v>
      </c>
      <c r="B51" s="40" t="s">
        <v>1133</v>
      </c>
      <c r="C51" s="41">
        <v>5.0999999999999996</v>
      </c>
      <c r="D51" s="113"/>
    </row>
    <row r="52" spans="1:4" ht="15.75" outlineLevel="1">
      <c r="A52" s="39" t="s">
        <v>984</v>
      </c>
      <c r="B52" s="40" t="s">
        <v>1132</v>
      </c>
      <c r="C52" s="39">
        <v>5.14</v>
      </c>
      <c r="D52" s="113"/>
    </row>
    <row r="53" spans="1:4" ht="15.75" outlineLevel="1">
      <c r="A53" s="39" t="s">
        <v>984</v>
      </c>
      <c r="B53" s="40" t="s">
        <v>4</v>
      </c>
      <c r="C53" s="39">
        <v>5.19</v>
      </c>
      <c r="D53" s="113"/>
    </row>
    <row r="54" spans="1:4" ht="15.75" outlineLevel="1">
      <c r="A54" s="39" t="s">
        <v>984</v>
      </c>
      <c r="B54" s="40" t="s">
        <v>168</v>
      </c>
      <c r="C54" s="39">
        <v>5.24</v>
      </c>
      <c r="D54" s="113"/>
    </row>
    <row r="55" spans="1:4" ht="15.75" outlineLevel="1">
      <c r="A55" s="39" t="s">
        <v>984</v>
      </c>
      <c r="B55" s="40" t="s">
        <v>5</v>
      </c>
      <c r="C55" s="39">
        <v>5.26</v>
      </c>
      <c r="D55" s="113"/>
    </row>
    <row r="56" spans="1:4" ht="15.75" outlineLevel="1">
      <c r="A56" s="39" t="s">
        <v>984</v>
      </c>
      <c r="B56" s="40" t="s">
        <v>6</v>
      </c>
      <c r="C56" s="39">
        <v>5.27</v>
      </c>
      <c r="D56" s="113"/>
    </row>
    <row r="57" spans="1:4" ht="15.75" outlineLevel="1">
      <c r="A57" s="39" t="s">
        <v>984</v>
      </c>
      <c r="B57" s="40" t="s">
        <v>7</v>
      </c>
      <c r="C57" s="39">
        <v>5.28</v>
      </c>
      <c r="D57" s="113"/>
    </row>
    <row r="58" spans="1:4" ht="15.75" outlineLevel="1">
      <c r="A58" s="39" t="s">
        <v>984</v>
      </c>
      <c r="B58" s="40" t="s">
        <v>8</v>
      </c>
      <c r="C58" s="41">
        <v>5.3</v>
      </c>
      <c r="D58" s="113"/>
    </row>
    <row r="59" spans="1:4" ht="15.75" outlineLevel="1">
      <c r="A59" s="39" t="s">
        <v>984</v>
      </c>
      <c r="B59" s="40" t="s">
        <v>169</v>
      </c>
      <c r="C59" s="39">
        <v>5.31</v>
      </c>
      <c r="D59" s="113"/>
    </row>
    <row r="60" spans="1:4" ht="15.75" outlineLevel="1">
      <c r="A60" s="39" t="s">
        <v>984</v>
      </c>
      <c r="B60" s="40" t="s">
        <v>145</v>
      </c>
      <c r="C60" s="39">
        <v>5.36</v>
      </c>
      <c r="D60" s="113"/>
    </row>
    <row r="61" spans="1:4" ht="15.75" outlineLevel="1">
      <c r="A61" s="39" t="s">
        <v>984</v>
      </c>
      <c r="B61" s="40" t="s">
        <v>9</v>
      </c>
      <c r="C61" s="39">
        <v>5.49</v>
      </c>
      <c r="D61" s="113"/>
    </row>
    <row r="62" spans="1:4" ht="15.75" outlineLevel="1">
      <c r="A62" s="39" t="s">
        <v>984</v>
      </c>
      <c r="B62" s="40" t="s">
        <v>10</v>
      </c>
      <c r="C62" s="39">
        <v>5.51</v>
      </c>
      <c r="D62" s="113"/>
    </row>
    <row r="63" spans="1:4" ht="15.75" outlineLevel="1">
      <c r="A63" s="39" t="s">
        <v>984</v>
      </c>
      <c r="B63" s="40" t="s">
        <v>1134</v>
      </c>
      <c r="C63" s="39">
        <v>5.52</v>
      </c>
      <c r="D63" s="113"/>
    </row>
    <row r="64" spans="1:4" ht="15.75" outlineLevel="1">
      <c r="A64" s="39" t="s">
        <v>984</v>
      </c>
      <c r="B64" s="40" t="s">
        <v>11</v>
      </c>
      <c r="C64" s="39">
        <v>5.53</v>
      </c>
      <c r="D64" s="113"/>
    </row>
    <row r="65" spans="1:4" ht="15.75" outlineLevel="1">
      <c r="A65" s="39" t="s">
        <v>984</v>
      </c>
      <c r="B65" s="40" t="s">
        <v>12</v>
      </c>
      <c r="C65" s="39">
        <v>5.69</v>
      </c>
      <c r="D65" s="113"/>
    </row>
    <row r="66" spans="1:4" ht="15.75" outlineLevel="1">
      <c r="A66" s="39" t="s">
        <v>984</v>
      </c>
      <c r="B66" s="40" t="s">
        <v>928</v>
      </c>
      <c r="C66" s="41">
        <v>5.72</v>
      </c>
      <c r="D66" s="113"/>
    </row>
    <row r="67" spans="1:4" ht="15.75" outlineLevel="1">
      <c r="A67" s="39" t="s">
        <v>984</v>
      </c>
      <c r="B67" s="40" t="s">
        <v>13</v>
      </c>
      <c r="C67" s="39">
        <v>5.75</v>
      </c>
      <c r="D67" s="113"/>
    </row>
    <row r="68" spans="1:4" ht="15.75" outlineLevel="1">
      <c r="A68" s="39" t="s">
        <v>984</v>
      </c>
      <c r="B68" s="40" t="s">
        <v>14</v>
      </c>
      <c r="C68" s="41">
        <v>5.7</v>
      </c>
      <c r="D68" s="113"/>
    </row>
    <row r="69" spans="1:4" ht="15.75" outlineLevel="1">
      <c r="A69" s="39" t="s">
        <v>984</v>
      </c>
      <c r="B69" s="40" t="s">
        <v>15</v>
      </c>
      <c r="C69" s="39">
        <v>5.74</v>
      </c>
      <c r="D69" s="113"/>
    </row>
    <row r="70" spans="1:4" ht="15.75" outlineLevel="1">
      <c r="A70" s="39" t="s">
        <v>984</v>
      </c>
      <c r="B70" s="40" t="s">
        <v>428</v>
      </c>
      <c r="C70" s="39">
        <v>5.76</v>
      </c>
      <c r="D70" s="113"/>
    </row>
    <row r="71" spans="1:4" ht="15.75" outlineLevel="1">
      <c r="A71" s="39" t="s">
        <v>984</v>
      </c>
      <c r="B71" s="40" t="s">
        <v>849</v>
      </c>
      <c r="C71" s="39">
        <v>5.89</v>
      </c>
      <c r="D71" s="112" t="s">
        <v>1131</v>
      </c>
    </row>
    <row r="72" spans="1:4" ht="15.75" outlineLevel="1">
      <c r="A72" s="39" t="s">
        <v>984</v>
      </c>
      <c r="B72" s="40" t="s">
        <v>17</v>
      </c>
      <c r="C72" s="39">
        <v>5.58</v>
      </c>
      <c r="D72" s="113"/>
    </row>
    <row r="73" spans="1:4" ht="15.75" outlineLevel="1">
      <c r="A73" s="39" t="s">
        <v>984</v>
      </c>
      <c r="B73" s="40" t="s">
        <v>16</v>
      </c>
      <c r="C73" s="39">
        <v>5.62</v>
      </c>
      <c r="D73" s="113"/>
    </row>
    <row r="74" spans="1:4" ht="15.75" outlineLevel="1">
      <c r="A74" s="39" t="s">
        <v>984</v>
      </c>
      <c r="B74" s="40" t="s">
        <v>18</v>
      </c>
      <c r="C74" s="39">
        <v>5.54</v>
      </c>
      <c r="D74" s="113"/>
    </row>
    <row r="75" spans="1:4" ht="15.75" outlineLevel="1">
      <c r="A75" s="39" t="s">
        <v>984</v>
      </c>
      <c r="B75" s="40" t="s">
        <v>19</v>
      </c>
      <c r="C75" s="39">
        <v>5.55</v>
      </c>
      <c r="D75" s="113"/>
    </row>
    <row r="76" spans="1:4" ht="15.75" outlineLevel="1">
      <c r="A76" s="39" t="s">
        <v>984</v>
      </c>
      <c r="B76" s="40" t="s">
        <v>20</v>
      </c>
      <c r="C76" s="39">
        <v>5.63</v>
      </c>
      <c r="D76" s="113"/>
    </row>
    <row r="77" spans="1:4" ht="15.75" outlineLevel="1">
      <c r="A77" s="39" t="s">
        <v>984</v>
      </c>
      <c r="B77" s="40" t="s">
        <v>21</v>
      </c>
      <c r="C77" s="39">
        <v>5.65</v>
      </c>
      <c r="D77" s="113"/>
    </row>
    <row r="78" spans="1:4" ht="15.75" outlineLevel="1">
      <c r="A78" s="39" t="s">
        <v>984</v>
      </c>
      <c r="B78" s="40" t="s">
        <v>185</v>
      </c>
      <c r="C78" s="39">
        <v>5.66</v>
      </c>
      <c r="D78" s="113"/>
    </row>
    <row r="79" spans="1:4" ht="15.75" outlineLevel="1">
      <c r="A79" s="39" t="s">
        <v>984</v>
      </c>
      <c r="B79" s="40" t="s">
        <v>22</v>
      </c>
      <c r="C79" s="39">
        <v>5.68</v>
      </c>
      <c r="D79" s="113"/>
    </row>
    <row r="80" spans="1:4" ht="15.75" outlineLevel="1">
      <c r="A80" s="39" t="s">
        <v>984</v>
      </c>
      <c r="B80" s="40" t="s">
        <v>23</v>
      </c>
      <c r="C80" s="39">
        <v>5.45</v>
      </c>
      <c r="D80" s="113"/>
    </row>
    <row r="81" spans="1:4" ht="15.75" outlineLevel="1">
      <c r="A81" s="39" t="s">
        <v>984</v>
      </c>
      <c r="B81" s="40" t="s">
        <v>24</v>
      </c>
      <c r="C81" s="39">
        <v>5.47</v>
      </c>
      <c r="D81" s="113"/>
    </row>
    <row r="82" spans="1:4" ht="15.75" outlineLevel="1">
      <c r="A82" s="39" t="s">
        <v>984</v>
      </c>
      <c r="B82" s="40" t="s">
        <v>25</v>
      </c>
      <c r="C82" s="39">
        <v>5.48</v>
      </c>
      <c r="D82" s="113"/>
    </row>
    <row r="83" spans="1:4" ht="15.75">
      <c r="A83" s="45" t="s">
        <v>984</v>
      </c>
      <c r="B83" s="40"/>
      <c r="C83" s="39"/>
      <c r="D83" s="113"/>
    </row>
    <row r="84" spans="1:4" ht="15.75" outlineLevel="1">
      <c r="A84" s="39" t="s">
        <v>985</v>
      </c>
      <c r="B84" s="40" t="s">
        <v>0</v>
      </c>
      <c r="C84" s="39">
        <v>5.0999999999999996</v>
      </c>
      <c r="D84" s="113"/>
    </row>
    <row r="85" spans="1:4" ht="15.75" outlineLevel="1">
      <c r="A85" s="39" t="s">
        <v>985</v>
      </c>
      <c r="B85" s="40" t="s">
        <v>1</v>
      </c>
      <c r="C85" s="39">
        <v>5.2</v>
      </c>
      <c r="D85" s="113"/>
    </row>
    <row r="86" spans="1:4" ht="15.75" outlineLevel="1">
      <c r="A86" s="39" t="s">
        <v>985</v>
      </c>
      <c r="B86" s="40" t="s">
        <v>2</v>
      </c>
      <c r="C86" s="39">
        <v>5.3</v>
      </c>
      <c r="D86" s="113"/>
    </row>
    <row r="87" spans="1:4" ht="15.75" outlineLevel="1">
      <c r="A87" s="39" t="s">
        <v>985</v>
      </c>
      <c r="B87" s="40" t="s">
        <v>166</v>
      </c>
      <c r="C87" s="39">
        <v>5.6</v>
      </c>
      <c r="D87" s="113"/>
    </row>
    <row r="88" spans="1:4" ht="15.75" outlineLevel="1">
      <c r="A88" s="39" t="s">
        <v>985</v>
      </c>
      <c r="B88" s="40" t="s">
        <v>1133</v>
      </c>
      <c r="C88" s="41">
        <v>5.0999999999999996</v>
      </c>
      <c r="D88" s="113"/>
    </row>
    <row r="89" spans="1:4" ht="15.75" outlineLevel="1">
      <c r="A89" s="39" t="s">
        <v>985</v>
      </c>
      <c r="B89" s="40" t="s">
        <v>1132</v>
      </c>
      <c r="C89" s="39">
        <v>5.14</v>
      </c>
      <c r="D89" s="113"/>
    </row>
    <row r="90" spans="1:4" ht="15.75" outlineLevel="1">
      <c r="A90" s="39" t="s">
        <v>985</v>
      </c>
      <c r="B90" s="40" t="s">
        <v>4</v>
      </c>
      <c r="C90" s="39">
        <v>5.19</v>
      </c>
      <c r="D90" s="113"/>
    </row>
    <row r="91" spans="1:4" ht="15.75" outlineLevel="1">
      <c r="A91" s="39" t="s">
        <v>985</v>
      </c>
      <c r="B91" s="40" t="s">
        <v>168</v>
      </c>
      <c r="C91" s="39">
        <v>5.24</v>
      </c>
      <c r="D91" s="113"/>
    </row>
    <row r="92" spans="1:4" ht="15.75" outlineLevel="1">
      <c r="A92" s="39" t="s">
        <v>985</v>
      </c>
      <c r="B92" s="40" t="s">
        <v>5</v>
      </c>
      <c r="C92" s="39">
        <v>5.26</v>
      </c>
      <c r="D92" s="113"/>
    </row>
    <row r="93" spans="1:4" ht="15.75" outlineLevel="1">
      <c r="A93" s="39" t="s">
        <v>985</v>
      </c>
      <c r="B93" s="40" t="s">
        <v>6</v>
      </c>
      <c r="C93" s="39">
        <v>5.27</v>
      </c>
      <c r="D93" s="113"/>
    </row>
    <row r="94" spans="1:4" ht="15.75" outlineLevel="1">
      <c r="A94" s="39" t="s">
        <v>985</v>
      </c>
      <c r="B94" s="40" t="s">
        <v>7</v>
      </c>
      <c r="C94" s="39">
        <v>5.28</v>
      </c>
      <c r="D94" s="113"/>
    </row>
    <row r="95" spans="1:4" ht="15.75" outlineLevel="1">
      <c r="A95" s="39" t="s">
        <v>985</v>
      </c>
      <c r="B95" s="40" t="s">
        <v>344</v>
      </c>
      <c r="C95" s="39">
        <v>5.29</v>
      </c>
      <c r="D95" s="113"/>
    </row>
    <row r="96" spans="1:4" ht="15.75" outlineLevel="1">
      <c r="A96" s="39" t="s">
        <v>985</v>
      </c>
      <c r="B96" s="40" t="s">
        <v>8</v>
      </c>
      <c r="C96" s="41">
        <v>5.3</v>
      </c>
      <c r="D96" s="113"/>
    </row>
    <row r="97" spans="1:4" ht="15.75" outlineLevel="1">
      <c r="A97" s="39" t="s">
        <v>985</v>
      </c>
      <c r="B97" s="40" t="s">
        <v>169</v>
      </c>
      <c r="C97" s="39">
        <v>5.31</v>
      </c>
      <c r="D97" s="113"/>
    </row>
    <row r="98" spans="1:4" ht="15.75" outlineLevel="1">
      <c r="A98" s="39" t="s">
        <v>985</v>
      </c>
      <c r="B98" s="40" t="s">
        <v>145</v>
      </c>
      <c r="C98" s="39">
        <v>5.36</v>
      </c>
      <c r="D98" s="113"/>
    </row>
    <row r="99" spans="1:4" ht="15.75" outlineLevel="1">
      <c r="A99" s="39" t="s">
        <v>985</v>
      </c>
      <c r="B99" s="40" t="s">
        <v>9</v>
      </c>
      <c r="C99" s="39">
        <v>5.49</v>
      </c>
      <c r="D99" s="113"/>
    </row>
    <row r="100" spans="1:4" ht="15.75" outlineLevel="1">
      <c r="A100" s="39" t="s">
        <v>985</v>
      </c>
      <c r="B100" s="40" t="s">
        <v>10</v>
      </c>
      <c r="C100" s="39">
        <v>5.51</v>
      </c>
      <c r="D100" s="113"/>
    </row>
    <row r="101" spans="1:4" ht="15.75" outlineLevel="1">
      <c r="A101" s="39" t="s">
        <v>985</v>
      </c>
      <c r="B101" s="40" t="s">
        <v>1134</v>
      </c>
      <c r="C101" s="39">
        <v>5.52</v>
      </c>
      <c r="D101" s="113"/>
    </row>
    <row r="102" spans="1:4" ht="15.75" outlineLevel="1">
      <c r="A102" s="39" t="s">
        <v>985</v>
      </c>
      <c r="B102" s="40" t="s">
        <v>11</v>
      </c>
      <c r="C102" s="39">
        <v>5.53</v>
      </c>
      <c r="D102" s="113"/>
    </row>
    <row r="103" spans="1:4" ht="15.75" outlineLevel="1">
      <c r="A103" s="39" t="s">
        <v>985</v>
      </c>
      <c r="B103" s="40" t="s">
        <v>12</v>
      </c>
      <c r="C103" s="39">
        <v>5.69</v>
      </c>
      <c r="D103" s="113"/>
    </row>
    <row r="104" spans="1:4" ht="15.75" outlineLevel="1">
      <c r="A104" s="39" t="s">
        <v>985</v>
      </c>
      <c r="B104" s="40" t="s">
        <v>13</v>
      </c>
      <c r="C104" s="39">
        <v>5.75</v>
      </c>
      <c r="D104" s="113"/>
    </row>
    <row r="105" spans="1:4" ht="15.75" outlineLevel="1">
      <c r="A105" s="39" t="s">
        <v>985</v>
      </c>
      <c r="B105" s="40" t="s">
        <v>14</v>
      </c>
      <c r="C105" s="41">
        <v>5.7</v>
      </c>
      <c r="D105" s="113"/>
    </row>
    <row r="106" spans="1:4" ht="15.75" outlineLevel="1">
      <c r="A106" s="39" t="s">
        <v>985</v>
      </c>
      <c r="B106" s="40" t="s">
        <v>15</v>
      </c>
      <c r="C106" s="39">
        <v>5.74</v>
      </c>
      <c r="D106" s="113"/>
    </row>
    <row r="107" spans="1:4" ht="15.75" outlineLevel="1">
      <c r="A107" s="39" t="s">
        <v>985</v>
      </c>
      <c r="B107" s="40" t="s">
        <v>428</v>
      </c>
      <c r="C107" s="39">
        <v>5.76</v>
      </c>
      <c r="D107" s="113"/>
    </row>
    <row r="108" spans="1:4" ht="15.75" outlineLevel="1">
      <c r="A108" s="39" t="s">
        <v>985</v>
      </c>
      <c r="B108" s="40" t="s">
        <v>849</v>
      </c>
      <c r="C108" s="39">
        <v>5.89</v>
      </c>
      <c r="D108" s="112" t="s">
        <v>1131</v>
      </c>
    </row>
    <row r="109" spans="1:4" ht="15.75" outlineLevel="1">
      <c r="A109" s="39" t="s">
        <v>985</v>
      </c>
      <c r="B109" s="40" t="s">
        <v>17</v>
      </c>
      <c r="C109" s="39">
        <v>5.58</v>
      </c>
      <c r="D109" s="113"/>
    </row>
    <row r="110" spans="1:4" ht="15.75" outlineLevel="1">
      <c r="A110" s="39" t="s">
        <v>985</v>
      </c>
      <c r="B110" s="40" t="s">
        <v>16</v>
      </c>
      <c r="C110" s="39">
        <v>5.62</v>
      </c>
      <c r="D110" s="113"/>
    </row>
    <row r="111" spans="1:4" ht="15.75" outlineLevel="1">
      <c r="A111" s="39" t="s">
        <v>985</v>
      </c>
      <c r="B111" s="40" t="s">
        <v>18</v>
      </c>
      <c r="C111" s="39">
        <v>5.54</v>
      </c>
      <c r="D111" s="113"/>
    </row>
    <row r="112" spans="1:4" ht="15.75" outlineLevel="1">
      <c r="A112" s="39" t="s">
        <v>985</v>
      </c>
      <c r="B112" s="40" t="s">
        <v>19</v>
      </c>
      <c r="C112" s="39">
        <v>5.55</v>
      </c>
      <c r="D112" s="113"/>
    </row>
    <row r="113" spans="1:4" ht="15.75" outlineLevel="1">
      <c r="A113" s="39" t="s">
        <v>985</v>
      </c>
      <c r="B113" s="40" t="s">
        <v>21</v>
      </c>
      <c r="C113" s="39">
        <v>5.65</v>
      </c>
      <c r="D113" s="113"/>
    </row>
    <row r="114" spans="1:4" ht="15.75" outlineLevel="1">
      <c r="A114" s="39" t="s">
        <v>985</v>
      </c>
      <c r="B114" s="40" t="s">
        <v>185</v>
      </c>
      <c r="C114" s="39">
        <v>5.66</v>
      </c>
      <c r="D114" s="113"/>
    </row>
    <row r="115" spans="1:4" ht="15.75" outlineLevel="1">
      <c r="A115" s="39" t="s">
        <v>985</v>
      </c>
      <c r="B115" s="40" t="s">
        <v>22</v>
      </c>
      <c r="C115" s="39">
        <v>5.68</v>
      </c>
      <c r="D115" s="113"/>
    </row>
    <row r="116" spans="1:4" ht="15.75" outlineLevel="1">
      <c r="A116" s="39" t="s">
        <v>985</v>
      </c>
      <c r="B116" s="40" t="s">
        <v>23</v>
      </c>
      <c r="C116" s="39">
        <v>5.45</v>
      </c>
      <c r="D116" s="113"/>
    </row>
    <row r="117" spans="1:4" ht="15.75" outlineLevel="1">
      <c r="A117" s="39" t="s">
        <v>985</v>
      </c>
      <c r="B117" s="40" t="s">
        <v>24</v>
      </c>
      <c r="C117" s="39">
        <v>5.47</v>
      </c>
      <c r="D117" s="113"/>
    </row>
    <row r="118" spans="1:4" ht="15.75" outlineLevel="1">
      <c r="A118" s="39" t="s">
        <v>985</v>
      </c>
      <c r="B118" s="40" t="s">
        <v>25</v>
      </c>
      <c r="C118" s="39">
        <v>5.48</v>
      </c>
      <c r="D118" s="113"/>
    </row>
    <row r="119" spans="1:4" ht="15.75">
      <c r="A119" s="45" t="s">
        <v>985</v>
      </c>
      <c r="B119" s="40"/>
      <c r="C119" s="39"/>
      <c r="D119" s="113"/>
    </row>
    <row r="120" spans="1:4" ht="15.75" outlineLevel="1">
      <c r="A120" s="39" t="s">
        <v>1135</v>
      </c>
      <c r="B120" s="40" t="s">
        <v>0</v>
      </c>
      <c r="C120" s="39">
        <v>5.0999999999999996</v>
      </c>
      <c r="D120" s="113"/>
    </row>
    <row r="121" spans="1:4" ht="15.75" outlineLevel="1">
      <c r="A121" s="39" t="s">
        <v>1135</v>
      </c>
      <c r="B121" s="40" t="s">
        <v>1</v>
      </c>
      <c r="C121" s="39">
        <v>5.2</v>
      </c>
      <c r="D121" s="113"/>
    </row>
    <row r="122" spans="1:4" ht="15.75" outlineLevel="1">
      <c r="A122" s="39" t="s">
        <v>1135</v>
      </c>
      <c r="B122" s="40" t="s">
        <v>2</v>
      </c>
      <c r="C122" s="39">
        <v>5.3</v>
      </c>
      <c r="D122" s="113"/>
    </row>
    <row r="123" spans="1:4" ht="15.75" outlineLevel="1">
      <c r="A123" s="39" t="s">
        <v>1135</v>
      </c>
      <c r="B123" s="40" t="s">
        <v>166</v>
      </c>
      <c r="C123" s="39">
        <v>5.6</v>
      </c>
      <c r="D123" s="113"/>
    </row>
    <row r="124" spans="1:4" ht="15.75" outlineLevel="1">
      <c r="A124" s="39" t="s">
        <v>1135</v>
      </c>
      <c r="B124" s="40" t="s">
        <v>1133</v>
      </c>
      <c r="C124" s="41">
        <v>5.0999999999999996</v>
      </c>
      <c r="D124" s="113"/>
    </row>
    <row r="125" spans="1:4" ht="15.75" outlineLevel="1">
      <c r="A125" s="39" t="s">
        <v>1135</v>
      </c>
      <c r="B125" s="40" t="s">
        <v>1132</v>
      </c>
      <c r="C125" s="39">
        <v>5.14</v>
      </c>
      <c r="D125" s="113"/>
    </row>
    <row r="126" spans="1:4" ht="15.75" outlineLevel="1">
      <c r="A126" s="39" t="s">
        <v>1135</v>
      </c>
      <c r="B126" s="40" t="s">
        <v>4</v>
      </c>
      <c r="C126" s="39">
        <v>5.19</v>
      </c>
      <c r="D126" s="113"/>
    </row>
    <row r="127" spans="1:4" ht="15.75" outlineLevel="1">
      <c r="A127" s="39" t="s">
        <v>1135</v>
      </c>
      <c r="B127" s="40" t="s">
        <v>168</v>
      </c>
      <c r="C127" s="39">
        <v>5.24</v>
      </c>
      <c r="D127" s="113"/>
    </row>
    <row r="128" spans="1:4" ht="15.75" outlineLevel="1">
      <c r="A128" s="39" t="s">
        <v>1135</v>
      </c>
      <c r="B128" s="40" t="s">
        <v>5</v>
      </c>
      <c r="C128" s="39">
        <v>5.26</v>
      </c>
      <c r="D128" s="113"/>
    </row>
    <row r="129" spans="1:4" ht="15.75" outlineLevel="1">
      <c r="A129" s="39" t="s">
        <v>1135</v>
      </c>
      <c r="B129" s="40" t="s">
        <v>6</v>
      </c>
      <c r="C129" s="39">
        <v>5.27</v>
      </c>
      <c r="D129" s="113"/>
    </row>
    <row r="130" spans="1:4" ht="15.75" outlineLevel="1">
      <c r="A130" s="39" t="s">
        <v>1135</v>
      </c>
      <c r="B130" s="40" t="s">
        <v>7</v>
      </c>
      <c r="C130" s="39">
        <v>5.28</v>
      </c>
      <c r="D130" s="113"/>
    </row>
    <row r="131" spans="1:4" ht="15.75" outlineLevel="1">
      <c r="A131" s="39" t="s">
        <v>1135</v>
      </c>
      <c r="B131" s="40" t="s">
        <v>344</v>
      </c>
      <c r="C131" s="39">
        <v>5.29</v>
      </c>
      <c r="D131" s="113"/>
    </row>
    <row r="132" spans="1:4" ht="15.75" outlineLevel="1">
      <c r="A132" s="39" t="s">
        <v>1135</v>
      </c>
      <c r="B132" s="40" t="s">
        <v>8</v>
      </c>
      <c r="C132" s="41">
        <v>5.3</v>
      </c>
      <c r="D132" s="113"/>
    </row>
    <row r="133" spans="1:4" ht="15.75" outlineLevel="1">
      <c r="A133" s="39" t="s">
        <v>1135</v>
      </c>
      <c r="B133" s="40" t="s">
        <v>169</v>
      </c>
      <c r="C133" s="39">
        <v>5.31</v>
      </c>
      <c r="D133" s="113"/>
    </row>
    <row r="134" spans="1:4" ht="15.75" outlineLevel="1">
      <c r="A134" s="39" t="s">
        <v>1135</v>
      </c>
      <c r="B134" s="40" t="s">
        <v>145</v>
      </c>
      <c r="C134" s="39">
        <v>5.36</v>
      </c>
      <c r="D134" s="113"/>
    </row>
    <row r="135" spans="1:4" ht="15.75" outlineLevel="1">
      <c r="A135" s="39" t="s">
        <v>1135</v>
      </c>
      <c r="B135" s="40" t="s">
        <v>11</v>
      </c>
      <c r="C135" s="39">
        <v>5.53</v>
      </c>
      <c r="D135" s="113"/>
    </row>
    <row r="136" spans="1:4" ht="15.75" outlineLevel="1">
      <c r="A136" s="39" t="s">
        <v>1135</v>
      </c>
      <c r="B136" s="40" t="s">
        <v>17</v>
      </c>
      <c r="C136" s="39">
        <v>5.58</v>
      </c>
      <c r="D136" s="113"/>
    </row>
    <row r="137" spans="1:4" ht="15.75" outlineLevel="1">
      <c r="A137" s="39" t="s">
        <v>1135</v>
      </c>
      <c r="B137" s="40" t="s">
        <v>16</v>
      </c>
      <c r="C137" s="39">
        <v>5.62</v>
      </c>
      <c r="D137" s="113"/>
    </row>
    <row r="138" spans="1:4" ht="15.75" outlineLevel="1">
      <c r="A138" s="39" t="s">
        <v>1135</v>
      </c>
      <c r="B138" s="40" t="s">
        <v>18</v>
      </c>
      <c r="C138" s="39">
        <v>5.54</v>
      </c>
      <c r="D138" s="113"/>
    </row>
    <row r="139" spans="1:4" ht="15.75" outlineLevel="1">
      <c r="A139" s="39" t="s">
        <v>1135</v>
      </c>
      <c r="B139" s="40" t="s">
        <v>19</v>
      </c>
      <c r="C139" s="39">
        <v>5.55</v>
      </c>
      <c r="D139" s="113"/>
    </row>
    <row r="140" spans="1:4" ht="15.75" outlineLevel="1">
      <c r="A140" s="39" t="s">
        <v>1135</v>
      </c>
      <c r="B140" s="40" t="s">
        <v>20</v>
      </c>
      <c r="C140" s="39">
        <v>5.63</v>
      </c>
      <c r="D140" s="113"/>
    </row>
    <row r="141" spans="1:4" ht="15.75" outlineLevel="1">
      <c r="A141" s="39" t="s">
        <v>1135</v>
      </c>
      <c r="B141" s="40" t="s">
        <v>23</v>
      </c>
      <c r="C141" s="39">
        <v>5.45</v>
      </c>
      <c r="D141" s="113"/>
    </row>
    <row r="142" spans="1:4" ht="15.75" outlineLevel="1">
      <c r="A142" s="39" t="s">
        <v>1135</v>
      </c>
      <c r="B142" s="40" t="s">
        <v>24</v>
      </c>
      <c r="C142" s="39">
        <v>5.47</v>
      </c>
      <c r="D142" s="113"/>
    </row>
    <row r="143" spans="1:4" ht="15.75" outlineLevel="1">
      <c r="A143" s="39" t="s">
        <v>1135</v>
      </c>
      <c r="B143" s="40" t="s">
        <v>25</v>
      </c>
      <c r="C143" s="39">
        <v>5.48</v>
      </c>
      <c r="D143" s="113"/>
    </row>
    <row r="144" spans="1:4" ht="15.75">
      <c r="A144" s="45" t="s">
        <v>1135</v>
      </c>
      <c r="B144" s="40"/>
      <c r="C144" s="39"/>
      <c r="D144" s="113"/>
    </row>
    <row r="145" spans="1:4" ht="15.75" outlineLevel="1">
      <c r="A145" s="39" t="s">
        <v>489</v>
      </c>
      <c r="B145" s="40" t="s">
        <v>0</v>
      </c>
      <c r="C145" s="39">
        <v>5.0999999999999996</v>
      </c>
      <c r="D145" s="113"/>
    </row>
    <row r="146" spans="1:4" ht="15.75" outlineLevel="1">
      <c r="A146" s="39" t="s">
        <v>489</v>
      </c>
      <c r="B146" s="40" t="s">
        <v>1</v>
      </c>
      <c r="C146" s="39">
        <v>5.2</v>
      </c>
      <c r="D146" s="113"/>
    </row>
    <row r="147" spans="1:4" ht="15.75" outlineLevel="1">
      <c r="A147" s="39" t="s">
        <v>489</v>
      </c>
      <c r="B147" s="40" t="s">
        <v>2</v>
      </c>
      <c r="C147" s="39">
        <v>5.3</v>
      </c>
      <c r="D147" s="113"/>
    </row>
    <row r="148" spans="1:4" ht="15.75" outlineLevel="1">
      <c r="A148" s="39" t="s">
        <v>489</v>
      </c>
      <c r="B148" s="40" t="s">
        <v>166</v>
      </c>
      <c r="C148" s="39">
        <v>5.6</v>
      </c>
      <c r="D148" s="113"/>
    </row>
    <row r="149" spans="1:4" ht="15.75" outlineLevel="1">
      <c r="A149" s="39" t="s">
        <v>489</v>
      </c>
      <c r="B149" s="40" t="s">
        <v>1133</v>
      </c>
      <c r="C149" s="41">
        <v>5.0999999999999996</v>
      </c>
      <c r="D149" s="113"/>
    </row>
    <row r="150" spans="1:4" ht="15.75" outlineLevel="1">
      <c r="A150" s="39" t="s">
        <v>489</v>
      </c>
      <c r="B150" s="40" t="s">
        <v>1132</v>
      </c>
      <c r="C150" s="39">
        <v>5.14</v>
      </c>
      <c r="D150" s="113"/>
    </row>
    <row r="151" spans="1:4" ht="15.75" outlineLevel="1">
      <c r="A151" s="39" t="s">
        <v>489</v>
      </c>
      <c r="B151" s="40" t="s">
        <v>4</v>
      </c>
      <c r="C151" s="39">
        <v>5.19</v>
      </c>
      <c r="D151" s="113"/>
    </row>
    <row r="152" spans="1:4" ht="15.75" outlineLevel="1">
      <c r="A152" s="39" t="s">
        <v>489</v>
      </c>
      <c r="B152" s="40" t="s">
        <v>168</v>
      </c>
      <c r="C152" s="39">
        <v>5.24</v>
      </c>
      <c r="D152" s="113"/>
    </row>
    <row r="153" spans="1:4" ht="15.75" outlineLevel="1">
      <c r="A153" s="39" t="s">
        <v>489</v>
      </c>
      <c r="B153" s="40" t="s">
        <v>5</v>
      </c>
      <c r="C153" s="39">
        <v>5.26</v>
      </c>
      <c r="D153" s="113"/>
    </row>
    <row r="154" spans="1:4" ht="15.75" outlineLevel="1">
      <c r="A154" s="39" t="s">
        <v>489</v>
      </c>
      <c r="B154" s="40" t="s">
        <v>6</v>
      </c>
      <c r="C154" s="39">
        <v>5.27</v>
      </c>
      <c r="D154" s="113"/>
    </row>
    <row r="155" spans="1:4" ht="15.75" outlineLevel="1">
      <c r="A155" s="39" t="s">
        <v>489</v>
      </c>
      <c r="B155" s="40" t="s">
        <v>7</v>
      </c>
      <c r="C155" s="39">
        <v>5.28</v>
      </c>
      <c r="D155" s="113"/>
    </row>
    <row r="156" spans="1:4" ht="15.75" outlineLevel="1">
      <c r="A156" s="39" t="s">
        <v>489</v>
      </c>
      <c r="B156" s="40" t="s">
        <v>8</v>
      </c>
      <c r="C156" s="41">
        <v>5.3</v>
      </c>
      <c r="D156" s="113"/>
    </row>
    <row r="157" spans="1:4" ht="15.75" outlineLevel="1">
      <c r="A157" s="39" t="s">
        <v>489</v>
      </c>
      <c r="B157" s="40" t="s">
        <v>587</v>
      </c>
      <c r="C157" s="39">
        <v>5.32</v>
      </c>
      <c r="D157" s="113"/>
    </row>
    <row r="158" spans="1:4" ht="15.75" outlineLevel="1">
      <c r="A158" s="39" t="s">
        <v>489</v>
      </c>
      <c r="B158" s="40" t="s">
        <v>145</v>
      </c>
      <c r="C158" s="39">
        <v>5.36</v>
      </c>
      <c r="D158" s="113"/>
    </row>
    <row r="159" spans="1:4" ht="15.75" outlineLevel="1">
      <c r="A159" s="39" t="s">
        <v>489</v>
      </c>
      <c r="B159" s="40" t="s">
        <v>11</v>
      </c>
      <c r="C159" s="39">
        <v>5.53</v>
      </c>
      <c r="D159" s="113"/>
    </row>
    <row r="160" spans="1:4" ht="15.75" outlineLevel="1">
      <c r="A160" s="39" t="s">
        <v>489</v>
      </c>
      <c r="B160" s="40" t="s">
        <v>17</v>
      </c>
      <c r="C160" s="39">
        <v>5.58</v>
      </c>
      <c r="D160" s="113"/>
    </row>
    <row r="161" spans="1:5" ht="15.75" outlineLevel="1">
      <c r="A161" s="39" t="s">
        <v>489</v>
      </c>
      <c r="B161" s="40" t="s">
        <v>18</v>
      </c>
      <c r="C161" s="39">
        <v>5.54</v>
      </c>
      <c r="D161" s="113"/>
    </row>
    <row r="162" spans="1:5" ht="15.75" outlineLevel="1">
      <c r="A162" s="39" t="s">
        <v>489</v>
      </c>
      <c r="B162" s="40" t="s">
        <v>19</v>
      </c>
      <c r="C162" s="39">
        <v>5.55</v>
      </c>
      <c r="D162" s="113"/>
    </row>
    <row r="163" spans="1:5" ht="15.75" outlineLevel="1">
      <c r="A163" s="39" t="s">
        <v>489</v>
      </c>
      <c r="B163" s="40" t="s">
        <v>16</v>
      </c>
      <c r="C163" s="39">
        <v>5.62</v>
      </c>
      <c r="D163" s="113"/>
      <c r="E163" t="s">
        <v>1136</v>
      </c>
    </row>
    <row r="164" spans="1:5" ht="15.75" outlineLevel="1">
      <c r="A164" s="39" t="s">
        <v>489</v>
      </c>
      <c r="B164" s="40" t="s">
        <v>20</v>
      </c>
      <c r="C164" s="39">
        <v>5.63</v>
      </c>
      <c r="D164" s="113"/>
    </row>
    <row r="165" spans="1:5" ht="15.75" outlineLevel="1">
      <c r="A165" s="39" t="s">
        <v>489</v>
      </c>
      <c r="B165" s="40" t="s">
        <v>23</v>
      </c>
      <c r="C165" s="39">
        <v>5.45</v>
      </c>
      <c r="D165" s="113"/>
    </row>
    <row r="166" spans="1:5" ht="15.75" outlineLevel="1">
      <c r="A166" s="39" t="s">
        <v>489</v>
      </c>
      <c r="B166" s="40" t="s">
        <v>24</v>
      </c>
      <c r="C166" s="39">
        <v>5.47</v>
      </c>
      <c r="D166" s="113"/>
    </row>
    <row r="167" spans="1:5" ht="15.75" outlineLevel="1">
      <c r="A167" s="39" t="s">
        <v>489</v>
      </c>
      <c r="B167" s="40" t="s">
        <v>25</v>
      </c>
      <c r="C167" s="39">
        <v>5.48</v>
      </c>
      <c r="D167" s="113"/>
    </row>
    <row r="168" spans="1:5" ht="15.75">
      <c r="A168" s="45" t="s">
        <v>489</v>
      </c>
      <c r="B168" s="40"/>
      <c r="C168" s="39"/>
      <c r="D168" s="113"/>
    </row>
    <row r="169" spans="1:5" ht="15.75" outlineLevel="1">
      <c r="A169" s="39" t="s">
        <v>1005</v>
      </c>
      <c r="B169" s="40" t="s">
        <v>0</v>
      </c>
      <c r="C169" s="39">
        <v>5.0999999999999996</v>
      </c>
      <c r="D169" s="113"/>
    </row>
    <row r="170" spans="1:5" ht="15.75" outlineLevel="1">
      <c r="A170" s="39" t="s">
        <v>1005</v>
      </c>
      <c r="B170" s="40" t="s">
        <v>1</v>
      </c>
      <c r="C170" s="39">
        <v>5.2</v>
      </c>
      <c r="D170" s="113"/>
    </row>
    <row r="171" spans="1:5" ht="15.75" outlineLevel="1">
      <c r="A171" s="39" t="s">
        <v>1005</v>
      </c>
      <c r="B171" s="40" t="s">
        <v>2</v>
      </c>
      <c r="C171" s="39">
        <v>5.3</v>
      </c>
      <c r="D171" s="113"/>
    </row>
    <row r="172" spans="1:5" ht="15.75" outlineLevel="1">
      <c r="A172" s="39" t="s">
        <v>1005</v>
      </c>
      <c r="B172" s="40" t="s">
        <v>166</v>
      </c>
      <c r="C172" s="39">
        <v>5.6</v>
      </c>
      <c r="D172" s="113"/>
    </row>
    <row r="173" spans="1:5" ht="15.75" outlineLevel="1">
      <c r="A173" s="39" t="s">
        <v>1005</v>
      </c>
      <c r="B173" s="40" t="s">
        <v>1133</v>
      </c>
      <c r="C173" s="41">
        <v>5.0999999999999996</v>
      </c>
      <c r="D173" s="113"/>
    </row>
    <row r="174" spans="1:5" ht="15.75" outlineLevel="1">
      <c r="A174" s="39" t="s">
        <v>1005</v>
      </c>
      <c r="B174" s="40" t="s">
        <v>1132</v>
      </c>
      <c r="C174" s="39">
        <v>5.14</v>
      </c>
      <c r="D174" s="113"/>
    </row>
    <row r="175" spans="1:5" ht="15.75" outlineLevel="1">
      <c r="A175" s="39" t="s">
        <v>1005</v>
      </c>
      <c r="B175" s="40" t="s">
        <v>4</v>
      </c>
      <c r="C175" s="39">
        <v>5.19</v>
      </c>
      <c r="D175" s="113"/>
    </row>
    <row r="176" spans="1:5" ht="15.75" outlineLevel="1">
      <c r="A176" s="39" t="s">
        <v>1005</v>
      </c>
      <c r="B176" s="40" t="s">
        <v>168</v>
      </c>
      <c r="C176" s="39">
        <v>5.24</v>
      </c>
      <c r="D176" s="113"/>
    </row>
    <row r="177" spans="1:4" ht="15.75" outlineLevel="1">
      <c r="A177" s="39" t="s">
        <v>1005</v>
      </c>
      <c r="B177" s="40" t="s">
        <v>5</v>
      </c>
      <c r="C177" s="39">
        <v>5.26</v>
      </c>
      <c r="D177" s="113"/>
    </row>
    <row r="178" spans="1:4" ht="15.75" outlineLevel="1">
      <c r="A178" s="39" t="s">
        <v>1005</v>
      </c>
      <c r="B178" s="40" t="s">
        <v>6</v>
      </c>
      <c r="C178" s="39">
        <v>5.27</v>
      </c>
      <c r="D178" s="113"/>
    </row>
    <row r="179" spans="1:4" ht="15.75" outlineLevel="1">
      <c r="A179" s="39" t="s">
        <v>1005</v>
      </c>
      <c r="B179" s="40" t="s">
        <v>7</v>
      </c>
      <c r="C179" s="39">
        <v>5.28</v>
      </c>
      <c r="D179" s="113"/>
    </row>
    <row r="180" spans="1:4" ht="15.75" outlineLevel="1">
      <c r="A180" s="39" t="s">
        <v>1005</v>
      </c>
      <c r="B180" s="40" t="s">
        <v>344</v>
      </c>
      <c r="C180" s="39">
        <v>5.29</v>
      </c>
      <c r="D180" s="113"/>
    </row>
    <row r="181" spans="1:4" ht="15.75" outlineLevel="1">
      <c r="A181" s="39" t="s">
        <v>1005</v>
      </c>
      <c r="B181" s="40" t="s">
        <v>8</v>
      </c>
      <c r="C181" s="41">
        <v>5.3</v>
      </c>
      <c r="D181" s="113"/>
    </row>
    <row r="182" spans="1:4" ht="15.75" outlineLevel="1">
      <c r="A182" s="39" t="s">
        <v>1005</v>
      </c>
      <c r="B182" s="40" t="s">
        <v>587</v>
      </c>
      <c r="C182" s="39">
        <v>5.32</v>
      </c>
      <c r="D182" s="113"/>
    </row>
    <row r="183" spans="1:4" ht="15.75" outlineLevel="1">
      <c r="A183" s="39" t="s">
        <v>1005</v>
      </c>
      <c r="B183" s="40" t="s">
        <v>145</v>
      </c>
      <c r="C183" s="39">
        <v>5.36</v>
      </c>
      <c r="D183" s="113"/>
    </row>
    <row r="184" spans="1:4" ht="15.75" outlineLevel="1">
      <c r="A184" s="39" t="s">
        <v>1005</v>
      </c>
      <c r="B184" s="40" t="s">
        <v>11</v>
      </c>
      <c r="C184" s="39">
        <v>5.53</v>
      </c>
      <c r="D184" s="113"/>
    </row>
    <row r="185" spans="1:4" ht="15.75" outlineLevel="1">
      <c r="A185" s="39" t="s">
        <v>1005</v>
      </c>
      <c r="B185" s="40" t="s">
        <v>17</v>
      </c>
      <c r="C185" s="39">
        <v>5.58</v>
      </c>
      <c r="D185" s="113"/>
    </row>
    <row r="186" spans="1:4" ht="15.75" outlineLevel="1">
      <c r="A186" s="39" t="s">
        <v>1005</v>
      </c>
      <c r="B186" s="40" t="s">
        <v>18</v>
      </c>
      <c r="C186" s="39">
        <v>5.54</v>
      </c>
      <c r="D186" s="113"/>
    </row>
    <row r="187" spans="1:4" ht="15.75" outlineLevel="1">
      <c r="A187" s="39" t="s">
        <v>1005</v>
      </c>
      <c r="B187" s="40" t="s">
        <v>19</v>
      </c>
      <c r="C187" s="39">
        <v>5.55</v>
      </c>
      <c r="D187" s="113"/>
    </row>
    <row r="188" spans="1:4" ht="15.75" outlineLevel="1">
      <c r="A188" s="39" t="s">
        <v>1005</v>
      </c>
      <c r="B188" s="40" t="s">
        <v>20</v>
      </c>
      <c r="C188" s="39">
        <v>5.63</v>
      </c>
      <c r="D188" s="113"/>
    </row>
    <row r="189" spans="1:4" ht="15.75" outlineLevel="1">
      <c r="A189" s="39" t="s">
        <v>1005</v>
      </c>
      <c r="B189" s="40" t="s">
        <v>23</v>
      </c>
      <c r="C189" s="39">
        <v>5.45</v>
      </c>
      <c r="D189" s="113"/>
    </row>
    <row r="190" spans="1:4" ht="15.75" outlineLevel="1">
      <c r="A190" s="39" t="s">
        <v>1005</v>
      </c>
      <c r="B190" s="40" t="s">
        <v>24</v>
      </c>
      <c r="C190" s="39">
        <v>5.47</v>
      </c>
      <c r="D190" s="113"/>
    </row>
    <row r="191" spans="1:4" ht="15.75" outlineLevel="1">
      <c r="A191" s="39" t="s">
        <v>1005</v>
      </c>
      <c r="B191" s="40" t="s">
        <v>25</v>
      </c>
      <c r="C191" s="39">
        <v>5.48</v>
      </c>
      <c r="D191" s="113"/>
    </row>
    <row r="192" spans="1:4" ht="15.75">
      <c r="A192" s="45" t="s">
        <v>1005</v>
      </c>
      <c r="B192" s="40"/>
      <c r="C192" s="39"/>
      <c r="D192" s="113"/>
    </row>
    <row r="193" spans="1:4" ht="15.75" outlineLevel="1">
      <c r="A193" s="39" t="s">
        <v>1137</v>
      </c>
      <c r="B193" s="40" t="s">
        <v>0</v>
      </c>
      <c r="C193" s="39">
        <v>5.0999999999999996</v>
      </c>
      <c r="D193" s="113"/>
    </row>
    <row r="194" spans="1:4" ht="15.75" outlineLevel="1">
      <c r="A194" s="39" t="s">
        <v>1137</v>
      </c>
      <c r="B194" s="40" t="s">
        <v>1</v>
      </c>
      <c r="C194" s="39">
        <v>5.2</v>
      </c>
      <c r="D194" s="113"/>
    </row>
    <row r="195" spans="1:4" ht="15.75" outlineLevel="1">
      <c r="A195" s="39" t="s">
        <v>1137</v>
      </c>
      <c r="B195" s="40" t="s">
        <v>2</v>
      </c>
      <c r="C195" s="39">
        <v>5.3</v>
      </c>
      <c r="D195" s="113"/>
    </row>
    <row r="196" spans="1:4" ht="15.75" outlineLevel="1">
      <c r="A196" s="39" t="s">
        <v>1137</v>
      </c>
      <c r="B196" s="40" t="s">
        <v>166</v>
      </c>
      <c r="C196" s="39">
        <v>5.6</v>
      </c>
      <c r="D196" s="113"/>
    </row>
    <row r="197" spans="1:4" ht="15.75" outlineLevel="1">
      <c r="A197" s="39" t="s">
        <v>1137</v>
      </c>
      <c r="B197" s="40" t="s">
        <v>1133</v>
      </c>
      <c r="C197" s="41">
        <v>5.0999999999999996</v>
      </c>
      <c r="D197" s="113"/>
    </row>
    <row r="198" spans="1:4" ht="15.75" outlineLevel="1">
      <c r="A198" s="39" t="s">
        <v>1137</v>
      </c>
      <c r="B198" s="40" t="s">
        <v>1132</v>
      </c>
      <c r="C198" s="39">
        <v>5.14</v>
      </c>
      <c r="D198" s="113"/>
    </row>
    <row r="199" spans="1:4" ht="15.75" outlineLevel="1">
      <c r="A199" s="39" t="s">
        <v>1137</v>
      </c>
      <c r="B199" s="40" t="s">
        <v>4</v>
      </c>
      <c r="C199" s="39">
        <v>5.19</v>
      </c>
      <c r="D199" s="113"/>
    </row>
    <row r="200" spans="1:4" ht="15.75" outlineLevel="1">
      <c r="A200" s="39" t="s">
        <v>1137</v>
      </c>
      <c r="B200" s="40" t="s">
        <v>168</v>
      </c>
      <c r="C200" s="39">
        <v>5.24</v>
      </c>
      <c r="D200" s="113"/>
    </row>
    <row r="201" spans="1:4" ht="15.75" outlineLevel="1">
      <c r="A201" s="39" t="s">
        <v>1137</v>
      </c>
      <c r="B201" s="40" t="s">
        <v>6</v>
      </c>
      <c r="C201" s="39">
        <v>5.27</v>
      </c>
      <c r="D201" s="113"/>
    </row>
    <row r="202" spans="1:4" ht="15.75" outlineLevel="1">
      <c r="A202" s="39" t="s">
        <v>1137</v>
      </c>
      <c r="B202" s="40" t="s">
        <v>7</v>
      </c>
      <c r="C202" s="39">
        <v>5.28</v>
      </c>
      <c r="D202" s="113"/>
    </row>
    <row r="203" spans="1:4" ht="15.75" outlineLevel="1">
      <c r="A203" s="39" t="s">
        <v>1137</v>
      </c>
      <c r="B203" s="40" t="s">
        <v>344</v>
      </c>
      <c r="C203" s="39">
        <v>5.29</v>
      </c>
      <c r="D203" s="113"/>
    </row>
    <row r="204" spans="1:4" ht="15.75" outlineLevel="1">
      <c r="A204" s="39" t="s">
        <v>1137</v>
      </c>
      <c r="B204" s="40" t="s">
        <v>8</v>
      </c>
      <c r="C204" s="41">
        <v>5.3</v>
      </c>
      <c r="D204" s="113"/>
    </row>
    <row r="205" spans="1:4" ht="15.75" outlineLevel="1">
      <c r="A205" s="39" t="s">
        <v>1137</v>
      </c>
      <c r="B205" s="40" t="s">
        <v>1138</v>
      </c>
      <c r="C205" s="39">
        <v>5.34</v>
      </c>
      <c r="D205" s="113"/>
    </row>
    <row r="206" spans="1:4" ht="15.75" outlineLevel="1">
      <c r="A206" s="39" t="s">
        <v>1137</v>
      </c>
      <c r="B206" s="40" t="s">
        <v>169</v>
      </c>
      <c r="C206" s="39">
        <v>5.31</v>
      </c>
      <c r="D206" s="113"/>
    </row>
    <row r="207" spans="1:4" ht="15.75" outlineLevel="1">
      <c r="A207" s="39" t="s">
        <v>1137</v>
      </c>
      <c r="B207" s="40" t="s">
        <v>1139</v>
      </c>
      <c r="C207" s="39">
        <v>5.101</v>
      </c>
      <c r="D207" s="113"/>
    </row>
    <row r="208" spans="1:4" ht="15.75" outlineLevel="1">
      <c r="A208" s="39" t="s">
        <v>1137</v>
      </c>
      <c r="B208" s="40" t="s">
        <v>145</v>
      </c>
      <c r="C208" s="39">
        <v>5.36</v>
      </c>
      <c r="D208" s="113"/>
    </row>
    <row r="209" spans="1:4" ht="15.75" outlineLevel="1">
      <c r="A209" s="39" t="s">
        <v>1137</v>
      </c>
      <c r="B209" s="40" t="s">
        <v>11</v>
      </c>
      <c r="C209" s="39">
        <v>5.53</v>
      </c>
      <c r="D209" s="113"/>
    </row>
    <row r="210" spans="1:4" ht="15.75" outlineLevel="1">
      <c r="A210" s="39" t="s">
        <v>1137</v>
      </c>
      <c r="B210" s="40" t="s">
        <v>1140</v>
      </c>
      <c r="C210" s="39">
        <v>5.1020000000000003</v>
      </c>
      <c r="D210" s="113"/>
    </row>
    <row r="211" spans="1:4" ht="15.75" outlineLevel="1">
      <c r="A211" s="39" t="s">
        <v>1137</v>
      </c>
      <c r="B211" s="40" t="s">
        <v>1141</v>
      </c>
      <c r="C211" s="42">
        <v>5.0999999999999996</v>
      </c>
      <c r="D211" s="113"/>
    </row>
    <row r="212" spans="1:4" ht="15.75" outlineLevel="1">
      <c r="A212" s="39" t="s">
        <v>1137</v>
      </c>
      <c r="B212" s="40" t="s">
        <v>17</v>
      </c>
      <c r="C212" s="39">
        <v>5.58</v>
      </c>
      <c r="D212" s="113"/>
    </row>
    <row r="213" spans="1:4" ht="15.75" outlineLevel="1">
      <c r="A213" s="39" t="s">
        <v>1137</v>
      </c>
      <c r="B213" s="40" t="s">
        <v>18</v>
      </c>
      <c r="C213" s="39">
        <v>5.54</v>
      </c>
      <c r="D213" s="113"/>
    </row>
    <row r="214" spans="1:4" ht="15.75" outlineLevel="1">
      <c r="A214" s="39" t="s">
        <v>1137</v>
      </c>
      <c r="B214" s="40" t="s">
        <v>19</v>
      </c>
      <c r="C214" s="39">
        <v>5.55</v>
      </c>
      <c r="D214" s="113"/>
    </row>
    <row r="215" spans="1:4" ht="15.75" outlineLevel="1">
      <c r="A215" s="39" t="s">
        <v>1137</v>
      </c>
      <c r="B215" s="40" t="s">
        <v>20</v>
      </c>
      <c r="C215" s="39">
        <v>5.63</v>
      </c>
      <c r="D215" s="113"/>
    </row>
    <row r="216" spans="1:4" ht="15.75" outlineLevel="1">
      <c r="A216" s="39" t="s">
        <v>1137</v>
      </c>
      <c r="B216" s="40" t="s">
        <v>24</v>
      </c>
      <c r="C216" s="39">
        <v>5.47</v>
      </c>
      <c r="D216" s="113"/>
    </row>
    <row r="217" spans="1:4" ht="15.75" outlineLevel="1">
      <c r="A217" s="39" t="s">
        <v>1137</v>
      </c>
      <c r="B217" s="40" t="s">
        <v>25</v>
      </c>
      <c r="C217" s="39">
        <v>5.48</v>
      </c>
      <c r="D217" s="113"/>
    </row>
    <row r="218" spans="1:4" ht="15.75">
      <c r="A218" s="45" t="s">
        <v>1137</v>
      </c>
      <c r="B218" s="40"/>
      <c r="C218" s="39"/>
      <c r="D218" s="113"/>
    </row>
    <row r="219" spans="1:4" ht="15.75" outlineLevel="1">
      <c r="A219" s="39" t="s">
        <v>1008</v>
      </c>
      <c r="B219" s="40" t="s">
        <v>0</v>
      </c>
      <c r="C219" s="39">
        <v>5.0999999999999996</v>
      </c>
      <c r="D219" s="113"/>
    </row>
    <row r="220" spans="1:4" ht="15.75" outlineLevel="1">
      <c r="A220" s="39" t="s">
        <v>1008</v>
      </c>
      <c r="B220" s="40" t="s">
        <v>1</v>
      </c>
      <c r="C220" s="39">
        <v>5.2</v>
      </c>
      <c r="D220" s="113"/>
    </row>
    <row r="221" spans="1:4" ht="15.75" outlineLevel="1">
      <c r="A221" s="39" t="s">
        <v>1008</v>
      </c>
      <c r="B221" s="40" t="s">
        <v>2</v>
      </c>
      <c r="C221" s="39">
        <v>5.3</v>
      </c>
      <c r="D221" s="113"/>
    </row>
    <row r="222" spans="1:4" ht="15.75" outlineLevel="1">
      <c r="A222" s="39" t="s">
        <v>1008</v>
      </c>
      <c r="B222" s="40" t="s">
        <v>166</v>
      </c>
      <c r="C222" s="39">
        <v>5.6</v>
      </c>
      <c r="D222" s="113"/>
    </row>
    <row r="223" spans="1:4" ht="15.75" outlineLevel="1">
      <c r="A223" s="39" t="s">
        <v>1008</v>
      </c>
      <c r="B223" s="40" t="s">
        <v>1133</v>
      </c>
      <c r="C223" s="41">
        <v>5.0999999999999996</v>
      </c>
      <c r="D223" s="113"/>
    </row>
    <row r="224" spans="1:4" ht="15.75" outlineLevel="1">
      <c r="A224" s="39" t="s">
        <v>1008</v>
      </c>
      <c r="B224" s="40" t="s">
        <v>1132</v>
      </c>
      <c r="C224" s="39">
        <v>5.14</v>
      </c>
      <c r="D224" s="113"/>
    </row>
    <row r="225" spans="1:4" ht="15.75" outlineLevel="1">
      <c r="A225" s="39" t="s">
        <v>1008</v>
      </c>
      <c r="B225" s="40" t="s">
        <v>4</v>
      </c>
      <c r="C225" s="39">
        <v>5.19</v>
      </c>
      <c r="D225" s="113"/>
    </row>
    <row r="226" spans="1:4" ht="15.75" outlineLevel="1">
      <c r="A226" s="39" t="s">
        <v>1008</v>
      </c>
      <c r="B226" s="40" t="s">
        <v>168</v>
      </c>
      <c r="C226" s="39">
        <v>5.24</v>
      </c>
      <c r="D226" s="113"/>
    </row>
    <row r="227" spans="1:4" ht="15.75" outlineLevel="1">
      <c r="A227" s="39" t="s">
        <v>1008</v>
      </c>
      <c r="B227" s="40" t="s">
        <v>5</v>
      </c>
      <c r="C227" s="39">
        <v>5.26</v>
      </c>
      <c r="D227" s="113"/>
    </row>
    <row r="228" spans="1:4" ht="15.75" outlineLevel="1">
      <c r="A228" s="39" t="s">
        <v>1008</v>
      </c>
      <c r="B228" s="40" t="s">
        <v>6</v>
      </c>
      <c r="C228" s="39">
        <v>5.27</v>
      </c>
      <c r="D228" s="113"/>
    </row>
    <row r="229" spans="1:4" ht="15.75" outlineLevel="1">
      <c r="A229" s="39" t="s">
        <v>1008</v>
      </c>
      <c r="B229" s="40" t="s">
        <v>7</v>
      </c>
      <c r="C229" s="39">
        <v>5.28</v>
      </c>
      <c r="D229" s="113"/>
    </row>
    <row r="230" spans="1:4" ht="15.75" outlineLevel="1">
      <c r="A230" s="39" t="s">
        <v>1008</v>
      </c>
      <c r="B230" s="40" t="s">
        <v>344</v>
      </c>
      <c r="C230" s="39">
        <v>5.29</v>
      </c>
      <c r="D230" s="113"/>
    </row>
    <row r="231" spans="1:4" ht="15.75" outlineLevel="1">
      <c r="A231" s="39" t="s">
        <v>1008</v>
      </c>
      <c r="B231" s="40" t="s">
        <v>8</v>
      </c>
      <c r="C231" s="41">
        <v>5.3</v>
      </c>
      <c r="D231" s="113"/>
    </row>
    <row r="232" spans="1:4" ht="15.75" outlineLevel="1">
      <c r="A232" s="39" t="s">
        <v>1008</v>
      </c>
      <c r="B232" s="40" t="s">
        <v>169</v>
      </c>
      <c r="C232" s="39">
        <v>5.31</v>
      </c>
      <c r="D232" s="113"/>
    </row>
    <row r="233" spans="1:4" ht="15.75" outlineLevel="1">
      <c r="A233" s="39" t="s">
        <v>1008</v>
      </c>
      <c r="B233" s="40" t="s">
        <v>192</v>
      </c>
      <c r="C233" s="39">
        <v>5.33</v>
      </c>
      <c r="D233" s="113"/>
    </row>
    <row r="234" spans="1:4" ht="15.75" outlineLevel="1">
      <c r="A234" s="39" t="s">
        <v>1008</v>
      </c>
      <c r="B234" s="40" t="s">
        <v>1139</v>
      </c>
      <c r="C234" s="39">
        <v>5.101</v>
      </c>
      <c r="D234" s="113"/>
    </row>
    <row r="235" spans="1:4" ht="15.75" outlineLevel="1">
      <c r="A235" s="39" t="s">
        <v>1008</v>
      </c>
      <c r="B235" s="40" t="s">
        <v>145</v>
      </c>
      <c r="C235" s="39">
        <v>5.36</v>
      </c>
      <c r="D235" s="113"/>
    </row>
    <row r="236" spans="1:4" ht="15.75" outlineLevel="1">
      <c r="A236" s="39" t="s">
        <v>1008</v>
      </c>
      <c r="B236" s="40" t="s">
        <v>11</v>
      </c>
      <c r="C236" s="39">
        <v>5.53</v>
      </c>
      <c r="D236" s="113"/>
    </row>
    <row r="237" spans="1:4" ht="15.75" outlineLevel="1">
      <c r="A237" s="39" t="s">
        <v>1008</v>
      </c>
      <c r="B237" s="40" t="s">
        <v>1140</v>
      </c>
      <c r="C237" s="39">
        <v>5.1020000000000003</v>
      </c>
      <c r="D237" s="113"/>
    </row>
    <row r="238" spans="1:4" ht="15.75" outlineLevel="1">
      <c r="A238" s="39" t="s">
        <v>1008</v>
      </c>
      <c r="B238" s="40" t="s">
        <v>17</v>
      </c>
      <c r="C238" s="39">
        <v>5.58</v>
      </c>
      <c r="D238" s="113"/>
    </row>
    <row r="239" spans="1:4" ht="15.75" outlineLevel="1">
      <c r="A239" s="39" t="s">
        <v>1008</v>
      </c>
      <c r="B239" s="40" t="s">
        <v>18</v>
      </c>
      <c r="C239" s="39">
        <v>5.54</v>
      </c>
      <c r="D239" s="113"/>
    </row>
    <row r="240" spans="1:4" ht="15.75" outlineLevel="1">
      <c r="A240" s="39" t="s">
        <v>1008</v>
      </c>
      <c r="B240" s="40" t="s">
        <v>19</v>
      </c>
      <c r="C240" s="39">
        <v>5.55</v>
      </c>
      <c r="D240" s="113"/>
    </row>
    <row r="241" spans="1:4" ht="15.75" outlineLevel="1">
      <c r="A241" s="39" t="s">
        <v>1008</v>
      </c>
      <c r="B241" s="40" t="s">
        <v>20</v>
      </c>
      <c r="C241" s="39">
        <v>5.63</v>
      </c>
      <c r="D241" s="113"/>
    </row>
    <row r="242" spans="1:4" ht="15.75" outlineLevel="1">
      <c r="A242" s="39" t="s">
        <v>1008</v>
      </c>
      <c r="B242" s="40" t="s">
        <v>24</v>
      </c>
      <c r="C242" s="39">
        <v>5.47</v>
      </c>
      <c r="D242" s="113"/>
    </row>
    <row r="243" spans="1:4" ht="15.75" outlineLevel="1">
      <c r="A243" s="39" t="s">
        <v>1008</v>
      </c>
      <c r="B243" s="40" t="s">
        <v>25</v>
      </c>
      <c r="C243" s="39">
        <v>5.48</v>
      </c>
      <c r="D243" s="113"/>
    </row>
    <row r="244" spans="1:4" ht="15.75">
      <c r="A244" s="45" t="s">
        <v>1008</v>
      </c>
      <c r="B244" s="40"/>
      <c r="C244" s="39"/>
      <c r="D244" s="113"/>
    </row>
    <row r="245" spans="1:4" ht="15.75" outlineLevel="1">
      <c r="A245" s="39" t="s">
        <v>1142</v>
      </c>
      <c r="B245" s="40" t="s">
        <v>0</v>
      </c>
      <c r="C245" s="39">
        <v>5.0999999999999996</v>
      </c>
      <c r="D245" s="113"/>
    </row>
    <row r="246" spans="1:4" ht="15.75" outlineLevel="1">
      <c r="A246" s="39" t="s">
        <v>1142</v>
      </c>
      <c r="B246" s="40" t="s">
        <v>1</v>
      </c>
      <c r="C246" s="39">
        <v>5.2</v>
      </c>
      <c r="D246" s="113"/>
    </row>
    <row r="247" spans="1:4" ht="15.75" outlineLevel="1">
      <c r="A247" s="39" t="s">
        <v>1142</v>
      </c>
      <c r="B247" s="40" t="s">
        <v>2</v>
      </c>
      <c r="C247" s="39">
        <v>5.3</v>
      </c>
      <c r="D247" s="113"/>
    </row>
    <row r="248" spans="1:4" ht="15.75" outlineLevel="1">
      <c r="A248" s="39" t="s">
        <v>1142</v>
      </c>
      <c r="B248" s="40" t="s">
        <v>166</v>
      </c>
      <c r="C248" s="39">
        <v>5.6</v>
      </c>
      <c r="D248" s="113"/>
    </row>
    <row r="249" spans="1:4" ht="15.75" outlineLevel="1">
      <c r="A249" s="39" t="s">
        <v>1142</v>
      </c>
      <c r="B249" s="40" t="s">
        <v>1133</v>
      </c>
      <c r="C249" s="41">
        <v>5.0999999999999996</v>
      </c>
      <c r="D249" s="113"/>
    </row>
    <row r="250" spans="1:4" ht="15.75" outlineLevel="1">
      <c r="A250" s="39" t="s">
        <v>1142</v>
      </c>
      <c r="B250" s="40" t="s">
        <v>1132</v>
      </c>
      <c r="C250" s="39">
        <v>5.14</v>
      </c>
      <c r="D250" s="113"/>
    </row>
    <row r="251" spans="1:4" ht="15.75" outlineLevel="1">
      <c r="A251" s="39" t="s">
        <v>1142</v>
      </c>
      <c r="B251" s="40" t="s">
        <v>4</v>
      </c>
      <c r="C251" s="39">
        <v>5.19</v>
      </c>
      <c r="D251" s="113"/>
    </row>
    <row r="252" spans="1:4" ht="15.75" outlineLevel="1">
      <c r="A252" s="39" t="s">
        <v>1142</v>
      </c>
      <c r="B252" s="40" t="s">
        <v>168</v>
      </c>
      <c r="C252" s="39">
        <v>5.24</v>
      </c>
      <c r="D252" s="113"/>
    </row>
    <row r="253" spans="1:4" ht="15.75" outlineLevel="1">
      <c r="A253" s="39" t="s">
        <v>1142</v>
      </c>
      <c r="B253" s="40" t="s">
        <v>6</v>
      </c>
      <c r="C253" s="39">
        <v>5.27</v>
      </c>
      <c r="D253" s="113"/>
    </row>
    <row r="254" spans="1:4" ht="15.75" outlineLevel="1">
      <c r="A254" s="39" t="s">
        <v>1142</v>
      </c>
      <c r="B254" s="40" t="s">
        <v>7</v>
      </c>
      <c r="C254" s="39">
        <v>5.28</v>
      </c>
      <c r="D254" s="113"/>
    </row>
    <row r="255" spans="1:4" ht="15.75" outlineLevel="1">
      <c r="A255" s="39" t="s">
        <v>1142</v>
      </c>
      <c r="B255" s="40" t="s">
        <v>8</v>
      </c>
      <c r="C255" s="41">
        <v>5.3</v>
      </c>
      <c r="D255" s="113"/>
    </row>
    <row r="256" spans="1:4" ht="15.75" outlineLevel="1">
      <c r="A256" s="39" t="s">
        <v>1142</v>
      </c>
      <c r="B256" s="40" t="s">
        <v>192</v>
      </c>
      <c r="C256" s="39">
        <v>5.33</v>
      </c>
      <c r="D256" s="113"/>
    </row>
    <row r="257" spans="1:4" ht="15.75" outlineLevel="1">
      <c r="A257" s="39" t="s">
        <v>1142</v>
      </c>
      <c r="B257" s="40" t="s">
        <v>145</v>
      </c>
      <c r="C257" s="39">
        <v>5.36</v>
      </c>
      <c r="D257" s="113"/>
    </row>
    <row r="258" spans="1:4" ht="15.75" outlineLevel="1">
      <c r="A258" s="39" t="s">
        <v>1142</v>
      </c>
      <c r="B258" s="40" t="s">
        <v>11</v>
      </c>
      <c r="C258" s="39">
        <v>5.53</v>
      </c>
      <c r="D258" s="113"/>
    </row>
    <row r="259" spans="1:4" ht="15.75" outlineLevel="1">
      <c r="A259" s="39" t="s">
        <v>1142</v>
      </c>
      <c r="B259" s="40" t="s">
        <v>17</v>
      </c>
      <c r="C259" s="39">
        <v>5.58</v>
      </c>
      <c r="D259" s="113"/>
    </row>
    <row r="260" spans="1:4" ht="15.75" outlineLevel="1">
      <c r="A260" s="39" t="s">
        <v>1142</v>
      </c>
      <c r="B260" s="40" t="s">
        <v>18</v>
      </c>
      <c r="C260" s="39">
        <v>5.54</v>
      </c>
      <c r="D260" s="113"/>
    </row>
    <row r="261" spans="1:4" ht="15.75" outlineLevel="1">
      <c r="A261" s="39" t="s">
        <v>1142</v>
      </c>
      <c r="B261" s="40" t="s">
        <v>19</v>
      </c>
      <c r="C261" s="39">
        <v>5.55</v>
      </c>
      <c r="D261" s="113"/>
    </row>
    <row r="262" spans="1:4" ht="15.75" outlineLevel="1">
      <c r="A262" s="39" t="s">
        <v>1142</v>
      </c>
      <c r="B262" s="40" t="s">
        <v>20</v>
      </c>
      <c r="C262" s="39">
        <v>5.63</v>
      </c>
      <c r="D262" s="113"/>
    </row>
    <row r="263" spans="1:4" ht="15.75" outlineLevel="1">
      <c r="A263" s="39" t="s">
        <v>1142</v>
      </c>
      <c r="B263" s="40" t="s">
        <v>24</v>
      </c>
      <c r="C263" s="39">
        <v>5.47</v>
      </c>
      <c r="D263" s="113"/>
    </row>
    <row r="264" spans="1:4" ht="15.75" outlineLevel="1">
      <c r="A264" s="39" t="s">
        <v>1142</v>
      </c>
      <c r="B264" s="40" t="s">
        <v>25</v>
      </c>
      <c r="C264" s="39">
        <v>5.48</v>
      </c>
      <c r="D264" s="113"/>
    </row>
    <row r="265" spans="1:4" ht="15.75">
      <c r="A265" s="45" t="s">
        <v>1142</v>
      </c>
      <c r="B265" s="40"/>
      <c r="C265" s="39"/>
      <c r="D265" s="113"/>
    </row>
    <row r="266" spans="1:4" ht="15.75" outlineLevel="1">
      <c r="A266" s="39" t="s">
        <v>1013</v>
      </c>
      <c r="B266" s="40" t="s">
        <v>0</v>
      </c>
      <c r="C266" s="39">
        <v>5.0999999999999996</v>
      </c>
      <c r="D266" s="113"/>
    </row>
    <row r="267" spans="1:4" ht="15.75" outlineLevel="1">
      <c r="A267" s="39" t="s">
        <v>1013</v>
      </c>
      <c r="B267" s="40" t="s">
        <v>1</v>
      </c>
      <c r="C267" s="39">
        <v>5.2</v>
      </c>
      <c r="D267" s="113"/>
    </row>
    <row r="268" spans="1:4" ht="15.75" outlineLevel="1">
      <c r="A268" s="39" t="s">
        <v>1013</v>
      </c>
      <c r="B268" s="40" t="s">
        <v>2</v>
      </c>
      <c r="C268" s="39">
        <v>5.3</v>
      </c>
      <c r="D268" s="113"/>
    </row>
    <row r="269" spans="1:4" ht="15.75" outlineLevel="1">
      <c r="A269" s="39" t="s">
        <v>1013</v>
      </c>
      <c r="B269" s="40" t="s">
        <v>166</v>
      </c>
      <c r="C269" s="39">
        <v>5.6</v>
      </c>
      <c r="D269" s="113"/>
    </row>
    <row r="270" spans="1:4" ht="15.75" outlineLevel="1">
      <c r="A270" s="39" t="s">
        <v>1013</v>
      </c>
      <c r="B270" s="40" t="s">
        <v>1133</v>
      </c>
      <c r="C270" s="41">
        <v>5.0999999999999996</v>
      </c>
      <c r="D270" s="113"/>
    </row>
    <row r="271" spans="1:4" ht="15.75" outlineLevel="1">
      <c r="A271" s="39" t="s">
        <v>1013</v>
      </c>
      <c r="B271" s="40" t="s">
        <v>1132</v>
      </c>
      <c r="C271" s="39">
        <v>5.14</v>
      </c>
      <c r="D271" s="113"/>
    </row>
    <row r="272" spans="1:4" ht="15.75" outlineLevel="1">
      <c r="A272" s="39" t="s">
        <v>1013</v>
      </c>
      <c r="B272" s="40" t="s">
        <v>4</v>
      </c>
      <c r="C272" s="39">
        <v>5.19</v>
      </c>
      <c r="D272" s="113"/>
    </row>
    <row r="273" spans="1:4" ht="15.75" outlineLevel="1">
      <c r="A273" s="39" t="s">
        <v>1013</v>
      </c>
      <c r="B273" s="40" t="s">
        <v>168</v>
      </c>
      <c r="C273" s="39">
        <v>5.24</v>
      </c>
      <c r="D273" s="113"/>
    </row>
    <row r="274" spans="1:4" ht="15.75" outlineLevel="1">
      <c r="A274" s="39" t="s">
        <v>1013</v>
      </c>
      <c r="B274" s="40" t="s">
        <v>5</v>
      </c>
      <c r="C274" s="39">
        <v>5.26</v>
      </c>
      <c r="D274" s="113"/>
    </row>
    <row r="275" spans="1:4" ht="15.75" outlineLevel="1">
      <c r="A275" s="39" t="s">
        <v>1013</v>
      </c>
      <c r="B275" s="40" t="s">
        <v>6</v>
      </c>
      <c r="C275" s="39">
        <v>5.27</v>
      </c>
      <c r="D275" s="113"/>
    </row>
    <row r="276" spans="1:4" ht="15.75" outlineLevel="1">
      <c r="A276" s="39" t="s">
        <v>1013</v>
      </c>
      <c r="B276" s="40" t="s">
        <v>7</v>
      </c>
      <c r="C276" s="39">
        <v>5.28</v>
      </c>
      <c r="D276" s="113"/>
    </row>
    <row r="277" spans="1:4" ht="15.75" outlineLevel="1">
      <c r="A277" s="39" t="s">
        <v>1013</v>
      </c>
      <c r="B277" s="40" t="s">
        <v>344</v>
      </c>
      <c r="C277" s="39">
        <v>5.29</v>
      </c>
      <c r="D277" s="113"/>
    </row>
    <row r="278" spans="1:4" ht="15.75" outlineLevel="1">
      <c r="A278" s="39" t="s">
        <v>1013</v>
      </c>
      <c r="B278" s="40" t="s">
        <v>8</v>
      </c>
      <c r="C278" s="41">
        <v>5.3</v>
      </c>
      <c r="D278" s="113"/>
    </row>
    <row r="279" spans="1:4" ht="15.75" outlineLevel="1">
      <c r="A279" s="39" t="s">
        <v>1013</v>
      </c>
      <c r="B279" s="40" t="s">
        <v>192</v>
      </c>
      <c r="C279" s="39">
        <v>5.33</v>
      </c>
      <c r="D279" s="113"/>
    </row>
    <row r="280" spans="1:4" ht="15.75" outlineLevel="1">
      <c r="A280" s="39" t="s">
        <v>1013</v>
      </c>
      <c r="B280" s="40" t="s">
        <v>145</v>
      </c>
      <c r="C280" s="39">
        <v>5.36</v>
      </c>
      <c r="D280" s="113"/>
    </row>
    <row r="281" spans="1:4" ht="15.75" outlineLevel="1">
      <c r="A281" s="39" t="s">
        <v>1013</v>
      </c>
      <c r="B281" s="40" t="s">
        <v>12</v>
      </c>
      <c r="C281" s="39">
        <v>5.69</v>
      </c>
      <c r="D281" s="113"/>
    </row>
    <row r="282" spans="1:4" ht="15.75" outlineLevel="1">
      <c r="A282" s="39" t="s">
        <v>1013</v>
      </c>
      <c r="B282" s="40" t="s">
        <v>14</v>
      </c>
      <c r="C282" s="41">
        <v>5.7</v>
      </c>
      <c r="D282" s="113"/>
    </row>
    <row r="283" spans="1:4" ht="15.75" outlineLevel="1">
      <c r="A283" s="39" t="s">
        <v>1013</v>
      </c>
      <c r="B283" s="40" t="s">
        <v>15</v>
      </c>
      <c r="C283" s="39">
        <v>5.74</v>
      </c>
      <c r="D283" s="113"/>
    </row>
    <row r="284" spans="1:4" ht="15.75" outlineLevel="1">
      <c r="A284" s="39" t="s">
        <v>1013</v>
      </c>
      <c r="B284" s="40" t="s">
        <v>9</v>
      </c>
      <c r="C284" s="39">
        <v>5.49</v>
      </c>
      <c r="D284" s="113"/>
    </row>
    <row r="285" spans="1:4" ht="15.75" outlineLevel="1">
      <c r="A285" s="39" t="s">
        <v>1013</v>
      </c>
      <c r="B285" s="40" t="s">
        <v>10</v>
      </c>
      <c r="C285" s="39">
        <v>5.51</v>
      </c>
      <c r="D285" s="113"/>
    </row>
    <row r="286" spans="1:4" ht="15.75" outlineLevel="1">
      <c r="A286" s="39" t="s">
        <v>1013</v>
      </c>
      <c r="B286" s="40" t="s">
        <v>1134</v>
      </c>
      <c r="C286" s="39">
        <v>5.52</v>
      </c>
      <c r="D286" s="113"/>
    </row>
    <row r="287" spans="1:4" ht="15.75" outlineLevel="1">
      <c r="A287" s="39" t="s">
        <v>1013</v>
      </c>
      <c r="B287" s="40" t="s">
        <v>11</v>
      </c>
      <c r="C287" s="39">
        <v>5.53</v>
      </c>
      <c r="D287" s="113"/>
    </row>
    <row r="288" spans="1:4" ht="15.75" outlineLevel="1">
      <c r="A288" s="39" t="s">
        <v>1013</v>
      </c>
      <c r="B288" s="40" t="s">
        <v>17</v>
      </c>
      <c r="C288" s="39">
        <v>5.58</v>
      </c>
      <c r="D288" s="113"/>
    </row>
    <row r="289" spans="1:4" ht="15.75" outlineLevel="1">
      <c r="A289" s="39" t="s">
        <v>1013</v>
      </c>
      <c r="B289" s="40" t="s">
        <v>18</v>
      </c>
      <c r="C289" s="39">
        <v>5.54</v>
      </c>
      <c r="D289" s="113"/>
    </row>
    <row r="290" spans="1:4" ht="15.75" outlineLevel="1">
      <c r="A290" s="39" t="s">
        <v>1013</v>
      </c>
      <c r="B290" s="40" t="s">
        <v>19</v>
      </c>
      <c r="C290" s="39">
        <v>5.55</v>
      </c>
      <c r="D290" s="113"/>
    </row>
    <row r="291" spans="1:4" ht="15.75" outlineLevel="1">
      <c r="A291" s="39" t="s">
        <v>1013</v>
      </c>
      <c r="B291" s="40" t="s">
        <v>20</v>
      </c>
      <c r="C291" s="39">
        <v>5.63</v>
      </c>
      <c r="D291" s="113"/>
    </row>
    <row r="292" spans="1:4" ht="15.75" outlineLevel="1">
      <c r="A292" s="39" t="s">
        <v>1013</v>
      </c>
      <c r="B292" s="40" t="s">
        <v>24</v>
      </c>
      <c r="C292" s="39">
        <v>5.47</v>
      </c>
      <c r="D292" s="113"/>
    </row>
    <row r="293" spans="1:4" ht="15.75" outlineLevel="1">
      <c r="A293" s="39" t="s">
        <v>1013</v>
      </c>
      <c r="B293" s="40" t="s">
        <v>25</v>
      </c>
      <c r="C293" s="39">
        <v>5.48</v>
      </c>
      <c r="D293" s="113"/>
    </row>
    <row r="294" spans="1:4" ht="15.75">
      <c r="A294" s="45" t="s">
        <v>1013</v>
      </c>
      <c r="B294" s="40"/>
      <c r="C294" s="39"/>
      <c r="D294" s="113"/>
    </row>
    <row r="295" spans="1:4" ht="15.75" outlineLevel="1">
      <c r="A295" s="39" t="s">
        <v>1020</v>
      </c>
      <c r="B295" s="40" t="s">
        <v>0</v>
      </c>
      <c r="C295" s="39">
        <v>5.0999999999999996</v>
      </c>
      <c r="D295" s="113"/>
    </row>
    <row r="296" spans="1:4" ht="15.75" outlineLevel="1">
      <c r="A296" s="39" t="s">
        <v>1020</v>
      </c>
      <c r="B296" s="40" t="s">
        <v>1</v>
      </c>
      <c r="C296" s="39">
        <v>5.2</v>
      </c>
      <c r="D296" s="113"/>
    </row>
    <row r="297" spans="1:4" ht="15.75" outlineLevel="1">
      <c r="A297" s="39" t="s">
        <v>1020</v>
      </c>
      <c r="B297" s="40" t="s">
        <v>2</v>
      </c>
      <c r="C297" s="39">
        <v>5.3</v>
      </c>
      <c r="D297" s="113"/>
    </row>
    <row r="298" spans="1:4" ht="15.75" outlineLevel="1">
      <c r="A298" s="39" t="s">
        <v>1020</v>
      </c>
      <c r="B298" s="40" t="s">
        <v>1132</v>
      </c>
      <c r="C298" s="39">
        <v>5.14</v>
      </c>
      <c r="D298" s="113"/>
    </row>
    <row r="299" spans="1:4" ht="15.75" outlineLevel="1">
      <c r="A299" s="39" t="s">
        <v>1020</v>
      </c>
      <c r="B299" s="40" t="s">
        <v>4</v>
      </c>
      <c r="C299" s="39">
        <v>5.19</v>
      </c>
      <c r="D299" s="113"/>
    </row>
    <row r="300" spans="1:4" ht="15.75" outlineLevel="1">
      <c r="A300" s="39" t="s">
        <v>1020</v>
      </c>
      <c r="B300" s="40" t="s">
        <v>168</v>
      </c>
      <c r="C300" s="39">
        <v>5.24</v>
      </c>
      <c r="D300" s="113"/>
    </row>
    <row r="301" spans="1:4" ht="15.75" outlineLevel="1">
      <c r="A301" s="39" t="s">
        <v>1020</v>
      </c>
      <c r="B301" s="40" t="s">
        <v>5</v>
      </c>
      <c r="C301" s="39">
        <v>5.26</v>
      </c>
      <c r="D301" s="113"/>
    </row>
    <row r="302" spans="1:4" ht="15.75" outlineLevel="1">
      <c r="A302" s="39" t="s">
        <v>1020</v>
      </c>
      <c r="B302" s="40" t="s">
        <v>6</v>
      </c>
      <c r="C302" s="39">
        <v>5.27</v>
      </c>
      <c r="D302" s="113"/>
    </row>
    <row r="303" spans="1:4" ht="15.75" outlineLevel="1">
      <c r="A303" s="39" t="s">
        <v>1020</v>
      </c>
      <c r="B303" s="40" t="s">
        <v>7</v>
      </c>
      <c r="C303" s="39">
        <v>5.28</v>
      </c>
      <c r="D303" s="113"/>
    </row>
    <row r="304" spans="1:4" ht="15.75" outlineLevel="1">
      <c r="A304" s="39" t="s">
        <v>1020</v>
      </c>
      <c r="B304" s="40" t="s">
        <v>177</v>
      </c>
      <c r="C304" s="39">
        <v>5.37</v>
      </c>
      <c r="D304" s="113"/>
    </row>
    <row r="305" spans="1:4" ht="15.75" outlineLevel="1">
      <c r="A305" s="39" t="s">
        <v>1020</v>
      </c>
      <c r="B305" s="40" t="s">
        <v>9</v>
      </c>
      <c r="C305" s="39">
        <v>5.49</v>
      </c>
      <c r="D305" s="113"/>
    </row>
    <row r="306" spans="1:4" ht="15.75" outlineLevel="1">
      <c r="A306" s="39" t="s">
        <v>1020</v>
      </c>
      <c r="B306" s="40" t="s">
        <v>10</v>
      </c>
      <c r="C306" s="39">
        <v>5.51</v>
      </c>
      <c r="D306" s="113"/>
    </row>
    <row r="307" spans="1:4" ht="15.75" outlineLevel="1">
      <c r="A307" s="39" t="s">
        <v>1020</v>
      </c>
      <c r="B307" s="40" t="s">
        <v>11</v>
      </c>
      <c r="C307" s="39">
        <v>5.53</v>
      </c>
      <c r="D307" s="113"/>
    </row>
    <row r="308" spans="1:4" ht="15.75" outlineLevel="1">
      <c r="A308" s="39" t="s">
        <v>1020</v>
      </c>
      <c r="B308" s="40" t="s">
        <v>12</v>
      </c>
      <c r="C308" s="39">
        <v>5.69</v>
      </c>
      <c r="D308" s="113"/>
    </row>
    <row r="309" spans="1:4" ht="15.75" outlineLevel="1">
      <c r="A309" s="39" t="s">
        <v>1020</v>
      </c>
      <c r="B309" s="40" t="s">
        <v>13</v>
      </c>
      <c r="C309" s="39">
        <v>5.75</v>
      </c>
      <c r="D309" s="113"/>
    </row>
    <row r="310" spans="1:4" ht="15.75" outlineLevel="1">
      <c r="A310" s="39" t="s">
        <v>1020</v>
      </c>
      <c r="B310" s="40" t="s">
        <v>14</v>
      </c>
      <c r="C310" s="41">
        <v>5.7</v>
      </c>
      <c r="D310" s="113"/>
    </row>
    <row r="311" spans="1:4" ht="15.75" outlineLevel="1">
      <c r="A311" s="39" t="s">
        <v>1020</v>
      </c>
      <c r="B311" s="40" t="s">
        <v>15</v>
      </c>
      <c r="C311" s="39">
        <v>5.74</v>
      </c>
      <c r="D311" s="113"/>
    </row>
    <row r="312" spans="1:4" ht="15.75" outlineLevel="1">
      <c r="A312" s="39" t="s">
        <v>1020</v>
      </c>
      <c r="B312" s="40" t="s">
        <v>17</v>
      </c>
      <c r="C312" s="39">
        <v>5.58</v>
      </c>
      <c r="D312" s="113"/>
    </row>
    <row r="313" spans="1:4" ht="15.75" outlineLevel="1">
      <c r="A313" s="39" t="s">
        <v>1020</v>
      </c>
      <c r="B313" s="40" t="s">
        <v>18</v>
      </c>
      <c r="C313" s="39">
        <v>5.54</v>
      </c>
      <c r="D313" s="113"/>
    </row>
    <row r="314" spans="1:4" ht="15.75" outlineLevel="1">
      <c r="A314" s="39" t="s">
        <v>1020</v>
      </c>
      <c r="B314" s="40" t="s">
        <v>19</v>
      </c>
      <c r="C314" s="39">
        <v>5.55</v>
      </c>
      <c r="D314" s="113"/>
    </row>
    <row r="315" spans="1:4" ht="15.75" outlineLevel="1">
      <c r="A315" s="39" t="s">
        <v>1020</v>
      </c>
      <c r="B315" s="40" t="s">
        <v>20</v>
      </c>
      <c r="C315" s="39">
        <v>5.63</v>
      </c>
      <c r="D315" s="113"/>
    </row>
    <row r="316" spans="1:4" ht="15.75" outlineLevel="1">
      <c r="A316" s="39" t="s">
        <v>1020</v>
      </c>
      <c r="B316" s="40" t="s">
        <v>21</v>
      </c>
      <c r="C316" s="39">
        <v>5.65</v>
      </c>
      <c r="D316" s="113"/>
    </row>
    <row r="317" spans="1:4" ht="15.75" outlineLevel="1">
      <c r="A317" s="39" t="s">
        <v>1020</v>
      </c>
      <c r="B317" s="40" t="s">
        <v>22</v>
      </c>
      <c r="C317" s="39">
        <v>5.68</v>
      </c>
      <c r="D317" s="113"/>
    </row>
    <row r="318" spans="1:4" ht="15.75" outlineLevel="1">
      <c r="A318" s="39" t="s">
        <v>1020</v>
      </c>
      <c r="B318" s="40" t="s">
        <v>24</v>
      </c>
      <c r="C318" s="39">
        <v>5.47</v>
      </c>
      <c r="D318" s="113"/>
    </row>
    <row r="319" spans="1:4" ht="15.75" outlineLevel="1">
      <c r="A319" s="39" t="s">
        <v>1020</v>
      </c>
      <c r="B319" s="40" t="s">
        <v>25</v>
      </c>
      <c r="C319" s="39">
        <v>5.48</v>
      </c>
      <c r="D319" s="113"/>
    </row>
    <row r="320" spans="1:4" ht="15.75">
      <c r="A320" s="45" t="s">
        <v>1020</v>
      </c>
      <c r="B320" s="40"/>
      <c r="C320" s="39"/>
      <c r="D320" s="113"/>
    </row>
    <row r="321" spans="1:4" ht="15.75" outlineLevel="1">
      <c r="A321" s="39" t="s">
        <v>1021</v>
      </c>
      <c r="B321" s="40" t="s">
        <v>0</v>
      </c>
      <c r="C321" s="39">
        <v>5.0999999999999996</v>
      </c>
      <c r="D321" s="113"/>
    </row>
    <row r="322" spans="1:4" ht="15.75" outlineLevel="1">
      <c r="A322" s="39" t="s">
        <v>1021</v>
      </c>
      <c r="B322" s="40" t="s">
        <v>1</v>
      </c>
      <c r="C322" s="39">
        <v>5.2</v>
      </c>
      <c r="D322" s="113"/>
    </row>
    <row r="323" spans="1:4" ht="15.75" outlineLevel="1">
      <c r="A323" s="39" t="s">
        <v>1021</v>
      </c>
      <c r="B323" s="40" t="s">
        <v>5</v>
      </c>
      <c r="C323" s="39">
        <v>5.26</v>
      </c>
      <c r="D323" s="113"/>
    </row>
    <row r="324" spans="1:4" ht="15.75" outlineLevel="1">
      <c r="A324" s="39" t="s">
        <v>1021</v>
      </c>
      <c r="B324" s="40" t="s">
        <v>1132</v>
      </c>
      <c r="C324" s="39">
        <v>5.14</v>
      </c>
      <c r="D324" s="113"/>
    </row>
    <row r="325" spans="1:4" ht="15.75" outlineLevel="1">
      <c r="A325" s="39" t="s">
        <v>1021</v>
      </c>
      <c r="B325" s="40" t="s">
        <v>4</v>
      </c>
      <c r="C325" s="39">
        <v>5.19</v>
      </c>
      <c r="D325" s="113"/>
    </row>
    <row r="326" spans="1:4" ht="15.75" outlineLevel="1">
      <c r="A326" s="39" t="s">
        <v>1021</v>
      </c>
      <c r="B326" s="40" t="s">
        <v>177</v>
      </c>
      <c r="C326" s="39">
        <v>5.37</v>
      </c>
      <c r="D326" s="113"/>
    </row>
    <row r="327" spans="1:4" ht="15.75" outlineLevel="1">
      <c r="A327" s="39" t="s">
        <v>1021</v>
      </c>
      <c r="B327" s="40" t="s">
        <v>12</v>
      </c>
      <c r="C327" s="39">
        <v>5.69</v>
      </c>
      <c r="D327" s="113"/>
    </row>
    <row r="328" spans="1:4" ht="15.75" outlineLevel="1">
      <c r="A328" s="39" t="s">
        <v>1021</v>
      </c>
      <c r="B328" s="40" t="s">
        <v>771</v>
      </c>
      <c r="C328" s="41">
        <v>5.8</v>
      </c>
      <c r="D328" s="113"/>
    </row>
    <row r="329" spans="1:4" ht="15.75" outlineLevel="1">
      <c r="A329" s="39" t="s">
        <v>1021</v>
      </c>
      <c r="B329" s="40" t="s">
        <v>13</v>
      </c>
      <c r="C329" s="39">
        <v>5.75</v>
      </c>
      <c r="D329" s="113"/>
    </row>
    <row r="330" spans="1:4" ht="15.75" outlineLevel="1">
      <c r="A330" s="39" t="s">
        <v>1021</v>
      </c>
      <c r="B330" s="40" t="s">
        <v>14</v>
      </c>
      <c r="C330" s="41">
        <v>5.7</v>
      </c>
      <c r="D330" s="113"/>
    </row>
    <row r="331" spans="1:4" ht="15.75" outlineLevel="1">
      <c r="A331" s="39" t="s">
        <v>1021</v>
      </c>
      <c r="B331" s="40" t="s">
        <v>15</v>
      </c>
      <c r="C331" s="39">
        <v>5.74</v>
      </c>
      <c r="D331" s="113"/>
    </row>
    <row r="332" spans="1:4" ht="15.75" outlineLevel="1">
      <c r="A332" s="39" t="s">
        <v>1021</v>
      </c>
      <c r="B332" s="40" t="s">
        <v>17</v>
      </c>
      <c r="C332" s="39">
        <v>5.58</v>
      </c>
      <c r="D332" s="113"/>
    </row>
    <row r="333" spans="1:4" ht="15.75" outlineLevel="1">
      <c r="A333" s="39" t="s">
        <v>1021</v>
      </c>
      <c r="B333" s="40" t="s">
        <v>19</v>
      </c>
      <c r="C333" s="39">
        <v>5.55</v>
      </c>
      <c r="D333" s="113"/>
    </row>
    <row r="334" spans="1:4" ht="15.75" outlineLevel="1">
      <c r="A334" s="39" t="s">
        <v>1021</v>
      </c>
      <c r="B334" s="40" t="s">
        <v>20</v>
      </c>
      <c r="C334" s="39">
        <v>5.63</v>
      </c>
      <c r="D334" s="113"/>
    </row>
    <row r="335" spans="1:4" ht="15.75" outlineLevel="1">
      <c r="A335" s="39" t="s">
        <v>1021</v>
      </c>
      <c r="B335" s="40" t="s">
        <v>21</v>
      </c>
      <c r="C335" s="39">
        <v>5.65</v>
      </c>
      <c r="D335" s="113"/>
    </row>
    <row r="336" spans="1:4" ht="15.75" outlineLevel="1">
      <c r="A336" s="39" t="s">
        <v>1021</v>
      </c>
      <c r="B336" s="40" t="s">
        <v>22</v>
      </c>
      <c r="C336" s="39">
        <v>5.68</v>
      </c>
      <c r="D336" s="113"/>
    </row>
    <row r="337" spans="1:4" ht="15.75" outlineLevel="1">
      <c r="A337" s="39" t="s">
        <v>1021</v>
      </c>
      <c r="B337" s="40" t="s">
        <v>24</v>
      </c>
      <c r="C337" s="39">
        <v>5.47</v>
      </c>
      <c r="D337" s="113"/>
    </row>
    <row r="338" spans="1:4" ht="15.75" outlineLevel="1">
      <c r="A338" s="39" t="s">
        <v>1021</v>
      </c>
      <c r="B338" s="40" t="s">
        <v>25</v>
      </c>
      <c r="C338" s="39">
        <v>5.48</v>
      </c>
      <c r="D338" s="113"/>
    </row>
    <row r="339" spans="1:4" ht="15.75">
      <c r="A339" s="45" t="s">
        <v>1021</v>
      </c>
      <c r="B339" s="40"/>
      <c r="C339" s="39"/>
      <c r="D339" s="113"/>
    </row>
    <row r="340" spans="1:4" ht="15.75" outlineLevel="1">
      <c r="A340" s="39" t="s">
        <v>1027</v>
      </c>
      <c r="B340" s="40" t="s">
        <v>1143</v>
      </c>
      <c r="C340" s="39">
        <v>5.0999999999999996</v>
      </c>
      <c r="D340" s="113"/>
    </row>
    <row r="341" spans="1:4" ht="15.75" outlineLevel="1">
      <c r="A341" s="39" t="s">
        <v>1027</v>
      </c>
      <c r="B341" s="40" t="s">
        <v>1</v>
      </c>
      <c r="C341" s="39">
        <v>5.2</v>
      </c>
      <c r="D341" s="113"/>
    </row>
    <row r="342" spans="1:4" ht="15.75" outlineLevel="1">
      <c r="A342" s="39" t="s">
        <v>1027</v>
      </c>
      <c r="B342" s="40" t="s">
        <v>5</v>
      </c>
      <c r="C342" s="39">
        <v>5.26</v>
      </c>
      <c r="D342" s="113"/>
    </row>
    <row r="343" spans="1:4" ht="15.75" outlineLevel="1">
      <c r="A343" s="39" t="s">
        <v>1027</v>
      </c>
      <c r="B343" s="40" t="s">
        <v>1144</v>
      </c>
      <c r="C343" s="39">
        <v>5.38</v>
      </c>
      <c r="D343" s="113"/>
    </row>
    <row r="344" spans="1:4" ht="15.75" outlineLevel="1">
      <c r="A344" s="39" t="s">
        <v>1027</v>
      </c>
      <c r="B344" s="40" t="s">
        <v>1145</v>
      </c>
      <c r="C344" s="39">
        <v>5.39</v>
      </c>
      <c r="D344" s="113"/>
    </row>
    <row r="345" spans="1:4" ht="15.75" outlineLevel="1">
      <c r="A345" s="39" t="s">
        <v>1027</v>
      </c>
      <c r="B345" s="40" t="s">
        <v>1146</v>
      </c>
      <c r="C345" s="41">
        <v>5.6</v>
      </c>
      <c r="D345" s="113"/>
    </row>
    <row r="346" spans="1:4" ht="15.75" outlineLevel="1">
      <c r="A346" s="39" t="s">
        <v>1027</v>
      </c>
      <c r="B346" s="40" t="s">
        <v>25</v>
      </c>
      <c r="C346" s="39">
        <v>5.48</v>
      </c>
      <c r="D346" s="113"/>
    </row>
    <row r="347" spans="1:4" ht="15.75">
      <c r="A347" s="45" t="s">
        <v>1027</v>
      </c>
      <c r="B347" s="40"/>
      <c r="C347" s="39"/>
      <c r="D347" s="113"/>
    </row>
    <row r="348" spans="1:4" ht="15.75" outlineLevel="1">
      <c r="A348" s="39" t="s">
        <v>1031</v>
      </c>
      <c r="B348" s="40" t="s">
        <v>0</v>
      </c>
      <c r="C348" s="39">
        <v>5.0999999999999996</v>
      </c>
      <c r="D348" s="113"/>
    </row>
    <row r="349" spans="1:4" ht="15.75" outlineLevel="1">
      <c r="A349" s="39" t="s">
        <v>1031</v>
      </c>
      <c r="B349" s="40" t="s">
        <v>1</v>
      </c>
      <c r="C349" s="39">
        <v>5.2</v>
      </c>
      <c r="D349" s="113"/>
    </row>
    <row r="350" spans="1:4" ht="15.75" outlineLevel="1">
      <c r="A350" s="39" t="s">
        <v>1031</v>
      </c>
      <c r="B350" s="40" t="s">
        <v>2</v>
      </c>
      <c r="C350" s="39">
        <v>5.3</v>
      </c>
      <c r="D350" s="113"/>
    </row>
    <row r="351" spans="1:4" ht="15.75" outlineLevel="1">
      <c r="A351" s="39" t="s">
        <v>1031</v>
      </c>
      <c r="B351" s="40" t="s">
        <v>166</v>
      </c>
      <c r="C351" s="39">
        <v>5.6</v>
      </c>
      <c r="D351" s="113"/>
    </row>
    <row r="352" spans="1:4" ht="15.75" outlineLevel="1">
      <c r="A352" s="39" t="s">
        <v>1031</v>
      </c>
      <c r="B352" s="40" t="s">
        <v>1133</v>
      </c>
      <c r="C352" s="41">
        <v>5.0999999999999996</v>
      </c>
      <c r="D352" s="113"/>
    </row>
    <row r="353" spans="1:4" ht="15.75" outlineLevel="1">
      <c r="A353" s="39" t="s">
        <v>1031</v>
      </c>
      <c r="B353" s="40" t="s">
        <v>1132</v>
      </c>
      <c r="C353" s="39">
        <v>5.14</v>
      </c>
      <c r="D353" s="113"/>
    </row>
    <row r="354" spans="1:4" ht="15.75" outlineLevel="1">
      <c r="A354" s="39" t="s">
        <v>1031</v>
      </c>
      <c r="B354" s="40" t="s">
        <v>4</v>
      </c>
      <c r="C354" s="39">
        <v>5.19</v>
      </c>
      <c r="D354" s="113"/>
    </row>
    <row r="355" spans="1:4" ht="15.75" outlineLevel="1">
      <c r="A355" s="39" t="s">
        <v>1031</v>
      </c>
      <c r="B355" s="40" t="s">
        <v>168</v>
      </c>
      <c r="C355" s="39">
        <v>5.24</v>
      </c>
      <c r="D355" s="113"/>
    </row>
    <row r="356" spans="1:4" ht="15.75" outlineLevel="1">
      <c r="A356" s="39" t="s">
        <v>1031</v>
      </c>
      <c r="B356" s="40" t="s">
        <v>5</v>
      </c>
      <c r="C356" s="39">
        <v>5.26</v>
      </c>
      <c r="D356" s="113"/>
    </row>
    <row r="357" spans="1:4" ht="15.75" outlineLevel="1">
      <c r="A357" s="39" t="s">
        <v>1031</v>
      </c>
      <c r="B357" s="40" t="s">
        <v>6</v>
      </c>
      <c r="C357" s="39">
        <v>5.27</v>
      </c>
      <c r="D357" s="113"/>
    </row>
    <row r="358" spans="1:4" ht="15.75" outlineLevel="1">
      <c r="A358" s="39" t="s">
        <v>1031</v>
      </c>
      <c r="B358" s="40" t="s">
        <v>7</v>
      </c>
      <c r="C358" s="39">
        <v>5.28</v>
      </c>
      <c r="D358" s="113"/>
    </row>
    <row r="359" spans="1:4" ht="15.75" outlineLevel="1">
      <c r="A359" s="39" t="s">
        <v>1031</v>
      </c>
      <c r="B359" s="40" t="s">
        <v>169</v>
      </c>
      <c r="C359" s="39">
        <v>5.31</v>
      </c>
      <c r="D359" s="113"/>
    </row>
    <row r="360" spans="1:4" ht="15.75" outlineLevel="1">
      <c r="A360" s="39" t="s">
        <v>1031</v>
      </c>
      <c r="B360" s="40" t="s">
        <v>145</v>
      </c>
      <c r="C360" s="39">
        <v>5.36</v>
      </c>
      <c r="D360" s="113"/>
    </row>
    <row r="361" spans="1:4" ht="15.75" outlineLevel="1">
      <c r="A361" s="39" t="s">
        <v>1031</v>
      </c>
      <c r="B361" s="40" t="s">
        <v>177</v>
      </c>
      <c r="C361" s="39">
        <v>5.37</v>
      </c>
      <c r="D361" s="113"/>
    </row>
    <row r="362" spans="1:4" ht="15.75" outlineLevel="1">
      <c r="A362" s="39" t="s">
        <v>1031</v>
      </c>
      <c r="B362" s="40" t="s">
        <v>9</v>
      </c>
      <c r="C362" s="39">
        <v>5.49</v>
      </c>
      <c r="D362" s="113"/>
    </row>
    <row r="363" spans="1:4" ht="15.75" outlineLevel="1">
      <c r="A363" s="39" t="s">
        <v>1031</v>
      </c>
      <c r="B363" s="40" t="s">
        <v>10</v>
      </c>
      <c r="C363" s="39">
        <v>5.51</v>
      </c>
      <c r="D363" s="113"/>
    </row>
    <row r="364" spans="1:4" ht="15.75" outlineLevel="1">
      <c r="A364" s="39" t="s">
        <v>1031</v>
      </c>
      <c r="B364" s="40" t="s">
        <v>1134</v>
      </c>
      <c r="C364" s="39">
        <v>5.52</v>
      </c>
      <c r="D364" s="113"/>
    </row>
    <row r="365" spans="1:4" ht="15.75" outlineLevel="1">
      <c r="A365" s="39" t="s">
        <v>1031</v>
      </c>
      <c r="B365" s="40" t="s">
        <v>11</v>
      </c>
      <c r="C365" s="39">
        <v>5.53</v>
      </c>
      <c r="D365" s="113"/>
    </row>
    <row r="366" spans="1:4" ht="15.75" outlineLevel="1">
      <c r="A366" s="39" t="s">
        <v>1031</v>
      </c>
      <c r="B366" s="40" t="s">
        <v>12</v>
      </c>
      <c r="C366" s="39">
        <v>5.69</v>
      </c>
      <c r="D366" s="113"/>
    </row>
    <row r="367" spans="1:4" ht="15.75" outlineLevel="1">
      <c r="A367" s="39" t="s">
        <v>1031</v>
      </c>
      <c r="B367" s="40" t="s">
        <v>771</v>
      </c>
      <c r="C367" s="41">
        <v>5.8</v>
      </c>
      <c r="D367" s="113"/>
    </row>
    <row r="368" spans="1:4" ht="15.75" outlineLevel="1">
      <c r="A368" s="39" t="s">
        <v>1031</v>
      </c>
      <c r="B368" s="40" t="s">
        <v>928</v>
      </c>
      <c r="C368" s="41">
        <v>5.72</v>
      </c>
      <c r="D368" s="113"/>
    </row>
    <row r="369" spans="1:4" ht="15.75" outlineLevel="1">
      <c r="A369" s="39" t="s">
        <v>1031</v>
      </c>
      <c r="B369" s="40" t="s">
        <v>13</v>
      </c>
      <c r="C369" s="39">
        <v>5.75</v>
      </c>
      <c r="D369" s="113"/>
    </row>
    <row r="370" spans="1:4" ht="15.75" outlineLevel="1">
      <c r="A370" s="39" t="s">
        <v>1031</v>
      </c>
      <c r="B370" s="40" t="s">
        <v>14</v>
      </c>
      <c r="C370" s="41">
        <v>5.7</v>
      </c>
      <c r="D370" s="113"/>
    </row>
    <row r="371" spans="1:4" ht="15.75" outlineLevel="1">
      <c r="A371" s="39" t="s">
        <v>1031</v>
      </c>
      <c r="B371" s="40" t="s">
        <v>15</v>
      </c>
      <c r="C371" s="39">
        <v>5.74</v>
      </c>
      <c r="D371" s="113"/>
    </row>
    <row r="372" spans="1:4" ht="15.75" outlineLevel="1">
      <c r="A372" s="39" t="s">
        <v>1031</v>
      </c>
      <c r="B372" s="40" t="s">
        <v>428</v>
      </c>
      <c r="C372" s="39">
        <v>5.76</v>
      </c>
      <c r="D372" s="113"/>
    </row>
    <row r="373" spans="1:4" ht="15.75" outlineLevel="1">
      <c r="A373" s="39" t="s">
        <v>1031</v>
      </c>
      <c r="B373" s="40" t="s">
        <v>849</v>
      </c>
      <c r="C373" s="39">
        <v>5.89</v>
      </c>
      <c r="D373" s="112" t="s">
        <v>1131</v>
      </c>
    </row>
    <row r="374" spans="1:4" ht="15.75" outlineLevel="1">
      <c r="A374" s="39" t="s">
        <v>1031</v>
      </c>
      <c r="B374" s="40" t="s">
        <v>170</v>
      </c>
      <c r="C374" s="39">
        <v>5.109</v>
      </c>
      <c r="D374" s="112"/>
    </row>
    <row r="375" spans="1:4" ht="15.75" outlineLevel="1">
      <c r="A375" s="39" t="s">
        <v>1031</v>
      </c>
      <c r="B375" s="40" t="s">
        <v>171</v>
      </c>
      <c r="C375" s="39">
        <v>5.1109999999999998</v>
      </c>
      <c r="D375" s="113"/>
    </row>
    <row r="376" spans="1:4" ht="15.75" outlineLevel="1">
      <c r="A376" s="39" t="s">
        <v>1031</v>
      </c>
      <c r="B376" s="40" t="s">
        <v>154</v>
      </c>
      <c r="C376" s="39">
        <v>5.1120000000000001</v>
      </c>
      <c r="D376" s="113"/>
    </row>
    <row r="377" spans="1:4" ht="15.75" outlineLevel="1">
      <c r="A377" s="39" t="s">
        <v>1031</v>
      </c>
      <c r="B377" s="40" t="s">
        <v>1147</v>
      </c>
      <c r="C377" s="39">
        <v>5.1130000000000004</v>
      </c>
      <c r="D377" s="113"/>
    </row>
    <row r="378" spans="1:4" ht="15.75" outlineLevel="1">
      <c r="A378" s="39" t="s">
        <v>1031</v>
      </c>
      <c r="B378" s="40" t="s">
        <v>17</v>
      </c>
      <c r="C378" s="39">
        <v>5.58</v>
      </c>
      <c r="D378" s="113"/>
    </row>
    <row r="379" spans="1:4" ht="15.75" outlineLevel="1">
      <c r="A379" s="39" t="s">
        <v>1031</v>
      </c>
      <c r="B379" s="40" t="s">
        <v>18</v>
      </c>
      <c r="C379" s="39">
        <v>5.54</v>
      </c>
      <c r="D379" s="113"/>
    </row>
    <row r="380" spans="1:4" ht="15.75" outlineLevel="1">
      <c r="A380" s="39" t="s">
        <v>1031</v>
      </c>
      <c r="B380" s="40" t="s">
        <v>19</v>
      </c>
      <c r="C380" s="39">
        <v>5.55</v>
      </c>
      <c r="D380" s="113"/>
    </row>
    <row r="381" spans="1:4" ht="15.75" outlineLevel="1">
      <c r="A381" s="39" t="s">
        <v>1031</v>
      </c>
      <c r="B381" s="40" t="s">
        <v>20</v>
      </c>
      <c r="C381" s="39">
        <v>5.63</v>
      </c>
      <c r="D381" s="113"/>
    </row>
    <row r="382" spans="1:4" ht="15.75" outlineLevel="1">
      <c r="A382" s="39" t="s">
        <v>1031</v>
      </c>
      <c r="B382" s="40" t="s">
        <v>21</v>
      </c>
      <c r="C382" s="39">
        <v>5.65</v>
      </c>
      <c r="D382" s="113"/>
    </row>
    <row r="383" spans="1:4" ht="15.75" outlineLevel="1">
      <c r="A383" s="39" t="s">
        <v>1031</v>
      </c>
      <c r="B383" s="40" t="s">
        <v>185</v>
      </c>
      <c r="C383" s="39">
        <v>5.66</v>
      </c>
      <c r="D383" s="113"/>
    </row>
    <row r="384" spans="1:4" ht="15.75" outlineLevel="1">
      <c r="A384" s="39" t="s">
        <v>1031</v>
      </c>
      <c r="B384" s="40" t="s">
        <v>22</v>
      </c>
      <c r="C384" s="39">
        <v>5.68</v>
      </c>
      <c r="D384" s="113"/>
    </row>
    <row r="385" spans="1:4" ht="15.75" outlineLevel="1">
      <c r="A385" s="39" t="s">
        <v>1031</v>
      </c>
      <c r="B385" s="40" t="s">
        <v>24</v>
      </c>
      <c r="C385" s="39">
        <v>5.47</v>
      </c>
      <c r="D385" s="113"/>
    </row>
    <row r="386" spans="1:4" ht="15.75" outlineLevel="1">
      <c r="A386" s="39" t="s">
        <v>1031</v>
      </c>
      <c r="B386" s="40" t="s">
        <v>25</v>
      </c>
      <c r="C386" s="39">
        <v>5.48</v>
      </c>
      <c r="D386" s="113"/>
    </row>
    <row r="387" spans="1:4" ht="15.75">
      <c r="A387" s="45" t="s">
        <v>1031</v>
      </c>
      <c r="B387" s="40"/>
      <c r="C387" s="39"/>
      <c r="D387" s="113"/>
    </row>
    <row r="388" spans="1:4" ht="15.75" outlineLevel="1">
      <c r="A388" s="39" t="s">
        <v>1033</v>
      </c>
      <c r="B388" s="40" t="s">
        <v>0</v>
      </c>
      <c r="C388" s="39">
        <v>5.0999999999999996</v>
      </c>
      <c r="D388" s="113"/>
    </row>
    <row r="389" spans="1:4" ht="15.75" outlineLevel="1">
      <c r="A389" s="39" t="s">
        <v>1033</v>
      </c>
      <c r="B389" s="40" t="s">
        <v>1</v>
      </c>
      <c r="C389" s="39">
        <v>5.2</v>
      </c>
      <c r="D389" s="113"/>
    </row>
    <row r="390" spans="1:4" ht="15.75" outlineLevel="1">
      <c r="A390" s="39" t="s">
        <v>1033</v>
      </c>
      <c r="B390" s="40" t="s">
        <v>2</v>
      </c>
      <c r="C390" s="39">
        <v>5.3</v>
      </c>
      <c r="D390" s="113"/>
    </row>
    <row r="391" spans="1:4" ht="15.75" outlineLevel="1">
      <c r="A391" s="39" t="s">
        <v>1033</v>
      </c>
      <c r="B391" s="40" t="s">
        <v>166</v>
      </c>
      <c r="C391" s="39">
        <v>5.6</v>
      </c>
      <c r="D391" s="113"/>
    </row>
    <row r="392" spans="1:4" ht="15.75" outlineLevel="1">
      <c r="A392" s="39" t="s">
        <v>1033</v>
      </c>
      <c r="B392" s="40" t="s">
        <v>1133</v>
      </c>
      <c r="C392" s="41">
        <v>5.0999999999999996</v>
      </c>
      <c r="D392" s="113"/>
    </row>
    <row r="393" spans="1:4" ht="15.75" outlineLevel="1">
      <c r="A393" s="39" t="s">
        <v>1033</v>
      </c>
      <c r="B393" s="40" t="s">
        <v>1132</v>
      </c>
      <c r="C393" s="39">
        <v>5.14</v>
      </c>
      <c r="D393" s="113"/>
    </row>
    <row r="394" spans="1:4" ht="15.75" outlineLevel="1">
      <c r="A394" s="39" t="s">
        <v>1033</v>
      </c>
      <c r="B394" s="40" t="s">
        <v>4</v>
      </c>
      <c r="C394" s="39">
        <v>5.19</v>
      </c>
      <c r="D394" s="113"/>
    </row>
    <row r="395" spans="1:4" ht="15.75" outlineLevel="1">
      <c r="A395" s="39" t="s">
        <v>1033</v>
      </c>
      <c r="B395" s="40" t="s">
        <v>168</v>
      </c>
      <c r="C395" s="39">
        <v>5.24</v>
      </c>
      <c r="D395" s="113"/>
    </row>
    <row r="396" spans="1:4" ht="15.75" outlineLevel="1">
      <c r="A396" s="39" t="s">
        <v>1033</v>
      </c>
      <c r="B396" s="40" t="s">
        <v>5</v>
      </c>
      <c r="C396" s="39">
        <v>5.26</v>
      </c>
      <c r="D396" s="113"/>
    </row>
    <row r="397" spans="1:4" ht="15.75" outlineLevel="1">
      <c r="A397" s="39" t="s">
        <v>1033</v>
      </c>
      <c r="B397" s="40" t="s">
        <v>6</v>
      </c>
      <c r="C397" s="39">
        <v>5.27</v>
      </c>
      <c r="D397" s="113"/>
    </row>
    <row r="398" spans="1:4" ht="15.75" outlineLevel="1">
      <c r="A398" s="39" t="s">
        <v>1033</v>
      </c>
      <c r="B398" s="40" t="s">
        <v>7</v>
      </c>
      <c r="C398" s="39">
        <v>5.28</v>
      </c>
      <c r="D398" s="113"/>
    </row>
    <row r="399" spans="1:4" ht="15.75" outlineLevel="1">
      <c r="A399" s="39" t="s">
        <v>1033</v>
      </c>
      <c r="B399" s="40" t="s">
        <v>344</v>
      </c>
      <c r="C399" s="39">
        <v>5.29</v>
      </c>
      <c r="D399" s="113"/>
    </row>
    <row r="400" spans="1:4" ht="15.75" outlineLevel="1">
      <c r="A400" s="39" t="s">
        <v>1033</v>
      </c>
      <c r="B400" s="40" t="s">
        <v>169</v>
      </c>
      <c r="C400" s="39">
        <v>5.31</v>
      </c>
      <c r="D400" s="113"/>
    </row>
    <row r="401" spans="1:4" ht="15.75" outlineLevel="1">
      <c r="A401" s="39" t="s">
        <v>1033</v>
      </c>
      <c r="B401" s="40" t="s">
        <v>145</v>
      </c>
      <c r="C401" s="39">
        <v>5.36</v>
      </c>
      <c r="D401" s="113"/>
    </row>
    <row r="402" spans="1:4" ht="15.75" outlineLevel="1">
      <c r="A402" s="39" t="s">
        <v>1033</v>
      </c>
      <c r="B402" s="40" t="s">
        <v>177</v>
      </c>
      <c r="C402" s="39">
        <v>5.37</v>
      </c>
      <c r="D402" s="113"/>
    </row>
    <row r="403" spans="1:4" ht="15.75" outlineLevel="1">
      <c r="A403" s="39" t="s">
        <v>1033</v>
      </c>
      <c r="B403" s="40" t="s">
        <v>9</v>
      </c>
      <c r="C403" s="39">
        <v>5.49</v>
      </c>
      <c r="D403" s="113"/>
    </row>
    <row r="404" spans="1:4" ht="15.75" outlineLevel="1">
      <c r="A404" s="39" t="s">
        <v>1033</v>
      </c>
      <c r="B404" s="40" t="s">
        <v>10</v>
      </c>
      <c r="C404" s="39">
        <v>5.51</v>
      </c>
      <c r="D404" s="113"/>
    </row>
    <row r="405" spans="1:4" ht="15.75" outlineLevel="1">
      <c r="A405" s="39" t="s">
        <v>1033</v>
      </c>
      <c r="B405" s="40" t="s">
        <v>1134</v>
      </c>
      <c r="C405" s="39">
        <v>5.52</v>
      </c>
      <c r="D405" s="113"/>
    </row>
    <row r="406" spans="1:4" ht="15.75" outlineLevel="1">
      <c r="A406" s="39" t="s">
        <v>1033</v>
      </c>
      <c r="B406" s="40" t="s">
        <v>11</v>
      </c>
      <c r="C406" s="39">
        <v>5.53</v>
      </c>
      <c r="D406" s="113"/>
    </row>
    <row r="407" spans="1:4" ht="15.75" outlineLevel="1">
      <c r="A407" s="39" t="s">
        <v>1033</v>
      </c>
      <c r="B407" s="40" t="s">
        <v>12</v>
      </c>
      <c r="C407" s="39">
        <v>5.69</v>
      </c>
      <c r="D407" s="113"/>
    </row>
    <row r="408" spans="1:4" ht="15.75" outlineLevel="1">
      <c r="A408" s="39" t="s">
        <v>1033</v>
      </c>
      <c r="B408" s="40" t="s">
        <v>13</v>
      </c>
      <c r="C408" s="39">
        <v>5.75</v>
      </c>
      <c r="D408" s="113"/>
    </row>
    <row r="409" spans="1:4" ht="15.75" outlineLevel="1">
      <c r="A409" s="39" t="s">
        <v>1033</v>
      </c>
      <c r="B409" s="40" t="s">
        <v>15</v>
      </c>
      <c r="C409" s="39">
        <v>5.74</v>
      </c>
      <c r="D409" s="113"/>
    </row>
    <row r="410" spans="1:4" ht="15.75" outlineLevel="1">
      <c r="A410" s="39" t="s">
        <v>1033</v>
      </c>
      <c r="B410" s="40" t="s">
        <v>14</v>
      </c>
      <c r="C410" s="41">
        <v>5.7</v>
      </c>
      <c r="D410" s="113"/>
    </row>
    <row r="411" spans="1:4" ht="15.75" outlineLevel="1">
      <c r="A411" s="39" t="s">
        <v>1033</v>
      </c>
      <c r="B411" s="40" t="s">
        <v>428</v>
      </c>
      <c r="C411" s="39">
        <v>5.76</v>
      </c>
      <c r="D411" s="113"/>
    </row>
    <row r="412" spans="1:4" ht="15.75" outlineLevel="1">
      <c r="A412" s="39" t="s">
        <v>1033</v>
      </c>
      <c r="B412" s="40" t="s">
        <v>849</v>
      </c>
      <c r="C412" s="39">
        <v>5.89</v>
      </c>
      <c r="D412" s="112" t="s">
        <v>1131</v>
      </c>
    </row>
    <row r="413" spans="1:4" ht="15.75" outlineLevel="1">
      <c r="A413" s="39" t="s">
        <v>1033</v>
      </c>
      <c r="B413" s="40" t="s">
        <v>170</v>
      </c>
      <c r="C413" s="39">
        <v>5.109</v>
      </c>
      <c r="D413" s="113"/>
    </row>
    <row r="414" spans="1:4" ht="15.75" outlineLevel="1">
      <c r="A414" s="39" t="s">
        <v>1033</v>
      </c>
      <c r="B414" s="40" t="s">
        <v>171</v>
      </c>
      <c r="C414" s="39">
        <v>5.1109999999999998</v>
      </c>
      <c r="D414" s="113"/>
    </row>
    <row r="415" spans="1:4" ht="15.75" outlineLevel="1">
      <c r="A415" s="39" t="s">
        <v>1033</v>
      </c>
      <c r="B415" s="40" t="s">
        <v>154</v>
      </c>
      <c r="C415" s="39">
        <v>5.1120000000000001</v>
      </c>
      <c r="D415" s="113"/>
    </row>
    <row r="416" spans="1:4" ht="15.75" outlineLevel="1">
      <c r="A416" s="39" t="s">
        <v>1033</v>
      </c>
      <c r="B416" s="40" t="s">
        <v>1147</v>
      </c>
      <c r="C416" s="39">
        <v>5.1130000000000004</v>
      </c>
      <c r="D416" s="113"/>
    </row>
    <row r="417" spans="1:4" ht="15.75" outlineLevel="1">
      <c r="A417" s="39" t="s">
        <v>1033</v>
      </c>
      <c r="B417" s="40" t="s">
        <v>17</v>
      </c>
      <c r="C417" s="39">
        <v>5.58</v>
      </c>
      <c r="D417" s="113"/>
    </row>
    <row r="418" spans="1:4" ht="15.75" outlineLevel="1">
      <c r="A418" s="39" t="s">
        <v>1033</v>
      </c>
      <c r="B418" s="40" t="s">
        <v>18</v>
      </c>
      <c r="C418" s="39">
        <v>5.54</v>
      </c>
      <c r="D418" s="113"/>
    </row>
    <row r="419" spans="1:4" ht="15.75" outlineLevel="1">
      <c r="A419" s="39" t="s">
        <v>1033</v>
      </c>
      <c r="B419" s="40" t="s">
        <v>19</v>
      </c>
      <c r="C419" s="39">
        <v>5.55</v>
      </c>
      <c r="D419" s="113"/>
    </row>
    <row r="420" spans="1:4" ht="15.75" outlineLevel="1">
      <c r="A420" s="39" t="s">
        <v>1033</v>
      </c>
      <c r="B420" s="40" t="s">
        <v>20</v>
      </c>
      <c r="C420" s="39">
        <v>5.63</v>
      </c>
      <c r="D420" s="113"/>
    </row>
    <row r="421" spans="1:4" ht="15.75" outlineLevel="1">
      <c r="A421" s="39" t="s">
        <v>1033</v>
      </c>
      <c r="B421" s="40" t="s">
        <v>21</v>
      </c>
      <c r="C421" s="39">
        <v>5.65</v>
      </c>
      <c r="D421" s="113"/>
    </row>
    <row r="422" spans="1:4" ht="15.75" outlineLevel="1">
      <c r="A422" s="39" t="s">
        <v>1033</v>
      </c>
      <c r="B422" s="40" t="s">
        <v>185</v>
      </c>
      <c r="C422" s="39">
        <v>5.66</v>
      </c>
      <c r="D422" s="113"/>
    </row>
    <row r="423" spans="1:4" ht="15.75" outlineLevel="1">
      <c r="A423" s="39" t="s">
        <v>1033</v>
      </c>
      <c r="B423" s="40" t="s">
        <v>22</v>
      </c>
      <c r="C423" s="39">
        <v>5.68</v>
      </c>
      <c r="D423" s="113"/>
    </row>
    <row r="424" spans="1:4" ht="15.75" outlineLevel="1">
      <c r="A424" s="39" t="s">
        <v>1033</v>
      </c>
      <c r="B424" s="40" t="s">
        <v>24</v>
      </c>
      <c r="C424" s="39">
        <v>5.47</v>
      </c>
      <c r="D424" s="113"/>
    </row>
    <row r="425" spans="1:4" ht="15.75" outlineLevel="1">
      <c r="A425" s="39" t="s">
        <v>1033</v>
      </c>
      <c r="B425" s="40" t="s">
        <v>25</v>
      </c>
      <c r="C425" s="39">
        <v>5.48</v>
      </c>
      <c r="D425" s="113"/>
    </row>
    <row r="426" spans="1:4" ht="15.75">
      <c r="A426" s="45" t="s">
        <v>1033</v>
      </c>
      <c r="B426" s="40"/>
      <c r="C426" s="39"/>
      <c r="D426" s="113"/>
    </row>
    <row r="427" spans="1:4" ht="15.75" outlineLevel="1">
      <c r="A427" s="39" t="s">
        <v>1148</v>
      </c>
      <c r="B427" s="40" t="s">
        <v>0</v>
      </c>
      <c r="C427" s="39">
        <v>5.0999999999999996</v>
      </c>
      <c r="D427" s="113"/>
    </row>
    <row r="428" spans="1:4" ht="15.75" outlineLevel="1">
      <c r="A428" s="39" t="s">
        <v>1148</v>
      </c>
      <c r="B428" s="40" t="s">
        <v>1</v>
      </c>
      <c r="C428" s="39">
        <v>5.2</v>
      </c>
      <c r="D428" s="113"/>
    </row>
    <row r="429" spans="1:4" ht="15.75" outlineLevel="1">
      <c r="A429" s="39" t="s">
        <v>1148</v>
      </c>
      <c r="B429" s="40" t="s">
        <v>2</v>
      </c>
      <c r="C429" s="39">
        <v>5.3</v>
      </c>
      <c r="D429" s="113"/>
    </row>
    <row r="430" spans="1:4" ht="15.75" outlineLevel="1">
      <c r="A430" s="39" t="s">
        <v>1148</v>
      </c>
      <c r="B430" s="40" t="s">
        <v>166</v>
      </c>
      <c r="C430" s="39">
        <v>5.6</v>
      </c>
      <c r="D430" s="113"/>
    </row>
    <row r="431" spans="1:4" ht="15.75" outlineLevel="1">
      <c r="A431" s="39" t="s">
        <v>1148</v>
      </c>
      <c r="B431" s="40" t="s">
        <v>1133</v>
      </c>
      <c r="C431" s="41">
        <v>5.0999999999999996</v>
      </c>
      <c r="D431" s="113"/>
    </row>
    <row r="432" spans="1:4" ht="15.75" outlineLevel="1">
      <c r="A432" s="39" t="s">
        <v>1148</v>
      </c>
      <c r="B432" s="40" t="s">
        <v>1132</v>
      </c>
      <c r="C432" s="39">
        <v>5.14</v>
      </c>
      <c r="D432" s="113"/>
    </row>
    <row r="433" spans="1:4" ht="15.75" outlineLevel="1">
      <c r="A433" s="39" t="s">
        <v>1148</v>
      </c>
      <c r="B433" s="40" t="s">
        <v>4</v>
      </c>
      <c r="C433" s="39">
        <v>5.19</v>
      </c>
      <c r="D433" s="113"/>
    </row>
    <row r="434" spans="1:4" ht="15.75" outlineLevel="1">
      <c r="A434" s="39" t="s">
        <v>1148</v>
      </c>
      <c r="B434" s="40" t="s">
        <v>168</v>
      </c>
      <c r="C434" s="39">
        <v>5.24</v>
      </c>
      <c r="D434" s="113"/>
    </row>
    <row r="435" spans="1:4" ht="15.75" outlineLevel="1">
      <c r="A435" s="39" t="s">
        <v>1148</v>
      </c>
      <c r="B435" s="40" t="s">
        <v>5</v>
      </c>
      <c r="C435" s="39">
        <v>5.26</v>
      </c>
      <c r="D435" s="113"/>
    </row>
    <row r="436" spans="1:4" ht="15.75" outlineLevel="1">
      <c r="A436" s="39" t="s">
        <v>1148</v>
      </c>
      <c r="B436" s="40" t="s">
        <v>6</v>
      </c>
      <c r="C436" s="39">
        <v>5.27</v>
      </c>
      <c r="D436" s="113"/>
    </row>
    <row r="437" spans="1:4" ht="15.75" outlineLevel="1">
      <c r="A437" s="39" t="s">
        <v>1148</v>
      </c>
      <c r="B437" s="40" t="s">
        <v>7</v>
      </c>
      <c r="C437" s="39">
        <v>5.28</v>
      </c>
      <c r="D437" s="113"/>
    </row>
    <row r="438" spans="1:4" ht="15.75" outlineLevel="1">
      <c r="A438" s="39" t="s">
        <v>1148</v>
      </c>
      <c r="B438" s="40" t="s">
        <v>344</v>
      </c>
      <c r="C438" s="39">
        <v>5.29</v>
      </c>
      <c r="D438" s="113"/>
    </row>
    <row r="439" spans="1:4" ht="15.75" outlineLevel="1">
      <c r="A439" s="39" t="s">
        <v>1148</v>
      </c>
      <c r="B439" s="40" t="s">
        <v>169</v>
      </c>
      <c r="C439" s="39">
        <v>5.31</v>
      </c>
      <c r="D439" s="113"/>
    </row>
    <row r="440" spans="1:4" ht="15.75" outlineLevel="1">
      <c r="A440" s="39" t="s">
        <v>1148</v>
      </c>
      <c r="B440" s="40" t="s">
        <v>145</v>
      </c>
      <c r="C440" s="39">
        <v>5.36</v>
      </c>
      <c r="D440" s="113"/>
    </row>
    <row r="441" spans="1:4" ht="15.75" outlineLevel="1">
      <c r="A441" s="39" t="s">
        <v>1148</v>
      </c>
      <c r="B441" s="40" t="s">
        <v>177</v>
      </c>
      <c r="C441" s="39">
        <v>5.37</v>
      </c>
      <c r="D441" s="113"/>
    </row>
    <row r="442" spans="1:4" ht="15.75" outlineLevel="1">
      <c r="A442" s="39" t="s">
        <v>1148</v>
      </c>
      <c r="B442" s="40" t="s">
        <v>11</v>
      </c>
      <c r="C442" s="39">
        <v>5.53</v>
      </c>
      <c r="D442" s="113"/>
    </row>
    <row r="443" spans="1:4" ht="15.75" outlineLevel="1">
      <c r="A443" s="39" t="s">
        <v>1148</v>
      </c>
      <c r="B443" s="40" t="s">
        <v>170</v>
      </c>
      <c r="C443" s="39">
        <v>5.109</v>
      </c>
      <c r="D443" s="113"/>
    </row>
    <row r="444" spans="1:4" ht="15.75" outlineLevel="1">
      <c r="A444" s="39" t="s">
        <v>1148</v>
      </c>
      <c r="B444" s="40" t="s">
        <v>171</v>
      </c>
      <c r="C444" s="39">
        <v>5.1109999999999998</v>
      </c>
      <c r="D444" s="113"/>
    </row>
    <row r="445" spans="1:4" ht="15.75" outlineLevel="1">
      <c r="A445" s="39" t="s">
        <v>1148</v>
      </c>
      <c r="B445" s="40" t="s">
        <v>154</v>
      </c>
      <c r="C445" s="39">
        <v>5.1120000000000001</v>
      </c>
      <c r="D445" s="113"/>
    </row>
    <row r="446" spans="1:4" ht="15.75" outlineLevel="1">
      <c r="A446" s="39" t="s">
        <v>1148</v>
      </c>
      <c r="B446" s="40" t="s">
        <v>1147</v>
      </c>
      <c r="C446" s="39">
        <v>5.1130000000000004</v>
      </c>
      <c r="D446" s="113"/>
    </row>
    <row r="447" spans="1:4" ht="15.75" outlineLevel="1">
      <c r="A447" s="39" t="s">
        <v>1148</v>
      </c>
      <c r="B447" s="40" t="s">
        <v>17</v>
      </c>
      <c r="C447" s="39">
        <v>5.58</v>
      </c>
      <c r="D447" s="113"/>
    </row>
    <row r="448" spans="1:4" ht="15.75" outlineLevel="1">
      <c r="A448" s="39" t="s">
        <v>1148</v>
      </c>
      <c r="B448" s="40" t="s">
        <v>18</v>
      </c>
      <c r="C448" s="39">
        <v>5.54</v>
      </c>
      <c r="D448" s="113"/>
    </row>
    <row r="449" spans="1:4" ht="15.75" outlineLevel="1">
      <c r="A449" s="39" t="s">
        <v>1148</v>
      </c>
      <c r="B449" s="40" t="s">
        <v>19</v>
      </c>
      <c r="C449" s="39">
        <v>5.55</v>
      </c>
      <c r="D449" s="113"/>
    </row>
    <row r="450" spans="1:4" ht="15.75" outlineLevel="1">
      <c r="A450" s="39" t="s">
        <v>1148</v>
      </c>
      <c r="B450" s="40" t="s">
        <v>20</v>
      </c>
      <c r="C450" s="39">
        <v>5.63</v>
      </c>
      <c r="D450" s="113"/>
    </row>
    <row r="451" spans="1:4" ht="15.75" outlineLevel="1">
      <c r="A451" s="39" t="s">
        <v>1148</v>
      </c>
      <c r="B451" s="40" t="s">
        <v>24</v>
      </c>
      <c r="C451" s="39">
        <v>5.47</v>
      </c>
      <c r="D451" s="113"/>
    </row>
    <row r="452" spans="1:4" ht="15.75" outlineLevel="1">
      <c r="A452" s="39" t="s">
        <v>1148</v>
      </c>
      <c r="B452" s="40" t="s">
        <v>25</v>
      </c>
      <c r="C452" s="39">
        <v>5.48</v>
      </c>
      <c r="D452" s="113"/>
    </row>
    <row r="453" spans="1:4" ht="15.75">
      <c r="A453" s="45" t="s">
        <v>1148</v>
      </c>
      <c r="B453" s="40"/>
      <c r="C453" s="39"/>
      <c r="D453" s="113"/>
    </row>
    <row r="454" spans="1:4" ht="15.75" outlineLevel="1">
      <c r="A454" s="39" t="s">
        <v>793</v>
      </c>
      <c r="B454" s="40" t="s">
        <v>0</v>
      </c>
      <c r="C454" s="39">
        <v>5.0999999999999996</v>
      </c>
      <c r="D454" s="113"/>
    </row>
    <row r="455" spans="1:4" ht="15.75" outlineLevel="1">
      <c r="A455" s="39" t="s">
        <v>793</v>
      </c>
      <c r="B455" s="40" t="s">
        <v>1</v>
      </c>
      <c r="C455" s="39">
        <v>5.2</v>
      </c>
      <c r="D455" s="113"/>
    </row>
    <row r="456" spans="1:4" ht="15.75" outlineLevel="1">
      <c r="A456" s="39" t="s">
        <v>793</v>
      </c>
      <c r="B456" s="40" t="s">
        <v>209</v>
      </c>
      <c r="C456" s="39">
        <v>5.5</v>
      </c>
      <c r="D456" s="113"/>
    </row>
    <row r="457" spans="1:4" ht="15.75" outlineLevel="1">
      <c r="A457" s="39" t="s">
        <v>793</v>
      </c>
      <c r="B457" s="40" t="s">
        <v>210</v>
      </c>
      <c r="C457" s="39">
        <v>5.8</v>
      </c>
      <c r="D457" s="112" t="s">
        <v>1131</v>
      </c>
    </row>
    <row r="458" spans="1:4" ht="15.75" outlineLevel="1">
      <c r="A458" s="39" t="s">
        <v>793</v>
      </c>
      <c r="B458" s="40" t="s">
        <v>211</v>
      </c>
      <c r="C458" s="39">
        <v>5.12</v>
      </c>
      <c r="D458" s="112" t="s">
        <v>1131</v>
      </c>
    </row>
    <row r="459" spans="1:4" ht="15.75" outlineLevel="1">
      <c r="A459" s="39" t="s">
        <v>793</v>
      </c>
      <c r="B459" s="40" t="s">
        <v>212</v>
      </c>
      <c r="C459" s="39">
        <v>5.15</v>
      </c>
      <c r="D459" s="113"/>
    </row>
    <row r="460" spans="1:4" ht="15.75" outlineLevel="1">
      <c r="A460" s="39" t="s">
        <v>793</v>
      </c>
      <c r="B460" s="40" t="s">
        <v>213</v>
      </c>
      <c r="C460" s="41">
        <v>5.2</v>
      </c>
      <c r="D460" s="112"/>
    </row>
    <row r="461" spans="1:4" ht="15.75" outlineLevel="1">
      <c r="A461" s="39" t="s">
        <v>793</v>
      </c>
      <c r="B461" s="40" t="s">
        <v>214</v>
      </c>
      <c r="C461" s="39">
        <v>5.25</v>
      </c>
      <c r="D461" s="113"/>
    </row>
    <row r="462" spans="1:4" ht="15.75" outlineLevel="1">
      <c r="A462" s="39" t="s">
        <v>793</v>
      </c>
      <c r="B462" s="40" t="s">
        <v>5</v>
      </c>
      <c r="C462" s="39">
        <v>5.26</v>
      </c>
      <c r="D462" s="113"/>
    </row>
    <row r="463" spans="1:4" ht="15.75" outlineLevel="1">
      <c r="A463" s="39" t="s">
        <v>793</v>
      </c>
      <c r="B463" s="40" t="s">
        <v>850</v>
      </c>
      <c r="C463" s="39">
        <v>5.1139999999999999</v>
      </c>
      <c r="D463" s="112" t="s">
        <v>1131</v>
      </c>
    </row>
    <row r="464" spans="1:4" ht="15.75" outlineLevel="1">
      <c r="A464" s="39" t="s">
        <v>793</v>
      </c>
      <c r="B464" s="40" t="s">
        <v>6</v>
      </c>
      <c r="C464" s="39">
        <v>5.27</v>
      </c>
      <c r="D464" s="113"/>
    </row>
    <row r="465" spans="1:4" ht="15.75" outlineLevel="1">
      <c r="A465" s="39" t="s">
        <v>793</v>
      </c>
      <c r="B465" s="40" t="s">
        <v>1149</v>
      </c>
      <c r="C465" s="39">
        <v>5.1150000000000002</v>
      </c>
      <c r="D465" s="112" t="s">
        <v>1131</v>
      </c>
    </row>
    <row r="466" spans="1:4" ht="15.75" outlineLevel="1">
      <c r="A466" s="39" t="s">
        <v>793</v>
      </c>
      <c r="B466" s="40" t="s">
        <v>1150</v>
      </c>
      <c r="C466" s="39">
        <v>5.1159999999999997</v>
      </c>
      <c r="D466" s="112" t="s">
        <v>1131</v>
      </c>
    </row>
    <row r="467" spans="1:4" ht="15.75" outlineLevel="1">
      <c r="A467" s="39" t="s">
        <v>793</v>
      </c>
      <c r="B467" s="40" t="s">
        <v>7</v>
      </c>
      <c r="C467" s="39">
        <v>5.28</v>
      </c>
      <c r="D467" s="113"/>
    </row>
    <row r="468" spans="1:4" ht="15.75" outlineLevel="1">
      <c r="A468" s="39" t="s">
        <v>793</v>
      </c>
      <c r="B468" s="40" t="s">
        <v>145</v>
      </c>
      <c r="C468" s="39">
        <v>5.36</v>
      </c>
      <c r="D468" s="113"/>
    </row>
    <row r="469" spans="1:4" ht="15.75" outlineLevel="1">
      <c r="A469" s="39" t="s">
        <v>793</v>
      </c>
      <c r="B469" s="40" t="s">
        <v>177</v>
      </c>
      <c r="C469" s="39">
        <v>5.37</v>
      </c>
      <c r="D469" s="113"/>
    </row>
    <row r="470" spans="1:4" ht="15.75" outlineLevel="1">
      <c r="A470" s="39" t="s">
        <v>793</v>
      </c>
      <c r="B470" s="40" t="s">
        <v>11</v>
      </c>
      <c r="C470" s="39">
        <v>5.53</v>
      </c>
      <c r="D470" s="113"/>
    </row>
    <row r="471" spans="1:4" ht="15.75" outlineLevel="1">
      <c r="A471" s="39" t="s">
        <v>793</v>
      </c>
      <c r="B471" s="40" t="s">
        <v>170</v>
      </c>
      <c r="C471" s="39">
        <v>5.109</v>
      </c>
      <c r="D471" s="113"/>
    </row>
    <row r="472" spans="1:4" ht="15.75" outlineLevel="1">
      <c r="A472" s="39" t="s">
        <v>793</v>
      </c>
      <c r="B472" s="40" t="s">
        <v>171</v>
      </c>
      <c r="C472" s="39">
        <v>5.1109999999999998</v>
      </c>
      <c r="D472" s="113"/>
    </row>
    <row r="473" spans="1:4" ht="15.75" outlineLevel="1">
      <c r="A473" s="39" t="s">
        <v>793</v>
      </c>
      <c r="B473" s="40" t="s">
        <v>154</v>
      </c>
      <c r="C473" s="39">
        <v>5.1120000000000001</v>
      </c>
      <c r="D473" s="113"/>
    </row>
    <row r="474" spans="1:4" ht="15.75" outlineLevel="1">
      <c r="A474" s="39" t="s">
        <v>793</v>
      </c>
      <c r="B474" s="40" t="s">
        <v>18</v>
      </c>
      <c r="C474" s="39">
        <v>5.54</v>
      </c>
      <c r="D474" s="113"/>
    </row>
    <row r="475" spans="1:4" ht="15.75" outlineLevel="1">
      <c r="A475" s="39" t="s">
        <v>793</v>
      </c>
      <c r="B475" s="40" t="s">
        <v>1151</v>
      </c>
      <c r="C475" s="39">
        <v>5.61</v>
      </c>
      <c r="D475" s="113"/>
    </row>
    <row r="476" spans="1:4" ht="15.75" outlineLevel="1">
      <c r="A476" s="39" t="s">
        <v>793</v>
      </c>
      <c r="B476" s="40" t="s">
        <v>20</v>
      </c>
      <c r="C476" s="39">
        <v>5.63</v>
      </c>
      <c r="D476" s="113"/>
    </row>
    <row r="477" spans="1:4" ht="15.75" outlineLevel="1">
      <c r="A477" s="39" t="s">
        <v>793</v>
      </c>
      <c r="B477" s="40" t="s">
        <v>1152</v>
      </c>
      <c r="C477" s="39">
        <v>5.46</v>
      </c>
      <c r="D477" s="113"/>
    </row>
    <row r="478" spans="1:4" ht="15.75" outlineLevel="1">
      <c r="A478" s="39" t="s">
        <v>793</v>
      </c>
      <c r="B478" s="40" t="s">
        <v>24</v>
      </c>
      <c r="C478" s="39">
        <v>5.47</v>
      </c>
      <c r="D478" s="113"/>
    </row>
    <row r="479" spans="1:4" ht="15.75" outlineLevel="1">
      <c r="A479" s="39" t="s">
        <v>793</v>
      </c>
      <c r="B479" s="40" t="s">
        <v>25</v>
      </c>
      <c r="C479" s="39">
        <v>5.48</v>
      </c>
      <c r="D479" s="113"/>
    </row>
    <row r="480" spans="1:4" ht="15.75">
      <c r="A480" s="45" t="s">
        <v>793</v>
      </c>
      <c r="B480" s="40"/>
      <c r="C480" s="39"/>
      <c r="D480" s="113"/>
    </row>
    <row r="481" spans="1:4" ht="15.75" outlineLevel="1">
      <c r="A481" s="39" t="s">
        <v>1153</v>
      </c>
      <c r="B481" s="40" t="s">
        <v>0</v>
      </c>
      <c r="C481" s="39">
        <v>5.0999999999999996</v>
      </c>
      <c r="D481" s="113"/>
    </row>
    <row r="482" spans="1:4" ht="15.75" outlineLevel="1">
      <c r="A482" s="39" t="s">
        <v>1153</v>
      </c>
      <c r="B482" s="40" t="s">
        <v>1</v>
      </c>
      <c r="C482" s="39">
        <v>5.2</v>
      </c>
      <c r="D482" s="113"/>
    </row>
    <row r="483" spans="1:4" ht="15.75" outlineLevel="1">
      <c r="A483" s="39" t="s">
        <v>1153</v>
      </c>
      <c r="B483" s="40" t="s">
        <v>2</v>
      </c>
      <c r="C483" s="39">
        <v>5.3</v>
      </c>
      <c r="D483" s="113"/>
    </row>
    <row r="484" spans="1:4" ht="15.75" outlineLevel="1">
      <c r="A484" s="39" t="s">
        <v>1153</v>
      </c>
      <c r="B484" s="40" t="s">
        <v>166</v>
      </c>
      <c r="C484" s="39">
        <v>5.6</v>
      </c>
      <c r="D484" s="113"/>
    </row>
    <row r="485" spans="1:4" ht="15.75" outlineLevel="1">
      <c r="A485" s="39" t="s">
        <v>1153</v>
      </c>
      <c r="B485" s="40" t="s">
        <v>1133</v>
      </c>
      <c r="C485" s="41">
        <v>5.0999999999999996</v>
      </c>
      <c r="D485" s="113"/>
    </row>
    <row r="486" spans="1:4" ht="15.75" outlineLevel="1">
      <c r="A486" s="39" t="s">
        <v>1153</v>
      </c>
      <c r="B486" s="40" t="s">
        <v>1132</v>
      </c>
      <c r="C486" s="39">
        <v>5.14</v>
      </c>
      <c r="D486" s="113"/>
    </row>
    <row r="487" spans="1:4" ht="15.75" outlineLevel="1">
      <c r="A487" s="39" t="s">
        <v>1153</v>
      </c>
      <c r="B487" s="40" t="s">
        <v>4</v>
      </c>
      <c r="C487" s="39">
        <v>5.19</v>
      </c>
      <c r="D487" s="113"/>
    </row>
    <row r="488" spans="1:4" ht="15.75" outlineLevel="1">
      <c r="A488" s="39" t="s">
        <v>1153</v>
      </c>
      <c r="B488" s="40" t="s">
        <v>168</v>
      </c>
      <c r="C488" s="39">
        <v>5.24</v>
      </c>
      <c r="D488" s="113"/>
    </row>
    <row r="489" spans="1:4" ht="15.75" outlineLevel="1">
      <c r="A489" s="39" t="s">
        <v>1153</v>
      </c>
      <c r="B489" s="40" t="s">
        <v>6</v>
      </c>
      <c r="C489" s="39">
        <v>5.27</v>
      </c>
      <c r="D489" s="113"/>
    </row>
    <row r="490" spans="1:4" ht="15.75" outlineLevel="1">
      <c r="A490" s="39" t="s">
        <v>1153</v>
      </c>
      <c r="B490" s="40" t="s">
        <v>7</v>
      </c>
      <c r="C490" s="39">
        <v>5.28</v>
      </c>
      <c r="D490" s="113"/>
    </row>
    <row r="491" spans="1:4" ht="15.75" outlineLevel="1">
      <c r="A491" s="39" t="s">
        <v>1153</v>
      </c>
      <c r="B491" s="40" t="s">
        <v>344</v>
      </c>
      <c r="C491" s="39">
        <v>5.29</v>
      </c>
      <c r="D491" s="113"/>
    </row>
    <row r="492" spans="1:4" ht="15.75" outlineLevel="1">
      <c r="A492" s="39" t="s">
        <v>1153</v>
      </c>
      <c r="B492" s="40" t="s">
        <v>1138</v>
      </c>
      <c r="C492" s="39">
        <v>5.34</v>
      </c>
      <c r="D492" s="113"/>
    </row>
    <row r="493" spans="1:4" ht="15.75" outlineLevel="1">
      <c r="A493" s="39" t="s">
        <v>1153</v>
      </c>
      <c r="B493" s="40" t="s">
        <v>169</v>
      </c>
      <c r="C493" s="39">
        <v>5.31</v>
      </c>
      <c r="D493" s="113"/>
    </row>
    <row r="494" spans="1:4" ht="15.75" outlineLevel="1">
      <c r="A494" s="39" t="s">
        <v>1153</v>
      </c>
      <c r="B494" s="40" t="s">
        <v>1139</v>
      </c>
      <c r="C494" s="39">
        <v>5.101</v>
      </c>
      <c r="D494" s="113"/>
    </row>
    <row r="495" spans="1:4" ht="15.75" outlineLevel="1">
      <c r="A495" s="39" t="s">
        <v>1153</v>
      </c>
      <c r="B495" s="40" t="s">
        <v>145</v>
      </c>
      <c r="C495" s="39">
        <v>5.36</v>
      </c>
      <c r="D495" s="113"/>
    </row>
    <row r="496" spans="1:4" ht="15.75" outlineLevel="1">
      <c r="A496" s="39" t="s">
        <v>1153</v>
      </c>
      <c r="B496" s="40" t="s">
        <v>177</v>
      </c>
      <c r="C496" s="39">
        <v>5.37</v>
      </c>
      <c r="D496" s="113"/>
    </row>
    <row r="497" spans="1:4" ht="15.75" outlineLevel="1">
      <c r="A497" s="39" t="s">
        <v>1153</v>
      </c>
      <c r="B497" s="40" t="s">
        <v>11</v>
      </c>
      <c r="C497" s="39">
        <v>5.53</v>
      </c>
      <c r="D497" s="113"/>
    </row>
    <row r="498" spans="1:4" ht="15.75" outlineLevel="1">
      <c r="A498" s="39" t="s">
        <v>1153</v>
      </c>
      <c r="B498" s="40" t="s">
        <v>170</v>
      </c>
      <c r="C498" s="39">
        <v>5.109</v>
      </c>
      <c r="D498" s="113"/>
    </row>
    <row r="499" spans="1:4" ht="15.75" outlineLevel="1">
      <c r="A499" s="39" t="s">
        <v>1153</v>
      </c>
      <c r="B499" s="40" t="s">
        <v>171</v>
      </c>
      <c r="C499" s="39">
        <v>5.1109999999999998</v>
      </c>
      <c r="D499" s="113"/>
    </row>
    <row r="500" spans="1:4" ht="15.75" outlineLevel="1">
      <c r="A500" s="39" t="s">
        <v>1153</v>
      </c>
      <c r="B500" s="40" t="s">
        <v>154</v>
      </c>
      <c r="C500" s="39">
        <v>5.1120000000000001</v>
      </c>
      <c r="D500" s="113"/>
    </row>
    <row r="501" spans="1:4" ht="15.75" outlineLevel="1">
      <c r="A501" s="39" t="s">
        <v>1153</v>
      </c>
      <c r="B501" s="40" t="s">
        <v>1140</v>
      </c>
      <c r="C501" s="39">
        <v>5.1020000000000003</v>
      </c>
      <c r="D501" s="113"/>
    </row>
    <row r="502" spans="1:4" ht="15.75" outlineLevel="1">
      <c r="A502" s="39" t="s">
        <v>1153</v>
      </c>
      <c r="B502" s="40" t="s">
        <v>1141</v>
      </c>
      <c r="C502" s="42">
        <v>5.0999999999999996</v>
      </c>
      <c r="D502" s="113"/>
    </row>
    <row r="503" spans="1:4" ht="15.75" outlineLevel="1">
      <c r="A503" s="39" t="s">
        <v>1153</v>
      </c>
      <c r="B503" s="40" t="s">
        <v>17</v>
      </c>
      <c r="C503" s="39">
        <v>5.58</v>
      </c>
      <c r="D503" s="113"/>
    </row>
    <row r="504" spans="1:4" ht="15.75" outlineLevel="1">
      <c r="A504" s="39" t="s">
        <v>1153</v>
      </c>
      <c r="B504" s="40" t="s">
        <v>19</v>
      </c>
      <c r="C504" s="39">
        <v>5.55</v>
      </c>
      <c r="D504" s="113"/>
    </row>
    <row r="505" spans="1:4" ht="15.75" outlineLevel="1">
      <c r="A505" s="39" t="s">
        <v>1153</v>
      </c>
      <c r="B505" s="40" t="s">
        <v>18</v>
      </c>
      <c r="C505" s="39">
        <v>5.54</v>
      </c>
      <c r="D505" s="113"/>
    </row>
    <row r="506" spans="1:4" ht="15.75" outlineLevel="1">
      <c r="A506" s="39" t="s">
        <v>1153</v>
      </c>
      <c r="B506" s="40" t="s">
        <v>20</v>
      </c>
      <c r="C506" s="39">
        <v>5.63</v>
      </c>
      <c r="D506" s="113"/>
    </row>
    <row r="507" spans="1:4" ht="15.75" outlineLevel="1">
      <c r="A507" s="39" t="s">
        <v>1153</v>
      </c>
      <c r="B507" s="40" t="s">
        <v>24</v>
      </c>
      <c r="C507" s="39">
        <v>5.47</v>
      </c>
      <c r="D507" s="113"/>
    </row>
    <row r="508" spans="1:4" ht="15.75" outlineLevel="1">
      <c r="A508" s="39" t="s">
        <v>1153</v>
      </c>
      <c r="B508" s="40" t="s">
        <v>25</v>
      </c>
      <c r="C508" s="39">
        <v>5.48</v>
      </c>
      <c r="D508" s="113"/>
    </row>
    <row r="509" spans="1:4" ht="15.75">
      <c r="A509" s="45" t="s">
        <v>1153</v>
      </c>
      <c r="B509" s="40"/>
      <c r="C509" s="39"/>
      <c r="D509" s="113"/>
    </row>
    <row r="510" spans="1:4" ht="15.75" outlineLevel="1">
      <c r="A510" s="39" t="s">
        <v>1051</v>
      </c>
      <c r="B510" s="40" t="s">
        <v>0</v>
      </c>
      <c r="C510" s="39">
        <v>5.0999999999999996</v>
      </c>
      <c r="D510" s="113"/>
    </row>
    <row r="511" spans="1:4" ht="15.75" outlineLevel="1">
      <c r="A511" s="39" t="s">
        <v>1051</v>
      </c>
      <c r="B511" s="40" t="s">
        <v>1</v>
      </c>
      <c r="C511" s="39">
        <v>5.2</v>
      </c>
      <c r="D511" s="113"/>
    </row>
    <row r="512" spans="1:4" ht="15.75" outlineLevel="1">
      <c r="A512" s="39" t="s">
        <v>1051</v>
      </c>
      <c r="B512" s="40" t="s">
        <v>2</v>
      </c>
      <c r="C512" s="39">
        <v>5.3</v>
      </c>
      <c r="D512" s="113"/>
    </row>
    <row r="513" spans="1:4" ht="15.75" outlineLevel="1">
      <c r="A513" s="39" t="s">
        <v>1051</v>
      </c>
      <c r="B513" s="40" t="s">
        <v>166</v>
      </c>
      <c r="C513" s="39">
        <v>5.6</v>
      </c>
      <c r="D513" s="113"/>
    </row>
    <row r="514" spans="1:4" ht="15.75" outlineLevel="1">
      <c r="A514" s="39" t="s">
        <v>1051</v>
      </c>
      <c r="B514" s="40" t="s">
        <v>1133</v>
      </c>
      <c r="C514" s="41">
        <v>5.0999999999999996</v>
      </c>
      <c r="D514" s="113"/>
    </row>
    <row r="515" spans="1:4" ht="15.75" outlineLevel="1">
      <c r="A515" s="39" t="s">
        <v>1051</v>
      </c>
      <c r="B515" s="40" t="s">
        <v>1132</v>
      </c>
      <c r="C515" s="39">
        <v>5.14</v>
      </c>
      <c r="D515" s="113"/>
    </row>
    <row r="516" spans="1:4" ht="15.75" outlineLevel="1">
      <c r="A516" s="39" t="s">
        <v>1051</v>
      </c>
      <c r="B516" s="40" t="s">
        <v>4</v>
      </c>
      <c r="C516" s="39">
        <v>5.19</v>
      </c>
      <c r="D516" s="113"/>
    </row>
    <row r="517" spans="1:4" ht="15.75" outlineLevel="1">
      <c r="A517" s="39" t="s">
        <v>1051</v>
      </c>
      <c r="B517" s="40" t="s">
        <v>168</v>
      </c>
      <c r="C517" s="39">
        <v>5.24</v>
      </c>
      <c r="D517" s="113"/>
    </row>
    <row r="518" spans="1:4" ht="15.75" outlineLevel="1">
      <c r="A518" s="39" t="s">
        <v>1051</v>
      </c>
      <c r="B518" s="40" t="s">
        <v>5</v>
      </c>
      <c r="C518" s="39">
        <v>5.26</v>
      </c>
      <c r="D518" s="113"/>
    </row>
    <row r="519" spans="1:4" ht="15.75" outlineLevel="1">
      <c r="A519" s="39" t="s">
        <v>1051</v>
      </c>
      <c r="B519" s="40" t="s">
        <v>6</v>
      </c>
      <c r="C519" s="39">
        <v>5.27</v>
      </c>
      <c r="D519" s="113"/>
    </row>
    <row r="520" spans="1:4" ht="15.75" outlineLevel="1">
      <c r="A520" s="39" t="s">
        <v>1051</v>
      </c>
      <c r="B520" s="40" t="s">
        <v>7</v>
      </c>
      <c r="C520" s="39">
        <v>5.28</v>
      </c>
      <c r="D520" s="113"/>
    </row>
    <row r="521" spans="1:4" ht="15.75" outlineLevel="1">
      <c r="A521" s="39" t="s">
        <v>1051</v>
      </c>
      <c r="B521" s="40" t="s">
        <v>169</v>
      </c>
      <c r="C521" s="39">
        <v>5.31</v>
      </c>
      <c r="D521" s="113"/>
    </row>
    <row r="522" spans="1:4" ht="15.75" outlineLevel="1">
      <c r="A522" s="39" t="s">
        <v>1051</v>
      </c>
      <c r="B522" s="40" t="s">
        <v>192</v>
      </c>
      <c r="C522" s="39">
        <v>5.33</v>
      </c>
      <c r="D522" s="113"/>
    </row>
    <row r="523" spans="1:4" ht="15.75" outlineLevel="1">
      <c r="A523" s="39" t="s">
        <v>1051</v>
      </c>
      <c r="B523" s="40" t="s">
        <v>1139</v>
      </c>
      <c r="C523" s="39">
        <v>5.101</v>
      </c>
      <c r="D523" s="113"/>
    </row>
    <row r="524" spans="1:4" ht="15.75" outlineLevel="1">
      <c r="A524" s="39" t="s">
        <v>1051</v>
      </c>
      <c r="B524" s="40" t="s">
        <v>145</v>
      </c>
      <c r="C524" s="39">
        <v>5.36</v>
      </c>
      <c r="D524" s="113"/>
    </row>
    <row r="525" spans="1:4" ht="15.75" outlineLevel="1">
      <c r="A525" s="39" t="s">
        <v>1051</v>
      </c>
      <c r="B525" s="40" t="s">
        <v>177</v>
      </c>
      <c r="C525" s="39">
        <v>5.37</v>
      </c>
      <c r="D525" s="113"/>
    </row>
    <row r="526" spans="1:4" ht="15.75" outlineLevel="1">
      <c r="A526" s="39" t="s">
        <v>1051</v>
      </c>
      <c r="B526" s="40" t="s">
        <v>11</v>
      </c>
      <c r="C526" s="39">
        <v>5.53</v>
      </c>
      <c r="D526" s="113"/>
    </row>
    <row r="527" spans="1:4" ht="15.75" outlineLevel="1">
      <c r="A527" s="39" t="s">
        <v>1051</v>
      </c>
      <c r="B527" s="40" t="s">
        <v>170</v>
      </c>
      <c r="C527" s="39">
        <v>5.109</v>
      </c>
      <c r="D527" s="113"/>
    </row>
    <row r="528" spans="1:4" ht="15.75" outlineLevel="1">
      <c r="A528" s="39" t="s">
        <v>1051</v>
      </c>
      <c r="B528" s="40" t="s">
        <v>171</v>
      </c>
      <c r="C528" s="39">
        <v>5.1109999999999998</v>
      </c>
      <c r="D528" s="113"/>
    </row>
    <row r="529" spans="1:4" ht="15.75" outlineLevel="1">
      <c r="A529" s="39" t="s">
        <v>1051</v>
      </c>
      <c r="B529" s="40" t="s">
        <v>154</v>
      </c>
      <c r="C529" s="39">
        <v>5.1120000000000001</v>
      </c>
      <c r="D529" s="113"/>
    </row>
    <row r="530" spans="1:4" ht="15.75" outlineLevel="1">
      <c r="A530" s="39" t="s">
        <v>1051</v>
      </c>
      <c r="B530" s="40" t="s">
        <v>1140</v>
      </c>
      <c r="C530" s="39">
        <v>5.1020000000000003</v>
      </c>
      <c r="D530" s="113"/>
    </row>
    <row r="531" spans="1:4" ht="15.75" outlineLevel="1">
      <c r="A531" s="39" t="s">
        <v>1051</v>
      </c>
      <c r="B531" s="40" t="s">
        <v>1141</v>
      </c>
      <c r="C531" s="42">
        <v>5.0999999999999996</v>
      </c>
      <c r="D531" s="113"/>
    </row>
    <row r="532" spans="1:4" ht="15.75" outlineLevel="1">
      <c r="A532" s="39" t="s">
        <v>1051</v>
      </c>
      <c r="B532" s="40" t="s">
        <v>17</v>
      </c>
      <c r="C532" s="39">
        <v>5.58</v>
      </c>
      <c r="D532" s="113"/>
    </row>
    <row r="533" spans="1:4" ht="15.75" outlineLevel="1">
      <c r="A533" s="39" t="s">
        <v>1051</v>
      </c>
      <c r="B533" s="40" t="s">
        <v>19</v>
      </c>
      <c r="C533" s="39">
        <v>5.55</v>
      </c>
      <c r="D533" s="113"/>
    </row>
    <row r="534" spans="1:4" ht="15.75" outlineLevel="1">
      <c r="A534" s="39" t="s">
        <v>1051</v>
      </c>
      <c r="B534" s="40" t="s">
        <v>18</v>
      </c>
      <c r="C534" s="39">
        <v>5.54</v>
      </c>
      <c r="D534" s="113"/>
    </row>
    <row r="535" spans="1:4" ht="15.75" outlineLevel="1">
      <c r="A535" s="39" t="s">
        <v>1051</v>
      </c>
      <c r="B535" s="40" t="s">
        <v>20</v>
      </c>
      <c r="C535" s="39">
        <v>5.63</v>
      </c>
      <c r="D535" s="113"/>
    </row>
    <row r="536" spans="1:4" ht="15.75" outlineLevel="1">
      <c r="A536" s="39" t="s">
        <v>1051</v>
      </c>
      <c r="B536" s="40" t="s">
        <v>24</v>
      </c>
      <c r="C536" s="39">
        <v>5.47</v>
      </c>
      <c r="D536" s="113"/>
    </row>
    <row r="537" spans="1:4" ht="15.75" outlineLevel="1">
      <c r="A537" s="39" t="s">
        <v>1051</v>
      </c>
      <c r="B537" s="40" t="s">
        <v>25</v>
      </c>
      <c r="C537" s="39">
        <v>5.48</v>
      </c>
      <c r="D537" s="113"/>
    </row>
    <row r="538" spans="1:4" ht="15.75">
      <c r="A538" s="45" t="s">
        <v>1051</v>
      </c>
      <c r="B538" s="40"/>
      <c r="C538" s="39"/>
      <c r="D538" s="113"/>
    </row>
    <row r="539" spans="1:4" ht="15.75" outlineLevel="1">
      <c r="A539" s="39" t="s">
        <v>1060</v>
      </c>
      <c r="B539" s="40" t="s">
        <v>0</v>
      </c>
      <c r="C539" s="39">
        <v>5.0999999999999996</v>
      </c>
      <c r="D539" s="113"/>
    </row>
    <row r="540" spans="1:4" ht="15.75" outlineLevel="1">
      <c r="A540" s="39" t="s">
        <v>1060</v>
      </c>
      <c r="B540" s="40" t="s">
        <v>1</v>
      </c>
      <c r="C540" s="39">
        <v>5.2</v>
      </c>
      <c r="D540" s="113"/>
    </row>
    <row r="541" spans="1:4" ht="15.75" outlineLevel="1">
      <c r="A541" s="39" t="s">
        <v>1060</v>
      </c>
      <c r="B541" s="40" t="s">
        <v>5</v>
      </c>
      <c r="C541" s="39">
        <v>5.26</v>
      </c>
      <c r="D541" s="113"/>
    </row>
    <row r="542" spans="1:4" ht="15.75" outlineLevel="1">
      <c r="A542" s="39" t="s">
        <v>1060</v>
      </c>
      <c r="B542" s="40" t="s">
        <v>1154</v>
      </c>
      <c r="C542" s="39">
        <v>5.21</v>
      </c>
      <c r="D542" s="113"/>
    </row>
    <row r="543" spans="1:4" ht="15.75" outlineLevel="1">
      <c r="A543" s="39" t="s">
        <v>1060</v>
      </c>
      <c r="B543" s="40" t="s">
        <v>1155</v>
      </c>
      <c r="C543" s="39">
        <v>5.53</v>
      </c>
      <c r="D543" s="113"/>
    </row>
    <row r="544" spans="1:4" ht="15.75" outlineLevel="1">
      <c r="A544" s="39" t="s">
        <v>1060</v>
      </c>
      <c r="B544" s="40" t="s">
        <v>18</v>
      </c>
      <c r="C544" s="39">
        <v>5.54</v>
      </c>
      <c r="D544" s="113"/>
    </row>
    <row r="545" spans="1:4" ht="15.75" outlineLevel="1">
      <c r="A545" s="39" t="s">
        <v>1060</v>
      </c>
      <c r="B545" s="40" t="s">
        <v>1156</v>
      </c>
      <c r="C545" s="39">
        <v>5.58</v>
      </c>
      <c r="D545" s="113"/>
    </row>
    <row r="546" spans="1:4" ht="15.75" outlineLevel="1">
      <c r="A546" s="39" t="s">
        <v>1060</v>
      </c>
      <c r="B546" s="40" t="s">
        <v>1157</v>
      </c>
      <c r="C546" s="39">
        <v>5.1180000000000003</v>
      </c>
      <c r="D546" s="113"/>
    </row>
    <row r="547" spans="1:4" ht="15.75" outlineLevel="1">
      <c r="A547" s="39" t="s">
        <v>1060</v>
      </c>
      <c r="B547" s="40" t="s">
        <v>1158</v>
      </c>
      <c r="C547" s="39">
        <v>5.47</v>
      </c>
      <c r="D547" s="113"/>
    </row>
    <row r="548" spans="1:4" ht="15.75" outlineLevel="1">
      <c r="A548" s="39" t="s">
        <v>1060</v>
      </c>
      <c r="B548" s="40" t="s">
        <v>1159</v>
      </c>
      <c r="C548" s="39">
        <v>5.48</v>
      </c>
      <c r="D548" s="113"/>
    </row>
    <row r="549" spans="1:4" ht="15.75" outlineLevel="1">
      <c r="A549" s="39" t="s">
        <v>1060</v>
      </c>
      <c r="B549" s="40" t="s">
        <v>1160</v>
      </c>
      <c r="C549" s="39">
        <v>5.21</v>
      </c>
      <c r="D549" s="113"/>
    </row>
    <row r="550" spans="1:4" ht="15.75" outlineLevel="1">
      <c r="A550" s="39" t="s">
        <v>1060</v>
      </c>
      <c r="B550" s="40" t="s">
        <v>1161</v>
      </c>
      <c r="C550" s="39">
        <v>5.53</v>
      </c>
      <c r="D550" s="113"/>
    </row>
    <row r="551" spans="1:4" ht="15.75" outlineLevel="1">
      <c r="A551" s="39" t="s">
        <v>1060</v>
      </c>
      <c r="B551" s="40" t="s">
        <v>18</v>
      </c>
      <c r="C551" s="39">
        <v>5.54</v>
      </c>
      <c r="D551" s="113"/>
    </row>
    <row r="552" spans="1:4" ht="15.75" outlineLevel="1">
      <c r="A552" s="39" t="s">
        <v>1060</v>
      </c>
      <c r="B552" s="40" t="s">
        <v>1162</v>
      </c>
      <c r="C552" s="39">
        <v>5.58</v>
      </c>
      <c r="D552" s="113"/>
    </row>
    <row r="553" spans="1:4" ht="15.75" outlineLevel="1">
      <c r="A553" s="39" t="s">
        <v>1060</v>
      </c>
      <c r="B553" s="40" t="s">
        <v>1163</v>
      </c>
      <c r="C553" s="39">
        <v>5.1180000000000003</v>
      </c>
      <c r="D553" s="113"/>
    </row>
    <row r="554" spans="1:4" ht="15.75" outlineLevel="1">
      <c r="A554" s="39" t="s">
        <v>1060</v>
      </c>
      <c r="B554" s="40" t="s">
        <v>1164</v>
      </c>
      <c r="C554" s="39">
        <v>5.47</v>
      </c>
      <c r="D554" s="113"/>
    </row>
    <row r="555" spans="1:4" ht="15.75" outlineLevel="1">
      <c r="A555" s="39" t="s">
        <v>1060</v>
      </c>
      <c r="B555" s="40" t="s">
        <v>1165</v>
      </c>
      <c r="C555" s="39">
        <v>5.48</v>
      </c>
      <c r="D555" s="113"/>
    </row>
    <row r="556" spans="1:4" ht="15.75" outlineLevel="1">
      <c r="A556" s="39" t="s">
        <v>1060</v>
      </c>
      <c r="B556" s="40" t="s">
        <v>1166</v>
      </c>
      <c r="C556" s="39">
        <v>5.63</v>
      </c>
      <c r="D556" s="113"/>
    </row>
    <row r="557" spans="1:4" ht="15.75" outlineLevel="1">
      <c r="A557" s="39" t="s">
        <v>1060</v>
      </c>
      <c r="B557" s="40" t="s">
        <v>6</v>
      </c>
      <c r="C557" s="39">
        <v>5.27</v>
      </c>
      <c r="D557" s="113"/>
    </row>
    <row r="558" spans="1:4" ht="15.75" outlineLevel="1">
      <c r="A558" s="39" t="s">
        <v>1060</v>
      </c>
      <c r="B558" s="40" t="s">
        <v>7</v>
      </c>
      <c r="C558" s="39">
        <v>5.28</v>
      </c>
      <c r="D558" s="113"/>
    </row>
    <row r="559" spans="1:4" ht="15.75" outlineLevel="1">
      <c r="A559" s="39" t="s">
        <v>1060</v>
      </c>
      <c r="B559" s="40" t="s">
        <v>1167</v>
      </c>
      <c r="C559" s="39">
        <v>5.35</v>
      </c>
      <c r="D559" s="113"/>
    </row>
    <row r="560" spans="1:4" ht="15.75" outlineLevel="1">
      <c r="A560" s="39" t="s">
        <v>1060</v>
      </c>
      <c r="B560" s="40" t="s">
        <v>946</v>
      </c>
      <c r="C560" s="39">
        <v>5.1189999999999998</v>
      </c>
      <c r="D560" s="113"/>
    </row>
    <row r="561" spans="1:4" ht="15.75" outlineLevel="1">
      <c r="A561" s="39" t="s">
        <v>1060</v>
      </c>
      <c r="B561" s="40" t="s">
        <v>953</v>
      </c>
      <c r="C561" s="42">
        <v>5.12</v>
      </c>
      <c r="D561" s="113"/>
    </row>
    <row r="562" spans="1:4" ht="15.75" outlineLevel="1">
      <c r="A562" s="39" t="s">
        <v>1060</v>
      </c>
      <c r="B562" s="40" t="s">
        <v>342</v>
      </c>
      <c r="C562" s="39">
        <v>5.1210000000000004</v>
      </c>
      <c r="D562" s="113"/>
    </row>
    <row r="563" spans="1:4" ht="15.75" outlineLevel="1">
      <c r="A563" s="39" t="s">
        <v>1060</v>
      </c>
      <c r="B563" s="40" t="s">
        <v>145</v>
      </c>
      <c r="C563" s="39">
        <v>5.36</v>
      </c>
      <c r="D563" s="113"/>
    </row>
    <row r="564" spans="1:4" ht="15.75" outlineLevel="1">
      <c r="A564" s="39" t="s">
        <v>1060</v>
      </c>
      <c r="B564" s="40" t="s">
        <v>1168</v>
      </c>
      <c r="C564" s="39">
        <v>5.1219999999999999</v>
      </c>
      <c r="D564" s="113"/>
    </row>
    <row r="565" spans="1:4" ht="15.75" outlineLevel="1">
      <c r="A565" s="39" t="s">
        <v>1060</v>
      </c>
      <c r="B565" s="40" t="s">
        <v>1169</v>
      </c>
      <c r="C565" s="39">
        <v>5.1230000000000002</v>
      </c>
      <c r="D565" s="113"/>
    </row>
    <row r="566" spans="1:4" ht="15.75" outlineLevel="1">
      <c r="A566" s="39" t="s">
        <v>1060</v>
      </c>
      <c r="B566" s="40" t="s">
        <v>917</v>
      </c>
      <c r="C566" s="39">
        <v>5.1239999999999997</v>
      </c>
      <c r="D566" s="113"/>
    </row>
    <row r="567" spans="1:4" ht="15.75" outlineLevel="1">
      <c r="A567" s="39" t="s">
        <v>1060</v>
      </c>
      <c r="B567" s="40" t="s">
        <v>925</v>
      </c>
      <c r="C567" s="39">
        <v>5.125</v>
      </c>
      <c r="D567" s="113"/>
    </row>
    <row r="568" spans="1:4" ht="15.75" outlineLevel="1">
      <c r="A568" s="39" t="s">
        <v>1060</v>
      </c>
      <c r="B568" s="40" t="s">
        <v>1170</v>
      </c>
      <c r="C568" s="39">
        <v>5.1260000000000003</v>
      </c>
      <c r="D568" s="113"/>
    </row>
    <row r="569" spans="1:4" ht="15.75" outlineLevel="1">
      <c r="A569" s="39" t="s">
        <v>1060</v>
      </c>
      <c r="B569" s="40" t="s">
        <v>943</v>
      </c>
      <c r="C569" s="39">
        <v>5.1269999999999998</v>
      </c>
      <c r="D569" s="113"/>
    </row>
    <row r="570" spans="1:4" ht="15.75" outlineLevel="1">
      <c r="A570" s="39" t="s">
        <v>1060</v>
      </c>
      <c r="B570" s="40" t="s">
        <v>928</v>
      </c>
      <c r="C570" s="41">
        <v>5.72</v>
      </c>
      <c r="D570" s="113"/>
    </row>
    <row r="571" spans="1:4" ht="15.75" outlineLevel="1">
      <c r="A571" s="39" t="s">
        <v>1060</v>
      </c>
      <c r="B571" s="40" t="s">
        <v>939</v>
      </c>
      <c r="C571" s="39">
        <v>5.1280000000000001</v>
      </c>
      <c r="D571" s="113"/>
    </row>
    <row r="572" spans="1:4" ht="15.75" outlineLevel="1">
      <c r="A572" s="39" t="s">
        <v>1060</v>
      </c>
      <c r="B572" s="40" t="s">
        <v>1171</v>
      </c>
      <c r="C572" s="39">
        <v>5.1289999999999996</v>
      </c>
      <c r="D572" s="112" t="s">
        <v>1131</v>
      </c>
    </row>
    <row r="573" spans="1:4" ht="15.75" outlineLevel="1">
      <c r="A573" s="39" t="s">
        <v>1060</v>
      </c>
      <c r="B573" s="40" t="s">
        <v>1172</v>
      </c>
      <c r="C573" s="39">
        <v>5.1310000000000002</v>
      </c>
      <c r="D573" s="113"/>
    </row>
    <row r="574" spans="1:4" ht="15.75" outlineLevel="1">
      <c r="A574" s="39" t="s">
        <v>1060</v>
      </c>
      <c r="B574" s="40" t="s">
        <v>1173</v>
      </c>
      <c r="C574" s="39">
        <v>5.1319999999999997</v>
      </c>
      <c r="D574" s="112" t="s">
        <v>1131</v>
      </c>
    </row>
    <row r="575" spans="1:4" ht="15.75" outlineLevel="1">
      <c r="A575" s="39" t="s">
        <v>1060</v>
      </c>
      <c r="B575" s="40" t="s">
        <v>968</v>
      </c>
      <c r="C575" s="39">
        <v>5.133</v>
      </c>
      <c r="D575" s="112" t="s">
        <v>1131</v>
      </c>
    </row>
    <row r="576" spans="1:4" ht="15.75" outlineLevel="1">
      <c r="A576" s="39" t="s">
        <v>1060</v>
      </c>
      <c r="B576" s="40" t="s">
        <v>1174</v>
      </c>
      <c r="C576" s="39">
        <v>5.1340000000000003</v>
      </c>
      <c r="D576" s="112" t="s">
        <v>1131</v>
      </c>
    </row>
    <row r="577" spans="1:4" ht="15.75" outlineLevel="1">
      <c r="A577" s="39" t="s">
        <v>1060</v>
      </c>
      <c r="B577" s="40" t="s">
        <v>1175</v>
      </c>
      <c r="C577" s="42">
        <v>5.13</v>
      </c>
      <c r="D577" s="113"/>
    </row>
    <row r="578" spans="1:4" ht="15.75" outlineLevel="1">
      <c r="A578" s="39" t="s">
        <v>1060</v>
      </c>
      <c r="B578" s="40" t="s">
        <v>24</v>
      </c>
      <c r="C578" s="39">
        <v>5.47</v>
      </c>
      <c r="D578" s="113"/>
    </row>
    <row r="579" spans="1:4" ht="15.75" outlineLevel="1">
      <c r="A579" s="39" t="s">
        <v>1060</v>
      </c>
      <c r="B579" s="40" t="s">
        <v>25</v>
      </c>
      <c r="C579" s="39">
        <v>5.48</v>
      </c>
      <c r="D579" s="113"/>
    </row>
    <row r="580" spans="1:4" ht="15.75">
      <c r="A580" s="45" t="s">
        <v>1060</v>
      </c>
      <c r="B580" s="40"/>
      <c r="C580" s="39"/>
      <c r="D580" s="113"/>
    </row>
    <row r="581" spans="1:4" ht="15.75" outlineLevel="1">
      <c r="A581" s="39" t="s">
        <v>1053</v>
      </c>
      <c r="B581" s="40" t="s">
        <v>0</v>
      </c>
      <c r="C581" s="39">
        <v>5.0999999999999996</v>
      </c>
      <c r="D581" s="113"/>
    </row>
    <row r="582" spans="1:4" ht="15.75" outlineLevel="1">
      <c r="A582" s="39" t="s">
        <v>1053</v>
      </c>
      <c r="B582" s="40" t="s">
        <v>1</v>
      </c>
      <c r="C582" s="39">
        <v>5.2</v>
      </c>
      <c r="D582" s="113"/>
    </row>
    <row r="583" spans="1:4" ht="15.75" outlineLevel="1">
      <c r="A583" s="39" t="s">
        <v>1053</v>
      </c>
      <c r="B583" s="40" t="s">
        <v>140</v>
      </c>
      <c r="C583" s="39">
        <v>5.9</v>
      </c>
      <c r="D583" s="112" t="s">
        <v>1131</v>
      </c>
    </row>
    <row r="584" spans="1:4" ht="15.75" outlineLevel="1">
      <c r="A584" s="39" t="s">
        <v>1053</v>
      </c>
      <c r="B584" s="40" t="s">
        <v>141</v>
      </c>
      <c r="C584" s="39">
        <v>5.13</v>
      </c>
      <c r="D584" s="112" t="s">
        <v>1131</v>
      </c>
    </row>
    <row r="585" spans="1:4" ht="15.75" outlineLevel="1">
      <c r="A585" s="39" t="s">
        <v>1053</v>
      </c>
      <c r="B585" s="40" t="s">
        <v>142</v>
      </c>
      <c r="C585" s="39">
        <v>5.16</v>
      </c>
      <c r="D585" s="112" t="s">
        <v>1131</v>
      </c>
    </row>
    <row r="586" spans="1:4" ht="15.75" outlineLevel="1">
      <c r="A586" s="39" t="s">
        <v>1053</v>
      </c>
      <c r="B586" s="40" t="s">
        <v>143</v>
      </c>
      <c r="C586" s="39">
        <v>5.22</v>
      </c>
      <c r="D586" s="112"/>
    </row>
    <row r="587" spans="1:4" ht="15.75" outlineLevel="1">
      <c r="A587" s="39" t="s">
        <v>1053</v>
      </c>
      <c r="B587" s="40" t="s">
        <v>5</v>
      </c>
      <c r="C587" s="39">
        <v>5.26</v>
      </c>
      <c r="D587" s="113"/>
    </row>
    <row r="588" spans="1:4" ht="15.75" outlineLevel="1">
      <c r="A588" s="39" t="s">
        <v>1053</v>
      </c>
      <c r="B588" s="40" t="s">
        <v>1176</v>
      </c>
      <c r="C588" s="39">
        <v>5.77</v>
      </c>
      <c r="D588" s="113"/>
    </row>
    <row r="589" spans="1:4" ht="15.75" outlineLevel="1">
      <c r="A589" s="39" t="s">
        <v>1053</v>
      </c>
      <c r="B589" s="40" t="s">
        <v>6</v>
      </c>
      <c r="C589" s="39">
        <v>5.27</v>
      </c>
      <c r="D589" s="113"/>
    </row>
    <row r="590" spans="1:4" ht="15.75" outlineLevel="1">
      <c r="A590" s="39" t="s">
        <v>1053</v>
      </c>
      <c r="B590" s="40" t="s">
        <v>7</v>
      </c>
      <c r="C590" s="39">
        <v>5.28</v>
      </c>
      <c r="D590" s="112" t="s">
        <v>1131</v>
      </c>
    </row>
    <row r="591" spans="1:4" ht="15.75" outlineLevel="1">
      <c r="A591" s="39" t="s">
        <v>1053</v>
      </c>
      <c r="B591" s="40" t="s">
        <v>169</v>
      </c>
      <c r="C591" s="39">
        <v>5.31</v>
      </c>
      <c r="D591" s="113"/>
    </row>
    <row r="592" spans="1:4" ht="15.75" outlineLevel="1">
      <c r="A592" s="39" t="s">
        <v>1053</v>
      </c>
      <c r="B592" s="40" t="s">
        <v>145</v>
      </c>
      <c r="C592" s="39">
        <v>5.36</v>
      </c>
      <c r="D592" s="113"/>
    </row>
    <row r="593" spans="1:4" ht="15.75" outlineLevel="1">
      <c r="A593" s="39" t="s">
        <v>1053</v>
      </c>
      <c r="B593" s="40" t="s">
        <v>1177</v>
      </c>
      <c r="C593" s="39">
        <v>5.78</v>
      </c>
      <c r="D593" s="113"/>
    </row>
    <row r="594" spans="1:4" ht="15.75" outlineLevel="1">
      <c r="A594" s="39" t="s">
        <v>1053</v>
      </c>
      <c r="B594" s="40" t="s">
        <v>1178</v>
      </c>
      <c r="C594" s="39">
        <v>5.79</v>
      </c>
      <c r="D594" s="112" t="s">
        <v>1131</v>
      </c>
    </row>
    <row r="595" spans="1:4" ht="15.75" outlineLevel="1">
      <c r="A595" s="39" t="s">
        <v>1053</v>
      </c>
      <c r="B595" s="40" t="s">
        <v>1179</v>
      </c>
      <c r="C595" s="39">
        <v>5.41</v>
      </c>
      <c r="D595" s="113"/>
    </row>
    <row r="596" spans="1:4" ht="15.75" outlineLevel="1">
      <c r="A596" s="39" t="s">
        <v>1053</v>
      </c>
      <c r="B596" s="40" t="s">
        <v>9</v>
      </c>
      <c r="C596" s="39">
        <v>5.49</v>
      </c>
      <c r="D596" s="113"/>
    </row>
    <row r="597" spans="1:4" ht="15.75" outlineLevel="1">
      <c r="A597" s="39" t="s">
        <v>1053</v>
      </c>
      <c r="B597" s="40" t="s">
        <v>10</v>
      </c>
      <c r="C597" s="39">
        <v>5.51</v>
      </c>
      <c r="D597" s="113"/>
    </row>
    <row r="598" spans="1:4" ht="15.75" outlineLevel="1">
      <c r="A598" s="39" t="s">
        <v>1053</v>
      </c>
      <c r="B598" s="40" t="s">
        <v>1180</v>
      </c>
      <c r="C598" s="39">
        <v>5.52</v>
      </c>
      <c r="D598" s="113"/>
    </row>
    <row r="599" spans="1:4" ht="15.75" outlineLevel="1">
      <c r="A599" s="39" t="s">
        <v>1053</v>
      </c>
      <c r="B599" s="40" t="s">
        <v>11</v>
      </c>
      <c r="C599" s="39">
        <v>5.53</v>
      </c>
      <c r="D599" s="113"/>
    </row>
    <row r="600" spans="1:4" ht="15.75" outlineLevel="1">
      <c r="A600" s="39" t="s">
        <v>1053</v>
      </c>
      <c r="B600" s="40" t="s">
        <v>12</v>
      </c>
      <c r="C600" s="39">
        <v>5.69</v>
      </c>
      <c r="D600" s="113"/>
    </row>
    <row r="601" spans="1:4" ht="15.75" outlineLevel="1">
      <c r="A601" s="39" t="s">
        <v>1053</v>
      </c>
      <c r="B601" s="40" t="s">
        <v>147</v>
      </c>
      <c r="C601" s="39">
        <v>5.71</v>
      </c>
      <c r="D601" s="113"/>
    </row>
    <row r="602" spans="1:4" ht="15.75" outlineLevel="1">
      <c r="A602" s="39" t="s">
        <v>1053</v>
      </c>
      <c r="B602" s="40" t="s">
        <v>14</v>
      </c>
      <c r="C602" s="41">
        <v>5.7</v>
      </c>
      <c r="D602" s="113"/>
    </row>
    <row r="603" spans="1:4" ht="15.75" outlineLevel="1">
      <c r="A603" s="39" t="s">
        <v>1053</v>
      </c>
      <c r="B603" s="40" t="s">
        <v>771</v>
      </c>
      <c r="C603" s="41">
        <v>5.8</v>
      </c>
      <c r="D603" s="112" t="s">
        <v>1131</v>
      </c>
    </row>
    <row r="604" spans="1:4" ht="15.75" outlineLevel="1">
      <c r="A604" s="39" t="s">
        <v>1053</v>
      </c>
      <c r="B604" s="40" t="s">
        <v>928</v>
      </c>
      <c r="C604" s="41">
        <v>5.72</v>
      </c>
      <c r="D604" s="112" t="s">
        <v>1131</v>
      </c>
    </row>
    <row r="605" spans="1:4" ht="15.75" outlineLevel="1">
      <c r="A605" s="39" t="s">
        <v>1053</v>
      </c>
      <c r="B605" s="40" t="s">
        <v>1181</v>
      </c>
      <c r="C605" s="39">
        <v>5.73</v>
      </c>
      <c r="D605" s="112" t="s">
        <v>1131</v>
      </c>
    </row>
    <row r="606" spans="1:4" ht="15.75" outlineLevel="1">
      <c r="A606" s="39" t="s">
        <v>1053</v>
      </c>
      <c r="B606" s="40" t="s">
        <v>15</v>
      </c>
      <c r="C606" s="39">
        <v>5.74</v>
      </c>
      <c r="D606" s="113"/>
    </row>
    <row r="607" spans="1:4" ht="15.75" outlineLevel="1">
      <c r="A607" s="39" t="s">
        <v>1053</v>
      </c>
      <c r="B607" s="40" t="s">
        <v>13</v>
      </c>
      <c r="C607" s="39">
        <v>5.75</v>
      </c>
      <c r="D607" s="113"/>
    </row>
    <row r="608" spans="1:4" ht="15.75" outlineLevel="1">
      <c r="A608" s="39" t="s">
        <v>1053</v>
      </c>
      <c r="B608" s="40" t="s">
        <v>428</v>
      </c>
      <c r="C608" s="39">
        <v>5.76</v>
      </c>
      <c r="D608" s="113"/>
    </row>
    <row r="609" spans="1:4" ht="15.75" outlineLevel="1">
      <c r="A609" s="39" t="s">
        <v>1053</v>
      </c>
      <c r="B609" s="40" t="s">
        <v>776</v>
      </c>
      <c r="C609" s="39">
        <v>5.81</v>
      </c>
      <c r="D609" s="112" t="s">
        <v>1131</v>
      </c>
    </row>
    <row r="610" spans="1:4" ht="15.75" outlineLevel="1">
      <c r="A610" s="39" t="s">
        <v>1053</v>
      </c>
      <c r="B610" s="40" t="s">
        <v>1182</v>
      </c>
      <c r="C610" s="39">
        <v>5.82</v>
      </c>
      <c r="D610" s="112" t="s">
        <v>1131</v>
      </c>
    </row>
    <row r="611" spans="1:4" ht="15.75" outlineLevel="1">
      <c r="A611" s="39" t="s">
        <v>1053</v>
      </c>
      <c r="B611" s="40" t="s">
        <v>1183</v>
      </c>
      <c r="C611" s="39">
        <v>5.83</v>
      </c>
      <c r="D611" s="112" t="s">
        <v>1131</v>
      </c>
    </row>
    <row r="612" spans="1:4" ht="15.75" outlineLevel="1">
      <c r="A612" s="39" t="s">
        <v>1053</v>
      </c>
      <c r="B612" s="40" t="s">
        <v>1184</v>
      </c>
      <c r="C612" s="39">
        <v>5.84</v>
      </c>
      <c r="D612" s="113"/>
    </row>
    <row r="613" spans="1:4" ht="15.75" outlineLevel="1">
      <c r="A613" s="39" t="s">
        <v>1053</v>
      </c>
      <c r="B613" s="40" t="s">
        <v>799</v>
      </c>
      <c r="C613" s="39">
        <v>5.85</v>
      </c>
      <c r="D613" s="112" t="s">
        <v>1131</v>
      </c>
    </row>
    <row r="614" spans="1:4" ht="15.75" outlineLevel="1">
      <c r="A614" s="39" t="s">
        <v>1053</v>
      </c>
      <c r="B614" s="40" t="s">
        <v>800</v>
      </c>
      <c r="C614" s="39">
        <v>5.86</v>
      </c>
      <c r="D614" s="112" t="s">
        <v>1131</v>
      </c>
    </row>
    <row r="615" spans="1:4" ht="15.75" outlineLevel="1">
      <c r="A615" s="39" t="s">
        <v>1053</v>
      </c>
      <c r="B615" s="40" t="s">
        <v>1185</v>
      </c>
      <c r="C615" s="39">
        <v>5.88</v>
      </c>
      <c r="D615" s="112" t="s">
        <v>1131</v>
      </c>
    </row>
    <row r="616" spans="1:4" ht="15.75" outlineLevel="1">
      <c r="A616" s="39" t="s">
        <v>1053</v>
      </c>
      <c r="B616" s="40" t="s">
        <v>806</v>
      </c>
      <c r="C616" s="39">
        <v>5.87</v>
      </c>
      <c r="D616" s="113"/>
    </row>
    <row r="617" spans="1:4" ht="15.75" outlineLevel="1">
      <c r="A617" s="39" t="s">
        <v>1053</v>
      </c>
      <c r="B617" s="40" t="s">
        <v>170</v>
      </c>
      <c r="C617" s="39">
        <v>5.109</v>
      </c>
      <c r="D617" s="113"/>
    </row>
    <row r="618" spans="1:4" ht="15.75" outlineLevel="1">
      <c r="A618" s="39" t="s">
        <v>1053</v>
      </c>
      <c r="B618" s="40" t="s">
        <v>183</v>
      </c>
      <c r="C618" s="42">
        <v>5.1100000000000003</v>
      </c>
      <c r="D618" s="112" t="s">
        <v>1131</v>
      </c>
    </row>
    <row r="619" spans="1:4" ht="15.75" outlineLevel="1">
      <c r="A619" s="39" t="s">
        <v>1053</v>
      </c>
      <c r="B619" s="40" t="s">
        <v>171</v>
      </c>
      <c r="C619" s="39">
        <v>5.1109999999999998</v>
      </c>
      <c r="D619" s="113"/>
    </row>
    <row r="620" spans="1:4" ht="15.75" outlineLevel="1">
      <c r="A620" s="39" t="s">
        <v>1053</v>
      </c>
      <c r="B620" s="40" t="s">
        <v>154</v>
      </c>
      <c r="C620" s="39">
        <v>5.1120000000000001</v>
      </c>
      <c r="D620" s="113"/>
    </row>
    <row r="621" spans="1:4" ht="15.75" outlineLevel="1">
      <c r="A621" s="39" t="s">
        <v>1053</v>
      </c>
      <c r="B621" s="40" t="s">
        <v>1147</v>
      </c>
      <c r="C621" s="39">
        <v>5.1130000000000004</v>
      </c>
      <c r="D621" s="113"/>
    </row>
    <row r="622" spans="1:4" ht="15.75" outlineLevel="1">
      <c r="A622" s="39" t="s">
        <v>1053</v>
      </c>
      <c r="B622" s="40" t="s">
        <v>1186</v>
      </c>
      <c r="C622" s="39">
        <v>5.99</v>
      </c>
      <c r="D622" s="112" t="s">
        <v>1131</v>
      </c>
    </row>
    <row r="623" spans="1:4" ht="15.75" outlineLevel="1">
      <c r="A623" s="39" t="s">
        <v>1053</v>
      </c>
      <c r="B623" s="40" t="s">
        <v>1187</v>
      </c>
      <c r="C623" s="39">
        <v>5.58</v>
      </c>
      <c r="D623" s="112"/>
    </row>
    <row r="624" spans="1:4" ht="15.75" outlineLevel="1">
      <c r="A624" s="39" t="s">
        <v>1053</v>
      </c>
      <c r="B624" s="40" t="s">
        <v>18</v>
      </c>
      <c r="C624" s="39">
        <v>5.54</v>
      </c>
      <c r="D624" s="113"/>
    </row>
    <row r="625" spans="1:4" ht="15.75" outlineLevel="1">
      <c r="A625" s="39" t="s">
        <v>1053</v>
      </c>
      <c r="B625" s="40" t="s">
        <v>1188</v>
      </c>
      <c r="C625" s="39">
        <v>5.56</v>
      </c>
      <c r="D625" s="113"/>
    </row>
    <row r="626" spans="1:4" ht="15.75" outlineLevel="1">
      <c r="A626" s="39" t="s">
        <v>1053</v>
      </c>
      <c r="B626" s="40" t="s">
        <v>20</v>
      </c>
      <c r="C626" s="39">
        <v>5.63</v>
      </c>
      <c r="D626" s="113"/>
    </row>
    <row r="627" spans="1:4" ht="15.75" outlineLevel="1">
      <c r="A627" s="39" t="s">
        <v>1053</v>
      </c>
      <c r="B627" s="40" t="s">
        <v>184</v>
      </c>
      <c r="C627" s="39">
        <v>5.64</v>
      </c>
      <c r="D627" s="113"/>
    </row>
    <row r="628" spans="1:4" ht="15.75" outlineLevel="1">
      <c r="A628" s="39" t="s">
        <v>1053</v>
      </c>
      <c r="B628" s="40" t="s">
        <v>21</v>
      </c>
      <c r="C628" s="39">
        <v>5.65</v>
      </c>
      <c r="D628" s="113"/>
    </row>
    <row r="629" spans="1:4" ht="15.75" outlineLevel="1">
      <c r="A629" s="39" t="s">
        <v>1053</v>
      </c>
      <c r="B629" s="40" t="s">
        <v>185</v>
      </c>
      <c r="C629" s="39">
        <v>5.66</v>
      </c>
      <c r="D629" s="113"/>
    </row>
    <row r="630" spans="1:4" ht="15.75" outlineLevel="1">
      <c r="A630" s="39" t="s">
        <v>1053</v>
      </c>
      <c r="B630" s="40" t="s">
        <v>849</v>
      </c>
      <c r="C630" s="39">
        <v>5.89</v>
      </c>
      <c r="D630" s="112" t="s">
        <v>1131</v>
      </c>
    </row>
    <row r="631" spans="1:4" ht="15.75" outlineLevel="1">
      <c r="A631" s="39" t="s">
        <v>1053</v>
      </c>
      <c r="B631" s="40" t="s">
        <v>22</v>
      </c>
      <c r="C631" s="39">
        <v>5.68</v>
      </c>
      <c r="D631" s="113"/>
    </row>
    <row r="632" spans="1:4" ht="15.75" outlineLevel="1">
      <c r="A632" s="39" t="s">
        <v>1053</v>
      </c>
      <c r="B632" s="40" t="s">
        <v>24</v>
      </c>
      <c r="C632" s="39">
        <v>5.47</v>
      </c>
      <c r="D632" s="113"/>
    </row>
    <row r="633" spans="1:4" ht="15.75" outlineLevel="1">
      <c r="A633" s="39" t="s">
        <v>1053</v>
      </c>
      <c r="B633" s="40" t="s">
        <v>25</v>
      </c>
      <c r="C633" s="39">
        <v>5.48</v>
      </c>
      <c r="D633" s="113"/>
    </row>
    <row r="634" spans="1:4" ht="15.75">
      <c r="A634" s="45" t="s">
        <v>1053</v>
      </c>
      <c r="B634" s="40"/>
      <c r="C634" s="39"/>
      <c r="D634" s="113"/>
    </row>
    <row r="635" spans="1:4" ht="15.75" outlineLevel="1">
      <c r="A635" s="39" t="s">
        <v>1072</v>
      </c>
      <c r="B635" s="40" t="s">
        <v>0</v>
      </c>
      <c r="C635" s="39">
        <v>5.0999999999999996</v>
      </c>
      <c r="D635" s="113"/>
    </row>
    <row r="636" spans="1:4" ht="15.75" outlineLevel="1">
      <c r="A636" s="39" t="s">
        <v>1072</v>
      </c>
      <c r="B636" s="40" t="s">
        <v>1</v>
      </c>
      <c r="C636" s="39">
        <v>5.2</v>
      </c>
      <c r="D636" s="113"/>
    </row>
    <row r="637" spans="1:4" ht="15.75" outlineLevel="1">
      <c r="A637" s="39" t="s">
        <v>1072</v>
      </c>
      <c r="B637" s="40" t="s">
        <v>2</v>
      </c>
      <c r="C637" s="39">
        <v>5.3</v>
      </c>
      <c r="D637" s="113"/>
    </row>
    <row r="638" spans="1:4" ht="15.75" outlineLevel="1">
      <c r="A638" s="39" t="s">
        <v>1072</v>
      </c>
      <c r="B638" s="40" t="s">
        <v>166</v>
      </c>
      <c r="C638" s="39">
        <v>5.6</v>
      </c>
      <c r="D638" s="113"/>
    </row>
    <row r="639" spans="1:4" ht="15.75" outlineLevel="1">
      <c r="A639" s="39" t="s">
        <v>1072</v>
      </c>
      <c r="B639" s="40" t="s">
        <v>1133</v>
      </c>
      <c r="C639" s="41">
        <v>5.0999999999999996</v>
      </c>
      <c r="D639" s="113"/>
    </row>
    <row r="640" spans="1:4" ht="15.75" outlineLevel="1">
      <c r="A640" s="39" t="s">
        <v>1072</v>
      </c>
      <c r="B640" s="40" t="s">
        <v>1132</v>
      </c>
      <c r="C640" s="39">
        <v>5.14</v>
      </c>
      <c r="D640" s="113"/>
    </row>
    <row r="641" spans="1:4" ht="15.75" outlineLevel="1">
      <c r="A641" s="39" t="s">
        <v>1072</v>
      </c>
      <c r="B641" s="40" t="s">
        <v>4</v>
      </c>
      <c r="C641" s="39">
        <v>5.19</v>
      </c>
      <c r="D641" s="113"/>
    </row>
    <row r="642" spans="1:4" ht="15.75" outlineLevel="1">
      <c r="A642" s="39" t="s">
        <v>1072</v>
      </c>
      <c r="B642" s="40" t="s">
        <v>168</v>
      </c>
      <c r="C642" s="39">
        <v>5.24</v>
      </c>
      <c r="D642" s="113"/>
    </row>
    <row r="643" spans="1:4" ht="15.75" outlineLevel="1">
      <c r="A643" s="39" t="s">
        <v>1072</v>
      </c>
      <c r="B643" s="40" t="s">
        <v>5</v>
      </c>
      <c r="C643" s="39">
        <v>5.26</v>
      </c>
      <c r="D643" s="113"/>
    </row>
    <row r="644" spans="1:4" ht="15.75" outlineLevel="1">
      <c r="A644" s="39" t="s">
        <v>1072</v>
      </c>
      <c r="B644" s="40" t="s">
        <v>6</v>
      </c>
      <c r="C644" s="39">
        <v>5.27</v>
      </c>
      <c r="D644" s="113"/>
    </row>
    <row r="645" spans="1:4" ht="15.75" outlineLevel="1">
      <c r="A645" s="39" t="s">
        <v>1072</v>
      </c>
      <c r="B645" s="40" t="s">
        <v>7</v>
      </c>
      <c r="C645" s="39">
        <v>5.28</v>
      </c>
      <c r="D645" s="113"/>
    </row>
    <row r="646" spans="1:4" ht="15.75" outlineLevel="1">
      <c r="A646" s="39" t="s">
        <v>1072</v>
      </c>
      <c r="B646" s="40" t="s">
        <v>145</v>
      </c>
      <c r="C646" s="39">
        <v>5.36</v>
      </c>
      <c r="D646" s="113"/>
    </row>
    <row r="647" spans="1:4" ht="15.75" outlineLevel="1">
      <c r="A647" s="39" t="s">
        <v>1072</v>
      </c>
      <c r="B647" s="40" t="s">
        <v>192</v>
      </c>
      <c r="C647" s="39">
        <v>5.33</v>
      </c>
      <c r="D647" s="113"/>
    </row>
    <row r="648" spans="1:4" ht="15.75" outlineLevel="1">
      <c r="A648" s="39" t="s">
        <v>1072</v>
      </c>
      <c r="B648" s="40" t="s">
        <v>177</v>
      </c>
      <c r="C648" s="39">
        <v>5.37</v>
      </c>
      <c r="D648" s="113"/>
    </row>
    <row r="649" spans="1:4" ht="15.75" outlineLevel="1">
      <c r="A649" s="39" t="s">
        <v>1072</v>
      </c>
      <c r="B649" s="40" t="s">
        <v>9</v>
      </c>
      <c r="C649" s="39">
        <v>5.49</v>
      </c>
      <c r="D649" s="113"/>
    </row>
    <row r="650" spans="1:4" ht="15.75" outlineLevel="1">
      <c r="A650" s="39" t="s">
        <v>1072</v>
      </c>
      <c r="B650" s="40" t="s">
        <v>10</v>
      </c>
      <c r="C650" s="39">
        <v>5.51</v>
      </c>
      <c r="D650" s="113"/>
    </row>
    <row r="651" spans="1:4" ht="15.75" outlineLevel="1">
      <c r="A651" s="39" t="s">
        <v>1072</v>
      </c>
      <c r="B651" s="40" t="s">
        <v>1134</v>
      </c>
      <c r="C651" s="39">
        <v>5.52</v>
      </c>
      <c r="D651" s="113"/>
    </row>
    <row r="652" spans="1:4" ht="15.75" outlineLevel="1">
      <c r="A652" s="39" t="s">
        <v>1072</v>
      </c>
      <c r="B652" s="40" t="s">
        <v>11</v>
      </c>
      <c r="C652" s="39">
        <v>5.53</v>
      </c>
      <c r="D652" s="113"/>
    </row>
    <row r="653" spans="1:4" ht="15.75" outlineLevel="1">
      <c r="A653" s="39" t="s">
        <v>1072</v>
      </c>
      <c r="B653" s="40" t="s">
        <v>12</v>
      </c>
      <c r="C653" s="39">
        <v>5.69</v>
      </c>
      <c r="D653" s="113"/>
    </row>
    <row r="654" spans="1:4" ht="15.75" outlineLevel="1">
      <c r="A654" s="39" t="s">
        <v>1072</v>
      </c>
      <c r="B654" s="40" t="s">
        <v>14</v>
      </c>
      <c r="C654" s="41">
        <v>5.7</v>
      </c>
      <c r="D654" s="113"/>
    </row>
    <row r="655" spans="1:4" ht="15.75" outlineLevel="1">
      <c r="A655" s="39" t="s">
        <v>1072</v>
      </c>
      <c r="B655" s="40" t="s">
        <v>15</v>
      </c>
      <c r="C655" s="39">
        <v>5.74</v>
      </c>
      <c r="D655" s="113"/>
    </row>
    <row r="656" spans="1:4" ht="15.75" outlineLevel="1">
      <c r="A656" s="39" t="s">
        <v>1072</v>
      </c>
      <c r="B656" s="40" t="s">
        <v>170</v>
      </c>
      <c r="C656" s="39">
        <v>5.109</v>
      </c>
      <c r="D656" s="113"/>
    </row>
    <row r="657" spans="1:4" ht="15.75" outlineLevel="1">
      <c r="A657" s="39" t="s">
        <v>1072</v>
      </c>
      <c r="B657" s="40" t="s">
        <v>171</v>
      </c>
      <c r="C657" s="39">
        <v>5.1109999999999998</v>
      </c>
      <c r="D657" s="113"/>
    </row>
    <row r="658" spans="1:4" ht="15.75" outlineLevel="1">
      <c r="A658" s="39" t="s">
        <v>1072</v>
      </c>
      <c r="B658" s="40" t="s">
        <v>154</v>
      </c>
      <c r="C658" s="39">
        <v>5.1120000000000001</v>
      </c>
      <c r="D658" s="113"/>
    </row>
    <row r="659" spans="1:4" ht="15.75" outlineLevel="1">
      <c r="A659" s="39" t="s">
        <v>1072</v>
      </c>
      <c r="B659" s="40" t="s">
        <v>17</v>
      </c>
      <c r="C659" s="39">
        <v>5.58</v>
      </c>
      <c r="D659" s="113"/>
    </row>
    <row r="660" spans="1:4" ht="15.75" outlineLevel="1">
      <c r="A660" s="39" t="s">
        <v>1072</v>
      </c>
      <c r="B660" s="40" t="s">
        <v>18</v>
      </c>
      <c r="C660" s="39">
        <v>5.54</v>
      </c>
      <c r="D660" s="113"/>
    </row>
    <row r="661" spans="1:4" ht="15.75" outlineLevel="1">
      <c r="A661" s="39" t="s">
        <v>1072</v>
      </c>
      <c r="B661" s="40" t="s">
        <v>19</v>
      </c>
      <c r="C661" s="39">
        <v>5.55</v>
      </c>
      <c r="D661" s="113"/>
    </row>
    <row r="662" spans="1:4" ht="15.75" outlineLevel="1">
      <c r="A662" s="39" t="s">
        <v>1072</v>
      </c>
      <c r="B662" s="40" t="s">
        <v>20</v>
      </c>
      <c r="C662" s="39">
        <v>5.63</v>
      </c>
      <c r="D662" s="113"/>
    </row>
    <row r="663" spans="1:4" ht="15.75" outlineLevel="1">
      <c r="A663" s="39" t="s">
        <v>1072</v>
      </c>
      <c r="B663" s="40" t="s">
        <v>24</v>
      </c>
      <c r="C663" s="39">
        <v>5.47</v>
      </c>
      <c r="D663" s="113"/>
    </row>
    <row r="664" spans="1:4" ht="15.75" outlineLevel="1">
      <c r="A664" s="39" t="s">
        <v>1072</v>
      </c>
      <c r="B664" s="40" t="s">
        <v>25</v>
      </c>
      <c r="C664" s="39">
        <v>5.48</v>
      </c>
      <c r="D664" s="113"/>
    </row>
    <row r="665" spans="1:4" ht="15.75">
      <c r="A665" s="45" t="s">
        <v>1072</v>
      </c>
      <c r="B665" s="40"/>
      <c r="C665" s="39"/>
      <c r="D665" s="113"/>
    </row>
    <row r="666" spans="1:4" ht="15.75" outlineLevel="1">
      <c r="A666" s="39" t="s">
        <v>1077</v>
      </c>
      <c r="B666" s="40" t="s">
        <v>0</v>
      </c>
      <c r="C666" s="39">
        <v>5.0999999999999996</v>
      </c>
      <c r="D666" s="113"/>
    </row>
    <row r="667" spans="1:4" ht="15.75" outlineLevel="1">
      <c r="A667" s="39" t="s">
        <v>1077</v>
      </c>
      <c r="B667" s="40" t="s">
        <v>1</v>
      </c>
      <c r="C667" s="39">
        <v>5.2</v>
      </c>
      <c r="D667" s="113"/>
    </row>
    <row r="668" spans="1:4" ht="15.75" outlineLevel="1">
      <c r="A668" s="39" t="s">
        <v>1077</v>
      </c>
      <c r="B668" s="40" t="s">
        <v>186</v>
      </c>
      <c r="C668" s="39">
        <v>5.4</v>
      </c>
      <c r="D668" s="113"/>
    </row>
    <row r="669" spans="1:4" ht="15.75" outlineLevel="1">
      <c r="A669" s="39" t="s">
        <v>1077</v>
      </c>
      <c r="B669" s="40" t="s">
        <v>187</v>
      </c>
      <c r="C669" s="39">
        <v>5.7</v>
      </c>
      <c r="D669" s="113"/>
    </row>
    <row r="670" spans="1:4" ht="15.75" outlineLevel="1">
      <c r="A670" s="39" t="s">
        <v>1077</v>
      </c>
      <c r="B670" s="40" t="s">
        <v>188</v>
      </c>
      <c r="C670" s="39">
        <v>5.1100000000000003</v>
      </c>
      <c r="D670" s="113"/>
    </row>
    <row r="671" spans="1:4" ht="15.75" outlineLevel="1">
      <c r="A671" s="39" t="s">
        <v>1077</v>
      </c>
      <c r="B671" s="40" t="s">
        <v>5</v>
      </c>
      <c r="C671" s="39">
        <v>5.26</v>
      </c>
      <c r="D671" s="113"/>
    </row>
    <row r="672" spans="1:4" ht="15.75" outlineLevel="1">
      <c r="A672" s="39" t="s">
        <v>1077</v>
      </c>
      <c r="B672" s="40" t="s">
        <v>189</v>
      </c>
      <c r="C672" s="39">
        <v>5.43</v>
      </c>
      <c r="D672" s="113"/>
    </row>
    <row r="673" spans="1:4" ht="15.75" outlineLevel="1">
      <c r="A673" s="39" t="s">
        <v>1077</v>
      </c>
      <c r="B673" s="40" t="s">
        <v>6</v>
      </c>
      <c r="C673" s="39">
        <v>5.27</v>
      </c>
      <c r="D673" s="113"/>
    </row>
    <row r="674" spans="1:4" ht="15.75" outlineLevel="1">
      <c r="A674" s="39" t="s">
        <v>1077</v>
      </c>
      <c r="B674" s="40" t="s">
        <v>7</v>
      </c>
      <c r="C674" s="39">
        <v>5.28</v>
      </c>
      <c r="D674" s="113"/>
    </row>
    <row r="675" spans="1:4" ht="15.75" outlineLevel="1">
      <c r="A675" s="39" t="s">
        <v>1077</v>
      </c>
      <c r="B675" s="40" t="s">
        <v>145</v>
      </c>
      <c r="C675" s="39">
        <v>5.36</v>
      </c>
      <c r="D675" s="113"/>
    </row>
    <row r="676" spans="1:4" ht="15.75" outlineLevel="1">
      <c r="A676" s="39" t="s">
        <v>1077</v>
      </c>
      <c r="B676" s="40" t="s">
        <v>190</v>
      </c>
      <c r="C676" s="41">
        <v>5.5</v>
      </c>
      <c r="D676" s="113"/>
    </row>
    <row r="677" spans="1:4" ht="15.75" outlineLevel="1">
      <c r="A677" s="39" t="s">
        <v>1077</v>
      </c>
      <c r="B677" s="40" t="s">
        <v>10</v>
      </c>
      <c r="C677" s="39">
        <v>5.51</v>
      </c>
      <c r="D677" s="113"/>
    </row>
    <row r="678" spans="1:4" ht="15.75" outlineLevel="1">
      <c r="A678" s="39" t="s">
        <v>1077</v>
      </c>
      <c r="B678" s="40" t="s">
        <v>11</v>
      </c>
      <c r="C678" s="39">
        <v>5.53</v>
      </c>
      <c r="D678" s="113"/>
    </row>
    <row r="679" spans="1:4" ht="15.75" outlineLevel="1">
      <c r="A679" s="39" t="s">
        <v>1077</v>
      </c>
      <c r="B679" s="40" t="s">
        <v>12</v>
      </c>
      <c r="C679" s="39">
        <v>5.69</v>
      </c>
      <c r="D679" s="113"/>
    </row>
    <row r="680" spans="1:4" ht="15.75" outlineLevel="1">
      <c r="A680" s="39" t="s">
        <v>1077</v>
      </c>
      <c r="B680" s="40" t="s">
        <v>14</v>
      </c>
      <c r="C680" s="41">
        <v>5.7</v>
      </c>
      <c r="D680" s="112" t="s">
        <v>1131</v>
      </c>
    </row>
    <row r="681" spans="1:4" ht="15.75" outlineLevel="1">
      <c r="A681" s="39" t="s">
        <v>1077</v>
      </c>
      <c r="B681" s="40" t="s">
        <v>15</v>
      </c>
      <c r="C681" s="39">
        <v>5.74</v>
      </c>
      <c r="D681" s="113"/>
    </row>
    <row r="682" spans="1:4" ht="15.75" outlineLevel="1">
      <c r="A682" s="39" t="s">
        <v>1077</v>
      </c>
      <c r="B682" s="40" t="s">
        <v>155</v>
      </c>
      <c r="C682" s="39">
        <v>5.59</v>
      </c>
      <c r="D682" s="113"/>
    </row>
    <row r="683" spans="1:4" ht="15.75" outlineLevel="1">
      <c r="A683" s="39" t="s">
        <v>1077</v>
      </c>
      <c r="B683" s="40" t="s">
        <v>18</v>
      </c>
      <c r="C683" s="39">
        <v>5.54</v>
      </c>
      <c r="D683" s="113"/>
    </row>
    <row r="684" spans="1:4" ht="15.75" outlineLevel="1">
      <c r="A684" s="39" t="s">
        <v>1077</v>
      </c>
      <c r="B684" s="40" t="s">
        <v>191</v>
      </c>
      <c r="C684" s="39">
        <v>5.57</v>
      </c>
      <c r="D684" s="113"/>
    </row>
    <row r="685" spans="1:4" ht="15.75" outlineLevel="1">
      <c r="A685" s="39" t="s">
        <v>1077</v>
      </c>
      <c r="B685" s="40" t="s">
        <v>20</v>
      </c>
      <c r="C685" s="39">
        <v>5.63</v>
      </c>
      <c r="D685" s="113"/>
    </row>
    <row r="686" spans="1:4" ht="15.75" outlineLevel="1">
      <c r="A686" s="39" t="s">
        <v>1077</v>
      </c>
      <c r="B686" s="40" t="s">
        <v>24</v>
      </c>
      <c r="C686" s="39">
        <v>5.47</v>
      </c>
      <c r="D686" s="113"/>
    </row>
    <row r="687" spans="1:4" ht="15.75" outlineLevel="1">
      <c r="A687" s="39" t="s">
        <v>1077</v>
      </c>
      <c r="B687" s="40" t="s">
        <v>25</v>
      </c>
      <c r="C687" s="39">
        <v>5.48</v>
      </c>
      <c r="D687" s="113"/>
    </row>
    <row r="688" spans="1:4" ht="15.75">
      <c r="A688" s="45" t="s">
        <v>1077</v>
      </c>
      <c r="B688" s="40"/>
      <c r="C688" s="39"/>
      <c r="D688" s="113"/>
    </row>
    <row r="689" spans="1:4" ht="15.75" outlineLevel="1">
      <c r="A689" s="39" t="s">
        <v>1080</v>
      </c>
      <c r="B689" s="40" t="s">
        <v>0</v>
      </c>
      <c r="C689" s="39">
        <v>5.0999999999999996</v>
      </c>
      <c r="D689" s="113"/>
    </row>
    <row r="690" spans="1:4" ht="15.75" outlineLevel="1">
      <c r="A690" s="39" t="s">
        <v>1080</v>
      </c>
      <c r="B690" s="40" t="s">
        <v>1</v>
      </c>
      <c r="C690" s="39">
        <v>5.2</v>
      </c>
      <c r="D690" s="113"/>
    </row>
    <row r="691" spans="1:4" ht="15.75" outlineLevel="1">
      <c r="A691" s="39" t="s">
        <v>1080</v>
      </c>
      <c r="B691" s="40" t="s">
        <v>175</v>
      </c>
      <c r="C691" s="39">
        <v>5.17</v>
      </c>
      <c r="D691" s="113"/>
    </row>
    <row r="692" spans="1:4" ht="15.75" outlineLevel="1">
      <c r="A692" s="39" t="s">
        <v>1080</v>
      </c>
      <c r="B692" s="40" t="s">
        <v>5</v>
      </c>
      <c r="C692" s="39">
        <v>5.26</v>
      </c>
      <c r="D692" s="113"/>
    </row>
    <row r="693" spans="1:4" ht="15.75" outlineLevel="1">
      <c r="A693" s="39" t="s">
        <v>1080</v>
      </c>
      <c r="B693" s="40" t="s">
        <v>176</v>
      </c>
      <c r="C693" s="39">
        <v>5.1029999999999998</v>
      </c>
      <c r="D693" s="113"/>
    </row>
    <row r="694" spans="1:4" ht="15.75" outlineLevel="1">
      <c r="A694" s="39" t="s">
        <v>1080</v>
      </c>
      <c r="B694" s="40" t="s">
        <v>145</v>
      </c>
      <c r="C694" s="39">
        <v>5.36</v>
      </c>
      <c r="D694" s="113"/>
    </row>
    <row r="695" spans="1:4" ht="15.75" outlineLevel="1">
      <c r="A695" s="39" t="s">
        <v>1080</v>
      </c>
      <c r="B695" s="40" t="s">
        <v>177</v>
      </c>
      <c r="C695" s="39">
        <v>5.37</v>
      </c>
      <c r="D695" s="113"/>
    </row>
    <row r="696" spans="1:4" ht="15.75" outlineLevel="1">
      <c r="A696" s="39" t="s">
        <v>1080</v>
      </c>
      <c r="B696" s="40" t="s">
        <v>178</v>
      </c>
      <c r="C696" s="39">
        <v>5.1040000000000001</v>
      </c>
      <c r="D696" s="113"/>
    </row>
    <row r="697" spans="1:4" ht="15.75" outlineLevel="1">
      <c r="A697" s="39" t="s">
        <v>1080</v>
      </c>
      <c r="B697" s="40" t="s">
        <v>179</v>
      </c>
      <c r="C697" s="39">
        <v>5.1050000000000004</v>
      </c>
      <c r="D697" s="113"/>
    </row>
    <row r="698" spans="1:4" ht="15.75" outlineLevel="1">
      <c r="A698" s="39" t="s">
        <v>1080</v>
      </c>
      <c r="B698" s="40" t="s">
        <v>180</v>
      </c>
      <c r="C698" s="39">
        <v>5.1059999999999999</v>
      </c>
      <c r="D698" s="113"/>
    </row>
    <row r="699" spans="1:4" ht="15.75" outlineLevel="1">
      <c r="A699" s="39" t="s">
        <v>1080</v>
      </c>
      <c r="B699" s="40" t="s">
        <v>181</v>
      </c>
      <c r="C699" s="39">
        <v>5.1070000000000002</v>
      </c>
      <c r="D699" s="113"/>
    </row>
    <row r="700" spans="1:4" ht="15.75" outlineLevel="1">
      <c r="A700" s="39" t="s">
        <v>1080</v>
      </c>
      <c r="B700" s="40" t="s">
        <v>900</v>
      </c>
      <c r="C700" s="39">
        <v>5.1079999999999997</v>
      </c>
      <c r="D700" s="112" t="s">
        <v>1131</v>
      </c>
    </row>
    <row r="701" spans="1:4" ht="15.75" outlineLevel="1">
      <c r="A701" s="39" t="s">
        <v>1080</v>
      </c>
      <c r="B701" s="40" t="s">
        <v>170</v>
      </c>
      <c r="C701" s="39">
        <v>5.109</v>
      </c>
      <c r="D701" s="113"/>
    </row>
    <row r="702" spans="1:4" ht="15.75" outlineLevel="1">
      <c r="A702" s="39" t="s">
        <v>1080</v>
      </c>
      <c r="B702" s="40" t="s">
        <v>183</v>
      </c>
      <c r="C702" s="42">
        <v>5.1100000000000003</v>
      </c>
      <c r="D702" s="112" t="s">
        <v>1131</v>
      </c>
    </row>
    <row r="703" spans="1:4" ht="15.75" outlineLevel="1">
      <c r="A703" s="39" t="s">
        <v>1080</v>
      </c>
      <c r="B703" s="40" t="s">
        <v>171</v>
      </c>
      <c r="C703" s="39">
        <v>5.1109999999999998</v>
      </c>
      <c r="D703" s="113"/>
    </row>
    <row r="704" spans="1:4" ht="15.75" outlineLevel="1">
      <c r="A704" s="39" t="s">
        <v>1080</v>
      </c>
      <c r="B704" s="40" t="s">
        <v>154</v>
      </c>
      <c r="C704" s="39">
        <v>5.1120000000000001</v>
      </c>
      <c r="D704" s="113"/>
    </row>
    <row r="705" spans="1:4" ht="15.75" outlineLevel="1">
      <c r="A705" s="39" t="s">
        <v>1080</v>
      </c>
      <c r="B705" s="40" t="s">
        <v>11</v>
      </c>
      <c r="C705" s="39">
        <v>5.53</v>
      </c>
      <c r="D705" s="113"/>
    </row>
    <row r="706" spans="1:4" ht="15.75" outlineLevel="1">
      <c r="A706" s="39" t="s">
        <v>1080</v>
      </c>
      <c r="B706" s="40" t="s">
        <v>184</v>
      </c>
      <c r="C706" s="39">
        <v>5.64</v>
      </c>
      <c r="D706" s="113"/>
    </row>
    <row r="707" spans="1:4" ht="15.75" outlineLevel="1">
      <c r="A707" s="39" t="s">
        <v>1080</v>
      </c>
      <c r="B707" s="40" t="s">
        <v>20</v>
      </c>
      <c r="C707" s="39">
        <v>5.63</v>
      </c>
      <c r="D707" s="113"/>
    </row>
    <row r="708" spans="1:4" ht="15.75" outlineLevel="1">
      <c r="A708" s="39" t="s">
        <v>1080</v>
      </c>
      <c r="B708" s="40" t="s">
        <v>21</v>
      </c>
      <c r="C708" s="39">
        <v>5.65</v>
      </c>
      <c r="D708" s="113"/>
    </row>
    <row r="709" spans="1:4" ht="15.75" outlineLevel="1">
      <c r="A709" s="39" t="s">
        <v>1080</v>
      </c>
      <c r="B709" s="40" t="s">
        <v>185</v>
      </c>
      <c r="C709" s="39">
        <v>5.66</v>
      </c>
      <c r="D709" s="113"/>
    </row>
    <row r="710" spans="1:4" ht="15.75" outlineLevel="1">
      <c r="A710" s="39" t="s">
        <v>1080</v>
      </c>
      <c r="B710" s="40" t="s">
        <v>22</v>
      </c>
      <c r="C710" s="39">
        <v>5.68</v>
      </c>
      <c r="D710" s="113"/>
    </row>
    <row r="711" spans="1:4" ht="15.75" outlineLevel="1">
      <c r="A711" s="39" t="s">
        <v>1080</v>
      </c>
      <c r="B711" s="40" t="s">
        <v>24</v>
      </c>
      <c r="C711" s="39">
        <v>5.47</v>
      </c>
      <c r="D711" s="113"/>
    </row>
    <row r="712" spans="1:4" ht="15.75" outlineLevel="1">
      <c r="A712" s="39" t="s">
        <v>1080</v>
      </c>
      <c r="B712" s="40" t="s">
        <v>25</v>
      </c>
      <c r="C712" s="39">
        <v>5.48</v>
      </c>
      <c r="D712" s="113"/>
    </row>
    <row r="713" spans="1:4" ht="15.75">
      <c r="A713" s="45" t="s">
        <v>1080</v>
      </c>
      <c r="B713" s="40"/>
      <c r="C713" s="39"/>
      <c r="D713" s="113"/>
    </row>
    <row r="714" spans="1:4" ht="15.75" outlineLevel="1">
      <c r="A714" s="39" t="s">
        <v>1189</v>
      </c>
      <c r="B714" s="40" t="s">
        <v>0</v>
      </c>
      <c r="C714" s="39">
        <v>5.0999999999999996</v>
      </c>
      <c r="D714" s="113"/>
    </row>
    <row r="715" spans="1:4" ht="15.75" outlineLevel="1">
      <c r="A715" s="39" t="s">
        <v>1189</v>
      </c>
      <c r="B715" s="40" t="s">
        <v>1</v>
      </c>
      <c r="C715" s="39">
        <v>5.2</v>
      </c>
      <c r="D715" s="113"/>
    </row>
    <row r="716" spans="1:4" ht="15.75" outlineLevel="1">
      <c r="A716" s="39" t="s">
        <v>1189</v>
      </c>
      <c r="B716" s="40" t="s">
        <v>2</v>
      </c>
      <c r="C716" s="39">
        <v>5.3</v>
      </c>
      <c r="D716" s="113"/>
    </row>
    <row r="717" spans="1:4" ht="15.75" outlineLevel="1">
      <c r="A717" s="39" t="s">
        <v>1189</v>
      </c>
      <c r="B717" s="40" t="s">
        <v>166</v>
      </c>
      <c r="C717" s="39">
        <v>5.6</v>
      </c>
      <c r="D717" s="113"/>
    </row>
    <row r="718" spans="1:4" ht="15.75" outlineLevel="1">
      <c r="A718" s="39" t="s">
        <v>1189</v>
      </c>
      <c r="B718" s="40" t="s">
        <v>1133</v>
      </c>
      <c r="C718" s="41">
        <v>5.0999999999999996</v>
      </c>
      <c r="D718" s="113"/>
    </row>
    <row r="719" spans="1:4" ht="15.75" outlineLevel="1">
      <c r="A719" s="39" t="s">
        <v>1189</v>
      </c>
      <c r="B719" s="40" t="s">
        <v>1132</v>
      </c>
      <c r="C719" s="39">
        <v>5.14</v>
      </c>
      <c r="D719" s="113"/>
    </row>
    <row r="720" spans="1:4" ht="15.75" outlineLevel="1">
      <c r="A720" s="39" t="s">
        <v>1189</v>
      </c>
      <c r="B720" s="40" t="s">
        <v>4</v>
      </c>
      <c r="C720" s="39">
        <v>5.19</v>
      </c>
      <c r="D720" s="113"/>
    </row>
    <row r="721" spans="1:4" ht="15.75" outlineLevel="1">
      <c r="A721" s="39" t="s">
        <v>1189</v>
      </c>
      <c r="B721" s="40" t="s">
        <v>168</v>
      </c>
      <c r="C721" s="39">
        <v>5.24</v>
      </c>
      <c r="D721" s="113"/>
    </row>
    <row r="722" spans="1:4" ht="15.75" outlineLevel="1">
      <c r="A722" s="39" t="s">
        <v>1189</v>
      </c>
      <c r="B722" s="40" t="s">
        <v>5</v>
      </c>
      <c r="C722" s="39">
        <v>5.26</v>
      </c>
      <c r="D722" s="113"/>
    </row>
    <row r="723" spans="1:4" ht="15.75" outlineLevel="1">
      <c r="A723" s="39" t="s">
        <v>1189</v>
      </c>
      <c r="B723" s="40" t="s">
        <v>6</v>
      </c>
      <c r="C723" s="39">
        <v>5.27</v>
      </c>
      <c r="D723" s="113"/>
    </row>
    <row r="724" spans="1:4" ht="15.75" outlineLevel="1">
      <c r="A724" s="39" t="s">
        <v>1189</v>
      </c>
      <c r="B724" s="40" t="s">
        <v>7</v>
      </c>
      <c r="C724" s="39">
        <v>5.28</v>
      </c>
      <c r="D724" s="113"/>
    </row>
    <row r="725" spans="1:4" ht="15.75" outlineLevel="1">
      <c r="A725" s="39" t="s">
        <v>1189</v>
      </c>
      <c r="B725" s="40" t="s">
        <v>169</v>
      </c>
      <c r="C725" s="39">
        <v>5.31</v>
      </c>
      <c r="D725" s="113"/>
    </row>
    <row r="726" spans="1:4" ht="15.75" outlineLevel="1">
      <c r="A726" s="39" t="s">
        <v>1189</v>
      </c>
      <c r="B726" s="40" t="s">
        <v>145</v>
      </c>
      <c r="C726" s="39">
        <v>5.36</v>
      </c>
      <c r="D726" s="113"/>
    </row>
    <row r="727" spans="1:4" ht="15.75" outlineLevel="1">
      <c r="A727" s="39" t="s">
        <v>1189</v>
      </c>
      <c r="B727" s="40" t="s">
        <v>11</v>
      </c>
      <c r="C727" s="39">
        <v>5.53</v>
      </c>
      <c r="D727" s="113"/>
    </row>
    <row r="728" spans="1:4" ht="15.75" outlineLevel="1">
      <c r="A728" s="39" t="s">
        <v>1189</v>
      </c>
      <c r="B728" s="40" t="s">
        <v>170</v>
      </c>
      <c r="C728" s="39">
        <v>5.109</v>
      </c>
      <c r="D728" s="113"/>
    </row>
    <row r="729" spans="1:4" ht="15.75" outlineLevel="1">
      <c r="A729" s="39" t="s">
        <v>1189</v>
      </c>
      <c r="B729" s="40" t="s">
        <v>171</v>
      </c>
      <c r="C729" s="39">
        <v>5.1109999999999998</v>
      </c>
      <c r="D729" s="113"/>
    </row>
    <row r="730" spans="1:4" ht="15.75" outlineLevel="1">
      <c r="A730" s="39" t="s">
        <v>1189</v>
      </c>
      <c r="B730" s="40" t="s">
        <v>154</v>
      </c>
      <c r="C730" s="39">
        <v>5.1120000000000001</v>
      </c>
      <c r="D730" s="113"/>
    </row>
    <row r="731" spans="1:4" ht="15.75" outlineLevel="1">
      <c r="A731" s="39" t="s">
        <v>1189</v>
      </c>
      <c r="B731" s="40" t="s">
        <v>1147</v>
      </c>
      <c r="C731" s="39">
        <v>5.1130000000000004</v>
      </c>
      <c r="D731" s="113"/>
    </row>
    <row r="732" spans="1:4" ht="15.75" outlineLevel="1">
      <c r="A732" s="39" t="s">
        <v>1189</v>
      </c>
      <c r="B732" s="40" t="s">
        <v>173</v>
      </c>
      <c r="C732" s="39">
        <v>5.117</v>
      </c>
      <c r="D732" s="113"/>
    </row>
    <row r="733" spans="1:4" ht="15.75" outlineLevel="1">
      <c r="A733" s="39" t="s">
        <v>1189</v>
      </c>
      <c r="B733" s="40" t="s">
        <v>174</v>
      </c>
      <c r="C733" s="39">
        <v>5.67</v>
      </c>
      <c r="D733" s="113"/>
    </row>
    <row r="734" spans="1:4" ht="15.75" outlineLevel="1">
      <c r="A734" s="39" t="s">
        <v>1189</v>
      </c>
      <c r="B734" s="40" t="s">
        <v>20</v>
      </c>
      <c r="C734" s="39">
        <v>5.63</v>
      </c>
      <c r="D734" s="113"/>
    </row>
    <row r="735" spans="1:4" ht="15.75" outlineLevel="1">
      <c r="A735" s="39" t="s">
        <v>1189</v>
      </c>
      <c r="B735" s="40" t="s">
        <v>24</v>
      </c>
      <c r="C735" s="39">
        <v>5.47</v>
      </c>
      <c r="D735" s="113"/>
    </row>
    <row r="736" spans="1:4" ht="15.75" outlineLevel="1">
      <c r="A736" s="39" t="s">
        <v>1189</v>
      </c>
      <c r="B736" s="40" t="s">
        <v>25</v>
      </c>
      <c r="C736" s="39">
        <v>5.48</v>
      </c>
      <c r="D736" s="113"/>
    </row>
    <row r="737" spans="1:4" ht="15.75">
      <c r="A737" s="45" t="s">
        <v>1190</v>
      </c>
      <c r="B737" s="40"/>
      <c r="C737" s="39"/>
      <c r="D737" s="113"/>
    </row>
    <row r="738" spans="1:4" ht="15.75" outlineLevel="1">
      <c r="A738" s="39" t="s">
        <v>1083</v>
      </c>
      <c r="B738" s="40" t="s">
        <v>0</v>
      </c>
      <c r="C738" s="39">
        <v>5.0999999999999996</v>
      </c>
      <c r="D738" s="113"/>
    </row>
    <row r="739" spans="1:4" ht="15.75" outlineLevel="1">
      <c r="A739" s="39" t="s">
        <v>1083</v>
      </c>
      <c r="B739" s="40" t="s">
        <v>1</v>
      </c>
      <c r="C739" s="39">
        <v>5.2</v>
      </c>
      <c r="D739" s="113"/>
    </row>
    <row r="740" spans="1:4" ht="15.75" outlineLevel="1">
      <c r="A740" s="39" t="s">
        <v>1083</v>
      </c>
      <c r="B740" s="40" t="s">
        <v>151</v>
      </c>
      <c r="C740" s="39">
        <v>5.18</v>
      </c>
      <c r="D740" s="113"/>
    </row>
    <row r="741" spans="1:4" ht="15.75" outlineLevel="1">
      <c r="A741" s="39" t="s">
        <v>1083</v>
      </c>
      <c r="B741" s="40" t="s">
        <v>152</v>
      </c>
      <c r="C741" s="39">
        <v>5.23</v>
      </c>
      <c r="D741" s="113"/>
    </row>
    <row r="742" spans="1:4" ht="15.75" outlineLevel="1">
      <c r="A742" s="39" t="s">
        <v>1083</v>
      </c>
      <c r="B742" s="40" t="s">
        <v>5</v>
      </c>
      <c r="C742" s="39">
        <v>5.26</v>
      </c>
      <c r="D742" s="113"/>
    </row>
    <row r="743" spans="1:4" ht="15.75" outlineLevel="1">
      <c r="A743" s="39" t="s">
        <v>1083</v>
      </c>
      <c r="B743" s="40" t="s">
        <v>6</v>
      </c>
      <c r="C743" s="39">
        <v>5.27</v>
      </c>
      <c r="D743" s="113"/>
    </row>
    <row r="744" spans="1:4" ht="15.75" outlineLevel="1">
      <c r="A744" s="39" t="s">
        <v>1083</v>
      </c>
      <c r="B744" s="40" t="s">
        <v>7</v>
      </c>
      <c r="C744" s="39">
        <v>5.28</v>
      </c>
      <c r="D744" s="113"/>
    </row>
    <row r="745" spans="1:4" ht="15.75" outlineLevel="1">
      <c r="A745" s="39" t="s">
        <v>1083</v>
      </c>
      <c r="B745" s="40" t="s">
        <v>145</v>
      </c>
      <c r="C745" s="39">
        <v>5.36</v>
      </c>
      <c r="D745" s="113"/>
    </row>
    <row r="746" spans="1:4" ht="15.75" outlineLevel="1">
      <c r="A746" s="39" t="s">
        <v>1083</v>
      </c>
      <c r="B746" s="40" t="s">
        <v>153</v>
      </c>
      <c r="C746" s="39">
        <v>5.44</v>
      </c>
      <c r="D746" s="113"/>
    </row>
    <row r="747" spans="1:4" ht="15.75" outlineLevel="1">
      <c r="A747" s="39" t="s">
        <v>1083</v>
      </c>
      <c r="B747" s="40" t="s">
        <v>11</v>
      </c>
      <c r="C747" s="39">
        <v>5.53</v>
      </c>
      <c r="D747" s="113"/>
    </row>
    <row r="748" spans="1:4" ht="15.75" outlineLevel="1">
      <c r="A748" s="39" t="s">
        <v>1083</v>
      </c>
      <c r="B748" s="40" t="s">
        <v>154</v>
      </c>
      <c r="C748" s="39">
        <v>5.1120000000000001</v>
      </c>
      <c r="D748" s="113"/>
    </row>
    <row r="749" spans="1:4" ht="15.75" outlineLevel="1">
      <c r="A749" s="39" t="s">
        <v>1083</v>
      </c>
      <c r="B749" s="40" t="s">
        <v>155</v>
      </c>
      <c r="C749" s="39">
        <v>5.59</v>
      </c>
      <c r="D749" s="113"/>
    </row>
    <row r="750" spans="1:4" ht="15.75" outlineLevel="1">
      <c r="A750" s="39" t="s">
        <v>1083</v>
      </c>
      <c r="B750" s="40" t="s">
        <v>18</v>
      </c>
      <c r="C750" s="39">
        <v>5.54</v>
      </c>
      <c r="D750" s="113"/>
    </row>
    <row r="751" spans="1:4" ht="15.75" outlineLevel="1">
      <c r="A751" s="39" t="s">
        <v>1083</v>
      </c>
      <c r="B751" s="40" t="s">
        <v>20</v>
      </c>
      <c r="C751" s="39">
        <v>5.63</v>
      </c>
      <c r="D751" s="113"/>
    </row>
    <row r="752" spans="1:4" ht="15.75" outlineLevel="1">
      <c r="A752" s="39" t="s">
        <v>1083</v>
      </c>
      <c r="B752" s="40" t="s">
        <v>21</v>
      </c>
      <c r="C752" s="39">
        <v>5.65</v>
      </c>
      <c r="D752" s="113"/>
    </row>
    <row r="753" spans="1:4" ht="15.75" outlineLevel="1">
      <c r="A753" s="39" t="s">
        <v>1083</v>
      </c>
      <c r="B753" s="40" t="s">
        <v>22</v>
      </c>
      <c r="C753" s="39">
        <v>5.68</v>
      </c>
      <c r="D753" s="113"/>
    </row>
    <row r="754" spans="1:4" ht="15.75" outlineLevel="1">
      <c r="A754" s="39" t="s">
        <v>1083</v>
      </c>
      <c r="B754" s="40" t="s">
        <v>24</v>
      </c>
      <c r="C754" s="39">
        <v>5.47</v>
      </c>
      <c r="D754" s="113"/>
    </row>
    <row r="755" spans="1:4" ht="15.75" outlineLevel="1">
      <c r="A755" s="39" t="s">
        <v>1083</v>
      </c>
      <c r="B755" s="40" t="s">
        <v>25</v>
      </c>
      <c r="C755" s="39">
        <v>5.48</v>
      </c>
      <c r="D755" s="113"/>
    </row>
    <row r="756" spans="1:4" ht="15.75">
      <c r="A756" s="45" t="s">
        <v>1083</v>
      </c>
      <c r="B756" s="40"/>
      <c r="C756" s="39"/>
      <c r="D756" s="113"/>
    </row>
    <row r="757" spans="1:4" ht="15.75" outlineLevel="1">
      <c r="A757" s="39" t="s">
        <v>1191</v>
      </c>
      <c r="B757" s="40" t="s">
        <v>0</v>
      </c>
      <c r="C757" s="39">
        <v>5.0999999999999996</v>
      </c>
      <c r="D757" s="113"/>
    </row>
    <row r="758" spans="1:4" ht="15.75" outlineLevel="1">
      <c r="A758" s="39" t="s">
        <v>1191</v>
      </c>
      <c r="B758" s="40" t="s">
        <v>1</v>
      </c>
      <c r="C758" s="39">
        <v>5.2</v>
      </c>
      <c r="D758" s="113"/>
    </row>
    <row r="759" spans="1:4" ht="15.75" outlineLevel="1">
      <c r="A759" s="39" t="s">
        <v>1191</v>
      </c>
      <c r="B759" s="40" t="s">
        <v>140</v>
      </c>
      <c r="C759" s="39">
        <v>5.9</v>
      </c>
      <c r="D759" s="112" t="s">
        <v>1131</v>
      </c>
    </row>
    <row r="760" spans="1:4" ht="15.75" outlineLevel="1">
      <c r="A760" s="39" t="s">
        <v>1191</v>
      </c>
      <c r="B760" s="40" t="s">
        <v>141</v>
      </c>
      <c r="C760" s="39">
        <v>5.13</v>
      </c>
      <c r="D760" s="113"/>
    </row>
    <row r="761" spans="1:4" ht="15.75" outlineLevel="1">
      <c r="A761" s="39" t="s">
        <v>1191</v>
      </c>
      <c r="B761" s="40" t="s">
        <v>142</v>
      </c>
      <c r="C761" s="39">
        <v>5.16</v>
      </c>
      <c r="D761" s="112" t="s">
        <v>1131</v>
      </c>
    </row>
    <row r="762" spans="1:4" ht="15.75" outlineLevel="1">
      <c r="A762" s="39" t="s">
        <v>1191</v>
      </c>
      <c r="B762" s="40" t="s">
        <v>143</v>
      </c>
      <c r="C762" s="39">
        <v>5.22</v>
      </c>
      <c r="D762" s="112"/>
    </row>
    <row r="763" spans="1:4" ht="15.75" outlineLevel="1">
      <c r="A763" s="39" t="s">
        <v>1191</v>
      </c>
      <c r="B763" s="40" t="s">
        <v>144</v>
      </c>
      <c r="C763" s="39">
        <v>5.42</v>
      </c>
      <c r="D763" s="113"/>
    </row>
    <row r="764" spans="1:4" ht="15.75" outlineLevel="1">
      <c r="A764" s="39" t="s">
        <v>1191</v>
      </c>
      <c r="B764" s="40" t="s">
        <v>6</v>
      </c>
      <c r="C764" s="39">
        <v>5.27</v>
      </c>
      <c r="D764" s="113"/>
    </row>
    <row r="765" spans="1:4" ht="15.75" outlineLevel="1">
      <c r="A765" s="39" t="s">
        <v>1191</v>
      </c>
      <c r="B765" s="40" t="s">
        <v>7</v>
      </c>
      <c r="C765" s="39">
        <v>5.28</v>
      </c>
      <c r="D765" s="112" t="s">
        <v>1131</v>
      </c>
    </row>
    <row r="766" spans="1:4" ht="15.75" outlineLevel="1">
      <c r="A766" s="39" t="s">
        <v>1191</v>
      </c>
      <c r="B766" s="40" t="s">
        <v>145</v>
      </c>
      <c r="C766" s="39">
        <v>5.36</v>
      </c>
      <c r="D766" s="113"/>
    </row>
    <row r="767" spans="1:4" ht="15.75" outlineLevel="1">
      <c r="A767" s="39" t="s">
        <v>1191</v>
      </c>
      <c r="B767" s="40" t="s">
        <v>9</v>
      </c>
      <c r="C767" s="39">
        <v>5.49</v>
      </c>
      <c r="D767" s="113"/>
    </row>
    <row r="768" spans="1:4" ht="15.75" outlineLevel="1">
      <c r="A768" s="39" t="s">
        <v>1191</v>
      </c>
      <c r="B768" s="40" t="s">
        <v>10</v>
      </c>
      <c r="C768" s="39">
        <v>5.51</v>
      </c>
      <c r="D768" s="113"/>
    </row>
    <row r="769" spans="1:4" ht="15.75" outlineLevel="1">
      <c r="A769" s="39" t="s">
        <v>1191</v>
      </c>
      <c r="B769" s="40" t="s">
        <v>1180</v>
      </c>
      <c r="C769" s="39">
        <v>5.52</v>
      </c>
      <c r="D769" s="113"/>
    </row>
    <row r="770" spans="1:4" ht="15.75" outlineLevel="1">
      <c r="A770" s="39" t="s">
        <v>1191</v>
      </c>
      <c r="B770" s="40" t="s">
        <v>11</v>
      </c>
      <c r="C770" s="39">
        <v>5.53</v>
      </c>
      <c r="D770" s="113"/>
    </row>
    <row r="771" spans="1:4" ht="15.75" outlineLevel="1">
      <c r="A771" s="39" t="s">
        <v>1191</v>
      </c>
      <c r="B771" s="40" t="s">
        <v>18</v>
      </c>
      <c r="C771" s="39">
        <v>5.54</v>
      </c>
      <c r="D771" s="113"/>
    </row>
    <row r="772" spans="1:4" ht="15.75" outlineLevel="1">
      <c r="A772" s="39" t="s">
        <v>1191</v>
      </c>
      <c r="B772" s="40" t="s">
        <v>14</v>
      </c>
      <c r="C772" s="41">
        <v>5.7</v>
      </c>
      <c r="D772" s="113"/>
    </row>
    <row r="773" spans="1:4" ht="15.75" outlineLevel="1">
      <c r="A773" s="39" t="s">
        <v>1191</v>
      </c>
      <c r="B773" s="40" t="s">
        <v>147</v>
      </c>
      <c r="C773" s="39">
        <v>5.71</v>
      </c>
      <c r="D773" s="113"/>
    </row>
    <row r="774" spans="1:4" ht="15.75" outlineLevel="1">
      <c r="A774" s="39" t="s">
        <v>1191</v>
      </c>
      <c r="B774" s="40" t="s">
        <v>148</v>
      </c>
      <c r="C774" s="41">
        <v>5.9</v>
      </c>
      <c r="D774" s="113"/>
    </row>
    <row r="775" spans="1:4" ht="15.75" outlineLevel="1">
      <c r="A775" s="39" t="s">
        <v>1191</v>
      </c>
      <c r="B775" s="40" t="s">
        <v>149</v>
      </c>
      <c r="C775" s="39">
        <v>5.91</v>
      </c>
      <c r="D775" s="113"/>
    </row>
    <row r="776" spans="1:4" ht="15.75" outlineLevel="1">
      <c r="A776" s="39" t="s">
        <v>1191</v>
      </c>
      <c r="B776" s="40" t="s">
        <v>150</v>
      </c>
      <c r="C776" s="39">
        <v>5.97</v>
      </c>
      <c r="D776" s="113"/>
    </row>
    <row r="777" spans="1:4" ht="15.75">
      <c r="A777" s="45" t="s">
        <v>1191</v>
      </c>
      <c r="B777" s="40"/>
      <c r="C777" s="39"/>
      <c r="D777" s="113"/>
    </row>
    <row r="778" spans="1:4" ht="15.75" outlineLevel="1">
      <c r="A778" s="39" t="s">
        <v>1118</v>
      </c>
      <c r="B778" s="40" t="s">
        <v>0</v>
      </c>
      <c r="C778" s="39">
        <v>5.0999999999999996</v>
      </c>
      <c r="D778" s="113"/>
    </row>
    <row r="779" spans="1:4" ht="15.75" outlineLevel="1">
      <c r="A779" s="39" t="s">
        <v>1118</v>
      </c>
      <c r="B779" s="40" t="s">
        <v>1</v>
      </c>
      <c r="C779" s="39">
        <v>5.2</v>
      </c>
      <c r="D779" s="113"/>
    </row>
    <row r="780" spans="1:4" ht="15.75" outlineLevel="1">
      <c r="A780" s="39" t="s">
        <v>1118</v>
      </c>
      <c r="B780" s="40" t="s">
        <v>5</v>
      </c>
      <c r="C780" s="39">
        <v>5.26</v>
      </c>
      <c r="D780" s="113"/>
    </row>
    <row r="781" spans="1:4" ht="15.75" outlineLevel="1">
      <c r="A781" s="39" t="s">
        <v>1118</v>
      </c>
      <c r="B781" s="40" t="s">
        <v>209</v>
      </c>
      <c r="C781" s="39">
        <v>5.5</v>
      </c>
      <c r="D781" s="113"/>
    </row>
    <row r="782" spans="1:4" ht="15.75" outlineLevel="1">
      <c r="A782" s="39" t="s">
        <v>1118</v>
      </c>
      <c r="B782" s="40" t="s">
        <v>210</v>
      </c>
      <c r="C782" s="39">
        <v>5.8</v>
      </c>
      <c r="D782" s="112" t="s">
        <v>1131</v>
      </c>
    </row>
    <row r="783" spans="1:4" ht="15.75" outlineLevel="1">
      <c r="A783" s="39" t="s">
        <v>1118</v>
      </c>
      <c r="B783" s="40" t="s">
        <v>211</v>
      </c>
      <c r="C783" s="39">
        <v>5.12</v>
      </c>
      <c r="D783" s="39"/>
    </row>
    <row r="784" spans="1:4" ht="15.75" outlineLevel="1">
      <c r="A784" s="39" t="s">
        <v>1118</v>
      </c>
      <c r="B784" s="40" t="s">
        <v>212</v>
      </c>
      <c r="C784" s="39">
        <v>5.15</v>
      </c>
      <c r="D784" s="39"/>
    </row>
    <row r="785" spans="1:4" ht="15.75" outlineLevel="1">
      <c r="A785" s="39" t="s">
        <v>1118</v>
      </c>
      <c r="B785" s="40" t="s">
        <v>213</v>
      </c>
      <c r="C785" s="41">
        <v>5.2</v>
      </c>
      <c r="D785" s="112"/>
    </row>
    <row r="786" spans="1:4" ht="15.75" outlineLevel="1">
      <c r="A786" s="39" t="s">
        <v>1118</v>
      </c>
      <c r="B786" s="40" t="s">
        <v>214</v>
      </c>
      <c r="C786" s="39">
        <v>5.25</v>
      </c>
      <c r="D786" s="39"/>
    </row>
    <row r="787" spans="1:4" ht="15.75" outlineLevel="1">
      <c r="A787" s="39" t="s">
        <v>1118</v>
      </c>
      <c r="B787" s="40" t="s">
        <v>11</v>
      </c>
      <c r="C787" s="39">
        <v>5.53</v>
      </c>
      <c r="D787" s="39"/>
    </row>
    <row r="788" spans="1:4" ht="15.75" outlineLevel="1">
      <c r="A788" s="39" t="s">
        <v>1118</v>
      </c>
      <c r="B788" s="40" t="s">
        <v>215</v>
      </c>
      <c r="C788" s="41">
        <v>5.4</v>
      </c>
      <c r="D788" s="39"/>
    </row>
    <row r="789" spans="1:4" ht="15.75" outlineLevel="1">
      <c r="A789" s="39" t="s">
        <v>1118</v>
      </c>
      <c r="B789" s="40" t="s">
        <v>216</v>
      </c>
      <c r="C789" s="39">
        <v>5.92</v>
      </c>
      <c r="D789" s="39"/>
    </row>
    <row r="790" spans="1:4" ht="15.75" outlineLevel="1">
      <c r="A790" s="39" t="s">
        <v>1118</v>
      </c>
      <c r="B790" s="40" t="s">
        <v>217</v>
      </c>
      <c r="C790" s="39">
        <v>5.93</v>
      </c>
      <c r="D790" s="39"/>
    </row>
    <row r="791" spans="1:4" ht="31.5" outlineLevel="1">
      <c r="A791" s="39" t="s">
        <v>1118</v>
      </c>
      <c r="B791" s="40" t="s">
        <v>218</v>
      </c>
      <c r="C791" s="39">
        <v>5.94</v>
      </c>
      <c r="D791" s="39"/>
    </row>
    <row r="792" spans="1:4" ht="15.75" outlineLevel="1">
      <c r="A792" s="39" t="s">
        <v>1118</v>
      </c>
      <c r="B792" s="40" t="s">
        <v>219</v>
      </c>
      <c r="C792" s="39">
        <v>5.95</v>
      </c>
      <c r="D792" s="39"/>
    </row>
    <row r="793" spans="1:4" ht="15.75" outlineLevel="1">
      <c r="A793" s="39" t="s">
        <v>1118</v>
      </c>
      <c r="B793" s="40" t="s">
        <v>220</v>
      </c>
      <c r="C793" s="39">
        <v>5.98</v>
      </c>
      <c r="D793" s="39"/>
    </row>
    <row r="794" spans="1:4" ht="15.75" outlineLevel="1">
      <c r="A794" s="39" t="s">
        <v>1118</v>
      </c>
      <c r="B794" s="40" t="s">
        <v>221</v>
      </c>
      <c r="C794" s="39">
        <v>5.96</v>
      </c>
      <c r="D794" s="39"/>
    </row>
    <row r="795" spans="1:4" ht="15.75">
      <c r="A795" s="45" t="s">
        <v>1118</v>
      </c>
      <c r="B795" s="40"/>
      <c r="C795" s="39"/>
      <c r="D795" s="39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1207</v>
      </c>
    </row>
    <row r="3" spans="1:2">
      <c r="A3" t="s">
        <v>1208</v>
      </c>
      <c r="B3" t="s">
        <v>1209</v>
      </c>
    </row>
    <row r="4" spans="1:2">
      <c r="A4" t="s">
        <v>196</v>
      </c>
      <c r="B4" t="s">
        <v>1210</v>
      </c>
    </row>
    <row r="5" spans="1:2">
      <c r="A5" t="s">
        <v>1211</v>
      </c>
      <c r="B5" t="s">
        <v>1212</v>
      </c>
    </row>
    <row r="6" spans="1:2">
      <c r="A6" t="s">
        <v>1213</v>
      </c>
      <c r="B6" t="s">
        <v>1214</v>
      </c>
    </row>
    <row r="7" spans="1:2">
      <c r="A7" t="s">
        <v>1215</v>
      </c>
      <c r="B7" t="s">
        <v>1216</v>
      </c>
    </row>
    <row r="8" spans="1:2">
      <c r="A8" t="s">
        <v>1217</v>
      </c>
      <c r="B8" t="s">
        <v>1218</v>
      </c>
    </row>
    <row r="10" spans="1:2" ht="15">
      <c r="A10" s="26" t="s">
        <v>1219</v>
      </c>
    </row>
    <row r="11" spans="1:2">
      <c r="A11" t="s">
        <v>1220</v>
      </c>
    </row>
    <row r="12" spans="1:2">
      <c r="A12" t="s">
        <v>1221</v>
      </c>
      <c r="B12" t="s">
        <v>1222</v>
      </c>
    </row>
    <row r="14" spans="1:2">
      <c r="A14" s="38"/>
    </row>
    <row r="15" spans="1:2" ht="15">
      <c r="A15" s="26" t="s">
        <v>1223</v>
      </c>
    </row>
    <row r="16" spans="1:2">
      <c r="A16" s="36" t="s">
        <v>1224</v>
      </c>
    </row>
    <row r="17" spans="1:2">
      <c r="A17" s="36" t="s">
        <v>1225</v>
      </c>
    </row>
    <row r="18" spans="1:2">
      <c r="A18" s="36" t="s">
        <v>1226</v>
      </c>
    </row>
    <row r="19" spans="1:2">
      <c r="A19" s="36" t="s">
        <v>1227</v>
      </c>
    </row>
    <row r="21" spans="1:2" ht="15">
      <c r="A21" s="37" t="s">
        <v>1228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1229</v>
      </c>
      <c r="B34" s="26" t="s">
        <v>329</v>
      </c>
    </row>
    <row r="35" spans="1:2">
      <c r="A35" s="18" t="s">
        <v>1230</v>
      </c>
      <c r="B35" s="44">
        <v>512310509</v>
      </c>
    </row>
    <row r="36" spans="1:2">
      <c r="A36" t="s">
        <v>1231</v>
      </c>
      <c r="B36" s="44">
        <v>513910703</v>
      </c>
    </row>
    <row r="37" spans="1:2">
      <c r="A37" t="s">
        <v>1232</v>
      </c>
      <c r="B37" s="44">
        <v>512304882</v>
      </c>
    </row>
    <row r="38" spans="1:2">
      <c r="A38" t="s">
        <v>1233</v>
      </c>
      <c r="B38" s="44">
        <v>520030677</v>
      </c>
    </row>
    <row r="39" spans="1:2">
      <c r="A39" t="s">
        <v>1234</v>
      </c>
      <c r="B39" s="44">
        <v>513621110</v>
      </c>
    </row>
    <row r="40" spans="1:2">
      <c r="A40" t="s">
        <v>1235</v>
      </c>
      <c r="B40" s="18">
        <v>513173393</v>
      </c>
    </row>
    <row r="41" spans="1:2">
      <c r="A41" t="s">
        <v>1236</v>
      </c>
      <c r="B41" s="18">
        <v>511880460</v>
      </c>
    </row>
    <row r="42" spans="1:2">
      <c r="A42" t="s">
        <v>1237</v>
      </c>
      <c r="B42" s="18">
        <v>510773922</v>
      </c>
    </row>
    <row r="43" spans="1:2">
      <c r="A43" t="s">
        <v>1238</v>
      </c>
      <c r="B43">
        <v>520021916</v>
      </c>
    </row>
    <row r="44" spans="1:2">
      <c r="A44" t="s">
        <v>1239</v>
      </c>
      <c r="B44">
        <v>520044025</v>
      </c>
    </row>
    <row r="45" spans="1:2">
      <c r="A45" t="s">
        <v>1240</v>
      </c>
      <c r="B45">
        <v>570003152</v>
      </c>
    </row>
    <row r="46" spans="1:2">
      <c r="A46" t="s">
        <v>1241</v>
      </c>
      <c r="B46" s="18">
        <v>520023094</v>
      </c>
    </row>
    <row r="47" spans="1:2">
      <c r="A47" t="s">
        <v>1242</v>
      </c>
      <c r="B47" s="18">
        <v>512711409</v>
      </c>
    </row>
    <row r="48" spans="1:2">
      <c r="A48" t="s">
        <v>1243</v>
      </c>
      <c r="B48">
        <v>515859379</v>
      </c>
    </row>
    <row r="49" spans="1:2">
      <c r="A49" t="s">
        <v>1244</v>
      </c>
      <c r="B49" s="18">
        <v>520030990</v>
      </c>
    </row>
    <row r="50" spans="1:2">
      <c r="A50" t="s">
        <v>1245</v>
      </c>
      <c r="B50" s="18">
        <v>520028812</v>
      </c>
    </row>
    <row r="51" spans="1:2">
      <c r="A51" t="s">
        <v>1246</v>
      </c>
      <c r="B51" s="18">
        <v>520034968</v>
      </c>
    </row>
    <row r="52" spans="1:2">
      <c r="A52" t="s">
        <v>1247</v>
      </c>
      <c r="B52" s="18">
        <v>520031824</v>
      </c>
    </row>
    <row r="53" spans="1:2">
      <c r="A53" t="s">
        <v>1248</v>
      </c>
      <c r="B53" s="18">
        <v>520005497</v>
      </c>
    </row>
    <row r="54" spans="1:2">
      <c r="A54" t="s">
        <v>1249</v>
      </c>
      <c r="B54" s="18">
        <v>520022518</v>
      </c>
    </row>
    <row r="55" spans="1:2">
      <c r="A55" t="s">
        <v>1250</v>
      </c>
      <c r="B55" s="18">
        <v>520028556</v>
      </c>
    </row>
    <row r="56" spans="1:2">
      <c r="A56" t="s">
        <v>1251</v>
      </c>
      <c r="B56" s="18">
        <v>520032269</v>
      </c>
    </row>
    <row r="57" spans="1:2">
      <c r="A57" t="s">
        <v>1252</v>
      </c>
      <c r="B57" s="18">
        <v>520027954</v>
      </c>
    </row>
    <row r="58" spans="1:2">
      <c r="A58" t="s">
        <v>1253</v>
      </c>
      <c r="B58">
        <v>520029620</v>
      </c>
    </row>
    <row r="59" spans="1:2">
      <c r="A59" t="s">
        <v>1254</v>
      </c>
      <c r="B59" s="18">
        <v>520028861</v>
      </c>
    </row>
    <row r="60" spans="1:2">
      <c r="A60" t="s">
        <v>1255</v>
      </c>
      <c r="B60" s="18">
        <v>520030743</v>
      </c>
    </row>
    <row r="61" spans="1:2">
      <c r="A61" t="s">
        <v>1256</v>
      </c>
      <c r="B61">
        <v>520042177</v>
      </c>
    </row>
    <row r="62" spans="1:2">
      <c r="A62" t="s">
        <v>1257</v>
      </c>
      <c r="B62" s="18">
        <v>515447035</v>
      </c>
    </row>
    <row r="63" spans="1:2">
      <c r="A63" t="s">
        <v>1258</v>
      </c>
      <c r="B63" s="18">
        <v>520042607</v>
      </c>
    </row>
    <row r="64" spans="1:2">
      <c r="A64" t="s">
        <v>1259</v>
      </c>
      <c r="B64" s="18">
        <v>513026484</v>
      </c>
    </row>
    <row r="65" spans="1:2">
      <c r="A65" t="s">
        <v>1260</v>
      </c>
      <c r="B65">
        <v>520023185</v>
      </c>
    </row>
    <row r="66" spans="1:2">
      <c r="A66" t="s">
        <v>1261</v>
      </c>
      <c r="B66">
        <v>520004078</v>
      </c>
    </row>
    <row r="67" spans="1:2">
      <c r="A67" t="s">
        <v>1262</v>
      </c>
      <c r="B67" s="18">
        <v>512267592</v>
      </c>
    </row>
    <row r="68" spans="1:2">
      <c r="A68" t="s">
        <v>1263</v>
      </c>
      <c r="B68">
        <v>515764868</v>
      </c>
    </row>
    <row r="69" spans="1:2">
      <c r="A69" t="s">
        <v>1264</v>
      </c>
      <c r="B69" s="18">
        <v>513452003</v>
      </c>
    </row>
    <row r="70" spans="1:2">
      <c r="A70" t="s">
        <v>1265</v>
      </c>
      <c r="B70" s="18">
        <v>510142789</v>
      </c>
    </row>
    <row r="71" spans="1:2">
      <c r="A71" t="s">
        <v>1266</v>
      </c>
      <c r="B71" s="18">
        <v>510960586</v>
      </c>
    </row>
    <row r="72" spans="1:2">
      <c r="A72" t="s">
        <v>1267</v>
      </c>
      <c r="B72" s="18">
        <v>510930670</v>
      </c>
    </row>
    <row r="73" spans="1:2">
      <c r="A73" t="s">
        <v>1268</v>
      </c>
      <c r="B73" s="18">
        <v>510927536</v>
      </c>
    </row>
    <row r="74" spans="1:2">
      <c r="A74" t="s">
        <v>1269</v>
      </c>
      <c r="B74" s="18">
        <v>510930654</v>
      </c>
    </row>
    <row r="75" spans="1:2">
      <c r="A75" t="s">
        <v>1270</v>
      </c>
      <c r="B75" s="18">
        <v>520032566</v>
      </c>
    </row>
    <row r="76" spans="1:2">
      <c r="A76" t="s">
        <v>1271</v>
      </c>
      <c r="B76" s="18">
        <v>513611509</v>
      </c>
    </row>
    <row r="77" spans="1:2">
      <c r="A77" t="s">
        <v>1272</v>
      </c>
      <c r="B77">
        <v>510888985</v>
      </c>
    </row>
    <row r="78" spans="1:2">
      <c r="A78" t="s">
        <v>1273</v>
      </c>
      <c r="B78">
        <v>520024647</v>
      </c>
    </row>
    <row r="79" spans="1:2">
      <c r="A79" t="s">
        <v>1274</v>
      </c>
      <c r="B79" s="18">
        <v>512244146</v>
      </c>
    </row>
    <row r="80" spans="1:2">
      <c r="A80" t="s">
        <v>1275</v>
      </c>
      <c r="B80" s="18">
        <v>510694821</v>
      </c>
    </row>
    <row r="81" spans="1:2">
      <c r="A81" t="s">
        <v>1276</v>
      </c>
      <c r="B81">
        <v>515761625</v>
      </c>
    </row>
    <row r="82" spans="1:2">
      <c r="A82" t="s">
        <v>1277</v>
      </c>
      <c r="B82" s="18">
        <v>511423048</v>
      </c>
    </row>
    <row r="83" spans="1:2">
      <c r="A83" t="s">
        <v>1278</v>
      </c>
      <c r="B83" s="18">
        <v>520019688</v>
      </c>
    </row>
    <row r="84" spans="1:2">
      <c r="A84" t="s">
        <v>1279</v>
      </c>
      <c r="B84">
        <v>520004896</v>
      </c>
    </row>
    <row r="85" spans="1:2">
      <c r="A85" t="s">
        <v>1280</v>
      </c>
      <c r="B85" s="18">
        <v>512237744</v>
      </c>
    </row>
    <row r="86" spans="1:2">
      <c r="A86" t="s">
        <v>1281</v>
      </c>
      <c r="B86" s="18">
        <v>514956465</v>
      </c>
    </row>
    <row r="87" spans="1:2">
      <c r="A87" t="s">
        <v>1282</v>
      </c>
      <c r="B87" s="18">
        <v>512362914</v>
      </c>
    </row>
    <row r="88" spans="1:2">
      <c r="A88" t="s">
        <v>1283</v>
      </c>
      <c r="B88" s="18">
        <v>520042615</v>
      </c>
    </row>
    <row r="89" spans="1:2">
      <c r="A89" t="s">
        <v>1284</v>
      </c>
      <c r="B89" s="18">
        <v>512065202</v>
      </c>
    </row>
    <row r="90" spans="1:2">
      <c r="A90" t="s">
        <v>1285</v>
      </c>
      <c r="B90">
        <v>520042540</v>
      </c>
    </row>
    <row r="91" spans="1:2">
      <c r="A91" t="s">
        <v>1286</v>
      </c>
      <c r="B91" s="18">
        <v>520027715</v>
      </c>
    </row>
    <row r="92" spans="1:2">
      <c r="A92" t="s">
        <v>1287</v>
      </c>
      <c r="B92" s="18">
        <v>512245812</v>
      </c>
    </row>
    <row r="93" spans="1:2">
      <c r="A93" t="s">
        <v>1288</v>
      </c>
      <c r="B93" s="18">
        <v>520022351</v>
      </c>
    </row>
    <row r="94" spans="1:2">
      <c r="A94" t="s">
        <v>1289</v>
      </c>
      <c r="B94" s="18">
        <v>514767490</v>
      </c>
    </row>
    <row r="95" spans="1:2">
      <c r="A95" t="s">
        <v>1290</v>
      </c>
      <c r="B95" s="18">
        <v>520024985</v>
      </c>
    </row>
    <row r="96" spans="1:2">
      <c r="A96" t="s">
        <v>1291</v>
      </c>
      <c r="B96" s="18">
        <v>520042573</v>
      </c>
    </row>
    <row r="97" spans="1:2">
      <c r="A97" t="s">
        <v>1292</v>
      </c>
      <c r="B97" s="18">
        <v>570009449</v>
      </c>
    </row>
    <row r="98" spans="1:2">
      <c r="A98" t="s">
        <v>1293</v>
      </c>
      <c r="B98" s="18">
        <v>520031659</v>
      </c>
    </row>
    <row r="99" spans="1:2">
      <c r="A99" t="s">
        <v>1294</v>
      </c>
      <c r="B99" s="18">
        <v>520042581</v>
      </c>
    </row>
    <row r="100" spans="1:2">
      <c r="A100" t="s">
        <v>1295</v>
      </c>
      <c r="B100">
        <v>520031030</v>
      </c>
    </row>
    <row r="101" spans="1:2">
      <c r="A101" t="s">
        <v>1296</v>
      </c>
      <c r="B101" s="18">
        <v>520030941</v>
      </c>
    </row>
    <row r="102" spans="1:2">
      <c r="A102" t="s">
        <v>1297</v>
      </c>
      <c r="B102" s="18">
        <v>512008335</v>
      </c>
    </row>
    <row r="103" spans="1:2">
      <c r="A103" t="s">
        <v>1298</v>
      </c>
      <c r="B103" s="18">
        <v>520022963</v>
      </c>
    </row>
    <row r="104" spans="1:2">
      <c r="A104" t="s">
        <v>1299</v>
      </c>
      <c r="B104" s="18">
        <v>570011767</v>
      </c>
    </row>
    <row r="105" spans="1:2">
      <c r="A105" t="s">
        <v>1300</v>
      </c>
      <c r="B105" s="18">
        <v>570014928</v>
      </c>
    </row>
    <row r="106" spans="1:2">
      <c r="A106" t="s">
        <v>1301</v>
      </c>
      <c r="B106" s="18">
        <v>570005959</v>
      </c>
    </row>
    <row r="107" spans="1:2">
      <c r="A107" t="s">
        <v>1302</v>
      </c>
      <c r="B107" s="18">
        <v>510800402</v>
      </c>
    </row>
    <row r="108" spans="1:2">
      <c r="A108" t="s">
        <v>1303</v>
      </c>
      <c r="B108" s="18">
        <v>570007476</v>
      </c>
    </row>
    <row r="109" spans="1:2">
      <c r="A109" t="s">
        <v>1304</v>
      </c>
      <c r="B109" s="18">
        <v>570005850</v>
      </c>
    </row>
    <row r="110" spans="1:2">
      <c r="A110" t="s">
        <v>1305</v>
      </c>
      <c r="B110" s="18">
        <v>520020504</v>
      </c>
    </row>
    <row r="111" spans="1:2">
      <c r="A111" t="s">
        <v>1306</v>
      </c>
      <c r="B111" s="18">
        <v>520020447</v>
      </c>
    </row>
    <row r="112" spans="1:2">
      <c r="A112" t="s">
        <v>1307</v>
      </c>
      <c r="B112" s="18">
        <v>511033060</v>
      </c>
    </row>
    <row r="113" spans="1:2">
      <c r="A113" t="s">
        <v>1308</v>
      </c>
      <c r="B113">
        <v>520027848</v>
      </c>
    </row>
    <row r="114" spans="1:2">
      <c r="A114" t="s">
        <v>1309</v>
      </c>
      <c r="B114" s="18">
        <v>570009852</v>
      </c>
    </row>
    <row r="115" spans="1:2">
      <c r="A115" t="s">
        <v>1310</v>
      </c>
      <c r="B115" s="18">
        <v>520027251</v>
      </c>
    </row>
    <row r="116" spans="1:2">
      <c r="A116" t="s">
        <v>1311</v>
      </c>
      <c r="B116" s="18">
        <v>520028390</v>
      </c>
    </row>
    <row r="117" spans="1:2">
      <c r="A117" t="s">
        <v>1312</v>
      </c>
      <c r="B117" s="18">
        <v>510806870</v>
      </c>
    </row>
    <row r="118" spans="1:2">
      <c r="A118" t="s">
        <v>1313</v>
      </c>
      <c r="B118">
        <v>513879189</v>
      </c>
    </row>
    <row r="119" spans="1:2">
      <c r="A119" t="s">
        <v>1314</v>
      </c>
      <c r="B119">
        <v>510015951</v>
      </c>
    </row>
    <row r="120" spans="1:2">
      <c r="A120" t="s">
        <v>1315</v>
      </c>
      <c r="B120" s="18">
        <v>520030693</v>
      </c>
    </row>
    <row r="121" spans="1:2">
      <c r="A121" t="s">
        <v>1316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Solomonov Yfat</cp:lastModifiedBy>
  <cp:lastPrinted>2022-08-08T09:16:18Z</cp:lastPrinted>
  <dcterms:created xsi:type="dcterms:W3CDTF">2021-05-03T04:41:48Z</dcterms:created>
  <dcterms:modified xsi:type="dcterms:W3CDTF">2025-01-29T09:41:05Z</dcterms:modified>
</cp:coreProperties>
</file>