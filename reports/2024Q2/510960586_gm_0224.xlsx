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e33\Favorites\נוי\לשידור\"/>
    </mc:Choice>
  </mc:AlternateContent>
  <xr:revisionPtr revIDLastSave="0" documentId="13_ncr:1_{EF4A43E9-804B-422E-95F2-DBBA7A9736B8}" xr6:coauthVersionLast="36" xr6:coauthVersionMax="36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חוב'!$A$1:$AJ$398</definedName>
    <definedName name="_xlnm._FilterDatabase" localSheetId="31" hidden="1">'אפשרויות בחירה'!$A$1:$D$1040</definedName>
    <definedName name="_xlnm._FilterDatabase" localSheetId="23" hidden="1">הלוואות!$A$1:$BB$210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השקעה'!$G$1:$G$1048574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7" i="2" l="1"/>
  <c r="D27" i="2" s="1"/>
  <c r="B32" i="2" l="1"/>
  <c r="C30" i="2"/>
  <c r="B29" i="2"/>
  <c r="D29" i="2" s="1"/>
  <c r="B28" i="2"/>
  <c r="D28" i="2" s="1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8" i="2" s="1"/>
  <c r="E4" i="2"/>
  <c r="E7" i="2"/>
  <c r="E17" i="2"/>
  <c r="E13" i="2"/>
  <c r="E5" i="2"/>
  <c r="E6" i="2"/>
  <c r="E23" i="2"/>
  <c r="E19" i="2"/>
  <c r="E11" i="2"/>
  <c r="E26" i="2"/>
  <c r="E22" i="2"/>
  <c r="E3" i="2"/>
  <c r="D3" i="2"/>
  <c r="D30" i="2" s="1"/>
  <c r="E18" i="2" l="1"/>
  <c r="E15" i="2"/>
  <c r="E14" i="2"/>
  <c r="E25" i="2"/>
  <c r="E16" i="2"/>
  <c r="E24" i="2"/>
  <c r="E27" i="2"/>
  <c r="E9" i="2"/>
  <c r="E29" i="2"/>
  <c r="E8" i="2"/>
  <c r="E20" i="2"/>
  <c r="E21" i="2"/>
  <c r="E10" i="2"/>
  <c r="E12" i="2"/>
  <c r="E30" i="2" l="1"/>
</calcChain>
</file>

<file path=xl/sharedStrings.xml><?xml version="1.0" encoding="utf-8"?>
<sst xmlns="http://schemas.openxmlformats.org/spreadsheetml/2006/main" count="44182" uniqueCount="3306">
  <si>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</si>
  <si>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</si>
  <si>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</si>
  <si>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</si>
  <si>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</si>
  <si>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</si>
  <si>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</si>
  <si>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</si>
  <si>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</si>
  <si>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</si>
  <si>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</si>
  <si>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</si>
  <si>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</si>
  <si>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</si>
  <si>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</si>
  <si>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</si>
  <si>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</si>
  <si>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</si>
  <si>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</si>
  <si>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</si>
  <si>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</si>
  <si>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</si>
  <si>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</si>
  <si>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</si>
  <si>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</si>
  <si>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</si>
  <si>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1182</t>
  </si>
  <si>
    <t>בנק ישראל- מק"מ</t>
  </si>
  <si>
    <t>מלווה קצר מועד 1014</t>
  </si>
  <si>
    <t>IL0082410106</t>
  </si>
  <si>
    <t>מק"מ קצר משנים עשר חודשים</t>
  </si>
  <si>
    <t>ישראל</t>
  </si>
  <si>
    <t>TASE</t>
  </si>
  <si>
    <t>RF</t>
  </si>
  <si>
    <t>פנימי</t>
  </si>
  <si>
    <t>ILS</t>
  </si>
  <si>
    <t>02/10/2024</t>
  </si>
  <si>
    <t>שווי הוגן</t>
  </si>
  <si>
    <t>מלווה קצר מועד 1214</t>
  </si>
  <si>
    <t>IL0082412185</t>
  </si>
  <si>
    <t>04/12/2024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</si>
  <si>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</si>
  <si>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</si>
  <si>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</si>
  <si>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</si>
  <si>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</si>
  <si>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0545</t>
  </si>
  <si>
    <t>IL0011348658</t>
  </si>
  <si>
    <t>31/05/2045</t>
  </si>
  <si>
    <t>ממשל צמודה 1025</t>
  </si>
  <si>
    <t>IL0011359127</t>
  </si>
  <si>
    <t>31/10/2025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</si>
  <si>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</si>
  <si>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</si>
  <si>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</si>
  <si>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</si>
  <si>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</si>
  <si>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</si>
  <si>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</si>
  <si>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</si>
  <si>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</si>
  <si>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</si>
  <si>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</si>
  <si>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</si>
  <si>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</si>
  <si>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</si>
  <si>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</si>
  <si>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</si>
  <si>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</si>
  <si>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</si>
  <si>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</si>
  <si>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</si>
  <si>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ממשלתי צמודה 0536</t>
  </si>
  <si>
    <t>IL0010977085</t>
  </si>
  <si>
    <t>30/05/2036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</si>
  <si>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</si>
  <si>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</si>
  <si>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</si>
  <si>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</si>
  <si>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</si>
  <si>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</si>
  <si>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</si>
  <si>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</si>
  <si>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</si>
  <si>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</si>
  <si>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</si>
  <si>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</si>
  <si>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1.3% 04/32</t>
  </si>
  <si>
    <t>IL0011806606</t>
  </si>
  <si>
    <t>30/04/2032</t>
  </si>
  <si>
    <t>Treasury Bill</t>
  </si>
  <si>
    <t>B 31/10/24</t>
  </si>
  <si>
    <t>US912797HE00</t>
  </si>
  <si>
    <t>צמוד מט"ח בריבית קבועה</t>
  </si>
  <si>
    <t>חו"ל</t>
  </si>
  <si>
    <t>ארה"ב</t>
  </si>
  <si>
    <t>FOREIGN_GOV_SEC</t>
  </si>
  <si>
    <t>Aaa</t>
  </si>
  <si>
    <t>מידרוג Moodys</t>
  </si>
  <si>
    <t>USD</t>
  </si>
  <si>
    <t>31/10/2024</t>
  </si>
  <si>
    <t>US TREASURY N/B</t>
  </si>
  <si>
    <t>T 3 7/8 08/15/33</t>
  </si>
  <si>
    <t>US91282CHT18</t>
  </si>
  <si>
    <t>Moodys</t>
  </si>
  <si>
    <t>15/08/2033</t>
  </si>
  <si>
    <t>T 4 1/2 15/11/2033</t>
  </si>
  <si>
    <t>US91282CJJ18</t>
  </si>
  <si>
    <t>15/11/2033</t>
  </si>
  <si>
    <t>T-3 3/8 15/05/33</t>
  </si>
  <si>
    <t>US91282CHC82</t>
  </si>
  <si>
    <t>15/05/2033</t>
  </si>
  <si>
    <t>12904</t>
  </si>
  <si>
    <t>מלווה קצר מועד 1114</t>
  </si>
  <si>
    <t>IL0082411195</t>
  </si>
  <si>
    <t>06/11/2024</t>
  </si>
  <si>
    <t>מלווה קצר מועד 515</t>
  </si>
  <si>
    <t>IL0082505160</t>
  </si>
  <si>
    <t>TASE </t>
  </si>
  <si>
    <t>07/05/2025</t>
  </si>
  <si>
    <t>ממשל שקלית  0927</t>
  </si>
  <si>
    <t>IL0012035791</t>
  </si>
  <si>
    <t>30/09/2027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</si>
  <si>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</si>
  <si>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</si>
  <si>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</si>
  <si>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</si>
  <si>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</si>
  <si>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424</t>
  </si>
  <si>
    <t>מלווה קצר מועד 714</t>
  </si>
  <si>
    <t>IL0082407151</t>
  </si>
  <si>
    <t>03/07/2024</t>
  </si>
  <si>
    <t>מלווה קצר מועד 814</t>
  </si>
  <si>
    <t>IL0082408142</t>
  </si>
  <si>
    <t>07/08/2024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</si>
  <si>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</si>
  <si>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</si>
  <si>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</si>
  <si>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</si>
  <si>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</si>
  <si>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</si>
  <si>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שקלית 0.5% 04/25</t>
  </si>
  <si>
    <t>IL0011626681</t>
  </si>
  <si>
    <t>30/04/2025</t>
  </si>
  <si>
    <t>969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</si>
  <si>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</si>
  <si>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</si>
  <si>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</si>
  <si>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</si>
  <si>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</si>
  <si>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</si>
  <si>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</si>
  <si>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</si>
  <si>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</si>
  <si>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</si>
  <si>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</si>
  <si>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</si>
  <si>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</si>
  <si>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</si>
  <si>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</si>
  <si>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</si>
  <si>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</si>
  <si>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</si>
  <si>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</si>
  <si>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</si>
  <si>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</si>
  <si>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זכאים מס עמיתים</t>
  </si>
  <si>
    <t>28200000</t>
  </si>
  <si>
    <t>חייבים וזכאים מס</t>
  </si>
  <si>
    <t>חייבים</t>
  </si>
  <si>
    <t>27960000</t>
  </si>
  <si>
    <t>אפסק אגח א חש 12/11</t>
  </si>
  <si>
    <t>11253761</t>
  </si>
  <si>
    <t xml:space="preserve">חייבים בגין תקבולים </t>
  </si>
  <si>
    <t>28/06/2018</t>
  </si>
  <si>
    <t>22/01/2020</t>
  </si>
  <si>
    <t>זכאים נדלן</t>
  </si>
  <si>
    <t>299918782</t>
  </si>
  <si>
    <t>21/06/2020</t>
  </si>
  <si>
    <t>חייבים נדלן</t>
  </si>
  <si>
    <t>299918781</t>
  </si>
  <si>
    <t>30/07/2019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</si>
  <si>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</si>
  <si>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</si>
  <si>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</si>
  <si>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</si>
  <si>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</si>
  <si>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</si>
  <si>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</si>
  <si>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</si>
  <si>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</si>
  <si>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</si>
  <si>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</si>
  <si>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</si>
  <si>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</si>
  <si>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</si>
  <si>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</si>
  <si>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</si>
  <si>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</si>
  <si>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</si>
  <si>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</si>
  <si>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</si>
  <si>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נדל"ן מניב</t>
  </si>
  <si>
    <t>אחר</t>
  </si>
  <si>
    <t>17/06/2024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</si>
  <si>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</si>
  <si>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</si>
  <si>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</si>
  <si>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</si>
  <si>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</si>
  <si>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</si>
  <si>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גמול פועלים סהר</t>
  </si>
  <si>
    <t>33-414</t>
  </si>
  <si>
    <t>סימול בנק</t>
  </si>
  <si>
    <t>צמוד למט"ח</t>
  </si>
  <si>
    <t>04/03/2025</t>
  </si>
  <si>
    <t>AAA</t>
  </si>
  <si>
    <t>S&amp;P מעלות</t>
  </si>
  <si>
    <t>19/07/2024</t>
  </si>
  <si>
    <t>צמוד למדד המחירים לצרכן</t>
  </si>
  <si>
    <t>02/11/2034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</si>
  <si>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</si>
  <si>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</si>
  <si>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</si>
  <si>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</si>
  <si>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</si>
  <si>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</si>
  <si>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</si>
  <si>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</si>
  <si>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</si>
  <si>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</si>
  <si>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</si>
  <si>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</si>
  <si>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</si>
  <si>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</si>
  <si>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</si>
  <si>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</si>
  <si>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</si>
  <si>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</si>
  <si>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</si>
  <si>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</si>
  <si>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</si>
  <si>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</si>
  <si>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</si>
  <si>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</si>
  <si>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</si>
  <si>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</si>
  <si>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</si>
  <si>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</si>
  <si>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</si>
  <si>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</si>
  <si>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</si>
  <si>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</si>
  <si>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</si>
  <si>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</si>
  <si>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</si>
  <si>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</si>
  <si>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</si>
  <si>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</si>
  <si>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</si>
  <si>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</si>
  <si>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</si>
  <si>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</si>
  <si>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</si>
  <si>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</si>
  <si>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</si>
  <si>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</si>
  <si>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</si>
  <si>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</si>
  <si>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</si>
  <si>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</si>
  <si>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</si>
  <si>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</si>
  <si>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</si>
  <si>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</si>
  <si>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</si>
  <si>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</si>
  <si>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</si>
  <si>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</si>
  <si>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</si>
  <si>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</si>
  <si>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</si>
  <si>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</si>
  <si>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</si>
  <si>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</si>
  <si>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</si>
  <si>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</si>
  <si>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</si>
  <si>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</si>
  <si>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</si>
  <si>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</si>
  <si>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</si>
  <si>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</si>
  <si>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</si>
  <si>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</si>
  <si>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</si>
  <si>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</si>
  <si>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</si>
  <si>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</si>
  <si>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</si>
  <si>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</si>
  <si>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</si>
  <si>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</si>
  <si>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</si>
  <si>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</si>
  <si>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</si>
  <si>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</si>
  <si>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</si>
  <si>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</si>
  <si>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</si>
  <si>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</si>
  <si>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</si>
  <si>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</si>
  <si>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</si>
  <si>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</si>
  <si>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</si>
  <si>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</si>
  <si>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</si>
  <si>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</si>
  <si>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</si>
  <si>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</si>
  <si>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</si>
  <si>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</si>
  <si>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</si>
  <si>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</si>
  <si>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</si>
  <si>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</si>
  <si>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</si>
  <si>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</si>
  <si>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</si>
  <si>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</si>
  <si>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</si>
  <si>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</si>
  <si>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</si>
  <si>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</si>
  <si>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</si>
  <si>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</si>
  <si>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</si>
  <si>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</si>
  <si>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</si>
  <si>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</si>
  <si>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</si>
  <si>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</si>
  <si>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</si>
  <si>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</si>
  <si>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</si>
  <si>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</si>
  <si>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</si>
  <si>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</si>
  <si>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</si>
  <si>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</si>
  <si>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</si>
  <si>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</si>
  <si>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</si>
  <si>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</si>
  <si>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</si>
  <si>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</si>
  <si>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</si>
  <si>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</si>
  <si>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</si>
  <si>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</si>
  <si>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</si>
  <si>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</si>
  <si>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</si>
  <si>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</si>
  <si>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</si>
  <si>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</si>
  <si>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</si>
  <si>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</si>
  <si>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</si>
  <si>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</si>
  <si>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</si>
  <si>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</si>
  <si>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</si>
  <si>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</si>
  <si>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</si>
  <si>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</si>
  <si>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</si>
  <si>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</si>
  <si>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</si>
  <si>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</si>
  <si>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</si>
  <si>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</si>
  <si>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</si>
  <si>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</si>
  <si>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</si>
  <si>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</si>
  <si>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</si>
  <si>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</si>
  <si>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</si>
  <si>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</si>
  <si>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</si>
  <si>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</si>
  <si>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</si>
  <si>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</si>
  <si>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</si>
  <si>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</si>
  <si>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</si>
  <si>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</si>
  <si>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</si>
  <si>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</si>
  <si>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</si>
  <si>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</si>
  <si>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</si>
  <si>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</si>
  <si>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</si>
  <si>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</si>
  <si>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</si>
  <si>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</si>
  <si>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</si>
  <si>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</si>
  <si>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</si>
  <si>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</si>
  <si>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</si>
  <si>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</si>
  <si>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</si>
  <si>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</si>
  <si>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</si>
  <si>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</si>
  <si>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</si>
  <si>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</si>
  <si>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</si>
  <si>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</si>
  <si>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</si>
  <si>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</si>
  <si>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</si>
  <si>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</si>
  <si>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</si>
  <si>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</si>
  <si>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</si>
  <si>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</si>
  <si>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</si>
  <si>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</si>
  <si>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</si>
  <si>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</si>
  <si>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</si>
  <si>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</si>
  <si>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</si>
  <si>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</si>
  <si>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</si>
  <si>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</si>
  <si>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</si>
  <si>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</si>
  <si>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</si>
  <si>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</si>
  <si>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</si>
  <si>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</si>
  <si>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</si>
  <si>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</si>
  <si>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</si>
  <si>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</si>
  <si>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</si>
  <si>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</si>
  <si>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</si>
  <si>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</si>
  <si>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</si>
  <si>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</si>
  <si>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</si>
  <si>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</si>
  <si>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</si>
  <si>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</si>
  <si>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</si>
  <si>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</si>
  <si>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</si>
  <si>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</si>
  <si>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</si>
  <si>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</si>
  <si>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</si>
  <si>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</si>
  <si>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</si>
  <si>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</si>
  <si>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</si>
  <si>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</si>
  <si>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</si>
  <si>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</si>
  <si>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</si>
  <si>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</si>
  <si>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</si>
  <si>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</si>
  <si>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</si>
  <si>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</si>
  <si>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</si>
  <si>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</si>
  <si>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</si>
  <si>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</si>
  <si>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</si>
  <si>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</si>
  <si>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</si>
  <si>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</si>
  <si>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</si>
  <si>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</si>
  <si>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</si>
  <si>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</si>
  <si>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</si>
  <si>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</si>
  <si>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</si>
  <si>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</si>
  <si>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</si>
  <si>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</si>
  <si>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</si>
  <si>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</si>
  <si>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</si>
  <si>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</si>
  <si>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</si>
  <si>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</si>
  <si>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</si>
  <si>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</si>
  <si>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</si>
  <si>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</si>
  <si>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</si>
  <si>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</si>
  <si>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</si>
  <si>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</si>
  <si>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</si>
  <si>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</si>
  <si>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</si>
  <si>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</si>
  <si>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</si>
  <si>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</si>
  <si>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</si>
  <si>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</si>
  <si>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</si>
  <si>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</si>
  <si>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</si>
  <si>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</si>
  <si>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</si>
  <si>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</si>
  <si>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</si>
  <si>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</si>
  <si>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</si>
  <si>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</si>
  <si>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</si>
  <si>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</si>
  <si>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</si>
  <si>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</si>
  <si>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</si>
  <si>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</si>
  <si>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</si>
  <si>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</si>
  <si>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</si>
  <si>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</si>
  <si>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</si>
  <si>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</si>
  <si>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</si>
  <si>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</si>
  <si>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</si>
  <si>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</si>
  <si>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</si>
  <si>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</si>
  <si>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</si>
  <si>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</si>
  <si>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</si>
  <si>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</si>
  <si>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</si>
  <si>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</si>
  <si>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</si>
  <si>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</si>
  <si>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</si>
  <si>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</si>
  <si>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</si>
  <si>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</si>
  <si>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</si>
  <si>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</si>
  <si>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</si>
  <si>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</si>
  <si>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</si>
  <si>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</si>
  <si>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</si>
  <si>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</si>
  <si>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</si>
  <si>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</si>
  <si>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</si>
  <si>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</si>
  <si>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</si>
  <si>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</si>
  <si>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</si>
  <si>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</si>
  <si>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</si>
  <si>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</si>
  <si>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</si>
  <si>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</si>
  <si>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</si>
  <si>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</si>
  <si>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</si>
  <si>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</si>
  <si>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</si>
  <si>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</si>
  <si>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</si>
  <si>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</si>
  <si>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</si>
  <si>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</si>
  <si>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</si>
  <si>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</si>
  <si>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</si>
  <si>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</si>
  <si>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</si>
  <si>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</si>
  <si>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</si>
  <si>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</si>
  <si>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</si>
  <si>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</si>
  <si>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</si>
  <si>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</si>
  <si>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</si>
  <si>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</si>
  <si>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</si>
  <si>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</si>
  <si>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</si>
  <si>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</si>
  <si>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</si>
  <si>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</si>
  <si>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</si>
  <si>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</si>
  <si>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</si>
  <si>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</si>
  <si>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</si>
  <si>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</si>
  <si>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</si>
  <si>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</si>
  <si>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</si>
  <si>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</si>
  <si>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</si>
  <si>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</si>
  <si>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</si>
  <si>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</si>
  <si>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</si>
  <si>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</si>
  <si>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</si>
  <si>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</si>
  <si>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</si>
  <si>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</si>
  <si>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</si>
  <si>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</si>
  <si>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</si>
  <si>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</si>
  <si>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</si>
  <si>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</si>
  <si>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</si>
  <si>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</si>
  <si>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</si>
  <si>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</si>
  <si>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</si>
  <si>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</si>
  <si>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</si>
  <si>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</si>
  <si>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</si>
  <si>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</si>
  <si>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</si>
  <si>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</si>
  <si>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</si>
  <si>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</si>
  <si>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</si>
  <si>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</si>
  <si>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</si>
  <si>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</si>
  <si>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</si>
  <si>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</si>
  <si>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</si>
  <si>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</si>
  <si>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</si>
  <si>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</si>
  <si>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</si>
  <si>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</si>
  <si>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</si>
  <si>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</si>
  <si>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</si>
  <si>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</si>
  <si>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</si>
  <si>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</si>
  <si>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</si>
  <si>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</si>
  <si>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</si>
  <si>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</si>
  <si>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</si>
  <si>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</si>
  <si>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</si>
  <si>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</si>
  <si>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</si>
  <si>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</si>
  <si>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</si>
  <si>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</si>
  <si>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</si>
  <si>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</si>
  <si>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</si>
  <si>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</si>
  <si>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</si>
  <si>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</si>
  <si>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</si>
  <si>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</si>
  <si>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</si>
  <si>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</si>
  <si>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</si>
  <si>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</si>
  <si>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</si>
  <si>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</si>
  <si>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</si>
  <si>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</si>
  <si>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</si>
  <si>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</si>
  <si>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</si>
  <si>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</si>
  <si>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</si>
  <si>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</si>
  <si>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</si>
  <si>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</si>
  <si>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</si>
  <si>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</si>
  <si>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</si>
  <si>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</si>
  <si>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</si>
  <si>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</si>
  <si>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</si>
  <si>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</si>
  <si>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</si>
  <si>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</si>
  <si>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</si>
  <si>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</si>
  <si>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</si>
  <si>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</si>
  <si>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</si>
  <si>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</si>
  <si>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</si>
  <si>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</si>
  <si>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</si>
  <si>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</si>
  <si>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</si>
  <si>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</si>
  <si>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</si>
  <si>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</si>
  <si>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</si>
  <si>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</si>
  <si>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</si>
  <si>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</si>
  <si>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</si>
  <si>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</si>
  <si>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</si>
  <si>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</si>
  <si>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</si>
  <si>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</si>
  <si>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</si>
  <si>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</si>
  <si>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</si>
  <si>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</si>
  <si>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</si>
  <si>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</si>
  <si>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</si>
  <si>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</si>
  <si>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</si>
  <si>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</si>
  <si>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</si>
  <si>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</si>
  <si>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</si>
  <si>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</si>
  <si>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</si>
  <si>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</si>
  <si>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</si>
  <si>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</si>
  <si>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</si>
  <si>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</si>
  <si>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</si>
  <si>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</si>
  <si>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</si>
  <si>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</si>
  <si>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</si>
  <si>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</si>
  <si>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</si>
  <si>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</si>
  <si>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</si>
  <si>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</si>
  <si>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</si>
  <si>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</si>
  <si>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</si>
  <si>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</si>
  <si>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</si>
  <si>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</si>
  <si>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</si>
  <si>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</si>
  <si>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</si>
  <si>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</si>
  <si>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</si>
  <si>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</si>
  <si>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</si>
  <si>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</si>
  <si>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</si>
  <si>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</si>
  <si>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</si>
  <si>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</si>
  <si>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</si>
  <si>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</si>
  <si>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</si>
  <si>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</si>
  <si>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</si>
  <si>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</si>
  <si>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</si>
  <si>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</si>
  <si>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</si>
  <si>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</si>
  <si>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</si>
  <si>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</si>
  <si>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</si>
  <si>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</si>
  <si>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</si>
  <si>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</si>
  <si>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</si>
  <si>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</si>
  <si>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</si>
  <si>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</si>
  <si>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</si>
  <si>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</si>
  <si>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</si>
  <si>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</si>
  <si>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</si>
  <si>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</si>
  <si>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</si>
  <si>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</si>
  <si>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</si>
  <si>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</si>
  <si>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</si>
  <si>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</si>
  <si>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</si>
  <si>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</si>
  <si>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</si>
  <si>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</si>
  <si>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</si>
  <si>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</si>
  <si>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</si>
  <si>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</si>
  <si>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</si>
  <si>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</si>
  <si>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</si>
  <si>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</si>
  <si>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</si>
  <si>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</si>
  <si>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</si>
  <si>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</si>
  <si>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</si>
  <si>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</si>
  <si>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</si>
  <si>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</si>
  <si>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</si>
  <si>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</si>
  <si>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</si>
  <si>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</si>
  <si>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</si>
  <si>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</si>
  <si>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</si>
  <si>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</si>
  <si>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</si>
  <si>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</si>
  <si>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</si>
  <si>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</si>
  <si>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</si>
  <si>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</si>
  <si>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</si>
  <si>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</si>
  <si>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</si>
  <si>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</si>
  <si>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</si>
  <si>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</si>
  <si>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</si>
  <si>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</si>
  <si>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</si>
  <si>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</si>
  <si>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</si>
  <si>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</si>
  <si>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</si>
  <si>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</si>
  <si>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</si>
  <si>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</si>
  <si>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</si>
  <si>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</si>
  <si>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</si>
  <si>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</si>
  <si>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</si>
  <si>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</si>
  <si>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</si>
  <si>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</si>
  <si>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</si>
  <si>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</si>
  <si>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</si>
  <si>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</si>
  <si>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</si>
  <si>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</si>
  <si>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</si>
  <si>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</si>
  <si>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</si>
  <si>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</si>
  <si>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</si>
  <si>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</si>
  <si>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</si>
  <si>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</si>
  <si>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</si>
  <si>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</si>
  <si>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</si>
  <si>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</si>
  <si>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</si>
  <si>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</si>
  <si>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</si>
  <si>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</si>
  <si>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</si>
  <si>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</si>
  <si>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</si>
  <si>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</si>
  <si>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</si>
  <si>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</si>
  <si>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</si>
  <si>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</si>
  <si>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</si>
  <si>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</si>
  <si>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</si>
  <si>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</si>
  <si>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</si>
  <si>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</si>
  <si>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</si>
  <si>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</si>
  <si>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</si>
  <si>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</si>
  <si>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</si>
  <si>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</si>
  <si>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</si>
  <si>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</si>
  <si>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</si>
  <si>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</si>
  <si>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</si>
  <si>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</si>
  <si>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</si>
  <si>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</si>
  <si>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</si>
  <si>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</si>
  <si>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</si>
  <si>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</si>
  <si>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</si>
  <si>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</si>
  <si>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</si>
  <si>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</si>
  <si>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</si>
  <si>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</si>
  <si>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</si>
  <si>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</si>
  <si>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</si>
  <si>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</si>
  <si>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</si>
  <si>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</si>
  <si>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</si>
  <si>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</si>
  <si>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</si>
  <si>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</si>
  <si>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</si>
  <si>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</si>
  <si>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</si>
  <si>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</si>
  <si>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</si>
  <si>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</si>
  <si>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</si>
  <si>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</si>
  <si>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</si>
  <si>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</si>
  <si>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</si>
  <si>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</si>
  <si>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</si>
  <si>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</si>
  <si>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</si>
  <si>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</si>
  <si>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</si>
  <si>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</si>
  <si>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</si>
  <si>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</si>
  <si>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</si>
  <si>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</si>
  <si>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</si>
  <si>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</si>
  <si>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</si>
  <si>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</si>
  <si>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</si>
  <si>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</si>
  <si>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</si>
  <si>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</si>
  <si>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</si>
  <si>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</si>
  <si>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</si>
  <si>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</si>
  <si>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</si>
  <si>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</si>
  <si>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</si>
  <si>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</si>
  <si>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</si>
  <si>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</si>
  <si>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</si>
  <si>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</si>
  <si>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</si>
  <si>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</si>
  <si>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</si>
  <si>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</si>
  <si>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</si>
  <si>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</si>
  <si>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</si>
  <si>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</si>
  <si>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</si>
  <si>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</si>
  <si>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</si>
  <si>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</si>
  <si>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</si>
  <si>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</si>
  <si>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</si>
  <si>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</si>
  <si>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</si>
  <si>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</si>
  <si>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</si>
  <si>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</si>
  <si>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</si>
  <si>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</si>
  <si>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</si>
  <si>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</si>
  <si>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</si>
  <si>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</si>
  <si>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</si>
  <si>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</si>
  <si>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</si>
  <si>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</si>
  <si>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</si>
  <si>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</si>
  <si>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</si>
  <si>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</si>
  <si>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</si>
  <si>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</si>
  <si>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</si>
  <si>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</si>
  <si>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</si>
  <si>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</si>
  <si>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</si>
  <si>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</si>
  <si>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</si>
  <si>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</si>
  <si>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</si>
  <si>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</si>
  <si>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</si>
  <si>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</si>
  <si>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</si>
  <si>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</si>
  <si>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</si>
  <si>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</si>
  <si>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</si>
  <si>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</si>
  <si>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</si>
  <si>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</si>
  <si>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</si>
  <si>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</si>
  <si>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</si>
  <si>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</si>
  <si>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</si>
  <si>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</si>
  <si>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</si>
  <si>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</si>
  <si>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</si>
  <si>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</si>
  <si>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</si>
  <si>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</si>
  <si>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</si>
  <si>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</si>
  <si>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</si>
  <si>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</si>
  <si>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</si>
  <si>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</si>
  <si>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</si>
  <si>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</si>
  <si>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</si>
  <si>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</si>
  <si>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</si>
  <si>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</si>
  <si>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</si>
  <si>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</si>
  <si>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</si>
  <si>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</si>
  <si>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</si>
  <si>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</si>
  <si>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</si>
  <si>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</si>
  <si>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</si>
  <si>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</si>
  <si>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</si>
  <si>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</si>
  <si>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</si>
  <si>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</si>
  <si>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</si>
  <si>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</si>
  <si>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</si>
  <si>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</si>
  <si>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</si>
  <si>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</si>
  <si>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</si>
  <si>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</si>
  <si>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</si>
  <si>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</si>
  <si>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</si>
  <si>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</si>
  <si>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</si>
  <si>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</si>
  <si>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</si>
  <si>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</si>
  <si>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</si>
  <si>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</si>
  <si>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</si>
  <si>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</si>
  <si>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</si>
  <si>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</si>
  <si>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</si>
  <si>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</si>
  <si>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</si>
  <si>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</si>
  <si>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</si>
  <si>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</si>
  <si>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</si>
  <si>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</si>
  <si>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</si>
  <si>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</si>
  <si>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</si>
  <si>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</si>
  <si>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</si>
  <si>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</si>
  <si>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</si>
  <si>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</si>
  <si>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</si>
  <si>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</si>
  <si>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</si>
  <si>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</si>
  <si>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</si>
  <si>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</si>
  <si>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</si>
  <si>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</si>
  <si>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</si>
  <si>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</si>
  <si>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</si>
  <si>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</si>
  <si>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</si>
  <si>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</si>
  <si>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</si>
  <si>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</si>
  <si>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</si>
  <si>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</si>
  <si>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</si>
  <si>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</si>
  <si>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</si>
  <si>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</si>
  <si>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</si>
  <si>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</si>
  <si>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</si>
  <si>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</si>
  <si>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</si>
  <si>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</si>
  <si>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</si>
  <si>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</si>
  <si>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</si>
  <si>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</si>
  <si>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</si>
  <si>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</si>
  <si>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</si>
  <si>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</si>
  <si>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</si>
  <si>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</si>
  <si>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</si>
  <si>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</si>
  <si>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</si>
  <si>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</si>
  <si>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</si>
  <si>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</si>
  <si>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</si>
  <si>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</si>
  <si>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</si>
  <si>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</si>
  <si>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</si>
  <si>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</si>
  <si>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</si>
  <si>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</si>
  <si>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</si>
  <si>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</si>
  <si>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</si>
  <si>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</si>
  <si>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</si>
  <si>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</si>
  <si>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</si>
  <si>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</si>
  <si>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</si>
  <si>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</si>
  <si>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</si>
  <si>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</si>
  <si>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</si>
  <si>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</si>
  <si>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</si>
  <si>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</si>
  <si>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</si>
  <si>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</si>
  <si>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</si>
  <si>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</si>
  <si>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</si>
  <si>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</si>
  <si>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</si>
  <si>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</si>
  <si>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</si>
  <si>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</si>
  <si>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</si>
  <si>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</si>
  <si>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</si>
  <si>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</si>
  <si>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</si>
  <si>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</si>
  <si>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</si>
  <si>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</si>
  <si>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</si>
  <si>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</si>
  <si>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</si>
  <si>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</si>
  <si>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</si>
  <si>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</si>
  <si>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</si>
  <si>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</si>
  <si>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</si>
  <si>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</si>
  <si>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</si>
  <si>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CAD</t>
  </si>
  <si>
    <t>EUR</t>
  </si>
  <si>
    <t>JPY</t>
  </si>
  <si>
    <t>GBP</t>
  </si>
  <si>
    <t>בנק לאומי לישראל בע"מ</t>
  </si>
  <si>
    <t>10-800</t>
  </si>
  <si>
    <t>AUD</t>
  </si>
  <si>
    <t>NOK</t>
  </si>
  <si>
    <t>HKD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</si>
  <si>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</si>
  <si>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</si>
  <si>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</si>
  <si>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</si>
  <si>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</si>
  <si>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</si>
  <si>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</si>
  <si>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</si>
  <si>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</si>
  <si>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</si>
  <si>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</si>
  <si>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</si>
  <si>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</si>
  <si>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</si>
  <si>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</si>
  <si>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</si>
  <si>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</si>
  <si>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</si>
  <si>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</si>
  <si>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</si>
  <si>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</si>
  <si>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</si>
  <si>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</si>
  <si>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</si>
  <si>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</si>
  <si>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</si>
  <si>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</si>
  <si>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</si>
  <si>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</si>
  <si>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</si>
  <si>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</si>
  <si>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</si>
  <si>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</si>
  <si>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</si>
  <si>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</si>
  <si>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</si>
  <si>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</si>
  <si>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</si>
  <si>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</si>
  <si>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</si>
  <si>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</si>
  <si>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</si>
  <si>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</si>
  <si>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</si>
  <si>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</si>
  <si>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</si>
  <si>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</si>
  <si>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</si>
  <si>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</si>
  <si>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</si>
  <si>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</si>
  <si>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</si>
  <si>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</si>
  <si>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</si>
  <si>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</si>
  <si>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</si>
  <si>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</si>
  <si>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</si>
  <si>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</si>
  <si>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</si>
  <si>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</si>
  <si>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</si>
  <si>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</si>
  <si>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</si>
  <si>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</si>
  <si>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</si>
  <si>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</si>
  <si>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</si>
  <si>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</si>
  <si>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</si>
  <si>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</si>
  <si>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</si>
  <si>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</si>
  <si>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</si>
  <si>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</si>
  <si>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</si>
  <si>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</si>
  <si>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</si>
  <si>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</si>
  <si>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</si>
  <si>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</si>
  <si>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</si>
  <si>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</si>
  <si>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</si>
  <si>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</si>
  <si>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</si>
  <si>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</si>
  <si>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</si>
  <si>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</si>
  <si>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</si>
  <si>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</si>
  <si>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</si>
  <si>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</si>
  <si>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</si>
  <si>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</si>
  <si>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</si>
  <si>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</si>
  <si>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</si>
  <si>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</si>
  <si>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</si>
  <si>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</si>
  <si>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</si>
  <si>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</si>
  <si>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</si>
  <si>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</si>
  <si>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</si>
  <si>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</si>
  <si>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</si>
  <si>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</si>
  <si>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</si>
  <si>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</si>
  <si>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</si>
  <si>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</si>
  <si>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</si>
  <si>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9931222</t>
  </si>
  <si>
    <t>9931222.00</t>
  </si>
  <si>
    <t>USD ILS</t>
  </si>
  <si>
    <t>5/06/2024</t>
  </si>
  <si>
    <t>4/09/2024</t>
  </si>
  <si>
    <t>371.97</t>
  </si>
  <si>
    <t>POALILIT</t>
  </si>
  <si>
    <t>9931271</t>
  </si>
  <si>
    <t>9931271.00</t>
  </si>
  <si>
    <t>6/06/2024</t>
  </si>
  <si>
    <t>9931545</t>
  </si>
  <si>
    <t>9931545.00</t>
  </si>
  <si>
    <t>9931223</t>
  </si>
  <si>
    <t>9931223.00</t>
  </si>
  <si>
    <t>EUR ILS</t>
  </si>
  <si>
    <t>399.11</t>
  </si>
  <si>
    <t>7228</t>
  </si>
  <si>
    <t>7229</t>
  </si>
  <si>
    <t>12905</t>
  </si>
  <si>
    <t>9931368</t>
  </si>
  <si>
    <t>9931368.00</t>
  </si>
  <si>
    <t>10/06/2024</t>
  </si>
  <si>
    <t>13680</t>
  </si>
  <si>
    <t>14769</t>
  </si>
  <si>
    <t>514984558</t>
  </si>
  <si>
    <t>אבנון 2021 משיכה 1</t>
  </si>
  <si>
    <t>50007509</t>
  </si>
  <si>
    <t xml:space="preserve">תשתיות (שלב הבניה)  - </t>
  </si>
  <si>
    <t>14/04/2022</t>
  </si>
  <si>
    <t>Baa1</t>
  </si>
  <si>
    <t>31/12/2027</t>
  </si>
  <si>
    <t>הון עצמי ושימושים שוטפים</t>
  </si>
  <si>
    <t>מרווח הוגן</t>
  </si>
  <si>
    <t>30/06/2024</t>
  </si>
  <si>
    <t>513846667</t>
  </si>
  <si>
    <t>ח.פ</t>
  </si>
  <si>
    <t>אשדוד הלוואה 3.55% 19/34</t>
  </si>
  <si>
    <t>50003508</t>
  </si>
  <si>
    <t>06/03/2019</t>
  </si>
  <si>
    <t>A1</t>
  </si>
  <si>
    <t>30/09/2035</t>
  </si>
  <si>
    <t xml:space="preserve">מימון מחדש. </t>
  </si>
  <si>
    <t>513326439</t>
  </si>
  <si>
    <t>דוראד 2030/2014 5.5%</t>
  </si>
  <si>
    <t>28472</t>
  </si>
  <si>
    <t>22/05/2019</t>
  </si>
  <si>
    <t>AA-</t>
  </si>
  <si>
    <t>other</t>
  </si>
  <si>
    <t>20/12/2030</t>
  </si>
  <si>
    <t>דוראד אנרגיה 18 2014/2030 5.5%</t>
  </si>
  <si>
    <t>29207</t>
  </si>
  <si>
    <t>Aa3</t>
  </si>
  <si>
    <t>קבועה</t>
  </si>
  <si>
    <t>דוראד אנרגיה 19 14/2030 5.5% (מיטב)</t>
  </si>
  <si>
    <t>29215</t>
  </si>
  <si>
    <t>דוראד אנרגיה משיכה 11 12/31 %5.5301</t>
  </si>
  <si>
    <t>97386</t>
  </si>
  <si>
    <t>30/01/2012</t>
  </si>
  <si>
    <t>18/05/2031</t>
  </si>
  <si>
    <t>25/12/2023 00:00:00</t>
  </si>
  <si>
    <t xml:space="preserve">חוב בכיר שנמכר ע"י בנקים שונים </t>
  </si>
  <si>
    <t>דוראד אנרגיה משיכה 12 13/12 %5.5301</t>
  </si>
  <si>
    <t>97378</t>
  </si>
  <si>
    <t>13/02/2012</t>
  </si>
  <si>
    <t>דוראד אנרגיה משיכה 17 12/31 %5.5301</t>
  </si>
  <si>
    <t>97394</t>
  </si>
  <si>
    <t>28/05/2012</t>
  </si>
  <si>
    <t>דוראד אנרגיה משיכה 27 14/31(ד"ש</t>
  </si>
  <si>
    <t>973031</t>
  </si>
  <si>
    <t>25/04/2013</t>
  </si>
  <si>
    <t>דוראד אנרגיה משיכה 5 2012/2202 %5.6</t>
  </si>
  <si>
    <t>97261</t>
  </si>
  <si>
    <t>17/11/2011</t>
  </si>
  <si>
    <t>דוראד אנרגיה משיכה 6 5.681% 17/31</t>
  </si>
  <si>
    <t>29199</t>
  </si>
  <si>
    <t>26/05/2031</t>
  </si>
  <si>
    <t>דוראד אנרגיה משיכה 9 2014/31(ד"ש</t>
  </si>
  <si>
    <t>97287</t>
  </si>
  <si>
    <t>09/01/2012</t>
  </si>
  <si>
    <t>דוראד הלוו 7 14/2031 %5.5 (טכנאים</t>
  </si>
  <si>
    <t>97345</t>
  </si>
  <si>
    <t>14/12/2011</t>
  </si>
  <si>
    <t>דוראד הלוואה 28 14/2030 %5.5</t>
  </si>
  <si>
    <t>28415</t>
  </si>
  <si>
    <t>28/05/2013</t>
  </si>
  <si>
    <t>דוראד הלוואה 5.5% 14/2030</t>
  </si>
  <si>
    <t>24836</t>
  </si>
  <si>
    <t>דוראד הלוואה משיכה 14 %5.5 1302/14</t>
  </si>
  <si>
    <t>97329</t>
  </si>
  <si>
    <t>19/04/2012</t>
  </si>
  <si>
    <t>דוראד הלוואה משיכה 23 14/2030 %5.5</t>
  </si>
  <si>
    <t>24869</t>
  </si>
  <si>
    <t>26/11/2012</t>
  </si>
  <si>
    <t>דוראד מ 15</t>
  </si>
  <si>
    <t>78022</t>
  </si>
  <si>
    <t>דוראד מ 2</t>
  </si>
  <si>
    <t>78006</t>
  </si>
  <si>
    <t>דוראד משיכה 2 11/31 %5.6(מיטב ד</t>
  </si>
  <si>
    <t>97279</t>
  </si>
  <si>
    <t>24/11/2011</t>
  </si>
  <si>
    <t>דוראד משיכה 20</t>
  </si>
  <si>
    <t>28704</t>
  </si>
  <si>
    <t>דוראד משיכה 22 2030/2014 5.5%</t>
  </si>
  <si>
    <t>28548</t>
  </si>
  <si>
    <t>דוראד משיכה 24 2030/2014 5.5%</t>
  </si>
  <si>
    <t>28589</t>
  </si>
  <si>
    <t>דוראד משיכה 3 %5.662 2011/2031(מיטב</t>
  </si>
  <si>
    <t>97360</t>
  </si>
  <si>
    <t>25/10/2011</t>
  </si>
  <si>
    <t>דוראד משיכה 3 5.662% 2011/2030</t>
  </si>
  <si>
    <t>33266</t>
  </si>
  <si>
    <t>דוראד משיכה 33 %5.5 2015/2031</t>
  </si>
  <si>
    <t>28118</t>
  </si>
  <si>
    <t>14/07/2016</t>
  </si>
  <si>
    <t>דוראד משיכה 4 14/2030 %5.53</t>
  </si>
  <si>
    <t>24752</t>
  </si>
  <si>
    <t>25/01/2012</t>
  </si>
  <si>
    <t>הלוואה 12 דוראד אנרגיה 26.12.2012</t>
  </si>
  <si>
    <t>34819</t>
  </si>
  <si>
    <t>26/05/2019</t>
  </si>
  <si>
    <t>הלוואה 13 דוראד אנרגיה 24.01.2013</t>
  </si>
  <si>
    <t>34801</t>
  </si>
  <si>
    <t>24/01/2013</t>
  </si>
  <si>
    <t>הלוואה 14 דוראד אנרגיה 25.02.2013</t>
  </si>
  <si>
    <t>34843</t>
  </si>
  <si>
    <t>25/02/2013</t>
  </si>
  <si>
    <t>הלוואה 17 דוראד אנרגיה 25.06.2013</t>
  </si>
  <si>
    <t>28423</t>
  </si>
  <si>
    <t>הלוואה 18 דוראד אנרגיה 25.07.2013</t>
  </si>
  <si>
    <t>28456</t>
  </si>
  <si>
    <t>25/07/2013</t>
  </si>
  <si>
    <t>הלוואה 21 דוראד אנרגיה 24.10.2013</t>
  </si>
  <si>
    <t>28522</t>
  </si>
  <si>
    <t>24/10/2013</t>
  </si>
  <si>
    <t>הלוואה 23 דוראד אנרגיה 22.12.2013</t>
  </si>
  <si>
    <t>28563</t>
  </si>
  <si>
    <t>22/12/2013</t>
  </si>
  <si>
    <t>הלוואה 25 דוראד אנרגיה 26.02.2014</t>
  </si>
  <si>
    <t>28605</t>
  </si>
  <si>
    <t>26/02/2014</t>
  </si>
  <si>
    <t>הלוואה 26 דוראד אנרגיה 27.03.2014</t>
  </si>
  <si>
    <t>28639</t>
  </si>
  <si>
    <t>27/03/2014</t>
  </si>
  <si>
    <t>18/11/2030</t>
  </si>
  <si>
    <t>הלוואה 28 דוראד אנרגיה 28.05.2014</t>
  </si>
  <si>
    <t>28654</t>
  </si>
  <si>
    <t>28/05/2014</t>
  </si>
  <si>
    <t>הלוואה 29 דוראד אנרגיה 25.06.2014</t>
  </si>
  <si>
    <t>28670</t>
  </si>
  <si>
    <t>25/06/2014</t>
  </si>
  <si>
    <t>הלוואה 30 דוראד אנרגיה 16.07.2014</t>
  </si>
  <si>
    <t>28902</t>
  </si>
  <si>
    <t>16/07/2014</t>
  </si>
  <si>
    <t>הלוואה 31 דוראד אנרגיה 29.09.2014</t>
  </si>
  <si>
    <t>28928</t>
  </si>
  <si>
    <t>הלוואה 32 דוראד אנרגיה 29.01.2015</t>
  </si>
  <si>
    <t>28944</t>
  </si>
  <si>
    <t>29/01/2015</t>
  </si>
  <si>
    <t>הלוואה 33 דוראד אנרגיה 19.02.2015</t>
  </si>
  <si>
    <t>28969</t>
  </si>
  <si>
    <t>19/02/2015</t>
  </si>
  <si>
    <t>הלוואה 5 דוראד אנרגיה 25.03.2012</t>
  </si>
  <si>
    <t>33233</t>
  </si>
  <si>
    <t>הלוואה 6 דוראד אנרגיה 24.05.2012</t>
  </si>
  <si>
    <t>24760</t>
  </si>
  <si>
    <t>24/05/2012</t>
  </si>
  <si>
    <t>הלוואה 8 דוראד אנרגיה 25.07.2012</t>
  </si>
  <si>
    <t>24810</t>
  </si>
  <si>
    <t>25/07/2012</t>
  </si>
  <si>
    <t>הלוואה 9 דוראד אנרגיה 27.09.2012</t>
  </si>
  <si>
    <t>34330</t>
  </si>
  <si>
    <t>514038306</t>
  </si>
  <si>
    <t>ויה מאריס מתקן התפלה 2015/2028</t>
  </si>
  <si>
    <t>44446</t>
  </si>
  <si>
    <t>31/08/2023</t>
  </si>
  <si>
    <t>30/06/2028</t>
  </si>
  <si>
    <t>רכישת חוב ארוך מבנק הפועלים, שנועד במקור להקמת המתקן.</t>
  </si>
  <si>
    <t>512764408</t>
  </si>
  <si>
    <t>מניף ירושליים 2022</t>
  </si>
  <si>
    <t>50007848</t>
  </si>
  <si>
    <t>520000522</t>
  </si>
  <si>
    <t>10/01/2023 00:00:00</t>
  </si>
  <si>
    <t>N/R</t>
  </si>
  <si>
    <t>28/08/2024</t>
  </si>
  <si>
    <t>30/12/2023 00:00:00</t>
  </si>
  <si>
    <t xml:space="preserve">ממיון רכישה של חיפה כיימיקליים </t>
  </si>
  <si>
    <t>28/12/2023 00:00:00</t>
  </si>
  <si>
    <t>516705795</t>
  </si>
  <si>
    <t>נמל חיפה</t>
  </si>
  <si>
    <t>50007798</t>
  </si>
  <si>
    <t>BBB-</t>
  </si>
  <si>
    <t>10/01/2024</t>
  </si>
  <si>
    <t>11/11/2023 00:00:00</t>
  </si>
  <si>
    <t>520025271</t>
  </si>
  <si>
    <t>סינרג'י אנרגיה מתחדשת משיכה 1</t>
  </si>
  <si>
    <t>50007038</t>
  </si>
  <si>
    <t>20/10/2021</t>
  </si>
  <si>
    <t>20/10/2032</t>
  </si>
  <si>
    <t>השקעה בפרויקטים של החברה ,הגדלת האחזקה של החברה במניות חברות בנות, שימושים שוטפים של החברה.</t>
  </si>
  <si>
    <t>516432044</t>
  </si>
  <si>
    <t>עוגן- חוב רגיל א</t>
  </si>
  <si>
    <t>50007319</t>
  </si>
  <si>
    <t>31/01/2022</t>
  </si>
  <si>
    <t>15/07/2025</t>
  </si>
  <si>
    <t>עוגן- חוב רגיל ב</t>
  </si>
  <si>
    <t>50007327</t>
  </si>
  <si>
    <t>15/01/2026</t>
  </si>
  <si>
    <t>514566009</t>
  </si>
  <si>
    <t>רמת הנגב הלוואה 3.55% 19/35</t>
  </si>
  <si>
    <t>50003409</t>
  </si>
  <si>
    <t>510960586</t>
  </si>
  <si>
    <t>הלוואות עמיתים 4- השתלמות</t>
  </si>
  <si>
    <t>893300109</t>
  </si>
  <si>
    <t>10/01/2019</t>
  </si>
  <si>
    <t>AA+</t>
  </si>
  <si>
    <t>10/11/2016</t>
  </si>
  <si>
    <t>הלוואות עמיתים 2-גמל</t>
  </si>
  <si>
    <t>893100109</t>
  </si>
  <si>
    <t>שווי הוגן (בש"ח)</t>
  </si>
  <si>
    <t>CIFC Senior Secured Corporate</t>
  </si>
  <si>
    <t>3912000TN89ESDWHS93</t>
  </si>
  <si>
    <t>Cifc Sen.sec.corp.loan isr Fd</t>
  </si>
  <si>
    <t>KYG2139S1277</t>
  </si>
  <si>
    <t>NYSE </t>
  </si>
  <si>
    <t>Comgest</t>
  </si>
  <si>
    <t>635400C9QFZKPI23YO22</t>
  </si>
  <si>
    <t>COMGEST GROWTH PLC - EURO</t>
  </si>
  <si>
    <t>IE0004766675</t>
  </si>
  <si>
    <t>ISE </t>
  </si>
  <si>
    <t>Investec</t>
  </si>
  <si>
    <t>2138009JJ8B595FIUW06</t>
  </si>
  <si>
    <t>IGS-EMERG MKT CORP DEBT-IUSD</t>
  </si>
  <si>
    <t>LU0611395327</t>
  </si>
  <si>
    <t>Invesco investment management limited</t>
  </si>
  <si>
    <t>549300FEA3DT84FOZ304</t>
  </si>
  <si>
    <t>IUSSENG LX Equity</t>
  </si>
  <si>
    <t>LU0564079282</t>
  </si>
  <si>
    <t>KBI Global Investors</t>
  </si>
  <si>
    <t>213800G9XQZIV76VNB36</t>
  </si>
  <si>
    <t>KBI FUND ICAV -KBI ENERGY SOL</t>
  </si>
  <si>
    <t>IE00BNGJJ156</t>
  </si>
  <si>
    <t>Kotak</t>
  </si>
  <si>
    <t>213800SJ3IH3EXMXSJ47</t>
  </si>
  <si>
    <t>KOTAK FDS-INDIA MIDCAP (S) USD A</t>
  </si>
  <si>
    <t>LU2126068639</t>
  </si>
  <si>
    <t>Lombard Odier Funds-Asia Value</t>
  </si>
  <si>
    <t>SB6NR8324Y8KG313SQ11</t>
  </si>
  <si>
    <t>LOMBARD ODIER-ASIA INV.GR.BD(I</t>
  </si>
  <si>
    <t>LU2083909536</t>
  </si>
  <si>
    <t>LUXEMBOURG LIFE</t>
  </si>
  <si>
    <t>89900</t>
  </si>
  <si>
    <t>lu24283023721</t>
  </si>
  <si>
    <t>2138005O9XJIJN4JPN90</t>
  </si>
  <si>
    <t>MGLEUCA LX Equity</t>
  </si>
  <si>
    <t>LU1670632501</t>
  </si>
  <si>
    <t>PRINCIPAL FINANCIAL</t>
  </si>
  <si>
    <t>Q46JYT8ZSTNVO1V2GB46</t>
  </si>
  <si>
    <t>PRINCIPAL GLOBAL INVEST</t>
  </si>
  <si>
    <t>IE00BKDW9G15</t>
  </si>
  <si>
    <t>INVESCO GLOBAL INVESTMENT GRAD</t>
  </si>
  <si>
    <t>LU1218206339</t>
  </si>
  <si>
    <t>מגדל קרנות נאמנות בע"מ</t>
  </si>
  <si>
    <t>511303661</t>
  </si>
  <si>
    <t>מחקה תל-דיב FTM</t>
  </si>
  <si>
    <t>IL0051370133</t>
  </si>
  <si>
    <t>מניות בישראל</t>
  </si>
  <si>
    <t>MTF סל Nasdaq 100 (4D)</t>
  </si>
  <si>
    <t>IL0011813875</t>
  </si>
  <si>
    <t>מניות בחו"ל חשופות מט"ח</t>
  </si>
  <si>
    <t>MTF סל תא 125</t>
  </si>
  <si>
    <t>IL0011502833</t>
  </si>
  <si>
    <t>MTF סל תא 35</t>
  </si>
  <si>
    <t>IL0011501843</t>
  </si>
  <si>
    <t>MTF סל תא 90</t>
  </si>
  <si>
    <t>IL0011502593</t>
  </si>
  <si>
    <t>SpUSA&amp;D.MTF</t>
  </si>
  <si>
    <t>IL0011503419</t>
  </si>
  <si>
    <t>הראל קרנות נאמנות בע"מ</t>
  </si>
  <si>
    <t>511776783</t>
  </si>
  <si>
    <t>הראל סל תא 90</t>
  </si>
  <si>
    <t>IL0011489312</t>
  </si>
  <si>
    <t>הראל קרן סל תא 125</t>
  </si>
  <si>
    <t>IL0011488991</t>
  </si>
  <si>
    <t>מור ניהול קרנות נאמנות בע"מ</t>
  </si>
  <si>
    <t>514884485</t>
  </si>
  <si>
    <t>מור סל )4D(י NASDAQ 100</t>
  </si>
  <si>
    <t>IL0011658361</t>
  </si>
  <si>
    <t>סל mtf Trave l&amp; Vacation</t>
  </si>
  <si>
    <t>IL0011675845</t>
  </si>
  <si>
    <t>State Street Corp</t>
  </si>
  <si>
    <t>07F5H7W3ET8ZLWNMFP29</t>
  </si>
  <si>
    <t>.UTILITIES SELECT S</t>
  </si>
  <si>
    <t>US81369Y8865</t>
  </si>
  <si>
    <t>AINVESCO AEROSPACE &amp; DEFENSE ET</t>
  </si>
  <si>
    <t>US46137V1008</t>
  </si>
  <si>
    <t>CREDIT AGRICOLE SA</t>
  </si>
  <si>
    <t>969500TJ5KRTCJQWXH05</t>
  </si>
  <si>
    <t>AMUNDI ETF ICAV - AMUNDI MSCI</t>
  </si>
  <si>
    <t>79279501</t>
  </si>
  <si>
    <t>Amundi Asset Management</t>
  </si>
  <si>
    <t>213800VZW861M5FHMD50</t>
  </si>
  <si>
    <t>AMUNDI INDEX MSCI EMERGING MAR</t>
  </si>
  <si>
    <t>LU1437017350</t>
  </si>
  <si>
    <t>שווקים מתעוררים</t>
  </si>
  <si>
    <t>AMUNDI MSCI EUROPE QUALITY FAC</t>
  </si>
  <si>
    <t>LU1681041890</t>
  </si>
  <si>
    <t>AMUNDI</t>
  </si>
  <si>
    <t>2138007M6OEXDENVTF82</t>
  </si>
  <si>
    <t>AMUNDI STOXX EUROPE 600 UTILIT</t>
  </si>
  <si>
    <t>LU1834988864</t>
  </si>
  <si>
    <t>AMUNDI US CURVE STEEPENING 2-1</t>
  </si>
  <si>
    <t>LU2018762653</t>
  </si>
  <si>
    <t>COMMUNICATION SERVICES SELECT</t>
  </si>
  <si>
    <t>US81369Y8527</t>
  </si>
  <si>
    <t>Consumer discretionary etf</t>
  </si>
  <si>
    <t>us81369y4070</t>
  </si>
  <si>
    <t xml:space="preserve">BlackRock  Asset Managment </t>
  </si>
  <si>
    <t>5493004330BCAPB3GT42</t>
  </si>
  <si>
    <t>DIVORP ERACHTLAEH .S</t>
  </si>
  <si>
    <t>US4642888287</t>
  </si>
  <si>
    <t>Financial sel sector spdr</t>
  </si>
  <si>
    <t>US81369Y6059</t>
  </si>
  <si>
    <t>First trust</t>
  </si>
  <si>
    <t>549300ZLB3EUU3H8NE60</t>
  </si>
  <si>
    <t>First Trust Nas</t>
  </si>
  <si>
    <t>US3373451026</t>
  </si>
  <si>
    <t>FIRSTTRUST RTUST NASDAQ CLEAN EDGE</t>
  </si>
  <si>
    <t>US33737A1088</t>
  </si>
  <si>
    <t>Van Eck ETF</t>
  </si>
  <si>
    <t>549300ZLFKNTXC51ZN76</t>
  </si>
  <si>
    <t>GDX_Vaneck Gold Mineres Etf</t>
  </si>
  <si>
    <t>US92189F1066</t>
  </si>
  <si>
    <t>Global X Management Co LLc</t>
  </si>
  <si>
    <t>5493003RA4QUTSYF1N15</t>
  </si>
  <si>
    <t>GLOBAL X US INFRASTRUCTURE</t>
  </si>
  <si>
    <t>US37954Y6730</t>
  </si>
  <si>
    <t>Health spdr xlv</t>
  </si>
  <si>
    <t>US81369Y2090</t>
  </si>
  <si>
    <t>HORIZON</t>
  </si>
  <si>
    <t>549300UV6MMK38353F61</t>
  </si>
  <si>
    <t>HORIZON S&amp;P/TSX 60 INDEX ETF</t>
  </si>
  <si>
    <t>CA44056G1054</t>
  </si>
  <si>
    <t>TSX </t>
  </si>
  <si>
    <t>IEML LN Equity</t>
  </si>
  <si>
    <t>IE00B5M4WH52</t>
  </si>
  <si>
    <t>Industrail select</t>
  </si>
  <si>
    <t>US81369Y7040</t>
  </si>
  <si>
    <t>INVESCO US HIGH YIELD FALLEN A</t>
  </si>
  <si>
    <t>IE0009D6K2A2</t>
  </si>
  <si>
    <t>ISF LN_ISHARES FTSE 100</t>
  </si>
  <si>
    <t>IE0005042456</t>
  </si>
  <si>
    <t>ISHARES $ HIGH YIELD CORPORATE</t>
  </si>
  <si>
    <t>IE00B4PY7Y77</t>
  </si>
  <si>
    <t>Ishares ftse china25</t>
  </si>
  <si>
    <t>US4642871846</t>
  </si>
  <si>
    <t>ISHARES JP MORGAN USE EM CORP</t>
  </si>
  <si>
    <t>IE00BFM6TD65</t>
  </si>
  <si>
    <t>ISHARES MSCI EMERGING MARKETS</t>
  </si>
  <si>
    <t>US46434G7640</t>
  </si>
  <si>
    <t>Ishares U.S. BR</t>
  </si>
  <si>
    <t>US4642887941</t>
  </si>
  <si>
    <t>ISHARES USD SHORT DURATION COR</t>
  </si>
  <si>
    <t>IE00BYXYYP94</t>
  </si>
  <si>
    <t>LYXOR ETF</t>
  </si>
  <si>
    <t>LYXOR CORE STOXX EUROPE 600 DR</t>
  </si>
  <si>
    <t>LU0908500753</t>
  </si>
  <si>
    <t>Lyxor etf cac 40</t>
  </si>
  <si>
    <t>FR0007052782</t>
  </si>
  <si>
    <t>LYXOR STOXX EUROPE 600 HEALTHC</t>
  </si>
  <si>
    <t>LU1834986900</t>
  </si>
  <si>
    <t>MATERIALS SEL SECTO</t>
  </si>
  <si>
    <t>549300N81BAQ1XPGBT65</t>
  </si>
  <si>
    <t>Materiales sel sector</t>
  </si>
  <si>
    <t>US81369Y1001</t>
  </si>
  <si>
    <t>לא מוגדר</t>
  </si>
  <si>
    <t>MCHI</t>
  </si>
  <si>
    <t>US46429B6719</t>
  </si>
  <si>
    <t>NERGY S.SECTOR SPDR</t>
  </si>
  <si>
    <t>US81369Y5069</t>
  </si>
  <si>
    <t>Powershares  QQQ NAS1</t>
  </si>
  <si>
    <t>US46090E1038</t>
  </si>
  <si>
    <t>Real Estate Select Sector SPDR</t>
  </si>
  <si>
    <t>US81369Y8600</t>
  </si>
  <si>
    <t>Source Markets plc</t>
  </si>
  <si>
    <t>12119</t>
  </si>
  <si>
    <t>SDJE50 GR Equity</t>
  </si>
  <si>
    <t>IE00B60SWX25</t>
  </si>
  <si>
    <t>SPDR BLOOMBERG SASB U.S. HIGH</t>
  </si>
  <si>
    <t>IE0004TYCC17</t>
  </si>
  <si>
    <t>Real Estate Credit Investments Pcc ltd</t>
  </si>
  <si>
    <t>SPDR MSCI EUROPE CONSUMER DISC</t>
  </si>
  <si>
    <t>IE00BKWQ0C77</t>
  </si>
  <si>
    <t>VANECK VECTORS SEMICONDUCTOR</t>
  </si>
  <si>
    <t>US92189F6768</t>
  </si>
  <si>
    <t>Vanguard Group</t>
  </si>
  <si>
    <t>549300Y88GQ3VLJIBX57</t>
  </si>
  <si>
    <t>VANGUARD S&amp;P MID-CAP 400 ETF</t>
  </si>
  <si>
    <t>US9219328856</t>
  </si>
  <si>
    <t>WisdomTree Europe ltd</t>
  </si>
  <si>
    <t>549300SEVJBU47TE8855</t>
  </si>
  <si>
    <t>WISDOMTREE INDI</t>
  </si>
  <si>
    <t>US97717W4226</t>
  </si>
  <si>
    <t>קסם קרנות נאמנות בע"מ</t>
  </si>
  <si>
    <t>510938608</t>
  </si>
  <si>
    <t>FTSE 100 (4D) ETF קסם</t>
  </si>
  <si>
    <t>IL0011464976</t>
  </si>
  <si>
    <t>הראל סל 4DMSCI AC World</t>
  </si>
  <si>
    <t>IL0011493355</t>
  </si>
  <si>
    <t>הראל סל NDX 100</t>
  </si>
  <si>
    <t>IL0011490385</t>
  </si>
  <si>
    <t>מור סל )4D(י S&amp;P 500</t>
  </si>
  <si>
    <t>IL0011658106</t>
  </si>
  <si>
    <t>קסם MSCI AC World (4D) ETF</t>
  </si>
  <si>
    <t>IL0011466799</t>
  </si>
  <si>
    <t>קסם S&amp;P 500 (4D) ETF</t>
  </si>
  <si>
    <t>IL0011464711</t>
  </si>
  <si>
    <t>קסםXOTS006.</t>
  </si>
  <si>
    <t>IL0011462087</t>
  </si>
  <si>
    <t>AMUNDI MSCI EMERGING MARKETS I</t>
  </si>
  <si>
    <t>LU2573967036</t>
  </si>
  <si>
    <t>Franklin FTSE South Korea ETF</t>
  </si>
  <si>
    <t>549300UHXVPT5S43XV04</t>
  </si>
  <si>
    <t>FRANKLIN FTSE SOUTH KOREA ETF</t>
  </si>
  <si>
    <t>US35473P7107</t>
  </si>
  <si>
    <t>invesco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</si>
  <si>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</si>
  <si>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</si>
  <si>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</si>
  <si>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</si>
  <si>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</si>
  <si>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</si>
  <si>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</si>
  <si>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</si>
  <si>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Amex tech sel indx</t>
  </si>
  <si>
    <t>US81369Y8030</t>
  </si>
  <si>
    <t>VANGUARD S&amp;P 50</t>
  </si>
  <si>
    <t>us9229083632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</si>
  <si>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</si>
  <si>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</si>
  <si>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</si>
  <si>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</si>
  <si>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</si>
  <si>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</si>
  <si>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DB x TRACKERS</t>
  </si>
  <si>
    <t>549300L70BS183Y6ML67</t>
  </si>
  <si>
    <t>XTRXCKERS NIKKEI 225 UCITS ETF</t>
  </si>
  <si>
    <t>LU0839027447</t>
  </si>
  <si>
    <t>MTF סל תלבונד 60</t>
  </si>
  <si>
    <t>IL0011499964</t>
  </si>
  <si>
    <t xml:space="preserve">אג"ח בישראל - חברות והמרה  </t>
  </si>
  <si>
    <t>STX600.MTF</t>
  </si>
  <si>
    <t>IL0011502262</t>
  </si>
  <si>
    <t>הראל סל בונד שק- בנקוביט</t>
  </si>
  <si>
    <t>IL0011507477</t>
  </si>
  <si>
    <t>הראל סל תל בונד שקלי</t>
  </si>
  <si>
    <t>IL0011505232</t>
  </si>
  <si>
    <t>קסם קרן סל תא 125</t>
  </si>
  <si>
    <t>IL0011463564</t>
  </si>
  <si>
    <t>קסם תל דיב</t>
  </si>
  <si>
    <t>IL0011459117</t>
  </si>
  <si>
    <t>פסגות קרנות נאמנות בע"מ</t>
  </si>
  <si>
    <t>513765339</t>
  </si>
  <si>
    <t>פסגות קרן סל SP500</t>
  </si>
  <si>
    <t>IL0011481624</t>
  </si>
  <si>
    <t>AMUNDI S&amp;P 500 UCITS ETF</t>
  </si>
  <si>
    <t>LU1681049018</t>
  </si>
  <si>
    <t>Guggenheim Capital LLC</t>
  </si>
  <si>
    <t>549300BDOTSNHM6LG979</t>
  </si>
  <si>
    <t>RSP US</t>
  </si>
  <si>
    <t>US46137V3574</t>
  </si>
  <si>
    <t>MTF סל (S&amp;P 500 (4D</t>
  </si>
  <si>
    <t>IL0011503336</t>
  </si>
  <si>
    <t>הראל סל תל בונד 60</t>
  </si>
  <si>
    <t>IL0011504730</t>
  </si>
  <si>
    <t>מור סל (A4) ת"א -125</t>
  </si>
  <si>
    <t>IL0011961534</t>
  </si>
  <si>
    <t>פסגות ETF תל בונד צמודות A</t>
  </si>
  <si>
    <t>IL0011484776</t>
  </si>
  <si>
    <t>קסם iBox $ IG30 ETF</t>
  </si>
  <si>
    <t>IL0011469199</t>
  </si>
  <si>
    <t>קסם תא 90</t>
  </si>
  <si>
    <t>IL0011463317</t>
  </si>
  <si>
    <t>Ishares Msci  Asia ex Japn</t>
  </si>
  <si>
    <t>US4642881829</t>
  </si>
  <si>
    <t>ISHARES MSCI ACWI US ETF</t>
  </si>
  <si>
    <t>US4642882405</t>
  </si>
  <si>
    <t>ISHARES STOXX ERUOPE 600 INDUS</t>
  </si>
  <si>
    <t>DE000A0H08J9</t>
  </si>
  <si>
    <t>SPDR S&amp;P 500 ETF TRUST</t>
  </si>
  <si>
    <t>US78462F1030</t>
  </si>
  <si>
    <t>VANGUARD FTSE ALL-WORLD EX-US</t>
  </si>
  <si>
    <t>US9220427754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</si>
  <si>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</si>
  <si>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</si>
  <si>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</si>
  <si>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</si>
  <si>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</si>
  <si>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</si>
  <si>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</si>
  <si>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</si>
  <si>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</si>
  <si>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</si>
  <si>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</si>
  <si>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</si>
  <si>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</si>
  <si>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</si>
  <si>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</si>
  <si>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</si>
  <si>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</si>
  <si>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</si>
  <si>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</si>
  <si>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</si>
  <si>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</si>
  <si>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</si>
  <si>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</si>
  <si>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</si>
  <si>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אלקטרה בע"מ</t>
  </si>
  <si>
    <t>520028911</t>
  </si>
  <si>
    <t>אלקטרה</t>
  </si>
  <si>
    <t>IL0007390375</t>
  </si>
  <si>
    <t>אנלייט אנרגיה מתחדשת בע"מ</t>
  </si>
  <si>
    <t>520041146</t>
  </si>
  <si>
    <t>אנלייט אנרגיה</t>
  </si>
  <si>
    <t>IL0007200111</t>
  </si>
  <si>
    <t>אפריקה ישראל תעשיות בע"מ</t>
  </si>
  <si>
    <t>520026618</t>
  </si>
  <si>
    <t>אפריקה תעשיות</t>
  </si>
  <si>
    <t>IL0008000114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</si>
  <si>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</si>
  <si>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</si>
  <si>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</si>
  <si>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</si>
  <si>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</si>
  <si>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</si>
  <si>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</si>
  <si>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</si>
  <si>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</si>
  <si>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</si>
  <si>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</si>
  <si>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</si>
  <si>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</si>
  <si>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</si>
  <si>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</si>
  <si>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</si>
  <si>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</si>
  <si>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</si>
  <si>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</si>
  <si>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</si>
  <si>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</si>
  <si>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</si>
  <si>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</si>
  <si>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</si>
  <si>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בית-הזהב בע"מ</t>
  </si>
  <si>
    <t>520034562</t>
  </si>
  <si>
    <t>בית הזהב</t>
  </si>
  <si>
    <t>IL0002350101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</si>
  <si>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</si>
  <si>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</si>
  <si>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</si>
  <si>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</si>
  <si>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</si>
  <si>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</si>
  <si>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</si>
  <si>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</si>
  <si>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</si>
  <si>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</si>
  <si>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</si>
  <si>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</si>
  <si>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</si>
  <si>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</si>
  <si>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</si>
  <si>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</si>
  <si>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</si>
  <si>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</si>
  <si>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</si>
  <si>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</si>
  <si>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</si>
  <si>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</si>
  <si>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</si>
  <si>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</si>
  <si>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חלל-תקשורת בע"מ</t>
  </si>
  <si>
    <t>511396046</t>
  </si>
  <si>
    <t>חלל תקשורת</t>
  </si>
  <si>
    <t>IL0010923451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</si>
  <si>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</si>
  <si>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</si>
  <si>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</si>
  <si>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</si>
  <si>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</si>
  <si>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</si>
  <si>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</si>
  <si>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</si>
  <si>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</si>
  <si>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</si>
  <si>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</si>
  <si>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</si>
  <si>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</si>
  <si>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</si>
  <si>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</si>
  <si>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</si>
  <si>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</si>
  <si>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</si>
  <si>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</si>
  <si>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</si>
  <si>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</si>
  <si>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</si>
  <si>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</si>
  <si>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מגדלי הים התיכון</t>
  </si>
  <si>
    <t>512719485</t>
  </si>
  <si>
    <t>מגדלי תיכון</t>
  </si>
  <si>
    <t>IL0011315236</t>
  </si>
  <si>
    <t>מהדרין בע"מ</t>
  </si>
  <si>
    <t>520018482</t>
  </si>
  <si>
    <t>מהדרין</t>
  </si>
  <si>
    <t>IL0006860147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</si>
  <si>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</si>
  <si>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</si>
  <si>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</si>
  <si>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</si>
  <si>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</si>
  <si>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</si>
  <si>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</si>
  <si>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</si>
  <si>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</si>
  <si>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</si>
  <si>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</si>
  <si>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</si>
  <si>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</si>
  <si>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מניף</t>
  </si>
  <si>
    <t>IL0011708935</t>
  </si>
  <si>
    <t>מקס סטוק בע"מ</t>
  </si>
  <si>
    <t>513618967</t>
  </si>
  <si>
    <t>מקס סטוק</t>
  </si>
  <si>
    <t>IL0011685588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</si>
  <si>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</si>
  <si>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</si>
  <si>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</si>
  <si>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</si>
  <si>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</si>
  <si>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</si>
  <si>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</si>
  <si>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</si>
  <si>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סיפיה ווז'ן בע"מ</t>
  </si>
  <si>
    <t>513476010</t>
  </si>
  <si>
    <t>סיפיה וויזן</t>
  </si>
  <si>
    <t>IL0011819328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</si>
  <si>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</si>
  <si>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</si>
  <si>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</si>
  <si>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</si>
  <si>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</si>
  <si>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</si>
  <si>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</si>
  <si>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</si>
  <si>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</si>
  <si>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</si>
  <si>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</si>
  <si>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</si>
  <si>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</si>
  <si>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</si>
  <si>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</si>
  <si>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</si>
  <si>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</si>
  <si>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</si>
  <si>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</si>
  <si>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</si>
  <si>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פרידנזון שירותים לוגיסטיים בע"מ</t>
  </si>
  <si>
    <t>510712466</t>
  </si>
  <si>
    <t>פרידנזון</t>
  </si>
  <si>
    <t>IL0011022196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</si>
  <si>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</si>
  <si>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</si>
  <si>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</si>
  <si>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</si>
  <si>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</si>
  <si>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</si>
  <si>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</si>
  <si>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</si>
  <si>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שטראוס גרופ בע"מ</t>
  </si>
  <si>
    <t>520003781</t>
  </si>
  <si>
    <t>שטראוס</t>
  </si>
  <si>
    <t>IL0007460160</t>
  </si>
  <si>
    <t>שפיר הנדסה ותעשיה בע"מ</t>
  </si>
  <si>
    <t>514892801</t>
  </si>
  <si>
    <t>שפיר הנדסה</t>
  </si>
  <si>
    <t>IL0011338758</t>
  </si>
  <si>
    <t>amazon.com</t>
  </si>
  <si>
    <t>ZXTILKJKG63JELOEG630</t>
  </si>
  <si>
    <t>AMAZON.COM INC</t>
  </si>
  <si>
    <t>US0231351067</t>
  </si>
  <si>
    <t>APPLE COMPUTER INC</t>
  </si>
  <si>
    <t>HWUPKR0MPOU8FGXBT394</t>
  </si>
  <si>
    <t>APPLE INC</t>
  </si>
  <si>
    <t>US0378331005</t>
  </si>
  <si>
    <t>BIOGEN IDEC INC</t>
  </si>
  <si>
    <t>W8J5WZB5IY3K0NDQT671</t>
  </si>
  <si>
    <t>Biogen Inc</t>
  </si>
  <si>
    <t>US09062X1037</t>
  </si>
  <si>
    <t>BOEING CO</t>
  </si>
  <si>
    <t>RVHJWBXLJ1RFUBSY1F30</t>
  </si>
  <si>
    <t>Boeing Co</t>
  </si>
  <si>
    <t>US0970231058</t>
  </si>
  <si>
    <t>Food &amp; Staples Retailing Consumer Staples Distribution &amp; Retail</t>
  </si>
  <si>
    <t>גאמידה סל בע"מ</t>
  </si>
  <si>
    <t>512601204</t>
  </si>
  <si>
    <t>CONTRA GAMILDA CELL LTD</t>
  </si>
  <si>
    <t>USM47CVR0280</t>
  </si>
  <si>
    <t>DANAHER CORP</t>
  </si>
  <si>
    <t>S4BKK9OTCEWQ3YHPFM11</t>
  </si>
  <si>
    <t>US2358511028</t>
  </si>
  <si>
    <t>Deere&amp;Company</t>
  </si>
  <si>
    <t>PWFTNG3EI0Y73OXWDH08</t>
  </si>
  <si>
    <t>DEERE &amp; CO</t>
  </si>
  <si>
    <t>US2441991054</t>
  </si>
  <si>
    <t>FLEX LTD</t>
  </si>
  <si>
    <t>549300EAQH74YHD07T53</t>
  </si>
  <si>
    <t>SG9999000020</t>
  </si>
  <si>
    <t>ALPHABET INC</t>
  </si>
  <si>
    <t>5493006MHB84DD0ZWV18</t>
  </si>
  <si>
    <t>Google Us Class c</t>
  </si>
  <si>
    <t>US02079K1079</t>
  </si>
  <si>
    <t>Lvmh Moet Hennessy Louis Vui</t>
  </si>
  <si>
    <t>IOG4E947OATN0KJYSD45</t>
  </si>
  <si>
    <t>LVMH MOET HENNESSY LOUIS VUITT</t>
  </si>
  <si>
    <t>FR0000121014</t>
  </si>
  <si>
    <t>ConsumerStaplesDistrib&amp;Retai</t>
  </si>
  <si>
    <t>MASTERCARD INC</t>
  </si>
  <si>
    <t>AR5L2ODV9HN37376R084</t>
  </si>
  <si>
    <t>MASTERCARD UNC</t>
  </si>
  <si>
    <t>US57636Q1040</t>
  </si>
  <si>
    <t>Diversified Financial Services Financial Services</t>
  </si>
  <si>
    <t>MERCK &amp;CO INC</t>
  </si>
  <si>
    <t>4YV9Y5M8S0BRK1RP0397</t>
  </si>
  <si>
    <t>MERCK &amp; CO INC</t>
  </si>
  <si>
    <t>US58933Y1055</t>
  </si>
  <si>
    <t>MICROSOFT CORP</t>
  </si>
  <si>
    <t>INR2EJN1ERAN0W5ZP974</t>
  </si>
  <si>
    <t>Microsoft crop</t>
  </si>
  <si>
    <t>US5949181045</t>
  </si>
  <si>
    <t>MODERNA INC</t>
  </si>
  <si>
    <t>549300EI6OKH5K5Q2G38</t>
  </si>
  <si>
    <t>US60770K1079</t>
  </si>
  <si>
    <t>Netflix Inc</t>
  </si>
  <si>
    <t>549300Y7VHGU0I7CE873</t>
  </si>
  <si>
    <t>NETFLIX INC</t>
  </si>
  <si>
    <t>US64110L1061</t>
  </si>
  <si>
    <t>NIKE INC</t>
  </si>
  <si>
    <t>787RXPR0UX0O0XUXPZ81</t>
  </si>
  <si>
    <t>US6541061031</t>
  </si>
  <si>
    <t>Northrop Grumman Corp</t>
  </si>
  <si>
    <t>RIMU48P07456QXSO0R61</t>
  </si>
  <si>
    <t>NORTHROP GRUMMAN CORP</t>
  </si>
  <si>
    <t>US6668071029</t>
  </si>
  <si>
    <t>Novo Nordsik</t>
  </si>
  <si>
    <t>549300DAQ1CVT6CXN342</t>
  </si>
  <si>
    <t>NOVO NORDISK A/S</t>
  </si>
  <si>
    <t>US6701002056</t>
  </si>
  <si>
    <t>NVIDIA CORP</t>
  </si>
  <si>
    <t>549300S4KLFTLO7GSQ80</t>
  </si>
  <si>
    <t>Nvidia corp</t>
  </si>
  <si>
    <t>US67066G1040</t>
  </si>
  <si>
    <t>Pluristem Therapeutics Inc</t>
  </si>
  <si>
    <t>529900OZKMF7JGZMYM81</t>
  </si>
  <si>
    <t>PLURISTEM THERAPEUTICS INC</t>
  </si>
  <si>
    <t>US72942G1040</t>
  </si>
  <si>
    <t>Prologis Inc</t>
  </si>
  <si>
    <t>529900DFH19P073LZ636</t>
  </si>
  <si>
    <t xml:space="preserve">PROLOGIS INC
</t>
  </si>
  <si>
    <t>US74340W1036</t>
  </si>
  <si>
    <t>SCHLUMBERGER LIMITED</t>
  </si>
  <si>
    <t>529900EZ29I5KXPV2J32</t>
  </si>
  <si>
    <t>Schlumberger Ltd</t>
  </si>
  <si>
    <t>AN8068571086</t>
  </si>
  <si>
    <t>SONOS INC</t>
  </si>
  <si>
    <t>549300WEPU6075I77M08</t>
  </si>
  <si>
    <t>US83570H1086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</si>
  <si>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</si>
  <si>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</si>
  <si>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</si>
  <si>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</si>
  <si>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</si>
  <si>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</si>
  <si>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</si>
  <si>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Vbare Iberian Properties SOCIM</t>
  </si>
  <si>
    <t>959800X1MGWGZZW5ZS47</t>
  </si>
  <si>
    <t>VBARE IBERIAN PROPERTIES SOCIM</t>
  </si>
  <si>
    <t>ES0105196002</t>
  </si>
  <si>
    <t>VISA  Inc - CLASS  A</t>
  </si>
  <si>
    <t>549300JZ4OKEHW3DPJ59</t>
  </si>
  <si>
    <t>VISA inc-class a</t>
  </si>
  <si>
    <t>US92826C8394</t>
  </si>
  <si>
    <t>Walt Disney Company</t>
  </si>
  <si>
    <t>549300GZKULIZ0WOW665</t>
  </si>
  <si>
    <t>WALT DISNEY CO</t>
  </si>
  <si>
    <t>US2546871060</t>
  </si>
  <si>
    <t>קבוצת דלק בע"מ</t>
  </si>
  <si>
    <t>520044322</t>
  </si>
  <si>
    <t>דלק קבוצה</t>
  </si>
  <si>
    <t>IL0010841281</t>
  </si>
  <si>
    <t>יוחננוף</t>
  </si>
  <si>
    <t>511344186</t>
  </si>
  <si>
    <t>מ. יוחננוף</t>
  </si>
  <si>
    <t>IL0011612640</t>
  </si>
  <si>
    <t>מבנה נדל"ן (כ.ד)  בע"מ</t>
  </si>
  <si>
    <t>520024126</t>
  </si>
  <si>
    <t>מבנה</t>
  </si>
  <si>
    <t>IL0002260193</t>
  </si>
  <si>
    <t>נקסט ויז'ן</t>
  </si>
  <si>
    <t>514259019</t>
  </si>
  <si>
    <t>IL0011765935</t>
  </si>
  <si>
    <t>פתאל החזקות 1998 בע"מ</t>
  </si>
  <si>
    <t>512607888</t>
  </si>
  <si>
    <t>פתאל החזקות</t>
  </si>
  <si>
    <t>IL0011434292</t>
  </si>
  <si>
    <t>רשת חנויות רמי לוי שיווק השיקמה 2006 בע"מ</t>
  </si>
  <si>
    <t>513770669</t>
  </si>
  <si>
    <t>רמי לוי</t>
  </si>
  <si>
    <t>IL0011042491</t>
  </si>
  <si>
    <t>חברת הכשרת הישוב בישראל בע"מ</t>
  </si>
  <si>
    <t>520020116</t>
  </si>
  <si>
    <t>הכשרה הישוב</t>
  </si>
  <si>
    <t>IL0006120104</t>
  </si>
  <si>
    <t>מניבים קרן הריט החדשה בע"מ</t>
  </si>
  <si>
    <t>515327120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</si>
  <si>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</si>
  <si>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</si>
  <si>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</si>
  <si>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</si>
  <si>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</si>
  <si>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</si>
  <si>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</si>
  <si>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</si>
  <si>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מולטי ריטייל גרופ בע"מ</t>
  </si>
  <si>
    <t>515546224</t>
  </si>
  <si>
    <t>מולטי ריטייל (אייס )</t>
  </si>
  <si>
    <t>IL0011716698</t>
  </si>
  <si>
    <t>אלומיי קפיטל בע"מ</t>
  </si>
  <si>
    <t>520039868</t>
  </si>
  <si>
    <t>ELLOMAY CAPITAL LTD RESTRICTED</t>
  </si>
  <si>
    <t>IL0010826357</t>
  </si>
  <si>
    <t>מג'יק תעשיות תכנה בע"מ</t>
  </si>
  <si>
    <t>520036740</t>
  </si>
  <si>
    <t>מ.אופנהיימר מג'יק</t>
  </si>
  <si>
    <t>IL0010823123</t>
  </si>
  <si>
    <t>פי אס טי אי - חסום ניתן למכור (אופנהיימר)</t>
  </si>
  <si>
    <t>US72940R1023</t>
  </si>
  <si>
    <t>דנאל (אדיר יהושע) בע"מ</t>
  </si>
  <si>
    <t>520037565</t>
  </si>
  <si>
    <t>דנאל כא</t>
  </si>
  <si>
    <t>IL0003140139</t>
  </si>
  <si>
    <t>סאמיט אחזקות נדל"ן בע"מ</t>
  </si>
  <si>
    <t>520043720</t>
  </si>
  <si>
    <t>סאמיט</t>
  </si>
  <si>
    <t>IL0010816861</t>
  </si>
  <si>
    <t>פז בית זיקוק לנפט-אשדוד בע"מ</t>
  </si>
  <si>
    <t>513775163</t>
  </si>
  <si>
    <t>פז בית זיקוק אשדוד</t>
  </si>
  <si>
    <t>IL0011989105</t>
  </si>
  <si>
    <t>רבל אי.סי.אס. בע"מ</t>
  </si>
  <si>
    <t>513506329</t>
  </si>
  <si>
    <t>רבל</t>
  </si>
  <si>
    <t>IL0011038788</t>
  </si>
  <si>
    <t>תדיראן גרופ בע"מ</t>
  </si>
  <si>
    <t>520036732</t>
  </si>
  <si>
    <t>תדיראן גרופ</t>
  </si>
  <si>
    <t>IL0002580129</t>
  </si>
  <si>
    <t>CHECK CAP LTD</t>
  </si>
  <si>
    <t>549300VKJF3TJ17U4U73</t>
  </si>
  <si>
    <t>IL0011336851</t>
  </si>
  <si>
    <t>SAFRAN SA</t>
  </si>
  <si>
    <t>969500UIC89GT3UL7L24</t>
  </si>
  <si>
    <t>FR0000073272</t>
  </si>
  <si>
    <t>אדגר השקעות ופיתוח בע"מ</t>
  </si>
  <si>
    <t>520035171</t>
  </si>
  <si>
    <t>אדגר אגח ט</t>
  </si>
  <si>
    <t>IL0018201900</t>
  </si>
  <si>
    <t>A2</t>
  </si>
  <si>
    <t>01/07/2025</t>
  </si>
  <si>
    <t>אדמה פתרונות לחקלאות בע"מ</t>
  </si>
  <si>
    <t>520043605</t>
  </si>
  <si>
    <t>אדמה אגח ב</t>
  </si>
  <si>
    <t>IL0011109159</t>
  </si>
  <si>
    <t>30/11/2036</t>
  </si>
  <si>
    <t>או.פי.סי. אנרגיה בע"מ</t>
  </si>
  <si>
    <t>514401702</t>
  </si>
  <si>
    <t>או פי סי אגח ב'</t>
  </si>
  <si>
    <t>IL0011660573</t>
  </si>
  <si>
    <t>A-</t>
  </si>
  <si>
    <t>01/10/2028</t>
  </si>
  <si>
    <t>או.פי.סי  אגח ג</t>
  </si>
  <si>
    <t>IL0011803553</t>
  </si>
  <si>
    <t>31/08/2030</t>
  </si>
  <si>
    <t>אזורים-חברה להשקעות בפתוח ובבנין בע"מ</t>
  </si>
  <si>
    <t>520025990</t>
  </si>
  <si>
    <t>אזורים סדרה 14</t>
  </si>
  <si>
    <t>IL0071504448</t>
  </si>
  <si>
    <t>31/12/2028</t>
  </si>
  <si>
    <t>איי.די.איי. הנפקות (2010) בע"מ</t>
  </si>
  <si>
    <t>514486042</t>
  </si>
  <si>
    <t>איידיאיי הנפקות אגח ו</t>
  </si>
  <si>
    <t>IL0011830374</t>
  </si>
  <si>
    <t>15/12/2028</t>
  </si>
  <si>
    <t>איירפורט סיטי בע"מ</t>
  </si>
  <si>
    <t>511659401</t>
  </si>
  <si>
    <t>איירפורט אגח ה</t>
  </si>
  <si>
    <t>IL0011334872</t>
  </si>
  <si>
    <t>AA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</si>
  <si>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</si>
  <si>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</si>
  <si>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</si>
  <si>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</si>
  <si>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</si>
  <si>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</si>
  <si>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</si>
  <si>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</si>
  <si>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אגח ה</t>
  </si>
  <si>
    <t>IL0073902228</t>
  </si>
  <si>
    <t>A+</t>
  </si>
  <si>
    <t>10/01/2031</t>
  </si>
  <si>
    <t>אלקטרה אגח ו</t>
  </si>
  <si>
    <t>IL0073902632</t>
  </si>
  <si>
    <t>10/12/2035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</si>
  <si>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</si>
  <si>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</si>
  <si>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</si>
  <si>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</si>
  <si>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</si>
  <si>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</si>
  <si>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</si>
  <si>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</si>
  <si>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אשטרום נכסים בע"מ</t>
  </si>
  <si>
    <t>520036617</t>
  </si>
  <si>
    <t>אשטרום נכ אגח 14</t>
  </si>
  <si>
    <t>IL0012018961</t>
  </si>
  <si>
    <t>A</t>
  </si>
  <si>
    <t>01/01/2034</t>
  </si>
  <si>
    <t>אשטרום נכסים אגח 10</t>
  </si>
  <si>
    <t>IL0025102042</t>
  </si>
  <si>
    <t>02/01/2028</t>
  </si>
  <si>
    <t>בזן אגח י</t>
  </si>
  <si>
    <t>IL0025905113</t>
  </si>
  <si>
    <t>25/09/2031</t>
  </si>
  <si>
    <t>בי קומיוניקיישנס בע"מ לשעבר סמייל 012</t>
  </si>
  <si>
    <t>512832742</t>
  </si>
  <si>
    <t>בי קומיוניקיישנס אגח ו</t>
  </si>
  <si>
    <t>IL0011781510</t>
  </si>
  <si>
    <t>A3</t>
  </si>
  <si>
    <t>30/11/2026</t>
  </si>
  <si>
    <t>ביג אגח טו</t>
  </si>
  <si>
    <t>IL0011622219</t>
  </si>
  <si>
    <t>31/01/2030</t>
  </si>
  <si>
    <t>ביג אגח יח</t>
  </si>
  <si>
    <t>IL0011742264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</si>
  <si>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</si>
  <si>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</si>
  <si>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</si>
  <si>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</si>
  <si>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</si>
  <si>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</si>
  <si>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</si>
  <si>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</si>
  <si>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</si>
  <si>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</si>
  <si>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</si>
  <si>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</si>
  <si>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</si>
  <si>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</si>
  <si>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</si>
  <si>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</si>
  <si>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</si>
  <si>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</si>
  <si>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</si>
  <si>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יא</t>
  </si>
  <si>
    <t>IL0012605460</t>
  </si>
  <si>
    <t>30/09/2024</t>
  </si>
  <si>
    <t>ג'נריישן קפיטל בע"מ</t>
  </si>
  <si>
    <t>515846558</t>
  </si>
  <si>
    <t>ג'נריישן קפיטל אגח ג</t>
  </si>
  <si>
    <t>IL0011845554</t>
  </si>
  <si>
    <t>30/09/2033</t>
  </si>
  <si>
    <t>דיסקונט מנפיקים בע"מ</t>
  </si>
  <si>
    <t>520029935</t>
  </si>
  <si>
    <t>דיסק מנ אגח טז</t>
  </si>
  <si>
    <t>IL0012031576</t>
  </si>
  <si>
    <t>20/03/2035</t>
  </si>
  <si>
    <t>חברת השקעות דיסקונט בע"מ</t>
  </si>
  <si>
    <t>520023896</t>
  </si>
  <si>
    <t>דיסקונט השקעות אגח ו</t>
  </si>
  <si>
    <t>IL0063902071</t>
  </si>
  <si>
    <t>BBB</t>
  </si>
  <si>
    <t>31/12/2025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</si>
  <si>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</si>
  <si>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</si>
  <si>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</si>
  <si>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</si>
  <si>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</si>
  <si>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</si>
  <si>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</si>
  <si>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</si>
  <si>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</si>
  <si>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</si>
  <si>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01/10/2034</t>
  </si>
  <si>
    <t>הכשרת הישוב אגח 24</t>
  </si>
  <si>
    <t>IL0011915191</t>
  </si>
  <si>
    <t>הכשרת ישוב אגח 21</t>
  </si>
  <si>
    <t>IL0061202243</t>
  </si>
  <si>
    <t>הראל ביטוח מימון והנפקות בע"מ</t>
  </si>
  <si>
    <t>513834200</t>
  </si>
  <si>
    <t>הראל הנפ אגח טו</t>
  </si>
  <si>
    <t>IL0011431306</t>
  </si>
  <si>
    <t>31/12/2031</t>
  </si>
  <si>
    <t>הראל הנפקות אגח יט</t>
  </si>
  <si>
    <t>IL0011927725</t>
  </si>
  <si>
    <t>31/12/2029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</si>
  <si>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</si>
  <si>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</si>
  <si>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</si>
  <si>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</si>
  <si>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</si>
  <si>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</si>
  <si>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</si>
  <si>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ישראמקו אגח ג</t>
  </si>
  <si>
    <t>IL0023202323</t>
  </si>
  <si>
    <t>10/10/2030</t>
  </si>
  <si>
    <t>כלל ביטוח אגח א</t>
  </si>
  <si>
    <t>IL0011934812</t>
  </si>
  <si>
    <t>28/02/2028</t>
  </si>
  <si>
    <t>כללביט מימון בע"מ</t>
  </si>
  <si>
    <t>513754069</t>
  </si>
  <si>
    <t>כלל מימון אגח יג</t>
  </si>
  <si>
    <t>IL0011979205</t>
  </si>
  <si>
    <t>31/07/2034</t>
  </si>
  <si>
    <t>לאומי   אגח 179</t>
  </si>
  <si>
    <t>IL0060403727</t>
  </si>
  <si>
    <t>30/06/2026</t>
  </si>
  <si>
    <t>לאומי אגח סד 183</t>
  </si>
  <si>
    <t>IL0060405474</t>
  </si>
  <si>
    <t>25/11/2029</t>
  </si>
  <si>
    <t>מבנה אגח כה</t>
  </si>
  <si>
    <t>IL0022606367</t>
  </si>
  <si>
    <t>Aa2</t>
  </si>
  <si>
    <t>מגדל ביטוח גיוס הון בע"מ</t>
  </si>
  <si>
    <t>513230029</t>
  </si>
  <si>
    <t>מגדל הון אגח יג 31/12/2037</t>
  </si>
  <si>
    <t>IL0012075136</t>
  </si>
  <si>
    <t>31/12/2037</t>
  </si>
  <si>
    <t>מגדלי תיכון אגח ו</t>
  </si>
  <si>
    <t>IL0011991242</t>
  </si>
  <si>
    <t>30/06/2032</t>
  </si>
  <si>
    <t>מגוריט ישראל בעמ</t>
  </si>
  <si>
    <t>515434074</t>
  </si>
  <si>
    <t>מגוריט אגח ו</t>
  </si>
  <si>
    <t>IL0012035049</t>
  </si>
  <si>
    <t>31/12/2026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</si>
  <si>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</si>
  <si>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</si>
  <si>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</si>
  <si>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</si>
  <si>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</si>
  <si>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טפחות הנפ 9/24</t>
  </si>
  <si>
    <t>IL0023102176</t>
  </si>
  <si>
    <t>29/09/2024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</si>
  <si>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</si>
  <si>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</si>
  <si>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</si>
  <si>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</si>
  <si>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</si>
  <si>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</si>
  <si>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מניף אגח א</t>
  </si>
  <si>
    <t>IL0011858839</t>
  </si>
  <si>
    <t>30/09/2026</t>
  </si>
  <si>
    <t>מניף אגח ב</t>
  </si>
  <si>
    <t>IL0011988602</t>
  </si>
  <si>
    <t>31/07/2028</t>
  </si>
  <si>
    <t>קבוצת מנרב  בע"מ</t>
  </si>
  <si>
    <t>520034505</t>
  </si>
  <si>
    <t>מנרב אגח ד</t>
  </si>
  <si>
    <t>IL0015501690</t>
  </si>
  <si>
    <t>15/04/2032</t>
  </si>
  <si>
    <t>מקורות חברת מים בע"מ</t>
  </si>
  <si>
    <t>520010869</t>
  </si>
  <si>
    <t>מקורות אגח 11</t>
  </si>
  <si>
    <t>IL0011584765</t>
  </si>
  <si>
    <t>31/12/2053</t>
  </si>
  <si>
    <t>נאוויטס פטרוליום, שותפות מוגבלת</t>
  </si>
  <si>
    <t>550263107</t>
  </si>
  <si>
    <t>נאוויטס פטרו אגח ו</t>
  </si>
  <si>
    <t>IL0012048257</t>
  </si>
  <si>
    <t>30/09/2029</t>
  </si>
  <si>
    <t>ע.י נופר אנרגי' בע"מ</t>
  </si>
  <si>
    <t>514599943</t>
  </si>
  <si>
    <t>נופר אנרג אגח א</t>
  </si>
  <si>
    <t>IL0011793408</t>
  </si>
  <si>
    <t>נופר אנרג אגח ג</t>
  </si>
  <si>
    <t>IL0011980435</t>
  </si>
  <si>
    <t>30/06/2030</t>
  </si>
  <si>
    <t>נמקו ריאליטי לטד</t>
  </si>
  <si>
    <t>1905761</t>
  </si>
  <si>
    <t>נמקו אגח ד 15/04/2029 6.25%</t>
  </si>
  <si>
    <t>IL0012064734</t>
  </si>
  <si>
    <t>15/04/2029</t>
  </si>
  <si>
    <t>SILVERSTEIN PROPERTIES LTD</t>
  </si>
  <si>
    <t>1970336</t>
  </si>
  <si>
    <t>סילברסטין אגח ב</t>
  </si>
  <si>
    <t>IL0011605974</t>
  </si>
  <si>
    <t>סלקום אגח יג</t>
  </si>
  <si>
    <t>IL0011891905</t>
  </si>
  <si>
    <t>06/01/2030</t>
  </si>
  <si>
    <t>עזריאלי אגח ה</t>
  </si>
  <si>
    <t>IL0011566036</t>
  </si>
  <si>
    <t>Aa1</t>
  </si>
  <si>
    <t>עזריאלי אגח ח</t>
  </si>
  <si>
    <t>IL0011786808</t>
  </si>
  <si>
    <t>02/01/2041</t>
  </si>
  <si>
    <t>פועלים התח נד יא</t>
  </si>
  <si>
    <t>IL0012014663</t>
  </si>
  <si>
    <t>07/12/2029</t>
  </si>
  <si>
    <t>פז חברת הנפט בע"מ</t>
  </si>
  <si>
    <t>510216054</t>
  </si>
  <si>
    <t>פז נפט אגח ט</t>
  </si>
  <si>
    <t>IL0012059478</t>
  </si>
  <si>
    <t>31/05/2035</t>
  </si>
  <si>
    <t>הפניקס גיוסי הון (2009) בע"מ</t>
  </si>
  <si>
    <t>514290345</t>
  </si>
  <si>
    <t>פניקס הון אגח טו</t>
  </si>
  <si>
    <t>IL0012019530</t>
  </si>
  <si>
    <t>פתאל נכסים(אירופה)בע"מ</t>
  </si>
  <si>
    <t>515328250</t>
  </si>
  <si>
    <t>פתאל אירופה אגח ג</t>
  </si>
  <si>
    <t>IL0011418527</t>
  </si>
  <si>
    <t>30/08/2027</t>
  </si>
  <si>
    <t>AAPL</t>
  </si>
  <si>
    <t>AAPL 3.2 05/25</t>
  </si>
  <si>
    <t>US037833BG48</t>
  </si>
  <si>
    <t>13/05/2025</t>
  </si>
  <si>
    <t>Bank of America</t>
  </si>
  <si>
    <t>9DJT3UXIJIZJI4WXO774</t>
  </si>
  <si>
    <t>BAC 4 01/22/25</t>
  </si>
  <si>
    <t>US06051GFM69</t>
  </si>
  <si>
    <t>BBB+</t>
  </si>
  <si>
    <t>22/01/2025</t>
  </si>
  <si>
    <t>MOTOROLA INC</t>
  </si>
  <si>
    <t>6S552MUG6KGJVEBSEC55</t>
  </si>
  <si>
    <t>MSI 7 1/2 05/15/25</t>
  </si>
  <si>
    <t>US620076AH21</t>
  </si>
  <si>
    <t>15/05/2025</t>
  </si>
  <si>
    <t>TEVA 4.375% 09/05/30</t>
  </si>
  <si>
    <t>XS2406607171</t>
  </si>
  <si>
    <t>BB-</t>
  </si>
  <si>
    <t>09/05/2030</t>
  </si>
  <si>
    <t>Chamoss International Limited</t>
  </si>
  <si>
    <t>633896</t>
  </si>
  <si>
    <t>שמוס אגח א</t>
  </si>
  <si>
    <t>IL0011559510</t>
  </si>
  <si>
    <t>10/07/2028</t>
  </si>
  <si>
    <t>אשטרום קב אגח ג</t>
  </si>
  <si>
    <t>IL0011401028</t>
  </si>
  <si>
    <t>15/01/2029</t>
  </si>
  <si>
    <t>ביג אגח כ</t>
  </si>
  <si>
    <t>IL0011861882</t>
  </si>
  <si>
    <t>01/05/2033</t>
  </si>
  <si>
    <t>הראל הנפק אגח יח</t>
  </si>
  <si>
    <t>IL0011826661</t>
  </si>
  <si>
    <t>31/12/2032</t>
  </si>
  <si>
    <t>מז  הנפק    46 1.22% 9/2027</t>
  </si>
  <si>
    <t>IL0023102259</t>
  </si>
  <si>
    <t>28/09/2027</t>
  </si>
  <si>
    <t>מליסרון אגח יא</t>
  </si>
  <si>
    <t>IL0032302080</t>
  </si>
  <si>
    <t>10/07/2025</t>
  </si>
  <si>
    <t>אייסיאל   אגח ז</t>
  </si>
  <si>
    <t>IL0028103724</t>
  </si>
  <si>
    <t>31/12/2034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</si>
  <si>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</si>
  <si>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</si>
  <si>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</si>
  <si>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</si>
  <si>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</si>
  <si>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</si>
  <si>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</si>
  <si>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</si>
  <si>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</si>
  <si>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</si>
  <si>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</si>
  <si>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</si>
  <si>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הראל הנפקות אגח י</t>
  </si>
  <si>
    <t>IL0011340481</t>
  </si>
  <si>
    <t>מגדל הון אגח ז</t>
  </si>
  <si>
    <t>IL0011560419</t>
  </si>
  <si>
    <t>מזרחי הנפקות 40</t>
  </si>
  <si>
    <t>IL0023101673</t>
  </si>
  <si>
    <t>08/06/2025</t>
  </si>
  <si>
    <t>חברת נמלי ישראל - פיתוח נכסים בע"מ</t>
  </si>
  <si>
    <t>513569780</t>
  </si>
  <si>
    <t>נמלי ישראל אגח א</t>
  </si>
  <si>
    <t>IL0011455644</t>
  </si>
  <si>
    <t>פרטנר אגח ז</t>
  </si>
  <si>
    <t>IL0011563975</t>
  </si>
  <si>
    <t>25/06/2027</t>
  </si>
  <si>
    <t>Allianz</t>
  </si>
  <si>
    <t>529900K9B0N5BT694847</t>
  </si>
  <si>
    <t>ALVGR 3 3/8 PERP</t>
  </si>
  <si>
    <t>DE000A13R7Z7</t>
  </si>
  <si>
    <t>18/09/2024</t>
  </si>
  <si>
    <t>Bayer AG</t>
  </si>
  <si>
    <t>529900XWNEXYNJ3X6T40</t>
  </si>
  <si>
    <t>BAYNGY 4 1/2 03/25/2082</t>
  </si>
  <si>
    <t>XS2451802768</t>
  </si>
  <si>
    <t>Ba1</t>
  </si>
  <si>
    <t>25/03/2082</t>
  </si>
  <si>
    <t>CITIGROUP INC</t>
  </si>
  <si>
    <t>6SHGI4ZSSLCXXQSBB395</t>
  </si>
  <si>
    <t>C 3.875% 03/26/25</t>
  </si>
  <si>
    <t>US172967JL61</t>
  </si>
  <si>
    <t>Baa2</t>
  </si>
  <si>
    <t>26/03/2025</t>
  </si>
  <si>
    <t>GOODYEAR TIRE &amp; RUBBER CO</t>
  </si>
  <si>
    <t>5493002BI0S2ZQUY3437</t>
  </si>
  <si>
    <t>GT 5 05/31/26</t>
  </si>
  <si>
    <t>US382550BF73</t>
  </si>
  <si>
    <t>B2</t>
  </si>
  <si>
    <t>HEWLETT-PACKARD CO</t>
  </si>
  <si>
    <t>549300BX44RGX6ANDV88</t>
  </si>
  <si>
    <t>HPE 4.9 10/15/25</t>
  </si>
  <si>
    <t>US42824CAW91</t>
  </si>
  <si>
    <t>15/10/2025</t>
  </si>
  <si>
    <t>Sydney Airport</t>
  </si>
  <si>
    <t>549300MJAANHLHOVTO40</t>
  </si>
  <si>
    <t>SYDAU 3 5/8 04/28/26</t>
  </si>
  <si>
    <t>USQ8809VAH26</t>
  </si>
  <si>
    <t>28/04/2026</t>
  </si>
  <si>
    <t>WALGREENS BOOTS ALLIANCE</t>
  </si>
  <si>
    <t>549300RPTUOIXG4LIH86</t>
  </si>
  <si>
    <t>WBA 3.45 06/01/26</t>
  </si>
  <si>
    <t>US931427AQ19</t>
  </si>
  <si>
    <t>Ba2</t>
  </si>
  <si>
    <t>01/06/2026</t>
  </si>
  <si>
    <t>אזורים אגח 13</t>
  </si>
  <si>
    <t>IL0071504109</t>
  </si>
  <si>
    <t>אמות השקעות בע"מ</t>
  </si>
  <si>
    <t>520026683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</si>
  <si>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</si>
  <si>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</si>
  <si>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</si>
  <si>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</si>
  <si>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</si>
  <si>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</si>
  <si>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</si>
  <si>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</si>
  <si>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</si>
  <si>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</si>
  <si>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</si>
  <si>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</si>
  <si>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</si>
  <si>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</si>
  <si>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</si>
  <si>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הראל הנפ אג יז</t>
  </si>
  <si>
    <t>IL0011614547</t>
  </si>
  <si>
    <t>לאומי   אגח 180</t>
  </si>
  <si>
    <t>IL0060404220</t>
  </si>
  <si>
    <t>28/02/2025</t>
  </si>
  <si>
    <t>מז טפ הנפ אגח60</t>
  </si>
  <si>
    <t>IL0023104560</t>
  </si>
  <si>
    <t>05/09/2024</t>
  </si>
  <si>
    <t>מזרחי טפחות הנפק 49</t>
  </si>
  <si>
    <t>IL0023102820</t>
  </si>
  <si>
    <t>23/06/2026</t>
  </si>
  <si>
    <t>מליסרון אגח יד</t>
  </si>
  <si>
    <t>IL0032302320</t>
  </si>
  <si>
    <t>27/04/2026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</si>
  <si>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</si>
  <si>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</si>
  <si>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</si>
  <si>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</si>
  <si>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</si>
  <si>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</si>
  <si>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ריט בע"מ</t>
  </si>
  <si>
    <t>515983476</t>
  </si>
  <si>
    <t>קיסטון ריט אגח א</t>
  </si>
  <si>
    <t>IL0011821878</t>
  </si>
  <si>
    <t>אשטרום קב אגח ב</t>
  </si>
  <si>
    <t>IL0011323313</t>
  </si>
  <si>
    <t>11/05/2025</t>
  </si>
  <si>
    <t>חוזים עתידיים בחול</t>
  </si>
  <si>
    <t>10527</t>
  </si>
  <si>
    <t>NQU4_NASDAQ 100 E-MINI SEP24</t>
  </si>
  <si>
    <t>NQU4</t>
  </si>
  <si>
    <t>NASDAQ </t>
  </si>
  <si>
    <t>S&amp;P 500 EMINI FUT SEP24</t>
  </si>
  <si>
    <t>ESU4</t>
  </si>
  <si>
    <t>US 10 YR ULTRA FUT SEP24</t>
  </si>
  <si>
    <t>UXYU4</t>
  </si>
  <si>
    <t>סיפיה אופציה 1</t>
  </si>
  <si>
    <t>IL0011820052</t>
  </si>
  <si>
    <t>18/11/2024</t>
  </si>
  <si>
    <t>ריט אזורים אפ 1</t>
  </si>
  <si>
    <t>IL0012010117</t>
  </si>
  <si>
    <t>31/12/2024</t>
  </si>
  <si>
    <t>NAV
(במטבע הדיווח של קרן ההשקעה)</t>
  </si>
  <si>
    <t>JTLV III FUND, LIMITED PARTNERSHIP</t>
  </si>
  <si>
    <t>540316908</t>
  </si>
  <si>
    <t>3 JTLV</t>
  </si>
  <si>
    <t>06/06/2022</t>
  </si>
  <si>
    <t>FIMI OPPORTUNITY FUND , L.P</t>
  </si>
  <si>
    <t>530278548</t>
  </si>
  <si>
    <t>FIMI ISRAEL OPPORTUNITY FOUND 7</t>
  </si>
  <si>
    <t>24/05/2021</t>
  </si>
  <si>
    <t>Firstime Ventures General Partner L.P.</t>
  </si>
  <si>
    <t>27986</t>
  </si>
  <si>
    <t>FIRST TIME</t>
  </si>
  <si>
    <t>02/07/2015</t>
  </si>
  <si>
    <t>FIRSTIME III</t>
  </si>
  <si>
    <t>18/11/2021</t>
  </si>
  <si>
    <t>FIRSTIME VENTURES II L.P</t>
  </si>
  <si>
    <t>12/02/2017</t>
  </si>
  <si>
    <t>ION ISRAEL FEEDER FUND LTD</t>
  </si>
  <si>
    <t>27177</t>
  </si>
  <si>
    <t>ION ISR. FEEDER 2013( USA ) 07  ׁ</t>
  </si>
  <si>
    <t>18/02/2021</t>
  </si>
  <si>
    <t>ISRAEL INFRASTRUCTURE FUND III, L.P.</t>
  </si>
  <si>
    <t>530274141</t>
  </si>
  <si>
    <t>ISRAEL INFR III</t>
  </si>
  <si>
    <t>13/10/2016</t>
  </si>
  <si>
    <t>ISRAEL INFRASTRUCTURE FUND IV, LP</t>
  </si>
  <si>
    <t>540294725</t>
  </si>
  <si>
    <t>Israel Infrastructure Fund IV</t>
  </si>
  <si>
    <t>13/10/2020</t>
  </si>
  <si>
    <t>Israel secondary fund</t>
  </si>
  <si>
    <t>12962</t>
  </si>
  <si>
    <t>ISRAEL SECONDARY FUND II L.P</t>
  </si>
  <si>
    <t>06/04/2017</t>
  </si>
  <si>
    <t>JVP VII OPPORTUNITY LP</t>
  </si>
  <si>
    <t>500452859</t>
  </si>
  <si>
    <t>28/02/2016</t>
  </si>
  <si>
    <t xml:space="preserve">Klirmark Opportunity Fund </t>
  </si>
  <si>
    <t>CO-101523</t>
  </si>
  <si>
    <t>KLIRMARK III</t>
  </si>
  <si>
    <t>06/11/2019</t>
  </si>
  <si>
    <t>Klirmark IV</t>
  </si>
  <si>
    <t>17/04/2023</t>
  </si>
  <si>
    <t>NEXTIME VENTURES I L.P</t>
  </si>
  <si>
    <t>01/07/2019</t>
  </si>
  <si>
    <t>QUMRA CAPITAL MANAGEMENT LTD</t>
  </si>
  <si>
    <t>514915941</t>
  </si>
  <si>
    <t>QUMRA CAPITAL I</t>
  </si>
  <si>
    <t>30/12/2014</t>
  </si>
  <si>
    <t>QUMRA CAPITAL II LP</t>
  </si>
  <si>
    <t>13/08/2017</t>
  </si>
  <si>
    <t>Qumra Capital III</t>
  </si>
  <si>
    <t>17/02/2021</t>
  </si>
  <si>
    <t>Qumra Opportunity Fund</t>
  </si>
  <si>
    <t>05/05/2021</t>
  </si>
  <si>
    <t>RAFARMA INVESTMENTS 2020, LP</t>
  </si>
  <si>
    <t>540300902</t>
  </si>
  <si>
    <t>RACAH NANO VENTURE FUND</t>
  </si>
  <si>
    <t>09/07/2019</t>
  </si>
  <si>
    <t>12/05/2024</t>
  </si>
  <si>
    <t>RACAH NANO VENTURE FUND, LP</t>
  </si>
  <si>
    <t>540286820</t>
  </si>
  <si>
    <t>RAFARMA INVESTMENTS2020 LP</t>
  </si>
  <si>
    <t>21/12/2020</t>
  </si>
  <si>
    <t>SKY IV</t>
  </si>
  <si>
    <t>89839</t>
  </si>
  <si>
    <t>20/03/2022</t>
  </si>
  <si>
    <t>TERRA VENTURE PARTNERS</t>
  </si>
  <si>
    <t>222100FKDNQA51J4LR95</t>
  </si>
  <si>
    <t>TERRA VENTURES 3</t>
  </si>
  <si>
    <t>13/06/2019</t>
  </si>
  <si>
    <t>Vintage Fund of Funds IV (Israel), L.P.</t>
  </si>
  <si>
    <t>500450531</t>
  </si>
  <si>
    <t>Vintage FOF IV</t>
  </si>
  <si>
    <t>22/05/2016</t>
  </si>
  <si>
    <t>Vintage Fund of Funds V (Access), L.P.</t>
  </si>
  <si>
    <t>500458815</t>
  </si>
  <si>
    <t>Vintage FOF V Access</t>
  </si>
  <si>
    <t>17/09/2018</t>
  </si>
  <si>
    <t>Vintage Fund of Funds V (Israel), L.P.</t>
  </si>
  <si>
    <t>500461652</t>
  </si>
  <si>
    <t>VINTAGE FOF V ISRAEL</t>
  </si>
  <si>
    <t>23/01/2020</t>
  </si>
  <si>
    <t>Vintage Fund of Funds VI (Access), L.P.</t>
  </si>
  <si>
    <t>500466123</t>
  </si>
  <si>
    <t>VINTAGE FOF VI ACCESS</t>
  </si>
  <si>
    <t>Vintage Fund of Funds VI (Israel), L.P.</t>
  </si>
  <si>
    <t>500469325</t>
  </si>
  <si>
    <t>Vintage FOF VI Israel</t>
  </si>
  <si>
    <t>23/12/2021</t>
  </si>
  <si>
    <t>Vintage Fund of Funds VII (Access) L.P.</t>
  </si>
  <si>
    <t>500472543</t>
  </si>
  <si>
    <t>Vintage FOF VII Access</t>
  </si>
  <si>
    <t>15/08/2022</t>
  </si>
  <si>
    <t>וינטג'</t>
  </si>
  <si>
    <t>Vintage Growth Fund III, L.P</t>
  </si>
  <si>
    <t>06/01/2020</t>
  </si>
  <si>
    <t>Vintage Secondary Fund IV</t>
  </si>
  <si>
    <t>29/05/2018</t>
  </si>
  <si>
    <t>Vintage Secondary Fund V L.P.</t>
  </si>
  <si>
    <t>500471925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</si>
  <si>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</si>
  <si>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</si>
  <si>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</si>
  <si>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</si>
  <si>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</si>
  <si>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</si>
  <si>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</si>
  <si>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</si>
  <si>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20/09/2021</t>
  </si>
  <si>
    <t>גיזה חוב</t>
  </si>
  <si>
    <t>513540757</t>
  </si>
  <si>
    <t>14/02/2022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</si>
  <si>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</si>
  <si>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</si>
  <si>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</si>
  <si>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</si>
  <si>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</si>
  <si>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</si>
  <si>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</si>
  <si>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ARCLIGHT</t>
  </si>
  <si>
    <t>89940</t>
  </si>
  <si>
    <t>ARCLIGHT 3C SPV</t>
  </si>
  <si>
    <t>25/07/2022</t>
  </si>
  <si>
    <t>ARDIAN Infrastructure Fund VI</t>
  </si>
  <si>
    <t>98450046FF9E70CFBA37</t>
  </si>
  <si>
    <t>04/09/2023</t>
  </si>
  <si>
    <t>ASF IX</t>
  </si>
  <si>
    <t>SL35491</t>
  </si>
  <si>
    <t>האי ג'רזי</t>
  </si>
  <si>
    <t>06/10/2022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</si>
  <si>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</si>
  <si>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</si>
  <si>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</si>
  <si>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</si>
  <si>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</si>
  <si>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</si>
  <si>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</si>
  <si>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</si>
  <si>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</si>
  <si>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</si>
  <si>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03/12/2019</t>
  </si>
  <si>
    <t>COLCHIS INCOME FUND, LTD.</t>
  </si>
  <si>
    <t>618052</t>
  </si>
  <si>
    <t>COLCHIS INCOME FUND</t>
  </si>
  <si>
    <t>18/07/2019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</si>
  <si>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</si>
  <si>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</si>
  <si>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</si>
  <si>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</si>
  <si>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</si>
  <si>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</si>
  <si>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</si>
  <si>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</si>
  <si>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</si>
  <si>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</si>
  <si>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</si>
  <si>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</si>
  <si>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</si>
  <si>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</si>
  <si>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</si>
  <si>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25/03/2021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</si>
  <si>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</si>
  <si>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</si>
  <si>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</si>
  <si>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</si>
  <si>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</si>
  <si>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</si>
  <si>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</si>
  <si>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</si>
  <si>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</si>
  <si>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</si>
  <si>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</si>
  <si>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</si>
  <si>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</si>
  <si>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</si>
  <si>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</si>
  <si>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</si>
  <si>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</si>
  <si>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</si>
  <si>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</si>
  <si>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</si>
  <si>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Master Fund</t>
  </si>
  <si>
    <t>27/05/2024</t>
  </si>
  <si>
    <t>HARBOURVEST PARTNERS, LLC</t>
  </si>
  <si>
    <t>5493001MCDH7I6NIXC24</t>
  </si>
  <si>
    <t>HARBOURVEST 2017 GLOBAL FUND</t>
  </si>
  <si>
    <t>29/10/2017</t>
  </si>
  <si>
    <t>Harbourvest 2018 Global Fund L.P</t>
  </si>
  <si>
    <t>Harbourvest 2019 Global Fund L.P</t>
  </si>
  <si>
    <t>09/12/2019</t>
  </si>
  <si>
    <t>HARBOURVEST 2021 GLOBAL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</si>
  <si>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</si>
  <si>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</si>
  <si>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</si>
  <si>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</si>
  <si>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</si>
  <si>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</si>
  <si>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</si>
  <si>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</si>
  <si>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</si>
  <si>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</si>
  <si>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</si>
  <si>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</si>
  <si>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22/12/2020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</si>
  <si>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</si>
  <si>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</si>
  <si>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</si>
  <si>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</si>
  <si>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</si>
  <si>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</si>
  <si>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</si>
  <si>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</si>
  <si>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</si>
  <si>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</si>
  <si>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</si>
  <si>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</si>
  <si>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</si>
  <si>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</si>
  <si>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</si>
  <si>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</si>
  <si>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</si>
  <si>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</si>
  <si>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</si>
  <si>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</si>
  <si>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</si>
  <si>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</si>
  <si>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</si>
  <si>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</si>
  <si>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</si>
  <si>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</si>
  <si>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</si>
  <si>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</si>
  <si>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</si>
  <si>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</si>
  <si>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</si>
  <si>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</si>
  <si>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</si>
  <si>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</si>
  <si>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</si>
  <si>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</si>
  <si>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</si>
  <si>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</si>
  <si>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</si>
  <si>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</si>
  <si>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</si>
  <si>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</si>
  <si>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</si>
  <si>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</si>
  <si>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</si>
  <si>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</si>
  <si>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</si>
  <si>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</si>
  <si>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</si>
  <si>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</si>
  <si>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</si>
  <si>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</si>
  <si>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</si>
  <si>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</si>
  <si>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</si>
  <si>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</si>
  <si>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</si>
  <si>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</si>
  <si>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</si>
  <si>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</si>
  <si>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</si>
  <si>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</si>
  <si>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</si>
  <si>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</si>
  <si>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</si>
  <si>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</si>
  <si>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</si>
  <si>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</si>
  <si>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</si>
  <si>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</si>
  <si>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 </t>
  </si>
  <si>
    <t>SCHRODERS CAPITAL PRIVATE EQUITY ASIA V L.P</t>
  </si>
  <si>
    <t>08/07/2021</t>
  </si>
  <si>
    <t>Schroders Capital Private Equity Secondaries IV S.C.S.</t>
  </si>
  <si>
    <t>875500IALY0CK2QA6W30 </t>
  </si>
  <si>
    <t>Schroders Secondary IV</t>
  </si>
  <si>
    <t>07/02/2022</t>
  </si>
  <si>
    <t>Vintage Fund of Funds VII (Breakout), L.P.</t>
  </si>
  <si>
    <t>500472568</t>
  </si>
  <si>
    <t>Vintage FOF VII Breakout</t>
  </si>
  <si>
    <t>14/11/2022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</si>
  <si>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</si>
  <si>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</si>
  <si>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</si>
  <si>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</si>
  <si>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</si>
  <si>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</si>
  <si>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</si>
  <si>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>IIF FUND II LP</t>
  </si>
  <si>
    <t>28266</t>
  </si>
  <si>
    <t>ISRAEL INFRASTRUCTURE FUND II L.P</t>
  </si>
  <si>
    <t>JVP IV ANNEX LP</t>
  </si>
  <si>
    <t>500438064</t>
  </si>
  <si>
    <t>JVP IV ANNEX</t>
  </si>
  <si>
    <t>JVP VII LP</t>
  </si>
  <si>
    <t>500446158</t>
  </si>
  <si>
    <t>JVP VII</t>
  </si>
  <si>
    <t>JVP VIII L.P</t>
  </si>
  <si>
    <t>27916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</si>
  <si>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</si>
  <si>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</si>
  <si>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</si>
  <si>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</si>
  <si>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</si>
  <si>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</si>
  <si>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</si>
  <si>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500442751</t>
  </si>
  <si>
    <t>Vintage Secondary Fund III (Israel), L.P.</t>
  </si>
  <si>
    <t>500442769</t>
  </si>
  <si>
    <t>Vintage Secondary Fund III</t>
  </si>
  <si>
    <t>28/05/2018</t>
  </si>
  <si>
    <t>אורגרין</t>
  </si>
  <si>
    <t>530223684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</si>
  <si>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</si>
  <si>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</si>
  <si>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</si>
  <si>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</si>
  <si>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</si>
  <si>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</si>
  <si>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</si>
  <si>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</si>
  <si>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</si>
  <si>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</si>
  <si>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</si>
  <si>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פלנוס</t>
  </si>
  <si>
    <t>פלנוס מזנין קרן השקעה</t>
  </si>
  <si>
    <t>AVIV VENTURES I PARTNERS , L.P</t>
  </si>
  <si>
    <t>550205660</t>
  </si>
  <si>
    <t>קרן אביב 2 קרן הון סיכון</t>
  </si>
  <si>
    <t>JVP V LP</t>
  </si>
  <si>
    <t>500438023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</si>
  <si>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</si>
  <si>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</si>
  <si>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</si>
  <si>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</si>
  <si>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</si>
  <si>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</si>
  <si>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</si>
  <si>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</si>
  <si>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</si>
  <si>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</si>
  <si>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LLCP Partners VI GP, L.P.</t>
  </si>
  <si>
    <t>820734071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</si>
  <si>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</si>
  <si>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</si>
  <si>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</si>
  <si>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</si>
  <si>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</si>
  <si>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</si>
  <si>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</si>
  <si>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</si>
  <si>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</si>
  <si>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</si>
  <si>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ATERA NETWORKS LTD</t>
  </si>
  <si>
    <t>27702</t>
  </si>
  <si>
    <t>60353513</t>
  </si>
  <si>
    <t>24/12/2019</t>
  </si>
  <si>
    <t>CIVAN ADVANCED TECHNOGIES</t>
  </si>
  <si>
    <t>514154244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</si>
  <si>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</si>
  <si>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</si>
  <si>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</si>
  <si>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</si>
  <si>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</si>
  <si>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</si>
  <si>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</si>
  <si>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89500</t>
  </si>
  <si>
    <t>IMM- VX (VELOX) CLASS B</t>
  </si>
  <si>
    <t>62021647</t>
  </si>
  <si>
    <t>השקעות בהייטק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</si>
  <si>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</si>
  <si>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</si>
  <si>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</si>
  <si>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</si>
  <si>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</si>
  <si>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</si>
  <si>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</si>
  <si>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</si>
  <si>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</si>
  <si>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</si>
  <si>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</si>
  <si>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</si>
  <si>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 xml:space="preserve">QUANTUM </t>
  </si>
  <si>
    <t>28588</t>
  </si>
  <si>
    <t>Quantum Machines</t>
  </si>
  <si>
    <t>62020714</t>
  </si>
  <si>
    <t>01/08/2022</t>
  </si>
  <si>
    <t>RESONAI</t>
  </si>
  <si>
    <t>89849</t>
  </si>
  <si>
    <t>62020383</t>
  </si>
  <si>
    <t>03/04/2022</t>
  </si>
  <si>
    <t>silentium</t>
  </si>
  <si>
    <t>89338</t>
  </si>
  <si>
    <t>Silentium LTD</t>
  </si>
  <si>
    <t>62018429</t>
  </si>
  <si>
    <t>08/06/2021</t>
  </si>
  <si>
    <t>TIPA CORP LTD</t>
  </si>
  <si>
    <t>514420660</t>
  </si>
  <si>
    <t>62020102</t>
  </si>
  <si>
    <t>12/01/2022</t>
  </si>
  <si>
    <t>TWINE</t>
  </si>
  <si>
    <t>13286</t>
  </si>
  <si>
    <t>TWINE SOLUTIONS LTD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</si>
  <si>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</si>
  <si>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</si>
  <si>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</si>
  <si>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</si>
  <si>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</si>
  <si>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</si>
  <si>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</si>
  <si>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</si>
  <si>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</si>
  <si>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</si>
  <si>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</si>
  <si>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</si>
  <si>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</si>
  <si>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>28068</t>
  </si>
  <si>
    <t>BRIGHTON SPC - KIJANI COMMODIT</t>
  </si>
  <si>
    <t>KYG1367R1083</t>
  </si>
  <si>
    <t>27/09/2018</t>
  </si>
  <si>
    <t>EMERALD SIDEPOC</t>
  </si>
  <si>
    <t>27703</t>
  </si>
  <si>
    <t>XXX133661328</t>
  </si>
  <si>
    <t>Silk Technologies INC</t>
  </si>
  <si>
    <t>28307</t>
  </si>
  <si>
    <t>SILK</t>
  </si>
  <si>
    <t>62018056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</si>
  <si>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</si>
  <si>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</si>
  <si>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</si>
  <si>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</si>
  <si>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</si>
  <si>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</si>
  <si>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</si>
  <si>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15/03/2018</t>
  </si>
  <si>
    <t xml:space="preserve">גת אנרגיה בע"מ </t>
  </si>
  <si>
    <t>514293380</t>
  </si>
  <si>
    <t>גת אנרגיה ג'</t>
  </si>
  <si>
    <t>50000298</t>
  </si>
  <si>
    <t>31/12/2018</t>
  </si>
  <si>
    <t>גת אנרגיה מניה לא סחירה</t>
  </si>
  <si>
    <t>26211</t>
  </si>
  <si>
    <t>חפציבה גלובל בע"מ</t>
  </si>
  <si>
    <t>511963183</t>
  </si>
  <si>
    <t>חפציבה גלובל</t>
  </si>
  <si>
    <t>1085489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</si>
  <si>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</si>
  <si>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</si>
  <si>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</si>
  <si>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</si>
  <si>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</si>
  <si>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</si>
  <si>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</si>
  <si>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</si>
  <si>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</si>
  <si>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</si>
  <si>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</si>
  <si>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</si>
  <si>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</si>
  <si>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</si>
  <si>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מור קרן נדל"ן בינלאומי מניה A</t>
  </si>
  <si>
    <t>10000495</t>
  </si>
  <si>
    <t>מור קרן נדל"ן בינלאומי מניה רגילה</t>
  </si>
  <si>
    <t>9840879</t>
  </si>
  <si>
    <t>דוראה השקעות ופיתוח בע"מ</t>
  </si>
  <si>
    <t>520038282</t>
  </si>
  <si>
    <t>5.15% 2015 'דוראה סדרה ד</t>
  </si>
  <si>
    <t>IL0037201170</t>
  </si>
  <si>
    <t>28/02/2015</t>
  </si>
  <si>
    <t>31/03/2020</t>
  </si>
  <si>
    <t>אולימפיה החזקות נדל"ן בע"מ</t>
  </si>
  <si>
    <t>520035155</t>
  </si>
  <si>
    <t>אולימפיה אג"ח ב'</t>
  </si>
  <si>
    <t>IL0017900544</t>
  </si>
  <si>
    <t>31/12/2021</t>
  </si>
  <si>
    <t>30/06/2021</t>
  </si>
  <si>
    <t>ב.ס.ר אירופה בע"מ</t>
  </si>
  <si>
    <t>520033838</t>
  </si>
  <si>
    <t>בסר אירופה אגח ח</t>
  </si>
  <si>
    <t>IL0011701419</t>
  </si>
  <si>
    <t>30/11/2023</t>
  </si>
  <si>
    <t>30/12/2021</t>
  </si>
  <si>
    <t>גב-ים נגב בע"מ</t>
  </si>
  <si>
    <t>514189596</t>
  </si>
  <si>
    <t>גב-ים נגב אגח א רמ</t>
  </si>
  <si>
    <t>IL0011511412</t>
  </si>
  <si>
    <t>29/07/2018</t>
  </si>
  <si>
    <t>20/10/2027</t>
  </si>
  <si>
    <t>אי תלות</t>
  </si>
  <si>
    <t>31/03/2024</t>
  </si>
  <si>
    <t>דוראה אגח ב</t>
  </si>
  <si>
    <t>IL0037200750</t>
  </si>
  <si>
    <t>03/12/2012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</si>
  <si>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</si>
  <si>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</si>
  <si>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</si>
  <si>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</si>
  <si>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</si>
  <si>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</si>
  <si>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</si>
  <si>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עוגן- אגח חברתיות 1 בעמ</t>
  </si>
  <si>
    <t>עוגן חלצ אגחב-רמ</t>
  </si>
  <si>
    <t>IL0011968497</t>
  </si>
  <si>
    <t>19/06/2023</t>
  </si>
  <si>
    <t>15/06/2027</t>
  </si>
  <si>
    <t>קמור בע"מ</t>
  </si>
  <si>
    <t>520034117</t>
  </si>
  <si>
    <t>קמור אגח ו</t>
  </si>
  <si>
    <t>IL0013201186</t>
  </si>
  <si>
    <t>C</t>
  </si>
  <si>
    <t>27/09/2026</t>
  </si>
  <si>
    <t>09/01/2024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</si>
  <si>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</si>
  <si>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</si>
  <si>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</si>
  <si>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</si>
  <si>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</si>
  <si>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</si>
  <si>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29/06/2021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</si>
  <si>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</si>
  <si>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</si>
  <si>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</si>
  <si>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</si>
  <si>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</si>
  <si>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</si>
  <si>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וי.אי.די. התפלת מי אשקלון</t>
  </si>
  <si>
    <t>513102384</t>
  </si>
  <si>
    <t>התפלת מי אשקלון VID</t>
  </si>
  <si>
    <t>IL0010876832</t>
  </si>
  <si>
    <t>22/10/2025</t>
  </si>
  <si>
    <t>וורלד גרופ קפיטל בע"מ</t>
  </si>
  <si>
    <t>520033614</t>
  </si>
  <si>
    <t>וורלד קפיטל אגח ב</t>
  </si>
  <si>
    <t>IL0013501072</t>
  </si>
  <si>
    <t>30/09/2011</t>
  </si>
  <si>
    <t>03/11/2021</t>
  </si>
  <si>
    <t>חפציבה ג'רוזלם גולד בע"מ</t>
  </si>
  <si>
    <t>510404460</t>
  </si>
  <si>
    <t>חפציבה גרוזלם אגח 1</t>
  </si>
  <si>
    <t>IL0010999444</t>
  </si>
  <si>
    <t>26/08/2009</t>
  </si>
  <si>
    <t>23/01/2023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</si>
  <si>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</si>
  <si>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</si>
  <si>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</si>
  <si>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</si>
  <si>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</si>
  <si>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</si>
  <si>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</si>
  <si>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</si>
  <si>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</si>
  <si>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</si>
  <si>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</si>
  <si>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</si>
  <si>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20/05/2020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</si>
  <si>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</si>
  <si>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</si>
  <si>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</si>
  <si>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</si>
  <si>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</si>
  <si>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</si>
  <si>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</si>
  <si>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02/07/2027</t>
  </si>
  <si>
    <t>SYBIL EUROPE LIMITED</t>
  </si>
  <si>
    <t>513948265</t>
  </si>
  <si>
    <t>סיביל יורופ אגח א (חברה מחוקה)</t>
  </si>
  <si>
    <t>IL0011052466</t>
  </si>
  <si>
    <t>31/12/2014</t>
  </si>
  <si>
    <t>01/06/2015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</si>
  <si>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</si>
  <si>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</si>
  <si>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</si>
  <si>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</si>
  <si>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</si>
  <si>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</si>
  <si>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31/05/2021</t>
  </si>
  <si>
    <t>אולימפיה אגח ג (מחוקה)</t>
  </si>
  <si>
    <t>IL0017900627</t>
  </si>
  <si>
    <t>01/01/2018</t>
  </si>
  <si>
    <t>31/08/2015</t>
  </si>
  <si>
    <t>10/11/2021</t>
  </si>
  <si>
    <t>דוראה אגח א</t>
  </si>
  <si>
    <t>IL0037200347</t>
  </si>
  <si>
    <t>01/05/2019</t>
  </si>
  <si>
    <t>31/05/2012</t>
  </si>
  <si>
    <t>31/08/2020</t>
  </si>
  <si>
    <t>פונטיפקס 5  ג'י.פי ש.מ</t>
  </si>
  <si>
    <t>232962336</t>
  </si>
  <si>
    <t>אביב קרן הון סיכון</t>
  </si>
  <si>
    <t>513592659</t>
  </si>
  <si>
    <t>Qumra Capital GP II, L.P.</t>
  </si>
  <si>
    <t>12840</t>
  </si>
  <si>
    <t>Qumra Opportunity Fund GP, L.P.</t>
  </si>
  <si>
    <t>873792462</t>
  </si>
  <si>
    <t>Moneta Capital</t>
  </si>
  <si>
    <t>540296522</t>
  </si>
  <si>
    <t>פימי אופורטיוניטי 7 שותפות מוגבלת</t>
  </si>
  <si>
    <t>תשתיות ישראל  ג'י. פי. 4 שותפות מוגבלת</t>
  </si>
  <si>
    <t>550243026</t>
  </si>
  <si>
    <t>דיפרטנר</t>
  </si>
  <si>
    <t>513653105</t>
  </si>
  <si>
    <t>TENNET HOLDINGS</t>
  </si>
  <si>
    <t>724500LTUWK3JQG63903</t>
  </si>
  <si>
    <t>Dover Street XI L.P</t>
  </si>
  <si>
    <t>DOVER STREET IX LP</t>
  </si>
  <si>
    <t>27949</t>
  </si>
  <si>
    <t xml:space="preserve">harbourvest </t>
  </si>
  <si>
    <t>28346</t>
  </si>
  <si>
    <t>ICG Fund</t>
  </si>
  <si>
    <t>12787</t>
  </si>
  <si>
    <t>MIRA Infrastructure גלובלי Solution GP LLC</t>
  </si>
  <si>
    <t>514956846</t>
  </si>
  <si>
    <t>Macquarie Infrastructure</t>
  </si>
  <si>
    <t>10708</t>
  </si>
  <si>
    <t>Pantheon Private Debt</t>
  </si>
  <si>
    <t>11542</t>
  </si>
  <si>
    <t>PANTHEON GLOBAL SECONDARY FUND</t>
  </si>
  <si>
    <t xml:space="preserve">Pantheon Access Feeder LP </t>
  </si>
  <si>
    <t>B 201.101</t>
  </si>
  <si>
    <t xml:space="preserve">Pantheon PGIF IV GP (Lux) </t>
  </si>
  <si>
    <t>B 283012</t>
  </si>
  <si>
    <t>Faropoint Industrial Value Fund III GP, LP</t>
  </si>
  <si>
    <t>89964</t>
  </si>
  <si>
    <t>5144444</t>
  </si>
  <si>
    <t>LCN חו"לrth American Fund GP III, L.P.</t>
  </si>
  <si>
    <t>Primavera Capital GP IV Ltd.</t>
  </si>
  <si>
    <t>320581761</t>
  </si>
  <si>
    <t>ECP Terra-Gen Growth Fund, LLC</t>
  </si>
  <si>
    <t>853783073</t>
  </si>
  <si>
    <t>ECP Fund V</t>
  </si>
  <si>
    <t>Schroders Capital Private Equity אסיה Management V</t>
  </si>
  <si>
    <t>832664347</t>
  </si>
  <si>
    <t>SCHRODER INT</t>
  </si>
  <si>
    <t>W98SM5I2EG2S17ELT606</t>
  </si>
  <si>
    <t>2020 2423 842</t>
  </si>
  <si>
    <t>AXIOM ASIA PRIVATE CAPITAL FUN</t>
  </si>
  <si>
    <t>89700</t>
  </si>
  <si>
    <t>89957</t>
  </si>
  <si>
    <t>JTLV 3</t>
  </si>
  <si>
    <t>One Equity Partners VIII-A</t>
  </si>
  <si>
    <t>89429</t>
  </si>
  <si>
    <t>Kreos capital V</t>
  </si>
  <si>
    <t>12948</t>
  </si>
  <si>
    <t>קרן מנוף אוריגו 1</t>
  </si>
  <si>
    <t>550234835</t>
  </si>
  <si>
    <t>ארלוזורוב י-ם</t>
  </si>
  <si>
    <t>דניאל רובינזון</t>
  </si>
  <si>
    <t>בית השנהב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</si>
  <si>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</si>
  <si>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</si>
  <si>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</si>
  <si>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</si>
  <si>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</si>
  <si>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</si>
  <si>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</si>
  <si>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</si>
  <si>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</si>
  <si>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</si>
  <si>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</si>
  <si>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</si>
  <si>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</si>
  <si>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 xml:space="preserve">אורי צור </t>
  </si>
  <si>
    <t>ori@gemel.huji.ac.il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</si>
</sst>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%"/>
    <numFmt numFmtId="166" formatCode="_ * #,##0_ ;_ * \-#,##0_ ;_ * &quot;-&quot;??_ ;_ @_ "/>
  </numFmts>
  <fonts count="30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0"/>
      <color theme="1"/>
      <name val="Arial"/>
      <family val="2"/>
      <charset val="177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9" fillId="0" borderId="0"/>
  </cellStyleXfs>
  <cellXfs count="19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1" xfId="0" applyNumberFormat="1" applyFont="1" applyFill="1" applyBorder="1" applyProtection="1">
      <protection locked="0"/>
    </xf>
    <xf numFmtId="0" fontId="3" fillId="0" borderId="2" xfId="0" applyNumberFormat="1" applyFont="1" applyFill="1" applyBorder="1" applyProtection="1">
      <protection locked="0"/>
    </xf>
    <xf numFmtId="0" fontId="3" fillId="0" borderId="1" xfId="0" applyNumberFormat="1" applyFont="1" applyFill="1" applyBorder="1" applyProtection="1">
      <protection locked="0"/>
    </xf>
    <xf numFmtId="0" fontId="3" fillId="0" borderId="0" xfId="0" applyNumberFormat="1" applyFont="1" applyFill="1" applyBorder="1" applyAlignment="1">
      <alignment horizontal="right" readingOrder="1"/>
    </xf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3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4" xfId="0" applyNumberFormat="1" applyFont="1" applyFill="1" applyBorder="1" applyAlignment="1">
      <alignment horizontal="right"/>
    </xf>
    <xf numFmtId="0" fontId="3" fillId="0" borderId="4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13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7" fillId="3" borderId="9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8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0" fontId="2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center" vertical="center" wrapText="1"/>
    </xf>
    <xf numFmtId="0" fontId="7" fillId="3" borderId="11" xfId="0" applyNumberFormat="1" applyFont="1" applyFill="1" applyBorder="1" applyAlignment="1">
      <alignment horizontal="right" vertical="center" wrapText="1"/>
    </xf>
    <xf numFmtId="0" fontId="8" fillId="0" borderId="11" xfId="0" applyNumberFormat="1" applyFont="1" applyFill="1" applyBorder="1"/>
    <xf numFmtId="0" fontId="8" fillId="0" borderId="11" xfId="0" applyNumberFormat="1" applyFont="1" applyFill="1" applyBorder="1" applyAlignment="1">
      <alignment horizontal="center" vertical="center" wrapText="1"/>
    </xf>
    <xf numFmtId="0" fontId="15" fillId="0" borderId="11" xfId="0" applyNumberFormat="1" applyFont="1" applyFill="1" applyBorder="1" applyAlignment="1">
      <alignment horizontal="center" vertical="center" wrapText="1"/>
    </xf>
    <xf numFmtId="0" fontId="19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0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center"/>
    </xf>
    <xf numFmtId="0" fontId="2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2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2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2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2" fillId="2" borderId="5" xfId="0" applyNumberFormat="1" applyFont="1" applyFill="1" applyBorder="1" applyAlignment="1">
      <alignment horizontal="right" vertical="top"/>
    </xf>
    <xf numFmtId="0" fontId="2" fillId="2" borderId="10" xfId="0" applyNumberFormat="1" applyFont="1" applyFill="1" applyBorder="1" applyAlignment="1">
      <alignment horizontal="right" vertical="top"/>
    </xf>
    <xf numFmtId="0" fontId="2" fillId="2" borderId="6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2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2" xfId="2" applyNumberFormat="1" applyFont="1" applyFill="1" applyBorder="1" applyAlignment="1">
      <alignment horizontal="right" vertical="center" wrapText="1"/>
    </xf>
    <xf numFmtId="0" fontId="12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2" xfId="2" applyNumberFormat="1" applyFont="1" applyFill="1" applyBorder="1" applyAlignment="1" applyProtection="1">
      <alignment vertical="center" wrapText="1"/>
      <protection locked="0"/>
    </xf>
    <xf numFmtId="0" fontId="7" fillId="3" borderId="13" xfId="0" applyNumberFormat="1" applyFont="1" applyFill="1" applyBorder="1" applyAlignment="1">
      <alignment horizontal="right" vertical="center"/>
    </xf>
    <xf numFmtId="0" fontId="7" fillId="3" borderId="3" xfId="0" applyNumberFormat="1" applyFont="1" applyFill="1" applyBorder="1" applyAlignment="1">
      <alignment horizontal="center" vertical="center" wrapText="1" readingOrder="2"/>
    </xf>
    <xf numFmtId="0" fontId="18" fillId="0" borderId="15" xfId="0" applyNumberFormat="1" applyFont="1" applyFill="1" applyBorder="1"/>
    <xf numFmtId="0" fontId="18" fillId="0" borderId="16" xfId="0" applyNumberFormat="1" applyFont="1" applyFill="1" applyBorder="1"/>
    <xf numFmtId="0" fontId="18" fillId="0" borderId="17" xfId="0" applyNumberFormat="1" applyFont="1" applyFill="1" applyBorder="1" applyAlignment="1">
      <alignment horizontal="right"/>
    </xf>
    <xf numFmtId="0" fontId="21" fillId="0" borderId="1" xfId="0" applyNumberFormat="1" applyFont="1" applyFill="1" applyBorder="1" applyAlignment="1">
      <alignment horizontal="center" vertical="center" wrapText="1" readingOrder="2"/>
    </xf>
    <xf numFmtId="0" fontId="22" fillId="0" borderId="1" xfId="0" applyNumberFormat="1" applyFont="1" applyFill="1" applyBorder="1" applyAlignment="1">
      <alignment vertical="center" wrapText="1" readingOrder="2"/>
    </xf>
    <xf numFmtId="0" fontId="2" fillId="2" borderId="5" xfId="0" applyNumberFormat="1" applyFont="1" applyFill="1" applyBorder="1" applyAlignment="1">
      <alignment horizontal="right"/>
    </xf>
    <xf numFmtId="0" fontId="3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2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3" fillId="2" borderId="4" xfId="0" applyNumberFormat="1" applyFont="1" applyFill="1" applyBorder="1" applyAlignment="1">
      <alignment horizontal="right"/>
    </xf>
    <xf numFmtId="0" fontId="18" fillId="0" borderId="0" xfId="0" applyNumberFormat="1" applyFont="1" applyFill="1" applyBorder="1"/>
    <xf numFmtId="0" fontId="2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3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4" fillId="2" borderId="4" xfId="0" applyNumberFormat="1" applyFont="1" applyFill="1" applyBorder="1" applyAlignment="1">
      <alignment horizontal="right"/>
    </xf>
    <xf numFmtId="0" fontId="3" fillId="6" borderId="4" xfId="0" applyNumberFormat="1" applyFont="1" applyFill="1" applyBorder="1" applyAlignment="1">
      <alignment horizontal="right"/>
    </xf>
    <xf numFmtId="0" fontId="25" fillId="0" borderId="0" xfId="0" applyNumberFormat="1" applyFont="1" applyFill="1" applyBorder="1" applyProtection="1">
      <protection locked="0"/>
    </xf>
    <xf numFmtId="0" fontId="25" fillId="0" borderId="0" xfId="0" applyNumberFormat="1" applyFont="1" applyFill="1" applyBorder="1"/>
    <xf numFmtId="43" fontId="7" fillId="3" borderId="11" xfId="1" applyNumberFormat="1" applyFont="1" applyFill="1" applyBorder="1" applyAlignment="1">
      <alignment horizontal="center" vertical="center" wrapText="1"/>
    </xf>
    <xf numFmtId="43" fontId="8" fillId="0" borderId="11" xfId="1" applyNumberFormat="1" applyFont="1" applyFill="1" applyBorder="1" applyAlignment="1">
      <alignment horizontal="center" vertical="center" wrapText="1"/>
    </xf>
    <xf numFmtId="43" fontId="15" fillId="0" borderId="11" xfId="1" applyNumberFormat="1" applyFont="1" applyFill="1" applyBorder="1" applyAlignment="1">
      <alignment horizontal="center" vertical="center" wrapText="1"/>
    </xf>
    <xf numFmtId="43" fontId="8" fillId="0" borderId="0" xfId="1" applyNumberFormat="1" applyFont="1" applyFill="1" applyBorder="1" applyAlignment="1">
      <alignment horizontal="center" vertical="center" wrapText="1"/>
    </xf>
    <xf numFmtId="43" fontId="7" fillId="3" borderId="14" xfId="1" applyNumberFormat="1" applyFont="1" applyFill="1" applyBorder="1" applyAlignment="1">
      <alignment horizontal="center" vertical="center"/>
    </xf>
    <xf numFmtId="9" fontId="7" fillId="3" borderId="11" xfId="4" applyNumberFormat="1" applyFont="1" applyFill="1" applyBorder="1" applyAlignment="1">
      <alignment horizontal="center" vertical="center" wrapText="1"/>
    </xf>
    <xf numFmtId="9" fontId="8" fillId="0" borderId="11" xfId="4" applyNumberFormat="1" applyFont="1" applyFill="1" applyBorder="1" applyAlignment="1">
      <alignment horizontal="center" vertical="center" wrapText="1"/>
    </xf>
    <xf numFmtId="9" fontId="15" fillId="0" borderId="11" xfId="4" applyNumberFormat="1" applyFont="1" applyFill="1" applyBorder="1" applyAlignment="1">
      <alignment horizontal="center" vertical="center" wrapText="1"/>
    </xf>
    <xf numFmtId="9" fontId="8" fillId="0" borderId="0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4" fillId="0" borderId="0" xfId="4" applyNumberFormat="1" applyFont="1" applyFill="1" applyBorder="1"/>
    <xf numFmtId="10" fontId="3" fillId="0" borderId="0" xfId="4" applyNumberFormat="1" applyFont="1" applyFill="1" applyBorder="1"/>
    <xf numFmtId="10" fontId="3" fillId="0" borderId="0" xfId="4" applyNumberFormat="1" applyFont="1" applyFill="1" applyBorder="1" applyProtection="1">
      <protection locked="0"/>
    </xf>
    <xf numFmtId="10" fontId="4" fillId="0" borderId="0" xfId="4" applyNumberFormat="1" applyFont="1" applyFill="1" applyBorder="1" applyProtection="1">
      <protection locked="0"/>
    </xf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4" fillId="0" borderId="0" xfId="4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5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3" xfId="4" applyNumberFormat="1" applyFont="1" applyFill="1" applyBorder="1" applyAlignment="1">
      <alignment horizontal="center" vertical="center" wrapText="1"/>
    </xf>
    <xf numFmtId="165" fontId="26" fillId="0" borderId="0" xfId="4" applyNumberFormat="1" applyFont="1" applyFill="1" applyBorder="1" applyAlignment="1">
      <alignment horizontal="center"/>
    </xf>
    <xf numFmtId="165" fontId="0" fillId="0" borderId="0" xfId="4" applyNumberFormat="1" applyFont="1" applyFill="1" applyBorder="1"/>
    <xf numFmtId="165" fontId="4" fillId="0" borderId="0" xfId="4" applyNumberFormat="1" applyFont="1" applyFill="1" applyBorder="1"/>
    <xf numFmtId="165" fontId="7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5" fontId="3" fillId="0" borderId="0" xfId="4" applyNumberFormat="1" applyFont="1" applyFill="1" applyBorder="1"/>
    <xf numFmtId="165" fontId="3" fillId="0" borderId="0" xfId="0" applyNumberFormat="1" applyFont="1" applyFill="1" applyBorder="1"/>
    <xf numFmtId="165" fontId="4" fillId="0" borderId="0" xfId="4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165" fontId="2" fillId="0" borderId="0" xfId="4" applyNumberFormat="1" applyFont="1" applyFill="1" applyBorder="1"/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9" fontId="0" fillId="0" borderId="0" xfId="4" applyFont="1"/>
    <xf numFmtId="0" fontId="2" fillId="0" borderId="0" xfId="0" applyFont="1"/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28" fillId="0" borderId="0" xfId="0" applyFont="1"/>
    <xf numFmtId="0" fontId="0" fillId="0" borderId="0" xfId="0" applyProtection="1">
      <protection locked="0"/>
    </xf>
    <xf numFmtId="14" fontId="2" fillId="0" borderId="0" xfId="0" applyNumberFormat="1" applyFont="1" applyProtection="1">
      <protection locked="0"/>
    </xf>
    <xf numFmtId="10" fontId="2" fillId="0" borderId="0" xfId="4" applyNumberFormat="1" applyFont="1"/>
    <xf numFmtId="17" fontId="28" fillId="0" borderId="0" xfId="0" applyNumberFormat="1" applyFont="1"/>
    <xf numFmtId="166" fontId="9" fillId="0" borderId="0" xfId="1" applyNumberFormat="1"/>
    <xf numFmtId="3" fontId="2" fillId="0" borderId="0" xfId="0" applyNumberFormat="1" applyFont="1" applyProtection="1">
      <protection locked="0"/>
    </xf>
    <xf numFmtId="10" fontId="2" fillId="0" borderId="0" xfId="4" applyNumberFormat="1" applyFont="1" applyProtection="1">
      <protection locked="0"/>
    </xf>
    <xf numFmtId="0" fontId="29" fillId="0" borderId="0" xfId="5" applyAlignment="1">
      <alignment horizontal="right"/>
    </xf>
    <xf numFmtId="0" fontId="4" fillId="0" borderId="0" xfId="0" applyNumberFormat="1" applyFont="1" applyFill="1" applyBorder="1" applyAlignment="1" applyProtection="1">
      <alignment horizontal="left"/>
      <protection locked="0"/>
    </xf>
  </cellXfs>
  <cellStyles count="6">
    <cellStyle name="Comma" xfId="1" builtinId="3"/>
    <cellStyle name="Normal" xfId="0" builtinId="0"/>
    <cellStyle name="Normal 2" xfId="5" xr:uid="{9BD819B2-1340-40A1-B5B9-9DC0522C2941}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AS107777A5I\kasefet$\Hebrew-University\Amitim\In\HU_510960586_gm_0224_6385784925648567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9" sqref="D19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2" t="s">
        <v>223</v>
      </c>
      <c r="B1" s="33"/>
      <c r="C1" s="33"/>
      <c r="D1" s="33"/>
    </row>
    <row r="3" spans="1:8">
      <c r="A3" t="s">
        <v>224</v>
      </c>
      <c r="D3" s="101" t="s">
        <v>225</v>
      </c>
    </row>
    <row r="5" spans="1:8">
      <c r="A5" t="s">
        <v>226</v>
      </c>
      <c r="D5" s="101" t="s">
        <v>1242</v>
      </c>
    </row>
    <row r="7" spans="1:8">
      <c r="A7" t="s">
        <v>227</v>
      </c>
      <c r="D7" s="101" t="s">
        <v>1246</v>
      </c>
    </row>
    <row r="8" spans="1:8">
      <c r="D8" s="31"/>
      <c r="E8" s="31"/>
      <c r="F8" s="31"/>
      <c r="G8" s="31"/>
      <c r="H8" s="31"/>
    </row>
    <row r="9" spans="1:8">
      <c r="A9" t="s">
        <v>228</v>
      </c>
      <c r="D9" s="101">
        <v>2024</v>
      </c>
    </row>
    <row r="11" spans="1:8">
      <c r="A11" t="s">
        <v>229</v>
      </c>
      <c r="D11" s="101" t="s">
        <v>1287</v>
      </c>
    </row>
    <row r="13" spans="1:8">
      <c r="A13" t="s">
        <v>230</v>
      </c>
      <c r="D13" s="102">
        <f>IFERROR(VLOOKUP(D11,'File Name Info'!A35:B121,2,0),"תא מחושב")</f>
        <v>510960586</v>
      </c>
    </row>
    <row r="15" spans="1:8" ht="15">
      <c r="A15" s="17" t="s">
        <v>231</v>
      </c>
      <c r="D15" s="102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510960586_gm_p_0224.xlsx</v>
      </c>
    </row>
    <row r="16" spans="1:8" ht="15">
      <c r="A16" s="17"/>
      <c r="D16" s="31"/>
      <c r="E16" s="31"/>
      <c r="F16" s="31"/>
      <c r="G16" s="31"/>
      <c r="H16" s="31"/>
    </row>
    <row r="17" spans="1:8" ht="15">
      <c r="A17" s="17" t="s">
        <v>232</v>
      </c>
      <c r="B17" s="15" t="s">
        <v>233</v>
      </c>
      <c r="C17" s="15"/>
      <c r="D17" s="103" t="s">
        <v>3304</v>
      </c>
    </row>
    <row r="18" spans="1:8">
      <c r="A18" s="13"/>
      <c r="D18" s="16"/>
      <c r="E18" s="16"/>
      <c r="F18" s="16"/>
      <c r="G18" s="16"/>
      <c r="H18" s="16"/>
    </row>
    <row r="19" spans="1:8">
      <c r="A19" s="13"/>
      <c r="B19" s="15" t="s">
        <v>234</v>
      </c>
      <c r="C19" s="15"/>
      <c r="D19" s="103"/>
    </row>
    <row r="20" spans="1:8">
      <c r="A20" s="13"/>
      <c r="D20" s="16"/>
      <c r="E20" s="16"/>
      <c r="F20" s="16"/>
      <c r="G20" s="16"/>
      <c r="H20" s="16"/>
    </row>
    <row r="21" spans="1:8">
      <c r="A21" s="13"/>
      <c r="B21" s="15" t="s">
        <v>235</v>
      </c>
      <c r="C21" s="15"/>
      <c r="D21" s="104" t="s">
        <v>3305</v>
      </c>
    </row>
    <row r="22" spans="1:8">
      <c r="A22" s="13"/>
      <c r="B22" s="14"/>
      <c r="C22" s="14"/>
    </row>
    <row r="23" spans="1:8" ht="15">
      <c r="A23" s="17" t="s">
        <v>236</v>
      </c>
      <c r="D23" t="s">
        <v>237</v>
      </c>
    </row>
    <row r="25" spans="1:8">
      <c r="D25" s="1"/>
    </row>
    <row r="28" spans="1:8" ht="14.1" customHeight="1">
      <c r="A28" s="25"/>
      <c r="D28" s="26"/>
      <c r="E28" s="28"/>
      <c r="F28" s="28"/>
      <c r="G28" s="28"/>
      <c r="H28" s="28"/>
    </row>
    <row r="29" spans="1:8">
      <c r="D29" s="15"/>
      <c r="E29" s="15"/>
      <c r="F29" s="15"/>
      <c r="G29" s="15"/>
      <c r="H29" s="15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D30" sqref="D30"/>
    </sheetView>
  </sheetViews>
  <sheetFormatPr defaultColWidth="9" defaultRowHeight="12.75"/>
  <cols>
    <col min="1" max="1" width="42.75" style="9" customWidth="1"/>
    <col min="2" max="2" width="13" style="137" customWidth="1"/>
    <col min="3" max="3" width="13" style="10" customWidth="1"/>
    <col min="4" max="4" width="13" style="137" customWidth="1"/>
    <col min="5" max="5" width="13" style="142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4"/>
      <c r="B1" s="134"/>
      <c r="C1" s="105" t="s">
        <v>1214</v>
      </c>
      <c r="D1" s="138"/>
      <c r="E1" s="139"/>
    </row>
    <row r="2" spans="1:5" ht="39.75" customHeight="1">
      <c r="A2" s="44"/>
      <c r="B2" s="134" t="s">
        <v>37</v>
      </c>
      <c r="C2" s="45" t="s">
        <v>941</v>
      </c>
      <c r="D2" s="134" t="s">
        <v>22</v>
      </c>
      <c r="E2" s="139" t="s">
        <v>1215</v>
      </c>
    </row>
    <row r="3" spans="1:5">
      <c r="A3" s="47" t="s">
        <v>994</v>
      </c>
      <c r="B3" s="135">
        <f>SUM('מזומנים ושווי מזומנים'!O:O)</f>
        <v>139883.264</v>
      </c>
      <c r="C3" s="48"/>
      <c r="D3" s="135">
        <f>B3+C3</f>
        <v>139883.264</v>
      </c>
      <c r="E3" s="140">
        <f>SUM('מזומנים ושווי מזומנים'!O:O)/B30</f>
        <v>4.6316084262021252E-2</v>
      </c>
    </row>
    <row r="4" spans="1:5">
      <c r="A4" s="47" t="s">
        <v>1004</v>
      </c>
      <c r="B4" s="135">
        <f>SUM('איגרות חוב ממשלתיות'!U:U)</f>
        <v>337901.47600000002</v>
      </c>
      <c r="C4" s="48"/>
      <c r="D4" s="135">
        <f t="shared" ref="D4:D29" si="0">B4+C4</f>
        <v>337901.47600000002</v>
      </c>
      <c r="E4" s="140">
        <f>SUM('איגרות חוב ממשלתיות'!U:U)/B30</f>
        <v>0.11188095549927513</v>
      </c>
    </row>
    <row r="5" spans="1:5">
      <c r="A5" s="47" t="s">
        <v>1008</v>
      </c>
      <c r="B5" s="135">
        <f>SUM('ניירות ערך מסחריים'!AD:AD)</f>
        <v>0</v>
      </c>
      <c r="C5" s="48"/>
      <c r="D5" s="135">
        <f t="shared" si="0"/>
        <v>0</v>
      </c>
      <c r="E5" s="140">
        <f>SUM('ניירות ערך מסחריים'!AD:AD)/B30</f>
        <v>0</v>
      </c>
    </row>
    <row r="6" spans="1:5">
      <c r="A6" s="47" t="s">
        <v>1009</v>
      </c>
      <c r="B6" s="135">
        <f>SUM('איגרות חוב'!AD:AD)</f>
        <v>197108.35100000017</v>
      </c>
      <c r="C6" s="48"/>
      <c r="D6" s="135">
        <f t="shared" si="0"/>
        <v>197108.35100000017</v>
      </c>
      <c r="E6" s="140">
        <f>SUM('איגרות חוב'!AD:AD)/B30</f>
        <v>6.5263611475809349E-2</v>
      </c>
    </row>
    <row r="7" spans="1:5">
      <c r="A7" s="47" t="s">
        <v>1016</v>
      </c>
      <c r="B7" s="135">
        <f>SUM('מניות מבכ ויהש'!U:U)</f>
        <v>341798.59000000026</v>
      </c>
      <c r="C7" s="48"/>
      <c r="D7" s="135">
        <f t="shared" si="0"/>
        <v>341798.59000000026</v>
      </c>
      <c r="E7" s="140">
        <f>SUM('מניות מבכ ויהש'!U:U)/B30</f>
        <v>0.11317131043696599</v>
      </c>
    </row>
    <row r="8" spans="1:5">
      <c r="A8" s="47" t="s">
        <v>516</v>
      </c>
      <c r="B8" s="135">
        <f>SUM('קרנות סל'!T:T)</f>
        <v>670009.80400000012</v>
      </c>
      <c r="C8" s="48"/>
      <c r="D8" s="135">
        <f t="shared" si="0"/>
        <v>670009.80400000012</v>
      </c>
      <c r="E8" s="140">
        <f>SUM('קרנות סל'!T:T)/B30</f>
        <v>0.22184376923349711</v>
      </c>
    </row>
    <row r="9" spans="1:5">
      <c r="A9" s="47" t="s">
        <v>1029</v>
      </c>
      <c r="B9" s="135">
        <f>SUM('קרנות נאמנות'!T:T)</f>
        <v>141362.44699999999</v>
      </c>
      <c r="C9" s="48"/>
      <c r="D9" s="135">
        <f t="shared" si="0"/>
        <v>141362.44699999999</v>
      </c>
      <c r="E9" s="140">
        <f>SUM('קרנות נאמנות'!T:T)/B30</f>
        <v>4.6805849531345749E-2</v>
      </c>
    </row>
    <row r="10" spans="1:5">
      <c r="A10" s="47" t="s">
        <v>1159</v>
      </c>
      <c r="B10" s="135">
        <f>SUM('כתבי אופציה'!W:W)</f>
        <v>31.747000000000003</v>
      </c>
      <c r="C10" s="48"/>
      <c r="D10" s="135">
        <f t="shared" si="0"/>
        <v>31.747000000000003</v>
      </c>
      <c r="E10" s="140">
        <f>SUM('כתבי אופציה'!W:W)/B30</f>
        <v>1.0511598636034035E-5</v>
      </c>
    </row>
    <row r="11" spans="1:5">
      <c r="A11" s="47" t="s">
        <v>1032</v>
      </c>
      <c r="B11" s="135">
        <f>SUM(אופציות!V:V)</f>
        <v>0</v>
      </c>
      <c r="C11" s="48"/>
      <c r="D11" s="135">
        <f t="shared" si="0"/>
        <v>0</v>
      </c>
      <c r="E11" s="140">
        <f>SUM(אופציות!V:V)/B30</f>
        <v>0</v>
      </c>
    </row>
    <row r="12" spans="1:5">
      <c r="A12" s="47" t="s">
        <v>1164</v>
      </c>
      <c r="B12" s="135">
        <f>SUM('חוזים עתידיים'!R:R)</f>
        <v>1291.1759999999999</v>
      </c>
      <c r="C12" s="48"/>
      <c r="D12" s="135">
        <f t="shared" si="0"/>
        <v>1291.1759999999999</v>
      </c>
      <c r="E12" s="140">
        <f>SUM('חוזים עתידיים'!R:R)/B30</f>
        <v>4.2751516302264405E-4</v>
      </c>
    </row>
    <row r="13" spans="1:5">
      <c r="A13" s="47" t="s">
        <v>1037</v>
      </c>
      <c r="B13" s="135">
        <f>SUM('מוצרים מובנים'!Z:Z)</f>
        <v>0</v>
      </c>
      <c r="C13" s="48"/>
      <c r="D13" s="135">
        <f t="shared" si="0"/>
        <v>0</v>
      </c>
      <c r="E13" s="140">
        <f>SUM('מוצרים מובנים'!Z:Z)/B30</f>
        <v>0</v>
      </c>
    </row>
    <row r="14" spans="1:5">
      <c r="A14" s="47" t="s">
        <v>1044</v>
      </c>
      <c r="B14" s="135">
        <f>SUM('לא סחיר איגרות חוב ממשלתיות'!U:U)</f>
        <v>0</v>
      </c>
      <c r="C14" s="48"/>
      <c r="D14" s="135">
        <f t="shared" si="0"/>
        <v>0</v>
      </c>
      <c r="E14" s="140">
        <f>SUM('לא סחיר איגרות חוב ממשלתיות'!U:U)/B30</f>
        <v>0</v>
      </c>
    </row>
    <row r="15" spans="1:5">
      <c r="A15" s="47" t="s">
        <v>1045</v>
      </c>
      <c r="B15" s="135">
        <f>SUM('לא סחיר איגרות חוב מיועדות'!N:N)</f>
        <v>0</v>
      </c>
      <c r="C15" s="48"/>
      <c r="D15" s="135">
        <f t="shared" si="0"/>
        <v>0</v>
      </c>
      <c r="E15" s="140">
        <f>SUM('לא סחיר איגרות חוב מיועדות'!N:N)/B30</f>
        <v>0</v>
      </c>
    </row>
    <row r="16" spans="1:5">
      <c r="A16" s="47" t="s">
        <v>1051</v>
      </c>
      <c r="B16" s="135">
        <f>SUM('אפיק השקעה מובטח תשואה'!F:F)</f>
        <v>0</v>
      </c>
      <c r="C16" s="48"/>
      <c r="D16" s="135">
        <f t="shared" si="0"/>
        <v>0</v>
      </c>
      <c r="E16" s="140">
        <f>SUM('אפיק השקעה מובטח תשואה'!F:F)/B30</f>
        <v>0</v>
      </c>
    </row>
    <row r="17" spans="1:5">
      <c r="A17" s="47" t="s">
        <v>1055</v>
      </c>
      <c r="B17" s="135">
        <f>SUM('לא סחיר ניירות ערך מסחריים'!AI:AI)</f>
        <v>0</v>
      </c>
      <c r="C17" s="48"/>
      <c r="D17" s="135">
        <f t="shared" si="0"/>
        <v>0</v>
      </c>
      <c r="E17" s="140">
        <f>SUM('לא סחיר ניירות ערך מסחריים'!AI:AI)/B30</f>
        <v>0</v>
      </c>
    </row>
    <row r="18" spans="1:5">
      <c r="A18" s="47" t="s">
        <v>1057</v>
      </c>
      <c r="B18" s="135">
        <f>SUM('לא סחיר איגרות חוב'!AG:AG)</f>
        <v>8449.4580000000005</v>
      </c>
      <c r="C18" s="48"/>
      <c r="D18" s="135">
        <f t="shared" si="0"/>
        <v>8449.4580000000005</v>
      </c>
      <c r="E18" s="140">
        <f>SUM('לא סחיר איגרות חוב'!AG:AG)/B30</f>
        <v>2.7976599737936456E-3</v>
      </c>
    </row>
    <row r="19" spans="1:5">
      <c r="A19" s="47" t="s">
        <v>1060</v>
      </c>
      <c r="B19" s="135">
        <f>SUM('לא סחיר מניות מבכ ויהש'!X:X)</f>
        <v>84672.335000000021</v>
      </c>
      <c r="C19" s="48"/>
      <c r="D19" s="135">
        <f t="shared" si="0"/>
        <v>84672.335000000021</v>
      </c>
      <c r="E19" s="140">
        <f>SUM('לא סחיר מניות מבכ ויהש'!X:X)/B30</f>
        <v>2.8035455353129967E-2</v>
      </c>
    </row>
    <row r="20" spans="1:5">
      <c r="A20" s="47" t="s">
        <v>818</v>
      </c>
      <c r="B20" s="135">
        <f>SUM('קרנות השקעה'!W:W)</f>
        <v>557373.75900000019</v>
      </c>
      <c r="C20" s="48"/>
      <c r="D20" s="135">
        <f t="shared" si="0"/>
        <v>557373.75900000019</v>
      </c>
      <c r="E20" s="140">
        <f>SUM('קרנות השקעה'!W:W)/B30</f>
        <v>0.18454938245710034</v>
      </c>
    </row>
    <row r="21" spans="1:5">
      <c r="A21" s="47" t="s">
        <v>1175</v>
      </c>
      <c r="B21" s="135">
        <f>SUM('לא סחיר כתבי אופציה'!Z:Z)</f>
        <v>0</v>
      </c>
      <c r="C21" s="48"/>
      <c r="D21" s="135">
        <f t="shared" si="0"/>
        <v>0</v>
      </c>
      <c r="E21" s="140">
        <f>SUM('לא סחיר כתבי אופציה'!Z:Z)/B30</f>
        <v>0</v>
      </c>
    </row>
    <row r="22" spans="1:5">
      <c r="A22" s="47" t="s">
        <v>1075</v>
      </c>
      <c r="B22" s="135">
        <f>SUM('לא סחיר אופציות'!Z:Z)</f>
        <v>0</v>
      </c>
      <c r="C22" s="48"/>
      <c r="D22" s="135">
        <f t="shared" si="0"/>
        <v>0</v>
      </c>
      <c r="E22" s="140">
        <f>SUM('לא סחיר אופציות'!Z:Z)/B30</f>
        <v>0</v>
      </c>
    </row>
    <row r="23" spans="1:5">
      <c r="A23" s="47" t="s">
        <v>1084</v>
      </c>
      <c r="B23" s="135">
        <f>SUM('לא סחיר נגזרים אחרים'!R:R)</f>
        <v>-6327.3700000000008</v>
      </c>
      <c r="C23" s="48"/>
      <c r="D23" s="135">
        <f t="shared" si="0"/>
        <v>-6327.3700000000008</v>
      </c>
      <c r="E23" s="140">
        <f>SUM('לא סחיר נגזרים אחרים'!R:R)/B30</f>
        <v>-2.0950254783659141E-3</v>
      </c>
    </row>
    <row r="24" spans="1:5">
      <c r="A24" s="47" t="s">
        <v>1077</v>
      </c>
      <c r="B24" s="135">
        <f>SUM(הלוואות!AT:AT)</f>
        <v>61892.921999999984</v>
      </c>
      <c r="C24" s="48"/>
      <c r="D24" s="135">
        <f t="shared" si="0"/>
        <v>61892.921999999984</v>
      </c>
      <c r="E24" s="140">
        <f>SUM(הלוואות!AT:AT)/B30</f>
        <v>2.0493071927280081E-2</v>
      </c>
    </row>
    <row r="25" spans="1:5">
      <c r="A25" s="47" t="s">
        <v>1096</v>
      </c>
      <c r="B25" s="135">
        <f>SUM('לא סחיר מוצרים מובנים'!AB:AB)</f>
        <v>0</v>
      </c>
      <c r="C25" s="48"/>
      <c r="D25" s="135">
        <f t="shared" si="0"/>
        <v>0</v>
      </c>
      <c r="E25" s="140">
        <f>SUM('לא סחיר מוצרים מובנים'!AB:AB)/B30</f>
        <v>0</v>
      </c>
    </row>
    <row r="26" spans="1:5">
      <c r="A26" s="47" t="s">
        <v>1101</v>
      </c>
      <c r="B26" s="135">
        <f>SUM('פיקדונות מעל 3 חודשים'!T:T)</f>
        <v>58741.248000000007</v>
      </c>
      <c r="C26" s="48"/>
      <c r="D26" s="135">
        <f t="shared" si="0"/>
        <v>58741.248000000007</v>
      </c>
      <c r="E26" s="140">
        <f>SUM('פיקדונות מעל 3 חודשים'!T:T)/B30</f>
        <v>1.9449536093354869E-2</v>
      </c>
    </row>
    <row r="27" spans="1:5">
      <c r="A27" s="47" t="s">
        <v>1104</v>
      </c>
      <c r="B27" s="135">
        <f>SUM('זכויות מקרקעין'!S:S)</f>
        <v>425429.75063000002</v>
      </c>
      <c r="C27" s="48"/>
      <c r="D27" s="135">
        <f>B27+C27</f>
        <v>425429.75063000002</v>
      </c>
      <c r="E27" s="140">
        <f>SUM('זכויות מקרקעין'!S:S)/B30</f>
        <v>0.14086202748135596</v>
      </c>
    </row>
    <row r="28" spans="1:5">
      <c r="A28" s="47" t="s">
        <v>1137</v>
      </c>
      <c r="B28" s="135">
        <f>SUM('השקעה בחברות מוחזקות'!U:U)</f>
        <v>0</v>
      </c>
      <c r="C28" s="48"/>
      <c r="D28" s="135">
        <f t="shared" si="0"/>
        <v>0</v>
      </c>
      <c r="E28" s="140">
        <f>SUM('השקעה בחברות מוחזקות'!U:U)/B30</f>
        <v>0</v>
      </c>
    </row>
    <row r="29" spans="1:5">
      <c r="A29" s="47" t="s">
        <v>1106</v>
      </c>
      <c r="B29" s="135">
        <f>SUM('נכסים אחרים'!N:N)</f>
        <v>568.65599999999984</v>
      </c>
      <c r="C29" s="48"/>
      <c r="D29" s="135">
        <f t="shared" si="0"/>
        <v>568.65599999999984</v>
      </c>
      <c r="E29" s="140">
        <f>SUM('נכסים אחרים'!N:N)/B30</f>
        <v>1.8828499177788669E-4</v>
      </c>
    </row>
    <row r="30" spans="1:5">
      <c r="A30" s="46" t="s">
        <v>1216</v>
      </c>
      <c r="B30" s="136">
        <f>IF(SUM(B3:B29)=0,0.0001,SUM(B3:B29))</f>
        <v>3020187.6136300005</v>
      </c>
      <c r="C30" s="49">
        <f t="shared" ref="C30:E30" si="1">SUM(C3:C29)</f>
        <v>0</v>
      </c>
      <c r="D30" s="136">
        <f t="shared" si="1"/>
        <v>3020187.6136300005</v>
      </c>
      <c r="E30" s="141">
        <f t="shared" si="1"/>
        <v>1</v>
      </c>
    </row>
    <row r="31" spans="1:5">
      <c r="A31" s="47" t="s">
        <v>1213</v>
      </c>
      <c r="B31" s="135"/>
      <c r="C31" s="48"/>
      <c r="D31" s="135"/>
      <c r="E31" s="140"/>
    </row>
    <row r="32" spans="1:5">
      <c r="A32" s="47" t="s">
        <v>1217</v>
      </c>
      <c r="B32" s="135">
        <f>SUM('יתרות התחייבות להשקעה'!O:O)</f>
        <v>201578.02482995199</v>
      </c>
      <c r="C32" s="48"/>
      <c r="D32" s="135"/>
      <c r="E32" s="140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69"/>
  <sheetViews>
    <sheetView rightToLeft="1" topLeftCell="A28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5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19" t="s">
        <v>0</v>
      </c>
      <c r="B1" s="19" t="s">
        <v>1</v>
      </c>
      <c r="C1" s="19" t="s">
        <v>205</v>
      </c>
      <c r="D1" s="19" t="s">
        <v>206</v>
      </c>
      <c r="E1" s="19" t="s">
        <v>207</v>
      </c>
      <c r="F1" s="19" t="s">
        <v>5</v>
      </c>
      <c r="G1" s="19" t="s">
        <v>6</v>
      </c>
      <c r="H1" s="19" t="s">
        <v>150</v>
      </c>
      <c r="I1" s="19" t="s">
        <v>209</v>
      </c>
      <c r="J1" s="19" t="s">
        <v>10</v>
      </c>
      <c r="K1" s="19" t="s">
        <v>11</v>
      </c>
      <c r="L1" s="19" t="s">
        <v>160</v>
      </c>
      <c r="M1" s="19" t="s">
        <v>18</v>
      </c>
      <c r="N1" s="159" t="s">
        <v>14</v>
      </c>
      <c r="O1" s="19" t="s">
        <v>20</v>
      </c>
      <c r="P1" s="163" t="s">
        <v>24</v>
      </c>
      <c r="Q1" s="163" t="s">
        <v>25</v>
      </c>
    </row>
    <row r="2" spans="1:17">
      <c r="A2" s="2" t="s">
        <v>26</v>
      </c>
      <c r="B2" s="2">
        <v>1182</v>
      </c>
      <c r="C2" s="2" t="s">
        <v>211</v>
      </c>
      <c r="D2" s="2" t="s">
        <v>212</v>
      </c>
      <c r="E2" s="4" t="s">
        <v>213</v>
      </c>
      <c r="F2" s="2" t="s">
        <v>997</v>
      </c>
      <c r="G2" s="2" t="s">
        <v>31</v>
      </c>
      <c r="H2" s="2" t="s">
        <v>164</v>
      </c>
      <c r="I2" s="2" t="s">
        <v>216</v>
      </c>
      <c r="J2" s="2" t="s">
        <v>217</v>
      </c>
      <c r="K2" s="2" t="s">
        <v>99</v>
      </c>
      <c r="L2" s="149">
        <v>980.35599999999999</v>
      </c>
      <c r="M2" s="150">
        <v>3.7589999999999999</v>
      </c>
      <c r="N2" s="160">
        <v>3.8300000000000001E-2</v>
      </c>
      <c r="O2" s="150">
        <v>3685.1579999999999</v>
      </c>
      <c r="P2" s="164">
        <v>0.15615841325277</v>
      </c>
      <c r="Q2" s="164">
        <v>9.3247377058848606E-3</v>
      </c>
    </row>
    <row r="3" spans="1:17">
      <c r="A3" s="2" t="s">
        <v>26</v>
      </c>
      <c r="B3" s="2">
        <v>1182</v>
      </c>
      <c r="C3" s="2" t="s">
        <v>211</v>
      </c>
      <c r="D3" s="2" t="s">
        <v>212</v>
      </c>
      <c r="E3" s="18" t="s">
        <v>213</v>
      </c>
      <c r="F3" s="2" t="s">
        <v>997</v>
      </c>
      <c r="G3" s="2" t="s">
        <v>31</v>
      </c>
      <c r="H3" s="2" t="s">
        <v>164</v>
      </c>
      <c r="I3" s="2" t="s">
        <v>216</v>
      </c>
      <c r="J3" s="2" t="s">
        <v>217</v>
      </c>
      <c r="K3" s="2" t="s">
        <v>1218</v>
      </c>
      <c r="L3" s="150">
        <v>0.47299999999999998</v>
      </c>
      <c r="M3" s="150">
        <v>2.7410000000000001</v>
      </c>
      <c r="N3" s="161">
        <v>0</v>
      </c>
      <c r="O3" s="150">
        <v>1.2969999999999999</v>
      </c>
      <c r="P3" s="164">
        <v>5.4949501072579003E-5</v>
      </c>
      <c r="Q3" s="164">
        <v>3.2812172837696998E-6</v>
      </c>
    </row>
    <row r="4" spans="1:17">
      <c r="A4" s="2" t="s">
        <v>26</v>
      </c>
      <c r="B4" s="2">
        <v>1182</v>
      </c>
      <c r="C4" s="2" t="s">
        <v>211</v>
      </c>
      <c r="D4" s="2" t="s">
        <v>212</v>
      </c>
      <c r="E4" s="18" t="s">
        <v>213</v>
      </c>
      <c r="F4" s="2" t="s">
        <v>997</v>
      </c>
      <c r="G4" s="2" t="s">
        <v>31</v>
      </c>
      <c r="H4" s="2" t="s">
        <v>164</v>
      </c>
      <c r="I4" s="2" t="s">
        <v>216</v>
      </c>
      <c r="J4" s="2" t="s">
        <v>217</v>
      </c>
      <c r="K4" s="2" t="s">
        <v>1219</v>
      </c>
      <c r="L4" s="150">
        <v>1336.6110000000001</v>
      </c>
      <c r="M4" s="150">
        <v>4.0199999999999996</v>
      </c>
      <c r="N4" s="161">
        <v>0</v>
      </c>
      <c r="O4" s="150">
        <v>5373.4440000000004</v>
      </c>
      <c r="P4" s="164">
        <v>0.227699465735301</v>
      </c>
      <c r="Q4" s="164">
        <v>1.3596691651284701E-2</v>
      </c>
    </row>
    <row r="5" spans="1:17">
      <c r="A5" s="2" t="s">
        <v>26</v>
      </c>
      <c r="B5" s="2">
        <v>1182</v>
      </c>
      <c r="C5" s="2" t="s">
        <v>211</v>
      </c>
      <c r="D5" s="2" t="s">
        <v>212</v>
      </c>
      <c r="E5" s="18" t="s">
        <v>213</v>
      </c>
      <c r="F5" s="2" t="s">
        <v>997</v>
      </c>
      <c r="G5" s="2" t="s">
        <v>31</v>
      </c>
      <c r="H5" s="2" t="s">
        <v>164</v>
      </c>
      <c r="I5" s="2" t="s">
        <v>216</v>
      </c>
      <c r="J5" s="2" t="s">
        <v>217</v>
      </c>
      <c r="K5" s="2" t="s">
        <v>1220</v>
      </c>
      <c r="L5" s="150">
        <v>2544.1170000000002</v>
      </c>
      <c r="M5" s="150">
        <v>2.3359999999999999</v>
      </c>
      <c r="N5" s="161">
        <v>0</v>
      </c>
      <c r="O5" s="150">
        <v>59.427999999999997</v>
      </c>
      <c r="P5" s="164">
        <v>2.5182608746394199E-3</v>
      </c>
      <c r="Q5" s="164">
        <v>1.50373723976017E-4</v>
      </c>
    </row>
    <row r="6" spans="1:17">
      <c r="A6" s="2" t="s">
        <v>26</v>
      </c>
      <c r="B6" s="2">
        <v>1182</v>
      </c>
      <c r="C6" s="2" t="s">
        <v>211</v>
      </c>
      <c r="D6" s="2" t="s">
        <v>212</v>
      </c>
      <c r="E6" s="18" t="s">
        <v>213</v>
      </c>
      <c r="F6" s="2" t="s">
        <v>997</v>
      </c>
      <c r="G6" s="2" t="s">
        <v>31</v>
      </c>
      <c r="H6" s="2" t="s">
        <v>164</v>
      </c>
      <c r="I6" s="2" t="s">
        <v>216</v>
      </c>
      <c r="J6" s="2" t="s">
        <v>217</v>
      </c>
      <c r="K6" s="2" t="s">
        <v>1221</v>
      </c>
      <c r="L6" s="150">
        <v>20.003</v>
      </c>
      <c r="M6" s="150">
        <v>4.75</v>
      </c>
      <c r="N6" s="161">
        <v>0</v>
      </c>
      <c r="O6" s="150">
        <v>95.025000000000006</v>
      </c>
      <c r="P6" s="164">
        <v>4.0266812516649396E-3</v>
      </c>
      <c r="Q6" s="164">
        <v>2.40446516552407E-4</v>
      </c>
    </row>
    <row r="7" spans="1:17">
      <c r="A7" s="2" t="s">
        <v>26</v>
      </c>
      <c r="B7" s="2">
        <v>1182</v>
      </c>
      <c r="C7" s="2" t="s">
        <v>211</v>
      </c>
      <c r="D7" s="2" t="s">
        <v>212</v>
      </c>
      <c r="E7" s="18" t="s">
        <v>213</v>
      </c>
      <c r="F7" s="2" t="s">
        <v>995</v>
      </c>
      <c r="G7" s="2" t="s">
        <v>31</v>
      </c>
      <c r="H7" s="2" t="s">
        <v>164</v>
      </c>
      <c r="I7" s="2" t="s">
        <v>216</v>
      </c>
      <c r="J7" s="2" t="s">
        <v>217</v>
      </c>
      <c r="K7" s="2" t="s">
        <v>35</v>
      </c>
      <c r="L7" s="150">
        <v>0</v>
      </c>
      <c r="M7" s="150">
        <v>1</v>
      </c>
      <c r="N7" s="161">
        <v>4.0300000000000002E-2</v>
      </c>
      <c r="O7" s="150">
        <v>10619.019</v>
      </c>
      <c r="P7" s="164">
        <v>0.449980525409794</v>
      </c>
      <c r="Q7" s="164">
        <v>2.68698322735305E-2</v>
      </c>
    </row>
    <row r="8" spans="1:17">
      <c r="A8" s="2" t="s">
        <v>26</v>
      </c>
      <c r="B8" s="2">
        <v>1182</v>
      </c>
      <c r="C8" s="2" t="s">
        <v>1222</v>
      </c>
      <c r="D8" s="2" t="s">
        <v>1223</v>
      </c>
      <c r="E8" s="18" t="s">
        <v>213</v>
      </c>
      <c r="F8" s="2" t="s">
        <v>995</v>
      </c>
      <c r="G8" s="2" t="s">
        <v>31</v>
      </c>
      <c r="H8" s="2" t="s">
        <v>164</v>
      </c>
      <c r="I8" s="2" t="s">
        <v>216</v>
      </c>
      <c r="J8" s="2" t="s">
        <v>217</v>
      </c>
      <c r="K8" s="2" t="s">
        <v>35</v>
      </c>
      <c r="L8" s="150">
        <v>0</v>
      </c>
      <c r="M8" s="150">
        <v>1</v>
      </c>
      <c r="N8" s="161">
        <v>4.0300000000000002E-2</v>
      </c>
      <c r="O8" s="150">
        <v>315.66899999999998</v>
      </c>
      <c r="P8" s="164">
        <v>1.3376447038085999E-2</v>
      </c>
      <c r="Q8" s="164">
        <v>7.98752097108673E-4</v>
      </c>
    </row>
    <row r="9" spans="1:17">
      <c r="A9" s="2" t="s">
        <v>26</v>
      </c>
      <c r="B9" s="2">
        <v>1182</v>
      </c>
      <c r="C9" s="2" t="s">
        <v>1222</v>
      </c>
      <c r="D9" s="2" t="s">
        <v>1223</v>
      </c>
      <c r="E9" s="18" t="s">
        <v>213</v>
      </c>
      <c r="F9" s="2" t="s">
        <v>995</v>
      </c>
      <c r="G9" s="2" t="s">
        <v>31</v>
      </c>
      <c r="H9" s="2" t="s">
        <v>164</v>
      </c>
      <c r="I9" s="2" t="s">
        <v>216</v>
      </c>
      <c r="J9" s="2" t="s">
        <v>217</v>
      </c>
      <c r="K9" s="2" t="s">
        <v>35</v>
      </c>
      <c r="L9" s="150">
        <v>0</v>
      </c>
      <c r="M9" s="150">
        <v>1</v>
      </c>
      <c r="N9" s="161">
        <v>4.0300000000000002E-2</v>
      </c>
      <c r="O9" s="150">
        <v>3449.7930000000001</v>
      </c>
      <c r="P9" s="164">
        <v>0.146184833187053</v>
      </c>
      <c r="Q9" s="164">
        <v>8.7291821020320792E-3</v>
      </c>
    </row>
    <row r="10" spans="1:17">
      <c r="A10" s="2" t="s">
        <v>26</v>
      </c>
      <c r="B10" s="2">
        <v>1182</v>
      </c>
      <c r="C10" s="2" t="s">
        <v>1222</v>
      </c>
      <c r="D10" s="2" t="s">
        <v>1223</v>
      </c>
      <c r="E10" s="18" t="s">
        <v>213</v>
      </c>
      <c r="F10" s="2" t="s">
        <v>995</v>
      </c>
      <c r="G10" s="2" t="s">
        <v>31</v>
      </c>
      <c r="H10" s="2" t="s">
        <v>164</v>
      </c>
      <c r="I10" s="2" t="s">
        <v>216</v>
      </c>
      <c r="J10" s="2" t="s">
        <v>217</v>
      </c>
      <c r="K10" s="2" t="s">
        <v>35</v>
      </c>
      <c r="L10" s="150">
        <v>0</v>
      </c>
      <c r="M10" s="150">
        <v>1</v>
      </c>
      <c r="N10" s="161">
        <v>4.0300000000000002E-2</v>
      </c>
      <c r="O10" s="150">
        <v>0.01</v>
      </c>
      <c r="P10" s="164">
        <v>4.2374961967512498E-7</v>
      </c>
      <c r="Q10" s="164">
        <v>2.53034977375382E-8</v>
      </c>
    </row>
    <row r="11" spans="1:17">
      <c r="A11" s="2" t="s">
        <v>26</v>
      </c>
      <c r="B11" s="2">
        <v>14769</v>
      </c>
      <c r="C11" s="2" t="s">
        <v>211</v>
      </c>
      <c r="D11" s="2" t="s">
        <v>212</v>
      </c>
      <c r="E11" s="18" t="s">
        <v>213</v>
      </c>
      <c r="F11" s="2" t="s">
        <v>997</v>
      </c>
      <c r="G11" s="2" t="s">
        <v>31</v>
      </c>
      <c r="H11" s="2" t="s">
        <v>164</v>
      </c>
      <c r="I11" s="2" t="s">
        <v>216</v>
      </c>
      <c r="J11" s="2" t="s">
        <v>217</v>
      </c>
      <c r="K11" s="2" t="s">
        <v>99</v>
      </c>
      <c r="L11" s="150">
        <v>80.138000000000005</v>
      </c>
      <c r="M11" s="150">
        <v>3.7589999999999999</v>
      </c>
      <c r="N11" s="161">
        <v>3.8300000000000001E-2</v>
      </c>
      <c r="O11" s="150">
        <v>301.24099999999999</v>
      </c>
      <c r="P11" s="164">
        <v>0.33144161033312503</v>
      </c>
      <c r="Q11" s="164">
        <v>2.70274198573545E-2</v>
      </c>
    </row>
    <row r="12" spans="1:17">
      <c r="A12" s="2" t="s">
        <v>26</v>
      </c>
      <c r="B12" s="2">
        <v>14769</v>
      </c>
      <c r="C12" s="2" t="s">
        <v>211</v>
      </c>
      <c r="D12" s="2" t="s">
        <v>212</v>
      </c>
      <c r="E12" s="18" t="s">
        <v>213</v>
      </c>
      <c r="F12" s="2" t="s">
        <v>997</v>
      </c>
      <c r="G12" s="2" t="s">
        <v>31</v>
      </c>
      <c r="H12" s="2" t="s">
        <v>164</v>
      </c>
      <c r="I12" s="2" t="s">
        <v>216</v>
      </c>
      <c r="J12" s="2" t="s">
        <v>217</v>
      </c>
      <c r="K12" s="2" t="s">
        <v>1218</v>
      </c>
      <c r="L12" s="150">
        <v>0.08</v>
      </c>
      <c r="M12" s="150">
        <v>2.7410000000000001</v>
      </c>
      <c r="N12" s="161">
        <v>0</v>
      </c>
      <c r="O12" s="150">
        <v>0.22</v>
      </c>
      <c r="P12" s="164">
        <v>2.4258733875189001E-4</v>
      </c>
      <c r="Q12" s="164">
        <v>1.97817945970507E-5</v>
      </c>
    </row>
    <row r="13" spans="1:17">
      <c r="A13" s="2" t="s">
        <v>26</v>
      </c>
      <c r="B13" s="2">
        <v>14769</v>
      </c>
      <c r="C13" s="2" t="s">
        <v>211</v>
      </c>
      <c r="D13" s="2" t="s">
        <v>212</v>
      </c>
      <c r="E13" s="18" t="s">
        <v>213</v>
      </c>
      <c r="F13" s="2" t="s">
        <v>997</v>
      </c>
      <c r="G13" s="2" t="s">
        <v>31</v>
      </c>
      <c r="H13" s="2" t="s">
        <v>164</v>
      </c>
      <c r="I13" s="2" t="s">
        <v>216</v>
      </c>
      <c r="J13" s="2" t="s">
        <v>217</v>
      </c>
      <c r="K13" s="2" t="s">
        <v>1219</v>
      </c>
      <c r="L13" s="150">
        <v>12.195</v>
      </c>
      <c r="M13" s="150">
        <v>4.0199999999999996</v>
      </c>
      <c r="N13" s="161">
        <v>0</v>
      </c>
      <c r="O13" s="150">
        <v>49.024999999999999</v>
      </c>
      <c r="P13" s="164">
        <v>5.3939634807989301E-2</v>
      </c>
      <c r="Q13" s="164">
        <v>4.39850975694526E-3</v>
      </c>
    </row>
    <row r="14" spans="1:17">
      <c r="A14" s="2" t="s">
        <v>26</v>
      </c>
      <c r="B14" s="2">
        <v>14769</v>
      </c>
      <c r="C14" s="2" t="s">
        <v>211</v>
      </c>
      <c r="D14" s="2" t="s">
        <v>212</v>
      </c>
      <c r="E14" s="18" t="s">
        <v>213</v>
      </c>
      <c r="F14" s="2" t="s">
        <v>997</v>
      </c>
      <c r="G14" s="2" t="s">
        <v>31</v>
      </c>
      <c r="H14" s="2" t="s">
        <v>164</v>
      </c>
      <c r="I14" s="2" t="s">
        <v>216</v>
      </c>
      <c r="J14" s="2" t="s">
        <v>217</v>
      </c>
      <c r="K14" s="2" t="s">
        <v>1220</v>
      </c>
      <c r="L14" s="150">
        <v>34.628999999999998</v>
      </c>
      <c r="M14" s="150">
        <v>2.3359999999999999</v>
      </c>
      <c r="N14" s="161">
        <v>0</v>
      </c>
      <c r="O14" s="150">
        <v>0.80900000000000005</v>
      </c>
      <c r="P14" s="164">
        <v>8.90005537889321E-4</v>
      </c>
      <c r="Q14" s="164">
        <v>7.2575538489957705E-5</v>
      </c>
    </row>
    <row r="15" spans="1:17">
      <c r="A15" s="2" t="s">
        <v>26</v>
      </c>
      <c r="B15" s="2">
        <v>14769</v>
      </c>
      <c r="C15" s="2" t="s">
        <v>211</v>
      </c>
      <c r="D15" s="2" t="s">
        <v>212</v>
      </c>
      <c r="E15" s="18" t="s">
        <v>213</v>
      </c>
      <c r="F15" s="2" t="s">
        <v>997</v>
      </c>
      <c r="G15" s="2" t="s">
        <v>31</v>
      </c>
      <c r="H15" s="2" t="s">
        <v>164</v>
      </c>
      <c r="I15" s="2" t="s">
        <v>216</v>
      </c>
      <c r="J15" s="2" t="s">
        <v>217</v>
      </c>
      <c r="K15" s="2" t="s">
        <v>1221</v>
      </c>
      <c r="L15" s="150">
        <v>0.627</v>
      </c>
      <c r="M15" s="150">
        <v>4.75</v>
      </c>
      <c r="N15" s="161">
        <v>0</v>
      </c>
      <c r="O15" s="150">
        <v>2.98</v>
      </c>
      <c r="P15" s="164">
        <v>3.2789575740044502E-3</v>
      </c>
      <c r="Q15" s="164">
        <v>2.6738273132935502E-4</v>
      </c>
    </row>
    <row r="16" spans="1:17">
      <c r="A16" s="2" t="s">
        <v>26</v>
      </c>
      <c r="B16" s="2">
        <v>14769</v>
      </c>
      <c r="C16" s="2" t="s">
        <v>211</v>
      </c>
      <c r="D16" s="2" t="s">
        <v>212</v>
      </c>
      <c r="E16" s="18" t="s">
        <v>213</v>
      </c>
      <c r="F16" s="2" t="s">
        <v>995</v>
      </c>
      <c r="G16" s="2" t="s">
        <v>31</v>
      </c>
      <c r="H16" s="2" t="s">
        <v>164</v>
      </c>
      <c r="I16" s="2" t="s">
        <v>216</v>
      </c>
      <c r="J16" s="2" t="s">
        <v>217</v>
      </c>
      <c r="K16" s="2" t="s">
        <v>35</v>
      </c>
      <c r="L16" s="150">
        <v>0</v>
      </c>
      <c r="M16" s="150">
        <v>1</v>
      </c>
      <c r="N16" s="161">
        <v>4.0300000000000002E-2</v>
      </c>
      <c r="O16" s="150">
        <v>437.40300000000002</v>
      </c>
      <c r="P16" s="164">
        <v>0.48125456885738099</v>
      </c>
      <c r="Q16" s="164">
        <v>3.9243923771989299E-2</v>
      </c>
    </row>
    <row r="17" spans="1:17">
      <c r="A17" s="2" t="s">
        <v>26</v>
      </c>
      <c r="B17" s="2">
        <v>14769</v>
      </c>
      <c r="C17" s="2" t="s">
        <v>1222</v>
      </c>
      <c r="D17" s="2" t="s">
        <v>1223</v>
      </c>
      <c r="E17" s="18" t="s">
        <v>213</v>
      </c>
      <c r="F17" s="2" t="s">
        <v>995</v>
      </c>
      <c r="G17" s="2" t="s">
        <v>31</v>
      </c>
      <c r="H17" s="2" t="s">
        <v>164</v>
      </c>
      <c r="I17" s="2" t="s">
        <v>216</v>
      </c>
      <c r="J17" s="2" t="s">
        <v>217</v>
      </c>
      <c r="K17" s="2" t="s">
        <v>35</v>
      </c>
      <c r="L17" s="150">
        <v>0</v>
      </c>
      <c r="M17" s="150">
        <v>1</v>
      </c>
      <c r="N17" s="161">
        <v>4.0300000000000002E-2</v>
      </c>
      <c r="O17" s="150">
        <v>117.202</v>
      </c>
      <c r="P17" s="164">
        <v>0.12895263555085901</v>
      </c>
      <c r="Q17" s="164">
        <v>1.05154480128265E-2</v>
      </c>
    </row>
    <row r="18" spans="1:17">
      <c r="A18" s="2" t="s">
        <v>112</v>
      </c>
      <c r="B18" s="2">
        <v>12905</v>
      </c>
      <c r="C18" s="2" t="s">
        <v>1222</v>
      </c>
      <c r="D18" s="2" t="s">
        <v>1223</v>
      </c>
      <c r="E18" s="18" t="s">
        <v>213</v>
      </c>
      <c r="F18" s="2" t="s">
        <v>995</v>
      </c>
      <c r="G18" s="2" t="s">
        <v>31</v>
      </c>
      <c r="H18" s="2" t="s">
        <v>164</v>
      </c>
      <c r="I18" s="2" t="s">
        <v>216</v>
      </c>
      <c r="J18" s="2" t="s">
        <v>217</v>
      </c>
      <c r="K18" s="2" t="s">
        <v>35</v>
      </c>
      <c r="L18" s="150">
        <v>0</v>
      </c>
      <c r="M18" s="150">
        <v>1</v>
      </c>
      <c r="N18" s="161">
        <v>4.0300000000000002E-2</v>
      </c>
      <c r="O18" s="150">
        <v>172.15700000000001</v>
      </c>
      <c r="P18" s="164">
        <v>6.0052475163294899E-2</v>
      </c>
      <c r="Q18" s="164">
        <v>5.5332408199304101E-3</v>
      </c>
    </row>
    <row r="19" spans="1:17">
      <c r="A19" s="2" t="s">
        <v>112</v>
      </c>
      <c r="B19" s="2">
        <v>12905</v>
      </c>
      <c r="C19" s="2" t="s">
        <v>211</v>
      </c>
      <c r="D19" s="2" t="s">
        <v>212</v>
      </c>
      <c r="E19" s="18" t="s">
        <v>213</v>
      </c>
      <c r="F19" s="2" t="s">
        <v>997</v>
      </c>
      <c r="G19" s="2" t="s">
        <v>31</v>
      </c>
      <c r="H19" s="2" t="s">
        <v>164</v>
      </c>
      <c r="I19" s="2" t="s">
        <v>216</v>
      </c>
      <c r="J19" s="2" t="s">
        <v>217</v>
      </c>
      <c r="K19" s="2" t="s">
        <v>99</v>
      </c>
      <c r="L19" s="150">
        <v>34.826000000000001</v>
      </c>
      <c r="M19" s="150">
        <v>3.7589999999999999</v>
      </c>
      <c r="N19" s="161">
        <v>3.8300000000000001E-2</v>
      </c>
      <c r="O19" s="150">
        <v>130.91</v>
      </c>
      <c r="P19" s="164">
        <v>4.5664359677939498E-2</v>
      </c>
      <c r="Q19" s="164">
        <v>4.2075184794447299E-3</v>
      </c>
    </row>
    <row r="20" spans="1:17">
      <c r="A20" s="2" t="s">
        <v>112</v>
      </c>
      <c r="B20" s="2">
        <v>12905</v>
      </c>
      <c r="C20" s="2" t="s">
        <v>211</v>
      </c>
      <c r="D20" s="2" t="s">
        <v>212</v>
      </c>
      <c r="E20" s="18" t="s">
        <v>213</v>
      </c>
      <c r="F20" s="2" t="s">
        <v>997</v>
      </c>
      <c r="G20" s="2" t="s">
        <v>31</v>
      </c>
      <c r="H20" s="2" t="s">
        <v>164</v>
      </c>
      <c r="I20" s="2" t="s">
        <v>216</v>
      </c>
      <c r="J20" s="2" t="s">
        <v>217</v>
      </c>
      <c r="K20" s="2" t="s">
        <v>1218</v>
      </c>
      <c r="L20" s="150">
        <v>4.7E-2</v>
      </c>
      <c r="M20" s="150">
        <v>2.7410000000000001</v>
      </c>
      <c r="N20" s="161">
        <v>0</v>
      </c>
      <c r="O20" s="150">
        <v>0.128</v>
      </c>
      <c r="P20" s="164">
        <v>4.4617629463091002E-5</v>
      </c>
      <c r="Q20" s="164">
        <v>4.1110726570784604E-6</v>
      </c>
    </row>
    <row r="21" spans="1:17">
      <c r="A21" s="2" t="s">
        <v>112</v>
      </c>
      <c r="B21" s="2">
        <v>12905</v>
      </c>
      <c r="C21" s="2" t="s">
        <v>211</v>
      </c>
      <c r="D21" s="2" t="s">
        <v>212</v>
      </c>
      <c r="E21" s="4" t="s">
        <v>213</v>
      </c>
      <c r="F21" s="2" t="s">
        <v>997</v>
      </c>
      <c r="G21" s="2" t="s">
        <v>31</v>
      </c>
      <c r="H21" s="2" t="s">
        <v>164</v>
      </c>
      <c r="I21" s="2" t="s">
        <v>216</v>
      </c>
      <c r="J21" s="2" t="s">
        <v>217</v>
      </c>
      <c r="K21" s="2" t="s">
        <v>1219</v>
      </c>
      <c r="L21" s="150">
        <v>81.980999999999995</v>
      </c>
      <c r="M21" s="150">
        <v>4.0199999999999996</v>
      </c>
      <c r="N21" s="162">
        <v>0</v>
      </c>
      <c r="O21" s="150">
        <v>329.58</v>
      </c>
      <c r="P21" s="164">
        <v>0.11496494264413901</v>
      </c>
      <c r="Q21" s="164">
        <v>1.05928808391285E-2</v>
      </c>
    </row>
    <row r="22" spans="1:17">
      <c r="A22" s="2" t="s">
        <v>112</v>
      </c>
      <c r="B22" s="2">
        <v>12905</v>
      </c>
      <c r="C22" s="2" t="s">
        <v>211</v>
      </c>
      <c r="D22" s="2" t="s">
        <v>212</v>
      </c>
      <c r="E22" s="4" t="s">
        <v>213</v>
      </c>
      <c r="F22" s="2" t="s">
        <v>997</v>
      </c>
      <c r="G22" s="2" t="s">
        <v>31</v>
      </c>
      <c r="H22" s="2" t="s">
        <v>164</v>
      </c>
      <c r="I22" s="2" t="s">
        <v>216</v>
      </c>
      <c r="J22" s="2" t="s">
        <v>217</v>
      </c>
      <c r="K22" s="2" t="s">
        <v>1220</v>
      </c>
      <c r="L22" s="150">
        <v>251.41399999999999</v>
      </c>
      <c r="M22" s="150">
        <v>2.3359999999999999</v>
      </c>
      <c r="N22" s="162">
        <v>0</v>
      </c>
      <c r="O22" s="150">
        <v>5.8730000000000002</v>
      </c>
      <c r="P22" s="164">
        <v>2.0485622027232799E-3</v>
      </c>
      <c r="Q22" s="164">
        <v>1.8875471779393401E-4</v>
      </c>
    </row>
    <row r="23" spans="1:17">
      <c r="A23" s="2" t="s">
        <v>112</v>
      </c>
      <c r="B23" s="2">
        <v>12905</v>
      </c>
      <c r="C23" s="2" t="s">
        <v>211</v>
      </c>
      <c r="D23" s="2" t="s">
        <v>212</v>
      </c>
      <c r="E23" s="4" t="s">
        <v>213</v>
      </c>
      <c r="F23" s="2" t="s">
        <v>997</v>
      </c>
      <c r="G23" s="2" t="s">
        <v>31</v>
      </c>
      <c r="H23" s="2" t="s">
        <v>164</v>
      </c>
      <c r="I23" s="2" t="s">
        <v>216</v>
      </c>
      <c r="J23" s="2" t="s">
        <v>217</v>
      </c>
      <c r="K23" s="2" t="s">
        <v>1221</v>
      </c>
      <c r="L23" s="150">
        <v>0.85199999999999998</v>
      </c>
      <c r="M23" s="150">
        <v>4.75</v>
      </c>
      <c r="N23" s="162">
        <v>0</v>
      </c>
      <c r="O23" s="150">
        <v>4.048</v>
      </c>
      <c r="P23" s="164">
        <v>1.41196810339407E-3</v>
      </c>
      <c r="Q23" s="164">
        <v>1.3009887643923601E-4</v>
      </c>
    </row>
    <row r="24" spans="1:17">
      <c r="A24" s="2" t="s">
        <v>112</v>
      </c>
      <c r="B24" s="2">
        <v>12905</v>
      </c>
      <c r="C24" s="2" t="s">
        <v>211</v>
      </c>
      <c r="D24" s="2" t="s">
        <v>212</v>
      </c>
      <c r="E24" s="4" t="s">
        <v>213</v>
      </c>
      <c r="F24" s="2" t="s">
        <v>995</v>
      </c>
      <c r="G24" s="2" t="s">
        <v>31</v>
      </c>
      <c r="H24" s="2" t="s">
        <v>164</v>
      </c>
      <c r="I24" s="2" t="s">
        <v>216</v>
      </c>
      <c r="J24" s="2" t="s">
        <v>217</v>
      </c>
      <c r="K24" s="2" t="s">
        <v>35</v>
      </c>
      <c r="L24" s="150">
        <v>0</v>
      </c>
      <c r="M24" s="150">
        <v>1</v>
      </c>
      <c r="N24" s="162">
        <v>4.0300000000000002E-2</v>
      </c>
      <c r="O24" s="150">
        <v>2224.0880000000002</v>
      </c>
      <c r="P24" s="164">
        <v>0.77581307457904602</v>
      </c>
      <c r="Q24" s="164">
        <v>7.1483491083816297E-2</v>
      </c>
    </row>
    <row r="25" spans="1:17">
      <c r="A25" s="2" t="s">
        <v>112</v>
      </c>
      <c r="B25" s="2">
        <v>13680</v>
      </c>
      <c r="C25" s="2" t="s">
        <v>1222</v>
      </c>
      <c r="D25" s="2" t="s">
        <v>1223</v>
      </c>
      <c r="E25" s="4" t="s">
        <v>213</v>
      </c>
      <c r="F25" s="2" t="s">
        <v>995</v>
      </c>
      <c r="G25" s="2" t="s">
        <v>31</v>
      </c>
      <c r="H25" s="2" t="s">
        <v>164</v>
      </c>
      <c r="I25" s="2" t="s">
        <v>216</v>
      </c>
      <c r="J25" s="2" t="s">
        <v>217</v>
      </c>
      <c r="K25" s="2" t="s">
        <v>35</v>
      </c>
      <c r="L25" s="150">
        <v>0</v>
      </c>
      <c r="M25" s="150">
        <v>1</v>
      </c>
      <c r="N25" s="162">
        <v>4.0300000000000002E-2</v>
      </c>
      <c r="O25" s="150">
        <v>463.69200000000001</v>
      </c>
      <c r="P25" s="164">
        <v>0.31030909028273501</v>
      </c>
      <c r="Q25" s="164">
        <v>1.4440591750558901E-2</v>
      </c>
    </row>
    <row r="26" spans="1:17">
      <c r="A26" s="2" t="s">
        <v>112</v>
      </c>
      <c r="B26" s="2">
        <v>13680</v>
      </c>
      <c r="C26" s="2" t="s">
        <v>211</v>
      </c>
      <c r="D26" s="2" t="s">
        <v>212</v>
      </c>
      <c r="E26" s="4" t="s">
        <v>213</v>
      </c>
      <c r="F26" s="2" t="s">
        <v>997</v>
      </c>
      <c r="G26" s="2" t="s">
        <v>31</v>
      </c>
      <c r="H26" s="2" t="s">
        <v>164</v>
      </c>
      <c r="I26" s="2" t="s">
        <v>216</v>
      </c>
      <c r="J26" s="2" t="s">
        <v>217</v>
      </c>
      <c r="K26" s="2" t="s">
        <v>99</v>
      </c>
      <c r="L26" s="150">
        <v>146.43799999999999</v>
      </c>
      <c r="M26" s="150">
        <v>3.7589999999999999</v>
      </c>
      <c r="N26" s="162">
        <v>3.8300000000000001E-2</v>
      </c>
      <c r="O26" s="150">
        <v>550.46100000000001</v>
      </c>
      <c r="P26" s="164">
        <v>0.36837626885684699</v>
      </c>
      <c r="Q26" s="164">
        <v>1.7142814940770801E-2</v>
      </c>
    </row>
    <row r="27" spans="1:17">
      <c r="A27" s="2" t="s">
        <v>112</v>
      </c>
      <c r="B27" s="2">
        <v>13680</v>
      </c>
      <c r="C27" s="2" t="s">
        <v>211</v>
      </c>
      <c r="D27" s="2" t="s">
        <v>212</v>
      </c>
      <c r="E27" s="4" t="s">
        <v>213</v>
      </c>
      <c r="F27" s="2" t="s">
        <v>997</v>
      </c>
      <c r="G27" s="2" t="s">
        <v>31</v>
      </c>
      <c r="H27" s="2" t="s">
        <v>164</v>
      </c>
      <c r="I27" s="2" t="s">
        <v>216</v>
      </c>
      <c r="J27" s="2" t="s">
        <v>217</v>
      </c>
      <c r="K27" s="2" t="s">
        <v>1218</v>
      </c>
      <c r="L27" s="150">
        <v>8.0000000000000002E-3</v>
      </c>
      <c r="M27" s="150">
        <v>2.7410000000000001</v>
      </c>
      <c r="N27" s="162">
        <v>0</v>
      </c>
      <c r="O27" s="150">
        <v>2.1999999999999999E-2</v>
      </c>
      <c r="P27" s="164">
        <v>1.48779216886458E-5</v>
      </c>
      <c r="Q27" s="164">
        <v>6.9236126149822002E-7</v>
      </c>
    </row>
    <row r="28" spans="1:17">
      <c r="A28" s="2" t="s">
        <v>112</v>
      </c>
      <c r="B28" s="2">
        <v>13680</v>
      </c>
      <c r="C28" s="2" t="s">
        <v>211</v>
      </c>
      <c r="D28" s="2" t="s">
        <v>212</v>
      </c>
      <c r="E28" s="4" t="s">
        <v>213</v>
      </c>
      <c r="F28" s="2" t="s">
        <v>997</v>
      </c>
      <c r="G28" s="2" t="s">
        <v>31</v>
      </c>
      <c r="H28" s="2" t="s">
        <v>164</v>
      </c>
      <c r="I28" s="2" t="s">
        <v>216</v>
      </c>
      <c r="J28" s="2" t="s">
        <v>217</v>
      </c>
      <c r="K28" s="2" t="s">
        <v>1219</v>
      </c>
      <c r="L28" s="150">
        <v>0.58099999999999996</v>
      </c>
      <c r="M28" s="150">
        <v>4.0199999999999996</v>
      </c>
      <c r="N28" s="162">
        <v>0</v>
      </c>
      <c r="O28" s="150">
        <v>2.3340000000000001</v>
      </c>
      <c r="P28" s="164">
        <v>1.5622458351160699E-3</v>
      </c>
      <c r="Q28" s="164">
        <v>7.2700913461371599E-5</v>
      </c>
    </row>
    <row r="29" spans="1:17">
      <c r="A29" s="2" t="s">
        <v>112</v>
      </c>
      <c r="B29" s="2">
        <v>13680</v>
      </c>
      <c r="C29" s="2" t="s">
        <v>211</v>
      </c>
      <c r="D29" s="2" t="s">
        <v>212</v>
      </c>
      <c r="E29" s="4" t="s">
        <v>213</v>
      </c>
      <c r="F29" s="2" t="s">
        <v>997</v>
      </c>
      <c r="G29" s="2" t="s">
        <v>31</v>
      </c>
      <c r="H29" s="2" t="s">
        <v>164</v>
      </c>
      <c r="I29" s="2" t="s">
        <v>216</v>
      </c>
      <c r="J29" s="2" t="s">
        <v>217</v>
      </c>
      <c r="K29" s="2" t="s">
        <v>1220</v>
      </c>
      <c r="L29" s="150">
        <v>468.56599999999997</v>
      </c>
      <c r="M29" s="150">
        <v>2.3359999999999999</v>
      </c>
      <c r="N29" s="162">
        <v>0</v>
      </c>
      <c r="O29" s="150">
        <v>10.945</v>
      </c>
      <c r="P29" s="164">
        <v>7.3247046449475403E-3</v>
      </c>
      <c r="Q29" s="164">
        <v>3.40863586608874E-4</v>
      </c>
    </row>
    <row r="30" spans="1:17">
      <c r="A30" s="2" t="s">
        <v>112</v>
      </c>
      <c r="B30" s="2">
        <v>13680</v>
      </c>
      <c r="C30" s="2" t="s">
        <v>211</v>
      </c>
      <c r="D30" s="2" t="s">
        <v>212</v>
      </c>
      <c r="E30" s="4" t="s">
        <v>213</v>
      </c>
      <c r="F30" s="2" t="s">
        <v>997</v>
      </c>
      <c r="G30" s="2" t="s">
        <v>31</v>
      </c>
      <c r="H30" s="2" t="s">
        <v>164</v>
      </c>
      <c r="I30" s="2" t="s">
        <v>216</v>
      </c>
      <c r="J30" s="2" t="s">
        <v>217</v>
      </c>
      <c r="K30" s="2" t="s">
        <v>1221</v>
      </c>
      <c r="L30" s="150">
        <v>1.7909999999999999</v>
      </c>
      <c r="M30" s="150">
        <v>4.75</v>
      </c>
      <c r="N30" s="162">
        <v>0</v>
      </c>
      <c r="O30" s="150">
        <v>8.5069999999999997</v>
      </c>
      <c r="P30" s="164">
        <v>5.6931638285901203E-3</v>
      </c>
      <c r="Q30" s="164">
        <v>2.64937951198309E-4</v>
      </c>
    </row>
    <row r="31" spans="1:17">
      <c r="A31" s="2" t="s">
        <v>112</v>
      </c>
      <c r="B31" s="2">
        <v>13680</v>
      </c>
      <c r="C31" s="2" t="s">
        <v>211</v>
      </c>
      <c r="D31" s="2" t="s">
        <v>212</v>
      </c>
      <c r="E31" s="4" t="s">
        <v>213</v>
      </c>
      <c r="F31" s="2" t="s">
        <v>995</v>
      </c>
      <c r="G31" s="2" t="s">
        <v>31</v>
      </c>
      <c r="H31" s="2" t="s">
        <v>164</v>
      </c>
      <c r="I31" s="2" t="s">
        <v>216</v>
      </c>
      <c r="J31" s="2" t="s">
        <v>217</v>
      </c>
      <c r="K31" s="2" t="s">
        <v>35</v>
      </c>
      <c r="L31" s="150">
        <v>0</v>
      </c>
      <c r="M31" s="150">
        <v>1</v>
      </c>
      <c r="N31" s="162">
        <v>4.0300000000000002E-2</v>
      </c>
      <c r="O31" s="150">
        <v>458.32799999999997</v>
      </c>
      <c r="P31" s="164">
        <v>0.306719648630076</v>
      </c>
      <c r="Q31" s="164">
        <v>1.4273552939445501E-2</v>
      </c>
    </row>
    <row r="32" spans="1:17">
      <c r="A32" s="2" t="s">
        <v>128</v>
      </c>
      <c r="B32" s="2">
        <v>7228</v>
      </c>
      <c r="C32" s="2" t="s">
        <v>211</v>
      </c>
      <c r="D32" s="2" t="s">
        <v>212</v>
      </c>
      <c r="E32" s="4" t="s">
        <v>213</v>
      </c>
      <c r="F32" s="2" t="s">
        <v>997</v>
      </c>
      <c r="G32" s="2" t="s">
        <v>31</v>
      </c>
      <c r="H32" s="2" t="s">
        <v>164</v>
      </c>
      <c r="I32" s="2" t="s">
        <v>216</v>
      </c>
      <c r="J32" s="2" t="s">
        <v>217</v>
      </c>
      <c r="K32" s="2" t="s">
        <v>1224</v>
      </c>
      <c r="L32" s="150">
        <v>0.61199999999999999</v>
      </c>
      <c r="M32" s="150">
        <v>2.4929999999999999</v>
      </c>
      <c r="N32" s="162">
        <v>0</v>
      </c>
      <c r="O32" s="150">
        <v>1.526</v>
      </c>
      <c r="P32" s="164">
        <v>1.4993146687837601E-5</v>
      </c>
      <c r="Q32" s="164">
        <v>6.5195549803278102E-7</v>
      </c>
    </row>
    <row r="33" spans="1:17">
      <c r="A33" s="2" t="s">
        <v>128</v>
      </c>
      <c r="B33" s="2">
        <v>7228</v>
      </c>
      <c r="C33" s="2" t="s">
        <v>211</v>
      </c>
      <c r="D33" s="2" t="s">
        <v>212</v>
      </c>
      <c r="E33" s="4" t="s">
        <v>213</v>
      </c>
      <c r="F33" s="2" t="s">
        <v>997</v>
      </c>
      <c r="G33" s="2" t="s">
        <v>31</v>
      </c>
      <c r="H33" s="2" t="s">
        <v>164</v>
      </c>
      <c r="I33" s="2" t="s">
        <v>216</v>
      </c>
      <c r="J33" s="2" t="s">
        <v>217</v>
      </c>
      <c r="K33" s="2" t="s">
        <v>99</v>
      </c>
      <c r="L33" s="150">
        <v>6538.16</v>
      </c>
      <c r="M33" s="150">
        <v>3.7589999999999999</v>
      </c>
      <c r="N33" s="162">
        <v>3.8300000000000001E-2</v>
      </c>
      <c r="O33" s="150">
        <v>24576.942999999999</v>
      </c>
      <c r="P33" s="164">
        <v>0.24150688993069699</v>
      </c>
      <c r="Q33" s="164">
        <v>1.05015810210701E-2</v>
      </c>
    </row>
    <row r="34" spans="1:17">
      <c r="A34" s="2" t="s">
        <v>128</v>
      </c>
      <c r="B34" s="2">
        <v>7228</v>
      </c>
      <c r="C34" s="2" t="s">
        <v>211</v>
      </c>
      <c r="D34" s="2" t="s">
        <v>212</v>
      </c>
      <c r="E34" s="4" t="s">
        <v>213</v>
      </c>
      <c r="F34" s="2" t="s">
        <v>997</v>
      </c>
      <c r="G34" s="2" t="s">
        <v>31</v>
      </c>
      <c r="H34" s="2" t="s">
        <v>164</v>
      </c>
      <c r="I34" s="2" t="s">
        <v>216</v>
      </c>
      <c r="J34" s="2" t="s">
        <v>217</v>
      </c>
      <c r="K34" s="2" t="s">
        <v>1218</v>
      </c>
      <c r="L34" s="150">
        <v>1E-3</v>
      </c>
      <c r="M34" s="150">
        <v>2.7410000000000001</v>
      </c>
      <c r="N34" s="162">
        <v>0</v>
      </c>
      <c r="O34" s="150">
        <v>2E-3</v>
      </c>
      <c r="P34" s="164">
        <v>1.9125666736212898E-8</v>
      </c>
      <c r="Q34" s="164">
        <v>8.3165221029496096E-10</v>
      </c>
    </row>
    <row r="35" spans="1:17">
      <c r="A35" s="2" t="s">
        <v>128</v>
      </c>
      <c r="B35" s="2">
        <v>7228</v>
      </c>
      <c r="C35" s="2" t="s">
        <v>211</v>
      </c>
      <c r="D35" s="2" t="s">
        <v>212</v>
      </c>
      <c r="E35" s="4" t="s">
        <v>213</v>
      </c>
      <c r="F35" s="2" t="s">
        <v>997</v>
      </c>
      <c r="G35" s="2" t="s">
        <v>31</v>
      </c>
      <c r="H35" s="2" t="s">
        <v>164</v>
      </c>
      <c r="I35" s="2" t="s">
        <v>216</v>
      </c>
      <c r="J35" s="2" t="s">
        <v>217</v>
      </c>
      <c r="K35" s="2" t="s">
        <v>1219</v>
      </c>
      <c r="L35" s="150">
        <v>7143.308</v>
      </c>
      <c r="M35" s="150">
        <v>4.0199999999999996</v>
      </c>
      <c r="N35" s="162">
        <v>0</v>
      </c>
      <c r="O35" s="150">
        <v>28717.526999999998</v>
      </c>
      <c r="P35" s="164">
        <v>0.28219460558325998</v>
      </c>
      <c r="Q35" s="164">
        <v>1.2270828029345E-2</v>
      </c>
    </row>
    <row r="36" spans="1:17">
      <c r="A36" s="2" t="s">
        <v>128</v>
      </c>
      <c r="B36" s="2">
        <v>7228</v>
      </c>
      <c r="C36" s="2" t="s">
        <v>211</v>
      </c>
      <c r="D36" s="2" t="s">
        <v>212</v>
      </c>
      <c r="E36" s="4" t="s">
        <v>213</v>
      </c>
      <c r="F36" s="2" t="s">
        <v>997</v>
      </c>
      <c r="G36" s="2" t="s">
        <v>31</v>
      </c>
      <c r="H36" s="2" t="s">
        <v>164</v>
      </c>
      <c r="I36" s="2" t="s">
        <v>216</v>
      </c>
      <c r="J36" s="2" t="s">
        <v>217</v>
      </c>
      <c r="K36" s="2" t="s">
        <v>1220</v>
      </c>
      <c r="L36" s="150">
        <v>8117.7979999999998</v>
      </c>
      <c r="M36" s="150">
        <v>2.3359999999999999</v>
      </c>
      <c r="N36" s="162">
        <v>0</v>
      </c>
      <c r="O36" s="150">
        <v>189.624</v>
      </c>
      <c r="P36" s="164">
        <v>1.86334881707013E-3</v>
      </c>
      <c r="Q36" s="164">
        <v>8.1025053068227104E-5</v>
      </c>
    </row>
    <row r="37" spans="1:17">
      <c r="A37" s="2" t="s">
        <v>128</v>
      </c>
      <c r="B37" s="2">
        <v>7228</v>
      </c>
      <c r="C37" s="2" t="s">
        <v>211</v>
      </c>
      <c r="D37" s="2" t="s">
        <v>212</v>
      </c>
      <c r="E37" s="4" t="s">
        <v>213</v>
      </c>
      <c r="F37" s="2" t="s">
        <v>997</v>
      </c>
      <c r="G37" s="2" t="s">
        <v>94</v>
      </c>
      <c r="H37" s="2" t="s">
        <v>164</v>
      </c>
      <c r="I37" s="2" t="s">
        <v>216</v>
      </c>
      <c r="J37" s="2" t="s">
        <v>217</v>
      </c>
      <c r="K37" s="2" t="s">
        <v>1225</v>
      </c>
      <c r="L37" s="150">
        <v>0</v>
      </c>
      <c r="M37" s="150">
        <v>0.35199999999999998</v>
      </c>
      <c r="N37" s="162">
        <v>0</v>
      </c>
      <c r="O37" s="150">
        <v>0</v>
      </c>
      <c r="P37" s="164">
        <v>3.80592634603949E-10</v>
      </c>
      <c r="Q37" s="164">
        <v>1.6549525313596E-11</v>
      </c>
    </row>
    <row r="38" spans="1:17">
      <c r="A38" s="2" t="s">
        <v>128</v>
      </c>
      <c r="B38" s="2">
        <v>7228</v>
      </c>
      <c r="C38" s="2" t="s">
        <v>211</v>
      </c>
      <c r="D38" s="2" t="s">
        <v>212</v>
      </c>
      <c r="E38" s="4" t="s">
        <v>213</v>
      </c>
      <c r="F38" s="2" t="s">
        <v>997</v>
      </c>
      <c r="G38" s="2" t="s">
        <v>31</v>
      </c>
      <c r="H38" s="2" t="s">
        <v>164</v>
      </c>
      <c r="I38" s="2" t="s">
        <v>216</v>
      </c>
      <c r="J38" s="2" t="s">
        <v>217</v>
      </c>
      <c r="K38" s="2" t="s">
        <v>1221</v>
      </c>
      <c r="L38" s="150">
        <v>136.548</v>
      </c>
      <c r="M38" s="150">
        <v>4.75</v>
      </c>
      <c r="N38" s="162">
        <v>0</v>
      </c>
      <c r="O38" s="150">
        <v>648.66899999999998</v>
      </c>
      <c r="P38" s="164">
        <v>6.3741875861987596E-3</v>
      </c>
      <c r="Q38" s="164">
        <v>2.7717241275880203E-4</v>
      </c>
    </row>
    <row r="39" spans="1:17">
      <c r="A39" s="2" t="s">
        <v>128</v>
      </c>
      <c r="B39" s="2">
        <v>7228</v>
      </c>
      <c r="C39" s="2" t="s">
        <v>211</v>
      </c>
      <c r="D39" s="2" t="s">
        <v>212</v>
      </c>
      <c r="E39" s="4" t="s">
        <v>213</v>
      </c>
      <c r="F39" s="2" t="s">
        <v>995</v>
      </c>
      <c r="G39" s="2" t="s">
        <v>31</v>
      </c>
      <c r="H39" s="2" t="s">
        <v>164</v>
      </c>
      <c r="I39" s="2" t="s">
        <v>216</v>
      </c>
      <c r="J39" s="2" t="s">
        <v>217</v>
      </c>
      <c r="K39" s="2" t="s">
        <v>35</v>
      </c>
      <c r="L39" s="150">
        <v>0</v>
      </c>
      <c r="M39" s="150">
        <v>1</v>
      </c>
      <c r="N39" s="162">
        <v>4.0300000000000002E-2</v>
      </c>
      <c r="O39" s="150">
        <v>41182.739000000001</v>
      </c>
      <c r="P39" s="164">
        <v>0.40468480606627999</v>
      </c>
      <c r="Q39" s="164">
        <v>1.7597138864736499E-2</v>
      </c>
    </row>
    <row r="40" spans="1:17">
      <c r="A40" s="2" t="s">
        <v>128</v>
      </c>
      <c r="B40" s="2">
        <v>7228</v>
      </c>
      <c r="C40" s="2" t="s">
        <v>1222</v>
      </c>
      <c r="D40" s="2" t="s">
        <v>1223</v>
      </c>
      <c r="E40" s="4" t="s">
        <v>213</v>
      </c>
      <c r="F40" s="2" t="s">
        <v>995</v>
      </c>
      <c r="G40" s="2" t="s">
        <v>31</v>
      </c>
      <c r="H40" s="2" t="s">
        <v>164</v>
      </c>
      <c r="I40" s="2" t="s">
        <v>216</v>
      </c>
      <c r="J40" s="2" t="s">
        <v>217</v>
      </c>
      <c r="K40" s="2" t="s">
        <v>35</v>
      </c>
      <c r="L40" s="150">
        <v>0</v>
      </c>
      <c r="M40" s="150">
        <v>1</v>
      </c>
      <c r="N40" s="162">
        <v>4.0300000000000002E-2</v>
      </c>
      <c r="O40" s="150">
        <v>1.2999999999999999E-2</v>
      </c>
      <c r="P40" s="164">
        <v>1.2745052982916101E-7</v>
      </c>
      <c r="Q40" s="164">
        <v>5.5420036486881408E-9</v>
      </c>
    </row>
    <row r="41" spans="1:17">
      <c r="A41" s="2" t="s">
        <v>128</v>
      </c>
      <c r="B41" s="2">
        <v>7228</v>
      </c>
      <c r="C41" s="2" t="s">
        <v>1222</v>
      </c>
      <c r="D41" s="2" t="s">
        <v>1223</v>
      </c>
      <c r="E41" s="4" t="s">
        <v>213</v>
      </c>
      <c r="F41" s="2" t="s">
        <v>995</v>
      </c>
      <c r="G41" s="2" t="s">
        <v>31</v>
      </c>
      <c r="H41" s="2" t="s">
        <v>164</v>
      </c>
      <c r="I41" s="2" t="s">
        <v>216</v>
      </c>
      <c r="J41" s="2" t="s">
        <v>217</v>
      </c>
      <c r="K41" s="2" t="s">
        <v>35</v>
      </c>
      <c r="L41" s="150">
        <v>0</v>
      </c>
      <c r="M41" s="150">
        <v>1</v>
      </c>
      <c r="N41" s="162">
        <v>4.0300000000000002E-2</v>
      </c>
      <c r="O41" s="150">
        <v>4788.1559999999999</v>
      </c>
      <c r="P41" s="164">
        <v>4.7051122483757798E-2</v>
      </c>
      <c r="Q41" s="164">
        <v>2.0459506353515101E-3</v>
      </c>
    </row>
    <row r="42" spans="1:17">
      <c r="A42" s="2" t="s">
        <v>128</v>
      </c>
      <c r="B42" s="2">
        <v>7228</v>
      </c>
      <c r="C42" s="2" t="s">
        <v>1222</v>
      </c>
      <c r="D42" s="2" t="s">
        <v>1223</v>
      </c>
      <c r="E42" s="4" t="s">
        <v>213</v>
      </c>
      <c r="F42" s="2" t="s">
        <v>995</v>
      </c>
      <c r="G42" s="2" t="s">
        <v>31</v>
      </c>
      <c r="H42" s="2" t="s">
        <v>164</v>
      </c>
      <c r="I42" s="2" t="s">
        <v>216</v>
      </c>
      <c r="J42" s="2" t="s">
        <v>217</v>
      </c>
      <c r="K42" s="2" t="s">
        <v>35</v>
      </c>
      <c r="L42" s="150">
        <v>0</v>
      </c>
      <c r="M42" s="150">
        <v>1</v>
      </c>
      <c r="N42" s="162">
        <v>4.0300000000000002E-2</v>
      </c>
      <c r="O42" s="150">
        <v>1641.0329999999999</v>
      </c>
      <c r="P42" s="164">
        <v>1.6125714251857302E-2</v>
      </c>
      <c r="Q42" s="164">
        <v>7.0120357554643903E-4</v>
      </c>
    </row>
    <row r="43" spans="1:17">
      <c r="A43" s="2" t="s">
        <v>128</v>
      </c>
      <c r="B43" s="2">
        <v>7228</v>
      </c>
      <c r="C43" s="2" t="s">
        <v>1222</v>
      </c>
      <c r="D43" s="2" t="s">
        <v>1223</v>
      </c>
      <c r="E43" s="4" t="s">
        <v>213</v>
      </c>
      <c r="F43" s="2" t="s">
        <v>995</v>
      </c>
      <c r="G43" s="2" t="s">
        <v>31</v>
      </c>
      <c r="H43" s="2" t="s">
        <v>164</v>
      </c>
      <c r="I43" s="2" t="s">
        <v>216</v>
      </c>
      <c r="J43" s="2" t="s">
        <v>217</v>
      </c>
      <c r="K43" s="2" t="s">
        <v>35</v>
      </c>
      <c r="L43" s="150">
        <v>0</v>
      </c>
      <c r="M43" s="150">
        <v>1</v>
      </c>
      <c r="N43" s="162">
        <v>4.0300000000000002E-2</v>
      </c>
      <c r="O43" s="150">
        <v>18.744</v>
      </c>
      <c r="P43" s="164">
        <v>1.84185177402148E-4</v>
      </c>
      <c r="Q43" s="164">
        <v>8.0090284957248201E-6</v>
      </c>
    </row>
    <row r="44" spans="1:17">
      <c r="A44" s="2" t="s">
        <v>128</v>
      </c>
      <c r="B44" s="2">
        <v>7229</v>
      </c>
      <c r="C44" s="2" t="s">
        <v>211</v>
      </c>
      <c r="D44" s="2" t="s">
        <v>212</v>
      </c>
      <c r="E44" s="4" t="s">
        <v>213</v>
      </c>
      <c r="F44" s="2" t="s">
        <v>997</v>
      </c>
      <c r="G44" s="2" t="s">
        <v>31</v>
      </c>
      <c r="H44" s="2" t="s">
        <v>164</v>
      </c>
      <c r="I44" s="2" t="s">
        <v>216</v>
      </c>
      <c r="J44" s="2" t="s">
        <v>217</v>
      </c>
      <c r="K44" s="2" t="s">
        <v>99</v>
      </c>
      <c r="L44" s="150">
        <v>350.81099999999998</v>
      </c>
      <c r="M44" s="150">
        <v>3.7589999999999999</v>
      </c>
      <c r="N44" s="162">
        <v>3.8300000000000001E-2</v>
      </c>
      <c r="O44" s="150">
        <v>1318.6980000000001</v>
      </c>
      <c r="P44" s="164">
        <v>0.31375896029167</v>
      </c>
      <c r="Q44" s="164">
        <v>9.3257167611470303E-3</v>
      </c>
    </row>
    <row r="45" spans="1:17">
      <c r="A45" s="2" t="s">
        <v>128</v>
      </c>
      <c r="B45" s="2">
        <v>7229</v>
      </c>
      <c r="C45" s="2" t="s">
        <v>211</v>
      </c>
      <c r="D45" s="2" t="s">
        <v>212</v>
      </c>
      <c r="E45" s="4" t="s">
        <v>213</v>
      </c>
      <c r="F45" s="2" t="s">
        <v>997</v>
      </c>
      <c r="G45" s="2" t="s">
        <v>31</v>
      </c>
      <c r="H45" s="2" t="s">
        <v>164</v>
      </c>
      <c r="I45" s="2" t="s">
        <v>216</v>
      </c>
      <c r="J45" s="2" t="s">
        <v>217</v>
      </c>
      <c r="K45" s="2" t="s">
        <v>1226</v>
      </c>
      <c r="L45" s="150">
        <v>0</v>
      </c>
      <c r="M45" s="150">
        <v>0.48199999999999998</v>
      </c>
      <c r="N45" s="162">
        <v>0</v>
      </c>
      <c r="O45" s="150">
        <v>0</v>
      </c>
      <c r="P45" s="164">
        <v>4.5911140882644102E-9</v>
      </c>
      <c r="Q45" s="164">
        <v>1.3645962354498002E-10</v>
      </c>
    </row>
    <row r="46" spans="1:17">
      <c r="A46" s="2" t="s">
        <v>128</v>
      </c>
      <c r="B46" s="2">
        <v>7229</v>
      </c>
      <c r="C46" s="2" t="s">
        <v>211</v>
      </c>
      <c r="D46" s="2" t="s">
        <v>212</v>
      </c>
      <c r="E46" s="4" t="s">
        <v>213</v>
      </c>
      <c r="F46" s="2" t="s">
        <v>997</v>
      </c>
      <c r="G46" s="2" t="s">
        <v>31</v>
      </c>
      <c r="H46" s="2" t="s">
        <v>164</v>
      </c>
      <c r="I46" s="2" t="s">
        <v>216</v>
      </c>
      <c r="J46" s="2" t="s">
        <v>217</v>
      </c>
      <c r="K46" s="2" t="s">
        <v>1218</v>
      </c>
      <c r="L46" s="150">
        <v>0</v>
      </c>
      <c r="M46" s="150">
        <v>2.7410000000000001</v>
      </c>
      <c r="N46" s="162">
        <v>0</v>
      </c>
      <c r="O46" s="150">
        <v>0</v>
      </c>
      <c r="P46" s="164">
        <v>5.8701590719026198E-8</v>
      </c>
      <c r="Q46" s="164">
        <v>1.7447610355590201E-9</v>
      </c>
    </row>
    <row r="47" spans="1:17">
      <c r="A47" s="2" t="s">
        <v>128</v>
      </c>
      <c r="B47" s="2">
        <v>7229</v>
      </c>
      <c r="C47" s="2" t="s">
        <v>211</v>
      </c>
      <c r="D47" s="2" t="s">
        <v>212</v>
      </c>
      <c r="E47" s="4" t="s">
        <v>213</v>
      </c>
      <c r="F47" s="2" t="s">
        <v>997</v>
      </c>
      <c r="G47" s="2" t="s">
        <v>31</v>
      </c>
      <c r="H47" s="2" t="s">
        <v>164</v>
      </c>
      <c r="I47" s="2" t="s">
        <v>216</v>
      </c>
      <c r="J47" s="2" t="s">
        <v>217</v>
      </c>
      <c r="K47" s="2" t="s">
        <v>1219</v>
      </c>
      <c r="L47" s="150">
        <v>257.423</v>
      </c>
      <c r="M47" s="150">
        <v>4.0199999999999996</v>
      </c>
      <c r="N47" s="162">
        <v>0</v>
      </c>
      <c r="O47" s="150">
        <v>1034.8920000000001</v>
      </c>
      <c r="P47" s="164">
        <v>0.24623263662897801</v>
      </c>
      <c r="Q47" s="164">
        <v>7.3186621488599201E-3</v>
      </c>
    </row>
    <row r="48" spans="1:17">
      <c r="A48" s="2" t="s">
        <v>128</v>
      </c>
      <c r="B48" s="2">
        <v>7229</v>
      </c>
      <c r="C48" s="2" t="s">
        <v>211</v>
      </c>
      <c r="D48" s="2" t="s">
        <v>212</v>
      </c>
      <c r="E48" s="4" t="s">
        <v>213</v>
      </c>
      <c r="F48" s="2" t="s">
        <v>997</v>
      </c>
      <c r="G48" s="2" t="s">
        <v>31</v>
      </c>
      <c r="H48" s="2" t="s">
        <v>164</v>
      </c>
      <c r="I48" s="2" t="s">
        <v>216</v>
      </c>
      <c r="J48" s="2" t="s">
        <v>217</v>
      </c>
      <c r="K48" s="2" t="s">
        <v>1220</v>
      </c>
      <c r="L48" s="150">
        <v>497.49200000000002</v>
      </c>
      <c r="M48" s="150">
        <v>2.3359999999999999</v>
      </c>
      <c r="N48" s="162">
        <v>0</v>
      </c>
      <c r="O48" s="150">
        <v>11.621</v>
      </c>
      <c r="P48" s="164">
        <v>2.7649769679255502E-3</v>
      </c>
      <c r="Q48" s="164">
        <v>8.2182169490869006E-5</v>
      </c>
    </row>
    <row r="49" spans="1:17">
      <c r="A49" s="2" t="s">
        <v>128</v>
      </c>
      <c r="B49" s="2">
        <v>7229</v>
      </c>
      <c r="C49" s="2" t="s">
        <v>211</v>
      </c>
      <c r="D49" s="2" t="s">
        <v>212</v>
      </c>
      <c r="E49" s="4" t="s">
        <v>213</v>
      </c>
      <c r="F49" s="2" t="s">
        <v>997</v>
      </c>
      <c r="G49" s="2" t="s">
        <v>94</v>
      </c>
      <c r="H49" s="2" t="s">
        <v>164</v>
      </c>
      <c r="I49" s="2" t="s">
        <v>216</v>
      </c>
      <c r="J49" s="2" t="s">
        <v>217</v>
      </c>
      <c r="K49" s="2" t="s">
        <v>1225</v>
      </c>
      <c r="L49" s="150">
        <v>14.944000000000001</v>
      </c>
      <c r="M49" s="150">
        <v>0.35199999999999998</v>
      </c>
      <c r="N49" s="162">
        <v>0</v>
      </c>
      <c r="O49" s="150">
        <v>5.2619999999999996</v>
      </c>
      <c r="P49" s="164">
        <v>1.2519823575692899E-3</v>
      </c>
      <c r="Q49" s="164">
        <v>3.7212109722031999E-5</v>
      </c>
    </row>
    <row r="50" spans="1:17">
      <c r="A50" s="2" t="s">
        <v>128</v>
      </c>
      <c r="B50" s="2">
        <v>7229</v>
      </c>
      <c r="C50" s="2" t="s">
        <v>211</v>
      </c>
      <c r="D50" s="2" t="s">
        <v>212</v>
      </c>
      <c r="E50" s="4" t="s">
        <v>213</v>
      </c>
      <c r="F50" s="2" t="s">
        <v>997</v>
      </c>
      <c r="G50" s="2" t="s">
        <v>31</v>
      </c>
      <c r="H50" s="2" t="s">
        <v>164</v>
      </c>
      <c r="I50" s="2" t="s">
        <v>216</v>
      </c>
      <c r="J50" s="2" t="s">
        <v>217</v>
      </c>
      <c r="K50" s="2" t="s">
        <v>1221</v>
      </c>
      <c r="L50" s="150">
        <v>4.4939999999999998</v>
      </c>
      <c r="M50" s="150">
        <v>4.75</v>
      </c>
      <c r="N50" s="162">
        <v>0</v>
      </c>
      <c r="O50" s="150">
        <v>21.349</v>
      </c>
      <c r="P50" s="164">
        <v>5.0796503020374703E-3</v>
      </c>
      <c r="Q50" s="164">
        <v>1.50980166171E-4</v>
      </c>
    </row>
    <row r="51" spans="1:17">
      <c r="A51" s="2" t="s">
        <v>128</v>
      </c>
      <c r="B51" s="2">
        <v>7229</v>
      </c>
      <c r="C51" s="2" t="s">
        <v>211</v>
      </c>
      <c r="D51" s="2" t="s">
        <v>212</v>
      </c>
      <c r="E51" s="4" t="s">
        <v>213</v>
      </c>
      <c r="F51" s="2" t="s">
        <v>995</v>
      </c>
      <c r="G51" s="2" t="s">
        <v>31</v>
      </c>
      <c r="H51" s="2" t="s">
        <v>164</v>
      </c>
      <c r="I51" s="2" t="s">
        <v>216</v>
      </c>
      <c r="J51" s="2" t="s">
        <v>217</v>
      </c>
      <c r="K51" s="2" t="s">
        <v>35</v>
      </c>
      <c r="L51" s="150">
        <v>0</v>
      </c>
      <c r="M51" s="150">
        <v>1</v>
      </c>
      <c r="N51" s="162">
        <v>4.0300000000000002E-2</v>
      </c>
      <c r="O51" s="150">
        <v>1562.057</v>
      </c>
      <c r="P51" s="164">
        <v>0.37166165405816098</v>
      </c>
      <c r="Q51" s="164">
        <v>1.1046732541132301E-2</v>
      </c>
    </row>
    <row r="52" spans="1:17">
      <c r="A52" s="2" t="s">
        <v>128</v>
      </c>
      <c r="B52" s="2">
        <v>7229</v>
      </c>
      <c r="C52" s="2" t="s">
        <v>1222</v>
      </c>
      <c r="D52" s="2" t="s">
        <v>1223</v>
      </c>
      <c r="E52" s="4" t="s">
        <v>213</v>
      </c>
      <c r="F52" s="2" t="s">
        <v>995</v>
      </c>
      <c r="G52" s="2" t="s">
        <v>31</v>
      </c>
      <c r="H52" s="2" t="s">
        <v>164</v>
      </c>
      <c r="I52" s="2" t="s">
        <v>216</v>
      </c>
      <c r="J52" s="2" t="s">
        <v>217</v>
      </c>
      <c r="K52" s="2" t="s">
        <v>35</v>
      </c>
      <c r="L52" s="150">
        <v>0</v>
      </c>
      <c r="M52" s="150">
        <v>1</v>
      </c>
      <c r="N52" s="162">
        <v>4.0300000000000002E-2</v>
      </c>
      <c r="O52" s="150">
        <v>249.02199999999999</v>
      </c>
      <c r="P52" s="164">
        <v>5.9250076100954598E-2</v>
      </c>
      <c r="Q52" s="164">
        <v>1.7610634204048301E-3</v>
      </c>
    </row>
    <row r="53" spans="1:17">
      <c r="A53" s="2" t="s">
        <v>128</v>
      </c>
      <c r="B53" s="2">
        <v>9817</v>
      </c>
      <c r="C53" s="2" t="s">
        <v>211</v>
      </c>
      <c r="D53" s="2" t="s">
        <v>212</v>
      </c>
      <c r="E53" s="4" t="s">
        <v>213</v>
      </c>
      <c r="F53" s="2" t="s">
        <v>997</v>
      </c>
      <c r="G53" s="2" t="s">
        <v>31</v>
      </c>
      <c r="H53" s="2" t="s">
        <v>164</v>
      </c>
      <c r="I53" s="2" t="s">
        <v>216</v>
      </c>
      <c r="J53" s="2" t="s">
        <v>217</v>
      </c>
      <c r="K53" s="2" t="s">
        <v>99</v>
      </c>
      <c r="L53" s="150">
        <v>1.0329999999999999</v>
      </c>
      <c r="M53" s="150">
        <v>3.7589999999999999</v>
      </c>
      <c r="N53" s="162">
        <v>3.8300000000000001E-2</v>
      </c>
      <c r="O53" s="150">
        <v>3.8839999999999999</v>
      </c>
      <c r="P53" s="164">
        <v>6.0087493194712301E-2</v>
      </c>
      <c r="Q53" s="164">
        <v>2.6336620708844599E-3</v>
      </c>
    </row>
    <row r="54" spans="1:17">
      <c r="A54" s="2" t="s">
        <v>128</v>
      </c>
      <c r="B54" s="2">
        <v>9817</v>
      </c>
      <c r="C54" s="2" t="s">
        <v>211</v>
      </c>
      <c r="D54" s="2" t="s">
        <v>212</v>
      </c>
      <c r="E54" s="4" t="s">
        <v>213</v>
      </c>
      <c r="F54" s="2" t="s">
        <v>997</v>
      </c>
      <c r="G54" s="2" t="s">
        <v>31</v>
      </c>
      <c r="H54" s="2" t="s">
        <v>164</v>
      </c>
      <c r="I54" s="2" t="s">
        <v>216</v>
      </c>
      <c r="J54" s="2" t="s">
        <v>217</v>
      </c>
      <c r="K54" s="2" t="s">
        <v>1219</v>
      </c>
      <c r="L54" s="150">
        <v>2.1999999999999999E-2</v>
      </c>
      <c r="M54" s="150">
        <v>4.0199999999999996</v>
      </c>
      <c r="N54" s="162">
        <v>0</v>
      </c>
      <c r="O54" s="150">
        <v>0.09</v>
      </c>
      <c r="P54" s="164">
        <v>1.39639466598425E-3</v>
      </c>
      <c r="Q54" s="164">
        <v>6.1204611346836997E-5</v>
      </c>
    </row>
    <row r="55" spans="1:17">
      <c r="A55" s="2" t="s">
        <v>128</v>
      </c>
      <c r="B55" s="2">
        <v>9817</v>
      </c>
      <c r="C55" s="2" t="s">
        <v>211</v>
      </c>
      <c r="D55" s="2" t="s">
        <v>212</v>
      </c>
      <c r="E55" s="4" t="s">
        <v>213</v>
      </c>
      <c r="F55" s="2" t="s">
        <v>997</v>
      </c>
      <c r="G55" s="2" t="s">
        <v>31</v>
      </c>
      <c r="H55" s="2" t="s">
        <v>164</v>
      </c>
      <c r="I55" s="2" t="s">
        <v>216</v>
      </c>
      <c r="J55" s="2" t="s">
        <v>217</v>
      </c>
      <c r="K55" s="2" t="s">
        <v>1221</v>
      </c>
      <c r="L55" s="150">
        <v>0.12</v>
      </c>
      <c r="M55" s="150">
        <v>4.75</v>
      </c>
      <c r="N55" s="162">
        <v>0</v>
      </c>
      <c r="O55" s="150">
        <v>0.57099999999999995</v>
      </c>
      <c r="P55" s="164">
        <v>8.8368268645229505E-3</v>
      </c>
      <c r="Q55" s="164">
        <v>3.8732212816152198E-4</v>
      </c>
    </row>
    <row r="56" spans="1:17">
      <c r="A56" s="2" t="s">
        <v>128</v>
      </c>
      <c r="B56" s="2">
        <v>9817</v>
      </c>
      <c r="C56" s="2" t="s">
        <v>211</v>
      </c>
      <c r="D56" s="2" t="s">
        <v>212</v>
      </c>
      <c r="E56" s="4" t="s">
        <v>213</v>
      </c>
      <c r="F56" s="2" t="s">
        <v>995</v>
      </c>
      <c r="G56" s="2" t="s">
        <v>31</v>
      </c>
      <c r="H56" s="2" t="s">
        <v>164</v>
      </c>
      <c r="I56" s="2" t="s">
        <v>216</v>
      </c>
      <c r="J56" s="2" t="s">
        <v>217</v>
      </c>
      <c r="K56" s="2" t="s">
        <v>35</v>
      </c>
      <c r="L56" s="150">
        <v>0</v>
      </c>
      <c r="M56" s="150">
        <v>1</v>
      </c>
      <c r="N56" s="162">
        <v>4.0300000000000002E-2</v>
      </c>
      <c r="O56" s="150">
        <v>57.334000000000003</v>
      </c>
      <c r="P56" s="164">
        <v>0.88706436052996396</v>
      </c>
      <c r="Q56" s="164">
        <v>3.8880433124255098E-2</v>
      </c>
    </row>
    <row r="57" spans="1:17">
      <c r="A57" s="2" t="s">
        <v>128</v>
      </c>
      <c r="B57" s="2">
        <v>9817</v>
      </c>
      <c r="C57" s="2" t="s">
        <v>1222</v>
      </c>
      <c r="D57" s="2" t="s">
        <v>1223</v>
      </c>
      <c r="E57" s="4" t="s">
        <v>213</v>
      </c>
      <c r="F57" s="2" t="s">
        <v>995</v>
      </c>
      <c r="G57" s="2" t="s">
        <v>31</v>
      </c>
      <c r="H57" s="2" t="s">
        <v>164</v>
      </c>
      <c r="I57" s="2" t="s">
        <v>216</v>
      </c>
      <c r="J57" s="2" t="s">
        <v>217</v>
      </c>
      <c r="K57" s="2" t="s">
        <v>35</v>
      </c>
      <c r="L57" s="150">
        <v>0</v>
      </c>
      <c r="M57" s="150">
        <v>1</v>
      </c>
      <c r="N57" s="162">
        <v>4.0300000000000002E-2</v>
      </c>
      <c r="O57" s="150">
        <v>0.01</v>
      </c>
      <c r="P57" s="164">
        <v>1.56266379576467E-4</v>
      </c>
      <c r="Q57" s="164">
        <v>6.8492262692894599E-6</v>
      </c>
    </row>
    <row r="58" spans="1:17">
      <c r="A58" s="2" t="s">
        <v>128</v>
      </c>
      <c r="B58" s="2">
        <v>9817</v>
      </c>
      <c r="C58" s="2" t="s">
        <v>1222</v>
      </c>
      <c r="D58" s="2" t="s">
        <v>1223</v>
      </c>
      <c r="E58" s="4" t="s">
        <v>213</v>
      </c>
      <c r="F58" s="2" t="s">
        <v>995</v>
      </c>
      <c r="G58" s="2" t="s">
        <v>31</v>
      </c>
      <c r="H58" s="2" t="s">
        <v>164</v>
      </c>
      <c r="I58" s="2" t="s">
        <v>216</v>
      </c>
      <c r="J58" s="2" t="s">
        <v>217</v>
      </c>
      <c r="K58" s="2" t="s">
        <v>35</v>
      </c>
      <c r="L58" s="150">
        <v>0</v>
      </c>
      <c r="M58" s="150">
        <v>1</v>
      </c>
      <c r="N58" s="162">
        <v>4.0300000000000002E-2</v>
      </c>
      <c r="O58" s="150">
        <v>2.7440000000000002</v>
      </c>
      <c r="P58" s="164">
        <v>4.2458658365240001E-2</v>
      </c>
      <c r="Q58" s="164">
        <v>1.8609822472509801E-3</v>
      </c>
    </row>
    <row r="59" spans="1:17">
      <c r="A59" s="2" t="s">
        <v>144</v>
      </c>
      <c r="B59" s="2">
        <v>969</v>
      </c>
      <c r="C59" s="2" t="s">
        <v>211</v>
      </c>
      <c r="D59" s="2" t="s">
        <v>212</v>
      </c>
      <c r="E59" s="4" t="s">
        <v>213</v>
      </c>
      <c r="F59" s="2" t="s">
        <v>997</v>
      </c>
      <c r="G59" s="2" t="s">
        <v>31</v>
      </c>
      <c r="H59" s="2" t="s">
        <v>164</v>
      </c>
      <c r="I59" s="2" t="s">
        <v>216</v>
      </c>
      <c r="J59" s="2" t="s">
        <v>217</v>
      </c>
      <c r="K59" s="2" t="s">
        <v>99</v>
      </c>
      <c r="L59" s="150">
        <v>216.52699999999999</v>
      </c>
      <c r="M59" s="150">
        <v>3.7589999999999999</v>
      </c>
      <c r="N59" s="162">
        <v>3.8300000000000001E-2</v>
      </c>
      <c r="O59" s="150">
        <v>813.92600000000004</v>
      </c>
      <c r="P59" s="164">
        <v>0.16337471458088099</v>
      </c>
      <c r="Q59" s="164">
        <v>1.10354711197859E-2</v>
      </c>
    </row>
    <row r="60" spans="1:17">
      <c r="A60" s="2" t="s">
        <v>144</v>
      </c>
      <c r="B60" s="2">
        <v>969</v>
      </c>
      <c r="C60" s="2" t="s">
        <v>211</v>
      </c>
      <c r="D60" s="2" t="s">
        <v>212</v>
      </c>
      <c r="E60" s="4" t="s">
        <v>213</v>
      </c>
      <c r="F60" s="2" t="s">
        <v>997</v>
      </c>
      <c r="G60" s="2" t="s">
        <v>31</v>
      </c>
      <c r="H60" s="2" t="s">
        <v>164</v>
      </c>
      <c r="I60" s="2" t="s">
        <v>216</v>
      </c>
      <c r="J60" s="2" t="s">
        <v>217</v>
      </c>
      <c r="K60" s="2" t="s">
        <v>1226</v>
      </c>
      <c r="L60" s="150">
        <v>0</v>
      </c>
      <c r="M60" s="150">
        <v>0.48199999999999998</v>
      </c>
      <c r="N60" s="162">
        <v>0</v>
      </c>
      <c r="O60" s="150">
        <v>0</v>
      </c>
      <c r="P60" s="164">
        <v>-2.9048829008228901E-9</v>
      </c>
      <c r="Q60" s="164">
        <v>-1.96216112393089E-10</v>
      </c>
    </row>
    <row r="61" spans="1:17">
      <c r="A61" s="2" t="s">
        <v>144</v>
      </c>
      <c r="B61" s="2">
        <v>969</v>
      </c>
      <c r="C61" s="2" t="s">
        <v>211</v>
      </c>
      <c r="D61" s="2" t="s">
        <v>212</v>
      </c>
      <c r="E61" s="4" t="s">
        <v>213</v>
      </c>
      <c r="F61" s="2" t="s">
        <v>997</v>
      </c>
      <c r="G61" s="2" t="s">
        <v>31</v>
      </c>
      <c r="H61" s="2" t="s">
        <v>164</v>
      </c>
      <c r="I61" s="2" t="s">
        <v>216</v>
      </c>
      <c r="J61" s="2" t="s">
        <v>217</v>
      </c>
      <c r="K61" s="2" t="s">
        <v>1218</v>
      </c>
      <c r="L61" s="150">
        <v>0.41799999999999998</v>
      </c>
      <c r="M61" s="150">
        <v>2.7410000000000001</v>
      </c>
      <c r="N61" s="162">
        <v>0</v>
      </c>
      <c r="O61" s="150">
        <v>1.147</v>
      </c>
      <c r="P61" s="164">
        <v>2.30173270836273E-4</v>
      </c>
      <c r="Q61" s="164">
        <v>1.5547512902327701E-5</v>
      </c>
    </row>
    <row r="62" spans="1:17">
      <c r="A62" s="2" t="s">
        <v>144</v>
      </c>
      <c r="B62" s="2">
        <v>969</v>
      </c>
      <c r="C62" s="2" t="s">
        <v>211</v>
      </c>
      <c r="D62" s="2" t="s">
        <v>212</v>
      </c>
      <c r="E62" s="4" t="s">
        <v>213</v>
      </c>
      <c r="F62" s="2" t="s">
        <v>997</v>
      </c>
      <c r="G62" s="2" t="s">
        <v>31</v>
      </c>
      <c r="H62" s="2" t="s">
        <v>164</v>
      </c>
      <c r="I62" s="2" t="s">
        <v>216</v>
      </c>
      <c r="J62" s="2" t="s">
        <v>217</v>
      </c>
      <c r="K62" s="2" t="s">
        <v>1219</v>
      </c>
      <c r="L62" s="150">
        <v>215.655</v>
      </c>
      <c r="M62" s="150">
        <v>4.0199999999999996</v>
      </c>
      <c r="N62" s="162">
        <v>0</v>
      </c>
      <c r="O62" s="150">
        <v>866.97400000000005</v>
      </c>
      <c r="P62" s="164">
        <v>0.17402285147379501</v>
      </c>
      <c r="Q62" s="164">
        <v>1.1754720775173101E-2</v>
      </c>
    </row>
    <row r="63" spans="1:17">
      <c r="A63" s="2" t="s">
        <v>144</v>
      </c>
      <c r="B63" s="2">
        <v>969</v>
      </c>
      <c r="C63" s="2" t="s">
        <v>211</v>
      </c>
      <c r="D63" s="2" t="s">
        <v>212</v>
      </c>
      <c r="E63" s="4" t="s">
        <v>213</v>
      </c>
      <c r="F63" s="2" t="s">
        <v>997</v>
      </c>
      <c r="G63" s="2" t="s">
        <v>31</v>
      </c>
      <c r="H63" s="2" t="s">
        <v>164</v>
      </c>
      <c r="I63" s="2" t="s">
        <v>216</v>
      </c>
      <c r="J63" s="2" t="s">
        <v>217</v>
      </c>
      <c r="K63" s="2" t="s">
        <v>1220</v>
      </c>
      <c r="L63" s="150">
        <v>456.89699999999999</v>
      </c>
      <c r="M63" s="150">
        <v>2.3359999999999999</v>
      </c>
      <c r="N63" s="162">
        <v>0</v>
      </c>
      <c r="O63" s="150">
        <v>10.673</v>
      </c>
      <c r="P63" s="164">
        <v>2.1422608633543199E-3</v>
      </c>
      <c r="Q63" s="164">
        <v>1.44703285017159E-4</v>
      </c>
    </row>
    <row r="64" spans="1:17">
      <c r="A64" s="2" t="s">
        <v>144</v>
      </c>
      <c r="B64" s="2">
        <v>969</v>
      </c>
      <c r="C64" s="2" t="s">
        <v>211</v>
      </c>
      <c r="D64" s="2" t="s">
        <v>212</v>
      </c>
      <c r="E64" s="4" t="s">
        <v>213</v>
      </c>
      <c r="F64" s="2" t="s">
        <v>997</v>
      </c>
      <c r="G64" s="2" t="s">
        <v>31</v>
      </c>
      <c r="H64" s="2" t="s">
        <v>164</v>
      </c>
      <c r="I64" s="2" t="s">
        <v>216</v>
      </c>
      <c r="J64" s="2" t="s">
        <v>217</v>
      </c>
      <c r="K64" s="2" t="s">
        <v>1227</v>
      </c>
      <c r="L64" s="150">
        <v>0</v>
      </c>
      <c r="M64" s="150">
        <v>0.53900000000000003</v>
      </c>
      <c r="N64" s="162">
        <v>0</v>
      </c>
      <c r="O64" s="150">
        <v>0</v>
      </c>
      <c r="P64" s="164">
        <v>-1.08190428658343E-9</v>
      </c>
      <c r="Q64" s="164">
        <v>-7.307938403805619E-11</v>
      </c>
    </row>
    <row r="65" spans="1:17">
      <c r="A65" s="2" t="s">
        <v>144</v>
      </c>
      <c r="B65" s="2">
        <v>969</v>
      </c>
      <c r="C65" s="2" t="s">
        <v>211</v>
      </c>
      <c r="D65" s="2" t="s">
        <v>212</v>
      </c>
      <c r="E65" s="4" t="s">
        <v>213</v>
      </c>
      <c r="F65" s="2" t="s">
        <v>997</v>
      </c>
      <c r="G65" s="2" t="s">
        <v>94</v>
      </c>
      <c r="H65" s="2" t="s">
        <v>164</v>
      </c>
      <c r="I65" s="2" t="s">
        <v>216</v>
      </c>
      <c r="J65" s="2" t="s">
        <v>217</v>
      </c>
      <c r="K65" s="2" t="s">
        <v>1225</v>
      </c>
      <c r="L65" s="150">
        <v>6.75</v>
      </c>
      <c r="M65" s="150">
        <v>0.35199999999999998</v>
      </c>
      <c r="N65" s="162">
        <v>0</v>
      </c>
      <c r="O65" s="150">
        <v>2.3769999999999998</v>
      </c>
      <c r="P65" s="164">
        <v>4.7705656221069901E-4</v>
      </c>
      <c r="Q65" s="164">
        <v>3.2223737487689698E-5</v>
      </c>
    </row>
    <row r="66" spans="1:17">
      <c r="A66" s="2" t="s">
        <v>144</v>
      </c>
      <c r="B66" s="2">
        <v>969</v>
      </c>
      <c r="C66" s="2" t="s">
        <v>211</v>
      </c>
      <c r="D66" s="2" t="s">
        <v>212</v>
      </c>
      <c r="E66" s="4" t="s">
        <v>213</v>
      </c>
      <c r="F66" s="2" t="s">
        <v>997</v>
      </c>
      <c r="G66" s="2" t="s">
        <v>31</v>
      </c>
      <c r="H66" s="2" t="s">
        <v>164</v>
      </c>
      <c r="I66" s="2" t="s">
        <v>216</v>
      </c>
      <c r="J66" s="2" t="s">
        <v>217</v>
      </c>
      <c r="K66" s="2" t="s">
        <v>1221</v>
      </c>
      <c r="L66" s="150">
        <v>6.6449999999999996</v>
      </c>
      <c r="M66" s="150">
        <v>4.75</v>
      </c>
      <c r="N66" s="162">
        <v>0</v>
      </c>
      <c r="O66" s="150">
        <v>31.567</v>
      </c>
      <c r="P66" s="164">
        <v>6.3362050139742299E-3</v>
      </c>
      <c r="Q66" s="164">
        <v>4.2799161192192298E-4</v>
      </c>
    </row>
    <row r="67" spans="1:17">
      <c r="A67" s="2" t="s">
        <v>144</v>
      </c>
      <c r="B67" s="2">
        <v>969</v>
      </c>
      <c r="C67" s="2" t="s">
        <v>211</v>
      </c>
      <c r="D67" s="2" t="s">
        <v>212</v>
      </c>
      <c r="E67" s="4" t="s">
        <v>213</v>
      </c>
      <c r="F67" s="2" t="s">
        <v>995</v>
      </c>
      <c r="G67" s="2" t="s">
        <v>31</v>
      </c>
      <c r="H67" s="2" t="s">
        <v>164</v>
      </c>
      <c r="I67" s="2" t="s">
        <v>216</v>
      </c>
      <c r="J67" s="2" t="s">
        <v>217</v>
      </c>
      <c r="K67" s="2" t="s">
        <v>35</v>
      </c>
      <c r="L67" s="150">
        <v>0</v>
      </c>
      <c r="M67" s="150">
        <v>1</v>
      </c>
      <c r="N67" s="162">
        <v>4.0300000000000002E-2</v>
      </c>
      <c r="O67" s="150">
        <v>3183.6010000000001</v>
      </c>
      <c r="P67" s="164">
        <v>0.63902622692197997</v>
      </c>
      <c r="Q67" s="164">
        <v>4.3164301710177502E-2</v>
      </c>
    </row>
    <row r="68" spans="1:17">
      <c r="A68" s="2" t="s">
        <v>144</v>
      </c>
      <c r="B68" s="2">
        <v>969</v>
      </c>
      <c r="C68" s="2" t="s">
        <v>1222</v>
      </c>
      <c r="D68" s="2" t="s">
        <v>1223</v>
      </c>
      <c r="E68" s="4" t="s">
        <v>213</v>
      </c>
      <c r="F68" s="2" t="s">
        <v>995</v>
      </c>
      <c r="G68" s="2" t="s">
        <v>31</v>
      </c>
      <c r="H68" s="2" t="s">
        <v>164</v>
      </c>
      <c r="I68" s="2" t="s">
        <v>216</v>
      </c>
      <c r="J68" s="2" t="s">
        <v>217</v>
      </c>
      <c r="K68" s="2" t="s">
        <v>35</v>
      </c>
      <c r="L68" s="150">
        <v>0</v>
      </c>
      <c r="M68" s="150">
        <v>1</v>
      </c>
      <c r="N68" s="162">
        <v>4.0300000000000002E-2</v>
      </c>
      <c r="O68" s="150">
        <v>4.0000000000000001E-3</v>
      </c>
      <c r="P68" s="164">
        <v>8.2698435263891004E-7</v>
      </c>
      <c r="Q68" s="164">
        <v>5.5860308392725699E-8</v>
      </c>
    </row>
    <row r="69" spans="1:17">
      <c r="A69" s="2" t="s">
        <v>144</v>
      </c>
      <c r="B69" s="2">
        <v>969</v>
      </c>
      <c r="C69" s="2" t="s">
        <v>1222</v>
      </c>
      <c r="D69" s="2" t="s">
        <v>1223</v>
      </c>
      <c r="E69" s="4" t="s">
        <v>213</v>
      </c>
      <c r="F69" s="2" t="s">
        <v>995</v>
      </c>
      <c r="G69" s="2" t="s">
        <v>31</v>
      </c>
      <c r="H69" s="2" t="s">
        <v>164</v>
      </c>
      <c r="I69" s="2" t="s">
        <v>216</v>
      </c>
      <c r="J69" s="2" t="s">
        <v>217</v>
      </c>
      <c r="K69" s="2" t="s">
        <v>35</v>
      </c>
      <c r="L69" s="150">
        <v>0</v>
      </c>
      <c r="M69" s="150">
        <v>1</v>
      </c>
      <c r="N69" s="162">
        <v>4.0300000000000002E-2</v>
      </c>
      <c r="O69" s="150">
        <v>71.688999999999993</v>
      </c>
      <c r="P69" s="164">
        <v>1.4389688315403E-2</v>
      </c>
      <c r="Q69" s="164">
        <v>9.7198021269525095E-4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97"/>
  <sheetViews>
    <sheetView rightToLeft="1" topLeftCell="A67" zoomScale="70" zoomScaleNormal="70" workbookViewId="0">
      <selection activeCell="C20" sqref="C20:C23"/>
    </sheetView>
  </sheetViews>
  <sheetFormatPr defaultColWidth="9" defaultRowHeight="14.25"/>
  <cols>
    <col min="1" max="2" width="11.625" style="4" customWidth="1"/>
    <col min="3" max="3" width="18" style="4" bestFit="1" customWidth="1"/>
    <col min="4" max="4" width="27.75" style="4" bestFit="1" customWidth="1"/>
    <col min="5" max="5" width="15.125" style="4" bestFit="1" customWidth="1"/>
    <col min="6" max="8" width="11.625" style="4" customWidth="1"/>
    <col min="9" max="9" width="19.75" style="4" bestFit="1" customWidth="1"/>
    <col min="10" max="14" width="11.625" style="4" customWidth="1"/>
    <col min="15" max="15" width="11.625" style="146" customWidth="1"/>
    <col min="16" max="17" width="11.625" style="4" customWidth="1"/>
    <col min="18" max="18" width="13.5" style="4" bestFit="1" customWidth="1"/>
    <col min="19" max="30" width="11.625" style="4" customWidth="1"/>
    <col min="31" max="31" width="9" style="4" customWidth="1"/>
    <col min="32" max="16384" width="9" style="4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59" t="s">
        <v>14</v>
      </c>
      <c r="P1" s="163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63" t="s">
        <v>23</v>
      </c>
      <c r="Y1" s="163" t="s">
        <v>24</v>
      </c>
      <c r="Z1" s="163" t="s">
        <v>25</v>
      </c>
    </row>
    <row r="2" spans="1:26">
      <c r="A2" s="18" t="s">
        <v>26</v>
      </c>
      <c r="B2" s="18">
        <v>1182</v>
      </c>
      <c r="C2" s="18" t="s">
        <v>27</v>
      </c>
      <c r="D2" s="18" t="s">
        <v>28</v>
      </c>
      <c r="E2" s="18" t="s">
        <v>29</v>
      </c>
      <c r="F2" s="18" t="s">
        <v>30</v>
      </c>
      <c r="G2" s="18" t="s">
        <v>31</v>
      </c>
      <c r="H2" s="18" t="s">
        <v>31</v>
      </c>
      <c r="I2" s="18" t="s">
        <v>32</v>
      </c>
      <c r="J2" s="18" t="s">
        <v>33</v>
      </c>
      <c r="K2" s="18" t="s">
        <v>34</v>
      </c>
      <c r="L2" s="4" t="s">
        <v>35</v>
      </c>
      <c r="M2" s="152">
        <v>0.252</v>
      </c>
      <c r="N2" s="4" t="s">
        <v>36</v>
      </c>
      <c r="O2" s="161">
        <v>0</v>
      </c>
      <c r="P2" s="166">
        <v>4.2770000000000002E-2</v>
      </c>
      <c r="R2" s="152">
        <v>307125</v>
      </c>
      <c r="S2" s="152">
        <v>1</v>
      </c>
      <c r="T2" s="152">
        <v>98.94</v>
      </c>
      <c r="U2" s="152">
        <v>303.86900000000003</v>
      </c>
      <c r="W2" s="18" t="s">
        <v>37</v>
      </c>
      <c r="X2" s="166">
        <v>1.7E-5</v>
      </c>
      <c r="Y2" s="166">
        <v>4.9221013853026499E-3</v>
      </c>
      <c r="Z2" s="166">
        <v>7.6889605731694105E-4</v>
      </c>
    </row>
    <row r="3" spans="1:26">
      <c r="A3" s="18" t="s">
        <v>26</v>
      </c>
      <c r="B3" s="18">
        <v>1182</v>
      </c>
      <c r="C3" s="18" t="s">
        <v>27</v>
      </c>
      <c r="D3" s="18" t="s">
        <v>38</v>
      </c>
      <c r="E3" s="18" t="s">
        <v>39</v>
      </c>
      <c r="F3" s="18" t="s">
        <v>30</v>
      </c>
      <c r="G3" s="18" t="s">
        <v>31</v>
      </c>
      <c r="H3" s="18" t="s">
        <v>31</v>
      </c>
      <c r="I3" s="18" t="s">
        <v>32</v>
      </c>
      <c r="J3" s="18" t="s">
        <v>33</v>
      </c>
      <c r="K3" s="18" t="s">
        <v>34</v>
      </c>
      <c r="L3" s="4" t="s">
        <v>35</v>
      </c>
      <c r="M3" s="152">
        <v>0.42499999999999999</v>
      </c>
      <c r="N3" s="4" t="s">
        <v>40</v>
      </c>
      <c r="O3" s="161">
        <v>0</v>
      </c>
      <c r="P3" s="166">
        <v>4.3450000000000003E-2</v>
      </c>
      <c r="R3" s="152">
        <v>5000000</v>
      </c>
      <c r="S3" s="152">
        <v>1</v>
      </c>
      <c r="T3" s="152">
        <v>98.21</v>
      </c>
      <c r="U3" s="152">
        <v>4910.5</v>
      </c>
      <c r="W3" s="18" t="s">
        <v>37</v>
      </c>
      <c r="X3" s="166">
        <v>3.57E-4</v>
      </c>
      <c r="Y3" s="166">
        <v>7.9540660846334404E-2</v>
      </c>
      <c r="Z3" s="166">
        <v>1.2425282564018101E-2</v>
      </c>
    </row>
    <row r="4" spans="1:26">
      <c r="A4" s="18" t="s">
        <v>26</v>
      </c>
      <c r="B4" s="18">
        <v>1182</v>
      </c>
      <c r="C4" s="18" t="s">
        <v>41</v>
      </c>
      <c r="D4" s="18" t="s">
        <v>42</v>
      </c>
      <c r="E4" s="18" t="s">
        <v>43</v>
      </c>
      <c r="F4" s="18" t="s">
        <v>44</v>
      </c>
      <c r="G4" s="18" t="s">
        <v>31</v>
      </c>
      <c r="H4" s="18" t="s">
        <v>31</v>
      </c>
      <c r="I4" s="18" t="s">
        <v>32</v>
      </c>
      <c r="J4" s="18" t="s">
        <v>33</v>
      </c>
      <c r="K4" s="18" t="s">
        <v>34</v>
      </c>
      <c r="L4" s="4" t="s">
        <v>35</v>
      </c>
      <c r="M4" s="152">
        <v>2.89</v>
      </c>
      <c r="N4" s="4" t="s">
        <v>45</v>
      </c>
      <c r="O4" s="161">
        <v>7.4999999999999997E-3</v>
      </c>
      <c r="P4" s="166">
        <v>1.7010000000000001E-2</v>
      </c>
      <c r="R4" s="152">
        <v>1171463</v>
      </c>
      <c r="S4" s="152">
        <v>1</v>
      </c>
      <c r="T4" s="152">
        <v>111.66</v>
      </c>
      <c r="U4" s="152">
        <v>1308.056</v>
      </c>
      <c r="W4" s="18" t="s">
        <v>37</v>
      </c>
      <c r="X4" s="166">
        <v>5.3000000000000001E-5</v>
      </c>
      <c r="Y4" s="166">
        <v>2.11879860947502E-2</v>
      </c>
      <c r="Z4" s="166">
        <v>3.3098381555864498E-3</v>
      </c>
    </row>
    <row r="5" spans="1:26">
      <c r="A5" s="18" t="s">
        <v>26</v>
      </c>
      <c r="B5" s="18">
        <v>1182</v>
      </c>
      <c r="C5" s="18" t="s">
        <v>41</v>
      </c>
      <c r="D5" s="18" t="s">
        <v>46</v>
      </c>
      <c r="E5" s="18" t="s">
        <v>47</v>
      </c>
      <c r="F5" s="18" t="s">
        <v>44</v>
      </c>
      <c r="G5" s="18" t="s">
        <v>31</v>
      </c>
      <c r="H5" s="18" t="s">
        <v>31</v>
      </c>
      <c r="I5" s="18" t="s">
        <v>32</v>
      </c>
      <c r="J5" s="18" t="s">
        <v>33</v>
      </c>
      <c r="K5" s="18" t="s">
        <v>34</v>
      </c>
      <c r="L5" s="4" t="s">
        <v>35</v>
      </c>
      <c r="M5" s="152">
        <v>18.611999999999998</v>
      </c>
      <c r="N5" s="4" t="s">
        <v>48</v>
      </c>
      <c r="O5" s="161">
        <v>0.01</v>
      </c>
      <c r="P5" s="166">
        <v>2.4279999999999999E-2</v>
      </c>
      <c r="R5" s="152">
        <v>1670758</v>
      </c>
      <c r="S5" s="152">
        <v>1</v>
      </c>
      <c r="T5" s="152">
        <v>88.06</v>
      </c>
      <c r="U5" s="152">
        <v>1471.269</v>
      </c>
      <c r="W5" s="18" t="s">
        <v>37</v>
      </c>
      <c r="X5" s="166">
        <v>9.2E-5</v>
      </c>
      <c r="Y5" s="166">
        <v>2.3831737684440399E-2</v>
      </c>
      <c r="Z5" s="166">
        <v>3.72282643329807E-3</v>
      </c>
    </row>
    <row r="6" spans="1:26">
      <c r="A6" s="18" t="s">
        <v>26</v>
      </c>
      <c r="B6" s="18">
        <v>1182</v>
      </c>
      <c r="C6" s="18" t="s">
        <v>41</v>
      </c>
      <c r="D6" s="18" t="s">
        <v>49</v>
      </c>
      <c r="E6" s="18" t="s">
        <v>50</v>
      </c>
      <c r="F6" s="18" t="s">
        <v>44</v>
      </c>
      <c r="G6" s="18" t="s">
        <v>31</v>
      </c>
      <c r="H6" s="18" t="s">
        <v>31</v>
      </c>
      <c r="I6" s="18" t="s">
        <v>32</v>
      </c>
      <c r="J6" s="18" t="s">
        <v>33</v>
      </c>
      <c r="K6" s="18" t="s">
        <v>34</v>
      </c>
      <c r="L6" s="4" t="s">
        <v>35</v>
      </c>
      <c r="M6" s="152">
        <v>1.3240000000000001</v>
      </c>
      <c r="N6" s="4" t="s">
        <v>51</v>
      </c>
      <c r="O6" s="161">
        <v>7.4999999999999997E-3</v>
      </c>
      <c r="P6" s="166">
        <v>1.508E-2</v>
      </c>
      <c r="R6" s="152">
        <v>1346811</v>
      </c>
      <c r="S6" s="152">
        <v>1</v>
      </c>
      <c r="T6" s="152">
        <v>113.49</v>
      </c>
      <c r="U6" s="152">
        <v>1528.4960000000001</v>
      </c>
      <c r="W6" s="18" t="s">
        <v>37</v>
      </c>
      <c r="X6" s="166">
        <v>6.2000000000000003E-5</v>
      </c>
      <c r="Y6" s="166">
        <v>2.47586938892282E-2</v>
      </c>
      <c r="Z6" s="166">
        <v>3.8676290115820201E-3</v>
      </c>
    </row>
    <row r="7" spans="1:26">
      <c r="A7" s="18" t="s">
        <v>26</v>
      </c>
      <c r="B7" s="18">
        <v>1182</v>
      </c>
      <c r="C7" s="18" t="s">
        <v>41</v>
      </c>
      <c r="D7" s="18" t="s">
        <v>52</v>
      </c>
      <c r="E7" s="18" t="s">
        <v>53</v>
      </c>
      <c r="F7" s="18" t="s">
        <v>44</v>
      </c>
      <c r="G7" s="18" t="s">
        <v>31</v>
      </c>
      <c r="H7" s="18" t="s">
        <v>31</v>
      </c>
      <c r="I7" s="18" t="s">
        <v>32</v>
      </c>
      <c r="J7" s="18" t="s">
        <v>33</v>
      </c>
      <c r="K7" s="18" t="s">
        <v>34</v>
      </c>
      <c r="L7" s="4" t="s">
        <v>35</v>
      </c>
      <c r="M7" s="152">
        <v>7.3849999999999998</v>
      </c>
      <c r="N7" s="4" t="s">
        <v>54</v>
      </c>
      <c r="O7" s="161">
        <v>1E-3</v>
      </c>
      <c r="P7" s="166">
        <v>2.213E-2</v>
      </c>
      <c r="R7" s="152">
        <v>202224</v>
      </c>
      <c r="S7" s="152">
        <v>1</v>
      </c>
      <c r="T7" s="152">
        <v>97.65</v>
      </c>
      <c r="U7" s="152">
        <v>197.47200000000001</v>
      </c>
      <c r="W7" s="18" t="s">
        <v>37</v>
      </c>
      <c r="X7" s="166">
        <v>6.9999999999999999E-6</v>
      </c>
      <c r="Y7" s="166">
        <v>3.19866253536562E-3</v>
      </c>
      <c r="Z7" s="166">
        <v>4.9967256251037405E-4</v>
      </c>
    </row>
    <row r="8" spans="1:26">
      <c r="A8" s="18" t="s">
        <v>26</v>
      </c>
      <c r="B8" s="18">
        <v>1182</v>
      </c>
      <c r="C8" s="18" t="s">
        <v>55</v>
      </c>
      <c r="D8" s="18" t="s">
        <v>56</v>
      </c>
      <c r="E8" s="18" t="s">
        <v>57</v>
      </c>
      <c r="F8" s="18" t="s">
        <v>58</v>
      </c>
      <c r="G8" s="18" t="s">
        <v>31</v>
      </c>
      <c r="H8" s="18" t="s">
        <v>31</v>
      </c>
      <c r="I8" s="18" t="s">
        <v>32</v>
      </c>
      <c r="J8" s="18" t="s">
        <v>33</v>
      </c>
      <c r="K8" s="18" t="s">
        <v>34</v>
      </c>
      <c r="L8" s="4" t="s">
        <v>35</v>
      </c>
      <c r="M8" s="152">
        <v>4.0140000000000002</v>
      </c>
      <c r="N8" s="4" t="s">
        <v>59</v>
      </c>
      <c r="O8" s="161">
        <v>2.2499999999999999E-2</v>
      </c>
      <c r="P8" s="166">
        <v>4.6309999999999997E-2</v>
      </c>
      <c r="R8" s="152">
        <v>266042</v>
      </c>
      <c r="S8" s="152">
        <v>1</v>
      </c>
      <c r="T8" s="152">
        <v>92.73</v>
      </c>
      <c r="U8" s="152">
        <v>246.70099999999999</v>
      </c>
      <c r="W8" s="18" t="s">
        <v>37</v>
      </c>
      <c r="X8" s="166">
        <v>9.0000000000000002E-6</v>
      </c>
      <c r="Y8" s="166">
        <v>3.9960778771709797E-3</v>
      </c>
      <c r="Z8" s="166">
        <v>6.2423917834420796E-4</v>
      </c>
    </row>
    <row r="9" spans="1:26">
      <c r="A9" s="18" t="s">
        <v>26</v>
      </c>
      <c r="B9" s="18">
        <v>1182</v>
      </c>
      <c r="C9" s="18" t="s">
        <v>55</v>
      </c>
      <c r="D9" s="18" t="s">
        <v>60</v>
      </c>
      <c r="E9" s="18" t="s">
        <v>61</v>
      </c>
      <c r="F9" s="18" t="s">
        <v>58</v>
      </c>
      <c r="G9" s="18" t="s">
        <v>31</v>
      </c>
      <c r="H9" s="18" t="s">
        <v>31</v>
      </c>
      <c r="I9" s="18" t="s">
        <v>32</v>
      </c>
      <c r="J9" s="18" t="s">
        <v>33</v>
      </c>
      <c r="K9" s="18" t="s">
        <v>34</v>
      </c>
      <c r="L9" s="4" t="s">
        <v>35</v>
      </c>
      <c r="M9" s="152">
        <v>4.306</v>
      </c>
      <c r="N9" s="4" t="s">
        <v>62</v>
      </c>
      <c r="O9" s="161">
        <v>3.7499999999999999E-2</v>
      </c>
      <c r="P9" s="166">
        <v>4.6649999999999997E-2</v>
      </c>
      <c r="R9" s="152">
        <v>3744894</v>
      </c>
      <c r="S9" s="152">
        <v>1</v>
      </c>
      <c r="T9" s="152">
        <v>97.49</v>
      </c>
      <c r="U9" s="152">
        <v>3650.8969999999999</v>
      </c>
      <c r="W9" s="18" t="s">
        <v>37</v>
      </c>
      <c r="X9" s="166">
        <v>1.46E-4</v>
      </c>
      <c r="Y9" s="166">
        <v>5.9137516105514598E-2</v>
      </c>
      <c r="Z9" s="166">
        <v>9.2380468043226603E-3</v>
      </c>
    </row>
    <row r="10" spans="1:26">
      <c r="A10" s="18" t="s">
        <v>26</v>
      </c>
      <c r="B10" s="18">
        <v>1182</v>
      </c>
      <c r="C10" s="18" t="s">
        <v>55</v>
      </c>
      <c r="D10" s="18" t="s">
        <v>63</v>
      </c>
      <c r="E10" s="18" t="s">
        <v>64</v>
      </c>
      <c r="F10" s="18" t="s">
        <v>58</v>
      </c>
      <c r="G10" s="18" t="s">
        <v>31</v>
      </c>
      <c r="H10" s="18" t="s">
        <v>31</v>
      </c>
      <c r="I10" s="18" t="s">
        <v>32</v>
      </c>
      <c r="J10" s="18" t="s">
        <v>33</v>
      </c>
      <c r="K10" s="18" t="s">
        <v>34</v>
      </c>
      <c r="L10" s="4" t="s">
        <v>35</v>
      </c>
      <c r="M10" s="152">
        <v>2.6840000000000002</v>
      </c>
      <c r="N10" s="4" t="s">
        <v>65</v>
      </c>
      <c r="O10" s="161">
        <v>0.02</v>
      </c>
      <c r="P10" s="166">
        <v>4.487E-2</v>
      </c>
      <c r="R10" s="152">
        <v>528276</v>
      </c>
      <c r="S10" s="152">
        <v>1</v>
      </c>
      <c r="T10" s="152">
        <v>94.2</v>
      </c>
      <c r="U10" s="152">
        <v>497.63600000000002</v>
      </c>
      <c r="W10" s="18" t="s">
        <v>37</v>
      </c>
      <c r="X10" s="166">
        <v>2.0000000000000002E-5</v>
      </c>
      <c r="Y10" s="166">
        <v>8.0607464951840298E-3</v>
      </c>
      <c r="Z10" s="166">
        <v>1.25919311976896E-3</v>
      </c>
    </row>
    <row r="11" spans="1:26">
      <c r="A11" s="18" t="s">
        <v>26</v>
      </c>
      <c r="B11" s="18">
        <v>1182</v>
      </c>
      <c r="C11" s="18" t="s">
        <v>55</v>
      </c>
      <c r="D11" s="18" t="s">
        <v>66</v>
      </c>
      <c r="E11" s="18" t="s">
        <v>67</v>
      </c>
      <c r="F11" s="18" t="s">
        <v>58</v>
      </c>
      <c r="G11" s="18" t="s">
        <v>31</v>
      </c>
      <c r="H11" s="18" t="s">
        <v>31</v>
      </c>
      <c r="I11" s="18" t="s">
        <v>32</v>
      </c>
      <c r="J11" s="18" t="s">
        <v>33</v>
      </c>
      <c r="K11" s="18" t="s">
        <v>34</v>
      </c>
      <c r="L11" s="4" t="s">
        <v>35</v>
      </c>
      <c r="M11" s="152">
        <v>14.472</v>
      </c>
      <c r="N11" s="4" t="s">
        <v>68</v>
      </c>
      <c r="O11" s="161">
        <v>3.7499999999999999E-2</v>
      </c>
      <c r="P11" s="166">
        <v>5.4850000000000003E-2</v>
      </c>
      <c r="R11" s="152">
        <v>1302268</v>
      </c>
      <c r="S11" s="152">
        <v>1</v>
      </c>
      <c r="T11" s="152">
        <v>78.790000000000006</v>
      </c>
      <c r="U11" s="152">
        <v>1026.057</v>
      </c>
      <c r="W11" s="18" t="s">
        <v>37</v>
      </c>
      <c r="X11" s="166">
        <v>5.0000000000000002E-5</v>
      </c>
      <c r="Y11" s="166">
        <v>1.6620150380137901E-2</v>
      </c>
      <c r="Z11" s="166">
        <v>2.5962829895095499E-3</v>
      </c>
    </row>
    <row r="12" spans="1:26">
      <c r="A12" s="18" t="s">
        <v>26</v>
      </c>
      <c r="B12" s="18">
        <v>1182</v>
      </c>
      <c r="C12" s="18" t="s">
        <v>41</v>
      </c>
      <c r="D12" s="18" t="s">
        <v>69</v>
      </c>
      <c r="E12" s="18" t="s">
        <v>70</v>
      </c>
      <c r="F12" s="18" t="s">
        <v>44</v>
      </c>
      <c r="G12" s="18" t="s">
        <v>31</v>
      </c>
      <c r="H12" s="18" t="s">
        <v>31</v>
      </c>
      <c r="I12" s="18" t="s">
        <v>32</v>
      </c>
      <c r="J12" s="18" t="s">
        <v>33</v>
      </c>
      <c r="K12" s="18" t="s">
        <v>34</v>
      </c>
      <c r="L12" s="4" t="s">
        <v>35</v>
      </c>
      <c r="M12" s="152">
        <v>13.718</v>
      </c>
      <c r="N12" s="4" t="s">
        <v>71</v>
      </c>
      <c r="O12" s="161">
        <v>2.75E-2</v>
      </c>
      <c r="P12" s="166">
        <v>2.3609999999999999E-2</v>
      </c>
      <c r="R12" s="152">
        <v>68189</v>
      </c>
      <c r="S12" s="152">
        <v>1</v>
      </c>
      <c r="T12" s="152">
        <v>131.08000000000001</v>
      </c>
      <c r="U12" s="152">
        <v>89.382000000000005</v>
      </c>
      <c r="W12" s="18" t="s">
        <v>37</v>
      </c>
      <c r="X12" s="166">
        <v>3.9999999999999998E-6</v>
      </c>
      <c r="Y12" s="166">
        <v>1.44781887361946E-3</v>
      </c>
      <c r="Z12" s="166">
        <v>2.2616808076305199E-4</v>
      </c>
    </row>
    <row r="13" spans="1:26">
      <c r="A13" s="18" t="s">
        <v>26</v>
      </c>
      <c r="B13" s="18">
        <v>1182</v>
      </c>
      <c r="C13" s="18" t="s">
        <v>41</v>
      </c>
      <c r="D13" s="18" t="s">
        <v>72</v>
      </c>
      <c r="E13" s="18" t="s">
        <v>73</v>
      </c>
      <c r="F13" s="18" t="s">
        <v>44</v>
      </c>
      <c r="G13" s="18" t="s">
        <v>31</v>
      </c>
      <c r="H13" s="18" t="s">
        <v>31</v>
      </c>
      <c r="I13" s="18" t="s">
        <v>32</v>
      </c>
      <c r="J13" s="18" t="s">
        <v>33</v>
      </c>
      <c r="K13" s="18" t="s">
        <v>34</v>
      </c>
      <c r="L13" s="4" t="s">
        <v>35</v>
      </c>
      <c r="M13" s="152">
        <v>9.8770000000000007</v>
      </c>
      <c r="N13" s="4" t="s">
        <v>74</v>
      </c>
      <c r="O13" s="161">
        <v>0.04</v>
      </c>
      <c r="P13" s="166">
        <v>2.3189999999999999E-2</v>
      </c>
      <c r="R13" s="152">
        <v>2733038</v>
      </c>
      <c r="S13" s="152">
        <v>1</v>
      </c>
      <c r="T13" s="152">
        <v>159.08000000000001</v>
      </c>
      <c r="U13" s="152">
        <v>4347.7169999999996</v>
      </c>
      <c r="W13" s="18" t="s">
        <v>37</v>
      </c>
      <c r="X13" s="166">
        <v>1.7200000000000001E-4</v>
      </c>
      <c r="Y13" s="166">
        <v>7.0424655626424901E-2</v>
      </c>
      <c r="Z13" s="166">
        <v>1.1001244348755299E-2</v>
      </c>
    </row>
    <row r="14" spans="1:26">
      <c r="A14" s="18" t="s">
        <v>26</v>
      </c>
      <c r="B14" s="18">
        <v>1182</v>
      </c>
      <c r="C14" s="18" t="s">
        <v>41</v>
      </c>
      <c r="D14" s="18" t="s">
        <v>75</v>
      </c>
      <c r="E14" s="18" t="s">
        <v>76</v>
      </c>
      <c r="F14" s="18" t="s">
        <v>44</v>
      </c>
      <c r="G14" s="18" t="s">
        <v>31</v>
      </c>
      <c r="H14" s="18" t="s">
        <v>31</v>
      </c>
      <c r="I14" s="18" t="s">
        <v>32</v>
      </c>
      <c r="J14" s="18" t="s">
        <v>33</v>
      </c>
      <c r="K14" s="18" t="s">
        <v>34</v>
      </c>
      <c r="L14" s="4" t="s">
        <v>35</v>
      </c>
      <c r="M14" s="152">
        <v>4.8630000000000004</v>
      </c>
      <c r="N14" s="4" t="s">
        <v>77</v>
      </c>
      <c r="O14" s="161">
        <v>5.0000000000000001E-3</v>
      </c>
      <c r="P14" s="166">
        <v>1.9820000000000001E-2</v>
      </c>
      <c r="R14" s="152">
        <v>3017104</v>
      </c>
      <c r="S14" s="152">
        <v>1</v>
      </c>
      <c r="T14" s="152">
        <v>105.85</v>
      </c>
      <c r="U14" s="152">
        <v>3193.605</v>
      </c>
      <c r="W14" s="18" t="s">
        <v>37</v>
      </c>
      <c r="X14" s="166">
        <v>1.25E-4</v>
      </c>
      <c r="Y14" s="166">
        <v>5.1730255390131902E-2</v>
      </c>
      <c r="Z14" s="166">
        <v>8.0809366365835605E-3</v>
      </c>
    </row>
    <row r="15" spans="1:26">
      <c r="A15" s="18" t="s">
        <v>26</v>
      </c>
      <c r="B15" s="18">
        <v>1182</v>
      </c>
      <c r="C15" s="18" t="s">
        <v>41</v>
      </c>
      <c r="D15" s="18" t="s">
        <v>78</v>
      </c>
      <c r="E15" s="18" t="s">
        <v>79</v>
      </c>
      <c r="F15" s="18" t="s">
        <v>44</v>
      </c>
      <c r="G15" s="18" t="s">
        <v>31</v>
      </c>
      <c r="H15" s="18" t="s">
        <v>31</v>
      </c>
      <c r="I15" s="18" t="s">
        <v>32</v>
      </c>
      <c r="J15" s="18" t="s">
        <v>33</v>
      </c>
      <c r="K15" s="18" t="s">
        <v>34</v>
      </c>
      <c r="L15" s="4" t="s">
        <v>35</v>
      </c>
      <c r="M15" s="152">
        <v>2.0760000000000001</v>
      </c>
      <c r="N15" s="4" t="s">
        <v>80</v>
      </c>
      <c r="O15" s="161">
        <v>1E-3</v>
      </c>
      <c r="P15" s="166">
        <v>1.618E-2</v>
      </c>
      <c r="R15" s="152">
        <v>5857939</v>
      </c>
      <c r="S15" s="152">
        <v>1</v>
      </c>
      <c r="T15" s="152">
        <v>110.2</v>
      </c>
      <c r="U15" s="152">
        <v>6455.4489999999996</v>
      </c>
      <c r="W15" s="18" t="s">
        <v>37</v>
      </c>
      <c r="X15" s="166">
        <v>2.9E-4</v>
      </c>
      <c r="Y15" s="166">
        <v>0.104565861289437</v>
      </c>
      <c r="Z15" s="166">
        <v>1.6334543354891699E-2</v>
      </c>
    </row>
    <row r="16" spans="1:26">
      <c r="A16" s="18" t="s">
        <v>26</v>
      </c>
      <c r="B16" s="18">
        <v>1182</v>
      </c>
      <c r="C16" s="18" t="s">
        <v>41</v>
      </c>
      <c r="D16" s="18" t="s">
        <v>81</v>
      </c>
      <c r="E16" s="18" t="s">
        <v>82</v>
      </c>
      <c r="F16" s="18" t="s">
        <v>44</v>
      </c>
      <c r="G16" s="18" t="s">
        <v>31</v>
      </c>
      <c r="H16" s="18" t="s">
        <v>31</v>
      </c>
      <c r="I16" s="18" t="s">
        <v>32</v>
      </c>
      <c r="J16" s="18" t="s">
        <v>33</v>
      </c>
      <c r="K16" s="18" t="s">
        <v>34</v>
      </c>
      <c r="L16" s="4" t="s">
        <v>35</v>
      </c>
      <c r="M16" s="152">
        <v>4.2240000000000002</v>
      </c>
      <c r="N16" s="4" t="s">
        <v>83</v>
      </c>
      <c r="O16" s="161">
        <v>1.0999999999999999E-2</v>
      </c>
      <c r="P16" s="166">
        <v>1.9290000000000002E-2</v>
      </c>
      <c r="R16" s="152">
        <v>4462520</v>
      </c>
      <c r="S16" s="152">
        <v>1</v>
      </c>
      <c r="T16" s="152">
        <v>99.98</v>
      </c>
      <c r="U16" s="152">
        <v>4461.6270000000004</v>
      </c>
      <c r="W16" s="18" t="s">
        <v>37</v>
      </c>
      <c r="X16" s="166">
        <v>2.8400000000000002E-4</v>
      </c>
      <c r="Y16" s="166">
        <v>7.2269789121681305E-2</v>
      </c>
      <c r="Z16" s="166">
        <v>1.12894781250774E-2</v>
      </c>
    </row>
    <row r="17" spans="1:26">
      <c r="A17" s="18" t="s">
        <v>26</v>
      </c>
      <c r="B17" s="18">
        <v>1182</v>
      </c>
      <c r="C17" s="18" t="s">
        <v>55</v>
      </c>
      <c r="D17" s="18" t="s">
        <v>84</v>
      </c>
      <c r="E17" s="18" t="s">
        <v>85</v>
      </c>
      <c r="F17" s="18" t="s">
        <v>58</v>
      </c>
      <c r="G17" s="18" t="s">
        <v>31</v>
      </c>
      <c r="H17" s="18" t="s">
        <v>31</v>
      </c>
      <c r="I17" s="18" t="s">
        <v>32</v>
      </c>
      <c r="J17" s="18" t="s">
        <v>33</v>
      </c>
      <c r="K17" s="18" t="s">
        <v>34</v>
      </c>
      <c r="L17" s="4" t="s">
        <v>35</v>
      </c>
      <c r="M17" s="152">
        <v>11.494</v>
      </c>
      <c r="N17" s="4" t="s">
        <v>86</v>
      </c>
      <c r="O17" s="161">
        <v>1.4999999999999999E-2</v>
      </c>
      <c r="P17" s="166">
        <v>5.2260000000000001E-2</v>
      </c>
      <c r="R17" s="152">
        <v>1638924</v>
      </c>
      <c r="S17" s="152">
        <v>1</v>
      </c>
      <c r="T17" s="152">
        <v>65.83</v>
      </c>
      <c r="U17" s="152">
        <v>1078.904</v>
      </c>
      <c r="W17" s="18" t="s">
        <v>37</v>
      </c>
      <c r="X17" s="166">
        <v>5.1999999999999997E-5</v>
      </c>
      <c r="Y17" s="166">
        <v>1.7476165530537199E-2</v>
      </c>
      <c r="Z17" s="166">
        <v>2.7300036552623799E-3</v>
      </c>
    </row>
    <row r="18" spans="1:26">
      <c r="A18" s="18" t="s">
        <v>26</v>
      </c>
      <c r="B18" s="18">
        <v>1182</v>
      </c>
      <c r="C18" s="18" t="s">
        <v>55</v>
      </c>
      <c r="D18" s="18" t="s">
        <v>87</v>
      </c>
      <c r="E18" s="18" t="s">
        <v>88</v>
      </c>
      <c r="F18" s="18" t="s">
        <v>58</v>
      </c>
      <c r="G18" s="18" t="s">
        <v>31</v>
      </c>
      <c r="H18" s="18" t="s">
        <v>31</v>
      </c>
      <c r="I18" s="18" t="s">
        <v>32</v>
      </c>
      <c r="J18" s="18" t="s">
        <v>33</v>
      </c>
      <c r="K18" s="18" t="s">
        <v>34</v>
      </c>
      <c r="L18" s="4" t="s">
        <v>35</v>
      </c>
      <c r="M18" s="152">
        <v>7.4189999999999996</v>
      </c>
      <c r="N18" s="4" t="s">
        <v>89</v>
      </c>
      <c r="O18" s="161">
        <v>1.2999999999999999E-2</v>
      </c>
      <c r="P18" s="166">
        <v>4.9180000000000001E-2</v>
      </c>
      <c r="R18" s="152">
        <v>3708519</v>
      </c>
      <c r="S18" s="152">
        <v>1</v>
      </c>
      <c r="T18" s="152">
        <v>77.260000000000005</v>
      </c>
      <c r="U18" s="152">
        <v>2865.2020000000002</v>
      </c>
      <c r="W18" s="18" t="s">
        <v>37</v>
      </c>
      <c r="X18" s="166">
        <v>1.2400000000000001E-4</v>
      </c>
      <c r="Y18" s="166">
        <v>4.6410761224227499E-2</v>
      </c>
      <c r="Z18" s="166">
        <v>7.2499626742638301E-3</v>
      </c>
    </row>
    <row r="19" spans="1:26">
      <c r="A19" s="18" t="s">
        <v>26</v>
      </c>
      <c r="B19" s="18">
        <v>1182</v>
      </c>
      <c r="C19" s="18" t="s">
        <v>90</v>
      </c>
      <c r="D19" s="18" t="s">
        <v>91</v>
      </c>
      <c r="E19" s="18" t="s">
        <v>92</v>
      </c>
      <c r="F19" s="18" t="s">
        <v>93</v>
      </c>
      <c r="G19" s="18" t="s">
        <v>94</v>
      </c>
      <c r="H19" s="18" t="s">
        <v>95</v>
      </c>
      <c r="I19" s="18" t="s">
        <v>96</v>
      </c>
      <c r="J19" s="18" t="s">
        <v>97</v>
      </c>
      <c r="K19" s="18" t="s">
        <v>98</v>
      </c>
      <c r="L19" s="4" t="s">
        <v>99</v>
      </c>
      <c r="M19" s="152">
        <v>0.41</v>
      </c>
      <c r="N19" s="4" t="s">
        <v>100</v>
      </c>
      <c r="O19" s="161">
        <v>0</v>
      </c>
      <c r="P19" s="166">
        <v>5.3929999999999999E-2</v>
      </c>
      <c r="R19" s="152">
        <v>550000</v>
      </c>
      <c r="S19" s="152">
        <v>3.7589999999999999</v>
      </c>
      <c r="T19" s="152">
        <v>98.245999999999995</v>
      </c>
      <c r="U19" s="152">
        <v>2031.1869999999999</v>
      </c>
      <c r="W19" s="18" t="s">
        <v>37</v>
      </c>
      <c r="X19" s="166">
        <v>0</v>
      </c>
      <c r="Y19" s="166">
        <v>3.2901323791063003E-2</v>
      </c>
      <c r="Z19" s="166">
        <v>5.1396133811861602E-3</v>
      </c>
    </row>
    <row r="20" spans="1:26">
      <c r="A20" s="4" t="s">
        <v>26</v>
      </c>
      <c r="B20" s="4">
        <v>1182</v>
      </c>
      <c r="C20" s="4" t="s">
        <v>101</v>
      </c>
      <c r="D20" s="4" t="s">
        <v>102</v>
      </c>
      <c r="E20" s="4" t="s">
        <v>103</v>
      </c>
      <c r="F20" s="18" t="s">
        <v>93</v>
      </c>
      <c r="G20" s="18" t="s">
        <v>94</v>
      </c>
      <c r="H20" s="18" t="s">
        <v>95</v>
      </c>
      <c r="I20" s="18" t="s">
        <v>96</v>
      </c>
      <c r="J20" s="4" t="s">
        <v>97</v>
      </c>
      <c r="K20" s="18" t="s">
        <v>104</v>
      </c>
      <c r="L20" s="4" t="s">
        <v>99</v>
      </c>
      <c r="M20" s="152">
        <v>7.52</v>
      </c>
      <c r="N20" s="4" t="s">
        <v>105</v>
      </c>
      <c r="O20" s="161">
        <v>3.875E-2</v>
      </c>
      <c r="P20" s="166">
        <v>4.6050000000000001E-2</v>
      </c>
      <c r="R20" s="152">
        <v>1894000</v>
      </c>
      <c r="S20" s="152">
        <v>3.7589999999999999</v>
      </c>
      <c r="T20" s="152">
        <v>97.685000000000002</v>
      </c>
      <c r="U20" s="152">
        <v>6954.7209999999995</v>
      </c>
      <c r="W20" s="18" t="s">
        <v>37</v>
      </c>
      <c r="X20" s="166">
        <v>0</v>
      </c>
      <c r="Y20" s="166">
        <v>0.112653117891621</v>
      </c>
      <c r="Z20" s="166">
        <v>1.7597877697109202E-2</v>
      </c>
    </row>
    <row r="21" spans="1:26">
      <c r="A21" s="4" t="s">
        <v>26</v>
      </c>
      <c r="B21" s="4">
        <v>1182</v>
      </c>
      <c r="C21" s="4" t="s">
        <v>101</v>
      </c>
      <c r="D21" s="4" t="s">
        <v>106</v>
      </c>
      <c r="E21" s="4" t="s">
        <v>107</v>
      </c>
      <c r="F21" s="4" t="s">
        <v>93</v>
      </c>
      <c r="G21" s="4" t="s">
        <v>94</v>
      </c>
      <c r="H21" s="4" t="s">
        <v>95</v>
      </c>
      <c r="I21" s="4" t="s">
        <v>96</v>
      </c>
      <c r="J21" s="4" t="s">
        <v>97</v>
      </c>
      <c r="K21" s="4" t="s">
        <v>104</v>
      </c>
      <c r="L21" s="18" t="s">
        <v>99</v>
      </c>
      <c r="M21" s="152">
        <v>7.61</v>
      </c>
      <c r="N21" s="4" t="s">
        <v>108</v>
      </c>
      <c r="O21" s="165">
        <v>4.4999999999999998E-2</v>
      </c>
      <c r="P21" s="166">
        <v>4.5999999999999999E-2</v>
      </c>
      <c r="R21" s="152">
        <v>1158000</v>
      </c>
      <c r="S21" s="152">
        <v>3.7589999999999999</v>
      </c>
      <c r="T21" s="152">
        <v>101.52</v>
      </c>
      <c r="U21" s="152">
        <v>4419.0860000000002</v>
      </c>
      <c r="W21" s="4" t="s">
        <v>37</v>
      </c>
      <c r="X21" s="166">
        <v>0</v>
      </c>
      <c r="Y21" s="166">
        <v>7.1580705373879297E-2</v>
      </c>
      <c r="Z21" s="166">
        <v>1.11818343088756E-2</v>
      </c>
    </row>
    <row r="22" spans="1:26">
      <c r="A22" s="4" t="s">
        <v>26</v>
      </c>
      <c r="B22" s="4">
        <v>1182</v>
      </c>
      <c r="C22" s="4" t="s">
        <v>101</v>
      </c>
      <c r="D22" s="4" t="s">
        <v>109</v>
      </c>
      <c r="E22" s="4" t="s">
        <v>110</v>
      </c>
      <c r="F22" s="4" t="s">
        <v>93</v>
      </c>
      <c r="G22" s="4" t="s">
        <v>94</v>
      </c>
      <c r="H22" s="4" t="s">
        <v>95</v>
      </c>
      <c r="I22" s="4" t="s">
        <v>96</v>
      </c>
      <c r="J22" s="4" t="s">
        <v>97</v>
      </c>
      <c r="K22" s="4" t="s">
        <v>104</v>
      </c>
      <c r="L22" s="18" t="s">
        <v>99</v>
      </c>
      <c r="M22" s="152">
        <v>7.55</v>
      </c>
      <c r="N22" s="4" t="s">
        <v>111</v>
      </c>
      <c r="O22" s="165">
        <v>3.3750000000000002E-2</v>
      </c>
      <c r="P22" s="166">
        <v>4.6039999999999998E-2</v>
      </c>
      <c r="R22" s="152">
        <v>3056000</v>
      </c>
      <c r="S22" s="152">
        <v>3.7589999999999999</v>
      </c>
      <c r="T22" s="152">
        <v>93.126000000000005</v>
      </c>
      <c r="U22" s="152">
        <v>10697.887000000001</v>
      </c>
      <c r="W22" s="4" t="s">
        <v>37</v>
      </c>
      <c r="X22" s="166">
        <v>2.8E-5</v>
      </c>
      <c r="Y22" s="166">
        <v>0.173285212593949</v>
      </c>
      <c r="Z22" s="166">
        <v>2.7069397057253499E-2</v>
      </c>
    </row>
    <row r="23" spans="1:26">
      <c r="A23" s="4" t="s">
        <v>26</v>
      </c>
      <c r="B23" s="4">
        <v>14769</v>
      </c>
      <c r="C23" s="4" t="s">
        <v>101</v>
      </c>
      <c r="D23" s="4" t="s">
        <v>102</v>
      </c>
      <c r="E23" s="4" t="s">
        <v>103</v>
      </c>
      <c r="F23" s="4" t="s">
        <v>93</v>
      </c>
      <c r="G23" s="4" t="s">
        <v>94</v>
      </c>
      <c r="H23" s="4" t="s">
        <v>95</v>
      </c>
      <c r="I23" s="4" t="s">
        <v>96</v>
      </c>
      <c r="J23" s="4" t="s">
        <v>97</v>
      </c>
      <c r="K23" s="4" t="s">
        <v>104</v>
      </c>
      <c r="L23" s="18" t="s">
        <v>99</v>
      </c>
      <c r="M23" s="152">
        <v>7.52</v>
      </c>
      <c r="N23" s="4" t="s">
        <v>105</v>
      </c>
      <c r="O23" s="165">
        <v>3.875E-2</v>
      </c>
      <c r="P23" s="166">
        <v>4.6050000000000001E-2</v>
      </c>
      <c r="R23" s="152">
        <v>40700</v>
      </c>
      <c r="S23" s="152">
        <v>3.7589999999999999</v>
      </c>
      <c r="T23" s="152">
        <v>97.685000000000002</v>
      </c>
      <c r="U23" s="152">
        <v>149.44900000000001</v>
      </c>
      <c r="W23" s="4" t="s">
        <v>37</v>
      </c>
      <c r="X23" s="166">
        <v>0</v>
      </c>
      <c r="Y23" s="166">
        <v>0.46531996710184598</v>
      </c>
      <c r="Z23" s="166">
        <v>1.34086552412591E-2</v>
      </c>
    </row>
    <row r="24" spans="1:26">
      <c r="A24" s="4" t="s">
        <v>26</v>
      </c>
      <c r="B24" s="4">
        <v>14769</v>
      </c>
      <c r="C24" s="4" t="s">
        <v>101</v>
      </c>
      <c r="D24" s="4" t="s">
        <v>106</v>
      </c>
      <c r="E24" s="4" t="s">
        <v>107</v>
      </c>
      <c r="F24" s="4" t="s">
        <v>93</v>
      </c>
      <c r="G24" s="4" t="s">
        <v>94</v>
      </c>
      <c r="H24" s="4" t="s">
        <v>95</v>
      </c>
      <c r="I24" s="4" t="s">
        <v>96</v>
      </c>
      <c r="J24" s="4" t="s">
        <v>97</v>
      </c>
      <c r="K24" s="4" t="s">
        <v>104</v>
      </c>
      <c r="L24" s="18" t="s">
        <v>99</v>
      </c>
      <c r="M24" s="152">
        <v>7.61</v>
      </c>
      <c r="N24" s="4" t="s">
        <v>108</v>
      </c>
      <c r="O24" s="165">
        <v>4.4999999999999998E-2</v>
      </c>
      <c r="P24" s="166">
        <v>4.5999999999999999E-2</v>
      </c>
      <c r="R24" s="152">
        <v>45000</v>
      </c>
      <c r="S24" s="152">
        <v>3.7589999999999999</v>
      </c>
      <c r="T24" s="152">
        <v>101.52</v>
      </c>
      <c r="U24" s="152">
        <v>171.726</v>
      </c>
      <c r="W24" s="4" t="s">
        <v>37</v>
      </c>
      <c r="X24" s="166">
        <v>0</v>
      </c>
      <c r="Y24" s="166">
        <v>0.53468003289815402</v>
      </c>
      <c r="Z24" s="166">
        <v>1.54073341622738E-2</v>
      </c>
    </row>
    <row r="25" spans="1:26">
      <c r="A25" s="4" t="s">
        <v>112</v>
      </c>
      <c r="B25" s="4">
        <v>12905</v>
      </c>
      <c r="C25" s="4" t="s">
        <v>27</v>
      </c>
      <c r="D25" s="4" t="s">
        <v>113</v>
      </c>
      <c r="E25" s="4" t="s">
        <v>114</v>
      </c>
      <c r="F25" s="4" t="s">
        <v>30</v>
      </c>
      <c r="G25" s="4" t="s">
        <v>31</v>
      </c>
      <c r="H25" s="4" t="s">
        <v>31</v>
      </c>
      <c r="I25" s="4" t="s">
        <v>32</v>
      </c>
      <c r="J25" s="4" t="s">
        <v>33</v>
      </c>
      <c r="K25" s="4" t="s">
        <v>34</v>
      </c>
      <c r="L25" s="18" t="s">
        <v>35</v>
      </c>
      <c r="M25" s="152">
        <v>0.34799999999999998</v>
      </c>
      <c r="N25" s="4" t="s">
        <v>115</v>
      </c>
      <c r="O25" s="165">
        <v>0</v>
      </c>
      <c r="P25" s="166">
        <v>4.3479999999999998E-2</v>
      </c>
      <c r="R25" s="152">
        <v>370000</v>
      </c>
      <c r="S25" s="152">
        <v>1</v>
      </c>
      <c r="T25" s="152">
        <v>98.53</v>
      </c>
      <c r="U25" s="152">
        <v>364.56099999999998</v>
      </c>
      <c r="W25" s="4" t="s">
        <v>37</v>
      </c>
      <c r="X25" s="166">
        <v>2.5999999999999998E-5</v>
      </c>
      <c r="Y25" s="166">
        <v>5.7615240708997199E-2</v>
      </c>
      <c r="Z25" s="166">
        <v>1.17172058208511E-2</v>
      </c>
    </row>
    <row r="26" spans="1:26">
      <c r="A26" s="4" t="s">
        <v>112</v>
      </c>
      <c r="B26" s="4">
        <v>12905</v>
      </c>
      <c r="C26" s="4" t="s">
        <v>27</v>
      </c>
      <c r="D26" s="4" t="s">
        <v>116</v>
      </c>
      <c r="E26" s="4" t="s">
        <v>117</v>
      </c>
      <c r="F26" s="4" t="s">
        <v>30</v>
      </c>
      <c r="G26" s="4" t="s">
        <v>31</v>
      </c>
      <c r="H26" s="4" t="s">
        <v>31</v>
      </c>
      <c r="I26" s="4" t="s">
        <v>118</v>
      </c>
      <c r="J26" s="4" t="s">
        <v>33</v>
      </c>
      <c r="K26" s="4" t="s">
        <v>34</v>
      </c>
      <c r="L26" s="18" t="s">
        <v>35</v>
      </c>
      <c r="M26" s="152">
        <v>0.84699999999999998</v>
      </c>
      <c r="N26" s="4" t="s">
        <v>119</v>
      </c>
      <c r="O26" s="165">
        <v>0</v>
      </c>
      <c r="P26" s="166">
        <v>4.3240000000000001E-2</v>
      </c>
      <c r="R26" s="152">
        <v>155860</v>
      </c>
      <c r="S26" s="152">
        <v>1</v>
      </c>
      <c r="T26" s="152">
        <v>96.48</v>
      </c>
      <c r="U26" s="152">
        <v>150.374</v>
      </c>
      <c r="W26" s="4" t="s">
        <v>37</v>
      </c>
      <c r="X26" s="166">
        <v>1.1E-5</v>
      </c>
      <c r="Y26" s="166">
        <v>2.3765072333654099E-2</v>
      </c>
      <c r="Z26" s="166">
        <v>4.8331004167332199E-3</v>
      </c>
    </row>
    <row r="27" spans="1:26">
      <c r="A27" s="4" t="s">
        <v>112</v>
      </c>
      <c r="B27" s="4">
        <v>12905</v>
      </c>
      <c r="C27" s="4" t="s">
        <v>41</v>
      </c>
      <c r="D27" s="4" t="s">
        <v>46</v>
      </c>
      <c r="E27" s="4" t="s">
        <v>47</v>
      </c>
      <c r="F27" s="4" t="s">
        <v>44</v>
      </c>
      <c r="G27" s="4" t="s">
        <v>31</v>
      </c>
      <c r="H27" s="4" t="s">
        <v>31</v>
      </c>
      <c r="I27" s="4" t="s">
        <v>32</v>
      </c>
      <c r="J27" s="4" t="s">
        <v>33</v>
      </c>
      <c r="K27" s="4" t="s">
        <v>34</v>
      </c>
      <c r="L27" s="4" t="s">
        <v>35</v>
      </c>
      <c r="M27" s="152">
        <v>18.611999999999998</v>
      </c>
      <c r="N27" s="4" t="s">
        <v>48</v>
      </c>
      <c r="O27" s="165">
        <v>0.01</v>
      </c>
      <c r="P27" s="166">
        <v>2.4279999999999999E-2</v>
      </c>
      <c r="R27" s="152">
        <v>76170</v>
      </c>
      <c r="S27" s="152">
        <v>1</v>
      </c>
      <c r="T27" s="152">
        <v>88.06</v>
      </c>
      <c r="U27" s="152">
        <v>67.075000000000003</v>
      </c>
      <c r="W27" s="4" t="s">
        <v>37</v>
      </c>
      <c r="X27" s="166">
        <v>3.9999999999999998E-6</v>
      </c>
      <c r="Y27" s="166">
        <v>1.06005844573574E-2</v>
      </c>
      <c r="Z27" s="166">
        <v>2.1558398156405799E-3</v>
      </c>
    </row>
    <row r="28" spans="1:26">
      <c r="A28" s="4" t="s">
        <v>112</v>
      </c>
      <c r="B28" s="4">
        <v>12905</v>
      </c>
      <c r="C28" s="4" t="s">
        <v>41</v>
      </c>
      <c r="D28" s="4" t="s">
        <v>49</v>
      </c>
      <c r="E28" s="4" t="s">
        <v>50</v>
      </c>
      <c r="F28" s="4" t="s">
        <v>44</v>
      </c>
      <c r="G28" s="4" t="s">
        <v>31</v>
      </c>
      <c r="H28" s="4" t="s">
        <v>31</v>
      </c>
      <c r="I28" s="4" t="s">
        <v>32</v>
      </c>
      <c r="J28" s="4" t="s">
        <v>33</v>
      </c>
      <c r="K28" s="4" t="s">
        <v>34</v>
      </c>
      <c r="L28" s="4" t="s">
        <v>35</v>
      </c>
      <c r="M28" s="152">
        <v>1.3240000000000001</v>
      </c>
      <c r="N28" s="4" t="s">
        <v>51</v>
      </c>
      <c r="O28" s="165">
        <v>7.4999999999999997E-3</v>
      </c>
      <c r="P28" s="166">
        <v>1.508E-2</v>
      </c>
      <c r="R28" s="152">
        <v>509082</v>
      </c>
      <c r="S28" s="152">
        <v>1</v>
      </c>
      <c r="T28" s="152">
        <v>113.49</v>
      </c>
      <c r="U28" s="152">
        <v>577.75699999999995</v>
      </c>
      <c r="W28" s="4" t="s">
        <v>37</v>
      </c>
      <c r="X28" s="166">
        <v>2.3E-5</v>
      </c>
      <c r="Y28" s="166">
        <v>9.1308773973228202E-2</v>
      </c>
      <c r="Z28" s="166">
        <v>1.8569456357869801E-2</v>
      </c>
    </row>
    <row r="29" spans="1:26">
      <c r="A29" s="4" t="s">
        <v>112</v>
      </c>
      <c r="B29" s="4">
        <v>12905</v>
      </c>
      <c r="C29" s="4" t="s">
        <v>41</v>
      </c>
      <c r="D29" s="4" t="s">
        <v>52</v>
      </c>
      <c r="E29" s="4" t="s">
        <v>53</v>
      </c>
      <c r="F29" s="4" t="s">
        <v>44</v>
      </c>
      <c r="G29" s="4" t="s">
        <v>31</v>
      </c>
      <c r="H29" s="4" t="s">
        <v>31</v>
      </c>
      <c r="I29" s="4" t="s">
        <v>32</v>
      </c>
      <c r="J29" s="4" t="s">
        <v>33</v>
      </c>
      <c r="K29" s="4" t="s">
        <v>34</v>
      </c>
      <c r="L29" s="4" t="s">
        <v>35</v>
      </c>
      <c r="M29" s="152">
        <v>7.3849999999999998</v>
      </c>
      <c r="N29" s="4" t="s">
        <v>54</v>
      </c>
      <c r="O29" s="165">
        <v>1E-3</v>
      </c>
      <c r="P29" s="166">
        <v>2.213E-2</v>
      </c>
      <c r="R29" s="152">
        <v>141557</v>
      </c>
      <c r="S29" s="152">
        <v>1</v>
      </c>
      <c r="T29" s="152">
        <v>97.65</v>
      </c>
      <c r="U29" s="152">
        <v>138.22999999999999</v>
      </c>
      <c r="W29" s="4" t="s">
        <v>37</v>
      </c>
      <c r="X29" s="166">
        <v>5.0000000000000004E-6</v>
      </c>
      <c r="Y29" s="166">
        <v>2.1845941760805399E-2</v>
      </c>
      <c r="Z29" s="166">
        <v>4.4428070214017302E-3</v>
      </c>
    </row>
    <row r="30" spans="1:26">
      <c r="A30" s="4" t="s">
        <v>112</v>
      </c>
      <c r="B30" s="4">
        <v>12905</v>
      </c>
      <c r="C30" s="4" t="s">
        <v>55</v>
      </c>
      <c r="D30" s="4" t="s">
        <v>120</v>
      </c>
      <c r="E30" s="4" t="s">
        <v>121</v>
      </c>
      <c r="F30" s="4" t="s">
        <v>58</v>
      </c>
      <c r="G30" s="4" t="s">
        <v>31</v>
      </c>
      <c r="H30" s="4" t="s">
        <v>31</v>
      </c>
      <c r="I30" s="4" t="s">
        <v>32</v>
      </c>
      <c r="J30" s="4" t="s">
        <v>33</v>
      </c>
      <c r="K30" s="4" t="s">
        <v>34</v>
      </c>
      <c r="L30" s="4" t="s">
        <v>35</v>
      </c>
      <c r="M30" s="152">
        <v>3.0680000000000001</v>
      </c>
      <c r="N30" s="4" t="s">
        <v>122</v>
      </c>
      <c r="O30" s="165">
        <v>3.7499999999999999E-2</v>
      </c>
      <c r="P30" s="166">
        <v>4.5749999999999999E-2</v>
      </c>
      <c r="R30" s="152">
        <v>81000</v>
      </c>
      <c r="S30" s="152">
        <v>1</v>
      </c>
      <c r="T30" s="152">
        <v>99.11</v>
      </c>
      <c r="U30" s="152">
        <v>80.278999999999996</v>
      </c>
      <c r="W30" s="4" t="s">
        <v>37</v>
      </c>
      <c r="X30" s="166">
        <v>7.9999999999999996E-6</v>
      </c>
      <c r="Y30" s="166">
        <v>1.26873134273871E-2</v>
      </c>
      <c r="Z30" s="166">
        <v>2.5802176804778599E-3</v>
      </c>
    </row>
    <row r="31" spans="1:26">
      <c r="A31" s="4" t="s">
        <v>112</v>
      </c>
      <c r="B31" s="4">
        <v>12905</v>
      </c>
      <c r="C31" s="4" t="s">
        <v>55</v>
      </c>
      <c r="D31" s="4" t="s">
        <v>60</v>
      </c>
      <c r="E31" s="4" t="s">
        <v>61</v>
      </c>
      <c r="F31" s="4" t="s">
        <v>58</v>
      </c>
      <c r="G31" s="4" t="s">
        <v>31</v>
      </c>
      <c r="H31" s="4" t="s">
        <v>31</v>
      </c>
      <c r="I31" s="4" t="s">
        <v>32</v>
      </c>
      <c r="J31" s="4" t="s">
        <v>33</v>
      </c>
      <c r="K31" s="4" t="s">
        <v>34</v>
      </c>
      <c r="L31" s="4" t="s">
        <v>35</v>
      </c>
      <c r="M31" s="152">
        <v>4.306</v>
      </c>
      <c r="N31" s="4" t="s">
        <v>62</v>
      </c>
      <c r="O31" s="165">
        <v>3.7499999999999999E-2</v>
      </c>
      <c r="P31" s="166">
        <v>4.6649999999999997E-2</v>
      </c>
      <c r="R31" s="152">
        <v>554808</v>
      </c>
      <c r="S31" s="152">
        <v>1</v>
      </c>
      <c r="T31" s="152">
        <v>97.49</v>
      </c>
      <c r="U31" s="152">
        <v>540.88199999999995</v>
      </c>
      <c r="W31" s="4" t="s">
        <v>37</v>
      </c>
      <c r="X31" s="166">
        <v>2.1999999999999999E-5</v>
      </c>
      <c r="Y31" s="166">
        <v>8.5481071798543001E-2</v>
      </c>
      <c r="Z31" s="166">
        <v>1.7384277141344499E-2</v>
      </c>
    </row>
    <row r="32" spans="1:26">
      <c r="A32" s="4" t="s">
        <v>112</v>
      </c>
      <c r="B32" s="4">
        <v>12905</v>
      </c>
      <c r="C32" s="4" t="s">
        <v>55</v>
      </c>
      <c r="D32" s="4" t="s">
        <v>63</v>
      </c>
      <c r="E32" s="4" t="s">
        <v>64</v>
      </c>
      <c r="F32" s="4" t="s">
        <v>58</v>
      </c>
      <c r="G32" s="4" t="s">
        <v>31</v>
      </c>
      <c r="H32" s="4" t="s">
        <v>31</v>
      </c>
      <c r="I32" s="4" t="s">
        <v>32</v>
      </c>
      <c r="J32" s="4" t="s">
        <v>33</v>
      </c>
      <c r="K32" s="4" t="s">
        <v>34</v>
      </c>
      <c r="L32" s="4" t="s">
        <v>35</v>
      </c>
      <c r="M32" s="152">
        <v>2.6840000000000002</v>
      </c>
      <c r="N32" s="4" t="s">
        <v>65</v>
      </c>
      <c r="O32" s="165">
        <v>0.02</v>
      </c>
      <c r="P32" s="166">
        <v>4.487E-2</v>
      </c>
      <c r="R32" s="152">
        <v>32343</v>
      </c>
      <c r="S32" s="152">
        <v>1</v>
      </c>
      <c r="T32" s="152">
        <v>94.2</v>
      </c>
      <c r="U32" s="152">
        <v>30.466999999999999</v>
      </c>
      <c r="W32" s="4" t="s">
        <v>37</v>
      </c>
      <c r="X32" s="166">
        <v>9.9999999999999995E-7</v>
      </c>
      <c r="Y32" s="166">
        <v>4.8150231261614197E-3</v>
      </c>
      <c r="Z32" s="166">
        <v>9.7923077829961897E-4</v>
      </c>
    </row>
    <row r="33" spans="1:26">
      <c r="A33" s="4" t="s">
        <v>112</v>
      </c>
      <c r="B33" s="4">
        <v>12905</v>
      </c>
      <c r="C33" s="4" t="s">
        <v>55</v>
      </c>
      <c r="D33" s="4" t="s">
        <v>66</v>
      </c>
      <c r="E33" s="4" t="s">
        <v>67</v>
      </c>
      <c r="F33" s="4" t="s">
        <v>58</v>
      </c>
      <c r="G33" s="4" t="s">
        <v>31</v>
      </c>
      <c r="H33" s="4" t="s">
        <v>31</v>
      </c>
      <c r="I33" s="4" t="s">
        <v>32</v>
      </c>
      <c r="J33" s="4" t="s">
        <v>33</v>
      </c>
      <c r="K33" s="4" t="s">
        <v>34</v>
      </c>
      <c r="L33" s="4" t="s">
        <v>35</v>
      </c>
      <c r="M33" s="152">
        <v>14.472</v>
      </c>
      <c r="N33" s="4" t="s">
        <v>68</v>
      </c>
      <c r="O33" s="165">
        <v>3.7499999999999999E-2</v>
      </c>
      <c r="P33" s="166">
        <v>5.4850000000000003E-2</v>
      </c>
      <c r="R33" s="152">
        <v>172543</v>
      </c>
      <c r="S33" s="152">
        <v>1</v>
      </c>
      <c r="T33" s="152">
        <v>78.790000000000006</v>
      </c>
      <c r="U33" s="152">
        <v>135.947</v>
      </c>
      <c r="W33" s="4" t="s">
        <v>37</v>
      </c>
      <c r="X33" s="166">
        <v>6.9999999999999999E-6</v>
      </c>
      <c r="Y33" s="166">
        <v>2.1485012916199E-2</v>
      </c>
      <c r="Z33" s="166">
        <v>4.3694049578696798E-3</v>
      </c>
    </row>
    <row r="34" spans="1:26">
      <c r="A34" s="4" t="s">
        <v>112</v>
      </c>
      <c r="B34" s="4">
        <v>12905</v>
      </c>
      <c r="C34" s="4" t="s">
        <v>41</v>
      </c>
      <c r="D34" s="4" t="s">
        <v>69</v>
      </c>
      <c r="E34" s="4" t="s">
        <v>70</v>
      </c>
      <c r="F34" s="4" t="s">
        <v>44</v>
      </c>
      <c r="G34" s="4" t="s">
        <v>31</v>
      </c>
      <c r="H34" s="4" t="s">
        <v>31</v>
      </c>
      <c r="I34" s="4" t="s">
        <v>32</v>
      </c>
      <c r="J34" s="4" t="s">
        <v>33</v>
      </c>
      <c r="K34" s="4" t="s">
        <v>34</v>
      </c>
      <c r="L34" s="4" t="s">
        <v>35</v>
      </c>
      <c r="M34" s="152">
        <v>13.718</v>
      </c>
      <c r="N34" s="4" t="s">
        <v>71</v>
      </c>
      <c r="O34" s="165">
        <v>2.75E-2</v>
      </c>
      <c r="P34" s="166">
        <v>2.3609999999999999E-2</v>
      </c>
      <c r="R34" s="152">
        <v>44168</v>
      </c>
      <c r="S34" s="152">
        <v>1</v>
      </c>
      <c r="T34" s="152">
        <v>131.08000000000001</v>
      </c>
      <c r="U34" s="152">
        <v>57.895000000000003</v>
      </c>
      <c r="W34" s="4" t="s">
        <v>37</v>
      </c>
      <c r="X34" s="166">
        <v>1.9999999999999999E-6</v>
      </c>
      <c r="Y34" s="166">
        <v>9.1497945106666402E-3</v>
      </c>
      <c r="Z34" s="166">
        <v>1.8607928072620699E-3</v>
      </c>
    </row>
    <row r="35" spans="1:26">
      <c r="A35" s="4" t="s">
        <v>112</v>
      </c>
      <c r="B35" s="4">
        <v>12905</v>
      </c>
      <c r="C35" s="4" t="s">
        <v>41</v>
      </c>
      <c r="D35" s="4" t="s">
        <v>72</v>
      </c>
      <c r="E35" s="4" t="s">
        <v>73</v>
      </c>
      <c r="F35" s="4" t="s">
        <v>44</v>
      </c>
      <c r="G35" s="4" t="s">
        <v>31</v>
      </c>
      <c r="H35" s="4" t="s">
        <v>31</v>
      </c>
      <c r="I35" s="4" t="s">
        <v>32</v>
      </c>
      <c r="J35" s="4" t="s">
        <v>33</v>
      </c>
      <c r="K35" s="4" t="s">
        <v>34</v>
      </c>
      <c r="L35" s="4" t="s">
        <v>35</v>
      </c>
      <c r="M35" s="152">
        <v>9.8770000000000007</v>
      </c>
      <c r="N35" s="4" t="s">
        <v>74</v>
      </c>
      <c r="O35" s="165">
        <v>0.04</v>
      </c>
      <c r="P35" s="166">
        <v>2.3189999999999999E-2</v>
      </c>
      <c r="R35" s="152">
        <v>232156</v>
      </c>
      <c r="S35" s="152">
        <v>1</v>
      </c>
      <c r="T35" s="152">
        <v>159.08000000000001</v>
      </c>
      <c r="U35" s="152">
        <v>369.31400000000002</v>
      </c>
      <c r="W35" s="4" t="s">
        <v>37</v>
      </c>
      <c r="X35" s="166">
        <v>1.5E-5</v>
      </c>
      <c r="Y35" s="166">
        <v>5.83663679222352E-2</v>
      </c>
      <c r="Z35" s="166">
        <v>1.18699624881295E-2</v>
      </c>
    </row>
    <row r="36" spans="1:26">
      <c r="A36" s="4" t="s">
        <v>112</v>
      </c>
      <c r="B36" s="4">
        <v>12905</v>
      </c>
      <c r="C36" s="4" t="s">
        <v>123</v>
      </c>
      <c r="D36" s="4" t="s">
        <v>124</v>
      </c>
      <c r="E36" s="4" t="s">
        <v>125</v>
      </c>
      <c r="F36" s="4" t="s">
        <v>126</v>
      </c>
      <c r="G36" s="4" t="s">
        <v>31</v>
      </c>
      <c r="H36" s="4" t="s">
        <v>31</v>
      </c>
      <c r="I36" s="4" t="s">
        <v>32</v>
      </c>
      <c r="J36" s="4" t="s">
        <v>33</v>
      </c>
      <c r="K36" s="4" t="s">
        <v>34</v>
      </c>
      <c r="L36" s="4" t="s">
        <v>35</v>
      </c>
      <c r="M36" s="152">
        <v>1.839</v>
      </c>
      <c r="N36" s="4" t="s">
        <v>127</v>
      </c>
      <c r="O36" s="165">
        <v>4.3200000000000002E-2</v>
      </c>
      <c r="P36" s="166">
        <v>4.6899999999999997E-2</v>
      </c>
      <c r="R36" s="152">
        <v>330309</v>
      </c>
      <c r="S36" s="152">
        <v>1</v>
      </c>
      <c r="T36" s="152">
        <v>99.64</v>
      </c>
      <c r="U36" s="152">
        <v>329.12</v>
      </c>
      <c r="W36" s="4" t="s">
        <v>37</v>
      </c>
      <c r="X36" s="166">
        <v>1.5999999999999999E-5</v>
      </c>
      <c r="Y36" s="166">
        <v>5.20141253348331E-2</v>
      </c>
      <c r="Z36" s="166">
        <v>1.0578107539601299E-2</v>
      </c>
    </row>
    <row r="37" spans="1:26">
      <c r="A37" s="4" t="s">
        <v>112</v>
      </c>
      <c r="B37" s="4">
        <v>12905</v>
      </c>
      <c r="C37" s="4" t="s">
        <v>41</v>
      </c>
      <c r="D37" s="4" t="s">
        <v>75</v>
      </c>
      <c r="E37" s="4" t="s">
        <v>76</v>
      </c>
      <c r="F37" s="4" t="s">
        <v>44</v>
      </c>
      <c r="G37" s="4" t="s">
        <v>31</v>
      </c>
      <c r="H37" s="4" t="s">
        <v>31</v>
      </c>
      <c r="I37" s="4" t="s">
        <v>32</v>
      </c>
      <c r="J37" s="4" t="s">
        <v>33</v>
      </c>
      <c r="K37" s="4" t="s">
        <v>34</v>
      </c>
      <c r="L37" s="4" t="s">
        <v>35</v>
      </c>
      <c r="M37" s="152">
        <v>4.8630000000000004</v>
      </c>
      <c r="N37" s="4" t="s">
        <v>77</v>
      </c>
      <c r="O37" s="165">
        <v>5.0000000000000001E-3</v>
      </c>
      <c r="P37" s="166">
        <v>1.9820000000000001E-2</v>
      </c>
      <c r="R37" s="152">
        <v>938213</v>
      </c>
      <c r="S37" s="152">
        <v>1</v>
      </c>
      <c r="T37" s="152">
        <v>105.85</v>
      </c>
      <c r="U37" s="152">
        <v>993.09799999999996</v>
      </c>
      <c r="W37" s="4" t="s">
        <v>37</v>
      </c>
      <c r="X37" s="166">
        <v>3.8999999999999999E-5</v>
      </c>
      <c r="Y37" s="166">
        <v>0.15694933591207499</v>
      </c>
      <c r="Z37" s="166">
        <v>3.1918770965761199E-2</v>
      </c>
    </row>
    <row r="38" spans="1:26">
      <c r="A38" s="4" t="s">
        <v>112</v>
      </c>
      <c r="B38" s="4">
        <v>12905</v>
      </c>
      <c r="C38" s="4" t="s">
        <v>41</v>
      </c>
      <c r="D38" s="4" t="s">
        <v>78</v>
      </c>
      <c r="E38" s="4" t="s">
        <v>79</v>
      </c>
      <c r="F38" s="4" t="s">
        <v>44</v>
      </c>
      <c r="G38" s="4" t="s">
        <v>31</v>
      </c>
      <c r="H38" s="4" t="s">
        <v>31</v>
      </c>
      <c r="I38" s="4" t="s">
        <v>32</v>
      </c>
      <c r="J38" s="4" t="s">
        <v>33</v>
      </c>
      <c r="K38" s="4" t="s">
        <v>34</v>
      </c>
      <c r="L38" s="4" t="s">
        <v>35</v>
      </c>
      <c r="M38" s="152">
        <v>2.0760000000000001</v>
      </c>
      <c r="N38" s="4" t="s">
        <v>80</v>
      </c>
      <c r="O38" s="165">
        <v>1E-3</v>
      </c>
      <c r="P38" s="166">
        <v>1.618E-2</v>
      </c>
      <c r="R38" s="152">
        <v>279189</v>
      </c>
      <c r="S38" s="152">
        <v>1</v>
      </c>
      <c r="T38" s="152">
        <v>110.2</v>
      </c>
      <c r="U38" s="152">
        <v>307.666</v>
      </c>
      <c r="W38" s="4" t="s">
        <v>37</v>
      </c>
      <c r="X38" s="166">
        <v>1.4E-5</v>
      </c>
      <c r="Y38" s="166">
        <v>4.8623595680863399E-2</v>
      </c>
      <c r="Z38" s="166">
        <v>9.8885758582547001E-3</v>
      </c>
    </row>
    <row r="39" spans="1:26">
      <c r="A39" s="4" t="s">
        <v>112</v>
      </c>
      <c r="B39" s="4">
        <v>12905</v>
      </c>
      <c r="C39" s="4" t="s">
        <v>41</v>
      </c>
      <c r="D39" s="4" t="s">
        <v>81</v>
      </c>
      <c r="E39" s="4" t="s">
        <v>82</v>
      </c>
      <c r="F39" s="4" t="s">
        <v>44</v>
      </c>
      <c r="G39" s="4" t="s">
        <v>31</v>
      </c>
      <c r="H39" s="4" t="s">
        <v>31</v>
      </c>
      <c r="I39" s="4" t="s">
        <v>32</v>
      </c>
      <c r="J39" s="4" t="s">
        <v>33</v>
      </c>
      <c r="K39" s="4" t="s">
        <v>34</v>
      </c>
      <c r="L39" s="4" t="s">
        <v>35</v>
      </c>
      <c r="M39" s="152">
        <v>4.2240000000000002</v>
      </c>
      <c r="N39" s="4" t="s">
        <v>83</v>
      </c>
      <c r="O39" s="165">
        <v>1.0999999999999999E-2</v>
      </c>
      <c r="P39" s="166">
        <v>1.9290000000000002E-2</v>
      </c>
      <c r="R39" s="152">
        <v>843316</v>
      </c>
      <c r="S39" s="152">
        <v>1</v>
      </c>
      <c r="T39" s="152">
        <v>99.98</v>
      </c>
      <c r="U39" s="152">
        <v>843.14700000000005</v>
      </c>
      <c r="W39" s="4" t="s">
        <v>37</v>
      </c>
      <c r="X39" s="166">
        <v>5.3999999999999998E-5</v>
      </c>
      <c r="Y39" s="166">
        <v>0.13325105198548901</v>
      </c>
      <c r="Z39" s="166">
        <v>2.7099253300786601E-2</v>
      </c>
    </row>
    <row r="40" spans="1:26">
      <c r="A40" s="4" t="s">
        <v>112</v>
      </c>
      <c r="B40" s="4">
        <v>12905</v>
      </c>
      <c r="C40" s="4" t="s">
        <v>55</v>
      </c>
      <c r="D40" s="4" t="s">
        <v>84</v>
      </c>
      <c r="E40" s="4" t="s">
        <v>85</v>
      </c>
      <c r="F40" s="4" t="s">
        <v>58</v>
      </c>
      <c r="G40" s="4" t="s">
        <v>31</v>
      </c>
      <c r="H40" s="4" t="s">
        <v>31</v>
      </c>
      <c r="I40" s="4" t="s">
        <v>32</v>
      </c>
      <c r="J40" s="4" t="s">
        <v>33</v>
      </c>
      <c r="K40" s="4" t="s">
        <v>34</v>
      </c>
      <c r="L40" s="4" t="s">
        <v>35</v>
      </c>
      <c r="M40" s="152">
        <v>11.494</v>
      </c>
      <c r="N40" s="4" t="s">
        <v>86</v>
      </c>
      <c r="O40" s="165">
        <v>1.4999999999999999E-2</v>
      </c>
      <c r="P40" s="166">
        <v>5.2260000000000001E-2</v>
      </c>
      <c r="R40" s="152">
        <v>161681</v>
      </c>
      <c r="S40" s="152">
        <v>1</v>
      </c>
      <c r="T40" s="152">
        <v>65.83</v>
      </c>
      <c r="U40" s="152">
        <v>106.435</v>
      </c>
      <c r="W40" s="4" t="s">
        <v>37</v>
      </c>
      <c r="X40" s="166">
        <v>5.0000000000000004E-6</v>
      </c>
      <c r="Y40" s="166">
        <v>1.6820930465082401E-2</v>
      </c>
      <c r="Z40" s="166">
        <v>3.4208709697678302E-3</v>
      </c>
    </row>
    <row r="41" spans="1:26">
      <c r="A41" s="4" t="s">
        <v>112</v>
      </c>
      <c r="B41" s="4">
        <v>12905</v>
      </c>
      <c r="C41" s="4" t="s">
        <v>55</v>
      </c>
      <c r="D41" s="4" t="s">
        <v>87</v>
      </c>
      <c r="E41" s="4" t="s">
        <v>88</v>
      </c>
      <c r="F41" s="4" t="s">
        <v>58</v>
      </c>
      <c r="G41" s="4" t="s">
        <v>31</v>
      </c>
      <c r="H41" s="4" t="s">
        <v>31</v>
      </c>
      <c r="I41" s="4" t="s">
        <v>32</v>
      </c>
      <c r="J41" s="4" t="s">
        <v>33</v>
      </c>
      <c r="K41" s="4" t="s">
        <v>34</v>
      </c>
      <c r="L41" s="4" t="s">
        <v>35</v>
      </c>
      <c r="M41" s="152">
        <v>7.4189999999999996</v>
      </c>
      <c r="N41" s="4" t="s">
        <v>89</v>
      </c>
      <c r="O41" s="165">
        <v>1.2999999999999999E-2</v>
      </c>
      <c r="P41" s="166">
        <v>4.9180000000000001E-2</v>
      </c>
      <c r="R41" s="152">
        <v>123403</v>
      </c>
      <c r="S41" s="152">
        <v>1</v>
      </c>
      <c r="T41" s="152">
        <v>77.260000000000005</v>
      </c>
      <c r="U41" s="152">
        <v>95.340999999999994</v>
      </c>
      <c r="W41" s="4" t="s">
        <v>37</v>
      </c>
      <c r="X41" s="166">
        <v>3.9999999999999998E-6</v>
      </c>
      <c r="Y41" s="166">
        <v>1.50677218795249E-2</v>
      </c>
      <c r="Z41" s="166">
        <v>3.0643211126281798E-3</v>
      </c>
    </row>
    <row r="42" spans="1:26">
      <c r="A42" s="4" t="s">
        <v>112</v>
      </c>
      <c r="B42" s="4">
        <v>12905</v>
      </c>
      <c r="C42" s="4" t="s">
        <v>101</v>
      </c>
      <c r="D42" s="4" t="s">
        <v>102</v>
      </c>
      <c r="E42" s="4" t="s">
        <v>103</v>
      </c>
      <c r="F42" s="4" t="s">
        <v>93</v>
      </c>
      <c r="G42" s="4" t="s">
        <v>94</v>
      </c>
      <c r="H42" s="4" t="s">
        <v>95</v>
      </c>
      <c r="I42" s="4" t="s">
        <v>96</v>
      </c>
      <c r="J42" s="4" t="s">
        <v>97</v>
      </c>
      <c r="K42" s="4" t="s">
        <v>104</v>
      </c>
      <c r="L42" s="4" t="s">
        <v>99</v>
      </c>
      <c r="M42" s="152">
        <v>7.52</v>
      </c>
      <c r="N42" s="4" t="s">
        <v>105</v>
      </c>
      <c r="O42" s="165">
        <v>3.875E-2</v>
      </c>
      <c r="P42" s="166">
        <v>4.6050000000000001E-2</v>
      </c>
      <c r="R42" s="152">
        <v>125000</v>
      </c>
      <c r="S42" s="152">
        <v>3.7589999999999999</v>
      </c>
      <c r="T42" s="152">
        <v>97.685000000000002</v>
      </c>
      <c r="U42" s="152">
        <v>458.99700000000001</v>
      </c>
      <c r="W42" s="4" t="s">
        <v>37</v>
      </c>
      <c r="X42" s="166">
        <v>0</v>
      </c>
      <c r="Y42" s="166">
        <v>7.2539899368685601E-2</v>
      </c>
      <c r="Z42" s="166">
        <v>1.4752432180570299E-2</v>
      </c>
    </row>
    <row r="43" spans="1:26">
      <c r="A43" s="4" t="s">
        <v>112</v>
      </c>
      <c r="B43" s="4">
        <v>12905</v>
      </c>
      <c r="C43" s="4" t="s">
        <v>101</v>
      </c>
      <c r="D43" s="4" t="s">
        <v>106</v>
      </c>
      <c r="E43" s="4" t="s">
        <v>107</v>
      </c>
      <c r="F43" s="4" t="s">
        <v>93</v>
      </c>
      <c r="G43" s="4" t="s">
        <v>94</v>
      </c>
      <c r="H43" s="4" t="s">
        <v>95</v>
      </c>
      <c r="I43" s="4" t="s">
        <v>96</v>
      </c>
      <c r="J43" s="4" t="s">
        <v>97</v>
      </c>
      <c r="K43" s="4" t="s">
        <v>104</v>
      </c>
      <c r="L43" s="4" t="s">
        <v>99</v>
      </c>
      <c r="M43" s="152">
        <v>7.61</v>
      </c>
      <c r="N43" s="4" t="s">
        <v>108</v>
      </c>
      <c r="O43" s="165">
        <v>4.4999999999999998E-2</v>
      </c>
      <c r="P43" s="166">
        <v>4.5999999999999999E-2</v>
      </c>
      <c r="R43" s="152">
        <v>39000</v>
      </c>
      <c r="S43" s="152">
        <v>3.7589999999999999</v>
      </c>
      <c r="T43" s="152">
        <v>101.52</v>
      </c>
      <c r="U43" s="152">
        <v>148.82900000000001</v>
      </c>
      <c r="W43" s="4" t="s">
        <v>37</v>
      </c>
      <c r="X43" s="166">
        <v>0</v>
      </c>
      <c r="Y43" s="166">
        <v>2.3520996409676399E-2</v>
      </c>
      <c r="Z43" s="166">
        <v>4.7834627201451601E-3</v>
      </c>
    </row>
    <row r="44" spans="1:26">
      <c r="A44" s="4" t="s">
        <v>112</v>
      </c>
      <c r="B44" s="4">
        <v>12905</v>
      </c>
      <c r="C44" s="4" t="s">
        <v>101</v>
      </c>
      <c r="D44" s="4" t="s">
        <v>109</v>
      </c>
      <c r="E44" s="4" t="s">
        <v>110</v>
      </c>
      <c r="F44" s="4" t="s">
        <v>93</v>
      </c>
      <c r="G44" s="4" t="s">
        <v>94</v>
      </c>
      <c r="H44" s="4" t="s">
        <v>95</v>
      </c>
      <c r="I44" s="4" t="s">
        <v>96</v>
      </c>
      <c r="J44" s="4" t="s">
        <v>97</v>
      </c>
      <c r="K44" s="4" t="s">
        <v>104</v>
      </c>
      <c r="L44" s="4" t="s">
        <v>99</v>
      </c>
      <c r="M44" s="152">
        <v>7.55</v>
      </c>
      <c r="N44" s="4" t="s">
        <v>111</v>
      </c>
      <c r="O44" s="165">
        <v>3.3750000000000002E-2</v>
      </c>
      <c r="P44" s="166">
        <v>4.6039999999999998E-2</v>
      </c>
      <c r="R44" s="152">
        <v>152000</v>
      </c>
      <c r="S44" s="152">
        <v>3.7589999999999999</v>
      </c>
      <c r="T44" s="152">
        <v>93.126000000000005</v>
      </c>
      <c r="U44" s="152">
        <v>532.09400000000005</v>
      </c>
      <c r="W44" s="4" t="s">
        <v>37</v>
      </c>
      <c r="X44" s="166">
        <v>9.9999999999999995E-7</v>
      </c>
      <c r="Y44" s="166">
        <v>8.4092146028535403E-2</v>
      </c>
      <c r="Z44" s="166">
        <v>1.7101811444476801E-2</v>
      </c>
    </row>
    <row r="45" spans="1:26">
      <c r="A45" s="4" t="s">
        <v>112</v>
      </c>
      <c r="B45" s="4">
        <v>13680</v>
      </c>
      <c r="C45" s="4" t="s">
        <v>101</v>
      </c>
      <c r="D45" s="4" t="s">
        <v>102</v>
      </c>
      <c r="E45" s="4" t="s">
        <v>103</v>
      </c>
      <c r="F45" s="4" t="s">
        <v>93</v>
      </c>
      <c r="G45" s="4" t="s">
        <v>94</v>
      </c>
      <c r="H45" s="4" t="s">
        <v>95</v>
      </c>
      <c r="I45" s="4" t="s">
        <v>96</v>
      </c>
      <c r="J45" s="4" t="s">
        <v>97</v>
      </c>
      <c r="K45" s="4" t="s">
        <v>104</v>
      </c>
      <c r="L45" s="4" t="s">
        <v>99</v>
      </c>
      <c r="M45" s="152">
        <v>7.52</v>
      </c>
      <c r="N45" s="4" t="s">
        <v>105</v>
      </c>
      <c r="O45" s="165">
        <v>3.875E-2</v>
      </c>
      <c r="P45" s="166">
        <v>4.6050000000000001E-2</v>
      </c>
      <c r="R45" s="152">
        <v>134000</v>
      </c>
      <c r="S45" s="152">
        <v>3.7589999999999999</v>
      </c>
      <c r="T45" s="152">
        <v>97.685000000000002</v>
      </c>
      <c r="U45" s="152">
        <v>492.04500000000002</v>
      </c>
      <c r="W45" s="4" t="s">
        <v>37</v>
      </c>
      <c r="X45" s="166">
        <v>0</v>
      </c>
      <c r="Y45" s="166">
        <v>0.42513380697858499</v>
      </c>
      <c r="Z45" s="166">
        <v>1.53235680238577E-2</v>
      </c>
    </row>
    <row r="46" spans="1:26">
      <c r="A46" s="4" t="s">
        <v>112</v>
      </c>
      <c r="B46" s="4">
        <v>13680</v>
      </c>
      <c r="C46" s="4" t="s">
        <v>101</v>
      </c>
      <c r="D46" s="4" t="s">
        <v>106</v>
      </c>
      <c r="E46" s="4" t="s">
        <v>107</v>
      </c>
      <c r="F46" s="4" t="s">
        <v>93</v>
      </c>
      <c r="G46" s="4" t="s">
        <v>94</v>
      </c>
      <c r="H46" s="4" t="s">
        <v>95</v>
      </c>
      <c r="I46" s="4" t="s">
        <v>96</v>
      </c>
      <c r="J46" s="4" t="s">
        <v>97</v>
      </c>
      <c r="K46" s="4" t="s">
        <v>104</v>
      </c>
      <c r="L46" s="4" t="s">
        <v>99</v>
      </c>
      <c r="M46" s="152">
        <v>7.61</v>
      </c>
      <c r="N46" s="4" t="s">
        <v>108</v>
      </c>
      <c r="O46" s="165">
        <v>4.4999999999999998E-2</v>
      </c>
      <c r="P46" s="166">
        <v>4.5999999999999999E-2</v>
      </c>
      <c r="R46" s="152">
        <v>34000</v>
      </c>
      <c r="S46" s="152">
        <v>3.7589999999999999</v>
      </c>
      <c r="T46" s="152">
        <v>101.52</v>
      </c>
      <c r="U46" s="152">
        <v>129.749</v>
      </c>
      <c r="W46" s="4" t="s">
        <v>37</v>
      </c>
      <c r="X46" s="166">
        <v>0</v>
      </c>
      <c r="Y46" s="166">
        <v>0.11210472903501199</v>
      </c>
      <c r="Z46" s="166">
        <v>4.04071474196046E-3</v>
      </c>
    </row>
    <row r="47" spans="1:26">
      <c r="A47" s="4" t="s">
        <v>112</v>
      </c>
      <c r="B47" s="4">
        <v>13680</v>
      </c>
      <c r="C47" s="4" t="s">
        <v>101</v>
      </c>
      <c r="D47" s="4" t="s">
        <v>109</v>
      </c>
      <c r="E47" s="4" t="s">
        <v>110</v>
      </c>
      <c r="F47" s="4" t="s">
        <v>93</v>
      </c>
      <c r="G47" s="4" t="s">
        <v>94</v>
      </c>
      <c r="H47" s="4" t="s">
        <v>95</v>
      </c>
      <c r="I47" s="4" t="s">
        <v>96</v>
      </c>
      <c r="J47" s="4" t="s">
        <v>97</v>
      </c>
      <c r="K47" s="4" t="s">
        <v>104</v>
      </c>
      <c r="L47" s="4" t="s">
        <v>99</v>
      </c>
      <c r="M47" s="152">
        <v>7.55</v>
      </c>
      <c r="N47" s="4" t="s">
        <v>111</v>
      </c>
      <c r="O47" s="165">
        <v>3.3750000000000002E-2</v>
      </c>
      <c r="P47" s="166">
        <v>4.6039999999999998E-2</v>
      </c>
      <c r="R47" s="152">
        <v>153000</v>
      </c>
      <c r="S47" s="152">
        <v>3.7589999999999999</v>
      </c>
      <c r="T47" s="152">
        <v>93.126000000000005</v>
      </c>
      <c r="U47" s="152">
        <v>535.59400000000005</v>
      </c>
      <c r="W47" s="4" t="s">
        <v>37</v>
      </c>
      <c r="X47" s="166">
        <v>9.9999999999999995E-7</v>
      </c>
      <c r="Y47" s="166">
        <v>0.462761463986403</v>
      </c>
      <c r="Z47" s="166">
        <v>1.6679823283432298E-2</v>
      </c>
    </row>
    <row r="48" spans="1:26">
      <c r="A48" s="4" t="s">
        <v>128</v>
      </c>
      <c r="B48" s="4">
        <v>7228</v>
      </c>
      <c r="C48" s="4" t="s">
        <v>41</v>
      </c>
      <c r="D48" s="4" t="s">
        <v>46</v>
      </c>
      <c r="E48" s="4" t="s">
        <v>47</v>
      </c>
      <c r="F48" s="4" t="s">
        <v>44</v>
      </c>
      <c r="G48" s="4" t="s">
        <v>31</v>
      </c>
      <c r="H48" s="4" t="s">
        <v>31</v>
      </c>
      <c r="I48" s="4" t="s">
        <v>32</v>
      </c>
      <c r="J48" s="4" t="s">
        <v>33</v>
      </c>
      <c r="K48" s="4" t="s">
        <v>34</v>
      </c>
      <c r="L48" s="4" t="s">
        <v>35</v>
      </c>
      <c r="M48" s="152">
        <v>18.611999999999998</v>
      </c>
      <c r="N48" s="4" t="s">
        <v>48</v>
      </c>
      <c r="O48" s="165">
        <v>0.01</v>
      </c>
      <c r="P48" s="166">
        <v>2.4279999999999999E-2</v>
      </c>
      <c r="R48" s="152">
        <v>8240437</v>
      </c>
      <c r="S48" s="152">
        <v>1</v>
      </c>
      <c r="T48" s="152">
        <v>88.06</v>
      </c>
      <c r="U48" s="152">
        <v>7256.5290000000005</v>
      </c>
      <c r="W48" s="4" t="s">
        <v>37</v>
      </c>
      <c r="X48" s="166">
        <v>4.55E-4</v>
      </c>
      <c r="Y48" s="166">
        <v>3.25916750123703E-2</v>
      </c>
      <c r="Z48" s="166">
        <v>3.1006714887774102E-3</v>
      </c>
    </row>
    <row r="49" spans="1:26">
      <c r="A49" s="4" t="s">
        <v>128</v>
      </c>
      <c r="B49" s="4">
        <v>7228</v>
      </c>
      <c r="C49" s="4" t="s">
        <v>41</v>
      </c>
      <c r="D49" s="4" t="s">
        <v>49</v>
      </c>
      <c r="E49" s="4" t="s">
        <v>50</v>
      </c>
      <c r="F49" s="4" t="s">
        <v>44</v>
      </c>
      <c r="G49" s="4" t="s">
        <v>31</v>
      </c>
      <c r="H49" s="4" t="s">
        <v>31</v>
      </c>
      <c r="I49" s="4" t="s">
        <v>32</v>
      </c>
      <c r="J49" s="4" t="s">
        <v>33</v>
      </c>
      <c r="K49" s="4" t="s">
        <v>34</v>
      </c>
      <c r="L49" s="4" t="s">
        <v>35</v>
      </c>
      <c r="M49" s="152">
        <v>1.3240000000000001</v>
      </c>
      <c r="N49" s="4" t="s">
        <v>51</v>
      </c>
      <c r="O49" s="165">
        <v>7.4999999999999997E-3</v>
      </c>
      <c r="P49" s="166">
        <v>1.508E-2</v>
      </c>
      <c r="R49" s="152">
        <v>3645174</v>
      </c>
      <c r="S49" s="152">
        <v>1</v>
      </c>
      <c r="T49" s="152">
        <v>113.49</v>
      </c>
      <c r="U49" s="152">
        <v>4136.9080000000004</v>
      </c>
      <c r="W49" s="4" t="s">
        <v>37</v>
      </c>
      <c r="X49" s="166">
        <v>1.6799999999999999E-4</v>
      </c>
      <c r="Y49" s="166">
        <v>1.8580338272285099E-2</v>
      </c>
      <c r="Z49" s="166">
        <v>1.7676761047368001E-3</v>
      </c>
    </row>
    <row r="50" spans="1:26">
      <c r="A50" s="4" t="s">
        <v>128</v>
      </c>
      <c r="B50" s="4">
        <v>7228</v>
      </c>
      <c r="C50" s="4" t="s">
        <v>55</v>
      </c>
      <c r="D50" s="4" t="s">
        <v>63</v>
      </c>
      <c r="E50" s="4" t="s">
        <v>64</v>
      </c>
      <c r="F50" s="4" t="s">
        <v>58</v>
      </c>
      <c r="G50" s="4" t="s">
        <v>31</v>
      </c>
      <c r="H50" s="4" t="s">
        <v>31</v>
      </c>
      <c r="I50" s="4" t="s">
        <v>32</v>
      </c>
      <c r="J50" s="4" t="s">
        <v>33</v>
      </c>
      <c r="K50" s="4" t="s">
        <v>34</v>
      </c>
      <c r="L50" s="4" t="s">
        <v>35</v>
      </c>
      <c r="M50" s="152">
        <v>2.6840000000000002</v>
      </c>
      <c r="N50" s="4" t="s">
        <v>65</v>
      </c>
      <c r="O50" s="165">
        <v>0.02</v>
      </c>
      <c r="P50" s="166">
        <v>4.487E-2</v>
      </c>
      <c r="R50" s="152">
        <v>4286562</v>
      </c>
      <c r="S50" s="152">
        <v>1</v>
      </c>
      <c r="T50" s="152">
        <v>94.2</v>
      </c>
      <c r="U50" s="152">
        <v>4037.9409999999998</v>
      </c>
      <c r="W50" s="4" t="s">
        <v>37</v>
      </c>
      <c r="X50" s="166">
        <v>1.66E-4</v>
      </c>
      <c r="Y50" s="166">
        <v>1.81358438976424E-2</v>
      </c>
      <c r="Z50" s="166">
        <v>1.72538828019714E-3</v>
      </c>
    </row>
    <row r="51" spans="1:26">
      <c r="A51" s="4" t="s">
        <v>128</v>
      </c>
      <c r="B51" s="4">
        <v>7228</v>
      </c>
      <c r="C51" s="4" t="s">
        <v>41</v>
      </c>
      <c r="D51" s="4" t="s">
        <v>69</v>
      </c>
      <c r="E51" s="4" t="s">
        <v>70</v>
      </c>
      <c r="F51" s="4" t="s">
        <v>44</v>
      </c>
      <c r="G51" s="4" t="s">
        <v>31</v>
      </c>
      <c r="H51" s="4" t="s">
        <v>31</v>
      </c>
      <c r="I51" s="4" t="s">
        <v>32</v>
      </c>
      <c r="J51" s="4" t="s">
        <v>33</v>
      </c>
      <c r="K51" s="4" t="s">
        <v>34</v>
      </c>
      <c r="L51" s="4" t="s">
        <v>35</v>
      </c>
      <c r="M51" s="152">
        <v>13.718</v>
      </c>
      <c r="N51" s="4" t="s">
        <v>71</v>
      </c>
      <c r="O51" s="165">
        <v>2.75E-2</v>
      </c>
      <c r="P51" s="166">
        <v>2.3609999999999999E-2</v>
      </c>
      <c r="R51" s="152">
        <v>1271754</v>
      </c>
      <c r="S51" s="152">
        <v>1</v>
      </c>
      <c r="T51" s="152">
        <v>131.08000000000001</v>
      </c>
      <c r="U51" s="152">
        <v>1667.0150000000001</v>
      </c>
      <c r="W51" s="4" t="s">
        <v>37</v>
      </c>
      <c r="X51" s="166">
        <v>6.7000000000000002E-5</v>
      </c>
      <c r="Y51" s="166">
        <v>7.4871632317726399E-3</v>
      </c>
      <c r="Z51" s="166">
        <v>7.1230562883830195E-4</v>
      </c>
    </row>
    <row r="52" spans="1:26">
      <c r="A52" s="4" t="s">
        <v>128</v>
      </c>
      <c r="B52" s="4">
        <v>7228</v>
      </c>
      <c r="C52" s="4" t="s">
        <v>41</v>
      </c>
      <c r="D52" s="4" t="s">
        <v>72</v>
      </c>
      <c r="E52" s="4" t="s">
        <v>73</v>
      </c>
      <c r="F52" s="4" t="s">
        <v>44</v>
      </c>
      <c r="G52" s="4" t="s">
        <v>31</v>
      </c>
      <c r="H52" s="4" t="s">
        <v>31</v>
      </c>
      <c r="I52" s="4" t="s">
        <v>32</v>
      </c>
      <c r="J52" s="4" t="s">
        <v>33</v>
      </c>
      <c r="K52" s="4" t="s">
        <v>34</v>
      </c>
      <c r="L52" s="4" t="s">
        <v>35</v>
      </c>
      <c r="M52" s="152">
        <v>9.8770000000000007</v>
      </c>
      <c r="N52" s="4" t="s">
        <v>74</v>
      </c>
      <c r="O52" s="165">
        <v>0.04</v>
      </c>
      <c r="P52" s="166">
        <v>2.3189999999999999E-2</v>
      </c>
      <c r="R52" s="152">
        <v>2823111</v>
      </c>
      <c r="S52" s="152">
        <v>1</v>
      </c>
      <c r="T52" s="152">
        <v>159.08000000000001</v>
      </c>
      <c r="U52" s="152">
        <v>4491.0050000000001</v>
      </c>
      <c r="W52" s="4" t="s">
        <v>37</v>
      </c>
      <c r="X52" s="166">
        <v>1.7699999999999999E-4</v>
      </c>
      <c r="Y52" s="166">
        <v>2.01707149980851E-2</v>
      </c>
      <c r="Z52" s="166">
        <v>1.91897964369978E-3</v>
      </c>
    </row>
    <row r="53" spans="1:26">
      <c r="A53" s="4" t="s">
        <v>128</v>
      </c>
      <c r="B53" s="4">
        <v>7228</v>
      </c>
      <c r="C53" s="4" t="s">
        <v>41</v>
      </c>
      <c r="D53" s="4" t="s">
        <v>75</v>
      </c>
      <c r="E53" s="4" t="s">
        <v>76</v>
      </c>
      <c r="F53" s="4" t="s">
        <v>44</v>
      </c>
      <c r="G53" s="4" t="s">
        <v>31</v>
      </c>
      <c r="H53" s="4" t="s">
        <v>31</v>
      </c>
      <c r="I53" s="4" t="s">
        <v>32</v>
      </c>
      <c r="J53" s="4" t="s">
        <v>33</v>
      </c>
      <c r="K53" s="4" t="s">
        <v>34</v>
      </c>
      <c r="L53" s="4" t="s">
        <v>35</v>
      </c>
      <c r="M53" s="152">
        <v>4.8630000000000004</v>
      </c>
      <c r="N53" s="4" t="s">
        <v>77</v>
      </c>
      <c r="O53" s="165">
        <v>5.0000000000000001E-3</v>
      </c>
      <c r="P53" s="166">
        <v>1.9820000000000001E-2</v>
      </c>
      <c r="R53" s="152">
        <v>11451533</v>
      </c>
      <c r="S53" s="152">
        <v>1</v>
      </c>
      <c r="T53" s="152">
        <v>105.85</v>
      </c>
      <c r="U53" s="152">
        <v>12121.448</v>
      </c>
      <c r="W53" s="4" t="s">
        <v>37</v>
      </c>
      <c r="X53" s="166">
        <v>4.7600000000000002E-4</v>
      </c>
      <c r="Y53" s="166">
        <v>5.4441771425712202E-2</v>
      </c>
      <c r="Z53" s="166">
        <v>5.1794223032161401E-3</v>
      </c>
    </row>
    <row r="54" spans="1:26">
      <c r="A54" s="4" t="s">
        <v>128</v>
      </c>
      <c r="B54" s="4">
        <v>7228</v>
      </c>
      <c r="C54" s="4" t="s">
        <v>41</v>
      </c>
      <c r="D54" s="4" t="s">
        <v>78</v>
      </c>
      <c r="E54" s="4" t="s">
        <v>79</v>
      </c>
      <c r="F54" s="4" t="s">
        <v>44</v>
      </c>
      <c r="G54" s="4" t="s">
        <v>31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152">
        <v>2.0760000000000001</v>
      </c>
      <c r="N54" s="4" t="s">
        <v>80</v>
      </c>
      <c r="O54" s="165">
        <v>1E-3</v>
      </c>
      <c r="P54" s="166">
        <v>1.618E-2</v>
      </c>
      <c r="R54" s="152">
        <v>26880802</v>
      </c>
      <c r="S54" s="152">
        <v>1</v>
      </c>
      <c r="T54" s="152">
        <v>110.2</v>
      </c>
      <c r="U54" s="152">
        <v>29622.644</v>
      </c>
      <c r="W54" s="4" t="s">
        <v>37</v>
      </c>
      <c r="X54" s="166">
        <v>1.3309999999999999E-3</v>
      </c>
      <c r="Y54" s="166">
        <v>0.13304592368096901</v>
      </c>
      <c r="Z54" s="166">
        <v>1.2657579032039901E-2</v>
      </c>
    </row>
    <row r="55" spans="1:26">
      <c r="A55" s="4" t="s">
        <v>128</v>
      </c>
      <c r="B55" s="4">
        <v>7228</v>
      </c>
      <c r="C55" s="4" t="s">
        <v>41</v>
      </c>
      <c r="D55" s="4" t="s">
        <v>81</v>
      </c>
      <c r="E55" s="4" t="s">
        <v>82</v>
      </c>
      <c r="F55" s="4" t="s">
        <v>44</v>
      </c>
      <c r="G55" s="4" t="s">
        <v>31</v>
      </c>
      <c r="H55" s="4" t="s">
        <v>31</v>
      </c>
      <c r="I55" s="4" t="s">
        <v>32</v>
      </c>
      <c r="J55" s="4" t="s">
        <v>33</v>
      </c>
      <c r="K55" s="4" t="s">
        <v>34</v>
      </c>
      <c r="L55" s="4" t="s">
        <v>35</v>
      </c>
      <c r="M55" s="152">
        <v>4.2240000000000002</v>
      </c>
      <c r="N55" s="4" t="s">
        <v>83</v>
      </c>
      <c r="O55" s="165">
        <v>1.0999999999999999E-2</v>
      </c>
      <c r="P55" s="166">
        <v>1.9290000000000002E-2</v>
      </c>
      <c r="R55" s="152">
        <v>21621669</v>
      </c>
      <c r="S55" s="152">
        <v>1</v>
      </c>
      <c r="T55" s="152">
        <v>99.98</v>
      </c>
      <c r="U55" s="152">
        <v>21617.345000000001</v>
      </c>
      <c r="W55" s="4" t="s">
        <v>37</v>
      </c>
      <c r="X55" s="166">
        <v>1.3749999999999999E-3</v>
      </c>
      <c r="Y55" s="166">
        <v>9.7091252478149107E-2</v>
      </c>
      <c r="Z55" s="166">
        <v>9.2369624529706606E-3</v>
      </c>
    </row>
    <row r="56" spans="1:26">
      <c r="A56" s="4" t="s">
        <v>128</v>
      </c>
      <c r="B56" s="4">
        <v>7228</v>
      </c>
      <c r="C56" s="4" t="s">
        <v>55</v>
      </c>
      <c r="D56" s="4" t="s">
        <v>87</v>
      </c>
      <c r="E56" s="4" t="s">
        <v>88</v>
      </c>
      <c r="F56" s="4" t="s">
        <v>58</v>
      </c>
      <c r="G56" s="4" t="s">
        <v>31</v>
      </c>
      <c r="H56" s="4" t="s">
        <v>31</v>
      </c>
      <c r="I56" s="4" t="s">
        <v>32</v>
      </c>
      <c r="J56" s="4" t="s">
        <v>33</v>
      </c>
      <c r="K56" s="4" t="s">
        <v>34</v>
      </c>
      <c r="L56" s="4" t="s">
        <v>35</v>
      </c>
      <c r="M56" s="152">
        <v>7.4189999999999996</v>
      </c>
      <c r="N56" s="4" t="s">
        <v>89</v>
      </c>
      <c r="O56" s="165">
        <v>1.2999999999999999E-2</v>
      </c>
      <c r="P56" s="166">
        <v>4.9180000000000001E-2</v>
      </c>
      <c r="R56" s="152">
        <v>11784318</v>
      </c>
      <c r="S56" s="152">
        <v>1</v>
      </c>
      <c r="T56" s="152">
        <v>77.260000000000005</v>
      </c>
      <c r="U56" s="152">
        <v>9104.5640000000003</v>
      </c>
      <c r="W56" s="4" t="s">
        <v>37</v>
      </c>
      <c r="X56" s="166">
        <v>3.9399999999999998E-4</v>
      </c>
      <c r="Y56" s="166">
        <v>4.0891864570079803E-2</v>
      </c>
      <c r="Z56" s="166">
        <v>3.8903259359106099E-3</v>
      </c>
    </row>
    <row r="57" spans="1:26">
      <c r="A57" s="4" t="s">
        <v>128</v>
      </c>
      <c r="B57" s="4">
        <v>7228</v>
      </c>
      <c r="C57" s="4" t="s">
        <v>90</v>
      </c>
      <c r="D57" s="4" t="s">
        <v>91</v>
      </c>
      <c r="E57" s="4" t="s">
        <v>92</v>
      </c>
      <c r="F57" s="4" t="s">
        <v>93</v>
      </c>
      <c r="G57" s="4" t="s">
        <v>94</v>
      </c>
      <c r="H57" s="4" t="s">
        <v>95</v>
      </c>
      <c r="I57" s="4" t="s">
        <v>96</v>
      </c>
      <c r="J57" s="4" t="s">
        <v>97</v>
      </c>
      <c r="K57" s="4" t="s">
        <v>98</v>
      </c>
      <c r="L57" s="4" t="s">
        <v>99</v>
      </c>
      <c r="M57" s="152">
        <v>0.41</v>
      </c>
      <c r="N57" s="4" t="s">
        <v>100</v>
      </c>
      <c r="O57" s="165">
        <v>0</v>
      </c>
      <c r="P57" s="166">
        <v>5.3929999999999999E-2</v>
      </c>
      <c r="R57" s="152">
        <v>4200000</v>
      </c>
      <c r="S57" s="152">
        <v>3.7589999999999999</v>
      </c>
      <c r="T57" s="152">
        <v>98.245999999999995</v>
      </c>
      <c r="U57" s="152">
        <v>15510.882</v>
      </c>
      <c r="W57" s="4" t="s">
        <v>37</v>
      </c>
      <c r="X57" s="166">
        <v>0</v>
      </c>
      <c r="Y57" s="166">
        <v>6.9664937230258406E-2</v>
      </c>
      <c r="Z57" s="166">
        <v>6.6277073686867496E-3</v>
      </c>
    </row>
    <row r="58" spans="1:26">
      <c r="A58" s="4" t="s">
        <v>128</v>
      </c>
      <c r="B58" s="4">
        <v>7228</v>
      </c>
      <c r="C58" s="4" t="s">
        <v>101</v>
      </c>
      <c r="D58" s="4" t="s">
        <v>102</v>
      </c>
      <c r="E58" s="4" t="s">
        <v>103</v>
      </c>
      <c r="F58" s="4" t="s">
        <v>93</v>
      </c>
      <c r="G58" s="4" t="s">
        <v>94</v>
      </c>
      <c r="H58" s="4" t="s">
        <v>95</v>
      </c>
      <c r="I58" s="4" t="s">
        <v>96</v>
      </c>
      <c r="J58" s="4" t="s">
        <v>97</v>
      </c>
      <c r="K58" s="4" t="s">
        <v>104</v>
      </c>
      <c r="L58" s="4" t="s">
        <v>99</v>
      </c>
      <c r="M58" s="152">
        <v>7.52</v>
      </c>
      <c r="N58" s="4" t="s">
        <v>105</v>
      </c>
      <c r="O58" s="165">
        <v>3.875E-2</v>
      </c>
      <c r="P58" s="166">
        <v>4.6050000000000001E-2</v>
      </c>
      <c r="R58" s="152">
        <v>12865000</v>
      </c>
      <c r="S58" s="152">
        <v>3.7589999999999999</v>
      </c>
      <c r="T58" s="152">
        <v>97.685000000000002</v>
      </c>
      <c r="U58" s="152">
        <v>47239.963000000003</v>
      </c>
      <c r="W58" s="4" t="s">
        <v>37</v>
      </c>
      <c r="X58" s="166">
        <v>0</v>
      </c>
      <c r="Y58" s="166">
        <v>0.212171628146618</v>
      </c>
      <c r="Z58" s="166">
        <v>2.01853546303466E-2</v>
      </c>
    </row>
    <row r="59" spans="1:26">
      <c r="A59" s="4" t="s">
        <v>128</v>
      </c>
      <c r="B59" s="4">
        <v>7228</v>
      </c>
      <c r="C59" s="4" t="s">
        <v>101</v>
      </c>
      <c r="D59" s="4" t="s">
        <v>106</v>
      </c>
      <c r="E59" s="4" t="s">
        <v>107</v>
      </c>
      <c r="F59" s="4" t="s">
        <v>93</v>
      </c>
      <c r="G59" s="4" t="s">
        <v>94</v>
      </c>
      <c r="H59" s="4" t="s">
        <v>95</v>
      </c>
      <c r="I59" s="4" t="s">
        <v>96</v>
      </c>
      <c r="J59" s="4" t="s">
        <v>97</v>
      </c>
      <c r="K59" s="4" t="s">
        <v>104</v>
      </c>
      <c r="L59" s="4" t="s">
        <v>99</v>
      </c>
      <c r="M59" s="152">
        <v>7.61</v>
      </c>
      <c r="N59" s="4" t="s">
        <v>108</v>
      </c>
      <c r="O59" s="165">
        <v>4.4999999999999998E-2</v>
      </c>
      <c r="P59" s="166">
        <v>4.5999999999999999E-2</v>
      </c>
      <c r="R59" s="152">
        <v>6991000</v>
      </c>
      <c r="S59" s="152">
        <v>3.7589999999999999</v>
      </c>
      <c r="T59" s="152">
        <v>101.52</v>
      </c>
      <c r="U59" s="152">
        <v>26678.612000000001</v>
      </c>
      <c r="W59" s="4" t="s">
        <v>37</v>
      </c>
      <c r="X59" s="166">
        <v>0</v>
      </c>
      <c r="Y59" s="166">
        <v>0.119823222012825</v>
      </c>
      <c r="Z59" s="166">
        <v>1.1399611957580999E-2</v>
      </c>
    </row>
    <row r="60" spans="1:26">
      <c r="A60" s="4" t="s">
        <v>128</v>
      </c>
      <c r="B60" s="4">
        <v>7228</v>
      </c>
      <c r="C60" s="4" t="s">
        <v>101</v>
      </c>
      <c r="D60" s="4" t="s">
        <v>109</v>
      </c>
      <c r="E60" s="4" t="s">
        <v>110</v>
      </c>
      <c r="F60" s="4" t="s">
        <v>93</v>
      </c>
      <c r="G60" s="4" t="s">
        <v>94</v>
      </c>
      <c r="H60" s="4" t="s">
        <v>95</v>
      </c>
      <c r="I60" s="4" t="s">
        <v>96</v>
      </c>
      <c r="J60" s="4" t="s">
        <v>97</v>
      </c>
      <c r="K60" s="4" t="s">
        <v>104</v>
      </c>
      <c r="L60" s="4" t="s">
        <v>99</v>
      </c>
      <c r="M60" s="152">
        <v>7.55</v>
      </c>
      <c r="N60" s="4" t="s">
        <v>111</v>
      </c>
      <c r="O60" s="165">
        <v>3.3750000000000002E-2</v>
      </c>
      <c r="P60" s="166">
        <v>4.6039999999999998E-2</v>
      </c>
      <c r="R60" s="152">
        <v>11188000</v>
      </c>
      <c r="S60" s="152">
        <v>3.7589999999999999</v>
      </c>
      <c r="T60" s="152">
        <v>93.126000000000005</v>
      </c>
      <c r="U60" s="152">
        <v>39164.910000000003</v>
      </c>
      <c r="W60" s="4" t="s">
        <v>37</v>
      </c>
      <c r="X60" s="166">
        <v>1.03E-4</v>
      </c>
      <c r="Y60" s="166">
        <v>0.17590366504323399</v>
      </c>
      <c r="Z60" s="166">
        <v>1.67349324256575E-2</v>
      </c>
    </row>
    <row r="61" spans="1:26">
      <c r="A61" s="4" t="s">
        <v>128</v>
      </c>
      <c r="B61" s="4">
        <v>7229</v>
      </c>
      <c r="C61" s="4" t="s">
        <v>27</v>
      </c>
      <c r="D61" s="4" t="s">
        <v>129</v>
      </c>
      <c r="E61" s="4" t="s">
        <v>130</v>
      </c>
      <c r="F61" s="4" t="s">
        <v>30</v>
      </c>
      <c r="G61" s="4" t="s">
        <v>31</v>
      </c>
      <c r="H61" s="4" t="s">
        <v>31</v>
      </c>
      <c r="I61" s="4" t="s">
        <v>32</v>
      </c>
      <c r="J61" s="4" t="s">
        <v>33</v>
      </c>
      <c r="K61" s="4" t="s">
        <v>34</v>
      </c>
      <c r="L61" s="4" t="s">
        <v>35</v>
      </c>
      <c r="M61" s="152">
        <v>3.0000000000000001E-3</v>
      </c>
      <c r="N61" s="4" t="s">
        <v>131</v>
      </c>
      <c r="O61" s="165">
        <v>0</v>
      </c>
      <c r="P61" s="166">
        <v>0.11574</v>
      </c>
      <c r="R61" s="152">
        <v>1300000</v>
      </c>
      <c r="S61" s="152">
        <v>1</v>
      </c>
      <c r="T61" s="152">
        <v>99.97</v>
      </c>
      <c r="U61" s="152">
        <v>1299.6099999999999</v>
      </c>
      <c r="W61" s="4" t="s">
        <v>37</v>
      </c>
      <c r="X61" s="166">
        <v>3.0000000000000001E-5</v>
      </c>
      <c r="Y61" s="166">
        <v>4.3103766931820602E-2</v>
      </c>
      <c r="Z61" s="166">
        <v>9.1907282004193604E-3</v>
      </c>
    </row>
    <row r="62" spans="1:26">
      <c r="A62" s="4" t="s">
        <v>128</v>
      </c>
      <c r="B62" s="4">
        <v>7229</v>
      </c>
      <c r="C62" s="4" t="s">
        <v>27</v>
      </c>
      <c r="D62" s="4" t="s">
        <v>132</v>
      </c>
      <c r="E62" s="4" t="s">
        <v>133</v>
      </c>
      <c r="F62" s="4" t="s">
        <v>30</v>
      </c>
      <c r="G62" s="4" t="s">
        <v>31</v>
      </c>
      <c r="H62" s="4" t="s">
        <v>31</v>
      </c>
      <c r="I62" s="4" t="s">
        <v>32</v>
      </c>
      <c r="J62" s="4" t="s">
        <v>33</v>
      </c>
      <c r="K62" s="4" t="s">
        <v>34</v>
      </c>
      <c r="L62" s="4" t="s">
        <v>35</v>
      </c>
      <c r="M62" s="152">
        <v>9.9000000000000005E-2</v>
      </c>
      <c r="N62" s="4" t="s">
        <v>134</v>
      </c>
      <c r="O62" s="165">
        <v>0</v>
      </c>
      <c r="P62" s="166">
        <v>4.36E-2</v>
      </c>
      <c r="R62" s="152">
        <v>1300000</v>
      </c>
      <c r="S62" s="152">
        <v>1</v>
      </c>
      <c r="T62" s="152">
        <v>99.58</v>
      </c>
      <c r="U62" s="152">
        <v>1294.54</v>
      </c>
      <c r="W62" s="4" t="s">
        <v>37</v>
      </c>
      <c r="X62" s="166">
        <v>3.0000000000000001E-5</v>
      </c>
      <c r="Y62" s="166">
        <v>4.2935611794245203E-2</v>
      </c>
      <c r="Z62" s="166">
        <v>9.1548736040588195E-3</v>
      </c>
    </row>
    <row r="63" spans="1:26">
      <c r="A63" s="4" t="s">
        <v>128</v>
      </c>
      <c r="B63" s="4">
        <v>7229</v>
      </c>
      <c r="C63" s="4" t="s">
        <v>41</v>
      </c>
      <c r="D63" s="4" t="s">
        <v>42</v>
      </c>
      <c r="E63" s="4" t="s">
        <v>43</v>
      </c>
      <c r="F63" s="4" t="s">
        <v>44</v>
      </c>
      <c r="G63" s="4" t="s">
        <v>31</v>
      </c>
      <c r="H63" s="4" t="s">
        <v>31</v>
      </c>
      <c r="I63" s="4" t="s">
        <v>32</v>
      </c>
      <c r="J63" s="4" t="s">
        <v>33</v>
      </c>
      <c r="K63" s="4" t="s">
        <v>34</v>
      </c>
      <c r="L63" s="4" t="s">
        <v>35</v>
      </c>
      <c r="M63" s="152">
        <v>2.89</v>
      </c>
      <c r="N63" s="4" t="s">
        <v>45</v>
      </c>
      <c r="O63" s="165">
        <v>7.4999999999999997E-3</v>
      </c>
      <c r="P63" s="166">
        <v>1.7010000000000001E-2</v>
      </c>
      <c r="R63" s="152">
        <v>1629125</v>
      </c>
      <c r="S63" s="152">
        <v>1</v>
      </c>
      <c r="T63" s="152">
        <v>111.66</v>
      </c>
      <c r="U63" s="152">
        <v>1819.0809999999999</v>
      </c>
      <c r="W63" s="4" t="s">
        <v>37</v>
      </c>
      <c r="X63" s="166">
        <v>7.2999999999999999E-5</v>
      </c>
      <c r="Y63" s="166">
        <v>6.03329016985934E-2</v>
      </c>
      <c r="Z63" s="166">
        <v>1.28643814804279E-2</v>
      </c>
    </row>
    <row r="64" spans="1:26">
      <c r="A64" s="4" t="s">
        <v>128</v>
      </c>
      <c r="B64" s="4">
        <v>7229</v>
      </c>
      <c r="C64" s="4" t="s">
        <v>41</v>
      </c>
      <c r="D64" s="4" t="s">
        <v>46</v>
      </c>
      <c r="E64" s="4" t="s">
        <v>47</v>
      </c>
      <c r="F64" s="4" t="s">
        <v>44</v>
      </c>
      <c r="G64" s="4" t="s">
        <v>31</v>
      </c>
      <c r="H64" s="4" t="s">
        <v>31</v>
      </c>
      <c r="I64" s="4" t="s">
        <v>32</v>
      </c>
      <c r="J64" s="4" t="s">
        <v>33</v>
      </c>
      <c r="K64" s="4" t="s">
        <v>34</v>
      </c>
      <c r="L64" s="4" t="s">
        <v>35</v>
      </c>
      <c r="M64" s="152">
        <v>18.611999999999998</v>
      </c>
      <c r="N64" s="4" t="s">
        <v>48</v>
      </c>
      <c r="O64" s="165">
        <v>0.01</v>
      </c>
      <c r="P64" s="166">
        <v>2.4279999999999999E-2</v>
      </c>
      <c r="R64" s="152">
        <v>1266800</v>
      </c>
      <c r="S64" s="152">
        <v>1</v>
      </c>
      <c r="T64" s="152">
        <v>88.06</v>
      </c>
      <c r="U64" s="152">
        <v>1115.5440000000001</v>
      </c>
      <c r="W64" s="4" t="s">
        <v>37</v>
      </c>
      <c r="X64" s="166">
        <v>6.9999999999999994E-5</v>
      </c>
      <c r="Y64" s="166">
        <v>3.6998908923825E-2</v>
      </c>
      <c r="Z64" s="166">
        <v>7.8890301204721999E-3</v>
      </c>
    </row>
    <row r="65" spans="1:26">
      <c r="A65" s="4" t="s">
        <v>128</v>
      </c>
      <c r="B65" s="4">
        <v>7229</v>
      </c>
      <c r="C65" s="4" t="s">
        <v>41</v>
      </c>
      <c r="D65" s="4" t="s">
        <v>49</v>
      </c>
      <c r="E65" s="4" t="s">
        <v>50</v>
      </c>
      <c r="F65" s="4" t="s">
        <v>44</v>
      </c>
      <c r="G65" s="4" t="s">
        <v>31</v>
      </c>
      <c r="H65" s="4" t="s">
        <v>31</v>
      </c>
      <c r="I65" s="4" t="s">
        <v>32</v>
      </c>
      <c r="J65" s="4" t="s">
        <v>33</v>
      </c>
      <c r="K65" s="4" t="s">
        <v>34</v>
      </c>
      <c r="L65" s="4" t="s">
        <v>35</v>
      </c>
      <c r="M65" s="152">
        <v>1.3240000000000001</v>
      </c>
      <c r="N65" s="4" t="s">
        <v>51</v>
      </c>
      <c r="O65" s="165">
        <v>7.4999999999999997E-3</v>
      </c>
      <c r="P65" s="166">
        <v>1.508E-2</v>
      </c>
      <c r="R65" s="152">
        <v>4042176</v>
      </c>
      <c r="S65" s="152">
        <v>1</v>
      </c>
      <c r="T65" s="152">
        <v>113.49</v>
      </c>
      <c r="U65" s="152">
        <v>4587.4660000000003</v>
      </c>
      <c r="W65" s="4" t="s">
        <v>37</v>
      </c>
      <c r="X65" s="166">
        <v>1.8599999999999999E-4</v>
      </c>
      <c r="Y65" s="166">
        <v>0.152151064971313</v>
      </c>
      <c r="Z65" s="166">
        <v>3.2442154899537397E-2</v>
      </c>
    </row>
    <row r="66" spans="1:26">
      <c r="A66" s="4" t="s">
        <v>128</v>
      </c>
      <c r="B66" s="4">
        <v>7229</v>
      </c>
      <c r="C66" s="4" t="s">
        <v>55</v>
      </c>
      <c r="D66" s="4" t="s">
        <v>63</v>
      </c>
      <c r="E66" s="4" t="s">
        <v>64</v>
      </c>
      <c r="F66" s="4" t="s">
        <v>58</v>
      </c>
      <c r="G66" s="4" t="s">
        <v>31</v>
      </c>
      <c r="H66" s="4" t="s">
        <v>31</v>
      </c>
      <c r="I66" s="4" t="s">
        <v>32</v>
      </c>
      <c r="J66" s="4" t="s">
        <v>33</v>
      </c>
      <c r="K66" s="4" t="s">
        <v>34</v>
      </c>
      <c r="L66" s="4" t="s">
        <v>35</v>
      </c>
      <c r="M66" s="152">
        <v>2.6840000000000002</v>
      </c>
      <c r="N66" s="4" t="s">
        <v>65</v>
      </c>
      <c r="O66" s="165">
        <v>0.02</v>
      </c>
      <c r="P66" s="166">
        <v>4.487E-2</v>
      </c>
      <c r="R66" s="152">
        <v>321278</v>
      </c>
      <c r="S66" s="152">
        <v>1</v>
      </c>
      <c r="T66" s="152">
        <v>94.2</v>
      </c>
      <c r="U66" s="152">
        <v>302.64400000000001</v>
      </c>
      <c r="W66" s="4" t="s">
        <v>37</v>
      </c>
      <c r="X66" s="166">
        <v>1.2E-5</v>
      </c>
      <c r="Y66" s="166">
        <v>1.00376967662967E-2</v>
      </c>
      <c r="Z66" s="166">
        <v>2.14027100886991E-3</v>
      </c>
    </row>
    <row r="67" spans="1:26">
      <c r="A67" s="4" t="s">
        <v>128</v>
      </c>
      <c r="B67" s="4">
        <v>7229</v>
      </c>
      <c r="C67" s="4" t="s">
        <v>41</v>
      </c>
      <c r="D67" s="4" t="s">
        <v>69</v>
      </c>
      <c r="E67" s="4" t="s">
        <v>70</v>
      </c>
      <c r="F67" s="4" t="s">
        <v>44</v>
      </c>
      <c r="G67" s="4" t="s">
        <v>31</v>
      </c>
      <c r="H67" s="4" t="s">
        <v>31</v>
      </c>
      <c r="I67" s="4" t="s">
        <v>32</v>
      </c>
      <c r="J67" s="4" t="s">
        <v>33</v>
      </c>
      <c r="K67" s="4" t="s">
        <v>34</v>
      </c>
      <c r="L67" s="4" t="s">
        <v>35</v>
      </c>
      <c r="M67" s="152">
        <v>13.718</v>
      </c>
      <c r="N67" s="4" t="s">
        <v>71</v>
      </c>
      <c r="O67" s="165">
        <v>2.75E-2</v>
      </c>
      <c r="P67" s="166">
        <v>2.3609999999999999E-2</v>
      </c>
      <c r="R67" s="152">
        <v>317439</v>
      </c>
      <c r="S67" s="152">
        <v>1</v>
      </c>
      <c r="T67" s="152">
        <v>131.08000000000001</v>
      </c>
      <c r="U67" s="152">
        <v>416.09899999999999</v>
      </c>
      <c r="W67" s="4" t="s">
        <v>37</v>
      </c>
      <c r="X67" s="166">
        <v>1.7E-5</v>
      </c>
      <c r="Y67" s="166">
        <v>1.38006294907232E-2</v>
      </c>
      <c r="Z67" s="166">
        <v>2.9426160095138501E-3</v>
      </c>
    </row>
    <row r="68" spans="1:26">
      <c r="A68" s="4" t="s">
        <v>128</v>
      </c>
      <c r="B68" s="4">
        <v>7229</v>
      </c>
      <c r="C68" s="4" t="s">
        <v>41</v>
      </c>
      <c r="D68" s="4" t="s">
        <v>72</v>
      </c>
      <c r="E68" s="4" t="s">
        <v>73</v>
      </c>
      <c r="F68" s="4" t="s">
        <v>44</v>
      </c>
      <c r="G68" s="4" t="s">
        <v>31</v>
      </c>
      <c r="H68" s="4" t="s">
        <v>31</v>
      </c>
      <c r="I68" s="4" t="s">
        <v>32</v>
      </c>
      <c r="J68" s="4" t="s">
        <v>33</v>
      </c>
      <c r="K68" s="4" t="s">
        <v>34</v>
      </c>
      <c r="L68" s="4" t="s">
        <v>35</v>
      </c>
      <c r="M68" s="152">
        <v>9.8770000000000007</v>
      </c>
      <c r="N68" s="4" t="s">
        <v>74</v>
      </c>
      <c r="O68" s="165">
        <v>0.04</v>
      </c>
      <c r="P68" s="166">
        <v>2.3189999999999999E-2</v>
      </c>
      <c r="R68" s="152">
        <v>853528</v>
      </c>
      <c r="S68" s="152">
        <v>1</v>
      </c>
      <c r="T68" s="152">
        <v>159.08000000000001</v>
      </c>
      <c r="U68" s="152">
        <v>1357.7919999999999</v>
      </c>
      <c r="W68" s="4" t="s">
        <v>37</v>
      </c>
      <c r="X68" s="166">
        <v>5.3999999999999998E-5</v>
      </c>
      <c r="Y68" s="166">
        <v>4.50334828668758E-2</v>
      </c>
      <c r="Z68" s="166">
        <v>9.6021886347512995E-3</v>
      </c>
    </row>
    <row r="69" spans="1:26">
      <c r="A69" s="4" t="s">
        <v>128</v>
      </c>
      <c r="B69" s="4">
        <v>7229</v>
      </c>
      <c r="C69" s="4" t="s">
        <v>41</v>
      </c>
      <c r="D69" s="4" t="s">
        <v>75</v>
      </c>
      <c r="E69" s="4" t="s">
        <v>76</v>
      </c>
      <c r="F69" s="4" t="s">
        <v>44</v>
      </c>
      <c r="G69" s="4" t="s">
        <v>31</v>
      </c>
      <c r="H69" s="4" t="s">
        <v>31</v>
      </c>
      <c r="I69" s="4" t="s">
        <v>32</v>
      </c>
      <c r="J69" s="4" t="s">
        <v>33</v>
      </c>
      <c r="K69" s="4" t="s">
        <v>34</v>
      </c>
      <c r="L69" s="4" t="s">
        <v>35</v>
      </c>
      <c r="M69" s="152">
        <v>4.8630000000000004</v>
      </c>
      <c r="N69" s="4" t="s">
        <v>77</v>
      </c>
      <c r="O69" s="165">
        <v>5.0000000000000001E-3</v>
      </c>
      <c r="P69" s="166">
        <v>1.9820000000000001E-2</v>
      </c>
      <c r="R69" s="152">
        <v>5560395</v>
      </c>
      <c r="S69" s="152">
        <v>1</v>
      </c>
      <c r="T69" s="152">
        <v>105.85</v>
      </c>
      <c r="U69" s="152">
        <v>5885.6779999999999</v>
      </c>
      <c r="W69" s="4" t="s">
        <v>37</v>
      </c>
      <c r="X69" s="166">
        <v>2.31E-4</v>
      </c>
      <c r="Y69" s="166">
        <v>0.19520848360769699</v>
      </c>
      <c r="Z69" s="166">
        <v>4.1623000562623497E-2</v>
      </c>
    </row>
    <row r="70" spans="1:26">
      <c r="A70" s="4" t="s">
        <v>128</v>
      </c>
      <c r="B70" s="4">
        <v>7229</v>
      </c>
      <c r="C70" s="4" t="s">
        <v>41</v>
      </c>
      <c r="D70" s="4" t="s">
        <v>81</v>
      </c>
      <c r="E70" s="4" t="s">
        <v>82</v>
      </c>
      <c r="F70" s="4" t="s">
        <v>44</v>
      </c>
      <c r="G70" s="4" t="s">
        <v>31</v>
      </c>
      <c r="H70" s="4" t="s">
        <v>31</v>
      </c>
      <c r="I70" s="4" t="s">
        <v>32</v>
      </c>
      <c r="J70" s="4" t="s">
        <v>33</v>
      </c>
      <c r="K70" s="4" t="s">
        <v>34</v>
      </c>
      <c r="L70" s="4" t="s">
        <v>35</v>
      </c>
      <c r="M70" s="152">
        <v>4.2240000000000002</v>
      </c>
      <c r="N70" s="4" t="s">
        <v>83</v>
      </c>
      <c r="O70" s="165">
        <v>1.0999999999999999E-2</v>
      </c>
      <c r="P70" s="166">
        <v>1.9290000000000002E-2</v>
      </c>
      <c r="R70" s="152">
        <v>1400000</v>
      </c>
      <c r="S70" s="152">
        <v>1</v>
      </c>
      <c r="T70" s="152">
        <v>99.98</v>
      </c>
      <c r="U70" s="152">
        <v>1399.72</v>
      </c>
      <c r="W70" s="4" t="s">
        <v>37</v>
      </c>
      <c r="X70" s="166">
        <v>8.8999999999999995E-5</v>
      </c>
      <c r="Y70" s="166">
        <v>4.6424084648323698E-2</v>
      </c>
      <c r="Z70" s="166">
        <v>9.8986973605089106E-3</v>
      </c>
    </row>
    <row r="71" spans="1:26">
      <c r="A71" s="4" t="s">
        <v>128</v>
      </c>
      <c r="B71" s="4">
        <v>7229</v>
      </c>
      <c r="C71" s="4" t="s">
        <v>55</v>
      </c>
      <c r="D71" s="4" t="s">
        <v>87</v>
      </c>
      <c r="E71" s="4" t="s">
        <v>88</v>
      </c>
      <c r="F71" s="4" t="s">
        <v>58</v>
      </c>
      <c r="G71" s="4" t="s">
        <v>31</v>
      </c>
      <c r="H71" s="4" t="s">
        <v>31</v>
      </c>
      <c r="I71" s="4" t="s">
        <v>32</v>
      </c>
      <c r="J71" s="4" t="s">
        <v>33</v>
      </c>
      <c r="K71" s="4" t="s">
        <v>34</v>
      </c>
      <c r="L71" s="4" t="s">
        <v>35</v>
      </c>
      <c r="M71" s="152">
        <v>7.4189999999999996</v>
      </c>
      <c r="N71" s="4" t="s">
        <v>89</v>
      </c>
      <c r="O71" s="165">
        <v>1.2999999999999999E-2</v>
      </c>
      <c r="P71" s="166">
        <v>4.9180000000000001E-2</v>
      </c>
      <c r="R71" s="152">
        <v>4044912</v>
      </c>
      <c r="S71" s="152">
        <v>1</v>
      </c>
      <c r="T71" s="152">
        <v>77.260000000000005</v>
      </c>
      <c r="U71" s="152">
        <v>3125.0990000000002</v>
      </c>
      <c r="W71" s="4" t="s">
        <v>37</v>
      </c>
      <c r="X71" s="166">
        <v>1.35E-4</v>
      </c>
      <c r="Y71" s="166">
        <v>0.103649202004931</v>
      </c>
      <c r="Z71" s="166">
        <v>2.21004267521322E-2</v>
      </c>
    </row>
    <row r="72" spans="1:26">
      <c r="A72" s="4" t="s">
        <v>128</v>
      </c>
      <c r="B72" s="4">
        <v>7229</v>
      </c>
      <c r="C72" s="4" t="s">
        <v>90</v>
      </c>
      <c r="D72" s="4" t="s">
        <v>91</v>
      </c>
      <c r="E72" s="4" t="s">
        <v>92</v>
      </c>
      <c r="F72" s="4" t="s">
        <v>93</v>
      </c>
      <c r="G72" s="4" t="s">
        <v>94</v>
      </c>
      <c r="H72" s="4" t="s">
        <v>95</v>
      </c>
      <c r="I72" s="4" t="s">
        <v>96</v>
      </c>
      <c r="J72" s="4" t="s">
        <v>97</v>
      </c>
      <c r="K72" s="4" t="s">
        <v>98</v>
      </c>
      <c r="L72" s="4" t="s">
        <v>99</v>
      </c>
      <c r="M72" s="152">
        <v>0.41</v>
      </c>
      <c r="N72" s="4" t="s">
        <v>100</v>
      </c>
      <c r="O72" s="165">
        <v>0</v>
      </c>
      <c r="P72" s="166">
        <v>5.3929999999999999E-2</v>
      </c>
      <c r="R72" s="152">
        <v>110000</v>
      </c>
      <c r="S72" s="152">
        <v>3.7589999999999999</v>
      </c>
      <c r="T72" s="152">
        <v>98.245999999999995</v>
      </c>
      <c r="U72" s="152">
        <v>406.23700000000002</v>
      </c>
      <c r="W72" s="4" t="s">
        <v>37</v>
      </c>
      <c r="X72" s="166">
        <v>0</v>
      </c>
      <c r="Y72" s="166">
        <v>1.34735509724254E-2</v>
      </c>
      <c r="Z72" s="166">
        <v>2.8728752426192502E-3</v>
      </c>
    </row>
    <row r="73" spans="1:26">
      <c r="A73" s="4" t="s">
        <v>128</v>
      </c>
      <c r="B73" s="4">
        <v>7229</v>
      </c>
      <c r="C73" s="4" t="s">
        <v>101</v>
      </c>
      <c r="D73" s="4" t="s">
        <v>102</v>
      </c>
      <c r="E73" s="4" t="s">
        <v>103</v>
      </c>
      <c r="F73" s="4" t="s">
        <v>93</v>
      </c>
      <c r="G73" s="4" t="s">
        <v>94</v>
      </c>
      <c r="H73" s="4" t="s">
        <v>95</v>
      </c>
      <c r="I73" s="4" t="s">
        <v>96</v>
      </c>
      <c r="J73" s="4" t="s">
        <v>97</v>
      </c>
      <c r="K73" s="4" t="s">
        <v>104</v>
      </c>
      <c r="L73" s="4" t="s">
        <v>99</v>
      </c>
      <c r="M73" s="152">
        <v>7.52</v>
      </c>
      <c r="N73" s="4" t="s">
        <v>105</v>
      </c>
      <c r="O73" s="165">
        <v>3.875E-2</v>
      </c>
      <c r="P73" s="166">
        <v>4.6050000000000001E-2</v>
      </c>
      <c r="R73" s="152">
        <v>560000</v>
      </c>
      <c r="S73" s="152">
        <v>3.7589999999999999</v>
      </c>
      <c r="T73" s="152">
        <v>97.685000000000002</v>
      </c>
      <c r="U73" s="152">
        <v>2056.306</v>
      </c>
      <c r="W73" s="4" t="s">
        <v>37</v>
      </c>
      <c r="X73" s="166">
        <v>0</v>
      </c>
      <c r="Y73" s="166">
        <v>6.8200878727083594E-2</v>
      </c>
      <c r="Z73" s="166">
        <v>1.45420176478277E-2</v>
      </c>
    </row>
    <row r="74" spans="1:26">
      <c r="A74" s="4" t="s">
        <v>128</v>
      </c>
      <c r="B74" s="4">
        <v>7229</v>
      </c>
      <c r="C74" s="4" t="s">
        <v>101</v>
      </c>
      <c r="D74" s="4" t="s">
        <v>106</v>
      </c>
      <c r="E74" s="4" t="s">
        <v>107</v>
      </c>
      <c r="F74" s="4" t="s">
        <v>93</v>
      </c>
      <c r="G74" s="4" t="s">
        <v>94</v>
      </c>
      <c r="H74" s="4" t="s">
        <v>95</v>
      </c>
      <c r="I74" s="4" t="s">
        <v>96</v>
      </c>
      <c r="J74" s="4" t="s">
        <v>97</v>
      </c>
      <c r="K74" s="4" t="s">
        <v>104</v>
      </c>
      <c r="L74" s="4" t="s">
        <v>99</v>
      </c>
      <c r="M74" s="152">
        <v>7.61</v>
      </c>
      <c r="N74" s="4" t="s">
        <v>108</v>
      </c>
      <c r="O74" s="165">
        <v>4.4999999999999998E-2</v>
      </c>
      <c r="P74" s="166">
        <v>4.5999999999999999E-2</v>
      </c>
      <c r="R74" s="152">
        <v>195000</v>
      </c>
      <c r="S74" s="152">
        <v>3.7589999999999999</v>
      </c>
      <c r="T74" s="152">
        <v>101.52</v>
      </c>
      <c r="U74" s="152">
        <v>744.14700000000005</v>
      </c>
      <c r="W74" s="4" t="s">
        <v>37</v>
      </c>
      <c r="X74" s="166">
        <v>0</v>
      </c>
      <c r="Y74" s="166">
        <v>2.4680884946555501E-2</v>
      </c>
      <c r="Z74" s="166">
        <v>5.2625401777160298E-3</v>
      </c>
    </row>
    <row r="75" spans="1:26">
      <c r="A75" s="4" t="s">
        <v>128</v>
      </c>
      <c r="B75" s="4">
        <v>7229</v>
      </c>
      <c r="C75" s="4" t="s">
        <v>101</v>
      </c>
      <c r="D75" s="4" t="s">
        <v>109</v>
      </c>
      <c r="E75" s="4" t="s">
        <v>110</v>
      </c>
      <c r="F75" s="4" t="s">
        <v>93</v>
      </c>
      <c r="G75" s="4" t="s">
        <v>94</v>
      </c>
      <c r="H75" s="4" t="s">
        <v>95</v>
      </c>
      <c r="I75" s="4" t="s">
        <v>96</v>
      </c>
      <c r="J75" s="4" t="s">
        <v>97</v>
      </c>
      <c r="K75" s="4" t="s">
        <v>104</v>
      </c>
      <c r="L75" s="4" t="s">
        <v>99</v>
      </c>
      <c r="M75" s="152">
        <v>7.55</v>
      </c>
      <c r="N75" s="4" t="s">
        <v>111</v>
      </c>
      <c r="O75" s="165">
        <v>3.3750000000000002E-2</v>
      </c>
      <c r="P75" s="166">
        <v>4.6039999999999998E-2</v>
      </c>
      <c r="R75" s="152">
        <v>1240000</v>
      </c>
      <c r="S75" s="152">
        <v>3.7589999999999999</v>
      </c>
      <c r="T75" s="152">
        <v>93.126000000000005</v>
      </c>
      <c r="U75" s="152">
        <v>4340.7659999999996</v>
      </c>
      <c r="W75" s="4" t="s">
        <v>37</v>
      </c>
      <c r="X75" s="166">
        <v>1.1E-5</v>
      </c>
      <c r="Y75" s="166">
        <v>0.14396885164929199</v>
      </c>
      <c r="Z75" s="166">
        <v>3.0697516227017298E-2</v>
      </c>
    </row>
    <row r="76" spans="1:26">
      <c r="A76" s="4" t="s">
        <v>128</v>
      </c>
      <c r="B76" s="4">
        <v>9817</v>
      </c>
      <c r="C76" s="4" t="s">
        <v>41</v>
      </c>
      <c r="D76" s="4" t="s">
        <v>42</v>
      </c>
      <c r="E76" s="4" t="s">
        <v>43</v>
      </c>
      <c r="F76" s="4" t="s">
        <v>44</v>
      </c>
      <c r="G76" s="4" t="s">
        <v>31</v>
      </c>
      <c r="H76" s="4" t="s">
        <v>31</v>
      </c>
      <c r="I76" s="4" t="s">
        <v>32</v>
      </c>
      <c r="J76" s="4" t="s">
        <v>33</v>
      </c>
      <c r="K76" s="4" t="s">
        <v>34</v>
      </c>
      <c r="L76" s="4" t="s">
        <v>35</v>
      </c>
      <c r="M76" s="152">
        <v>2.89</v>
      </c>
      <c r="N76" s="4" t="s">
        <v>45</v>
      </c>
      <c r="O76" s="165">
        <v>7.4999999999999997E-3</v>
      </c>
      <c r="P76" s="166">
        <v>1.7010000000000001E-2</v>
      </c>
      <c r="R76" s="152">
        <v>46564</v>
      </c>
      <c r="S76" s="152">
        <v>1</v>
      </c>
      <c r="T76" s="152">
        <v>111.66</v>
      </c>
      <c r="U76" s="152">
        <v>51.993000000000002</v>
      </c>
      <c r="W76" s="4" t="s">
        <v>37</v>
      </c>
      <c r="X76" s="166">
        <v>1.9999999999999999E-6</v>
      </c>
      <c r="Y76" s="166">
        <v>0.15478466004060701</v>
      </c>
      <c r="Z76" s="166">
        <v>3.5258841938491797E-2</v>
      </c>
    </row>
    <row r="77" spans="1:26">
      <c r="A77" s="4" t="s">
        <v>128</v>
      </c>
      <c r="B77" s="4">
        <v>9817</v>
      </c>
      <c r="C77" s="4" t="s">
        <v>41</v>
      </c>
      <c r="D77" s="4" t="s">
        <v>46</v>
      </c>
      <c r="E77" s="4" t="s">
        <v>47</v>
      </c>
      <c r="F77" s="4" t="s">
        <v>44</v>
      </c>
      <c r="G77" s="4" t="s">
        <v>31</v>
      </c>
      <c r="H77" s="4" t="s">
        <v>31</v>
      </c>
      <c r="I77" s="4" t="s">
        <v>32</v>
      </c>
      <c r="J77" s="4" t="s">
        <v>33</v>
      </c>
      <c r="K77" s="4" t="s">
        <v>34</v>
      </c>
      <c r="L77" s="4" t="s">
        <v>35</v>
      </c>
      <c r="M77" s="152">
        <v>18.611999999999998</v>
      </c>
      <c r="N77" s="4" t="s">
        <v>48</v>
      </c>
      <c r="O77" s="165">
        <v>0.01</v>
      </c>
      <c r="P77" s="166">
        <v>2.4279999999999999E-2</v>
      </c>
      <c r="R77" s="152">
        <v>8018</v>
      </c>
      <c r="S77" s="152">
        <v>1</v>
      </c>
      <c r="T77" s="152">
        <v>88.06</v>
      </c>
      <c r="U77" s="152">
        <v>7.0609999999999999</v>
      </c>
      <c r="W77" s="4" t="s">
        <v>37</v>
      </c>
      <c r="X77" s="166">
        <v>0</v>
      </c>
      <c r="Y77" s="166">
        <v>2.10196144910882E-2</v>
      </c>
      <c r="Z77" s="166">
        <v>4.7881183106573896E-3</v>
      </c>
    </row>
    <row r="78" spans="1:26">
      <c r="A78" s="4" t="s">
        <v>128</v>
      </c>
      <c r="B78" s="4">
        <v>9817</v>
      </c>
      <c r="C78" s="4" t="s">
        <v>55</v>
      </c>
      <c r="D78" s="4" t="s">
        <v>60</v>
      </c>
      <c r="E78" s="4" t="s">
        <v>61</v>
      </c>
      <c r="F78" s="4" t="s">
        <v>58</v>
      </c>
      <c r="G78" s="4" t="s">
        <v>31</v>
      </c>
      <c r="H78" s="4" t="s">
        <v>31</v>
      </c>
      <c r="I78" s="4" t="s">
        <v>32</v>
      </c>
      <c r="J78" s="4" t="s">
        <v>33</v>
      </c>
      <c r="K78" s="4" t="s">
        <v>34</v>
      </c>
      <c r="L78" s="4" t="s">
        <v>35</v>
      </c>
      <c r="M78" s="152">
        <v>4.306</v>
      </c>
      <c r="N78" s="4" t="s">
        <v>62</v>
      </c>
      <c r="O78" s="165">
        <v>3.7499999999999999E-2</v>
      </c>
      <c r="P78" s="166">
        <v>4.6649999999999997E-2</v>
      </c>
      <c r="R78" s="152">
        <v>34455</v>
      </c>
      <c r="S78" s="152">
        <v>1</v>
      </c>
      <c r="T78" s="152">
        <v>97.49</v>
      </c>
      <c r="U78" s="152">
        <v>33.590000000000003</v>
      </c>
      <c r="W78" s="4" t="s">
        <v>37</v>
      </c>
      <c r="X78" s="166">
        <v>9.9999999999999995E-7</v>
      </c>
      <c r="Y78" s="166">
        <v>9.9998235825010995E-2</v>
      </c>
      <c r="Z78" s="166">
        <v>2.2778885130846398E-2</v>
      </c>
    </row>
    <row r="79" spans="1:26">
      <c r="A79" s="4" t="s">
        <v>128</v>
      </c>
      <c r="B79" s="4">
        <v>9817</v>
      </c>
      <c r="C79" s="4" t="s">
        <v>55</v>
      </c>
      <c r="D79" s="4" t="s">
        <v>63</v>
      </c>
      <c r="E79" s="4" t="s">
        <v>64</v>
      </c>
      <c r="F79" s="4" t="s">
        <v>58</v>
      </c>
      <c r="G79" s="4" t="s">
        <v>31</v>
      </c>
      <c r="H79" s="4" t="s">
        <v>31</v>
      </c>
      <c r="I79" s="4" t="s">
        <v>32</v>
      </c>
      <c r="J79" s="4" t="s">
        <v>33</v>
      </c>
      <c r="K79" s="4" t="s">
        <v>34</v>
      </c>
      <c r="L79" s="4" t="s">
        <v>35</v>
      </c>
      <c r="M79" s="152">
        <v>2.6840000000000002</v>
      </c>
      <c r="N79" s="4" t="s">
        <v>65</v>
      </c>
      <c r="O79" s="165">
        <v>0.02</v>
      </c>
      <c r="P79" s="166">
        <v>4.487E-2</v>
      </c>
      <c r="R79" s="152">
        <v>23827</v>
      </c>
      <c r="S79" s="152">
        <v>1</v>
      </c>
      <c r="T79" s="152">
        <v>94.2</v>
      </c>
      <c r="U79" s="152">
        <v>22.445</v>
      </c>
      <c r="W79" s="4" t="s">
        <v>37</v>
      </c>
      <c r="X79" s="166">
        <v>9.9999999999999995E-7</v>
      </c>
      <c r="Y79" s="166">
        <v>6.6819047603850698E-2</v>
      </c>
      <c r="Z79" s="166">
        <v>1.5220902622563899E-2</v>
      </c>
    </row>
    <row r="80" spans="1:26">
      <c r="A80" s="4" t="s">
        <v>128</v>
      </c>
      <c r="B80" s="4">
        <v>9817</v>
      </c>
      <c r="C80" s="4" t="s">
        <v>41</v>
      </c>
      <c r="D80" s="4" t="s">
        <v>72</v>
      </c>
      <c r="E80" s="4" t="s">
        <v>73</v>
      </c>
      <c r="F80" s="4" t="s">
        <v>44</v>
      </c>
      <c r="G80" s="4" t="s">
        <v>31</v>
      </c>
      <c r="H80" s="4" t="s">
        <v>31</v>
      </c>
      <c r="I80" s="4" t="s">
        <v>32</v>
      </c>
      <c r="J80" s="4" t="s">
        <v>33</v>
      </c>
      <c r="K80" s="4" t="s">
        <v>34</v>
      </c>
      <c r="L80" s="4" t="s">
        <v>35</v>
      </c>
      <c r="M80" s="152">
        <v>9.8770000000000007</v>
      </c>
      <c r="N80" s="4" t="s">
        <v>74</v>
      </c>
      <c r="O80" s="165">
        <v>0.04</v>
      </c>
      <c r="P80" s="166">
        <v>2.3189999999999999E-2</v>
      </c>
      <c r="R80" s="152">
        <v>6685</v>
      </c>
      <c r="S80" s="152">
        <v>1</v>
      </c>
      <c r="T80" s="152">
        <v>159.08000000000001</v>
      </c>
      <c r="U80" s="152">
        <v>10.634</v>
      </c>
      <c r="W80" s="4" t="s">
        <v>37</v>
      </c>
      <c r="X80" s="166">
        <v>0</v>
      </c>
      <c r="Y80" s="166">
        <v>3.1658986486946497E-2</v>
      </c>
      <c r="Z80" s="166">
        <v>7.2116913923075503E-3</v>
      </c>
    </row>
    <row r="81" spans="1:26">
      <c r="A81" s="4" t="s">
        <v>128</v>
      </c>
      <c r="B81" s="4">
        <v>9817</v>
      </c>
      <c r="C81" s="4" t="s">
        <v>55</v>
      </c>
      <c r="D81" s="4" t="s">
        <v>135</v>
      </c>
      <c r="E81" s="4" t="s">
        <v>136</v>
      </c>
      <c r="F81" s="4" t="s">
        <v>58</v>
      </c>
      <c r="G81" s="4" t="s">
        <v>31</v>
      </c>
      <c r="H81" s="4" t="s">
        <v>31</v>
      </c>
      <c r="I81" s="4" t="s">
        <v>32</v>
      </c>
      <c r="J81" s="4" t="s">
        <v>33</v>
      </c>
      <c r="K81" s="4" t="s">
        <v>34</v>
      </c>
      <c r="L81" s="4" t="s">
        <v>35</v>
      </c>
      <c r="M81" s="152">
        <v>2.16</v>
      </c>
      <c r="N81" s="4" t="s">
        <v>137</v>
      </c>
      <c r="O81" s="165">
        <v>6.25E-2</v>
      </c>
      <c r="P81" s="166">
        <v>4.4080000000000001E-2</v>
      </c>
      <c r="R81" s="152">
        <v>50083</v>
      </c>
      <c r="S81" s="152">
        <v>1</v>
      </c>
      <c r="T81" s="152">
        <v>108.16</v>
      </c>
      <c r="U81" s="152">
        <v>54.17</v>
      </c>
      <c r="W81" s="4" t="s">
        <v>37</v>
      </c>
      <c r="X81" s="166">
        <v>3.0000000000000001E-6</v>
      </c>
      <c r="Y81" s="166">
        <v>0.16126385138971</v>
      </c>
      <c r="Z81" s="166">
        <v>3.6734755531010098E-2</v>
      </c>
    </row>
    <row r="82" spans="1:26">
      <c r="A82" s="4" t="s">
        <v>128</v>
      </c>
      <c r="B82" s="4">
        <v>9817</v>
      </c>
      <c r="C82" s="4" t="s">
        <v>55</v>
      </c>
      <c r="D82" s="4" t="s">
        <v>138</v>
      </c>
      <c r="E82" s="4" t="s">
        <v>139</v>
      </c>
      <c r="F82" s="4" t="s">
        <v>58</v>
      </c>
      <c r="G82" s="4" t="s">
        <v>31</v>
      </c>
      <c r="H82" s="4" t="s">
        <v>31</v>
      </c>
      <c r="I82" s="4" t="s">
        <v>32</v>
      </c>
      <c r="J82" s="4" t="s">
        <v>33</v>
      </c>
      <c r="K82" s="4" t="s">
        <v>34</v>
      </c>
      <c r="L82" s="4" t="s">
        <v>35</v>
      </c>
      <c r="M82" s="152">
        <v>11.5</v>
      </c>
      <c r="N82" s="4" t="s">
        <v>140</v>
      </c>
      <c r="O82" s="165">
        <v>5.5E-2</v>
      </c>
      <c r="P82" s="166">
        <v>5.3670000000000002E-2</v>
      </c>
      <c r="R82" s="152">
        <v>14496</v>
      </c>
      <c r="S82" s="152">
        <v>1</v>
      </c>
      <c r="T82" s="152">
        <v>104.09</v>
      </c>
      <c r="U82" s="152">
        <v>15.089</v>
      </c>
      <c r="W82" s="4" t="s">
        <v>37</v>
      </c>
      <c r="X82" s="166">
        <v>9.9999999999999995E-7</v>
      </c>
      <c r="Y82" s="166">
        <v>4.4919736751153801E-2</v>
      </c>
      <c r="Z82" s="166">
        <v>1.02323957529905E-2</v>
      </c>
    </row>
    <row r="83" spans="1:26">
      <c r="A83" s="4" t="s">
        <v>128</v>
      </c>
      <c r="B83" s="4">
        <v>9817</v>
      </c>
      <c r="C83" s="4" t="s">
        <v>123</v>
      </c>
      <c r="D83" s="4" t="s">
        <v>124</v>
      </c>
      <c r="E83" s="4" t="s">
        <v>125</v>
      </c>
      <c r="F83" s="4" t="s">
        <v>126</v>
      </c>
      <c r="G83" s="4" t="s">
        <v>31</v>
      </c>
      <c r="H83" s="4" t="s">
        <v>31</v>
      </c>
      <c r="I83" s="4" t="s">
        <v>32</v>
      </c>
      <c r="J83" s="4" t="s">
        <v>33</v>
      </c>
      <c r="K83" s="4" t="s">
        <v>34</v>
      </c>
      <c r="L83" s="4" t="s">
        <v>35</v>
      </c>
      <c r="M83" s="152">
        <v>1.839</v>
      </c>
      <c r="N83" s="4" t="s">
        <v>127</v>
      </c>
      <c r="O83" s="165">
        <v>4.3200000000000002E-2</v>
      </c>
      <c r="P83" s="166">
        <v>4.6899999999999997E-2</v>
      </c>
      <c r="R83" s="152">
        <v>16029</v>
      </c>
      <c r="S83" s="152">
        <v>1</v>
      </c>
      <c r="T83" s="152">
        <v>99.64</v>
      </c>
      <c r="U83" s="152">
        <v>15.971</v>
      </c>
      <c r="W83" s="4" t="s">
        <v>37</v>
      </c>
      <c r="X83" s="166">
        <v>9.9999999999999995E-7</v>
      </c>
      <c r="Y83" s="166">
        <v>4.7546676070598599E-2</v>
      </c>
      <c r="Z83" s="166">
        <v>1.08307937998126E-2</v>
      </c>
    </row>
    <row r="84" spans="1:26">
      <c r="A84" s="4" t="s">
        <v>128</v>
      </c>
      <c r="B84" s="4">
        <v>9817</v>
      </c>
      <c r="C84" s="4" t="s">
        <v>41</v>
      </c>
      <c r="D84" s="4" t="s">
        <v>75</v>
      </c>
      <c r="E84" s="4" t="s">
        <v>76</v>
      </c>
      <c r="F84" s="4" t="s">
        <v>44</v>
      </c>
      <c r="G84" s="4" t="s">
        <v>31</v>
      </c>
      <c r="H84" s="4" t="s">
        <v>31</v>
      </c>
      <c r="I84" s="4" t="s">
        <v>32</v>
      </c>
      <c r="J84" s="4" t="s">
        <v>33</v>
      </c>
      <c r="K84" s="4" t="s">
        <v>34</v>
      </c>
      <c r="L84" s="4" t="s">
        <v>35</v>
      </c>
      <c r="M84" s="152">
        <v>4.8630000000000004</v>
      </c>
      <c r="N84" s="4" t="s">
        <v>77</v>
      </c>
      <c r="O84" s="165">
        <v>5.0000000000000001E-3</v>
      </c>
      <c r="P84" s="166">
        <v>1.9820000000000001E-2</v>
      </c>
      <c r="R84" s="152">
        <v>97754</v>
      </c>
      <c r="S84" s="152">
        <v>1</v>
      </c>
      <c r="T84" s="152">
        <v>105.85</v>
      </c>
      <c r="U84" s="152">
        <v>103.473</v>
      </c>
      <c r="W84" s="4" t="s">
        <v>37</v>
      </c>
      <c r="X84" s="166">
        <v>3.9999999999999998E-6</v>
      </c>
      <c r="Y84" s="166">
        <v>0.30803879318987099</v>
      </c>
      <c r="Z84" s="166">
        <v>7.0169040763833401E-2</v>
      </c>
    </row>
    <row r="85" spans="1:26">
      <c r="A85" s="4" t="s">
        <v>128</v>
      </c>
      <c r="B85" s="4">
        <v>9817</v>
      </c>
      <c r="C85" s="4" t="s">
        <v>41</v>
      </c>
      <c r="D85" s="4" t="s">
        <v>78</v>
      </c>
      <c r="E85" s="4" t="s">
        <v>79</v>
      </c>
      <c r="F85" s="4" t="s">
        <v>44</v>
      </c>
      <c r="G85" s="4" t="s">
        <v>31</v>
      </c>
      <c r="H85" s="4" t="s">
        <v>31</v>
      </c>
      <c r="I85" s="4" t="s">
        <v>32</v>
      </c>
      <c r="J85" s="4" t="s">
        <v>33</v>
      </c>
      <c r="K85" s="4" t="s">
        <v>34</v>
      </c>
      <c r="L85" s="4" t="s">
        <v>35</v>
      </c>
      <c r="M85" s="152">
        <v>2.0760000000000001</v>
      </c>
      <c r="N85" s="4" t="s">
        <v>80</v>
      </c>
      <c r="O85" s="165">
        <v>1E-3</v>
      </c>
      <c r="P85" s="166">
        <v>1.618E-2</v>
      </c>
      <c r="R85" s="152">
        <v>4610</v>
      </c>
      <c r="S85" s="152">
        <v>1</v>
      </c>
      <c r="T85" s="152">
        <v>110.2</v>
      </c>
      <c r="U85" s="152">
        <v>5.08</v>
      </c>
      <c r="W85" s="4" t="s">
        <v>37</v>
      </c>
      <c r="X85" s="166">
        <v>0</v>
      </c>
      <c r="Y85" s="166">
        <v>1.5123855994962399E-2</v>
      </c>
      <c r="Z85" s="166">
        <v>3.4451065621554202E-3</v>
      </c>
    </row>
    <row r="86" spans="1:26">
      <c r="A86" s="4" t="s">
        <v>128</v>
      </c>
      <c r="B86" s="4">
        <v>9817</v>
      </c>
      <c r="C86" s="4" t="s">
        <v>55</v>
      </c>
      <c r="D86" s="4" t="s">
        <v>141</v>
      </c>
      <c r="E86" s="4" t="s">
        <v>142</v>
      </c>
      <c r="F86" s="4" t="s">
        <v>58</v>
      </c>
      <c r="G86" s="4" t="s">
        <v>31</v>
      </c>
      <c r="H86" s="4" t="s">
        <v>31</v>
      </c>
      <c r="I86" s="4" t="s">
        <v>32</v>
      </c>
      <c r="J86" s="4" t="s">
        <v>33</v>
      </c>
      <c r="K86" s="4" t="s">
        <v>34</v>
      </c>
      <c r="L86" s="4" t="s">
        <v>35</v>
      </c>
      <c r="M86" s="152">
        <v>0.82699999999999996</v>
      </c>
      <c r="N86" s="4" t="s">
        <v>143</v>
      </c>
      <c r="O86" s="165">
        <v>5.0000000000000001E-3</v>
      </c>
      <c r="P86" s="166">
        <v>3.8719999999999997E-2</v>
      </c>
      <c r="R86" s="152">
        <v>16865</v>
      </c>
      <c r="S86" s="152">
        <v>1</v>
      </c>
      <c r="T86" s="152">
        <v>97.25</v>
      </c>
      <c r="U86" s="152">
        <v>16.401</v>
      </c>
      <c r="W86" s="4" t="s">
        <v>37</v>
      </c>
      <c r="X86" s="166">
        <v>9.9999999999999995E-7</v>
      </c>
      <c r="Y86" s="166">
        <v>4.8826542156201302E-2</v>
      </c>
      <c r="Z86" s="166">
        <v>1.11223381686335E-2</v>
      </c>
    </row>
    <row r="87" spans="1:26">
      <c r="A87" s="4" t="s">
        <v>144</v>
      </c>
      <c r="B87" s="4">
        <v>969</v>
      </c>
      <c r="C87" s="4" t="s">
        <v>41</v>
      </c>
      <c r="D87" s="4" t="s">
        <v>46</v>
      </c>
      <c r="E87" s="4" t="s">
        <v>47</v>
      </c>
      <c r="F87" s="4" t="s">
        <v>44</v>
      </c>
      <c r="G87" s="4" t="s">
        <v>31</v>
      </c>
      <c r="H87" s="4" t="s">
        <v>31</v>
      </c>
      <c r="I87" s="4" t="s">
        <v>32</v>
      </c>
      <c r="J87" s="4" t="s">
        <v>33</v>
      </c>
      <c r="K87" s="4" t="s">
        <v>34</v>
      </c>
      <c r="L87" s="4" t="s">
        <v>35</v>
      </c>
      <c r="M87" s="152">
        <v>18.611999999999998</v>
      </c>
      <c r="N87" s="4" t="s">
        <v>48</v>
      </c>
      <c r="O87" s="165">
        <v>0.01</v>
      </c>
      <c r="P87" s="166">
        <v>2.4279999999999999E-2</v>
      </c>
      <c r="R87" s="152">
        <v>600330</v>
      </c>
      <c r="S87" s="152">
        <v>1</v>
      </c>
      <c r="T87" s="152">
        <v>88.06</v>
      </c>
      <c r="U87" s="152">
        <v>528.65099999999995</v>
      </c>
      <c r="W87" s="4" t="s">
        <v>37</v>
      </c>
      <c r="X87" s="166">
        <v>3.3000000000000003E-5</v>
      </c>
      <c r="Y87" s="166">
        <v>3.47264519905452E-2</v>
      </c>
      <c r="Z87" s="166">
        <v>7.1676178243395301E-3</v>
      </c>
    </row>
    <row r="88" spans="1:26">
      <c r="A88" s="4" t="s">
        <v>144</v>
      </c>
      <c r="B88" s="4">
        <v>969</v>
      </c>
      <c r="C88" s="4" t="s">
        <v>41</v>
      </c>
      <c r="D88" s="4" t="s">
        <v>49</v>
      </c>
      <c r="E88" s="4" t="s">
        <v>50</v>
      </c>
      <c r="F88" s="4" t="s">
        <v>44</v>
      </c>
      <c r="G88" s="4" t="s">
        <v>31</v>
      </c>
      <c r="H88" s="4" t="s">
        <v>31</v>
      </c>
      <c r="I88" s="4" t="s">
        <v>32</v>
      </c>
      <c r="J88" s="4" t="s">
        <v>33</v>
      </c>
      <c r="K88" s="4" t="s">
        <v>34</v>
      </c>
      <c r="L88" s="4" t="s">
        <v>35</v>
      </c>
      <c r="M88" s="152">
        <v>1.3240000000000001</v>
      </c>
      <c r="N88" s="4" t="s">
        <v>51</v>
      </c>
      <c r="O88" s="165">
        <v>7.4999999999999997E-3</v>
      </c>
      <c r="P88" s="166">
        <v>1.508E-2</v>
      </c>
      <c r="R88" s="152">
        <v>124684</v>
      </c>
      <c r="S88" s="152">
        <v>1</v>
      </c>
      <c r="T88" s="152">
        <v>113.49</v>
      </c>
      <c r="U88" s="152">
        <v>141.50399999999999</v>
      </c>
      <c r="W88" s="4" t="s">
        <v>37</v>
      </c>
      <c r="X88" s="166">
        <v>6.0000000000000002E-6</v>
      </c>
      <c r="Y88" s="166">
        <v>9.2952271730782597E-3</v>
      </c>
      <c r="Z88" s="166">
        <v>1.9185558025098699E-3</v>
      </c>
    </row>
    <row r="89" spans="1:26">
      <c r="A89" s="4" t="s">
        <v>144</v>
      </c>
      <c r="B89" s="4">
        <v>969</v>
      </c>
      <c r="C89" s="4" t="s">
        <v>55</v>
      </c>
      <c r="D89" s="4" t="s">
        <v>60</v>
      </c>
      <c r="E89" s="4" t="s">
        <v>61</v>
      </c>
      <c r="F89" s="4" t="s">
        <v>58</v>
      </c>
      <c r="G89" s="4" t="s">
        <v>31</v>
      </c>
      <c r="H89" s="4" t="s">
        <v>31</v>
      </c>
      <c r="I89" s="4" t="s">
        <v>32</v>
      </c>
      <c r="J89" s="4" t="s">
        <v>33</v>
      </c>
      <c r="K89" s="4" t="s">
        <v>34</v>
      </c>
      <c r="L89" s="4" t="s">
        <v>35</v>
      </c>
      <c r="M89" s="152">
        <v>4.306</v>
      </c>
      <c r="N89" s="4" t="s">
        <v>62</v>
      </c>
      <c r="O89" s="165">
        <v>3.7499999999999999E-2</v>
      </c>
      <c r="P89" s="166">
        <v>4.6649999999999997E-2</v>
      </c>
      <c r="R89" s="152">
        <v>1705284</v>
      </c>
      <c r="S89" s="152">
        <v>1</v>
      </c>
      <c r="T89" s="152">
        <v>97.49</v>
      </c>
      <c r="U89" s="152">
        <v>1662.481</v>
      </c>
      <c r="W89" s="4" t="s">
        <v>37</v>
      </c>
      <c r="X89" s="166">
        <v>6.6000000000000005E-5</v>
      </c>
      <c r="Y89" s="166">
        <v>0.109206496227293</v>
      </c>
      <c r="Z89" s="166">
        <v>2.25404665327033E-2</v>
      </c>
    </row>
    <row r="90" spans="1:26">
      <c r="A90" s="4" t="s">
        <v>144</v>
      </c>
      <c r="B90" s="4">
        <v>969</v>
      </c>
      <c r="C90" s="4" t="s">
        <v>55</v>
      </c>
      <c r="D90" s="4" t="s">
        <v>63</v>
      </c>
      <c r="E90" s="4" t="s">
        <v>64</v>
      </c>
      <c r="F90" s="4" t="s">
        <v>58</v>
      </c>
      <c r="G90" s="4" t="s">
        <v>31</v>
      </c>
      <c r="H90" s="4" t="s">
        <v>31</v>
      </c>
      <c r="I90" s="4" t="s">
        <v>32</v>
      </c>
      <c r="J90" s="4" t="s">
        <v>33</v>
      </c>
      <c r="K90" s="4" t="s">
        <v>34</v>
      </c>
      <c r="L90" s="4" t="s">
        <v>35</v>
      </c>
      <c r="M90" s="152">
        <v>2.6840000000000002</v>
      </c>
      <c r="N90" s="4" t="s">
        <v>65</v>
      </c>
      <c r="O90" s="165">
        <v>0.02</v>
      </c>
      <c r="P90" s="166">
        <v>4.487E-2</v>
      </c>
      <c r="R90" s="152">
        <v>146623</v>
      </c>
      <c r="S90" s="152">
        <v>1</v>
      </c>
      <c r="T90" s="152">
        <v>94.2</v>
      </c>
      <c r="U90" s="152">
        <v>138.119</v>
      </c>
      <c r="W90" s="4" t="s">
        <v>37</v>
      </c>
      <c r="X90" s="166">
        <v>6.0000000000000002E-6</v>
      </c>
      <c r="Y90" s="166">
        <v>9.0728700341648795E-3</v>
      </c>
      <c r="Z90" s="166">
        <v>1.87266078874115E-3</v>
      </c>
    </row>
    <row r="91" spans="1:26">
      <c r="A91" s="4" t="s">
        <v>144</v>
      </c>
      <c r="B91" s="4">
        <v>969</v>
      </c>
      <c r="C91" s="4" t="s">
        <v>41</v>
      </c>
      <c r="D91" s="4" t="s">
        <v>69</v>
      </c>
      <c r="E91" s="4" t="s">
        <v>70</v>
      </c>
      <c r="F91" s="4" t="s">
        <v>44</v>
      </c>
      <c r="G91" s="4" t="s">
        <v>31</v>
      </c>
      <c r="H91" s="4" t="s">
        <v>31</v>
      </c>
      <c r="I91" s="4" t="s">
        <v>32</v>
      </c>
      <c r="J91" s="4" t="s">
        <v>33</v>
      </c>
      <c r="K91" s="4" t="s">
        <v>34</v>
      </c>
      <c r="L91" s="4" t="s">
        <v>35</v>
      </c>
      <c r="M91" s="152">
        <v>13.718</v>
      </c>
      <c r="N91" s="4" t="s">
        <v>71</v>
      </c>
      <c r="O91" s="165">
        <v>2.75E-2</v>
      </c>
      <c r="P91" s="166">
        <v>2.3609999999999999E-2</v>
      </c>
      <c r="R91" s="152">
        <v>506322</v>
      </c>
      <c r="S91" s="152">
        <v>1</v>
      </c>
      <c r="T91" s="152">
        <v>131.08000000000001</v>
      </c>
      <c r="U91" s="152">
        <v>663.68700000000001</v>
      </c>
      <c r="W91" s="4" t="s">
        <v>37</v>
      </c>
      <c r="X91" s="166">
        <v>2.6999999999999999E-5</v>
      </c>
      <c r="Y91" s="166">
        <v>4.3596830456495997E-2</v>
      </c>
      <c r="Z91" s="166">
        <v>8.9984838978012602E-3</v>
      </c>
    </row>
    <row r="92" spans="1:26">
      <c r="A92" s="4" t="s">
        <v>144</v>
      </c>
      <c r="B92" s="4">
        <v>969</v>
      </c>
      <c r="C92" s="4" t="s">
        <v>41</v>
      </c>
      <c r="D92" s="4" t="s">
        <v>75</v>
      </c>
      <c r="E92" s="4" t="s">
        <v>76</v>
      </c>
      <c r="F92" s="4" t="s">
        <v>44</v>
      </c>
      <c r="G92" s="4" t="s">
        <v>31</v>
      </c>
      <c r="H92" s="4" t="s">
        <v>31</v>
      </c>
      <c r="I92" s="4" t="s">
        <v>32</v>
      </c>
      <c r="J92" s="4" t="s">
        <v>33</v>
      </c>
      <c r="K92" s="4" t="s">
        <v>34</v>
      </c>
      <c r="L92" s="4" t="s">
        <v>35</v>
      </c>
      <c r="M92" s="152">
        <v>4.8630000000000004</v>
      </c>
      <c r="N92" s="4" t="s">
        <v>77</v>
      </c>
      <c r="O92" s="165">
        <v>5.0000000000000001E-3</v>
      </c>
      <c r="P92" s="166">
        <v>1.9820000000000001E-2</v>
      </c>
      <c r="R92" s="152">
        <v>2249360</v>
      </c>
      <c r="S92" s="152">
        <v>1</v>
      </c>
      <c r="T92" s="152">
        <v>105.85</v>
      </c>
      <c r="U92" s="152">
        <v>2380.9479999999999</v>
      </c>
      <c r="W92" s="4" t="s">
        <v>37</v>
      </c>
      <c r="X92" s="166">
        <v>9.2999999999999997E-5</v>
      </c>
      <c r="Y92" s="166">
        <v>0.15640171683745199</v>
      </c>
      <c r="Z92" s="166">
        <v>3.2281666254492199E-2</v>
      </c>
    </row>
    <row r="93" spans="1:26">
      <c r="A93" s="4" t="s">
        <v>144</v>
      </c>
      <c r="B93" s="4">
        <v>969</v>
      </c>
      <c r="C93" s="4" t="s">
        <v>41</v>
      </c>
      <c r="D93" s="4" t="s">
        <v>78</v>
      </c>
      <c r="E93" s="4" t="s">
        <v>79</v>
      </c>
      <c r="F93" s="4" t="s">
        <v>44</v>
      </c>
      <c r="G93" s="4" t="s">
        <v>31</v>
      </c>
      <c r="H93" s="4" t="s">
        <v>31</v>
      </c>
      <c r="I93" s="4" t="s">
        <v>32</v>
      </c>
      <c r="J93" s="4" t="s">
        <v>33</v>
      </c>
      <c r="K93" s="4" t="s">
        <v>34</v>
      </c>
      <c r="L93" s="4" t="s">
        <v>35</v>
      </c>
      <c r="M93" s="152">
        <v>2.0760000000000001</v>
      </c>
      <c r="N93" s="4" t="s">
        <v>80</v>
      </c>
      <c r="O93" s="165">
        <v>1E-3</v>
      </c>
      <c r="P93" s="166">
        <v>1.618E-2</v>
      </c>
      <c r="R93" s="152">
        <v>3177286</v>
      </c>
      <c r="S93" s="152">
        <v>1</v>
      </c>
      <c r="T93" s="152">
        <v>110.2</v>
      </c>
      <c r="U93" s="152">
        <v>3501.3690000000001</v>
      </c>
      <c r="W93" s="4" t="s">
        <v>37</v>
      </c>
      <c r="X93" s="166">
        <v>1.5699999999999999E-4</v>
      </c>
      <c r="Y93" s="166">
        <v>0.23000092861454199</v>
      </c>
      <c r="Z93" s="166">
        <v>4.7472709161335599E-2</v>
      </c>
    </row>
    <row r="94" spans="1:26">
      <c r="A94" s="4" t="s">
        <v>144</v>
      </c>
      <c r="B94" s="4">
        <v>969</v>
      </c>
      <c r="C94" s="4" t="s">
        <v>41</v>
      </c>
      <c r="D94" s="4" t="s">
        <v>81</v>
      </c>
      <c r="E94" s="4" t="s">
        <v>82</v>
      </c>
      <c r="F94" s="4" t="s">
        <v>44</v>
      </c>
      <c r="G94" s="4" t="s">
        <v>31</v>
      </c>
      <c r="H94" s="4" t="s">
        <v>31</v>
      </c>
      <c r="I94" s="4" t="s">
        <v>32</v>
      </c>
      <c r="J94" s="4" t="s">
        <v>33</v>
      </c>
      <c r="K94" s="4" t="s">
        <v>34</v>
      </c>
      <c r="L94" s="4" t="s">
        <v>35</v>
      </c>
      <c r="M94" s="152">
        <v>4.2240000000000002</v>
      </c>
      <c r="N94" s="4" t="s">
        <v>83</v>
      </c>
      <c r="O94" s="165">
        <v>1.0999999999999999E-2</v>
      </c>
      <c r="P94" s="166">
        <v>1.9290000000000002E-2</v>
      </c>
      <c r="R94" s="152">
        <v>700000</v>
      </c>
      <c r="S94" s="152">
        <v>1</v>
      </c>
      <c r="T94" s="152">
        <v>99.98</v>
      </c>
      <c r="U94" s="152">
        <v>699.86</v>
      </c>
      <c r="W94" s="4" t="s">
        <v>37</v>
      </c>
      <c r="X94" s="166">
        <v>4.5000000000000003E-5</v>
      </c>
      <c r="Y94" s="166">
        <v>4.5973001415394101E-2</v>
      </c>
      <c r="Z94" s="166">
        <v>9.4889309300322799E-3</v>
      </c>
    </row>
    <row r="95" spans="1:26">
      <c r="A95" s="4" t="s">
        <v>144</v>
      </c>
      <c r="B95" s="4">
        <v>969</v>
      </c>
      <c r="C95" s="4" t="s">
        <v>101</v>
      </c>
      <c r="D95" s="4" t="s">
        <v>102</v>
      </c>
      <c r="E95" s="4" t="s">
        <v>103</v>
      </c>
      <c r="F95" s="4" t="s">
        <v>93</v>
      </c>
      <c r="G95" s="4" t="s">
        <v>94</v>
      </c>
      <c r="H95" s="4" t="s">
        <v>95</v>
      </c>
      <c r="I95" s="4" t="s">
        <v>96</v>
      </c>
      <c r="J95" s="4" t="s">
        <v>97</v>
      </c>
      <c r="K95" s="4" t="s">
        <v>104</v>
      </c>
      <c r="L95" s="4" t="s">
        <v>99</v>
      </c>
      <c r="M95" s="152">
        <v>7.52</v>
      </c>
      <c r="N95" s="4" t="s">
        <v>105</v>
      </c>
      <c r="O95" s="165">
        <v>3.875E-2</v>
      </c>
      <c r="P95" s="166">
        <v>4.6050000000000001E-2</v>
      </c>
      <c r="R95" s="152">
        <v>470000</v>
      </c>
      <c r="S95" s="152">
        <v>3.7589999999999999</v>
      </c>
      <c r="T95" s="152">
        <v>97.685000000000002</v>
      </c>
      <c r="U95" s="152">
        <v>1725.828</v>
      </c>
      <c r="W95" s="4" t="s">
        <v>37</v>
      </c>
      <c r="X95" s="166">
        <v>0</v>
      </c>
      <c r="Y95" s="166">
        <v>0.11336769215048099</v>
      </c>
      <c r="Z95" s="166">
        <v>2.3399346733817199E-2</v>
      </c>
    </row>
    <row r="96" spans="1:26">
      <c r="A96" s="4" t="s">
        <v>144</v>
      </c>
      <c r="B96" s="4">
        <v>969</v>
      </c>
      <c r="C96" s="4" t="s">
        <v>101</v>
      </c>
      <c r="D96" s="4" t="s">
        <v>106</v>
      </c>
      <c r="E96" s="4" t="s">
        <v>107</v>
      </c>
      <c r="F96" s="4" t="s">
        <v>93</v>
      </c>
      <c r="G96" s="4" t="s">
        <v>94</v>
      </c>
      <c r="H96" s="4" t="s">
        <v>95</v>
      </c>
      <c r="I96" s="4" t="s">
        <v>96</v>
      </c>
      <c r="J96" s="4" t="s">
        <v>97</v>
      </c>
      <c r="K96" s="4" t="s">
        <v>104</v>
      </c>
      <c r="L96" s="4" t="s">
        <v>99</v>
      </c>
      <c r="M96" s="152">
        <v>7.61</v>
      </c>
      <c r="N96" s="4" t="s">
        <v>108</v>
      </c>
      <c r="O96" s="165">
        <v>4.4999999999999998E-2</v>
      </c>
      <c r="P96" s="166">
        <v>4.5999999999999999E-2</v>
      </c>
      <c r="R96" s="152">
        <v>289000</v>
      </c>
      <c r="S96" s="152">
        <v>3.7589999999999999</v>
      </c>
      <c r="T96" s="152">
        <v>101.52</v>
      </c>
      <c r="U96" s="152">
        <v>1102.864</v>
      </c>
      <c r="W96" s="4" t="s">
        <v>37</v>
      </c>
      <c r="X96" s="166">
        <v>0</v>
      </c>
      <c r="Y96" s="166">
        <v>7.2445841832275301E-2</v>
      </c>
      <c r="Z96" s="166">
        <v>1.4952984755185399E-2</v>
      </c>
    </row>
    <row r="97" spans="1:26">
      <c r="A97" s="4" t="s">
        <v>144</v>
      </c>
      <c r="B97" s="4">
        <v>969</v>
      </c>
      <c r="C97" s="4" t="s">
        <v>101</v>
      </c>
      <c r="D97" s="4" t="s">
        <v>109</v>
      </c>
      <c r="E97" s="4" t="s">
        <v>110</v>
      </c>
      <c r="F97" s="4" t="s">
        <v>93</v>
      </c>
      <c r="G97" s="4" t="s">
        <v>94</v>
      </c>
      <c r="H97" s="4" t="s">
        <v>95</v>
      </c>
      <c r="I97" s="4" t="s">
        <v>96</v>
      </c>
      <c r="J97" s="4" t="s">
        <v>97</v>
      </c>
      <c r="K97" s="4" t="s">
        <v>104</v>
      </c>
      <c r="L97" s="4" t="s">
        <v>99</v>
      </c>
      <c r="M97" s="152">
        <v>7.55</v>
      </c>
      <c r="N97" s="4" t="s">
        <v>111</v>
      </c>
      <c r="O97" s="165">
        <v>3.3750000000000002E-2</v>
      </c>
      <c r="P97" s="166">
        <v>4.6039999999999998E-2</v>
      </c>
      <c r="R97" s="152">
        <v>765000</v>
      </c>
      <c r="S97" s="152">
        <v>3.7589999999999999</v>
      </c>
      <c r="T97" s="152">
        <v>93.126000000000005</v>
      </c>
      <c r="U97" s="152">
        <v>2677.9720000000002</v>
      </c>
      <c r="W97" s="4" t="s">
        <v>37</v>
      </c>
      <c r="X97" s="166">
        <v>6.9999999999999999E-6</v>
      </c>
      <c r="Y97" s="166">
        <v>0.175912943268278</v>
      </c>
      <c r="Z97" s="166">
        <v>3.6308827289497803E-2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625" defaultRowHeight="14.25"/>
  <cols>
    <col min="1" max="21" width="11.625" style="4" customWidth="1"/>
    <col min="22" max="22" width="11.625" style="146" customWidth="1"/>
    <col min="23" max="32" width="11.625" style="4" customWidth="1"/>
    <col min="33" max="16384" width="11.625" style="4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185</v>
      </c>
      <c r="N1" s="19" t="s">
        <v>150</v>
      </c>
      <c r="O1" s="19" t="s">
        <v>9</v>
      </c>
      <c r="P1" s="19" t="s">
        <v>10</v>
      </c>
      <c r="Q1" s="19" t="s">
        <v>222</v>
      </c>
      <c r="R1" s="19" t="s">
        <v>11</v>
      </c>
      <c r="S1" s="19" t="s">
        <v>12</v>
      </c>
      <c r="T1" s="19" t="s">
        <v>953</v>
      </c>
      <c r="U1" s="19" t="s">
        <v>13</v>
      </c>
      <c r="V1" s="143" t="s">
        <v>14</v>
      </c>
      <c r="W1" s="19" t="s">
        <v>15</v>
      </c>
      <c r="X1" s="19" t="s">
        <v>456</v>
      </c>
      <c r="Y1" s="19" t="s">
        <v>874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201</v>
      </c>
      <c r="AG1" s="19" t="s">
        <v>22</v>
      </c>
      <c r="AH1" s="19" t="s">
        <v>23</v>
      </c>
      <c r="AI1" s="19" t="s">
        <v>24</v>
      </c>
      <c r="AJ1" s="19" t="s">
        <v>25</v>
      </c>
    </row>
    <row r="2" spans="1:36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P2" s="18"/>
      <c r="Q2" s="18"/>
      <c r="R2" s="18"/>
      <c r="S2" s="18"/>
      <c r="T2" s="20"/>
      <c r="U2" s="18"/>
      <c r="V2" s="147"/>
      <c r="X2" s="18"/>
      <c r="Y2" s="18"/>
      <c r="Z2" s="18"/>
      <c r="AA2" s="18"/>
      <c r="AB2" s="18"/>
      <c r="AC2" s="18"/>
      <c r="AD2" s="18"/>
      <c r="AE2" s="18"/>
      <c r="AG2" s="18"/>
    </row>
    <row r="3" spans="1:36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P3" s="18"/>
      <c r="Q3" s="18"/>
      <c r="R3" s="18"/>
      <c r="S3" s="18"/>
      <c r="T3" s="20"/>
      <c r="U3" s="18"/>
      <c r="V3" s="147"/>
      <c r="W3" s="18"/>
      <c r="X3" s="18"/>
      <c r="Y3" s="18"/>
      <c r="Z3" s="18"/>
      <c r="AA3" s="18"/>
      <c r="AB3" s="18"/>
      <c r="AC3" s="18"/>
      <c r="AD3" s="18"/>
      <c r="AE3" s="18"/>
      <c r="AG3" s="18"/>
    </row>
    <row r="4" spans="1:3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P4" s="18"/>
      <c r="Q4" s="18"/>
      <c r="R4" s="18"/>
      <c r="S4" s="18"/>
      <c r="T4" s="20"/>
      <c r="U4" s="18"/>
      <c r="V4" s="147"/>
      <c r="W4" s="18"/>
      <c r="X4" s="18"/>
      <c r="Y4" s="18"/>
      <c r="Z4" s="18"/>
      <c r="AA4" s="18"/>
      <c r="AB4" s="18"/>
      <c r="AC4" s="18"/>
      <c r="AD4" s="18"/>
      <c r="AE4" s="18"/>
      <c r="AG4" s="18"/>
    </row>
    <row r="5" spans="1:36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P5" s="18"/>
      <c r="Q5" s="18"/>
      <c r="R5" s="18"/>
      <c r="S5" s="18"/>
      <c r="T5" s="20"/>
      <c r="U5" s="18"/>
      <c r="V5" s="147"/>
      <c r="W5" s="18"/>
      <c r="X5" s="18"/>
      <c r="Y5" s="18"/>
      <c r="Z5" s="18"/>
      <c r="AA5" s="18"/>
      <c r="AB5" s="18"/>
      <c r="AC5" s="18"/>
      <c r="AD5" s="18"/>
      <c r="AE5" s="18"/>
      <c r="AG5" s="18"/>
    </row>
    <row r="6" spans="1:36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P6" s="18"/>
      <c r="Q6" s="18"/>
      <c r="R6" s="18"/>
      <c r="S6" s="18"/>
      <c r="T6" s="20"/>
      <c r="U6" s="18"/>
      <c r="V6" s="147"/>
      <c r="W6" s="18"/>
      <c r="X6" s="18"/>
      <c r="Y6" s="18"/>
      <c r="Z6" s="18"/>
      <c r="AA6" s="18"/>
      <c r="AB6" s="18"/>
      <c r="AC6" s="18"/>
      <c r="AD6" s="18"/>
      <c r="AE6" s="18"/>
      <c r="AG6" s="18"/>
    </row>
    <row r="7" spans="1:36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P7" s="18"/>
      <c r="Q7" s="18"/>
      <c r="R7" s="18"/>
      <c r="S7" s="18"/>
      <c r="T7" s="20"/>
      <c r="U7" s="18"/>
      <c r="V7" s="147"/>
      <c r="W7" s="18"/>
      <c r="X7" s="18"/>
      <c r="Y7" s="18"/>
      <c r="Z7" s="18"/>
      <c r="AA7" s="18"/>
      <c r="AB7" s="18"/>
      <c r="AC7" s="18"/>
      <c r="AD7" s="18"/>
      <c r="AE7" s="18"/>
    </row>
    <row r="8" spans="1:36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P8" s="18"/>
      <c r="Q8" s="18"/>
      <c r="R8" s="18"/>
      <c r="S8" s="18"/>
      <c r="T8" s="20"/>
      <c r="U8" s="18"/>
      <c r="V8" s="147"/>
      <c r="W8" s="18"/>
      <c r="X8" s="18"/>
      <c r="Y8" s="18"/>
      <c r="Z8" s="18"/>
    </row>
    <row r="9" spans="1:36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P9" s="18"/>
      <c r="Q9" s="18"/>
      <c r="R9" s="18"/>
      <c r="S9" s="18"/>
      <c r="T9" s="20"/>
      <c r="U9" s="18"/>
      <c r="V9" s="147"/>
      <c r="W9" s="18"/>
      <c r="X9" s="18"/>
      <c r="Y9" s="18"/>
      <c r="Z9" s="18"/>
      <c r="AB9" s="20"/>
      <c r="AC9" s="20"/>
      <c r="AD9" s="27"/>
      <c r="AG9" s="18"/>
    </row>
    <row r="10" spans="1:36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P10" s="18"/>
      <c r="Q10" s="18"/>
      <c r="R10" s="18"/>
      <c r="S10" s="18"/>
      <c r="T10" s="20"/>
      <c r="U10" s="18"/>
      <c r="V10" s="147"/>
      <c r="W10" s="18"/>
      <c r="X10" s="18"/>
      <c r="Y10" s="18"/>
      <c r="Z10" s="18"/>
      <c r="AA10" s="18"/>
      <c r="AB10" s="18"/>
      <c r="AC10" s="18"/>
      <c r="AD10" s="18"/>
      <c r="AE10" s="18"/>
      <c r="AG10" s="18"/>
    </row>
    <row r="11" spans="1:36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P11" s="18"/>
      <c r="Q11" s="18"/>
      <c r="R11" s="18"/>
      <c r="S11" s="18"/>
      <c r="T11" s="20"/>
      <c r="U11" s="18"/>
      <c r="V11" s="147"/>
      <c r="W11" s="18"/>
      <c r="X11" s="18"/>
      <c r="Y11" s="18"/>
      <c r="Z11" s="18"/>
      <c r="AA11" s="18"/>
      <c r="AB11" s="18"/>
      <c r="AC11" s="18"/>
      <c r="AD11" s="18"/>
      <c r="AE11" s="18"/>
      <c r="AG11" s="18"/>
    </row>
    <row r="12" spans="1:36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P12" s="18"/>
      <c r="Q12" s="18"/>
      <c r="R12" s="18"/>
      <c r="S12" s="18"/>
      <c r="T12" s="20"/>
      <c r="U12" s="18"/>
      <c r="V12" s="147"/>
      <c r="W12" s="18"/>
      <c r="X12" s="18"/>
      <c r="Y12" s="18"/>
      <c r="Z12" s="18"/>
      <c r="AA12" s="18"/>
      <c r="AB12" s="18"/>
      <c r="AC12" s="18"/>
      <c r="AD12" s="18"/>
      <c r="AE12" s="18"/>
      <c r="AG12" s="18"/>
    </row>
    <row r="13" spans="1:36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P13" s="18"/>
      <c r="Q13" s="18"/>
      <c r="R13" s="18"/>
      <c r="S13" s="18"/>
      <c r="T13" s="20"/>
      <c r="U13" s="18"/>
      <c r="V13" s="147"/>
      <c r="W13" s="18"/>
      <c r="X13" s="18"/>
      <c r="Y13" s="18"/>
      <c r="Z13" s="18"/>
      <c r="AA13" s="18"/>
      <c r="AB13" s="18"/>
      <c r="AC13" s="18"/>
      <c r="AD13" s="18"/>
      <c r="AE13" s="18"/>
      <c r="AG13" s="18"/>
    </row>
    <row r="14" spans="1:36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P14" s="18"/>
      <c r="Q14" s="18"/>
      <c r="R14" s="18"/>
      <c r="S14" s="18"/>
      <c r="T14" s="20"/>
      <c r="U14" s="18"/>
      <c r="V14" s="147"/>
      <c r="W14" s="18"/>
      <c r="X14" s="18"/>
      <c r="Y14" s="18"/>
      <c r="Z14" s="18"/>
      <c r="AA14" s="18"/>
      <c r="AB14" s="18"/>
      <c r="AC14" s="18"/>
      <c r="AD14" s="18"/>
      <c r="AE14" s="18"/>
      <c r="AG14" s="18"/>
    </row>
    <row r="15" spans="1:36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P15" s="18"/>
      <c r="Q15" s="18"/>
      <c r="R15" s="18"/>
      <c r="S15" s="18"/>
      <c r="T15" s="20"/>
      <c r="U15" s="18"/>
      <c r="V15" s="147"/>
      <c r="W15" s="18"/>
      <c r="X15" s="18"/>
      <c r="Y15" s="18"/>
      <c r="Z15" s="18"/>
      <c r="AA15" s="18"/>
      <c r="AB15" s="18"/>
      <c r="AC15" s="18"/>
      <c r="AD15" s="18"/>
      <c r="AE15" s="18"/>
      <c r="AG15" s="18"/>
    </row>
    <row r="16" spans="1:3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P16" s="18"/>
      <c r="Q16" s="18"/>
      <c r="R16" s="18"/>
      <c r="S16" s="18"/>
      <c r="T16" s="20"/>
      <c r="U16" s="18"/>
      <c r="V16" s="147"/>
      <c r="W16" s="18"/>
      <c r="X16" s="18"/>
      <c r="Y16" s="18"/>
      <c r="Z16" s="18"/>
      <c r="AA16" s="18"/>
      <c r="AB16" s="18"/>
      <c r="AC16" s="18"/>
      <c r="AD16" s="18"/>
      <c r="AE16" s="18"/>
      <c r="AG16" s="18"/>
    </row>
    <row r="17" spans="1:3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P17" s="18"/>
      <c r="Q17" s="18"/>
      <c r="R17" s="18"/>
      <c r="S17" s="18"/>
      <c r="T17" s="20"/>
      <c r="U17" s="18"/>
      <c r="V17" s="147"/>
      <c r="W17" s="18"/>
      <c r="X17" s="18"/>
      <c r="Y17" s="18"/>
      <c r="Z17" s="18"/>
      <c r="AA17" s="18"/>
      <c r="AB17" s="18"/>
      <c r="AC17" s="18"/>
      <c r="AD17" s="18"/>
      <c r="AE17" s="18"/>
      <c r="AG17" s="18"/>
    </row>
    <row r="18" spans="1:33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P18" s="18"/>
      <c r="Q18" s="18"/>
      <c r="R18" s="18"/>
      <c r="S18" s="18"/>
      <c r="T18" s="20"/>
      <c r="U18" s="18"/>
      <c r="V18" s="147"/>
      <c r="W18" s="18"/>
      <c r="X18" s="18"/>
      <c r="Y18" s="18"/>
      <c r="Z18" s="18"/>
      <c r="AA18" s="18"/>
      <c r="AB18" s="18"/>
      <c r="AC18" s="18"/>
      <c r="AD18" s="18"/>
      <c r="AE18" s="18"/>
      <c r="AG18" s="18"/>
    </row>
    <row r="19" spans="1:3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P19" s="18"/>
      <c r="Q19" s="18"/>
      <c r="R19" s="18"/>
      <c r="S19" s="18"/>
      <c r="T19" s="20"/>
      <c r="U19" s="18"/>
      <c r="V19" s="147"/>
      <c r="W19" s="18"/>
      <c r="X19" s="18"/>
      <c r="Y19" s="18"/>
      <c r="Z19" s="18"/>
      <c r="AA19" s="18"/>
      <c r="AB19" s="18"/>
      <c r="AC19" s="18"/>
      <c r="AD19" s="18"/>
      <c r="AE19" s="18"/>
      <c r="AG19" s="18"/>
    </row>
    <row r="20" spans="1:33">
      <c r="E20" s="18"/>
      <c r="H20" s="18"/>
      <c r="I20" s="18"/>
      <c r="J20" s="18"/>
      <c r="K20" s="18"/>
      <c r="L20" s="18"/>
      <c r="M20" s="18"/>
      <c r="N20" s="18"/>
      <c r="P20" s="18"/>
      <c r="Q20" s="18"/>
      <c r="T20" s="20"/>
      <c r="X20" s="18"/>
      <c r="Y20" s="18"/>
      <c r="AG20" s="18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398"/>
  <sheetViews>
    <sheetView rightToLeft="1" topLeftCell="D1" zoomScale="70" zoomScaleNormal="70" workbookViewId="0">
      <selection activeCell="F384" sqref="F384"/>
    </sheetView>
  </sheetViews>
  <sheetFormatPr defaultColWidth="11.625" defaultRowHeight="14.25"/>
  <cols>
    <col min="1" max="2" width="11.625" style="2" customWidth="1"/>
    <col min="3" max="3" width="32.125" style="2" bestFit="1" customWidth="1"/>
    <col min="4" max="4" width="26.75" style="2" bestFit="1" customWidth="1"/>
    <col min="5" max="5" width="11.625" style="4" customWidth="1"/>
    <col min="6" max="6" width="25.625" style="2" bestFit="1" customWidth="1"/>
    <col min="7" max="7" width="16.375" style="2" bestFit="1" customWidth="1"/>
    <col min="8" max="21" width="11.625" style="2" customWidth="1"/>
    <col min="22" max="22" width="11.625" style="145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372</v>
      </c>
      <c r="M1" s="19" t="s">
        <v>8</v>
      </c>
      <c r="N1" s="19" t="s">
        <v>185</v>
      </c>
      <c r="O1" s="19" t="s">
        <v>150</v>
      </c>
      <c r="P1" s="19" t="s">
        <v>9</v>
      </c>
      <c r="Q1" s="19" t="s">
        <v>10</v>
      </c>
      <c r="R1" s="19" t="s">
        <v>222</v>
      </c>
      <c r="S1" s="19" t="s">
        <v>11</v>
      </c>
      <c r="T1" s="19" t="s">
        <v>12</v>
      </c>
      <c r="U1" s="19" t="s">
        <v>13</v>
      </c>
      <c r="V1" s="159" t="s">
        <v>14</v>
      </c>
      <c r="W1" s="163" t="s">
        <v>15</v>
      </c>
      <c r="X1" s="19" t="s">
        <v>456</v>
      </c>
      <c r="Y1" s="19" t="s">
        <v>874</v>
      </c>
      <c r="Z1" s="19" t="s">
        <v>17</v>
      </c>
      <c r="AA1" s="19" t="s">
        <v>18</v>
      </c>
      <c r="AB1" s="19" t="s">
        <v>19</v>
      </c>
      <c r="AC1" s="19" t="s">
        <v>16</v>
      </c>
      <c r="AD1" s="19" t="s">
        <v>20</v>
      </c>
      <c r="AE1" s="19" t="s">
        <v>21</v>
      </c>
      <c r="AF1" s="19" t="s">
        <v>201</v>
      </c>
      <c r="AG1" s="19" t="s">
        <v>22</v>
      </c>
      <c r="AH1" s="163" t="s">
        <v>23</v>
      </c>
      <c r="AI1" s="163" t="s">
        <v>24</v>
      </c>
      <c r="AJ1" s="163" t="s">
        <v>25</v>
      </c>
    </row>
    <row r="2" spans="1:36">
      <c r="A2" s="2" t="s">
        <v>26</v>
      </c>
      <c r="B2" s="20">
        <v>1182</v>
      </c>
      <c r="C2" s="20" t="s">
        <v>2213</v>
      </c>
      <c r="D2" s="20" t="s">
        <v>2214</v>
      </c>
      <c r="E2" s="18" t="s">
        <v>1376</v>
      </c>
      <c r="F2" s="20" t="s">
        <v>2215</v>
      </c>
      <c r="G2" s="20" t="s">
        <v>2216</v>
      </c>
      <c r="H2" s="18" t="s">
        <v>367</v>
      </c>
      <c r="I2" s="27" t="s">
        <v>219</v>
      </c>
      <c r="J2" s="18" t="s">
        <v>31</v>
      </c>
      <c r="K2" s="18" t="s">
        <v>345</v>
      </c>
      <c r="L2" s="20" t="s">
        <v>373</v>
      </c>
      <c r="M2" s="18" t="s">
        <v>32</v>
      </c>
      <c r="N2" s="20" t="s">
        <v>508</v>
      </c>
      <c r="O2" s="20" t="s">
        <v>164</v>
      </c>
      <c r="P2" s="20" t="s">
        <v>2217</v>
      </c>
      <c r="Q2" s="20" t="s">
        <v>98</v>
      </c>
      <c r="R2" s="20" t="s">
        <v>452</v>
      </c>
      <c r="S2" s="18" t="s">
        <v>35</v>
      </c>
      <c r="T2" s="153">
        <v>0.98599999999999999</v>
      </c>
      <c r="U2" s="20" t="s">
        <v>2218</v>
      </c>
      <c r="V2" s="167">
        <v>4.65E-2</v>
      </c>
      <c r="W2" s="168">
        <v>3.465E-2</v>
      </c>
      <c r="X2" s="18" t="s">
        <v>458</v>
      </c>
      <c r="Y2" s="18" t="s">
        <v>164</v>
      </c>
      <c r="Z2" s="153">
        <v>48819.199999999997</v>
      </c>
      <c r="AA2" s="153">
        <v>1</v>
      </c>
      <c r="AB2" s="153">
        <v>115.42</v>
      </c>
      <c r="AC2" s="153">
        <v>58.286999999999999</v>
      </c>
      <c r="AD2" s="153">
        <v>114.63500000000001</v>
      </c>
      <c r="AE2" s="20"/>
      <c r="AF2" s="27"/>
      <c r="AG2" s="18" t="s">
        <v>37</v>
      </c>
      <c r="AH2" s="164">
        <v>3.4099999999999999E-4</v>
      </c>
      <c r="AI2" s="164">
        <v>4.7421456065293299E-3</v>
      </c>
      <c r="AJ2" s="164">
        <v>2.9006538275880598E-4</v>
      </c>
    </row>
    <row r="3" spans="1:36">
      <c r="A3" s="20" t="s">
        <v>26</v>
      </c>
      <c r="B3" s="20">
        <v>1182</v>
      </c>
      <c r="C3" s="20" t="s">
        <v>2219</v>
      </c>
      <c r="D3" s="20" t="s">
        <v>2220</v>
      </c>
      <c r="E3" s="18" t="s">
        <v>1376</v>
      </c>
      <c r="F3" s="20" t="s">
        <v>2221</v>
      </c>
      <c r="G3" s="20" t="s">
        <v>2222</v>
      </c>
      <c r="H3" s="18" t="s">
        <v>367</v>
      </c>
      <c r="I3" s="20" t="s">
        <v>219</v>
      </c>
      <c r="J3" s="18" t="s">
        <v>31</v>
      </c>
      <c r="K3" s="18" t="s">
        <v>31</v>
      </c>
      <c r="L3" s="20" t="s">
        <v>373</v>
      </c>
      <c r="M3" s="18" t="s">
        <v>32</v>
      </c>
      <c r="N3" s="20" t="s">
        <v>499</v>
      </c>
      <c r="O3" s="20" t="s">
        <v>164</v>
      </c>
      <c r="P3" s="20" t="s">
        <v>1387</v>
      </c>
      <c r="Q3" s="20" t="s">
        <v>217</v>
      </c>
      <c r="R3" s="20" t="s">
        <v>452</v>
      </c>
      <c r="S3" s="18" t="s">
        <v>35</v>
      </c>
      <c r="T3" s="153">
        <v>5.4290000000000003</v>
      </c>
      <c r="U3" s="20" t="s">
        <v>2223</v>
      </c>
      <c r="V3" s="167">
        <v>5.1499999999999997E-2</v>
      </c>
      <c r="W3" s="168">
        <v>3.8629999999999998E-2</v>
      </c>
      <c r="X3" s="18" t="s">
        <v>458</v>
      </c>
      <c r="Y3" s="18" t="s">
        <v>164</v>
      </c>
      <c r="Z3" s="153">
        <v>353734.36</v>
      </c>
      <c r="AA3" s="153">
        <v>1</v>
      </c>
      <c r="AB3" s="153">
        <v>147.13</v>
      </c>
      <c r="AC3" s="20"/>
      <c r="AD3" s="153">
        <v>520.44899999999996</v>
      </c>
      <c r="AE3" s="20"/>
      <c r="AG3" s="18" t="s">
        <v>37</v>
      </c>
      <c r="AH3" s="164">
        <v>1.22E-4</v>
      </c>
      <c r="AI3" s="164">
        <v>2.1529702231951199E-2</v>
      </c>
      <c r="AJ3" s="164">
        <v>1.31691893011371E-3</v>
      </c>
    </row>
    <row r="4" spans="1:36">
      <c r="A4" s="20" t="s">
        <v>26</v>
      </c>
      <c r="B4" s="20">
        <v>1182</v>
      </c>
      <c r="C4" s="20" t="s">
        <v>2224</v>
      </c>
      <c r="D4" s="20" t="s">
        <v>2225</v>
      </c>
      <c r="E4" s="18" t="s">
        <v>1376</v>
      </c>
      <c r="F4" s="20" t="s">
        <v>2226</v>
      </c>
      <c r="G4" s="20" t="s">
        <v>2227</v>
      </c>
      <c r="H4" s="18" t="s">
        <v>367</v>
      </c>
      <c r="I4" s="20" t="s">
        <v>219</v>
      </c>
      <c r="J4" s="18" t="s">
        <v>31</v>
      </c>
      <c r="K4" s="18" t="s">
        <v>31</v>
      </c>
      <c r="L4" s="20" t="s">
        <v>373</v>
      </c>
      <c r="M4" s="18" t="s">
        <v>32</v>
      </c>
      <c r="N4" s="20" t="s">
        <v>483</v>
      </c>
      <c r="O4" s="20" t="s">
        <v>164</v>
      </c>
      <c r="P4" s="20" t="s">
        <v>2228</v>
      </c>
      <c r="Q4" s="20" t="s">
        <v>217</v>
      </c>
      <c r="R4" s="20" t="s">
        <v>452</v>
      </c>
      <c r="S4" s="18" t="s">
        <v>35</v>
      </c>
      <c r="T4" s="153">
        <v>3.056</v>
      </c>
      <c r="U4" s="20" t="s">
        <v>2229</v>
      </c>
      <c r="V4" s="167">
        <v>2.75E-2</v>
      </c>
      <c r="W4" s="168">
        <v>3.2559999999999999E-2</v>
      </c>
      <c r="X4" s="18" t="s">
        <v>458</v>
      </c>
      <c r="Y4" s="18" t="s">
        <v>164</v>
      </c>
      <c r="Z4" s="153">
        <v>195942.09</v>
      </c>
      <c r="AA4" s="153">
        <v>1</v>
      </c>
      <c r="AB4" s="153">
        <v>112.11</v>
      </c>
      <c r="AC4" s="20"/>
      <c r="AD4" s="153">
        <v>219.67099999999999</v>
      </c>
      <c r="AE4" s="20"/>
      <c r="AG4" s="18" t="s">
        <v>37</v>
      </c>
      <c r="AH4" s="164">
        <v>2.33E-4</v>
      </c>
      <c r="AI4" s="164">
        <v>9.0872322945755105E-3</v>
      </c>
      <c r="AJ4" s="164">
        <v>5.5584364809780295E-4</v>
      </c>
    </row>
    <row r="5" spans="1:36">
      <c r="A5" s="20" t="s">
        <v>26</v>
      </c>
      <c r="B5" s="20">
        <v>1182</v>
      </c>
      <c r="C5" s="20" t="s">
        <v>2224</v>
      </c>
      <c r="D5" s="20" t="s">
        <v>2225</v>
      </c>
      <c r="E5" s="18" t="s">
        <v>1376</v>
      </c>
      <c r="F5" s="20" t="s">
        <v>2230</v>
      </c>
      <c r="G5" s="20" t="s">
        <v>2231</v>
      </c>
      <c r="H5" s="18" t="s">
        <v>367</v>
      </c>
      <c r="I5" s="20" t="s">
        <v>1010</v>
      </c>
      <c r="J5" s="18" t="s">
        <v>31</v>
      </c>
      <c r="K5" s="18" t="s">
        <v>31</v>
      </c>
      <c r="L5" s="20" t="s">
        <v>373</v>
      </c>
      <c r="M5" s="18" t="s">
        <v>32</v>
      </c>
      <c r="N5" s="20" t="s">
        <v>483</v>
      </c>
      <c r="O5" s="20" t="s">
        <v>164</v>
      </c>
      <c r="P5" s="20" t="s">
        <v>2228</v>
      </c>
      <c r="Q5" s="20" t="s">
        <v>217</v>
      </c>
      <c r="R5" s="20" t="s">
        <v>452</v>
      </c>
      <c r="S5" s="18" t="s">
        <v>35</v>
      </c>
      <c r="T5" s="153">
        <v>3.2629999999999999</v>
      </c>
      <c r="U5" s="20" t="s">
        <v>2232</v>
      </c>
      <c r="V5" s="167">
        <v>2.5000000000000001E-2</v>
      </c>
      <c r="W5" s="168">
        <v>5.9420000000000001E-2</v>
      </c>
      <c r="X5" s="18" t="s">
        <v>458</v>
      </c>
      <c r="Y5" s="18" t="s">
        <v>164</v>
      </c>
      <c r="Z5" s="153">
        <v>304000</v>
      </c>
      <c r="AA5" s="153">
        <v>1</v>
      </c>
      <c r="AB5" s="153">
        <v>90.38</v>
      </c>
      <c r="AC5" s="20"/>
      <c r="AD5" s="153">
        <v>274.755</v>
      </c>
      <c r="AE5" s="20"/>
      <c r="AG5" s="18" t="s">
        <v>37</v>
      </c>
      <c r="AH5" s="164">
        <v>3.7599999999999998E-4</v>
      </c>
      <c r="AI5" s="164">
        <v>1.13659426898262E-2</v>
      </c>
      <c r="AJ5" s="164">
        <v>6.9522675815768503E-4</v>
      </c>
    </row>
    <row r="6" spans="1:36">
      <c r="A6" s="20" t="s">
        <v>26</v>
      </c>
      <c r="B6" s="20">
        <v>1182</v>
      </c>
      <c r="C6" s="20" t="s">
        <v>2233</v>
      </c>
      <c r="D6" s="20" t="s">
        <v>2234</v>
      </c>
      <c r="E6" s="18" t="s">
        <v>1376</v>
      </c>
      <c r="F6" s="20" t="s">
        <v>2235</v>
      </c>
      <c r="G6" s="20" t="s">
        <v>2236</v>
      </c>
      <c r="H6" s="18" t="s">
        <v>367</v>
      </c>
      <c r="I6" s="20" t="s">
        <v>1010</v>
      </c>
      <c r="J6" s="18" t="s">
        <v>31</v>
      </c>
      <c r="K6" s="18" t="s">
        <v>31</v>
      </c>
      <c r="L6" s="20" t="s">
        <v>373</v>
      </c>
      <c r="M6" s="18" t="s">
        <v>32</v>
      </c>
      <c r="N6" s="20" t="s">
        <v>490</v>
      </c>
      <c r="O6" s="20" t="s">
        <v>164</v>
      </c>
      <c r="P6" s="20" t="s">
        <v>2217</v>
      </c>
      <c r="Q6" s="20" t="s">
        <v>98</v>
      </c>
      <c r="R6" s="20" t="s">
        <v>452</v>
      </c>
      <c r="S6" s="18" t="s">
        <v>35</v>
      </c>
      <c r="T6" s="153">
        <v>2.5</v>
      </c>
      <c r="U6" s="20" t="s">
        <v>2237</v>
      </c>
      <c r="V6" s="167">
        <v>2.5499999999999998E-2</v>
      </c>
      <c r="W6" s="168">
        <v>5.824E-2</v>
      </c>
      <c r="X6" s="18" t="s">
        <v>458</v>
      </c>
      <c r="Y6" s="18" t="s">
        <v>164</v>
      </c>
      <c r="Z6" s="150">
        <v>393125</v>
      </c>
      <c r="AA6" s="150">
        <v>1</v>
      </c>
      <c r="AB6" s="150">
        <v>92.23</v>
      </c>
      <c r="AC6" s="20"/>
      <c r="AD6" s="150">
        <v>362.57900000000001</v>
      </c>
      <c r="AG6" s="2" t="s">
        <v>37</v>
      </c>
      <c r="AH6" s="164">
        <v>5.1099999999999995E-4</v>
      </c>
      <c r="AI6" s="164">
        <v>1.49990037154847E-2</v>
      </c>
      <c r="AJ6" s="164">
        <v>9.17452165058468E-4</v>
      </c>
    </row>
    <row r="7" spans="1:36">
      <c r="A7" s="20" t="s">
        <v>26</v>
      </c>
      <c r="B7" s="20">
        <v>1182</v>
      </c>
      <c r="C7" s="20" t="s">
        <v>2238</v>
      </c>
      <c r="D7" s="20" t="s">
        <v>2239</v>
      </c>
      <c r="E7" s="18" t="s">
        <v>1376</v>
      </c>
      <c r="F7" s="20" t="s">
        <v>2240</v>
      </c>
      <c r="G7" s="20" t="s">
        <v>2241</v>
      </c>
      <c r="H7" s="18" t="s">
        <v>367</v>
      </c>
      <c r="I7" s="20" t="s">
        <v>1010</v>
      </c>
      <c r="J7" s="18" t="s">
        <v>31</v>
      </c>
      <c r="K7" s="18" t="s">
        <v>31</v>
      </c>
      <c r="L7" s="20" t="s">
        <v>373</v>
      </c>
      <c r="M7" s="18" t="s">
        <v>32</v>
      </c>
      <c r="N7" s="20" t="s">
        <v>488</v>
      </c>
      <c r="O7" s="20" t="s">
        <v>164</v>
      </c>
      <c r="P7" s="20" t="s">
        <v>2217</v>
      </c>
      <c r="Q7" s="20" t="s">
        <v>98</v>
      </c>
      <c r="R7" s="20" t="s">
        <v>452</v>
      </c>
      <c r="S7" s="18" t="s">
        <v>35</v>
      </c>
      <c r="T7" s="153">
        <v>4.2480000000000002</v>
      </c>
      <c r="U7" s="20" t="s">
        <v>2242</v>
      </c>
      <c r="V7" s="167">
        <v>2.18E-2</v>
      </c>
      <c r="W7" s="168">
        <v>6.062E-2</v>
      </c>
      <c r="X7" s="18" t="s">
        <v>458</v>
      </c>
      <c r="Y7" s="18" t="s">
        <v>164</v>
      </c>
      <c r="Z7" s="150">
        <v>965867</v>
      </c>
      <c r="AA7" s="150">
        <v>1</v>
      </c>
      <c r="AB7" s="150">
        <v>85.44</v>
      </c>
      <c r="AC7" s="20"/>
      <c r="AD7" s="150">
        <v>825.23699999999997</v>
      </c>
      <c r="AG7" s="2" t="s">
        <v>37</v>
      </c>
      <c r="AH7" s="164">
        <v>5.875E-3</v>
      </c>
      <c r="AI7" s="164">
        <v>3.4138002753922002E-2</v>
      </c>
      <c r="AJ7" s="164">
        <v>2.08813766110501E-3</v>
      </c>
    </row>
    <row r="8" spans="1:36">
      <c r="A8" s="20" t="s">
        <v>26</v>
      </c>
      <c r="B8" s="20">
        <v>1182</v>
      </c>
      <c r="C8" s="20" t="s">
        <v>2243</v>
      </c>
      <c r="D8" s="20" t="s">
        <v>2244</v>
      </c>
      <c r="E8" s="18" t="s">
        <v>1376</v>
      </c>
      <c r="F8" s="20" t="s">
        <v>2245</v>
      </c>
      <c r="G8" s="20" t="s">
        <v>2246</v>
      </c>
      <c r="H8" s="18" t="s">
        <v>367</v>
      </c>
      <c r="I8" s="20" t="s">
        <v>219</v>
      </c>
      <c r="J8" s="18" t="s">
        <v>31</v>
      </c>
      <c r="K8" s="18" t="s">
        <v>31</v>
      </c>
      <c r="L8" s="20" t="s">
        <v>373</v>
      </c>
      <c r="M8" s="18" t="s">
        <v>32</v>
      </c>
      <c r="N8" s="20" t="s">
        <v>507</v>
      </c>
      <c r="O8" s="20" t="s">
        <v>164</v>
      </c>
      <c r="P8" s="20" t="s">
        <v>2247</v>
      </c>
      <c r="Q8" s="20" t="s">
        <v>217</v>
      </c>
      <c r="R8" s="20" t="s">
        <v>452</v>
      </c>
      <c r="S8" s="18" t="s">
        <v>35</v>
      </c>
      <c r="T8" s="153">
        <v>2.4359999999999999</v>
      </c>
      <c r="U8" s="20" t="s">
        <v>62</v>
      </c>
      <c r="V8" s="167">
        <v>2.3400000000000001E-2</v>
      </c>
      <c r="W8" s="168">
        <v>2.6800000000000001E-2</v>
      </c>
      <c r="X8" s="18" t="s">
        <v>458</v>
      </c>
      <c r="Y8" s="18" t="s">
        <v>164</v>
      </c>
      <c r="Z8" s="153">
        <v>132000.01999999999</v>
      </c>
      <c r="AA8" s="153">
        <v>1</v>
      </c>
      <c r="AB8" s="153">
        <v>113.08</v>
      </c>
      <c r="AC8" s="20"/>
      <c r="AD8" s="153">
        <v>149.26599999999999</v>
      </c>
      <c r="AE8" s="20"/>
      <c r="AG8" s="18" t="s">
        <v>37</v>
      </c>
      <c r="AH8" s="164">
        <v>6.3E-5</v>
      </c>
      <c r="AI8" s="164">
        <v>6.1747494213564803E-3</v>
      </c>
      <c r="AJ8" s="164">
        <v>3.7769423441561803E-4</v>
      </c>
    </row>
    <row r="9" spans="1:36">
      <c r="A9" s="20" t="s">
        <v>26</v>
      </c>
      <c r="B9" s="20">
        <v>1182</v>
      </c>
      <c r="C9" s="20" t="s">
        <v>2248</v>
      </c>
      <c r="D9" s="20" t="s">
        <v>2249</v>
      </c>
      <c r="E9" s="18" t="s">
        <v>1376</v>
      </c>
      <c r="F9" s="20" t="s">
        <v>2250</v>
      </c>
      <c r="G9" s="20" t="s">
        <v>2251</v>
      </c>
      <c r="H9" s="18" t="s">
        <v>367</v>
      </c>
      <c r="I9" s="20" t="s">
        <v>1010</v>
      </c>
      <c r="J9" s="18" t="s">
        <v>31</v>
      </c>
      <c r="K9" s="18" t="s">
        <v>31</v>
      </c>
      <c r="L9" s="20" t="s">
        <v>373</v>
      </c>
      <c r="M9" s="18" t="s">
        <v>32</v>
      </c>
      <c r="N9" s="20" t="s">
        <v>507</v>
      </c>
      <c r="O9" s="20" t="s">
        <v>164</v>
      </c>
      <c r="P9" s="20" t="s">
        <v>1387</v>
      </c>
      <c r="Q9" s="20" t="s">
        <v>217</v>
      </c>
      <c r="R9" s="20" t="s">
        <v>452</v>
      </c>
      <c r="S9" s="18" t="s">
        <v>35</v>
      </c>
      <c r="T9" s="153">
        <v>4.5730000000000004</v>
      </c>
      <c r="U9" s="20" t="s">
        <v>2252</v>
      </c>
      <c r="V9" s="167">
        <v>2.41E-2</v>
      </c>
      <c r="W9" s="168">
        <v>6.4619999999999997E-2</v>
      </c>
      <c r="X9" s="18" t="s">
        <v>458</v>
      </c>
      <c r="Y9" s="18" t="s">
        <v>164</v>
      </c>
      <c r="Z9" s="153">
        <v>204444.44</v>
      </c>
      <c r="AA9" s="153">
        <v>1</v>
      </c>
      <c r="AB9" s="153">
        <v>84.18</v>
      </c>
      <c r="AC9" s="20"/>
      <c r="AD9" s="153">
        <v>172.101</v>
      </c>
      <c r="AE9" s="20"/>
      <c r="AG9" s="18" t="s">
        <v>37</v>
      </c>
      <c r="AH9" s="164">
        <v>1.16E-4</v>
      </c>
      <c r="AI9" s="164">
        <v>7.1194061076389602E-3</v>
      </c>
      <c r="AJ9" s="164">
        <v>4.3547656039584801E-4</v>
      </c>
    </row>
    <row r="10" spans="1:36">
      <c r="A10" s="20" t="s">
        <v>26</v>
      </c>
      <c r="B10" s="20">
        <v>1182</v>
      </c>
      <c r="C10" s="20" t="s">
        <v>2248</v>
      </c>
      <c r="D10" s="20" t="s">
        <v>2249</v>
      </c>
      <c r="E10" s="18" t="s">
        <v>1376</v>
      </c>
      <c r="F10" s="20" t="s">
        <v>2253</v>
      </c>
      <c r="G10" s="20" t="s">
        <v>2254</v>
      </c>
      <c r="H10" s="18" t="s">
        <v>367</v>
      </c>
      <c r="I10" s="20" t="s">
        <v>1010</v>
      </c>
      <c r="J10" s="18" t="s">
        <v>31</v>
      </c>
      <c r="K10" s="18" t="s">
        <v>31</v>
      </c>
      <c r="L10" s="20" t="s">
        <v>373</v>
      </c>
      <c r="M10" s="18" t="s">
        <v>32</v>
      </c>
      <c r="N10" s="20" t="s">
        <v>507</v>
      </c>
      <c r="O10" s="20" t="s">
        <v>164</v>
      </c>
      <c r="P10" s="20" t="s">
        <v>1392</v>
      </c>
      <c r="Q10" s="20" t="s">
        <v>98</v>
      </c>
      <c r="R10" s="20" t="s">
        <v>452</v>
      </c>
      <c r="S10" s="18" t="s">
        <v>35</v>
      </c>
      <c r="T10" s="153">
        <v>6.4660000000000002</v>
      </c>
      <c r="U10" s="20" t="s">
        <v>2255</v>
      </c>
      <c r="V10" s="167">
        <v>4.9399999999999999E-2</v>
      </c>
      <c r="W10" s="168">
        <v>6.9379999999999997E-2</v>
      </c>
      <c r="X10" s="18" t="s">
        <v>458</v>
      </c>
      <c r="Y10" s="18" t="s">
        <v>164</v>
      </c>
      <c r="Z10" s="153">
        <v>235951</v>
      </c>
      <c r="AA10" s="153">
        <v>1</v>
      </c>
      <c r="AB10" s="153">
        <v>89.76</v>
      </c>
      <c r="AC10" s="20"/>
      <c r="AD10" s="153">
        <v>211.79</v>
      </c>
      <c r="AE10" s="20"/>
      <c r="AG10" s="18" t="s">
        <v>37</v>
      </c>
      <c r="AH10" s="164">
        <v>2.63E-4</v>
      </c>
      <c r="AI10" s="164">
        <v>8.7612123662875498E-3</v>
      </c>
      <c r="AJ10" s="164">
        <v>5.3590181097756795E-4</v>
      </c>
    </row>
    <row r="11" spans="1:36">
      <c r="A11" s="20" t="s">
        <v>26</v>
      </c>
      <c r="B11" s="20">
        <v>1182</v>
      </c>
      <c r="C11" s="20" t="s">
        <v>1857</v>
      </c>
      <c r="D11" s="20" t="s">
        <v>1858</v>
      </c>
      <c r="E11" s="18" t="s">
        <v>1376</v>
      </c>
      <c r="F11" s="20" t="s">
        <v>2256</v>
      </c>
      <c r="G11" s="20" t="s">
        <v>2257</v>
      </c>
      <c r="H11" s="18" t="s">
        <v>367</v>
      </c>
      <c r="I11" s="20" t="s">
        <v>1010</v>
      </c>
      <c r="J11" s="18" t="s">
        <v>31</v>
      </c>
      <c r="K11" s="18" t="s">
        <v>31</v>
      </c>
      <c r="L11" s="20" t="s">
        <v>373</v>
      </c>
      <c r="M11" s="18" t="s">
        <v>32</v>
      </c>
      <c r="N11" s="20" t="s">
        <v>494</v>
      </c>
      <c r="O11" s="20" t="s">
        <v>164</v>
      </c>
      <c r="P11" s="20" t="s">
        <v>2258</v>
      </c>
      <c r="Q11" s="20" t="s">
        <v>217</v>
      </c>
      <c r="R11" s="20" t="s">
        <v>452</v>
      </c>
      <c r="S11" s="18" t="s">
        <v>35</v>
      </c>
      <c r="T11" s="153">
        <v>3.1309999999999998</v>
      </c>
      <c r="U11" s="20" t="s">
        <v>2259</v>
      </c>
      <c r="V11" s="167">
        <v>0.04</v>
      </c>
      <c r="W11" s="168">
        <v>5.6980000000000003E-2</v>
      </c>
      <c r="X11" s="18" t="s">
        <v>458</v>
      </c>
      <c r="Y11" s="18" t="s">
        <v>164</v>
      </c>
      <c r="Z11" s="153">
        <v>218750.04</v>
      </c>
      <c r="AA11" s="153">
        <v>1</v>
      </c>
      <c r="AB11" s="153">
        <v>96.92</v>
      </c>
      <c r="AC11" s="20"/>
      <c r="AD11" s="153">
        <v>212.01300000000001</v>
      </c>
      <c r="AE11" s="20"/>
      <c r="AG11" s="18" t="s">
        <v>37</v>
      </c>
      <c r="AH11" s="164">
        <v>3.2299999999999999E-4</v>
      </c>
      <c r="AI11" s="164">
        <v>8.7704340633467399E-3</v>
      </c>
      <c r="AJ11" s="164">
        <v>5.36465879504581E-4</v>
      </c>
    </row>
    <row r="12" spans="1:36">
      <c r="A12" s="20" t="s">
        <v>26</v>
      </c>
      <c r="B12" s="20">
        <v>1182</v>
      </c>
      <c r="C12" s="20" t="s">
        <v>1857</v>
      </c>
      <c r="D12" s="20" t="s">
        <v>1858</v>
      </c>
      <c r="E12" s="18" t="s">
        <v>1376</v>
      </c>
      <c r="F12" s="20" t="s">
        <v>2260</v>
      </c>
      <c r="G12" s="20" t="s">
        <v>2261</v>
      </c>
      <c r="H12" s="18" t="s">
        <v>367</v>
      </c>
      <c r="I12" s="20" t="s">
        <v>1010</v>
      </c>
      <c r="J12" s="18" t="s">
        <v>31</v>
      </c>
      <c r="K12" s="18" t="s">
        <v>31</v>
      </c>
      <c r="L12" s="20" t="s">
        <v>373</v>
      </c>
      <c r="M12" s="18" t="s">
        <v>32</v>
      </c>
      <c r="N12" s="20" t="s">
        <v>494</v>
      </c>
      <c r="O12" s="20" t="s">
        <v>164</v>
      </c>
      <c r="P12" s="20" t="s">
        <v>2258</v>
      </c>
      <c r="Q12" s="20" t="s">
        <v>98</v>
      </c>
      <c r="R12" s="20" t="s">
        <v>452</v>
      </c>
      <c r="S12" s="18" t="s">
        <v>35</v>
      </c>
      <c r="T12" s="153">
        <v>5.0460000000000003</v>
      </c>
      <c r="U12" s="20" t="s">
        <v>2262</v>
      </c>
      <c r="V12" s="167">
        <v>2.07E-2</v>
      </c>
      <c r="W12" s="168">
        <v>5.9479999999999998E-2</v>
      </c>
      <c r="X12" s="18" t="s">
        <v>458</v>
      </c>
      <c r="Y12" s="18" t="s">
        <v>164</v>
      </c>
      <c r="Z12" s="153">
        <v>531401</v>
      </c>
      <c r="AA12" s="153">
        <v>1</v>
      </c>
      <c r="AB12" s="153">
        <v>82.34</v>
      </c>
      <c r="AC12" s="20"/>
      <c r="AD12" s="153">
        <v>437.55599999999998</v>
      </c>
      <c r="AE12" s="20"/>
      <c r="AG12" s="18" t="s">
        <v>37</v>
      </c>
      <c r="AH12" s="164">
        <v>1.294E-3</v>
      </c>
      <c r="AI12" s="164">
        <v>1.8100591670468399E-2</v>
      </c>
      <c r="AJ12" s="164">
        <v>1.10716867146091E-3</v>
      </c>
    </row>
    <row r="13" spans="1:36">
      <c r="A13" s="20" t="s">
        <v>26</v>
      </c>
      <c r="B13" s="20">
        <v>1182</v>
      </c>
      <c r="C13" s="20" t="s">
        <v>2263</v>
      </c>
      <c r="D13" s="20" t="s">
        <v>2264</v>
      </c>
      <c r="E13" s="18" t="s">
        <v>1376</v>
      </c>
      <c r="F13" s="20" t="s">
        <v>2265</v>
      </c>
      <c r="G13" s="20" t="s">
        <v>2266</v>
      </c>
      <c r="H13" s="18" t="s">
        <v>367</v>
      </c>
      <c r="I13" s="20" t="s">
        <v>219</v>
      </c>
      <c r="J13" s="18" t="s">
        <v>31</v>
      </c>
      <c r="K13" s="18" t="s">
        <v>31</v>
      </c>
      <c r="L13" s="20" t="s">
        <v>373</v>
      </c>
      <c r="M13" s="18" t="s">
        <v>32</v>
      </c>
      <c r="N13" s="20" t="s">
        <v>508</v>
      </c>
      <c r="O13" s="20" t="s">
        <v>164</v>
      </c>
      <c r="P13" s="20" t="s">
        <v>2217</v>
      </c>
      <c r="Q13" s="20" t="s">
        <v>98</v>
      </c>
      <c r="R13" s="20" t="s">
        <v>452</v>
      </c>
      <c r="S13" s="18" t="s">
        <v>35</v>
      </c>
      <c r="T13" s="153">
        <v>1.71</v>
      </c>
      <c r="U13" s="20" t="s">
        <v>2267</v>
      </c>
      <c r="V13" s="167">
        <v>2.5700000000000001E-2</v>
      </c>
      <c r="W13" s="168">
        <v>3.2559999999999999E-2</v>
      </c>
      <c r="X13" s="18" t="s">
        <v>458</v>
      </c>
      <c r="Y13" s="18" t="s">
        <v>164</v>
      </c>
      <c r="Z13" s="153">
        <v>910740</v>
      </c>
      <c r="AA13" s="153">
        <v>1</v>
      </c>
      <c r="AB13" s="153">
        <v>113.71</v>
      </c>
      <c r="AC13" s="20"/>
      <c r="AD13" s="153">
        <v>1035.6020000000001</v>
      </c>
      <c r="AE13" s="20"/>
      <c r="AG13" s="18" t="s">
        <v>37</v>
      </c>
      <c r="AH13" s="164">
        <v>7.1000000000000002E-4</v>
      </c>
      <c r="AI13" s="164">
        <v>4.2840310726084102E-2</v>
      </c>
      <c r="AJ13" s="164">
        <v>2.6204364351777999E-3</v>
      </c>
    </row>
    <row r="14" spans="1:36">
      <c r="A14" s="20" t="s">
        <v>26</v>
      </c>
      <c r="B14" s="20">
        <v>1182</v>
      </c>
      <c r="C14" s="20" t="s">
        <v>2263</v>
      </c>
      <c r="D14" s="20" t="s">
        <v>2264</v>
      </c>
      <c r="E14" s="18" t="s">
        <v>1376</v>
      </c>
      <c r="F14" s="20" t="s">
        <v>2268</v>
      </c>
      <c r="G14" s="20" t="s">
        <v>2269</v>
      </c>
      <c r="H14" s="18" t="s">
        <v>367</v>
      </c>
      <c r="I14" s="20" t="s">
        <v>219</v>
      </c>
      <c r="J14" s="18" t="s">
        <v>31</v>
      </c>
      <c r="K14" s="18" t="s">
        <v>31</v>
      </c>
      <c r="L14" s="20" t="s">
        <v>373</v>
      </c>
      <c r="M14" s="18" t="s">
        <v>32</v>
      </c>
      <c r="N14" s="20" t="s">
        <v>508</v>
      </c>
      <c r="O14" s="20" t="s">
        <v>164</v>
      </c>
      <c r="P14" s="20" t="s">
        <v>2217</v>
      </c>
      <c r="Q14" s="20" t="s">
        <v>98</v>
      </c>
      <c r="R14" s="20" t="s">
        <v>452</v>
      </c>
      <c r="S14" s="18" t="s">
        <v>35</v>
      </c>
      <c r="T14" s="153">
        <v>5.3559999999999999</v>
      </c>
      <c r="U14" s="20" t="s">
        <v>2270</v>
      </c>
      <c r="V14" s="167">
        <v>1.54E-2</v>
      </c>
      <c r="W14" s="168">
        <v>4.0140000000000002E-2</v>
      </c>
      <c r="X14" s="18" t="s">
        <v>458</v>
      </c>
      <c r="Y14" s="18" t="s">
        <v>164</v>
      </c>
      <c r="Z14" s="153">
        <v>317000</v>
      </c>
      <c r="AA14" s="153">
        <v>1</v>
      </c>
      <c r="AB14" s="153">
        <v>97.3</v>
      </c>
      <c r="AC14" s="20"/>
      <c r="AD14" s="153">
        <v>308.44099999999997</v>
      </c>
      <c r="AE14" s="20"/>
      <c r="AG14" s="18" t="s">
        <v>37</v>
      </c>
      <c r="AH14" s="164">
        <v>5.31E-4</v>
      </c>
      <c r="AI14" s="164">
        <v>1.27594408738859E-2</v>
      </c>
      <c r="AJ14" s="164">
        <v>7.8046361456640104E-4</v>
      </c>
    </row>
    <row r="15" spans="1:36">
      <c r="A15" s="20" t="s">
        <v>26</v>
      </c>
      <c r="B15" s="20">
        <v>1182</v>
      </c>
      <c r="C15" s="20" t="s">
        <v>2271</v>
      </c>
      <c r="D15" s="20" t="s">
        <v>2272</v>
      </c>
      <c r="E15" s="18" t="s">
        <v>1376</v>
      </c>
      <c r="F15" s="20" t="s">
        <v>2273</v>
      </c>
      <c r="G15" s="20" t="s">
        <v>2274</v>
      </c>
      <c r="H15" s="18" t="s">
        <v>367</v>
      </c>
      <c r="I15" s="20" t="s">
        <v>219</v>
      </c>
      <c r="J15" s="18" t="s">
        <v>31</v>
      </c>
      <c r="K15" s="18" t="s">
        <v>31</v>
      </c>
      <c r="L15" s="20" t="s">
        <v>373</v>
      </c>
      <c r="M15" s="18" t="s">
        <v>32</v>
      </c>
      <c r="N15" s="20" t="s">
        <v>507</v>
      </c>
      <c r="O15" s="20" t="s">
        <v>164</v>
      </c>
      <c r="P15" s="20" t="s">
        <v>2275</v>
      </c>
      <c r="Q15" s="20" t="s">
        <v>217</v>
      </c>
      <c r="R15" s="20" t="s">
        <v>452</v>
      </c>
      <c r="S15" s="18" t="s">
        <v>35</v>
      </c>
      <c r="T15" s="153">
        <v>6.3</v>
      </c>
      <c r="U15" s="20" t="s">
        <v>2276</v>
      </c>
      <c r="V15" s="167">
        <v>3.6799999999999999E-2</v>
      </c>
      <c r="W15" s="168">
        <v>4.3209999999999998E-2</v>
      </c>
      <c r="X15" s="18" t="s">
        <v>458</v>
      </c>
      <c r="Y15" s="18" t="s">
        <v>164</v>
      </c>
      <c r="Z15" s="153">
        <v>444000</v>
      </c>
      <c r="AA15" s="153">
        <v>1</v>
      </c>
      <c r="AB15" s="153">
        <v>98.21</v>
      </c>
      <c r="AC15" s="20"/>
      <c r="AD15" s="153">
        <v>436.05200000000002</v>
      </c>
      <c r="AE15" s="20"/>
      <c r="AG15" s="18" t="s">
        <v>37</v>
      </c>
      <c r="AH15" s="164">
        <v>1.8220000000000001E-3</v>
      </c>
      <c r="AI15" s="164">
        <v>1.8038408693124602E-2</v>
      </c>
      <c r="AJ15" s="164">
        <v>1.1033650916848099E-3</v>
      </c>
    </row>
    <row r="16" spans="1:36">
      <c r="A16" s="20" t="s">
        <v>26</v>
      </c>
      <c r="B16" s="20">
        <v>1182</v>
      </c>
      <c r="C16" s="20" t="s">
        <v>2271</v>
      </c>
      <c r="D16" s="20" t="s">
        <v>2272</v>
      </c>
      <c r="E16" s="18" t="s">
        <v>1376</v>
      </c>
      <c r="F16" s="20" t="s">
        <v>2277</v>
      </c>
      <c r="G16" s="20" t="s">
        <v>2278</v>
      </c>
      <c r="H16" s="18" t="s">
        <v>367</v>
      </c>
      <c r="I16" s="20" t="s">
        <v>219</v>
      </c>
      <c r="J16" s="18" t="s">
        <v>31</v>
      </c>
      <c r="K16" s="18" t="s">
        <v>31</v>
      </c>
      <c r="L16" s="20" t="s">
        <v>373</v>
      </c>
      <c r="M16" s="18" t="s">
        <v>32</v>
      </c>
      <c r="N16" s="20" t="s">
        <v>507</v>
      </c>
      <c r="O16" s="20" t="s">
        <v>164</v>
      </c>
      <c r="P16" s="20" t="s">
        <v>2275</v>
      </c>
      <c r="Q16" s="20" t="s">
        <v>217</v>
      </c>
      <c r="R16" s="20" t="s">
        <v>452</v>
      </c>
      <c r="S16" s="18" t="s">
        <v>35</v>
      </c>
      <c r="T16" s="153">
        <v>1.69</v>
      </c>
      <c r="U16" s="20" t="s">
        <v>2279</v>
      </c>
      <c r="V16" s="167">
        <v>3.4599999999999999E-2</v>
      </c>
      <c r="W16" s="168">
        <v>2.8910000000000002E-2</v>
      </c>
      <c r="X16" s="18" t="s">
        <v>458</v>
      </c>
      <c r="Y16" s="18" t="s">
        <v>164</v>
      </c>
      <c r="Z16" s="153">
        <v>231818.18</v>
      </c>
      <c r="AA16" s="153">
        <v>1</v>
      </c>
      <c r="AB16" s="153">
        <v>115.64</v>
      </c>
      <c r="AC16" s="153">
        <v>4.4349999999999996</v>
      </c>
      <c r="AD16" s="153">
        <v>272.50900000000001</v>
      </c>
      <c r="AE16" s="20"/>
      <c r="AG16" s="18" t="s">
        <v>37</v>
      </c>
      <c r="AH16" s="164">
        <v>6.6399999999999999E-4</v>
      </c>
      <c r="AI16" s="164">
        <v>1.12730383991251E-2</v>
      </c>
      <c r="AJ16" s="164">
        <v>6.8954403120702801E-4</v>
      </c>
    </row>
    <row r="17" spans="1:36">
      <c r="A17" s="20" t="s">
        <v>26</v>
      </c>
      <c r="B17" s="20">
        <v>1182</v>
      </c>
      <c r="C17" s="20" t="s">
        <v>1877</v>
      </c>
      <c r="D17" s="20" t="s">
        <v>1878</v>
      </c>
      <c r="E17" s="18" t="s">
        <v>1376</v>
      </c>
      <c r="F17" s="20" t="s">
        <v>2280</v>
      </c>
      <c r="G17" s="20" t="s">
        <v>2281</v>
      </c>
      <c r="H17" s="18" t="s">
        <v>367</v>
      </c>
      <c r="I17" s="20" t="s">
        <v>1010</v>
      </c>
      <c r="J17" s="18" t="s">
        <v>31</v>
      </c>
      <c r="K17" s="18" t="s">
        <v>31</v>
      </c>
      <c r="L17" s="20" t="s">
        <v>373</v>
      </c>
      <c r="M17" s="18" t="s">
        <v>32</v>
      </c>
      <c r="N17" s="20" t="s">
        <v>483</v>
      </c>
      <c r="O17" s="20" t="s">
        <v>164</v>
      </c>
      <c r="P17" s="20" t="s">
        <v>2258</v>
      </c>
      <c r="Q17" s="20" t="s">
        <v>217</v>
      </c>
      <c r="R17" s="20" t="s">
        <v>452</v>
      </c>
      <c r="S17" s="18" t="s">
        <v>35</v>
      </c>
      <c r="T17" s="153">
        <v>2.4390000000000001</v>
      </c>
      <c r="U17" s="20" t="s">
        <v>2282</v>
      </c>
      <c r="V17" s="167">
        <v>2.7E-2</v>
      </c>
      <c r="W17" s="168">
        <v>6.2280000000000002E-2</v>
      </c>
      <c r="X17" s="18" t="s">
        <v>458</v>
      </c>
      <c r="Y17" s="18" t="s">
        <v>164</v>
      </c>
      <c r="Z17" s="153">
        <v>200000</v>
      </c>
      <c r="AA17" s="153">
        <v>1</v>
      </c>
      <c r="AB17" s="153">
        <v>92.63</v>
      </c>
      <c r="AC17" s="20"/>
      <c r="AD17" s="153">
        <v>185.26</v>
      </c>
      <c r="AE17" s="20"/>
      <c r="AG17" s="18" t="s">
        <v>37</v>
      </c>
      <c r="AH17" s="164">
        <v>2.8400000000000002E-4</v>
      </c>
      <c r="AI17" s="164">
        <v>7.6637477387769401E-3</v>
      </c>
      <c r="AJ17" s="164">
        <v>4.6877259908563202E-4</v>
      </c>
    </row>
    <row r="18" spans="1:36">
      <c r="A18" s="20" t="s">
        <v>26</v>
      </c>
      <c r="B18" s="20">
        <v>1182</v>
      </c>
      <c r="C18" s="20" t="s">
        <v>2283</v>
      </c>
      <c r="D18" s="20" t="s">
        <v>2284</v>
      </c>
      <c r="E18" s="18" t="s">
        <v>1376</v>
      </c>
      <c r="F18" s="20" t="s">
        <v>2285</v>
      </c>
      <c r="G18" s="20" t="s">
        <v>2286</v>
      </c>
      <c r="H18" s="18" t="s">
        <v>367</v>
      </c>
      <c r="I18" s="20" t="s">
        <v>1010</v>
      </c>
      <c r="J18" s="18" t="s">
        <v>31</v>
      </c>
      <c r="K18" s="18" t="s">
        <v>31</v>
      </c>
      <c r="L18" s="20" t="s">
        <v>373</v>
      </c>
      <c r="M18" s="18" t="s">
        <v>32</v>
      </c>
      <c r="N18" s="20" t="s">
        <v>528</v>
      </c>
      <c r="O18" s="20" t="s">
        <v>164</v>
      </c>
      <c r="P18" s="20" t="s">
        <v>2287</v>
      </c>
      <c r="Q18" s="20" t="s">
        <v>98</v>
      </c>
      <c r="R18" s="20" t="s">
        <v>452</v>
      </c>
      <c r="S18" s="18" t="s">
        <v>35</v>
      </c>
      <c r="T18" s="153">
        <v>2.323</v>
      </c>
      <c r="U18" s="20" t="s">
        <v>2288</v>
      </c>
      <c r="V18" s="167">
        <v>3.6499999999999998E-2</v>
      </c>
      <c r="W18" s="168">
        <v>5.7189999999999998E-2</v>
      </c>
      <c r="X18" s="18" t="s">
        <v>458</v>
      </c>
      <c r="Y18" s="18" t="s">
        <v>164</v>
      </c>
      <c r="Z18" s="153">
        <v>639989.89</v>
      </c>
      <c r="AA18" s="153">
        <v>1</v>
      </c>
      <c r="AB18" s="153">
        <v>95.7</v>
      </c>
      <c r="AC18" s="20"/>
      <c r="AD18" s="153">
        <v>612.47</v>
      </c>
      <c r="AE18" s="20"/>
      <c r="AG18" s="18" t="s">
        <v>37</v>
      </c>
      <c r="AH18" s="164">
        <v>3.1799999999999998E-4</v>
      </c>
      <c r="AI18" s="164">
        <v>2.5336381659384202E-2</v>
      </c>
      <c r="AJ18" s="164">
        <v>1.54976414761148E-3</v>
      </c>
    </row>
    <row r="19" spans="1:36">
      <c r="A19" s="20" t="s">
        <v>26</v>
      </c>
      <c r="B19" s="20">
        <v>1182</v>
      </c>
      <c r="C19" s="20" t="s">
        <v>1885</v>
      </c>
      <c r="D19" s="20" t="s">
        <v>1886</v>
      </c>
      <c r="E19" s="18" t="s">
        <v>1376</v>
      </c>
      <c r="F19" s="20" t="s">
        <v>2289</v>
      </c>
      <c r="G19" s="20" t="s">
        <v>2290</v>
      </c>
      <c r="H19" s="18" t="s">
        <v>367</v>
      </c>
      <c r="I19" s="20" t="s">
        <v>219</v>
      </c>
      <c r="J19" s="18" t="s">
        <v>31</v>
      </c>
      <c r="K19" s="18" t="s">
        <v>31</v>
      </c>
      <c r="L19" s="20" t="s">
        <v>373</v>
      </c>
      <c r="M19" s="18" t="s">
        <v>32</v>
      </c>
      <c r="N19" s="20" t="s">
        <v>507</v>
      </c>
      <c r="O19" s="20" t="s">
        <v>164</v>
      </c>
      <c r="P19" s="20" t="s">
        <v>1392</v>
      </c>
      <c r="Q19" s="20" t="s">
        <v>98</v>
      </c>
      <c r="R19" s="20" t="s">
        <v>452</v>
      </c>
      <c r="S19" s="18" t="s">
        <v>35</v>
      </c>
      <c r="T19" s="153">
        <v>4.6890000000000001</v>
      </c>
      <c r="U19" s="20" t="s">
        <v>2291</v>
      </c>
      <c r="V19" s="167">
        <v>1.17E-2</v>
      </c>
      <c r="W19" s="168">
        <v>3.5060000000000001E-2</v>
      </c>
      <c r="X19" s="18" t="s">
        <v>458</v>
      </c>
      <c r="Y19" s="18" t="s">
        <v>164</v>
      </c>
      <c r="Z19" s="153">
        <v>190888.24</v>
      </c>
      <c r="AA19" s="153">
        <v>1</v>
      </c>
      <c r="AB19" s="153">
        <v>101.69</v>
      </c>
      <c r="AC19" s="20"/>
      <c r="AD19" s="153">
        <v>194.114</v>
      </c>
      <c r="AE19" s="20"/>
      <c r="AG19" s="18" t="s">
        <v>37</v>
      </c>
      <c r="AH19" s="164">
        <v>2.7700000000000001E-4</v>
      </c>
      <c r="AI19" s="164">
        <v>8.0300262017032695E-3</v>
      </c>
      <c r="AJ19" s="164">
        <v>4.9117695174801098E-4</v>
      </c>
    </row>
    <row r="20" spans="1:36">
      <c r="A20" s="2" t="s">
        <v>26</v>
      </c>
      <c r="B20" s="2">
        <v>1182</v>
      </c>
      <c r="C20" s="2" t="s">
        <v>1885</v>
      </c>
      <c r="D20" s="2" t="s">
        <v>1886</v>
      </c>
      <c r="E20" s="18" t="s">
        <v>1376</v>
      </c>
      <c r="F20" s="2" t="s">
        <v>2292</v>
      </c>
      <c r="G20" s="2" t="s">
        <v>2293</v>
      </c>
      <c r="H20" s="18" t="s">
        <v>367</v>
      </c>
      <c r="I20" s="20" t="s">
        <v>219</v>
      </c>
      <c r="J20" s="18" t="s">
        <v>31</v>
      </c>
      <c r="K20" s="18" t="s">
        <v>31</v>
      </c>
      <c r="L20" s="20" t="s">
        <v>373</v>
      </c>
      <c r="M20" s="18" t="s">
        <v>32</v>
      </c>
      <c r="N20" s="20" t="s">
        <v>507</v>
      </c>
      <c r="O20" s="20" t="s">
        <v>164</v>
      </c>
      <c r="P20" s="2" t="s">
        <v>1392</v>
      </c>
      <c r="Q20" s="20" t="s">
        <v>98</v>
      </c>
      <c r="R20" s="20" t="s">
        <v>452</v>
      </c>
      <c r="S20" s="2" t="s">
        <v>35</v>
      </c>
      <c r="T20" s="150">
        <v>4.4539999999999997</v>
      </c>
      <c r="U20" s="2" t="s">
        <v>2270</v>
      </c>
      <c r="V20" s="162">
        <v>1.3299999999999999E-2</v>
      </c>
      <c r="W20" s="164">
        <v>3.5150000000000001E-2</v>
      </c>
      <c r="X20" s="18" t="s">
        <v>458</v>
      </c>
      <c r="Y20" s="18" t="s">
        <v>164</v>
      </c>
      <c r="Z20" s="150">
        <v>161500</v>
      </c>
      <c r="AA20" s="150">
        <v>1</v>
      </c>
      <c r="AB20" s="150">
        <v>103.22</v>
      </c>
      <c r="AD20" s="150">
        <v>166.7</v>
      </c>
      <c r="AG20" s="2" t="s">
        <v>37</v>
      </c>
      <c r="AH20" s="164">
        <v>1.36E-4</v>
      </c>
      <c r="AI20" s="164">
        <v>6.8959788792963203E-3</v>
      </c>
      <c r="AJ20" s="164">
        <v>4.2181006638969398E-4</v>
      </c>
    </row>
    <row r="21" spans="1:36">
      <c r="A21" s="2" t="s">
        <v>26</v>
      </c>
      <c r="B21" s="2">
        <v>1182</v>
      </c>
      <c r="C21" s="2" t="s">
        <v>1877</v>
      </c>
      <c r="D21" s="2" t="s">
        <v>1878</v>
      </c>
      <c r="E21" s="4" t="s">
        <v>1376</v>
      </c>
      <c r="F21" s="2" t="s">
        <v>2294</v>
      </c>
      <c r="G21" s="2" t="s">
        <v>2295</v>
      </c>
      <c r="H21" s="4" t="s">
        <v>367</v>
      </c>
      <c r="I21" s="2" t="s">
        <v>1010</v>
      </c>
      <c r="J21" s="2" t="s">
        <v>31</v>
      </c>
      <c r="K21" s="2" t="s">
        <v>31</v>
      </c>
      <c r="L21" s="2" t="s">
        <v>373</v>
      </c>
      <c r="M21" s="4" t="s">
        <v>32</v>
      </c>
      <c r="N21" s="2" t="s">
        <v>483</v>
      </c>
      <c r="O21" s="2" t="s">
        <v>164</v>
      </c>
      <c r="P21" s="2" t="s">
        <v>2258</v>
      </c>
      <c r="Q21" s="2" t="s">
        <v>217</v>
      </c>
      <c r="R21" s="2" t="s">
        <v>452</v>
      </c>
      <c r="S21" s="2" t="s">
        <v>35</v>
      </c>
      <c r="T21" s="150">
        <v>4.7069999999999999</v>
      </c>
      <c r="U21" s="2" t="s">
        <v>2296</v>
      </c>
      <c r="V21" s="162">
        <v>5.7500000000000002E-2</v>
      </c>
      <c r="W21" s="164">
        <v>6.7390000000000005E-2</v>
      </c>
      <c r="X21" s="4" t="s">
        <v>458</v>
      </c>
      <c r="Y21" s="4" t="s">
        <v>164</v>
      </c>
      <c r="Z21" s="150">
        <v>353711</v>
      </c>
      <c r="AA21" s="150">
        <v>1</v>
      </c>
      <c r="AB21" s="150">
        <v>97.35</v>
      </c>
      <c r="AD21" s="150">
        <v>344.33800000000002</v>
      </c>
      <c r="AG21" s="2" t="s">
        <v>37</v>
      </c>
      <c r="AH21" s="164">
        <v>6.7400000000000001E-4</v>
      </c>
      <c r="AI21" s="164">
        <v>1.42443968028993E-2</v>
      </c>
      <c r="AJ21" s="164">
        <v>8.7129471628039404E-4</v>
      </c>
    </row>
    <row r="22" spans="1:36">
      <c r="A22" s="2" t="s">
        <v>26</v>
      </c>
      <c r="B22" s="2">
        <v>1182</v>
      </c>
      <c r="C22" s="2" t="s">
        <v>2297</v>
      </c>
      <c r="D22" s="2" t="s">
        <v>2298</v>
      </c>
      <c r="E22" s="4" t="s">
        <v>1376</v>
      </c>
      <c r="F22" s="2" t="s">
        <v>2299</v>
      </c>
      <c r="G22" s="2" t="s">
        <v>2300</v>
      </c>
      <c r="H22" s="4" t="s">
        <v>367</v>
      </c>
      <c r="I22" s="2" t="s">
        <v>1010</v>
      </c>
      <c r="J22" s="2" t="s">
        <v>31</v>
      </c>
      <c r="K22" s="2" t="s">
        <v>31</v>
      </c>
      <c r="L22" s="2" t="s">
        <v>373</v>
      </c>
      <c r="M22" s="4" t="s">
        <v>32</v>
      </c>
      <c r="N22" s="2" t="s">
        <v>507</v>
      </c>
      <c r="O22" s="2" t="s">
        <v>164</v>
      </c>
      <c r="P22" s="2" t="s">
        <v>2247</v>
      </c>
      <c r="Q22" s="2" t="s">
        <v>217</v>
      </c>
      <c r="R22" s="2" t="s">
        <v>452</v>
      </c>
      <c r="S22" s="2" t="s">
        <v>35</v>
      </c>
      <c r="T22" s="150">
        <v>5.38</v>
      </c>
      <c r="U22" s="2" t="s">
        <v>2301</v>
      </c>
      <c r="V22" s="162">
        <v>2.5499999999999998E-2</v>
      </c>
      <c r="W22" s="164">
        <v>6.1440000000000002E-2</v>
      </c>
      <c r="X22" s="4" t="s">
        <v>458</v>
      </c>
      <c r="Y22" s="4" t="s">
        <v>164</v>
      </c>
      <c r="Z22" s="150">
        <v>108506.68</v>
      </c>
      <c r="AA22" s="150">
        <v>1</v>
      </c>
      <c r="AB22" s="150">
        <v>82.82</v>
      </c>
      <c r="AD22" s="150">
        <v>89.864999999999995</v>
      </c>
      <c r="AG22" s="2" t="s">
        <v>37</v>
      </c>
      <c r="AH22" s="164">
        <v>6.0000000000000002E-5</v>
      </c>
      <c r="AI22" s="164">
        <v>3.7175022747286701E-3</v>
      </c>
      <c r="AJ22" s="164">
        <v>2.2739047041094601E-4</v>
      </c>
    </row>
    <row r="23" spans="1:36">
      <c r="A23" s="2" t="s">
        <v>26</v>
      </c>
      <c r="B23" s="2">
        <v>1182</v>
      </c>
      <c r="C23" s="2" t="s">
        <v>2297</v>
      </c>
      <c r="D23" s="2" t="s">
        <v>2298</v>
      </c>
      <c r="E23" s="4" t="s">
        <v>1376</v>
      </c>
      <c r="F23" s="2" t="s">
        <v>2302</v>
      </c>
      <c r="G23" s="2" t="s">
        <v>2303</v>
      </c>
      <c r="H23" s="4" t="s">
        <v>367</v>
      </c>
      <c r="I23" s="2" t="s">
        <v>219</v>
      </c>
      <c r="J23" s="2" t="s">
        <v>31</v>
      </c>
      <c r="K23" s="2" t="s">
        <v>31</v>
      </c>
      <c r="L23" s="2" t="s">
        <v>373</v>
      </c>
      <c r="M23" s="2" t="s">
        <v>32</v>
      </c>
      <c r="N23" s="2" t="s">
        <v>507</v>
      </c>
      <c r="O23" s="2" t="s">
        <v>164</v>
      </c>
      <c r="P23" s="2" t="s">
        <v>2247</v>
      </c>
      <c r="Q23" s="2" t="s">
        <v>217</v>
      </c>
      <c r="R23" s="2" t="s">
        <v>452</v>
      </c>
      <c r="S23" s="2" t="s">
        <v>35</v>
      </c>
      <c r="T23" s="150">
        <v>4.2089999999999996</v>
      </c>
      <c r="U23" s="2" t="s">
        <v>2304</v>
      </c>
      <c r="V23" s="162">
        <v>5.0000000000000001E-3</v>
      </c>
      <c r="W23" s="164">
        <v>3.3119999999999997E-2</v>
      </c>
      <c r="X23" s="4" t="s">
        <v>458</v>
      </c>
      <c r="Y23" s="4" t="s">
        <v>164</v>
      </c>
      <c r="Z23" s="150">
        <v>65501.11</v>
      </c>
      <c r="AA23" s="150">
        <v>1</v>
      </c>
      <c r="AB23" s="150">
        <v>100.45</v>
      </c>
      <c r="AD23" s="150">
        <v>65.796000000000006</v>
      </c>
      <c r="AG23" s="2" t="s">
        <v>37</v>
      </c>
      <c r="AH23" s="164">
        <v>3.4999999999999997E-5</v>
      </c>
      <c r="AI23" s="164">
        <v>2.7218121104194302E-3</v>
      </c>
      <c r="AJ23" s="164">
        <v>1.6648655210403499E-4</v>
      </c>
    </row>
    <row r="24" spans="1:36">
      <c r="A24" s="2" t="s">
        <v>26</v>
      </c>
      <c r="B24" s="2">
        <v>1182</v>
      </c>
      <c r="C24" s="2" t="s">
        <v>2297</v>
      </c>
      <c r="D24" s="2" t="s">
        <v>2298</v>
      </c>
      <c r="E24" s="4" t="s">
        <v>1376</v>
      </c>
      <c r="F24" s="2" t="s">
        <v>2305</v>
      </c>
      <c r="G24" s="2" t="s">
        <v>2306</v>
      </c>
      <c r="H24" s="2" t="s">
        <v>367</v>
      </c>
      <c r="I24" s="2" t="s">
        <v>219</v>
      </c>
      <c r="J24" s="2" t="s">
        <v>31</v>
      </c>
      <c r="K24" s="2" t="s">
        <v>31</v>
      </c>
      <c r="L24" s="2" t="s">
        <v>373</v>
      </c>
      <c r="M24" s="2" t="s">
        <v>32</v>
      </c>
      <c r="N24" s="2" t="s">
        <v>507</v>
      </c>
      <c r="O24" s="2" t="s">
        <v>164</v>
      </c>
      <c r="P24" s="2" t="s">
        <v>2247</v>
      </c>
      <c r="Q24" s="2" t="s">
        <v>217</v>
      </c>
      <c r="R24" s="2" t="s">
        <v>452</v>
      </c>
      <c r="S24" s="2" t="s">
        <v>35</v>
      </c>
      <c r="T24" s="150">
        <v>5.37</v>
      </c>
      <c r="U24" s="2" t="s">
        <v>2307</v>
      </c>
      <c r="V24" s="162">
        <v>5.8999999999999999E-3</v>
      </c>
      <c r="W24" s="164">
        <v>3.5549999999999998E-2</v>
      </c>
      <c r="X24" s="4" t="s">
        <v>458</v>
      </c>
      <c r="Y24" s="4" t="s">
        <v>164</v>
      </c>
      <c r="Z24" s="150">
        <v>559140</v>
      </c>
      <c r="AA24" s="150">
        <v>1</v>
      </c>
      <c r="AB24" s="150">
        <v>94</v>
      </c>
      <c r="AD24" s="150">
        <v>525.59199999999998</v>
      </c>
      <c r="AG24" s="2" t="s">
        <v>37</v>
      </c>
      <c r="AH24" s="164">
        <v>3.9899999999999999E-4</v>
      </c>
      <c r="AI24" s="164">
        <v>2.17424238152874E-2</v>
      </c>
      <c r="AJ24" s="164">
        <v>1.3299305861469101E-3</v>
      </c>
    </row>
    <row r="25" spans="1:36">
      <c r="A25" s="2" t="s">
        <v>26</v>
      </c>
      <c r="B25" s="2">
        <v>1182</v>
      </c>
      <c r="C25" s="2" t="s">
        <v>2297</v>
      </c>
      <c r="D25" s="2" t="s">
        <v>2298</v>
      </c>
      <c r="E25" s="4" t="s">
        <v>1376</v>
      </c>
      <c r="F25" s="2" t="s">
        <v>2308</v>
      </c>
      <c r="G25" s="2" t="s">
        <v>2309</v>
      </c>
      <c r="H25" s="2" t="s">
        <v>367</v>
      </c>
      <c r="I25" s="2" t="s">
        <v>219</v>
      </c>
      <c r="J25" s="2" t="s">
        <v>31</v>
      </c>
      <c r="K25" s="2" t="s">
        <v>31</v>
      </c>
      <c r="L25" s="2" t="s">
        <v>373</v>
      </c>
      <c r="M25" s="2" t="s">
        <v>32</v>
      </c>
      <c r="N25" s="2" t="s">
        <v>507</v>
      </c>
      <c r="O25" s="2" t="s">
        <v>164</v>
      </c>
      <c r="P25" s="2" t="s">
        <v>2247</v>
      </c>
      <c r="Q25" s="2" t="s">
        <v>217</v>
      </c>
      <c r="R25" s="2" t="s">
        <v>452</v>
      </c>
      <c r="S25" s="2" t="s">
        <v>35</v>
      </c>
      <c r="T25" s="150">
        <v>1.21</v>
      </c>
      <c r="U25" s="2" t="s">
        <v>2310</v>
      </c>
      <c r="V25" s="162">
        <v>4.7500000000000001E-2</v>
      </c>
      <c r="W25" s="164">
        <v>2.843E-2</v>
      </c>
      <c r="X25" s="4" t="s">
        <v>458</v>
      </c>
      <c r="Y25" s="4" t="s">
        <v>164</v>
      </c>
      <c r="Z25" s="150">
        <v>180177.47</v>
      </c>
      <c r="AA25" s="150">
        <v>1</v>
      </c>
      <c r="AB25" s="150">
        <v>142.59</v>
      </c>
      <c r="AD25" s="150">
        <v>256.91500000000002</v>
      </c>
      <c r="AG25" s="2" t="s">
        <v>37</v>
      </c>
      <c r="AH25" s="164">
        <v>1.8900000000000001E-4</v>
      </c>
      <c r="AI25" s="164">
        <v>1.06279400182188E-2</v>
      </c>
      <c r="AJ25" s="164">
        <v>6.5008494995970497E-4</v>
      </c>
    </row>
    <row r="26" spans="1:36">
      <c r="A26" s="2" t="s">
        <v>26</v>
      </c>
      <c r="B26" s="2">
        <v>1182</v>
      </c>
      <c r="C26" s="2" t="s">
        <v>2311</v>
      </c>
      <c r="D26" s="2" t="s">
        <v>2312</v>
      </c>
      <c r="E26" s="4" t="s">
        <v>1376</v>
      </c>
      <c r="F26" s="2" t="s">
        <v>2313</v>
      </c>
      <c r="G26" s="2" t="s">
        <v>2314</v>
      </c>
      <c r="H26" s="2" t="s">
        <v>367</v>
      </c>
      <c r="I26" s="2" t="s">
        <v>219</v>
      </c>
      <c r="J26" s="2" t="s">
        <v>31</v>
      </c>
      <c r="K26" s="2" t="s">
        <v>345</v>
      </c>
      <c r="L26" s="2" t="s">
        <v>373</v>
      </c>
      <c r="M26" s="2" t="s">
        <v>32</v>
      </c>
      <c r="N26" s="2" t="s">
        <v>508</v>
      </c>
      <c r="O26" s="2" t="s">
        <v>164</v>
      </c>
      <c r="P26" s="2" t="s">
        <v>2287</v>
      </c>
      <c r="Q26" s="2" t="s">
        <v>98</v>
      </c>
      <c r="R26" s="2" t="s">
        <v>452</v>
      </c>
      <c r="S26" s="2" t="s">
        <v>35</v>
      </c>
      <c r="T26" s="150">
        <v>0.247</v>
      </c>
      <c r="U26" s="2" t="s">
        <v>2315</v>
      </c>
      <c r="V26" s="162">
        <v>5.3499999999999999E-2</v>
      </c>
      <c r="W26" s="164">
        <v>3.3520000000000001E-2</v>
      </c>
      <c r="X26" s="4" t="s">
        <v>458</v>
      </c>
      <c r="Y26" s="4" t="s">
        <v>164</v>
      </c>
      <c r="Z26" s="150">
        <v>127500</v>
      </c>
      <c r="AA26" s="150">
        <v>1</v>
      </c>
      <c r="AB26" s="150">
        <v>119.58</v>
      </c>
      <c r="AD26" s="150">
        <v>152.464</v>
      </c>
      <c r="AG26" s="2" t="s">
        <v>37</v>
      </c>
      <c r="AH26" s="164">
        <v>3.86E-4</v>
      </c>
      <c r="AI26" s="164">
        <v>6.3070790625000296E-3</v>
      </c>
      <c r="AJ26" s="164">
        <v>3.8578851308048898E-4</v>
      </c>
    </row>
    <row r="27" spans="1:36">
      <c r="A27" s="2" t="s">
        <v>26</v>
      </c>
      <c r="B27" s="2">
        <v>1182</v>
      </c>
      <c r="C27" s="2" t="s">
        <v>2316</v>
      </c>
      <c r="D27" s="2" t="s">
        <v>2317</v>
      </c>
      <c r="E27" s="4" t="s">
        <v>1376</v>
      </c>
      <c r="F27" s="2" t="s">
        <v>2318</v>
      </c>
      <c r="G27" s="2" t="s">
        <v>2319</v>
      </c>
      <c r="H27" s="2" t="s">
        <v>367</v>
      </c>
      <c r="I27" s="2" t="s">
        <v>219</v>
      </c>
      <c r="J27" s="2" t="s">
        <v>31</v>
      </c>
      <c r="K27" s="2" t="s">
        <v>31</v>
      </c>
      <c r="L27" s="2" t="s">
        <v>373</v>
      </c>
      <c r="M27" s="2" t="s">
        <v>32</v>
      </c>
      <c r="N27" s="2" t="s">
        <v>494</v>
      </c>
      <c r="O27" s="2" t="s">
        <v>164</v>
      </c>
      <c r="P27" s="2" t="s">
        <v>2258</v>
      </c>
      <c r="Q27" s="2" t="s">
        <v>217</v>
      </c>
      <c r="R27" s="2" t="s">
        <v>452</v>
      </c>
      <c r="S27" s="2" t="s">
        <v>35</v>
      </c>
      <c r="T27" s="150">
        <v>4.3819999999999997</v>
      </c>
      <c r="U27" s="2" t="s">
        <v>2320</v>
      </c>
      <c r="V27" s="162">
        <v>7.4999999999999997E-3</v>
      </c>
      <c r="W27" s="164">
        <v>3.9260000000000003E-2</v>
      </c>
      <c r="X27" s="4" t="s">
        <v>458</v>
      </c>
      <c r="Y27" s="4" t="s">
        <v>164</v>
      </c>
      <c r="Z27" s="150">
        <v>203842</v>
      </c>
      <c r="AA27" s="150">
        <v>1</v>
      </c>
      <c r="AB27" s="150">
        <v>96.11</v>
      </c>
      <c r="AD27" s="150">
        <v>195.91300000000001</v>
      </c>
      <c r="AG27" s="2" t="s">
        <v>37</v>
      </c>
      <c r="AH27" s="164">
        <v>1.95E-4</v>
      </c>
      <c r="AI27" s="164">
        <v>8.1044172133125404E-3</v>
      </c>
      <c r="AJ27" s="164">
        <v>4.9572726695270403E-4</v>
      </c>
    </row>
    <row r="28" spans="1:36">
      <c r="A28" s="2" t="s">
        <v>26</v>
      </c>
      <c r="B28" s="2">
        <v>1182</v>
      </c>
      <c r="C28" s="2" t="s">
        <v>2321</v>
      </c>
      <c r="D28" s="2" t="s">
        <v>2322</v>
      </c>
      <c r="E28" s="4" t="s">
        <v>1376</v>
      </c>
      <c r="F28" s="2" t="s">
        <v>2323</v>
      </c>
      <c r="G28" s="2" t="s">
        <v>2324</v>
      </c>
      <c r="H28" s="2" t="s">
        <v>367</v>
      </c>
      <c r="I28" s="2" t="s">
        <v>219</v>
      </c>
      <c r="J28" s="2" t="s">
        <v>31</v>
      </c>
      <c r="K28" s="2" t="s">
        <v>31</v>
      </c>
      <c r="L28" s="2" t="s">
        <v>373</v>
      </c>
      <c r="M28" s="2" t="s">
        <v>32</v>
      </c>
      <c r="N28" s="2" t="s">
        <v>491</v>
      </c>
      <c r="O28" s="2" t="s">
        <v>164</v>
      </c>
      <c r="P28" s="2" t="s">
        <v>97</v>
      </c>
      <c r="Q28" s="2" t="s">
        <v>98</v>
      </c>
      <c r="R28" s="2" t="s">
        <v>452</v>
      </c>
      <c r="S28" s="2" t="s">
        <v>35</v>
      </c>
      <c r="T28" s="150">
        <v>5.3019999999999996</v>
      </c>
      <c r="U28" s="2" t="s">
        <v>2325</v>
      </c>
      <c r="V28" s="162">
        <v>2.47E-2</v>
      </c>
      <c r="W28" s="164">
        <v>2.6040000000000001E-2</v>
      </c>
      <c r="X28" s="4" t="s">
        <v>458</v>
      </c>
      <c r="Y28" s="4" t="s">
        <v>164</v>
      </c>
      <c r="Z28" s="150">
        <v>524759</v>
      </c>
      <c r="AA28" s="150">
        <v>1</v>
      </c>
      <c r="AB28" s="150">
        <v>100.34</v>
      </c>
      <c r="AD28" s="150">
        <v>526.54300000000001</v>
      </c>
      <c r="AG28" s="2" t="s">
        <v>37</v>
      </c>
      <c r="AH28" s="164">
        <v>3.3599999999999998E-4</v>
      </c>
      <c r="AI28" s="164">
        <v>2.1781788349841701E-2</v>
      </c>
      <c r="AJ28" s="164">
        <v>1.3323384179028299E-3</v>
      </c>
    </row>
    <row r="29" spans="1:36">
      <c r="A29" s="2" t="s">
        <v>26</v>
      </c>
      <c r="B29" s="2">
        <v>1182</v>
      </c>
      <c r="C29" s="2" t="s">
        <v>2326</v>
      </c>
      <c r="D29" s="2" t="s">
        <v>2327</v>
      </c>
      <c r="E29" s="4" t="s">
        <v>1376</v>
      </c>
      <c r="F29" s="2" t="s">
        <v>2328</v>
      </c>
      <c r="G29" s="2" t="s">
        <v>2329</v>
      </c>
      <c r="H29" s="2" t="s">
        <v>367</v>
      </c>
      <c r="I29" s="2" t="s">
        <v>219</v>
      </c>
      <c r="J29" s="2" t="s">
        <v>31</v>
      </c>
      <c r="K29" s="2" t="s">
        <v>31</v>
      </c>
      <c r="L29" s="2" t="s">
        <v>373</v>
      </c>
      <c r="M29" s="2" t="s">
        <v>32</v>
      </c>
      <c r="N29" s="2" t="s">
        <v>494</v>
      </c>
      <c r="O29" s="2" t="s">
        <v>164</v>
      </c>
      <c r="P29" s="2" t="s">
        <v>2330</v>
      </c>
      <c r="Q29" s="2" t="s">
        <v>217</v>
      </c>
      <c r="R29" s="2" t="s">
        <v>452</v>
      </c>
      <c r="S29" s="2" t="s">
        <v>35</v>
      </c>
      <c r="T29" s="150">
        <v>0.97599999999999998</v>
      </c>
      <c r="U29" s="2" t="s">
        <v>2331</v>
      </c>
      <c r="V29" s="162">
        <v>4.9500000000000002E-2</v>
      </c>
      <c r="W29" s="164">
        <v>4.5920000000000002E-2</v>
      </c>
      <c r="X29" s="4" t="s">
        <v>458</v>
      </c>
      <c r="Y29" s="4" t="s">
        <v>386</v>
      </c>
      <c r="Z29" s="150">
        <v>0.06</v>
      </c>
      <c r="AA29" s="150">
        <v>1</v>
      </c>
      <c r="AB29" s="150">
        <v>140.22</v>
      </c>
      <c r="AD29" s="150">
        <v>0</v>
      </c>
      <c r="AG29" s="2" t="s">
        <v>37</v>
      </c>
      <c r="AH29" s="164">
        <v>0</v>
      </c>
      <c r="AI29" s="164">
        <v>3.4803326393111404E-9</v>
      </c>
      <c r="AJ29" s="164">
        <v>2.1288338716545602E-10</v>
      </c>
    </row>
    <row r="30" spans="1:36">
      <c r="A30" s="2" t="s">
        <v>26</v>
      </c>
      <c r="B30" s="2">
        <v>1182</v>
      </c>
      <c r="C30" s="2" t="s">
        <v>2321</v>
      </c>
      <c r="D30" s="2" t="s">
        <v>2322</v>
      </c>
      <c r="E30" s="4" t="s">
        <v>1376</v>
      </c>
      <c r="F30" s="2" t="s">
        <v>2332</v>
      </c>
      <c r="G30" s="2" t="s">
        <v>2333</v>
      </c>
      <c r="H30" s="2" t="s">
        <v>367</v>
      </c>
      <c r="I30" s="2" t="s">
        <v>219</v>
      </c>
      <c r="J30" s="2" t="s">
        <v>31</v>
      </c>
      <c r="K30" s="2" t="s">
        <v>31</v>
      </c>
      <c r="L30" s="2" t="s">
        <v>373</v>
      </c>
      <c r="M30" s="2" t="s">
        <v>32</v>
      </c>
      <c r="N30" s="2" t="s">
        <v>491</v>
      </c>
      <c r="O30" s="2" t="s">
        <v>164</v>
      </c>
      <c r="P30" s="2" t="s">
        <v>1392</v>
      </c>
      <c r="Q30" s="2" t="s">
        <v>98</v>
      </c>
      <c r="R30" s="2" t="s">
        <v>452</v>
      </c>
      <c r="S30" s="2" t="s">
        <v>35</v>
      </c>
      <c r="T30" s="150">
        <v>4.1150000000000002</v>
      </c>
      <c r="U30" s="2" t="s">
        <v>2334</v>
      </c>
      <c r="V30" s="162">
        <v>3.1699999999999999E-2</v>
      </c>
      <c r="W30" s="164">
        <v>3.594E-2</v>
      </c>
      <c r="X30" s="4" t="s">
        <v>458</v>
      </c>
      <c r="Y30" s="4" t="s">
        <v>164</v>
      </c>
      <c r="Z30" s="150">
        <v>400000</v>
      </c>
      <c r="AA30" s="150">
        <v>1</v>
      </c>
      <c r="AB30" s="150">
        <v>105.55</v>
      </c>
      <c r="AD30" s="150">
        <v>422.2</v>
      </c>
      <c r="AG30" s="2" t="s">
        <v>37</v>
      </c>
      <c r="AH30" s="164">
        <v>4.7399999999999997E-4</v>
      </c>
      <c r="AI30" s="164">
        <v>1.74653691855318E-2</v>
      </c>
      <c r="AJ30" s="164">
        <v>1.0683136744788599E-3</v>
      </c>
    </row>
    <row r="31" spans="1:36">
      <c r="A31" s="2" t="s">
        <v>26</v>
      </c>
      <c r="B31" s="2">
        <v>1182</v>
      </c>
      <c r="C31" s="2" t="s">
        <v>2335</v>
      </c>
      <c r="D31" s="2" t="s">
        <v>2336</v>
      </c>
      <c r="E31" s="4" t="s">
        <v>1376</v>
      </c>
      <c r="F31" s="2" t="s">
        <v>2337</v>
      </c>
      <c r="G31" s="2" t="s">
        <v>2338</v>
      </c>
      <c r="H31" s="2" t="s">
        <v>367</v>
      </c>
      <c r="I31" s="2" t="s">
        <v>219</v>
      </c>
      <c r="J31" s="2" t="s">
        <v>31</v>
      </c>
      <c r="K31" s="2" t="s">
        <v>31</v>
      </c>
      <c r="L31" s="2" t="s">
        <v>373</v>
      </c>
      <c r="M31" s="2" t="s">
        <v>32</v>
      </c>
      <c r="N31" s="2" t="s">
        <v>483</v>
      </c>
      <c r="O31" s="2" t="s">
        <v>164</v>
      </c>
      <c r="P31" s="2" t="s">
        <v>2287</v>
      </c>
      <c r="Q31" s="2" t="s">
        <v>98</v>
      </c>
      <c r="R31" s="2" t="s">
        <v>452</v>
      </c>
      <c r="S31" s="2" t="s">
        <v>35</v>
      </c>
      <c r="T31" s="150">
        <v>3.69</v>
      </c>
      <c r="U31" s="2" t="s">
        <v>2339</v>
      </c>
      <c r="V31" s="162">
        <v>1.7999999999999999E-2</v>
      </c>
      <c r="W31" s="164">
        <v>3.5799999999999998E-2</v>
      </c>
      <c r="X31" s="4" t="s">
        <v>458</v>
      </c>
      <c r="Y31" s="4" t="s">
        <v>164</v>
      </c>
      <c r="Z31" s="150">
        <v>182634.42</v>
      </c>
      <c r="AA31" s="150">
        <v>1</v>
      </c>
      <c r="AB31" s="150">
        <v>106.94</v>
      </c>
      <c r="AD31" s="150">
        <v>195.309</v>
      </c>
      <c r="AG31" s="2" t="s">
        <v>37</v>
      </c>
      <c r="AH31" s="164">
        <v>1.84E-4</v>
      </c>
      <c r="AI31" s="164">
        <v>8.0794602906979797E-3</v>
      </c>
      <c r="AJ31" s="164">
        <v>4.9420071338153004E-4</v>
      </c>
    </row>
    <row r="32" spans="1:36">
      <c r="A32" s="2" t="s">
        <v>26</v>
      </c>
      <c r="B32" s="2">
        <v>1182</v>
      </c>
      <c r="C32" s="2" t="s">
        <v>2335</v>
      </c>
      <c r="D32" s="2" t="s">
        <v>2336</v>
      </c>
      <c r="E32" s="4" t="s">
        <v>1376</v>
      </c>
      <c r="F32" s="2" t="s">
        <v>2340</v>
      </c>
      <c r="G32" s="2" t="s">
        <v>2341</v>
      </c>
      <c r="H32" s="2" t="s">
        <v>367</v>
      </c>
      <c r="I32" s="2" t="s">
        <v>219</v>
      </c>
      <c r="J32" s="2" t="s">
        <v>31</v>
      </c>
      <c r="K32" s="2" t="s">
        <v>31</v>
      </c>
      <c r="L32" s="2" t="s">
        <v>373</v>
      </c>
      <c r="M32" s="2" t="s">
        <v>32</v>
      </c>
      <c r="N32" s="2" t="s">
        <v>483</v>
      </c>
      <c r="O32" s="2" t="s">
        <v>164</v>
      </c>
      <c r="P32" s="2" t="s">
        <v>2287</v>
      </c>
      <c r="Q32" s="2" t="s">
        <v>98</v>
      </c>
      <c r="R32" s="2" t="s">
        <v>452</v>
      </c>
      <c r="S32" s="2" t="s">
        <v>35</v>
      </c>
      <c r="T32" s="150">
        <v>5.9729999999999999</v>
      </c>
      <c r="U32" s="2" t="s">
        <v>2342</v>
      </c>
      <c r="V32" s="162">
        <v>3.3000000000000002E-2</v>
      </c>
      <c r="W32" s="164">
        <v>4.1739999999999999E-2</v>
      </c>
      <c r="X32" s="4" t="s">
        <v>458</v>
      </c>
      <c r="Y32" s="4" t="s">
        <v>164</v>
      </c>
      <c r="Z32" s="150">
        <v>675011.54</v>
      </c>
      <c r="AA32" s="150">
        <v>1</v>
      </c>
      <c r="AB32" s="150">
        <v>100.71</v>
      </c>
      <c r="AD32" s="150">
        <v>679.80399999999997</v>
      </c>
      <c r="AG32" s="2" t="s">
        <v>37</v>
      </c>
      <c r="AH32" s="164">
        <v>5.3899999999999998E-4</v>
      </c>
      <c r="AI32" s="164">
        <v>2.8121814219383201E-2</v>
      </c>
      <c r="AJ32" s="164">
        <v>1.7201422061326099E-3</v>
      </c>
    </row>
    <row r="33" spans="1:36">
      <c r="A33" s="2" t="s">
        <v>26</v>
      </c>
      <c r="B33" s="2">
        <v>1182</v>
      </c>
      <c r="C33" s="2" t="s">
        <v>2159</v>
      </c>
      <c r="D33" s="2" t="s">
        <v>2160</v>
      </c>
      <c r="E33" s="4" t="s">
        <v>1376</v>
      </c>
      <c r="F33" s="2" t="s">
        <v>2343</v>
      </c>
      <c r="G33" s="2" t="s">
        <v>2344</v>
      </c>
      <c r="H33" s="2" t="s">
        <v>367</v>
      </c>
      <c r="I33" s="2" t="s">
        <v>219</v>
      </c>
      <c r="J33" s="2" t="s">
        <v>31</v>
      </c>
      <c r="K33" s="2" t="s">
        <v>31</v>
      </c>
      <c r="L33" s="2" t="s">
        <v>373</v>
      </c>
      <c r="M33" s="2" t="s">
        <v>32</v>
      </c>
      <c r="N33" s="2" t="s">
        <v>507</v>
      </c>
      <c r="O33" s="2" t="s">
        <v>164</v>
      </c>
      <c r="P33" s="2" t="s">
        <v>2228</v>
      </c>
      <c r="Q33" s="2" t="s">
        <v>217</v>
      </c>
      <c r="R33" s="2" t="s">
        <v>452</v>
      </c>
      <c r="S33" s="2" t="s">
        <v>35</v>
      </c>
      <c r="T33" s="150">
        <v>2.3730000000000002</v>
      </c>
      <c r="U33" s="2" t="s">
        <v>2237</v>
      </c>
      <c r="V33" s="162">
        <v>3.6499999999999998E-2</v>
      </c>
      <c r="W33" s="164">
        <v>3.7539999999999997E-2</v>
      </c>
      <c r="X33" s="4" t="s">
        <v>458</v>
      </c>
      <c r="Y33" s="4" t="s">
        <v>164</v>
      </c>
      <c r="Z33" s="150">
        <v>400000</v>
      </c>
      <c r="AA33" s="150">
        <v>1</v>
      </c>
      <c r="AB33" s="150">
        <v>105.01</v>
      </c>
      <c r="AD33" s="150">
        <v>420.04</v>
      </c>
      <c r="AG33" s="2" t="s">
        <v>37</v>
      </c>
      <c r="AH33" s="164">
        <v>1.227E-3</v>
      </c>
      <c r="AI33" s="164">
        <v>1.7376015330864001E-2</v>
      </c>
      <c r="AJ33" s="164">
        <v>1.0628481189675499E-3</v>
      </c>
    </row>
    <row r="34" spans="1:36">
      <c r="A34" s="2" t="s">
        <v>26</v>
      </c>
      <c r="B34" s="2">
        <v>1182</v>
      </c>
      <c r="C34" s="2" t="s">
        <v>2159</v>
      </c>
      <c r="D34" s="2" t="s">
        <v>2160</v>
      </c>
      <c r="E34" s="4" t="s">
        <v>1376</v>
      </c>
      <c r="F34" s="2" t="s">
        <v>2345</v>
      </c>
      <c r="G34" s="2" t="s">
        <v>2346</v>
      </c>
      <c r="H34" s="2" t="s">
        <v>367</v>
      </c>
      <c r="I34" s="2" t="s">
        <v>219</v>
      </c>
      <c r="J34" s="2" t="s">
        <v>31</v>
      </c>
      <c r="K34" s="2" t="s">
        <v>31</v>
      </c>
      <c r="L34" s="2" t="s">
        <v>373</v>
      </c>
      <c r="M34" s="2" t="s">
        <v>32</v>
      </c>
      <c r="N34" s="2" t="s">
        <v>507</v>
      </c>
      <c r="O34" s="2" t="s">
        <v>164</v>
      </c>
      <c r="P34" s="2" t="s">
        <v>2275</v>
      </c>
      <c r="Q34" s="2" t="s">
        <v>217</v>
      </c>
      <c r="R34" s="2" t="s">
        <v>452</v>
      </c>
      <c r="S34" s="2" t="s">
        <v>35</v>
      </c>
      <c r="T34" s="150">
        <v>3.028</v>
      </c>
      <c r="U34" s="2" t="s">
        <v>1371</v>
      </c>
      <c r="V34" s="162">
        <v>1.7999999999999999E-2</v>
      </c>
      <c r="W34" s="164">
        <v>3.0200000000000001E-2</v>
      </c>
      <c r="X34" s="4" t="s">
        <v>458</v>
      </c>
      <c r="Y34" s="4" t="s">
        <v>164</v>
      </c>
      <c r="Z34" s="150">
        <v>225729.88</v>
      </c>
      <c r="AA34" s="150">
        <v>1</v>
      </c>
      <c r="AB34" s="150">
        <v>110.52</v>
      </c>
      <c r="AD34" s="150">
        <v>249.477</v>
      </c>
      <c r="AG34" s="2" t="s">
        <v>37</v>
      </c>
      <c r="AH34" s="164">
        <v>2.8600000000000001E-4</v>
      </c>
      <c r="AI34" s="164">
        <v>1.0320232186254099E-2</v>
      </c>
      <c r="AJ34" s="164">
        <v>6.3126321873031898E-4</v>
      </c>
    </row>
    <row r="35" spans="1:36">
      <c r="A35" s="2" t="s">
        <v>26</v>
      </c>
      <c r="B35" s="2">
        <v>1182</v>
      </c>
      <c r="C35" s="2" t="s">
        <v>2347</v>
      </c>
      <c r="D35" s="2" t="s">
        <v>2348</v>
      </c>
      <c r="E35" s="4" t="s">
        <v>1376</v>
      </c>
      <c r="F35" s="2" t="s">
        <v>2349</v>
      </c>
      <c r="G35" s="2" t="s">
        <v>2350</v>
      </c>
      <c r="H35" s="2" t="s">
        <v>367</v>
      </c>
      <c r="I35" s="2" t="s">
        <v>1010</v>
      </c>
      <c r="J35" s="2" t="s">
        <v>31</v>
      </c>
      <c r="K35" s="2" t="s">
        <v>31</v>
      </c>
      <c r="L35" s="2" t="s">
        <v>373</v>
      </c>
      <c r="M35" s="2" t="s">
        <v>32</v>
      </c>
      <c r="N35" s="2" t="s">
        <v>488</v>
      </c>
      <c r="O35" s="2" t="s">
        <v>164</v>
      </c>
      <c r="P35" s="2" t="s">
        <v>1392</v>
      </c>
      <c r="Q35" s="2" t="s">
        <v>98</v>
      </c>
      <c r="R35" s="2" t="s">
        <v>452</v>
      </c>
      <c r="S35" s="2" t="s">
        <v>35</v>
      </c>
      <c r="T35" s="150">
        <v>6.6689999999999996</v>
      </c>
      <c r="U35" s="2" t="s">
        <v>2351</v>
      </c>
      <c r="V35" s="162">
        <v>3.0499999999999999E-2</v>
      </c>
      <c r="W35" s="164">
        <v>6.0159999999999998E-2</v>
      </c>
      <c r="X35" s="4" t="s">
        <v>458</v>
      </c>
      <c r="Y35" s="4" t="s">
        <v>164</v>
      </c>
      <c r="Z35" s="150">
        <v>199313</v>
      </c>
      <c r="AA35" s="150">
        <v>1</v>
      </c>
      <c r="AB35" s="150">
        <v>82.6</v>
      </c>
      <c r="AD35" s="150">
        <v>164.63300000000001</v>
      </c>
      <c r="AG35" s="2" t="s">
        <v>37</v>
      </c>
      <c r="AH35" s="164">
        <v>2.92E-4</v>
      </c>
      <c r="AI35" s="164">
        <v>6.8104406824279796E-3</v>
      </c>
      <c r="AJ35" s="164">
        <v>4.16577905280817E-4</v>
      </c>
    </row>
    <row r="36" spans="1:36">
      <c r="A36" s="2" t="s">
        <v>26</v>
      </c>
      <c r="B36" s="2">
        <v>1182</v>
      </c>
      <c r="C36" s="2" t="s">
        <v>2347</v>
      </c>
      <c r="D36" s="2" t="s">
        <v>2348</v>
      </c>
      <c r="E36" s="4" t="s">
        <v>1376</v>
      </c>
      <c r="F36" s="2" t="s">
        <v>2352</v>
      </c>
      <c r="G36" s="2" t="s">
        <v>2353</v>
      </c>
      <c r="H36" s="2" t="s">
        <v>367</v>
      </c>
      <c r="I36" s="2" t="s">
        <v>1010</v>
      </c>
      <c r="J36" s="2" t="s">
        <v>31</v>
      </c>
      <c r="K36" s="2" t="s">
        <v>31</v>
      </c>
      <c r="L36" s="2" t="s">
        <v>373</v>
      </c>
      <c r="M36" s="2" t="s">
        <v>32</v>
      </c>
      <c r="N36" s="2" t="s">
        <v>488</v>
      </c>
      <c r="O36" s="2" t="s">
        <v>164</v>
      </c>
      <c r="P36" s="2" t="s">
        <v>1387</v>
      </c>
      <c r="Q36" s="2" t="s">
        <v>217</v>
      </c>
      <c r="R36" s="2" t="s">
        <v>452</v>
      </c>
      <c r="S36" s="2" t="s">
        <v>35</v>
      </c>
      <c r="T36" s="150">
        <v>4.9290000000000003</v>
      </c>
      <c r="U36" s="2" t="s">
        <v>2354</v>
      </c>
      <c r="V36" s="162">
        <v>4.3799999999999999E-2</v>
      </c>
      <c r="W36" s="164">
        <v>5.5509999999999997E-2</v>
      </c>
      <c r="X36" s="4" t="s">
        <v>458</v>
      </c>
      <c r="Y36" s="4" t="s">
        <v>164</v>
      </c>
      <c r="Z36" s="150">
        <v>115000</v>
      </c>
      <c r="AA36" s="150">
        <v>1</v>
      </c>
      <c r="AB36" s="150">
        <v>94.29</v>
      </c>
      <c r="AD36" s="150">
        <v>108.43300000000001</v>
      </c>
      <c r="AG36" s="2" t="s">
        <v>37</v>
      </c>
      <c r="AH36" s="164">
        <v>2.3000000000000001E-4</v>
      </c>
      <c r="AI36" s="164">
        <v>4.4856255556119497E-3</v>
      </c>
      <c r="AJ36" s="164">
        <v>2.7437468219233498E-4</v>
      </c>
    </row>
    <row r="37" spans="1:36">
      <c r="A37" s="2" t="s">
        <v>26</v>
      </c>
      <c r="B37" s="2">
        <v>1182</v>
      </c>
      <c r="C37" s="2" t="s">
        <v>2355</v>
      </c>
      <c r="D37" s="2" t="s">
        <v>2356</v>
      </c>
      <c r="E37" s="4" t="s">
        <v>1376</v>
      </c>
      <c r="F37" s="2" t="s">
        <v>2357</v>
      </c>
      <c r="G37" s="2" t="s">
        <v>2358</v>
      </c>
      <c r="H37" s="2" t="s">
        <v>367</v>
      </c>
      <c r="I37" s="2" t="s">
        <v>219</v>
      </c>
      <c r="J37" s="2" t="s">
        <v>31</v>
      </c>
      <c r="K37" s="2" t="s">
        <v>31</v>
      </c>
      <c r="L37" s="2" t="s">
        <v>373</v>
      </c>
      <c r="M37" s="2" t="s">
        <v>32</v>
      </c>
      <c r="N37" s="2" t="s">
        <v>491</v>
      </c>
      <c r="O37" s="2" t="s">
        <v>164</v>
      </c>
      <c r="P37" s="2" t="s">
        <v>1387</v>
      </c>
      <c r="Q37" s="2" t="s">
        <v>98</v>
      </c>
      <c r="R37" s="2" t="s">
        <v>452</v>
      </c>
      <c r="S37" s="2" t="s">
        <v>35</v>
      </c>
      <c r="T37" s="150">
        <v>4.7489999999999997</v>
      </c>
      <c r="U37" s="2" t="s">
        <v>2359</v>
      </c>
      <c r="V37" s="162">
        <v>2.5899999999999999E-2</v>
      </c>
      <c r="W37" s="164">
        <v>2.751E-2</v>
      </c>
      <c r="X37" s="4" t="s">
        <v>458</v>
      </c>
      <c r="Y37" s="4" t="s">
        <v>164</v>
      </c>
      <c r="Z37" s="150">
        <v>467000</v>
      </c>
      <c r="AA37" s="150">
        <v>1</v>
      </c>
      <c r="AB37" s="150">
        <v>102.32</v>
      </c>
      <c r="AD37" s="150">
        <v>477.834</v>
      </c>
      <c r="AG37" s="2" t="s">
        <v>37</v>
      </c>
      <c r="AH37" s="164">
        <v>1.0380000000000001E-3</v>
      </c>
      <c r="AI37" s="164">
        <v>1.9766826635592299E-2</v>
      </c>
      <c r="AJ37" s="164">
        <v>1.2090881659317901E-3</v>
      </c>
    </row>
    <row r="38" spans="1:36">
      <c r="A38" s="2" t="s">
        <v>26</v>
      </c>
      <c r="B38" s="2">
        <v>1182</v>
      </c>
      <c r="C38" s="2" t="s">
        <v>2360</v>
      </c>
      <c r="D38" s="2" t="s">
        <v>2361</v>
      </c>
      <c r="E38" s="4" t="s">
        <v>1376</v>
      </c>
      <c r="F38" s="2" t="s">
        <v>2362</v>
      </c>
      <c r="G38" s="2" t="s">
        <v>2363</v>
      </c>
      <c r="H38" s="2" t="s">
        <v>367</v>
      </c>
      <c r="I38" s="2" t="s">
        <v>1010</v>
      </c>
      <c r="J38" s="2" t="s">
        <v>31</v>
      </c>
      <c r="K38" s="2" t="s">
        <v>31</v>
      </c>
      <c r="L38" s="2" t="s">
        <v>373</v>
      </c>
      <c r="M38" s="2" t="s">
        <v>32</v>
      </c>
      <c r="N38" s="2" t="s">
        <v>497</v>
      </c>
      <c r="O38" s="2" t="s">
        <v>164</v>
      </c>
      <c r="P38" s="2" t="s">
        <v>2247</v>
      </c>
      <c r="Q38" s="2" t="s">
        <v>217</v>
      </c>
      <c r="R38" s="2" t="s">
        <v>452</v>
      </c>
      <c r="S38" s="2" t="s">
        <v>35</v>
      </c>
      <c r="T38" s="150">
        <v>3.4910000000000001</v>
      </c>
      <c r="U38" s="2" t="s">
        <v>2364</v>
      </c>
      <c r="V38" s="162">
        <v>2.24E-2</v>
      </c>
      <c r="W38" s="164">
        <v>5.5100000000000003E-2</v>
      </c>
      <c r="X38" s="4" t="s">
        <v>458</v>
      </c>
      <c r="Y38" s="4" t="s">
        <v>164</v>
      </c>
      <c r="Z38" s="150">
        <v>153745.46</v>
      </c>
      <c r="AA38" s="150">
        <v>1</v>
      </c>
      <c r="AB38" s="150">
        <v>89.89</v>
      </c>
      <c r="AD38" s="150">
        <v>138.202</v>
      </c>
      <c r="AG38" s="2" t="s">
        <v>37</v>
      </c>
      <c r="AH38" s="164">
        <v>2.6200000000000003E-4</v>
      </c>
      <c r="AI38" s="164">
        <v>5.7170662108195699E-3</v>
      </c>
      <c r="AJ38" s="164">
        <v>3.4969887816508997E-4</v>
      </c>
    </row>
    <row r="39" spans="1:36">
      <c r="A39" s="2" t="s">
        <v>26</v>
      </c>
      <c r="B39" s="2">
        <v>1182</v>
      </c>
      <c r="C39" s="2" t="s">
        <v>1941</v>
      </c>
      <c r="D39" s="2" t="s">
        <v>1942</v>
      </c>
      <c r="E39" s="4" t="s">
        <v>1376</v>
      </c>
      <c r="F39" s="2" t="s">
        <v>2365</v>
      </c>
      <c r="G39" s="2" t="s">
        <v>2366</v>
      </c>
      <c r="H39" s="2" t="s">
        <v>367</v>
      </c>
      <c r="I39" s="2" t="s">
        <v>1010</v>
      </c>
      <c r="J39" s="2" t="s">
        <v>31</v>
      </c>
      <c r="K39" s="2" t="s">
        <v>31</v>
      </c>
      <c r="L39" s="2" t="s">
        <v>373</v>
      </c>
      <c r="M39" s="2" t="s">
        <v>32</v>
      </c>
      <c r="N39" s="2" t="s">
        <v>488</v>
      </c>
      <c r="O39" s="2" t="s">
        <v>164</v>
      </c>
      <c r="P39" s="2" t="s">
        <v>1387</v>
      </c>
      <c r="Q39" s="2" t="s">
        <v>217</v>
      </c>
      <c r="R39" s="2" t="s">
        <v>452</v>
      </c>
      <c r="S39" s="2" t="s">
        <v>35</v>
      </c>
      <c r="T39" s="150">
        <v>3.395</v>
      </c>
      <c r="U39" s="2" t="s">
        <v>2367</v>
      </c>
      <c r="V39" s="162">
        <v>4.7E-2</v>
      </c>
      <c r="W39" s="164">
        <v>5.5599999999999997E-2</v>
      </c>
      <c r="X39" s="4" t="s">
        <v>458</v>
      </c>
      <c r="Y39" s="4" t="s">
        <v>164</v>
      </c>
      <c r="Z39" s="150">
        <v>244000</v>
      </c>
      <c r="AA39" s="150">
        <v>1</v>
      </c>
      <c r="AB39" s="150">
        <v>98.75</v>
      </c>
      <c r="AD39" s="150">
        <v>240.95</v>
      </c>
      <c r="AG39" s="2" t="s">
        <v>37</v>
      </c>
      <c r="AH39" s="164">
        <v>2.7099999999999997E-4</v>
      </c>
      <c r="AI39" s="164">
        <v>9.9675052232446396E-3</v>
      </c>
      <c r="AJ39" s="164">
        <v>6.0968777798598198E-4</v>
      </c>
    </row>
    <row r="40" spans="1:36">
      <c r="A40" s="2" t="s">
        <v>26</v>
      </c>
      <c r="B40" s="2">
        <v>1182</v>
      </c>
      <c r="C40" s="2" t="s">
        <v>2368</v>
      </c>
      <c r="D40" s="2" t="s">
        <v>2369</v>
      </c>
      <c r="E40" s="4" t="s">
        <v>1376</v>
      </c>
      <c r="F40" s="2" t="s">
        <v>2370</v>
      </c>
      <c r="G40" s="2" t="s">
        <v>2371</v>
      </c>
      <c r="H40" s="2" t="s">
        <v>367</v>
      </c>
      <c r="I40" s="2" t="s">
        <v>1010</v>
      </c>
      <c r="J40" s="2" t="s">
        <v>31</v>
      </c>
      <c r="K40" s="2" t="s">
        <v>31</v>
      </c>
      <c r="L40" s="2" t="s">
        <v>373</v>
      </c>
      <c r="M40" s="2" t="s">
        <v>32</v>
      </c>
      <c r="N40" s="2" t="s">
        <v>522</v>
      </c>
      <c r="O40" s="2" t="s">
        <v>164</v>
      </c>
      <c r="P40" s="2" t="s">
        <v>1392</v>
      </c>
      <c r="Q40" s="2" t="s">
        <v>98</v>
      </c>
      <c r="R40" s="2" t="s">
        <v>452</v>
      </c>
      <c r="S40" s="2" t="s">
        <v>35</v>
      </c>
      <c r="T40" s="150">
        <v>7.6660000000000004</v>
      </c>
      <c r="U40" s="2" t="s">
        <v>2372</v>
      </c>
      <c r="V40" s="162">
        <v>5.3100000000000001E-2</v>
      </c>
      <c r="W40" s="164">
        <v>6.3140000000000002E-2</v>
      </c>
      <c r="X40" s="4" t="s">
        <v>458</v>
      </c>
      <c r="Y40" s="4" t="s">
        <v>164</v>
      </c>
      <c r="Z40" s="150">
        <v>581743</v>
      </c>
      <c r="AA40" s="150">
        <v>1</v>
      </c>
      <c r="AB40" s="150">
        <v>95.33</v>
      </c>
      <c r="AD40" s="150">
        <v>554.57600000000002</v>
      </c>
      <c r="AG40" s="2" t="s">
        <v>37</v>
      </c>
      <c r="AH40" s="164">
        <v>4.57E-4</v>
      </c>
      <c r="AI40" s="164">
        <v>2.2941420247446699E-2</v>
      </c>
      <c r="AJ40" s="164">
        <v>1.4032702487970501E-3</v>
      </c>
    </row>
    <row r="41" spans="1:36">
      <c r="A41" s="2" t="s">
        <v>26</v>
      </c>
      <c r="B41" s="2">
        <v>1182</v>
      </c>
      <c r="C41" s="2" t="s">
        <v>1222</v>
      </c>
      <c r="D41" s="2" t="s">
        <v>1945</v>
      </c>
      <c r="E41" s="4" t="s">
        <v>1376</v>
      </c>
      <c r="F41" s="2" t="s">
        <v>2373</v>
      </c>
      <c r="G41" s="2" t="s">
        <v>2374</v>
      </c>
      <c r="H41" s="2" t="s">
        <v>367</v>
      </c>
      <c r="I41" s="2" t="s">
        <v>219</v>
      </c>
      <c r="J41" s="2" t="s">
        <v>31</v>
      </c>
      <c r="K41" s="2" t="s">
        <v>31</v>
      </c>
      <c r="L41" s="2" t="s">
        <v>373</v>
      </c>
      <c r="M41" s="2" t="s">
        <v>32</v>
      </c>
      <c r="N41" s="2" t="s">
        <v>491</v>
      </c>
      <c r="O41" s="2" t="s">
        <v>164</v>
      </c>
      <c r="P41" s="2" t="s">
        <v>97</v>
      </c>
      <c r="Q41" s="2" t="s">
        <v>98</v>
      </c>
      <c r="R41" s="2" t="s">
        <v>452</v>
      </c>
      <c r="S41" s="2" t="s">
        <v>35</v>
      </c>
      <c r="T41" s="150">
        <v>1.986</v>
      </c>
      <c r="U41" s="2" t="s">
        <v>2375</v>
      </c>
      <c r="V41" s="162">
        <v>8.3000000000000001E-3</v>
      </c>
      <c r="W41" s="164">
        <v>2.0129999999999999E-2</v>
      </c>
      <c r="X41" s="4" t="s">
        <v>458</v>
      </c>
      <c r="Y41" s="4" t="s">
        <v>164</v>
      </c>
      <c r="Z41" s="150">
        <v>118106</v>
      </c>
      <c r="AA41" s="150">
        <v>1</v>
      </c>
      <c r="AB41" s="150">
        <v>110.75</v>
      </c>
      <c r="AD41" s="150">
        <v>130.80199999999999</v>
      </c>
      <c r="AG41" s="2" t="s">
        <v>37</v>
      </c>
      <c r="AH41" s="164">
        <v>3.8999999999999999E-5</v>
      </c>
      <c r="AI41" s="164">
        <v>5.4109713856626204E-3</v>
      </c>
      <c r="AJ41" s="164">
        <v>3.3097581059470698E-4</v>
      </c>
    </row>
    <row r="42" spans="1:36">
      <c r="A42" s="2" t="s">
        <v>26</v>
      </c>
      <c r="B42" s="2">
        <v>1182</v>
      </c>
      <c r="C42" s="2" t="s">
        <v>1222</v>
      </c>
      <c r="D42" s="2" t="s">
        <v>1945</v>
      </c>
      <c r="E42" s="4" t="s">
        <v>1376</v>
      </c>
      <c r="F42" s="2" t="s">
        <v>2376</v>
      </c>
      <c r="G42" s="2" t="s">
        <v>2377</v>
      </c>
      <c r="H42" s="2" t="s">
        <v>367</v>
      </c>
      <c r="I42" s="2" t="s">
        <v>219</v>
      </c>
      <c r="J42" s="2" t="s">
        <v>31</v>
      </c>
      <c r="K42" s="2" t="s">
        <v>31</v>
      </c>
      <c r="L42" s="2" t="s">
        <v>373</v>
      </c>
      <c r="M42" s="2" t="s">
        <v>32</v>
      </c>
      <c r="N42" s="2" t="s">
        <v>491</v>
      </c>
      <c r="O42" s="2" t="s">
        <v>164</v>
      </c>
      <c r="P42" s="2" t="s">
        <v>216</v>
      </c>
      <c r="Q42" s="2" t="s">
        <v>217</v>
      </c>
      <c r="R42" s="2" t="s">
        <v>452</v>
      </c>
      <c r="S42" s="2" t="s">
        <v>35</v>
      </c>
      <c r="T42" s="150">
        <v>5.3860000000000001</v>
      </c>
      <c r="U42" s="2" t="s">
        <v>2378</v>
      </c>
      <c r="V42" s="162">
        <v>1E-3</v>
      </c>
      <c r="W42" s="164">
        <v>2.564E-2</v>
      </c>
      <c r="X42" s="4" t="s">
        <v>458</v>
      </c>
      <c r="Y42" s="4" t="s">
        <v>164</v>
      </c>
      <c r="Z42" s="150">
        <v>400000</v>
      </c>
      <c r="AA42" s="150">
        <v>1</v>
      </c>
      <c r="AB42" s="150">
        <v>97.13</v>
      </c>
      <c r="AD42" s="150">
        <v>388.52</v>
      </c>
      <c r="AG42" s="2" t="s">
        <v>37</v>
      </c>
      <c r="AH42" s="164">
        <v>1.6100000000000001E-4</v>
      </c>
      <c r="AI42" s="164">
        <v>1.6072110933118899E-2</v>
      </c>
      <c r="AJ42" s="164">
        <v>9.8309149409883298E-4</v>
      </c>
    </row>
    <row r="43" spans="1:36">
      <c r="A43" s="2" t="s">
        <v>26</v>
      </c>
      <c r="B43" s="2">
        <v>1182</v>
      </c>
      <c r="C43" s="2" t="s">
        <v>2144</v>
      </c>
      <c r="D43" s="2" t="s">
        <v>2145</v>
      </c>
      <c r="E43" s="4" t="s">
        <v>1376</v>
      </c>
      <c r="F43" s="2" t="s">
        <v>2379</v>
      </c>
      <c r="G43" s="2" t="s">
        <v>2380</v>
      </c>
      <c r="H43" s="2" t="s">
        <v>367</v>
      </c>
      <c r="I43" s="2" t="s">
        <v>219</v>
      </c>
      <c r="J43" s="2" t="s">
        <v>31</v>
      </c>
      <c r="K43" s="2" t="s">
        <v>31</v>
      </c>
      <c r="L43" s="2" t="s">
        <v>373</v>
      </c>
      <c r="M43" s="2" t="s">
        <v>32</v>
      </c>
      <c r="N43" s="2" t="s">
        <v>507</v>
      </c>
      <c r="O43" s="2" t="s">
        <v>164</v>
      </c>
      <c r="P43" s="2" t="s">
        <v>2381</v>
      </c>
      <c r="Q43" s="2" t="s">
        <v>98</v>
      </c>
      <c r="R43" s="2" t="s">
        <v>452</v>
      </c>
      <c r="S43" s="2" t="s">
        <v>35</v>
      </c>
      <c r="T43" s="150">
        <v>6.0549999999999997</v>
      </c>
      <c r="U43" s="2" t="s">
        <v>2320</v>
      </c>
      <c r="V43" s="162">
        <v>3.5000000000000001E-3</v>
      </c>
      <c r="W43" s="164">
        <v>3.6319999999999998E-2</v>
      </c>
      <c r="X43" s="4" t="s">
        <v>458</v>
      </c>
      <c r="Y43" s="4" t="s">
        <v>164</v>
      </c>
      <c r="Z43" s="150">
        <v>340000</v>
      </c>
      <c r="AA43" s="150">
        <v>1</v>
      </c>
      <c r="AB43" s="150">
        <v>90.9</v>
      </c>
      <c r="AD43" s="150">
        <v>309.06</v>
      </c>
      <c r="AG43" s="2" t="s">
        <v>37</v>
      </c>
      <c r="AH43" s="164">
        <v>9.7999999999999997E-5</v>
      </c>
      <c r="AI43" s="164">
        <v>1.2785047372052299E-2</v>
      </c>
      <c r="AJ43" s="164">
        <v>7.8202990107635497E-4</v>
      </c>
    </row>
    <row r="44" spans="1:36">
      <c r="A44" s="2" t="s">
        <v>26</v>
      </c>
      <c r="B44" s="2">
        <v>1182</v>
      </c>
      <c r="C44" s="2" t="s">
        <v>2382</v>
      </c>
      <c r="D44" s="2" t="s">
        <v>2383</v>
      </c>
      <c r="E44" s="4" t="s">
        <v>1376</v>
      </c>
      <c r="F44" s="2" t="s">
        <v>2384</v>
      </c>
      <c r="G44" s="2" t="s">
        <v>2385</v>
      </c>
      <c r="H44" s="2" t="s">
        <v>367</v>
      </c>
      <c r="I44" s="2" t="s">
        <v>1010</v>
      </c>
      <c r="J44" s="2" t="s">
        <v>31</v>
      </c>
      <c r="K44" s="2" t="s">
        <v>31</v>
      </c>
      <c r="L44" s="2" t="s">
        <v>373</v>
      </c>
      <c r="M44" s="2" t="s">
        <v>118</v>
      </c>
      <c r="N44" s="2" t="s">
        <v>488</v>
      </c>
      <c r="O44" s="2" t="s">
        <v>164</v>
      </c>
      <c r="P44" s="2" t="s">
        <v>1380</v>
      </c>
      <c r="Q44" s="2" t="s">
        <v>98</v>
      </c>
      <c r="R44" s="2" t="s">
        <v>452</v>
      </c>
      <c r="S44" s="2" t="s">
        <v>35</v>
      </c>
      <c r="T44" s="150">
        <v>6.7270000000000003</v>
      </c>
      <c r="U44" s="2" t="s">
        <v>2386</v>
      </c>
      <c r="V44" s="162">
        <v>6.0699999999999997E-2</v>
      </c>
      <c r="W44" s="164">
        <v>6.4210000000000003E-2</v>
      </c>
      <c r="X44" s="4" t="s">
        <v>458</v>
      </c>
      <c r="Y44" s="4" t="s">
        <v>164</v>
      </c>
      <c r="Z44" s="150">
        <v>303645</v>
      </c>
      <c r="AA44" s="150">
        <v>1</v>
      </c>
      <c r="AB44" s="150">
        <v>98.77</v>
      </c>
      <c r="AD44" s="150">
        <v>299.91000000000003</v>
      </c>
      <c r="AG44" s="2" t="s">
        <v>37</v>
      </c>
      <c r="AH44" s="164">
        <v>1.444E-3</v>
      </c>
      <c r="AI44" s="164">
        <v>1.2406541403166301E-2</v>
      </c>
      <c r="AJ44" s="164">
        <v>7.5887762194974499E-4</v>
      </c>
    </row>
    <row r="45" spans="1:36">
      <c r="A45" s="2" t="s">
        <v>26</v>
      </c>
      <c r="B45" s="2">
        <v>1182</v>
      </c>
      <c r="C45" s="2" t="s">
        <v>1948</v>
      </c>
      <c r="D45" s="2" t="s">
        <v>1949</v>
      </c>
      <c r="E45" s="4" t="s">
        <v>1376</v>
      </c>
      <c r="F45" s="2" t="s">
        <v>2387</v>
      </c>
      <c r="G45" s="2" t="s">
        <v>2388</v>
      </c>
      <c r="H45" s="2" t="s">
        <v>367</v>
      </c>
      <c r="I45" s="2" t="s">
        <v>1010</v>
      </c>
      <c r="J45" s="2" t="s">
        <v>31</v>
      </c>
      <c r="K45" s="2" t="s">
        <v>31</v>
      </c>
      <c r="L45" s="2" t="s">
        <v>373</v>
      </c>
      <c r="M45" s="2" t="s">
        <v>32</v>
      </c>
      <c r="N45" s="2" t="s">
        <v>507</v>
      </c>
      <c r="O45" s="2" t="s">
        <v>164</v>
      </c>
      <c r="P45" s="2" t="s">
        <v>2217</v>
      </c>
      <c r="Q45" s="2" t="s">
        <v>98</v>
      </c>
      <c r="R45" s="2" t="s">
        <v>452</v>
      </c>
      <c r="S45" s="2" t="s">
        <v>35</v>
      </c>
      <c r="T45" s="150">
        <v>5.5549999999999997</v>
      </c>
      <c r="U45" s="2" t="s">
        <v>2389</v>
      </c>
      <c r="V45" s="162">
        <v>5.4800000000000001E-2</v>
      </c>
      <c r="W45" s="164">
        <v>6.3250000000000001E-2</v>
      </c>
      <c r="X45" s="4" t="s">
        <v>458</v>
      </c>
      <c r="Y45" s="4" t="s">
        <v>164</v>
      </c>
      <c r="Z45" s="150">
        <v>531429</v>
      </c>
      <c r="AA45" s="150">
        <v>1</v>
      </c>
      <c r="AB45" s="150">
        <v>95.98</v>
      </c>
      <c r="AD45" s="150">
        <v>510.06599999999997</v>
      </c>
      <c r="AG45" s="2" t="s">
        <v>37</v>
      </c>
      <c r="AH45" s="164">
        <v>1.771E-3</v>
      </c>
      <c r="AI45" s="164">
        <v>2.11001497227046E-2</v>
      </c>
      <c r="AJ45" s="164">
        <v>1.2906442596695899E-3</v>
      </c>
    </row>
    <row r="46" spans="1:36">
      <c r="A46" s="2" t="s">
        <v>26</v>
      </c>
      <c r="B46" s="2">
        <v>1182</v>
      </c>
      <c r="C46" s="2" t="s">
        <v>2390</v>
      </c>
      <c r="D46" s="2" t="s">
        <v>2391</v>
      </c>
      <c r="E46" s="4" t="s">
        <v>1376</v>
      </c>
      <c r="F46" s="2" t="s">
        <v>2392</v>
      </c>
      <c r="G46" s="2" t="s">
        <v>2393</v>
      </c>
      <c r="H46" s="2" t="s">
        <v>367</v>
      </c>
      <c r="I46" s="2" t="s">
        <v>219</v>
      </c>
      <c r="J46" s="2" t="s">
        <v>31</v>
      </c>
      <c r="K46" s="2" t="s">
        <v>31</v>
      </c>
      <c r="L46" s="2" t="s">
        <v>373</v>
      </c>
      <c r="M46" s="2" t="s">
        <v>32</v>
      </c>
      <c r="N46" s="2" t="s">
        <v>507</v>
      </c>
      <c r="O46" s="2" t="s">
        <v>164</v>
      </c>
      <c r="P46" s="2" t="s">
        <v>2228</v>
      </c>
      <c r="Q46" s="2" t="s">
        <v>217</v>
      </c>
      <c r="R46" s="2" t="s">
        <v>452</v>
      </c>
      <c r="S46" s="2" t="s">
        <v>35</v>
      </c>
      <c r="T46" s="150">
        <v>2.4910000000000001</v>
      </c>
      <c r="U46" s="2" t="s">
        <v>2394</v>
      </c>
      <c r="V46" s="162">
        <v>3.0000000000000001E-3</v>
      </c>
      <c r="W46" s="164">
        <v>3.322E-2</v>
      </c>
      <c r="X46" s="4" t="s">
        <v>458</v>
      </c>
      <c r="Y46" s="4" t="s">
        <v>164</v>
      </c>
      <c r="Z46" s="150">
        <v>403000</v>
      </c>
      <c r="AA46" s="150">
        <v>1</v>
      </c>
      <c r="AB46" s="150">
        <v>94.71</v>
      </c>
      <c r="AD46" s="150">
        <v>381.68099999999998</v>
      </c>
      <c r="AG46" s="2" t="s">
        <v>37</v>
      </c>
      <c r="AH46" s="164">
        <v>1.3339999999999999E-3</v>
      </c>
      <c r="AI46" s="164">
        <v>1.5789210837787102E-2</v>
      </c>
      <c r="AJ46" s="164">
        <v>9.6578719110106299E-4</v>
      </c>
    </row>
    <row r="47" spans="1:36">
      <c r="A47" s="2" t="s">
        <v>26</v>
      </c>
      <c r="B47" s="2">
        <v>1182</v>
      </c>
      <c r="C47" s="2" t="s">
        <v>2395</v>
      </c>
      <c r="D47" s="2" t="s">
        <v>2396</v>
      </c>
      <c r="E47" s="4" t="s">
        <v>1376</v>
      </c>
      <c r="F47" s="2" t="s">
        <v>2397</v>
      </c>
      <c r="G47" s="2" t="s">
        <v>2398</v>
      </c>
      <c r="H47" s="2" t="s">
        <v>367</v>
      </c>
      <c r="I47" s="2" t="s">
        <v>219</v>
      </c>
      <c r="J47" s="2" t="s">
        <v>31</v>
      </c>
      <c r="K47" s="2" t="s">
        <v>31</v>
      </c>
      <c r="L47" s="2" t="s">
        <v>373</v>
      </c>
      <c r="M47" s="2" t="s">
        <v>32</v>
      </c>
      <c r="N47" s="2" t="s">
        <v>491</v>
      </c>
      <c r="O47" s="2" t="s">
        <v>164</v>
      </c>
      <c r="P47" s="2" t="s">
        <v>1387</v>
      </c>
      <c r="Q47" s="2" t="s">
        <v>217</v>
      </c>
      <c r="R47" s="2" t="s">
        <v>452</v>
      </c>
      <c r="S47" s="2" t="s">
        <v>35</v>
      </c>
      <c r="T47" s="150">
        <v>4.6680000000000001</v>
      </c>
      <c r="U47" s="2" t="s">
        <v>2399</v>
      </c>
      <c r="V47" s="162">
        <v>3.3599999999999998E-2</v>
      </c>
      <c r="W47" s="164">
        <v>3.4770000000000002E-2</v>
      </c>
      <c r="X47" s="4" t="s">
        <v>458</v>
      </c>
      <c r="Y47" s="4" t="s">
        <v>164</v>
      </c>
      <c r="Z47" s="150">
        <v>500000</v>
      </c>
      <c r="AA47" s="150">
        <v>1</v>
      </c>
      <c r="AB47" s="150">
        <v>101.42</v>
      </c>
      <c r="AD47" s="150">
        <v>507.1</v>
      </c>
      <c r="AG47" s="2" t="s">
        <v>37</v>
      </c>
      <c r="AH47" s="164">
        <v>4.28E-4</v>
      </c>
      <c r="AI47" s="164">
        <v>2.0977472084280399E-2</v>
      </c>
      <c r="AJ47" s="164">
        <v>1.28314037027056E-3</v>
      </c>
    </row>
    <row r="48" spans="1:36">
      <c r="A48" s="2" t="s">
        <v>26</v>
      </c>
      <c r="B48" s="2">
        <v>1182</v>
      </c>
      <c r="C48" s="2" t="s">
        <v>2395</v>
      </c>
      <c r="D48" s="2" t="s">
        <v>2396</v>
      </c>
      <c r="E48" s="4" t="s">
        <v>1376</v>
      </c>
      <c r="F48" s="2" t="s">
        <v>2400</v>
      </c>
      <c r="G48" s="2" t="s">
        <v>2401</v>
      </c>
      <c r="H48" s="2" t="s">
        <v>367</v>
      </c>
      <c r="I48" s="2" t="s">
        <v>219</v>
      </c>
      <c r="J48" s="2" t="s">
        <v>31</v>
      </c>
      <c r="K48" s="2" t="s">
        <v>31</v>
      </c>
      <c r="L48" s="2" t="s">
        <v>373</v>
      </c>
      <c r="M48" s="2" t="s">
        <v>32</v>
      </c>
      <c r="N48" s="2" t="s">
        <v>491</v>
      </c>
      <c r="O48" s="2" t="s">
        <v>164</v>
      </c>
      <c r="P48" s="2" t="s">
        <v>97</v>
      </c>
      <c r="Q48" s="2" t="s">
        <v>98</v>
      </c>
      <c r="R48" s="2" t="s">
        <v>452</v>
      </c>
      <c r="S48" s="2" t="s">
        <v>35</v>
      </c>
      <c r="T48" s="150">
        <v>0.24399999999999999</v>
      </c>
      <c r="U48" s="2" t="s">
        <v>2402</v>
      </c>
      <c r="V48" s="162">
        <v>8.6E-3</v>
      </c>
      <c r="W48" s="164">
        <v>2.4969999999999999E-2</v>
      </c>
      <c r="X48" s="4" t="s">
        <v>458</v>
      </c>
      <c r="Y48" s="4" t="s">
        <v>164</v>
      </c>
      <c r="Z48" s="150">
        <v>250000</v>
      </c>
      <c r="AA48" s="150">
        <v>1</v>
      </c>
      <c r="AB48" s="150">
        <v>114.94</v>
      </c>
      <c r="AD48" s="150">
        <v>287.35000000000002</v>
      </c>
      <c r="AG48" s="2" t="s">
        <v>37</v>
      </c>
      <c r="AH48" s="164">
        <v>1E-4</v>
      </c>
      <c r="AI48" s="164">
        <v>1.18869583975902E-2</v>
      </c>
      <c r="AJ48" s="164">
        <v>7.2709600748816004E-4</v>
      </c>
    </row>
    <row r="49" spans="1:36">
      <c r="A49" s="2" t="s">
        <v>26</v>
      </c>
      <c r="B49" s="2">
        <v>1182</v>
      </c>
      <c r="C49" s="2" t="s">
        <v>2395</v>
      </c>
      <c r="D49" s="2" t="s">
        <v>2396</v>
      </c>
      <c r="E49" s="4" t="s">
        <v>1376</v>
      </c>
      <c r="F49" s="2" t="s">
        <v>2403</v>
      </c>
      <c r="G49" s="2" t="s">
        <v>2404</v>
      </c>
      <c r="H49" s="2" t="s">
        <v>367</v>
      </c>
      <c r="I49" s="2" t="s">
        <v>219</v>
      </c>
      <c r="J49" s="2" t="s">
        <v>31</v>
      </c>
      <c r="K49" s="2" t="s">
        <v>31</v>
      </c>
      <c r="L49" s="2" t="s">
        <v>373</v>
      </c>
      <c r="M49" s="2" t="s">
        <v>32</v>
      </c>
      <c r="N49" s="2" t="s">
        <v>491</v>
      </c>
      <c r="O49" s="2" t="s">
        <v>164</v>
      </c>
      <c r="P49" s="2" t="s">
        <v>97</v>
      </c>
      <c r="Q49" s="2" t="s">
        <v>98</v>
      </c>
      <c r="R49" s="2" t="s">
        <v>452</v>
      </c>
      <c r="S49" s="2" t="s">
        <v>35</v>
      </c>
      <c r="T49" s="150">
        <v>5.6340000000000003</v>
      </c>
      <c r="U49" s="2" t="s">
        <v>2405</v>
      </c>
      <c r="V49" s="162">
        <v>2.2013000000000001E-2</v>
      </c>
      <c r="W49" s="164">
        <v>2.7099999999999999E-2</v>
      </c>
      <c r="X49" s="4" t="s">
        <v>458</v>
      </c>
      <c r="Y49" s="4" t="s">
        <v>164</v>
      </c>
      <c r="Z49" s="150">
        <v>810000</v>
      </c>
      <c r="AA49" s="150">
        <v>1</v>
      </c>
      <c r="AB49" s="150">
        <v>113.5</v>
      </c>
      <c r="AD49" s="150">
        <v>919.35</v>
      </c>
      <c r="AG49" s="2" t="s">
        <v>37</v>
      </c>
      <c r="AH49" s="164">
        <v>1.1540000000000001E-3</v>
      </c>
      <c r="AI49" s="164">
        <v>3.8031234392985898E-2</v>
      </c>
      <c r="AJ49" s="164">
        <v>2.3262770645005701E-3</v>
      </c>
    </row>
    <row r="50" spans="1:36">
      <c r="A50" s="2" t="s">
        <v>26</v>
      </c>
      <c r="B50" s="2">
        <v>1182</v>
      </c>
      <c r="C50" s="2" t="s">
        <v>1960</v>
      </c>
      <c r="D50" s="2" t="s">
        <v>1961</v>
      </c>
      <c r="E50" s="4" t="s">
        <v>1376</v>
      </c>
      <c r="F50" s="2" t="s">
        <v>2406</v>
      </c>
      <c r="G50" s="2" t="s">
        <v>2407</v>
      </c>
      <c r="H50" s="2" t="s">
        <v>367</v>
      </c>
      <c r="I50" s="2" t="s">
        <v>219</v>
      </c>
      <c r="J50" s="2" t="s">
        <v>31</v>
      </c>
      <c r="K50" s="2" t="s">
        <v>31</v>
      </c>
      <c r="L50" s="2" t="s">
        <v>373</v>
      </c>
      <c r="M50" s="2" t="s">
        <v>32</v>
      </c>
      <c r="N50" s="2" t="s">
        <v>507</v>
      </c>
      <c r="O50" s="2" t="s">
        <v>164</v>
      </c>
      <c r="P50" s="2" t="s">
        <v>2247</v>
      </c>
      <c r="Q50" s="2" t="s">
        <v>217</v>
      </c>
      <c r="R50" s="2" t="s">
        <v>452</v>
      </c>
      <c r="S50" s="2" t="s">
        <v>35</v>
      </c>
      <c r="T50" s="150">
        <v>6.2919999999999998</v>
      </c>
      <c r="U50" s="2" t="s">
        <v>2408</v>
      </c>
      <c r="V50" s="162">
        <v>3.61E-2</v>
      </c>
      <c r="W50" s="164">
        <v>3.6889999999999999E-2</v>
      </c>
      <c r="X50" s="4" t="s">
        <v>458</v>
      </c>
      <c r="Y50" s="4" t="s">
        <v>164</v>
      </c>
      <c r="Z50" s="150">
        <v>395959.6</v>
      </c>
      <c r="AA50" s="150">
        <v>1</v>
      </c>
      <c r="AB50" s="150">
        <v>103.82</v>
      </c>
      <c r="AC50" s="150">
        <v>11.731</v>
      </c>
      <c r="AD50" s="150">
        <v>422.81700000000001</v>
      </c>
      <c r="AG50" s="2" t="s">
        <v>37</v>
      </c>
      <c r="AH50" s="164">
        <v>3.6699999999999998E-4</v>
      </c>
      <c r="AI50" s="164">
        <v>1.7490879161678699E-2</v>
      </c>
      <c r="AJ50" s="164">
        <v>1.0698740569743E-3</v>
      </c>
    </row>
    <row r="51" spans="1:36">
      <c r="A51" s="2" t="s">
        <v>26</v>
      </c>
      <c r="B51" s="2">
        <v>1182</v>
      </c>
      <c r="C51" s="2" t="s">
        <v>1968</v>
      </c>
      <c r="D51" s="2" t="s">
        <v>1518</v>
      </c>
      <c r="E51" s="4" t="s">
        <v>1376</v>
      </c>
      <c r="F51" s="2" t="s">
        <v>2409</v>
      </c>
      <c r="G51" s="2" t="s">
        <v>2410</v>
      </c>
      <c r="H51" s="2" t="s">
        <v>367</v>
      </c>
      <c r="I51" s="2" t="s">
        <v>1010</v>
      </c>
      <c r="J51" s="2" t="s">
        <v>31</v>
      </c>
      <c r="K51" s="2" t="s">
        <v>31</v>
      </c>
      <c r="L51" s="2" t="s">
        <v>373</v>
      </c>
      <c r="M51" s="2" t="s">
        <v>32</v>
      </c>
      <c r="N51" s="2" t="s">
        <v>486</v>
      </c>
      <c r="O51" s="2" t="s">
        <v>164</v>
      </c>
      <c r="P51" s="2" t="s">
        <v>2287</v>
      </c>
      <c r="Q51" s="2" t="s">
        <v>98</v>
      </c>
      <c r="R51" s="2" t="s">
        <v>452</v>
      </c>
      <c r="S51" s="2" t="s">
        <v>35</v>
      </c>
      <c r="T51" s="150">
        <v>1.1870000000000001</v>
      </c>
      <c r="U51" s="2" t="s">
        <v>2411</v>
      </c>
      <c r="V51" s="162">
        <v>0.114</v>
      </c>
      <c r="W51" s="164">
        <v>6.7919999999999994E-2</v>
      </c>
      <c r="X51" s="4" t="s">
        <v>458</v>
      </c>
      <c r="Y51" s="4" t="s">
        <v>164</v>
      </c>
      <c r="Z51" s="150">
        <v>771870</v>
      </c>
      <c r="AA51" s="150">
        <v>1</v>
      </c>
      <c r="AB51" s="150">
        <v>101.87</v>
      </c>
      <c r="AD51" s="150">
        <v>786.30399999999997</v>
      </c>
      <c r="AG51" s="2" t="s">
        <v>37</v>
      </c>
      <c r="AH51" s="164">
        <v>2.1389999999999998E-3</v>
      </c>
      <c r="AI51" s="164">
        <v>3.2527449338308798E-2</v>
      </c>
      <c r="AJ51" s="164">
        <v>1.98962407006088E-3</v>
      </c>
    </row>
    <row r="52" spans="1:36">
      <c r="A52" s="2" t="s">
        <v>26</v>
      </c>
      <c r="B52" s="2">
        <v>1182</v>
      </c>
      <c r="C52" s="2" t="s">
        <v>1968</v>
      </c>
      <c r="D52" s="2" t="s">
        <v>1518</v>
      </c>
      <c r="E52" s="4" t="s">
        <v>1376</v>
      </c>
      <c r="F52" s="2" t="s">
        <v>2412</v>
      </c>
      <c r="G52" s="2" t="s">
        <v>2413</v>
      </c>
      <c r="H52" s="2" t="s">
        <v>367</v>
      </c>
      <c r="I52" s="2" t="s">
        <v>1010</v>
      </c>
      <c r="J52" s="2" t="s">
        <v>31</v>
      </c>
      <c r="K52" s="2" t="s">
        <v>31</v>
      </c>
      <c r="L52" s="2" t="s">
        <v>373</v>
      </c>
      <c r="M52" s="2" t="s">
        <v>32</v>
      </c>
      <c r="N52" s="2" t="s">
        <v>522</v>
      </c>
      <c r="O52" s="2" t="s">
        <v>164</v>
      </c>
      <c r="P52" s="2" t="s">
        <v>2287</v>
      </c>
      <c r="Q52" s="2" t="s">
        <v>98</v>
      </c>
      <c r="R52" s="2" t="s">
        <v>452</v>
      </c>
      <c r="S52" s="2" t="s">
        <v>35</v>
      </c>
      <c r="T52" s="150">
        <v>2.7280000000000002</v>
      </c>
      <c r="U52" s="2" t="s">
        <v>2414</v>
      </c>
      <c r="V52" s="162">
        <v>7.22E-2</v>
      </c>
      <c r="W52" s="164">
        <v>7.1040000000000006E-2</v>
      </c>
      <c r="X52" s="4" t="s">
        <v>458</v>
      </c>
      <c r="Y52" s="4" t="s">
        <v>164</v>
      </c>
      <c r="Z52" s="150">
        <v>299000</v>
      </c>
      <c r="AA52" s="150">
        <v>1</v>
      </c>
      <c r="AB52" s="150">
        <v>103.66</v>
      </c>
      <c r="AD52" s="150">
        <v>309.94299999999998</v>
      </c>
      <c r="AG52" s="2" t="s">
        <v>37</v>
      </c>
      <c r="AH52" s="164">
        <v>1.4159999999999999E-3</v>
      </c>
      <c r="AI52" s="164">
        <v>1.28215914439104E-2</v>
      </c>
      <c r="AJ52" s="164">
        <v>7.8426521206648896E-4</v>
      </c>
    </row>
    <row r="53" spans="1:36">
      <c r="A53" s="2" t="s">
        <v>26</v>
      </c>
      <c r="B53" s="2">
        <v>1182</v>
      </c>
      <c r="C53" s="2" t="s">
        <v>2415</v>
      </c>
      <c r="D53" s="2" t="s">
        <v>2416</v>
      </c>
      <c r="E53" s="4" t="s">
        <v>1376</v>
      </c>
      <c r="F53" s="2" t="s">
        <v>2417</v>
      </c>
      <c r="G53" s="2" t="s">
        <v>2418</v>
      </c>
      <c r="H53" s="2" t="s">
        <v>367</v>
      </c>
      <c r="I53" s="2" t="s">
        <v>219</v>
      </c>
      <c r="J53" s="2" t="s">
        <v>31</v>
      </c>
      <c r="K53" s="2" t="s">
        <v>31</v>
      </c>
      <c r="L53" s="2" t="s">
        <v>373</v>
      </c>
      <c r="M53" s="2" t="s">
        <v>32</v>
      </c>
      <c r="N53" s="2" t="s">
        <v>490</v>
      </c>
      <c r="O53" s="2" t="s">
        <v>164</v>
      </c>
      <c r="P53" s="2" t="s">
        <v>1370</v>
      </c>
      <c r="Q53" s="2" t="s">
        <v>98</v>
      </c>
      <c r="R53" s="2" t="s">
        <v>452</v>
      </c>
      <c r="S53" s="2" t="s">
        <v>35</v>
      </c>
      <c r="T53" s="150">
        <v>3.911</v>
      </c>
      <c r="U53" s="2" t="s">
        <v>2419</v>
      </c>
      <c r="V53" s="162">
        <v>2.07E-2</v>
      </c>
      <c r="W53" s="164">
        <v>5.0009999999999999E-2</v>
      </c>
      <c r="X53" s="4" t="s">
        <v>458</v>
      </c>
      <c r="Y53" s="4" t="s">
        <v>164</v>
      </c>
      <c r="Z53" s="150">
        <v>350537.71</v>
      </c>
      <c r="AA53" s="150">
        <v>1</v>
      </c>
      <c r="AB53" s="150">
        <v>98.87</v>
      </c>
      <c r="AD53" s="150">
        <v>346.577</v>
      </c>
      <c r="AG53" s="2" t="s">
        <v>37</v>
      </c>
      <c r="AH53" s="164">
        <v>7.3499999999999998E-4</v>
      </c>
      <c r="AI53" s="164">
        <v>1.43370176734739E-2</v>
      </c>
      <c r="AJ53" s="164">
        <v>8.7696010711902695E-4</v>
      </c>
    </row>
    <row r="54" spans="1:36">
      <c r="A54" s="2" t="s">
        <v>26</v>
      </c>
      <c r="B54" s="2">
        <v>1182</v>
      </c>
      <c r="C54" s="2" t="s">
        <v>2420</v>
      </c>
      <c r="D54" s="2" t="s">
        <v>2421</v>
      </c>
      <c r="E54" s="4" t="s">
        <v>1376</v>
      </c>
      <c r="F54" s="2" t="s">
        <v>2422</v>
      </c>
      <c r="G54" s="2" t="s">
        <v>2423</v>
      </c>
      <c r="H54" s="2" t="s">
        <v>367</v>
      </c>
      <c r="I54" s="2" t="s">
        <v>219</v>
      </c>
      <c r="J54" s="2" t="s">
        <v>31</v>
      </c>
      <c r="K54" s="2" t="s">
        <v>31</v>
      </c>
      <c r="L54" s="2" t="s">
        <v>373</v>
      </c>
      <c r="M54" s="2" t="s">
        <v>32</v>
      </c>
      <c r="N54" s="2" t="s">
        <v>521</v>
      </c>
      <c r="O54" s="2" t="s">
        <v>164</v>
      </c>
      <c r="P54" s="2" t="s">
        <v>216</v>
      </c>
      <c r="Q54" s="2" t="s">
        <v>217</v>
      </c>
      <c r="R54" s="2" t="s">
        <v>452</v>
      </c>
      <c r="S54" s="2" t="s">
        <v>35</v>
      </c>
      <c r="T54" s="150">
        <v>11.7</v>
      </c>
      <c r="U54" s="2" t="s">
        <v>2424</v>
      </c>
      <c r="V54" s="162">
        <v>2.07E-2</v>
      </c>
      <c r="W54" s="164">
        <v>3.2730000000000002E-2</v>
      </c>
      <c r="X54" s="4" t="s">
        <v>458</v>
      </c>
      <c r="Y54" s="4" t="s">
        <v>164</v>
      </c>
      <c r="Z54" s="150">
        <v>293329.78999999998</v>
      </c>
      <c r="AA54" s="150">
        <v>1</v>
      </c>
      <c r="AB54" s="150">
        <v>97.32</v>
      </c>
      <c r="AD54" s="150">
        <v>285.46899999999999</v>
      </c>
      <c r="AG54" s="2" t="s">
        <v>37</v>
      </c>
      <c r="AH54" s="164">
        <v>6.3999999999999997E-5</v>
      </c>
      <c r="AI54" s="164">
        <v>1.18091275344436E-2</v>
      </c>
      <c r="AJ54" s="164">
        <v>7.2233528502574005E-4</v>
      </c>
    </row>
    <row r="55" spans="1:36">
      <c r="A55" s="2" t="s">
        <v>26</v>
      </c>
      <c r="B55" s="2">
        <v>1182</v>
      </c>
      <c r="C55" s="2" t="s">
        <v>2425</v>
      </c>
      <c r="D55" s="2" t="s">
        <v>2426</v>
      </c>
      <c r="E55" s="4" t="s">
        <v>1376</v>
      </c>
      <c r="F55" s="2" t="s">
        <v>2427</v>
      </c>
      <c r="G55" s="2" t="s">
        <v>2428</v>
      </c>
      <c r="H55" s="2" t="s">
        <v>367</v>
      </c>
      <c r="I55" s="2" t="s">
        <v>1010</v>
      </c>
      <c r="J55" s="2" t="s">
        <v>31</v>
      </c>
      <c r="K55" s="2" t="s">
        <v>31</v>
      </c>
      <c r="L55" s="2" t="s">
        <v>373</v>
      </c>
      <c r="M55" s="2" t="s">
        <v>118</v>
      </c>
      <c r="N55" s="2" t="s">
        <v>497</v>
      </c>
      <c r="O55" s="2" t="s">
        <v>164</v>
      </c>
      <c r="P55" s="2" t="s">
        <v>2228</v>
      </c>
      <c r="Q55" s="2" t="s">
        <v>217</v>
      </c>
      <c r="R55" s="2" t="s">
        <v>452</v>
      </c>
      <c r="S55" s="2" t="s">
        <v>35</v>
      </c>
      <c r="T55" s="150">
        <v>3.8690000000000002</v>
      </c>
      <c r="U55" s="2" t="s">
        <v>2429</v>
      </c>
      <c r="V55" s="162">
        <v>6.7000000000000004E-2</v>
      </c>
      <c r="W55" s="164">
        <v>6.6000000000000003E-2</v>
      </c>
      <c r="X55" s="4" t="s">
        <v>458</v>
      </c>
      <c r="Y55" s="4" t="s">
        <v>164</v>
      </c>
      <c r="Z55" s="150">
        <v>261000</v>
      </c>
      <c r="AA55" s="150">
        <v>1</v>
      </c>
      <c r="AB55" s="150">
        <v>102.81</v>
      </c>
      <c r="AD55" s="150">
        <v>268.334</v>
      </c>
      <c r="AG55" s="2" t="s">
        <v>37</v>
      </c>
      <c r="AH55" s="164">
        <v>2.8699999999999998E-4</v>
      </c>
      <c r="AI55" s="164">
        <v>1.1100317673063499E-2</v>
      </c>
      <c r="AJ55" s="164">
        <v>6.7897912922543398E-4</v>
      </c>
    </row>
    <row r="56" spans="1:36">
      <c r="A56" s="2" t="s">
        <v>26</v>
      </c>
      <c r="B56" s="2">
        <v>1182</v>
      </c>
      <c r="C56" s="2" t="s">
        <v>2430</v>
      </c>
      <c r="D56" s="2" t="s">
        <v>2431</v>
      </c>
      <c r="E56" s="4" t="s">
        <v>1376</v>
      </c>
      <c r="F56" s="2" t="s">
        <v>2432</v>
      </c>
      <c r="G56" s="2" t="s">
        <v>2433</v>
      </c>
      <c r="H56" s="2" t="s">
        <v>367</v>
      </c>
      <c r="I56" s="2" t="s">
        <v>219</v>
      </c>
      <c r="J56" s="2" t="s">
        <v>31</v>
      </c>
      <c r="K56" s="2" t="s">
        <v>31</v>
      </c>
      <c r="L56" s="2" t="s">
        <v>373</v>
      </c>
      <c r="M56" s="2" t="s">
        <v>32</v>
      </c>
      <c r="N56" s="2" t="s">
        <v>484</v>
      </c>
      <c r="O56" s="2" t="s">
        <v>164</v>
      </c>
      <c r="P56" s="2" t="s">
        <v>1523</v>
      </c>
      <c r="Q56" s="2" t="s">
        <v>1523</v>
      </c>
      <c r="R56" s="2" t="s">
        <v>1523</v>
      </c>
      <c r="S56" s="2" t="s">
        <v>35</v>
      </c>
      <c r="T56" s="150">
        <v>2.7309999999999999</v>
      </c>
      <c r="U56" s="2" t="s">
        <v>1371</v>
      </c>
      <c r="V56" s="162">
        <v>1.4800000000000001E-2</v>
      </c>
      <c r="W56" s="164">
        <v>4.2779999999999999E-2</v>
      </c>
      <c r="X56" s="4" t="s">
        <v>458</v>
      </c>
      <c r="Y56" s="4" t="s">
        <v>164</v>
      </c>
      <c r="Z56" s="150">
        <v>175500</v>
      </c>
      <c r="AA56" s="150">
        <v>1</v>
      </c>
      <c r="AB56" s="150">
        <v>103.41</v>
      </c>
      <c r="AD56" s="150">
        <v>181.48500000000001</v>
      </c>
      <c r="AG56" s="2" t="s">
        <v>37</v>
      </c>
      <c r="AH56" s="164">
        <v>2.1599999999999999E-4</v>
      </c>
      <c r="AI56" s="164">
        <v>7.50756671534843E-3</v>
      </c>
      <c r="AJ56" s="164">
        <v>4.59219390032313E-4</v>
      </c>
    </row>
    <row r="57" spans="1:36">
      <c r="A57" s="2" t="s">
        <v>26</v>
      </c>
      <c r="B57" s="2">
        <v>1182</v>
      </c>
      <c r="C57" s="2" t="s">
        <v>2430</v>
      </c>
      <c r="D57" s="2" t="s">
        <v>2431</v>
      </c>
      <c r="E57" s="4" t="s">
        <v>1376</v>
      </c>
      <c r="F57" s="2" t="s">
        <v>2434</v>
      </c>
      <c r="G57" s="2" t="s">
        <v>2435</v>
      </c>
      <c r="H57" s="2" t="s">
        <v>367</v>
      </c>
      <c r="I57" s="2" t="s">
        <v>1010</v>
      </c>
      <c r="J57" s="2" t="s">
        <v>31</v>
      </c>
      <c r="K57" s="2" t="s">
        <v>31</v>
      </c>
      <c r="L57" s="2" t="s">
        <v>373</v>
      </c>
      <c r="M57" s="2" t="s">
        <v>32</v>
      </c>
      <c r="N57" s="2" t="s">
        <v>484</v>
      </c>
      <c r="O57" s="2" t="s">
        <v>164</v>
      </c>
      <c r="P57" s="2" t="s">
        <v>1523</v>
      </c>
      <c r="Q57" s="2" t="s">
        <v>1523</v>
      </c>
      <c r="R57" s="2" t="s">
        <v>1523</v>
      </c>
      <c r="S57" s="2" t="s">
        <v>35</v>
      </c>
      <c r="T57" s="150">
        <v>3.85</v>
      </c>
      <c r="U57" s="2" t="s">
        <v>2436</v>
      </c>
      <c r="V57" s="162">
        <v>6.9500000000000006E-2</v>
      </c>
      <c r="W57" s="164">
        <v>6.7629999999999996E-2</v>
      </c>
      <c r="X57" s="4" t="s">
        <v>458</v>
      </c>
      <c r="Y57" s="4" t="s">
        <v>164</v>
      </c>
      <c r="Z57" s="150">
        <v>370000</v>
      </c>
      <c r="AA57" s="150">
        <v>1</v>
      </c>
      <c r="AB57" s="150">
        <v>101.13</v>
      </c>
      <c r="AD57" s="150">
        <v>374.18099999999998</v>
      </c>
      <c r="AG57" s="2" t="s">
        <v>37</v>
      </c>
      <c r="AH57" s="164">
        <v>6.6200000000000005E-4</v>
      </c>
      <c r="AI57" s="164">
        <v>1.5478941987710699E-2</v>
      </c>
      <c r="AJ57" s="164">
        <v>9.46808808692977E-4</v>
      </c>
    </row>
    <row r="58" spans="1:36">
      <c r="A58" s="2" t="s">
        <v>26</v>
      </c>
      <c r="B58" s="2">
        <v>1182</v>
      </c>
      <c r="C58" s="2" t="s">
        <v>2437</v>
      </c>
      <c r="D58" s="2" t="s">
        <v>2438</v>
      </c>
      <c r="E58" s="4" t="s">
        <v>360</v>
      </c>
      <c r="F58" s="2" t="s">
        <v>2439</v>
      </c>
      <c r="G58" s="2" t="s">
        <v>2440</v>
      </c>
      <c r="H58" s="2" t="s">
        <v>367</v>
      </c>
      <c r="I58" s="2" t="s">
        <v>1010</v>
      </c>
      <c r="J58" s="2" t="s">
        <v>31</v>
      </c>
      <c r="K58" s="2" t="s">
        <v>31</v>
      </c>
      <c r="L58" s="2" t="s">
        <v>373</v>
      </c>
      <c r="M58" s="2" t="s">
        <v>118</v>
      </c>
      <c r="N58" s="2" t="s">
        <v>508</v>
      </c>
      <c r="O58" s="2" t="s">
        <v>164</v>
      </c>
      <c r="P58" s="2" t="s">
        <v>2247</v>
      </c>
      <c r="Q58" s="2" t="s">
        <v>1523</v>
      </c>
      <c r="R58" s="2" t="s">
        <v>1523</v>
      </c>
      <c r="S58" s="2" t="s">
        <v>35</v>
      </c>
      <c r="T58" s="150">
        <v>4.1710000000000003</v>
      </c>
      <c r="U58" s="2" t="s">
        <v>2441</v>
      </c>
      <c r="V58" s="162">
        <v>6.25E-2</v>
      </c>
      <c r="W58" s="164">
        <v>6.5070000000000003E-2</v>
      </c>
      <c r="X58" s="4" t="s">
        <v>458</v>
      </c>
      <c r="Y58" s="4" t="s">
        <v>164</v>
      </c>
      <c r="Z58" s="150">
        <v>576871</v>
      </c>
      <c r="AA58" s="150">
        <v>1</v>
      </c>
      <c r="AB58" s="150">
        <v>100.1</v>
      </c>
      <c r="AD58" s="150">
        <v>577.44799999999998</v>
      </c>
      <c r="AG58" s="2" t="s">
        <v>37</v>
      </c>
      <c r="AH58" s="164">
        <v>1.049E-3</v>
      </c>
      <c r="AI58" s="164">
        <v>2.3887589418319199E-2</v>
      </c>
      <c r="AJ58" s="164">
        <v>1.46114508973947E-3</v>
      </c>
    </row>
    <row r="59" spans="1:36">
      <c r="A59" s="2" t="s">
        <v>26</v>
      </c>
      <c r="B59" s="2">
        <v>1182</v>
      </c>
      <c r="C59" s="2" t="s">
        <v>2442</v>
      </c>
      <c r="D59" s="2" t="s">
        <v>2443</v>
      </c>
      <c r="E59" s="4" t="s">
        <v>359</v>
      </c>
      <c r="F59" s="2" t="s">
        <v>2444</v>
      </c>
      <c r="G59" s="2" t="s">
        <v>2445</v>
      </c>
      <c r="H59" s="2" t="s">
        <v>367</v>
      </c>
      <c r="I59" s="2" t="s">
        <v>1010</v>
      </c>
      <c r="J59" s="2" t="s">
        <v>94</v>
      </c>
      <c r="K59" s="2" t="s">
        <v>95</v>
      </c>
      <c r="L59" s="2" t="s">
        <v>373</v>
      </c>
      <c r="M59" s="2" t="s">
        <v>32</v>
      </c>
      <c r="N59" s="2" t="s">
        <v>508</v>
      </c>
      <c r="O59" s="2" t="s">
        <v>164</v>
      </c>
      <c r="P59" s="2" t="s">
        <v>2247</v>
      </c>
      <c r="Q59" s="11" t="s">
        <v>217</v>
      </c>
      <c r="R59" s="11" t="s">
        <v>452</v>
      </c>
      <c r="S59" s="2" t="s">
        <v>35</v>
      </c>
      <c r="T59" s="150">
        <v>2.3809999999999998</v>
      </c>
      <c r="U59" s="2" t="s">
        <v>1371</v>
      </c>
      <c r="V59" s="162">
        <v>3.49E-2</v>
      </c>
      <c r="W59" s="164">
        <v>6.8019999999999997E-2</v>
      </c>
      <c r="X59" s="4" t="s">
        <v>458</v>
      </c>
      <c r="Y59" s="4" t="s">
        <v>164</v>
      </c>
      <c r="Z59" s="150">
        <v>641663</v>
      </c>
      <c r="AA59" s="150">
        <v>1</v>
      </c>
      <c r="AB59" s="150">
        <v>92.43</v>
      </c>
      <c r="AD59" s="150">
        <v>593.08900000000006</v>
      </c>
      <c r="AG59" s="2" t="s">
        <v>37</v>
      </c>
      <c r="AH59" s="164">
        <v>6.7900000000000002E-4</v>
      </c>
      <c r="AI59" s="164">
        <v>2.4534628805749199E-2</v>
      </c>
      <c r="AJ59" s="164">
        <v>1.5007228975816699E-3</v>
      </c>
    </row>
    <row r="60" spans="1:36">
      <c r="A60" s="2" t="s">
        <v>26</v>
      </c>
      <c r="B60" s="2">
        <v>1182</v>
      </c>
      <c r="C60" s="2" t="s">
        <v>1987</v>
      </c>
      <c r="D60" s="2" t="s">
        <v>1988</v>
      </c>
      <c r="E60" s="4" t="s">
        <v>1376</v>
      </c>
      <c r="F60" s="2" t="s">
        <v>2446</v>
      </c>
      <c r="G60" s="2" t="s">
        <v>2447</v>
      </c>
      <c r="H60" s="2" t="s">
        <v>367</v>
      </c>
      <c r="I60" s="2" t="s">
        <v>1010</v>
      </c>
      <c r="J60" s="2" t="s">
        <v>31</v>
      </c>
      <c r="K60" s="2" t="s">
        <v>31</v>
      </c>
      <c r="L60" s="2" t="s">
        <v>373</v>
      </c>
      <c r="M60" s="2" t="s">
        <v>32</v>
      </c>
      <c r="N60" s="2" t="s">
        <v>528</v>
      </c>
      <c r="O60" s="2" t="s">
        <v>164</v>
      </c>
      <c r="P60" s="2" t="s">
        <v>2258</v>
      </c>
      <c r="Q60" s="11" t="s">
        <v>217</v>
      </c>
      <c r="R60" s="11" t="s">
        <v>452</v>
      </c>
      <c r="S60" s="2" t="s">
        <v>35</v>
      </c>
      <c r="T60" s="150">
        <v>3.49</v>
      </c>
      <c r="U60" s="2" t="s">
        <v>2448</v>
      </c>
      <c r="V60" s="162">
        <v>4.7300000000000002E-2</v>
      </c>
      <c r="W60" s="164">
        <v>5.6939999999999998E-2</v>
      </c>
      <c r="X60" s="4" t="s">
        <v>458</v>
      </c>
      <c r="Y60" s="4" t="s">
        <v>164</v>
      </c>
      <c r="Z60" s="150">
        <v>220000</v>
      </c>
      <c r="AA60" s="150">
        <v>1</v>
      </c>
      <c r="AB60" s="150">
        <v>96.96</v>
      </c>
      <c r="AC60" s="150">
        <v>5.2030000000000003</v>
      </c>
      <c r="AD60" s="150">
        <v>218.51499999999999</v>
      </c>
      <c r="AG60" s="2" t="s">
        <v>37</v>
      </c>
      <c r="AH60" s="164">
        <v>5.5699999999999999E-4</v>
      </c>
      <c r="AI60" s="164">
        <v>9.0394247929334003E-3</v>
      </c>
      <c r="AJ60" s="164">
        <v>5.5291938081181602E-4</v>
      </c>
    </row>
    <row r="61" spans="1:36">
      <c r="A61" s="2" t="s">
        <v>26</v>
      </c>
      <c r="B61" s="2">
        <v>1182</v>
      </c>
      <c r="C61" s="2" t="s">
        <v>1991</v>
      </c>
      <c r="D61" s="2" t="s">
        <v>1992</v>
      </c>
      <c r="E61" s="4" t="s">
        <v>1376</v>
      </c>
      <c r="F61" s="2" t="s">
        <v>2449</v>
      </c>
      <c r="G61" s="2" t="s">
        <v>2450</v>
      </c>
      <c r="H61" s="2" t="s">
        <v>367</v>
      </c>
      <c r="I61" s="2" t="s">
        <v>219</v>
      </c>
      <c r="J61" s="2" t="s">
        <v>31</v>
      </c>
      <c r="K61" s="2" t="s">
        <v>31</v>
      </c>
      <c r="L61" s="2" t="s">
        <v>373</v>
      </c>
      <c r="M61" s="2" t="s">
        <v>32</v>
      </c>
      <c r="N61" s="2" t="s">
        <v>507</v>
      </c>
      <c r="O61" s="2" t="s">
        <v>164</v>
      </c>
      <c r="P61" s="2" t="s">
        <v>2451</v>
      </c>
      <c r="Q61" s="11" t="s">
        <v>217</v>
      </c>
      <c r="R61" s="11" t="s">
        <v>452</v>
      </c>
      <c r="S61" s="2" t="s">
        <v>35</v>
      </c>
      <c r="T61" s="150">
        <v>2.7959999999999998</v>
      </c>
      <c r="U61" s="2" t="s">
        <v>1516</v>
      </c>
      <c r="V61" s="162">
        <v>1.77E-2</v>
      </c>
      <c r="W61" s="164">
        <v>2.615E-2</v>
      </c>
      <c r="X61" s="4" t="s">
        <v>458</v>
      </c>
      <c r="Y61" s="4" t="s">
        <v>164</v>
      </c>
      <c r="Z61" s="150">
        <v>192000</v>
      </c>
      <c r="AA61" s="150">
        <v>1</v>
      </c>
      <c r="AB61" s="150">
        <v>110.8</v>
      </c>
      <c r="AD61" s="150">
        <v>212.73599999999999</v>
      </c>
      <c r="AG61" s="2" t="s">
        <v>37</v>
      </c>
      <c r="AH61" s="164">
        <v>6.9999999999999994E-5</v>
      </c>
      <c r="AI61" s="164">
        <v>8.8003618641717095E-3</v>
      </c>
      <c r="AJ61" s="164">
        <v>5.3829648946929199E-4</v>
      </c>
    </row>
    <row r="62" spans="1:36">
      <c r="A62" s="2" t="s">
        <v>26</v>
      </c>
      <c r="B62" s="2">
        <v>1182</v>
      </c>
      <c r="C62" s="2" t="s">
        <v>1991</v>
      </c>
      <c r="D62" s="2" t="s">
        <v>1992</v>
      </c>
      <c r="E62" s="4" t="s">
        <v>1376</v>
      </c>
      <c r="F62" s="2" t="s">
        <v>2452</v>
      </c>
      <c r="G62" s="2" t="s">
        <v>2453</v>
      </c>
      <c r="H62" s="2" t="s">
        <v>367</v>
      </c>
      <c r="I62" s="2" t="s">
        <v>219</v>
      </c>
      <c r="J62" s="2" t="s">
        <v>31</v>
      </c>
      <c r="K62" s="2" t="s">
        <v>31</v>
      </c>
      <c r="L62" s="2" t="s">
        <v>373</v>
      </c>
      <c r="M62" s="2" t="s">
        <v>32</v>
      </c>
      <c r="N62" s="2" t="s">
        <v>507</v>
      </c>
      <c r="O62" s="2" t="s">
        <v>164</v>
      </c>
      <c r="P62" s="2" t="s">
        <v>1555</v>
      </c>
      <c r="Q62" s="11" t="s">
        <v>217</v>
      </c>
      <c r="R62" s="11" t="s">
        <v>452</v>
      </c>
      <c r="S62" s="2" t="s">
        <v>35</v>
      </c>
      <c r="T62" s="150">
        <v>10.566000000000001</v>
      </c>
      <c r="U62" s="2" t="s">
        <v>2454</v>
      </c>
      <c r="V62" s="162">
        <v>1.6899999999999998E-2</v>
      </c>
      <c r="W62" s="164">
        <v>3.8179999999999999E-2</v>
      </c>
      <c r="X62" s="4" t="s">
        <v>458</v>
      </c>
      <c r="Y62" s="4" t="s">
        <v>164</v>
      </c>
      <c r="Z62" s="150">
        <v>532888</v>
      </c>
      <c r="AA62" s="150">
        <v>1</v>
      </c>
      <c r="AB62" s="150">
        <v>89.8</v>
      </c>
      <c r="AC62" s="150">
        <v>5.0369999999999999</v>
      </c>
      <c r="AD62" s="150">
        <v>483.57</v>
      </c>
      <c r="AG62" s="2" t="s">
        <v>37</v>
      </c>
      <c r="AH62" s="164">
        <v>1.22E-4</v>
      </c>
      <c r="AI62" s="164">
        <v>2.0004096447602E-2</v>
      </c>
      <c r="AJ62" s="164">
        <v>1.2236013767330199E-3</v>
      </c>
    </row>
    <row r="63" spans="1:36">
      <c r="A63" s="2" t="s">
        <v>26</v>
      </c>
      <c r="B63" s="2">
        <v>1182</v>
      </c>
      <c r="C63" s="2" t="s">
        <v>1995</v>
      </c>
      <c r="D63" s="2" t="s">
        <v>1996</v>
      </c>
      <c r="E63" s="4" t="s">
        <v>1376</v>
      </c>
      <c r="F63" s="2" t="s">
        <v>2455</v>
      </c>
      <c r="G63" s="2" t="s">
        <v>2456</v>
      </c>
      <c r="H63" s="2" t="s">
        <v>367</v>
      </c>
      <c r="I63" s="2" t="s">
        <v>219</v>
      </c>
      <c r="J63" s="2" t="s">
        <v>31</v>
      </c>
      <c r="K63" s="2" t="s">
        <v>31</v>
      </c>
      <c r="L63" s="2" t="s">
        <v>373</v>
      </c>
      <c r="M63" s="2" t="s">
        <v>32</v>
      </c>
      <c r="N63" s="2" t="s">
        <v>491</v>
      </c>
      <c r="O63" s="2" t="s">
        <v>164</v>
      </c>
      <c r="P63" s="2" t="s">
        <v>1387</v>
      </c>
      <c r="Q63" s="11" t="s">
        <v>217</v>
      </c>
      <c r="R63" s="11" t="s">
        <v>452</v>
      </c>
      <c r="S63" s="2" t="s">
        <v>35</v>
      </c>
      <c r="T63" s="150">
        <v>4.9290000000000003</v>
      </c>
      <c r="U63" s="2" t="s">
        <v>2457</v>
      </c>
      <c r="V63" s="162">
        <v>3.7100000000000001E-2</v>
      </c>
      <c r="W63" s="164">
        <v>3.3709999999999997E-2</v>
      </c>
      <c r="X63" s="4" t="s">
        <v>458</v>
      </c>
      <c r="Y63" s="4" t="s">
        <v>164</v>
      </c>
      <c r="Z63" s="150">
        <v>500000</v>
      </c>
      <c r="AA63" s="150">
        <v>1</v>
      </c>
      <c r="AB63" s="150">
        <v>105.41</v>
      </c>
      <c r="AD63" s="150">
        <v>527.04999999999995</v>
      </c>
      <c r="AG63" s="2" t="s">
        <v>37</v>
      </c>
      <c r="AH63" s="164">
        <v>1.302E-3</v>
      </c>
      <c r="AI63" s="164">
        <v>2.1802754214198299E-2</v>
      </c>
      <c r="AJ63" s="164">
        <v>1.3336208482569499E-3</v>
      </c>
    </row>
    <row r="64" spans="1:36">
      <c r="A64" s="2" t="s">
        <v>26</v>
      </c>
      <c r="B64" s="2">
        <v>1182</v>
      </c>
      <c r="C64" s="2" t="s">
        <v>2458</v>
      </c>
      <c r="D64" s="2" t="s">
        <v>2459</v>
      </c>
      <c r="E64" s="4" t="s">
        <v>1376</v>
      </c>
      <c r="F64" s="2" t="s">
        <v>2460</v>
      </c>
      <c r="G64" s="2" t="s">
        <v>2461</v>
      </c>
      <c r="H64" s="2" t="s">
        <v>367</v>
      </c>
      <c r="I64" s="2" t="s">
        <v>1010</v>
      </c>
      <c r="J64" s="2" t="s">
        <v>31</v>
      </c>
      <c r="K64" s="2" t="s">
        <v>31</v>
      </c>
      <c r="L64" s="2" t="s">
        <v>373</v>
      </c>
      <c r="M64" s="2" t="s">
        <v>118</v>
      </c>
      <c r="N64" s="2" t="s">
        <v>483</v>
      </c>
      <c r="O64" s="2" t="s">
        <v>164</v>
      </c>
      <c r="P64" s="2" t="s">
        <v>1387</v>
      </c>
      <c r="Q64" s="11" t="s">
        <v>217</v>
      </c>
      <c r="R64" s="11" t="s">
        <v>452</v>
      </c>
      <c r="S64" s="2" t="s">
        <v>35</v>
      </c>
      <c r="T64" s="150">
        <v>6.8010000000000002</v>
      </c>
      <c r="U64" s="2" t="s">
        <v>2462</v>
      </c>
      <c r="V64" s="162">
        <v>5.8599999999999999E-2</v>
      </c>
      <c r="W64" s="164">
        <v>6.148E-2</v>
      </c>
      <c r="X64" s="4" t="s">
        <v>458</v>
      </c>
      <c r="Y64" s="4" t="s">
        <v>164</v>
      </c>
      <c r="Z64" s="150">
        <v>573374</v>
      </c>
      <c r="AA64" s="150">
        <v>1</v>
      </c>
      <c r="AB64" s="150">
        <v>100.02</v>
      </c>
      <c r="AD64" s="150">
        <v>573.48900000000003</v>
      </c>
      <c r="AG64" s="2" t="s">
        <v>37</v>
      </c>
      <c r="AH64" s="164">
        <v>2.8739999999999998E-3</v>
      </c>
      <c r="AI64" s="164">
        <v>2.3723807269311701E-2</v>
      </c>
      <c r="AJ64" s="164">
        <v>1.45112693853056E-3</v>
      </c>
    </row>
    <row r="65" spans="1:36">
      <c r="A65" s="2" t="s">
        <v>26</v>
      </c>
      <c r="B65" s="2">
        <v>1182</v>
      </c>
      <c r="C65" s="2" t="s">
        <v>2463</v>
      </c>
      <c r="D65" s="2" t="s">
        <v>2464</v>
      </c>
      <c r="E65" s="4" t="s">
        <v>1376</v>
      </c>
      <c r="F65" s="2" t="s">
        <v>2465</v>
      </c>
      <c r="G65" s="2" t="s">
        <v>2466</v>
      </c>
      <c r="H65" s="2" t="s">
        <v>367</v>
      </c>
      <c r="I65" s="2" t="s">
        <v>1010</v>
      </c>
      <c r="J65" s="2" t="s">
        <v>31</v>
      </c>
      <c r="K65" s="2" t="s">
        <v>31</v>
      </c>
      <c r="L65" s="2" t="s">
        <v>373</v>
      </c>
      <c r="M65" s="2" t="s">
        <v>32</v>
      </c>
      <c r="N65" s="2" t="s">
        <v>488</v>
      </c>
      <c r="O65" s="2" t="s">
        <v>164</v>
      </c>
      <c r="P65" s="2" t="s">
        <v>1392</v>
      </c>
      <c r="Q65" s="2" t="s">
        <v>217</v>
      </c>
      <c r="R65" s="2" t="s">
        <v>452</v>
      </c>
      <c r="S65" s="2" t="s">
        <v>35</v>
      </c>
      <c r="T65" s="150">
        <v>5.2389999999999999</v>
      </c>
      <c r="U65" s="2" t="s">
        <v>2436</v>
      </c>
      <c r="V65" s="162">
        <v>4.6899999999999997E-2</v>
      </c>
      <c r="W65" s="164">
        <v>5.7200000000000001E-2</v>
      </c>
      <c r="X65" s="4" t="s">
        <v>458</v>
      </c>
      <c r="Y65" s="4" t="s">
        <v>164</v>
      </c>
      <c r="Z65" s="150">
        <v>500000</v>
      </c>
      <c r="AA65" s="150">
        <v>1</v>
      </c>
      <c r="AB65" s="150">
        <v>95.24</v>
      </c>
      <c r="AD65" s="150">
        <v>476.2</v>
      </c>
      <c r="AG65" s="2" t="s">
        <v>37</v>
      </c>
      <c r="AH65" s="164">
        <v>1E-3</v>
      </c>
      <c r="AI65" s="164">
        <v>1.9699215552226999E-2</v>
      </c>
      <c r="AJ65" s="164">
        <v>1.20495256226157E-3</v>
      </c>
    </row>
    <row r="66" spans="1:36">
      <c r="A66" s="2" t="s">
        <v>26</v>
      </c>
      <c r="B66" s="2">
        <v>1182</v>
      </c>
      <c r="C66" s="2" t="s">
        <v>2467</v>
      </c>
      <c r="D66" s="2" t="s">
        <v>2468</v>
      </c>
      <c r="E66" s="4" t="s">
        <v>1376</v>
      </c>
      <c r="F66" s="2" t="s">
        <v>2469</v>
      </c>
      <c r="G66" s="2" t="s">
        <v>2470</v>
      </c>
      <c r="H66" s="2" t="s">
        <v>367</v>
      </c>
      <c r="I66" s="2" t="s">
        <v>1010</v>
      </c>
      <c r="J66" s="2" t="s">
        <v>31</v>
      </c>
      <c r="K66" s="2" t="s">
        <v>31</v>
      </c>
      <c r="L66" s="2" t="s">
        <v>373</v>
      </c>
      <c r="M66" s="2" t="s">
        <v>32</v>
      </c>
      <c r="N66" s="2" t="s">
        <v>508</v>
      </c>
      <c r="O66" s="2" t="s">
        <v>164</v>
      </c>
      <c r="P66" s="2" t="s">
        <v>2217</v>
      </c>
      <c r="Q66" s="2" t="s">
        <v>98</v>
      </c>
      <c r="R66" s="2" t="s">
        <v>452</v>
      </c>
      <c r="S66" s="2" t="s">
        <v>35</v>
      </c>
      <c r="T66" s="150">
        <v>1.8919999999999999</v>
      </c>
      <c r="U66" s="2" t="s">
        <v>2471</v>
      </c>
      <c r="V66" s="162">
        <v>2.6499999999999999E-2</v>
      </c>
      <c r="W66" s="164">
        <v>5.6939999999999998E-2</v>
      </c>
      <c r="X66" s="4" t="s">
        <v>458</v>
      </c>
      <c r="Y66" s="4" t="s">
        <v>164</v>
      </c>
      <c r="Z66" s="150">
        <v>252857.14</v>
      </c>
      <c r="AA66" s="150">
        <v>1</v>
      </c>
      <c r="AB66" s="150">
        <v>95.45</v>
      </c>
      <c r="AD66" s="150">
        <v>241.352</v>
      </c>
      <c r="AG66" s="2" t="s">
        <v>37</v>
      </c>
      <c r="AH66" s="164">
        <v>4.1100000000000002E-4</v>
      </c>
      <c r="AI66" s="164">
        <v>9.9841407652502493E-3</v>
      </c>
      <c r="AJ66" s="164">
        <v>6.1070533317294498E-4</v>
      </c>
    </row>
    <row r="67" spans="1:36">
      <c r="A67" s="2" t="s">
        <v>26</v>
      </c>
      <c r="B67" s="2">
        <v>1182</v>
      </c>
      <c r="C67" s="2" t="s">
        <v>2472</v>
      </c>
      <c r="D67" s="2" t="s">
        <v>2032</v>
      </c>
      <c r="E67" s="4" t="s">
        <v>361</v>
      </c>
      <c r="F67" s="2" t="s">
        <v>2473</v>
      </c>
      <c r="G67" s="2" t="s">
        <v>2474</v>
      </c>
      <c r="H67" s="2" t="s">
        <v>367</v>
      </c>
      <c r="I67" s="2" t="s">
        <v>214</v>
      </c>
      <c r="J67" s="2" t="s">
        <v>94</v>
      </c>
      <c r="K67" s="2" t="s">
        <v>95</v>
      </c>
      <c r="L67" s="2" t="s">
        <v>373</v>
      </c>
      <c r="M67" s="2" t="s">
        <v>203</v>
      </c>
      <c r="N67" s="2" t="s">
        <v>590</v>
      </c>
      <c r="O67" s="2" t="s">
        <v>164</v>
      </c>
      <c r="P67" s="2" t="s">
        <v>1555</v>
      </c>
      <c r="Q67" s="2" t="s">
        <v>104</v>
      </c>
      <c r="R67" s="2" t="s">
        <v>452</v>
      </c>
      <c r="S67" s="2" t="s">
        <v>99</v>
      </c>
      <c r="T67" s="150">
        <v>0.92</v>
      </c>
      <c r="U67" s="2" t="s">
        <v>2475</v>
      </c>
      <c r="V67" s="162">
        <v>3.2000000000000001E-2</v>
      </c>
      <c r="W67" s="164">
        <v>5.2900000000000003E-2</v>
      </c>
      <c r="X67" s="4" t="s">
        <v>458</v>
      </c>
      <c r="Y67" s="4" t="s">
        <v>164</v>
      </c>
      <c r="Z67" s="150">
        <v>20000</v>
      </c>
      <c r="AA67" s="150">
        <v>3.7589999999999999</v>
      </c>
      <c r="AB67" s="150">
        <v>98.709000000000003</v>
      </c>
      <c r="AD67" s="150">
        <v>74.209000000000003</v>
      </c>
      <c r="AG67" s="2" t="s">
        <v>37</v>
      </c>
      <c r="AH67" s="164">
        <v>1.0000000000000001E-5</v>
      </c>
      <c r="AI67" s="164">
        <v>3.06985098647587E-3</v>
      </c>
      <c r="AJ67" s="164">
        <v>1.87775234100483E-4</v>
      </c>
    </row>
    <row r="68" spans="1:36">
      <c r="A68" s="2" t="s">
        <v>26</v>
      </c>
      <c r="B68" s="2">
        <v>1182</v>
      </c>
      <c r="C68" s="2" t="s">
        <v>2476</v>
      </c>
      <c r="D68" s="2" t="s">
        <v>2477</v>
      </c>
      <c r="E68" s="4" t="s">
        <v>361</v>
      </c>
      <c r="F68" s="2" t="s">
        <v>2478</v>
      </c>
      <c r="G68" s="2" t="s">
        <v>2479</v>
      </c>
      <c r="H68" s="2" t="s">
        <v>367</v>
      </c>
      <c r="I68" s="2" t="s">
        <v>214</v>
      </c>
      <c r="J68" s="2" t="s">
        <v>94</v>
      </c>
      <c r="K68" s="2" t="s">
        <v>95</v>
      </c>
      <c r="L68" s="2" t="s">
        <v>373</v>
      </c>
      <c r="M68" s="2" t="s">
        <v>203</v>
      </c>
      <c r="N68" s="2" t="s">
        <v>580</v>
      </c>
      <c r="O68" s="2" t="s">
        <v>164</v>
      </c>
      <c r="P68" s="2" t="s">
        <v>2480</v>
      </c>
      <c r="Q68" s="2" t="s">
        <v>104</v>
      </c>
      <c r="R68" s="2" t="s">
        <v>452</v>
      </c>
      <c r="S68" s="2" t="s">
        <v>99</v>
      </c>
      <c r="T68" s="150">
        <v>0.61</v>
      </c>
      <c r="U68" s="2" t="s">
        <v>2481</v>
      </c>
      <c r="V68" s="162">
        <v>0.04</v>
      </c>
      <c r="W68" s="164">
        <v>6.0069999999999998E-2</v>
      </c>
      <c r="X68" s="4" t="s">
        <v>458</v>
      </c>
      <c r="Y68" s="4" t="s">
        <v>164</v>
      </c>
      <c r="Z68" s="150">
        <v>30000</v>
      </c>
      <c r="AA68" s="150">
        <v>3.7589999999999999</v>
      </c>
      <c r="AB68" s="150">
        <v>100.77500000000001</v>
      </c>
      <c r="AD68" s="150">
        <v>113.64400000000001</v>
      </c>
      <c r="AG68" s="2" t="s">
        <v>37</v>
      </c>
      <c r="AH68" s="164">
        <v>1.2E-5</v>
      </c>
      <c r="AI68" s="164">
        <v>4.7011544938392004E-3</v>
      </c>
      <c r="AJ68" s="164">
        <v>2.8755805721911799E-4</v>
      </c>
    </row>
    <row r="69" spans="1:36">
      <c r="A69" s="2" t="s">
        <v>26</v>
      </c>
      <c r="B69" s="2">
        <v>1182</v>
      </c>
      <c r="C69" s="2" t="s">
        <v>2482</v>
      </c>
      <c r="D69" s="2" t="s">
        <v>2483</v>
      </c>
      <c r="E69" s="4" t="s">
        <v>361</v>
      </c>
      <c r="F69" s="2" t="s">
        <v>2484</v>
      </c>
      <c r="G69" s="2" t="s">
        <v>2485</v>
      </c>
      <c r="H69" s="2" t="s">
        <v>367</v>
      </c>
      <c r="I69" s="2" t="s">
        <v>214</v>
      </c>
      <c r="J69" s="2" t="s">
        <v>94</v>
      </c>
      <c r="K69" s="2" t="s">
        <v>95</v>
      </c>
      <c r="L69" s="2" t="s">
        <v>373</v>
      </c>
      <c r="M69" s="2" t="s">
        <v>203</v>
      </c>
      <c r="N69" s="2" t="s">
        <v>590</v>
      </c>
      <c r="O69" s="2" t="s">
        <v>164</v>
      </c>
      <c r="P69" s="2" t="s">
        <v>2330</v>
      </c>
      <c r="Q69" s="2" t="s">
        <v>476</v>
      </c>
      <c r="R69" s="2" t="s">
        <v>452</v>
      </c>
      <c r="S69" s="2" t="s">
        <v>99</v>
      </c>
      <c r="T69" s="150">
        <v>0.91</v>
      </c>
      <c r="U69" s="2" t="s">
        <v>2486</v>
      </c>
      <c r="V69" s="162">
        <v>7.4999999999999997E-2</v>
      </c>
      <c r="W69" s="164">
        <v>6.0630000000000003E-2</v>
      </c>
      <c r="X69" s="4" t="s">
        <v>458</v>
      </c>
      <c r="Y69" s="4" t="s">
        <v>164</v>
      </c>
      <c r="Z69" s="150">
        <v>30000</v>
      </c>
      <c r="AA69" s="150">
        <v>3.7589999999999999</v>
      </c>
      <c r="AB69" s="150">
        <v>102.27800000000001</v>
      </c>
      <c r="AD69" s="150">
        <v>115.339</v>
      </c>
      <c r="AG69" s="2" t="s">
        <v>37</v>
      </c>
      <c r="AH69" s="164">
        <v>7.4999999999999993E-5</v>
      </c>
      <c r="AI69" s="164">
        <v>4.7712988847498899E-3</v>
      </c>
      <c r="AJ69" s="164">
        <v>2.9184861708085602E-4</v>
      </c>
    </row>
    <row r="70" spans="1:36">
      <c r="A70" s="2" t="s">
        <v>26</v>
      </c>
      <c r="B70" s="2">
        <v>1182</v>
      </c>
      <c r="C70" s="2" t="s">
        <v>1929</v>
      </c>
      <c r="D70" s="2" t="s">
        <v>1930</v>
      </c>
      <c r="E70" s="4" t="s">
        <v>1376</v>
      </c>
      <c r="F70" s="2" t="s">
        <v>2487</v>
      </c>
      <c r="G70" s="2" t="s">
        <v>2488</v>
      </c>
      <c r="H70" s="2" t="s">
        <v>367</v>
      </c>
      <c r="I70" s="2" t="s">
        <v>214</v>
      </c>
      <c r="J70" s="2" t="s">
        <v>31</v>
      </c>
      <c r="K70" s="2" t="s">
        <v>95</v>
      </c>
      <c r="L70" s="2" t="s">
        <v>373</v>
      </c>
      <c r="M70" s="2" t="s">
        <v>390</v>
      </c>
      <c r="N70" s="2" t="s">
        <v>510</v>
      </c>
      <c r="O70" s="2" t="s">
        <v>164</v>
      </c>
      <c r="P70" s="2" t="s">
        <v>2489</v>
      </c>
      <c r="Q70" s="2" t="s">
        <v>104</v>
      </c>
      <c r="R70" s="2" t="s">
        <v>452</v>
      </c>
      <c r="S70" s="2" t="s">
        <v>1219</v>
      </c>
      <c r="T70" s="150">
        <v>5.13</v>
      </c>
      <c r="U70" s="2" t="s">
        <v>2490</v>
      </c>
      <c r="V70" s="162">
        <v>4.3749999999999997E-2</v>
      </c>
      <c r="W70" s="164">
        <v>5.033E-2</v>
      </c>
      <c r="X70" s="4" t="s">
        <v>458</v>
      </c>
      <c r="Y70" s="4" t="s">
        <v>164</v>
      </c>
      <c r="Z70" s="150">
        <v>124000</v>
      </c>
      <c r="AA70" s="150">
        <v>4.0199999999999996</v>
      </c>
      <c r="AB70" s="150">
        <v>97.57</v>
      </c>
      <c r="AD70" s="150">
        <v>486.392</v>
      </c>
      <c r="AG70" s="2" t="s">
        <v>37</v>
      </c>
      <c r="AH70" s="164">
        <v>8.2999999999999998E-5</v>
      </c>
      <c r="AI70" s="164">
        <v>2.01208181413359E-2</v>
      </c>
      <c r="AJ70" s="164">
        <v>1.2307409556448501E-3</v>
      </c>
    </row>
    <row r="71" spans="1:36">
      <c r="A71" s="2" t="s">
        <v>26</v>
      </c>
      <c r="B71" s="2">
        <v>1182</v>
      </c>
      <c r="C71" s="2" t="s">
        <v>2491</v>
      </c>
      <c r="D71" s="2" t="s">
        <v>2492</v>
      </c>
      <c r="E71" s="4" t="s">
        <v>360</v>
      </c>
      <c r="F71" s="2" t="s">
        <v>2493</v>
      </c>
      <c r="G71" s="2" t="s">
        <v>2494</v>
      </c>
      <c r="H71" s="2" t="s">
        <v>367</v>
      </c>
      <c r="I71" s="2" t="s">
        <v>214</v>
      </c>
      <c r="J71" s="2" t="s">
        <v>94</v>
      </c>
      <c r="K71" s="2" t="s">
        <v>282</v>
      </c>
      <c r="L71" s="2" t="s">
        <v>373</v>
      </c>
      <c r="M71" s="2" t="s">
        <v>32</v>
      </c>
      <c r="N71" s="2" t="s">
        <v>508</v>
      </c>
      <c r="O71" s="2" t="s">
        <v>164</v>
      </c>
      <c r="P71" s="2" t="s">
        <v>1392</v>
      </c>
      <c r="Q71" s="2" t="s">
        <v>98</v>
      </c>
      <c r="R71" s="2" t="s">
        <v>452</v>
      </c>
      <c r="S71" s="2" t="s">
        <v>35</v>
      </c>
      <c r="T71" s="150">
        <v>3.13</v>
      </c>
      <c r="U71" s="2" t="s">
        <v>2495</v>
      </c>
      <c r="V71" s="162">
        <v>4.2999999999999997E-2</v>
      </c>
      <c r="W71" s="164">
        <v>7.8320000000000001E-2</v>
      </c>
      <c r="X71" s="4" t="s">
        <v>458</v>
      </c>
      <c r="Y71" s="4" t="s">
        <v>164</v>
      </c>
      <c r="Z71" s="150">
        <v>277364.65000000002</v>
      </c>
      <c r="AA71" s="150">
        <v>1</v>
      </c>
      <c r="AB71" s="150">
        <v>90.67</v>
      </c>
      <c r="AD71" s="150">
        <v>251.48699999999999</v>
      </c>
      <c r="AG71" s="2" t="s">
        <v>37</v>
      </c>
      <c r="AH71" s="164">
        <v>2.4600000000000002E-4</v>
      </c>
      <c r="AI71" s="164">
        <v>1.04033753183674E-2</v>
      </c>
      <c r="AJ71" s="164">
        <v>6.3634887961913698E-4</v>
      </c>
    </row>
    <row r="72" spans="1:36">
      <c r="A72" s="2" t="s">
        <v>26</v>
      </c>
      <c r="B72" s="2">
        <v>14769</v>
      </c>
      <c r="C72" s="2" t="s">
        <v>2219</v>
      </c>
      <c r="D72" s="2" t="s">
        <v>2220</v>
      </c>
      <c r="E72" s="4" t="s">
        <v>1376</v>
      </c>
      <c r="F72" s="2" t="s">
        <v>2221</v>
      </c>
      <c r="G72" s="2" t="s">
        <v>2222</v>
      </c>
      <c r="H72" s="2" t="s">
        <v>367</v>
      </c>
      <c r="I72" s="2" t="s">
        <v>219</v>
      </c>
      <c r="J72" s="2" t="s">
        <v>31</v>
      </c>
      <c r="K72" s="2" t="s">
        <v>31</v>
      </c>
      <c r="L72" s="2" t="s">
        <v>373</v>
      </c>
      <c r="M72" s="2" t="s">
        <v>32</v>
      </c>
      <c r="N72" s="2" t="s">
        <v>499</v>
      </c>
      <c r="O72" s="2" t="s">
        <v>164</v>
      </c>
      <c r="P72" s="2" t="s">
        <v>1387</v>
      </c>
      <c r="Q72" s="2" t="s">
        <v>217</v>
      </c>
      <c r="R72" s="2" t="s">
        <v>452</v>
      </c>
      <c r="S72" s="2" t="s">
        <v>35</v>
      </c>
      <c r="T72" s="150">
        <v>5.4290000000000003</v>
      </c>
      <c r="U72" s="2" t="s">
        <v>2223</v>
      </c>
      <c r="V72" s="162">
        <v>5.1499999999999997E-2</v>
      </c>
      <c r="W72" s="164">
        <v>3.8629999999999998E-2</v>
      </c>
      <c r="X72" s="4" t="s">
        <v>458</v>
      </c>
      <c r="Y72" s="4" t="s">
        <v>164</v>
      </c>
      <c r="Z72" s="150">
        <v>10217</v>
      </c>
      <c r="AA72" s="150">
        <v>1</v>
      </c>
      <c r="AB72" s="150">
        <v>147.13</v>
      </c>
      <c r="AD72" s="150">
        <v>15.032</v>
      </c>
      <c r="AG72" s="2" t="s">
        <v>37</v>
      </c>
      <c r="AH72" s="164">
        <v>3.9999999999999998E-6</v>
      </c>
      <c r="AI72" s="164">
        <v>0.111775499284453</v>
      </c>
      <c r="AJ72" s="164">
        <v>1.3487010066359701E-3</v>
      </c>
    </row>
    <row r="73" spans="1:36">
      <c r="A73" s="2" t="s">
        <v>26</v>
      </c>
      <c r="B73" s="2">
        <v>14769</v>
      </c>
      <c r="C73" s="2" t="s">
        <v>2233</v>
      </c>
      <c r="D73" s="2" t="s">
        <v>2234</v>
      </c>
      <c r="E73" s="4" t="s">
        <v>1376</v>
      </c>
      <c r="F73" s="2" t="s">
        <v>2235</v>
      </c>
      <c r="G73" s="2" t="s">
        <v>2236</v>
      </c>
      <c r="H73" s="2" t="s">
        <v>367</v>
      </c>
      <c r="I73" s="2" t="s">
        <v>1010</v>
      </c>
      <c r="J73" s="2" t="s">
        <v>31</v>
      </c>
      <c r="K73" s="2" t="s">
        <v>31</v>
      </c>
      <c r="L73" s="2" t="s">
        <v>373</v>
      </c>
      <c r="M73" s="2" t="s">
        <v>32</v>
      </c>
      <c r="N73" s="2" t="s">
        <v>490</v>
      </c>
      <c r="O73" s="2" t="s">
        <v>164</v>
      </c>
      <c r="P73" s="2" t="s">
        <v>2217</v>
      </c>
      <c r="Q73" s="2" t="s">
        <v>98</v>
      </c>
      <c r="R73" s="2" t="s">
        <v>452</v>
      </c>
      <c r="S73" s="2" t="s">
        <v>35</v>
      </c>
      <c r="T73" s="150">
        <v>2.5</v>
      </c>
      <c r="U73" s="2" t="s">
        <v>2237</v>
      </c>
      <c r="V73" s="162">
        <v>2.5499999999999998E-2</v>
      </c>
      <c r="W73" s="164">
        <v>5.824E-2</v>
      </c>
      <c r="X73" s="4" t="s">
        <v>458</v>
      </c>
      <c r="Y73" s="4" t="s">
        <v>164</v>
      </c>
      <c r="Z73" s="150">
        <v>8745</v>
      </c>
      <c r="AA73" s="150">
        <v>1</v>
      </c>
      <c r="AB73" s="150">
        <v>92.23</v>
      </c>
      <c r="AD73" s="150">
        <v>8.0660000000000007</v>
      </c>
      <c r="AG73" s="2" t="s">
        <v>37</v>
      </c>
      <c r="AH73" s="164">
        <v>1.1E-5</v>
      </c>
      <c r="AI73" s="164">
        <v>5.9972756776269003E-2</v>
      </c>
      <c r="AJ73" s="164">
        <v>7.2364085110500505E-4</v>
      </c>
    </row>
    <row r="74" spans="1:36">
      <c r="A74" s="2" t="s">
        <v>26</v>
      </c>
      <c r="B74" s="2">
        <v>14769</v>
      </c>
      <c r="C74" s="2" t="s">
        <v>1857</v>
      </c>
      <c r="D74" s="2" t="s">
        <v>1858</v>
      </c>
      <c r="E74" s="4" t="s">
        <v>1376</v>
      </c>
      <c r="F74" s="2" t="s">
        <v>2260</v>
      </c>
      <c r="G74" s="2" t="s">
        <v>2261</v>
      </c>
      <c r="H74" s="2" t="s">
        <v>367</v>
      </c>
      <c r="I74" s="2" t="s">
        <v>1010</v>
      </c>
      <c r="J74" s="2" t="s">
        <v>31</v>
      </c>
      <c r="K74" s="2" t="s">
        <v>31</v>
      </c>
      <c r="L74" s="2" t="s">
        <v>373</v>
      </c>
      <c r="M74" s="2" t="s">
        <v>32</v>
      </c>
      <c r="N74" s="2" t="s">
        <v>494</v>
      </c>
      <c r="O74" s="2" t="s">
        <v>164</v>
      </c>
      <c r="P74" s="2" t="s">
        <v>2258</v>
      </c>
      <c r="Q74" s="2" t="s">
        <v>98</v>
      </c>
      <c r="R74" s="2" t="s">
        <v>452</v>
      </c>
      <c r="S74" s="2" t="s">
        <v>35</v>
      </c>
      <c r="T74" s="150">
        <v>5.0460000000000003</v>
      </c>
      <c r="U74" s="2" t="s">
        <v>2262</v>
      </c>
      <c r="V74" s="162">
        <v>2.07E-2</v>
      </c>
      <c r="W74" s="164">
        <v>5.9479999999999998E-2</v>
      </c>
      <c r="X74" s="4" t="s">
        <v>458</v>
      </c>
      <c r="Y74" s="4" t="s">
        <v>164</v>
      </c>
      <c r="Z74" s="150">
        <v>15399</v>
      </c>
      <c r="AA74" s="150">
        <v>1</v>
      </c>
      <c r="AB74" s="150">
        <v>82.34</v>
      </c>
      <c r="AD74" s="150">
        <v>12.68</v>
      </c>
      <c r="AG74" s="2" t="s">
        <v>37</v>
      </c>
      <c r="AH74" s="164">
        <v>3.6999999999999998E-5</v>
      </c>
      <c r="AI74" s="164">
        <v>9.4281258663518594E-2</v>
      </c>
      <c r="AJ74" s="164">
        <v>1.1376127083342E-3</v>
      </c>
    </row>
    <row r="75" spans="1:36">
      <c r="A75" s="2" t="s">
        <v>26</v>
      </c>
      <c r="B75" s="2">
        <v>14769</v>
      </c>
      <c r="C75" s="2" t="s">
        <v>2271</v>
      </c>
      <c r="D75" s="2" t="s">
        <v>2272</v>
      </c>
      <c r="E75" s="4" t="s">
        <v>1376</v>
      </c>
      <c r="F75" s="2" t="s">
        <v>2273</v>
      </c>
      <c r="G75" s="2" t="s">
        <v>2274</v>
      </c>
      <c r="H75" s="2" t="s">
        <v>367</v>
      </c>
      <c r="I75" s="2" t="s">
        <v>219</v>
      </c>
      <c r="J75" s="2" t="s">
        <v>31</v>
      </c>
      <c r="K75" s="2" t="s">
        <v>31</v>
      </c>
      <c r="L75" s="2" t="s">
        <v>373</v>
      </c>
      <c r="M75" s="2" t="s">
        <v>32</v>
      </c>
      <c r="N75" s="2" t="s">
        <v>507</v>
      </c>
      <c r="O75" s="2" t="s">
        <v>164</v>
      </c>
      <c r="P75" s="2" t="s">
        <v>2275</v>
      </c>
      <c r="Q75" s="2" t="s">
        <v>217</v>
      </c>
      <c r="R75" s="2" t="s">
        <v>452</v>
      </c>
      <c r="S75" s="2" t="s">
        <v>35</v>
      </c>
      <c r="T75" s="150">
        <v>6.3</v>
      </c>
      <c r="U75" s="2" t="s">
        <v>2276</v>
      </c>
      <c r="V75" s="162">
        <v>3.6799999999999999E-2</v>
      </c>
      <c r="W75" s="164">
        <v>4.3209999999999998E-2</v>
      </c>
      <c r="X75" s="4" t="s">
        <v>458</v>
      </c>
      <c r="Y75" s="4" t="s">
        <v>164</v>
      </c>
      <c r="Z75" s="150">
        <v>8130</v>
      </c>
      <c r="AA75" s="150">
        <v>1</v>
      </c>
      <c r="AB75" s="150">
        <v>98.21</v>
      </c>
      <c r="AD75" s="150">
        <v>7.984</v>
      </c>
      <c r="AG75" s="2" t="s">
        <v>37</v>
      </c>
      <c r="AH75" s="164">
        <v>3.3000000000000003E-5</v>
      </c>
      <c r="AI75" s="164">
        <v>5.9370163749113698E-2</v>
      </c>
      <c r="AJ75" s="164">
        <v>7.1636986750377803E-4</v>
      </c>
    </row>
    <row r="76" spans="1:36">
      <c r="A76" s="2" t="s">
        <v>26</v>
      </c>
      <c r="B76" s="2">
        <v>14769</v>
      </c>
      <c r="C76" s="2" t="s">
        <v>1877</v>
      </c>
      <c r="D76" s="2" t="s">
        <v>1878</v>
      </c>
      <c r="E76" s="4" t="s">
        <v>1376</v>
      </c>
      <c r="F76" s="2" t="s">
        <v>2294</v>
      </c>
      <c r="G76" s="2" t="s">
        <v>2295</v>
      </c>
      <c r="H76" s="2" t="s">
        <v>367</v>
      </c>
      <c r="I76" s="2" t="s">
        <v>1010</v>
      </c>
      <c r="J76" s="2" t="s">
        <v>31</v>
      </c>
      <c r="K76" s="2" t="s">
        <v>31</v>
      </c>
      <c r="L76" s="2" t="s">
        <v>373</v>
      </c>
      <c r="M76" s="2" t="s">
        <v>32</v>
      </c>
      <c r="N76" s="2" t="s">
        <v>483</v>
      </c>
      <c r="O76" s="2" t="s">
        <v>164</v>
      </c>
      <c r="P76" s="2" t="s">
        <v>2258</v>
      </c>
      <c r="Q76" s="2" t="s">
        <v>217</v>
      </c>
      <c r="R76" s="2" t="s">
        <v>452</v>
      </c>
      <c r="S76" s="2" t="s">
        <v>35</v>
      </c>
      <c r="T76" s="150">
        <v>4.7069999999999999</v>
      </c>
      <c r="U76" s="2" t="s">
        <v>2296</v>
      </c>
      <c r="V76" s="162">
        <v>5.7500000000000002E-2</v>
      </c>
      <c r="W76" s="164">
        <v>6.7390000000000005E-2</v>
      </c>
      <c r="X76" s="4" t="s">
        <v>458</v>
      </c>
      <c r="Y76" s="4" t="s">
        <v>164</v>
      </c>
      <c r="Z76" s="150">
        <v>7993</v>
      </c>
      <c r="AA76" s="150">
        <v>1</v>
      </c>
      <c r="AB76" s="150">
        <v>97.35</v>
      </c>
      <c r="AD76" s="150">
        <v>7.7809999999999997</v>
      </c>
      <c r="AG76" s="2" t="s">
        <v>37</v>
      </c>
      <c r="AH76" s="164">
        <v>1.5E-5</v>
      </c>
      <c r="AI76" s="164">
        <v>5.7858578430565098E-2</v>
      </c>
      <c r="AJ76" s="164">
        <v>6.9813083789716901E-4</v>
      </c>
    </row>
    <row r="77" spans="1:36">
      <c r="A77" s="2" t="s">
        <v>26</v>
      </c>
      <c r="B77" s="2">
        <v>14769</v>
      </c>
      <c r="C77" s="2" t="s">
        <v>2297</v>
      </c>
      <c r="D77" s="2" t="s">
        <v>2298</v>
      </c>
      <c r="E77" s="4" t="s">
        <v>1376</v>
      </c>
      <c r="F77" s="2" t="s">
        <v>2305</v>
      </c>
      <c r="G77" s="2" t="s">
        <v>2306</v>
      </c>
      <c r="H77" s="2" t="s">
        <v>367</v>
      </c>
      <c r="I77" s="2" t="s">
        <v>219</v>
      </c>
      <c r="J77" s="2" t="s">
        <v>31</v>
      </c>
      <c r="K77" s="2" t="s">
        <v>31</v>
      </c>
      <c r="L77" s="2" t="s">
        <v>373</v>
      </c>
      <c r="M77" s="2" t="s">
        <v>32</v>
      </c>
      <c r="N77" s="2" t="s">
        <v>507</v>
      </c>
      <c r="O77" s="2" t="s">
        <v>164</v>
      </c>
      <c r="P77" s="2" t="s">
        <v>2247</v>
      </c>
      <c r="Q77" s="2" t="s">
        <v>217</v>
      </c>
      <c r="R77" s="2" t="s">
        <v>452</v>
      </c>
      <c r="S77" s="2" t="s">
        <v>35</v>
      </c>
      <c r="T77" s="150">
        <v>5.37</v>
      </c>
      <c r="U77" s="2" t="s">
        <v>2307</v>
      </c>
      <c r="V77" s="162">
        <v>5.8999999999999999E-3</v>
      </c>
      <c r="W77" s="164">
        <v>3.5549999999999998E-2</v>
      </c>
      <c r="X77" s="4" t="s">
        <v>458</v>
      </c>
      <c r="Y77" s="4" t="s">
        <v>164</v>
      </c>
      <c r="Z77" s="150">
        <v>8614</v>
      </c>
      <c r="AA77" s="150">
        <v>1</v>
      </c>
      <c r="AB77" s="150">
        <v>94</v>
      </c>
      <c r="AD77" s="150">
        <v>8.0969999999999995</v>
      </c>
      <c r="AG77" s="2" t="s">
        <v>37</v>
      </c>
      <c r="AH77" s="164">
        <v>6.0000000000000002E-6</v>
      </c>
      <c r="AI77" s="164">
        <v>6.0208070727119201E-2</v>
      </c>
      <c r="AJ77" s="164">
        <v>7.2648018677712301E-4</v>
      </c>
    </row>
    <row r="78" spans="1:36">
      <c r="A78" s="2" t="s">
        <v>26</v>
      </c>
      <c r="B78" s="2">
        <v>14769</v>
      </c>
      <c r="C78" s="2" t="s">
        <v>2335</v>
      </c>
      <c r="D78" s="2" t="s">
        <v>2336</v>
      </c>
      <c r="E78" s="4" t="s">
        <v>1376</v>
      </c>
      <c r="F78" s="2" t="s">
        <v>2340</v>
      </c>
      <c r="G78" s="2" t="s">
        <v>2341</v>
      </c>
      <c r="H78" s="2" t="s">
        <v>367</v>
      </c>
      <c r="I78" s="2" t="s">
        <v>219</v>
      </c>
      <c r="J78" s="2" t="s">
        <v>31</v>
      </c>
      <c r="K78" s="2" t="s">
        <v>31</v>
      </c>
      <c r="L78" s="2" t="s">
        <v>373</v>
      </c>
      <c r="M78" s="2" t="s">
        <v>32</v>
      </c>
      <c r="N78" s="2" t="s">
        <v>483</v>
      </c>
      <c r="O78" s="2" t="s">
        <v>164</v>
      </c>
      <c r="P78" s="2" t="s">
        <v>2287</v>
      </c>
      <c r="Q78" s="2" t="s">
        <v>98</v>
      </c>
      <c r="R78" s="2" t="s">
        <v>452</v>
      </c>
      <c r="S78" s="2" t="s">
        <v>35</v>
      </c>
      <c r="T78" s="150">
        <v>5.9729999999999999</v>
      </c>
      <c r="U78" s="2" t="s">
        <v>2342</v>
      </c>
      <c r="V78" s="162">
        <v>3.3000000000000002E-2</v>
      </c>
      <c r="W78" s="164">
        <v>4.1739999999999999E-2</v>
      </c>
      <c r="X78" s="4" t="s">
        <v>458</v>
      </c>
      <c r="Y78" s="4" t="s">
        <v>164</v>
      </c>
      <c r="Z78" s="150">
        <v>7854.31</v>
      </c>
      <c r="AA78" s="150">
        <v>1</v>
      </c>
      <c r="AB78" s="150">
        <v>100.71</v>
      </c>
      <c r="AD78" s="150">
        <v>7.91</v>
      </c>
      <c r="AG78" s="2" t="s">
        <v>37</v>
      </c>
      <c r="AH78" s="164">
        <v>6.0000000000000002E-6</v>
      </c>
      <c r="AI78" s="164">
        <v>5.8816966842926199E-2</v>
      </c>
      <c r="AJ78" s="164">
        <v>7.0969490537863195E-4</v>
      </c>
    </row>
    <row r="79" spans="1:36">
      <c r="A79" s="2" t="s">
        <v>26</v>
      </c>
      <c r="B79" s="2">
        <v>14769</v>
      </c>
      <c r="C79" s="2" t="s">
        <v>2159</v>
      </c>
      <c r="D79" s="2" t="s">
        <v>2160</v>
      </c>
      <c r="E79" s="4" t="s">
        <v>1376</v>
      </c>
      <c r="F79" s="2" t="s">
        <v>2343</v>
      </c>
      <c r="G79" s="2" t="s">
        <v>2344</v>
      </c>
      <c r="H79" s="2" t="s">
        <v>367</v>
      </c>
      <c r="I79" s="2" t="s">
        <v>219</v>
      </c>
      <c r="J79" s="2" t="s">
        <v>31</v>
      </c>
      <c r="K79" s="2" t="s">
        <v>31</v>
      </c>
      <c r="L79" s="2" t="s">
        <v>373</v>
      </c>
      <c r="M79" s="2" t="s">
        <v>32</v>
      </c>
      <c r="N79" s="2" t="s">
        <v>507</v>
      </c>
      <c r="O79" s="2" t="s">
        <v>164</v>
      </c>
      <c r="P79" s="2" t="s">
        <v>2228</v>
      </c>
      <c r="Q79" s="2" t="s">
        <v>217</v>
      </c>
      <c r="R79" s="2" t="s">
        <v>452</v>
      </c>
      <c r="S79" s="2" t="s">
        <v>35</v>
      </c>
      <c r="T79" s="150">
        <v>2.3730000000000002</v>
      </c>
      <c r="U79" s="2" t="s">
        <v>2237</v>
      </c>
      <c r="V79" s="162">
        <v>3.6499999999999998E-2</v>
      </c>
      <c r="W79" s="164">
        <v>3.7539999999999997E-2</v>
      </c>
      <c r="X79" s="4" t="s">
        <v>458</v>
      </c>
      <c r="Y79" s="4" t="s">
        <v>164</v>
      </c>
      <c r="Z79" s="150">
        <v>7862</v>
      </c>
      <c r="AA79" s="150">
        <v>1</v>
      </c>
      <c r="AB79" s="150">
        <v>105.01</v>
      </c>
      <c r="AD79" s="150">
        <v>8.2560000000000002</v>
      </c>
      <c r="AG79" s="2" t="s">
        <v>37</v>
      </c>
      <c r="AH79" s="164">
        <v>2.4000000000000001E-5</v>
      </c>
      <c r="AI79" s="164">
        <v>6.13883114875644E-2</v>
      </c>
      <c r="AJ79" s="164">
        <v>7.4072116008411205E-4</v>
      </c>
    </row>
    <row r="80" spans="1:36">
      <c r="A80" s="2" t="s">
        <v>26</v>
      </c>
      <c r="B80" s="2">
        <v>14769</v>
      </c>
      <c r="C80" s="2" t="s">
        <v>2144</v>
      </c>
      <c r="D80" s="2" t="s">
        <v>2145</v>
      </c>
      <c r="E80" s="4" t="s">
        <v>1376</v>
      </c>
      <c r="F80" s="2" t="s">
        <v>2379</v>
      </c>
      <c r="G80" s="2" t="s">
        <v>2380</v>
      </c>
      <c r="H80" s="2" t="s">
        <v>367</v>
      </c>
      <c r="I80" s="2" t="s">
        <v>219</v>
      </c>
      <c r="J80" s="2" t="s">
        <v>31</v>
      </c>
      <c r="K80" s="2" t="s">
        <v>31</v>
      </c>
      <c r="L80" s="2" t="s">
        <v>373</v>
      </c>
      <c r="M80" s="2" t="s">
        <v>32</v>
      </c>
      <c r="N80" s="2" t="s">
        <v>507</v>
      </c>
      <c r="O80" s="2" t="s">
        <v>164</v>
      </c>
      <c r="P80" s="2" t="s">
        <v>2381</v>
      </c>
      <c r="Q80" s="2" t="s">
        <v>98</v>
      </c>
      <c r="R80" s="2" t="s">
        <v>452</v>
      </c>
      <c r="S80" s="2" t="s">
        <v>35</v>
      </c>
      <c r="T80" s="150">
        <v>6.0549999999999997</v>
      </c>
      <c r="U80" s="2" t="s">
        <v>2320</v>
      </c>
      <c r="V80" s="162">
        <v>3.5000000000000001E-3</v>
      </c>
      <c r="W80" s="164">
        <v>3.6319999999999998E-2</v>
      </c>
      <c r="X80" s="4" t="s">
        <v>458</v>
      </c>
      <c r="Y80" s="4" t="s">
        <v>164</v>
      </c>
      <c r="Z80" s="150">
        <v>8890</v>
      </c>
      <c r="AA80" s="150">
        <v>1</v>
      </c>
      <c r="AB80" s="150">
        <v>90.9</v>
      </c>
      <c r="AD80" s="150">
        <v>8.0809999999999995</v>
      </c>
      <c r="AG80" s="2" t="s">
        <v>37</v>
      </c>
      <c r="AH80" s="164">
        <v>3.0000000000000001E-6</v>
      </c>
      <c r="AI80" s="164">
        <v>6.00879841359881E-2</v>
      </c>
      <c r="AJ80" s="164">
        <v>7.2503120281034296E-4</v>
      </c>
    </row>
    <row r="81" spans="1:36">
      <c r="A81" s="2" t="s">
        <v>26</v>
      </c>
      <c r="B81" s="2">
        <v>14769</v>
      </c>
      <c r="C81" s="2" t="s">
        <v>2425</v>
      </c>
      <c r="D81" s="2" t="s">
        <v>2426</v>
      </c>
      <c r="E81" s="4" t="s">
        <v>1376</v>
      </c>
      <c r="F81" s="2" t="s">
        <v>2427</v>
      </c>
      <c r="G81" s="2" t="s">
        <v>2428</v>
      </c>
      <c r="H81" s="2" t="s">
        <v>367</v>
      </c>
      <c r="I81" s="2" t="s">
        <v>1010</v>
      </c>
      <c r="J81" s="2" t="s">
        <v>31</v>
      </c>
      <c r="K81" s="2" t="s">
        <v>31</v>
      </c>
      <c r="L81" s="2" t="s">
        <v>373</v>
      </c>
      <c r="M81" s="2" t="s">
        <v>118</v>
      </c>
      <c r="N81" s="2" t="s">
        <v>497</v>
      </c>
      <c r="O81" s="2" t="s">
        <v>164</v>
      </c>
      <c r="P81" s="2" t="s">
        <v>2228</v>
      </c>
      <c r="Q81" s="2" t="s">
        <v>217</v>
      </c>
      <c r="R81" s="2" t="s">
        <v>452</v>
      </c>
      <c r="S81" s="2" t="s">
        <v>35</v>
      </c>
      <c r="T81" s="150">
        <v>3.8690000000000002</v>
      </c>
      <c r="U81" s="2" t="s">
        <v>2429</v>
      </c>
      <c r="V81" s="162">
        <v>6.7000000000000004E-2</v>
      </c>
      <c r="W81" s="164">
        <v>6.6000000000000003E-2</v>
      </c>
      <c r="X81" s="4" t="s">
        <v>458</v>
      </c>
      <c r="Y81" s="4" t="s">
        <v>164</v>
      </c>
      <c r="Z81" s="150">
        <v>7000</v>
      </c>
      <c r="AA81" s="150">
        <v>1</v>
      </c>
      <c r="AB81" s="150">
        <v>102.81</v>
      </c>
      <c r="AD81" s="150">
        <v>7.1970000000000001</v>
      </c>
      <c r="AG81" s="2" t="s">
        <v>37</v>
      </c>
      <c r="AH81" s="164">
        <v>7.9999999999999996E-6</v>
      </c>
      <c r="AI81" s="164">
        <v>5.35125182905931E-2</v>
      </c>
      <c r="AJ81" s="164">
        <v>6.4569058289312795E-4</v>
      </c>
    </row>
    <row r="82" spans="1:36">
      <c r="A82" s="2" t="s">
        <v>26</v>
      </c>
      <c r="B82" s="2">
        <v>14769</v>
      </c>
      <c r="C82" s="2" t="s">
        <v>2437</v>
      </c>
      <c r="D82" s="2" t="s">
        <v>2438</v>
      </c>
      <c r="E82" s="4" t="s">
        <v>360</v>
      </c>
      <c r="F82" s="2" t="s">
        <v>2439</v>
      </c>
      <c r="G82" s="2" t="s">
        <v>2440</v>
      </c>
      <c r="H82" s="2" t="s">
        <v>367</v>
      </c>
      <c r="I82" s="2" t="s">
        <v>1010</v>
      </c>
      <c r="J82" s="2" t="s">
        <v>31</v>
      </c>
      <c r="K82" s="2" t="s">
        <v>31</v>
      </c>
      <c r="L82" s="2" t="s">
        <v>373</v>
      </c>
      <c r="M82" s="2" t="s">
        <v>118</v>
      </c>
      <c r="N82" s="2" t="s">
        <v>508</v>
      </c>
      <c r="O82" s="2" t="s">
        <v>164</v>
      </c>
      <c r="P82" s="2" t="s">
        <v>2247</v>
      </c>
      <c r="Q82" s="2" t="s">
        <v>217</v>
      </c>
      <c r="R82" s="2" t="s">
        <v>452</v>
      </c>
      <c r="S82" s="2" t="s">
        <v>35</v>
      </c>
      <c r="T82" s="150">
        <v>4.1710000000000003</v>
      </c>
      <c r="U82" s="2" t="s">
        <v>2441</v>
      </c>
      <c r="V82" s="162">
        <v>6.25E-2</v>
      </c>
      <c r="W82" s="164">
        <v>6.5070000000000003E-2</v>
      </c>
      <c r="X82" s="4" t="s">
        <v>458</v>
      </c>
      <c r="Y82" s="4" t="s">
        <v>164</v>
      </c>
      <c r="Z82" s="150">
        <v>12832</v>
      </c>
      <c r="AA82" s="150">
        <v>1</v>
      </c>
      <c r="AB82" s="150">
        <v>100.1</v>
      </c>
      <c r="AD82" s="150">
        <v>12.845000000000001</v>
      </c>
      <c r="AG82" s="2" t="s">
        <v>37</v>
      </c>
      <c r="AH82" s="164">
        <v>2.3E-5</v>
      </c>
      <c r="AI82" s="164">
        <v>9.5510346039100594E-2</v>
      </c>
      <c r="AJ82" s="164">
        <v>1.15244307269225E-3</v>
      </c>
    </row>
    <row r="83" spans="1:36">
      <c r="A83" s="2" t="s">
        <v>26</v>
      </c>
      <c r="B83" s="2">
        <v>14769</v>
      </c>
      <c r="C83" s="2" t="s">
        <v>2442</v>
      </c>
      <c r="D83" s="2" t="s">
        <v>2443</v>
      </c>
      <c r="E83" s="4" t="s">
        <v>359</v>
      </c>
      <c r="F83" s="2" t="s">
        <v>2444</v>
      </c>
      <c r="G83" s="2" t="s">
        <v>2445</v>
      </c>
      <c r="H83" s="2" t="s">
        <v>367</v>
      </c>
      <c r="I83" s="2" t="s">
        <v>1010</v>
      </c>
      <c r="J83" s="2" t="s">
        <v>94</v>
      </c>
      <c r="K83" s="2" t="s">
        <v>95</v>
      </c>
      <c r="L83" s="2" t="s">
        <v>373</v>
      </c>
      <c r="M83" s="2" t="s">
        <v>32</v>
      </c>
      <c r="N83" s="2" t="s">
        <v>508</v>
      </c>
      <c r="O83" s="2" t="s">
        <v>164</v>
      </c>
      <c r="P83" s="2" t="s">
        <v>2247</v>
      </c>
      <c r="Q83" s="2" t="s">
        <v>217</v>
      </c>
      <c r="R83" s="2" t="s">
        <v>452</v>
      </c>
      <c r="S83" s="2" t="s">
        <v>35</v>
      </c>
      <c r="T83" s="150">
        <v>2.3809999999999998</v>
      </c>
      <c r="U83" s="2" t="s">
        <v>1371</v>
      </c>
      <c r="V83" s="162">
        <v>3.49E-2</v>
      </c>
      <c r="W83" s="164">
        <v>6.8019999999999997E-2</v>
      </c>
      <c r="X83" s="4" t="s">
        <v>458</v>
      </c>
      <c r="Y83" s="4" t="s">
        <v>164</v>
      </c>
      <c r="Z83" s="150">
        <v>19259</v>
      </c>
      <c r="AA83" s="150">
        <v>1</v>
      </c>
      <c r="AB83" s="150">
        <v>92.43</v>
      </c>
      <c r="AD83" s="150">
        <v>17.800999999999998</v>
      </c>
      <c r="AG83" s="2" t="s">
        <v>37</v>
      </c>
      <c r="AH83" s="164">
        <v>2.0000000000000002E-5</v>
      </c>
      <c r="AI83" s="164">
        <v>0.132363632250033</v>
      </c>
      <c r="AJ83" s="164">
        <v>1.59712070355693E-3</v>
      </c>
    </row>
    <row r="84" spans="1:36">
      <c r="A84" s="2" t="s">
        <v>26</v>
      </c>
      <c r="B84" s="2">
        <v>14769</v>
      </c>
      <c r="C84" s="2" t="s">
        <v>2458</v>
      </c>
      <c r="D84" s="2" t="s">
        <v>2459</v>
      </c>
      <c r="E84" s="4" t="s">
        <v>1376</v>
      </c>
      <c r="F84" s="2" t="s">
        <v>2460</v>
      </c>
      <c r="G84" s="2" t="s">
        <v>2461</v>
      </c>
      <c r="H84" s="2" t="s">
        <v>367</v>
      </c>
      <c r="I84" s="2" t="s">
        <v>1010</v>
      </c>
      <c r="J84" s="2" t="s">
        <v>31</v>
      </c>
      <c r="K84" s="2" t="s">
        <v>31</v>
      </c>
      <c r="L84" s="2" t="s">
        <v>373</v>
      </c>
      <c r="M84" s="2" t="s">
        <v>118</v>
      </c>
      <c r="N84" s="2" t="s">
        <v>483</v>
      </c>
      <c r="O84" s="2" t="s">
        <v>164</v>
      </c>
      <c r="P84" s="2" t="s">
        <v>1387</v>
      </c>
      <c r="Q84" s="2" t="s">
        <v>217</v>
      </c>
      <c r="R84" s="2" t="s">
        <v>452</v>
      </c>
      <c r="S84" s="2" t="s">
        <v>35</v>
      </c>
      <c r="T84" s="150">
        <v>6.8010000000000002</v>
      </c>
      <c r="U84" s="2" t="s">
        <v>2462</v>
      </c>
      <c r="V84" s="162">
        <v>5.8599999999999999E-2</v>
      </c>
      <c r="W84" s="164">
        <v>6.148E-2</v>
      </c>
      <c r="X84" s="4" t="s">
        <v>458</v>
      </c>
      <c r="Y84" s="4" t="s">
        <v>164</v>
      </c>
      <c r="Z84" s="150">
        <v>12754</v>
      </c>
      <c r="AA84" s="150">
        <v>1</v>
      </c>
      <c r="AB84" s="150">
        <v>100.02</v>
      </c>
      <c r="AD84" s="150">
        <v>12.757</v>
      </c>
      <c r="AG84" s="2" t="s">
        <v>37</v>
      </c>
      <c r="AH84" s="164">
        <v>6.3999999999999997E-5</v>
      </c>
      <c r="AI84" s="164">
        <v>9.4853913322756195E-2</v>
      </c>
      <c r="AJ84" s="164">
        <v>1.1445224508118701E-3</v>
      </c>
    </row>
    <row r="85" spans="1:36">
      <c r="A85" s="2" t="s">
        <v>112</v>
      </c>
      <c r="B85" s="2">
        <v>12905</v>
      </c>
      <c r="C85" s="2" t="s">
        <v>2219</v>
      </c>
      <c r="D85" s="2" t="s">
        <v>2220</v>
      </c>
      <c r="E85" s="4" t="s">
        <v>1376</v>
      </c>
      <c r="F85" s="2" t="s">
        <v>2221</v>
      </c>
      <c r="G85" s="2" t="s">
        <v>2222</v>
      </c>
      <c r="H85" s="2" t="s">
        <v>367</v>
      </c>
      <c r="I85" s="2" t="s">
        <v>219</v>
      </c>
      <c r="J85" s="2" t="s">
        <v>31</v>
      </c>
      <c r="K85" s="2" t="s">
        <v>31</v>
      </c>
      <c r="L85" s="2" t="s">
        <v>373</v>
      </c>
      <c r="M85" s="2" t="s">
        <v>32</v>
      </c>
      <c r="N85" s="2" t="s">
        <v>499</v>
      </c>
      <c r="O85" s="2" t="s">
        <v>164</v>
      </c>
      <c r="P85" s="2" t="s">
        <v>1387</v>
      </c>
      <c r="Q85" s="2" t="s">
        <v>217</v>
      </c>
      <c r="R85" s="2" t="s">
        <v>452</v>
      </c>
      <c r="S85" s="2" t="s">
        <v>35</v>
      </c>
      <c r="T85" s="150">
        <v>5.4290000000000003</v>
      </c>
      <c r="U85" s="2" t="s">
        <v>2223</v>
      </c>
      <c r="V85" s="162">
        <v>5.1499999999999997E-2</v>
      </c>
      <c r="W85" s="164">
        <v>3.8629999999999998E-2</v>
      </c>
      <c r="X85" s="4" t="s">
        <v>458</v>
      </c>
      <c r="Y85" s="4" t="s">
        <v>164</v>
      </c>
      <c r="Z85" s="150">
        <v>33763</v>
      </c>
      <c r="AA85" s="150">
        <v>1</v>
      </c>
      <c r="AB85" s="150">
        <v>147.13</v>
      </c>
      <c r="AD85" s="150">
        <v>49.676000000000002</v>
      </c>
      <c r="AG85" s="2" t="s">
        <v>37</v>
      </c>
      <c r="AH85" s="164">
        <v>1.2E-5</v>
      </c>
      <c r="AI85" s="164">
        <v>2.76198354175318E-2</v>
      </c>
      <c r="AJ85" s="164">
        <v>1.59659996548281E-3</v>
      </c>
    </row>
    <row r="86" spans="1:36">
      <c r="A86" s="2" t="s">
        <v>112</v>
      </c>
      <c r="B86" s="2">
        <v>12905</v>
      </c>
      <c r="C86" s="2" t="s">
        <v>2224</v>
      </c>
      <c r="D86" s="2" t="s">
        <v>2225</v>
      </c>
      <c r="E86" s="4" t="s">
        <v>1376</v>
      </c>
      <c r="F86" s="2" t="s">
        <v>2226</v>
      </c>
      <c r="G86" s="2" t="s">
        <v>2227</v>
      </c>
      <c r="H86" s="2" t="s">
        <v>367</v>
      </c>
      <c r="I86" s="2" t="s">
        <v>219</v>
      </c>
      <c r="J86" s="2" t="s">
        <v>31</v>
      </c>
      <c r="K86" s="2" t="s">
        <v>31</v>
      </c>
      <c r="L86" s="2" t="s">
        <v>373</v>
      </c>
      <c r="M86" s="2" t="s">
        <v>32</v>
      </c>
      <c r="N86" s="2" t="s">
        <v>483</v>
      </c>
      <c r="O86" s="2" t="s">
        <v>164</v>
      </c>
      <c r="P86" s="2" t="s">
        <v>2228</v>
      </c>
      <c r="Q86" s="2" t="s">
        <v>217</v>
      </c>
      <c r="R86" s="2" t="s">
        <v>452</v>
      </c>
      <c r="S86" s="2" t="s">
        <v>35</v>
      </c>
      <c r="T86" s="150">
        <v>3.056</v>
      </c>
      <c r="U86" s="2" t="s">
        <v>2229</v>
      </c>
      <c r="V86" s="162">
        <v>2.75E-2</v>
      </c>
      <c r="W86" s="164">
        <v>3.2559999999999999E-2</v>
      </c>
      <c r="X86" s="4" t="s">
        <v>458</v>
      </c>
      <c r="Y86" s="4" t="s">
        <v>164</v>
      </c>
      <c r="Z86" s="150">
        <v>22154.92</v>
      </c>
      <c r="AA86" s="150">
        <v>1</v>
      </c>
      <c r="AB86" s="150">
        <v>112.11</v>
      </c>
      <c r="AD86" s="150">
        <v>24.838000000000001</v>
      </c>
      <c r="AG86" s="2" t="s">
        <v>37</v>
      </c>
      <c r="AH86" s="164">
        <v>2.5999999999999998E-5</v>
      </c>
      <c r="AI86" s="164">
        <v>1.38099899127081E-2</v>
      </c>
      <c r="AJ86" s="164">
        <v>7.9830415658277301E-4</v>
      </c>
    </row>
    <row r="87" spans="1:36">
      <c r="A87" s="2" t="s">
        <v>112</v>
      </c>
      <c r="B87" s="2">
        <v>12905</v>
      </c>
      <c r="C87" s="2" t="s">
        <v>2224</v>
      </c>
      <c r="D87" s="2" t="s">
        <v>2225</v>
      </c>
      <c r="E87" s="4" t="s">
        <v>1376</v>
      </c>
      <c r="F87" s="2" t="s">
        <v>2230</v>
      </c>
      <c r="G87" s="2" t="s">
        <v>2231</v>
      </c>
      <c r="H87" s="2" t="s">
        <v>367</v>
      </c>
      <c r="I87" s="2" t="s">
        <v>1010</v>
      </c>
      <c r="J87" s="2" t="s">
        <v>31</v>
      </c>
      <c r="K87" s="2" t="s">
        <v>31</v>
      </c>
      <c r="L87" s="2" t="s">
        <v>373</v>
      </c>
      <c r="M87" s="2" t="s">
        <v>32</v>
      </c>
      <c r="N87" s="2" t="s">
        <v>483</v>
      </c>
      <c r="O87" s="2" t="s">
        <v>164</v>
      </c>
      <c r="P87" s="2" t="s">
        <v>2228</v>
      </c>
      <c r="Q87" s="2" t="s">
        <v>217</v>
      </c>
      <c r="R87" s="2" t="s">
        <v>452</v>
      </c>
      <c r="S87" s="2" t="s">
        <v>35</v>
      </c>
      <c r="T87" s="150">
        <v>3.2629999999999999</v>
      </c>
      <c r="U87" s="2" t="s">
        <v>2232</v>
      </c>
      <c r="V87" s="162">
        <v>2.5000000000000001E-2</v>
      </c>
      <c r="W87" s="164">
        <v>5.9420000000000001E-2</v>
      </c>
      <c r="X87" s="4" t="s">
        <v>458</v>
      </c>
      <c r="Y87" s="4" t="s">
        <v>164</v>
      </c>
      <c r="Z87" s="150">
        <v>14787.7</v>
      </c>
      <c r="AA87" s="150">
        <v>1</v>
      </c>
      <c r="AB87" s="150">
        <v>90.38</v>
      </c>
      <c r="AD87" s="150">
        <v>13.365</v>
      </c>
      <c r="AG87" s="2" t="s">
        <v>37</v>
      </c>
      <c r="AH87" s="164">
        <v>1.8E-5</v>
      </c>
      <c r="AI87" s="164">
        <v>7.4310775061585399E-3</v>
      </c>
      <c r="AJ87" s="164">
        <v>4.2956295395959597E-4</v>
      </c>
    </row>
    <row r="88" spans="1:36">
      <c r="A88" s="2" t="s">
        <v>112</v>
      </c>
      <c r="B88" s="2">
        <v>12905</v>
      </c>
      <c r="C88" s="2" t="s">
        <v>2233</v>
      </c>
      <c r="D88" s="2" t="s">
        <v>2234</v>
      </c>
      <c r="E88" s="4" t="s">
        <v>1376</v>
      </c>
      <c r="F88" s="2" t="s">
        <v>2235</v>
      </c>
      <c r="G88" s="2" t="s">
        <v>2236</v>
      </c>
      <c r="H88" s="2" t="s">
        <v>367</v>
      </c>
      <c r="I88" s="2" t="s">
        <v>1010</v>
      </c>
      <c r="J88" s="2" t="s">
        <v>31</v>
      </c>
      <c r="K88" s="2" t="s">
        <v>31</v>
      </c>
      <c r="L88" s="2" t="s">
        <v>373</v>
      </c>
      <c r="M88" s="2" t="s">
        <v>32</v>
      </c>
      <c r="N88" s="2" t="s">
        <v>490</v>
      </c>
      <c r="O88" s="2" t="s">
        <v>164</v>
      </c>
      <c r="P88" s="2" t="s">
        <v>2217</v>
      </c>
      <c r="Q88" s="2" t="s">
        <v>98</v>
      </c>
      <c r="R88" s="2" t="s">
        <v>452</v>
      </c>
      <c r="S88" s="2" t="s">
        <v>35</v>
      </c>
      <c r="T88" s="150">
        <v>2.5</v>
      </c>
      <c r="U88" s="2" t="s">
        <v>2237</v>
      </c>
      <c r="V88" s="162">
        <v>2.5499999999999998E-2</v>
      </c>
      <c r="W88" s="164">
        <v>5.824E-2</v>
      </c>
      <c r="X88" s="4" t="s">
        <v>458</v>
      </c>
      <c r="Y88" s="4" t="s">
        <v>164</v>
      </c>
      <c r="Z88" s="150">
        <v>27313</v>
      </c>
      <c r="AA88" s="150">
        <v>1</v>
      </c>
      <c r="AB88" s="150">
        <v>92.23</v>
      </c>
      <c r="AD88" s="150">
        <v>25.190999999999999</v>
      </c>
      <c r="AG88" s="2" t="s">
        <v>37</v>
      </c>
      <c r="AH88" s="164">
        <v>3.6000000000000001E-5</v>
      </c>
      <c r="AI88" s="164">
        <v>1.40062036268479E-2</v>
      </c>
      <c r="AJ88" s="164">
        <v>8.0964654166534205E-4</v>
      </c>
    </row>
    <row r="89" spans="1:36">
      <c r="A89" s="2" t="s">
        <v>112</v>
      </c>
      <c r="B89" s="2">
        <v>12905</v>
      </c>
      <c r="C89" s="2" t="s">
        <v>2238</v>
      </c>
      <c r="D89" s="2" t="s">
        <v>2239</v>
      </c>
      <c r="E89" s="4" t="s">
        <v>1376</v>
      </c>
      <c r="F89" s="2" t="s">
        <v>2240</v>
      </c>
      <c r="G89" s="2" t="s">
        <v>2241</v>
      </c>
      <c r="H89" s="2" t="s">
        <v>367</v>
      </c>
      <c r="I89" s="2" t="s">
        <v>1010</v>
      </c>
      <c r="J89" s="2" t="s">
        <v>31</v>
      </c>
      <c r="K89" s="2" t="s">
        <v>31</v>
      </c>
      <c r="L89" s="2" t="s">
        <v>373</v>
      </c>
      <c r="M89" s="2" t="s">
        <v>32</v>
      </c>
      <c r="N89" s="2" t="s">
        <v>488</v>
      </c>
      <c r="O89" s="2" t="s">
        <v>164</v>
      </c>
      <c r="P89" s="2" t="s">
        <v>2217</v>
      </c>
      <c r="Q89" s="2" t="s">
        <v>98</v>
      </c>
      <c r="R89" s="2" t="s">
        <v>452</v>
      </c>
      <c r="S89" s="2" t="s">
        <v>35</v>
      </c>
      <c r="T89" s="150">
        <v>4.2480000000000002</v>
      </c>
      <c r="U89" s="2" t="s">
        <v>2242</v>
      </c>
      <c r="V89" s="162">
        <v>2.18E-2</v>
      </c>
      <c r="W89" s="164">
        <v>6.062E-2</v>
      </c>
      <c r="X89" s="4" t="s">
        <v>458</v>
      </c>
      <c r="Y89" s="4" t="s">
        <v>164</v>
      </c>
      <c r="Z89" s="150">
        <v>72602</v>
      </c>
      <c r="AA89" s="150">
        <v>1</v>
      </c>
      <c r="AB89" s="150">
        <v>85.44</v>
      </c>
      <c r="AD89" s="150">
        <v>62.030999999999999</v>
      </c>
      <c r="AG89" s="2" t="s">
        <v>37</v>
      </c>
      <c r="AH89" s="164">
        <v>4.4200000000000001E-4</v>
      </c>
      <c r="AI89" s="164">
        <v>3.4489638857910003E-2</v>
      </c>
      <c r="AJ89" s="164">
        <v>1.9937177531152298E-3</v>
      </c>
    </row>
    <row r="90" spans="1:36">
      <c r="A90" s="2" t="s">
        <v>112</v>
      </c>
      <c r="B90" s="2">
        <v>12905</v>
      </c>
      <c r="C90" s="2" t="s">
        <v>2248</v>
      </c>
      <c r="D90" s="2" t="s">
        <v>2249</v>
      </c>
      <c r="E90" s="4" t="s">
        <v>1376</v>
      </c>
      <c r="F90" s="2" t="s">
        <v>2250</v>
      </c>
      <c r="G90" s="2" t="s">
        <v>2251</v>
      </c>
      <c r="H90" s="2" t="s">
        <v>367</v>
      </c>
      <c r="I90" s="2" t="s">
        <v>1010</v>
      </c>
      <c r="J90" s="2" t="s">
        <v>31</v>
      </c>
      <c r="K90" s="2" t="s">
        <v>31</v>
      </c>
      <c r="L90" s="2" t="s">
        <v>373</v>
      </c>
      <c r="M90" s="2" t="s">
        <v>32</v>
      </c>
      <c r="N90" s="2" t="s">
        <v>507</v>
      </c>
      <c r="O90" s="2" t="s">
        <v>164</v>
      </c>
      <c r="P90" s="2" t="s">
        <v>1387</v>
      </c>
      <c r="Q90" s="2" t="s">
        <v>217</v>
      </c>
      <c r="R90" s="2" t="s">
        <v>452</v>
      </c>
      <c r="S90" s="2" t="s">
        <v>35</v>
      </c>
      <c r="T90" s="150">
        <v>4.5730000000000004</v>
      </c>
      <c r="U90" s="2" t="s">
        <v>2252</v>
      </c>
      <c r="V90" s="162">
        <v>2.41E-2</v>
      </c>
      <c r="W90" s="164">
        <v>6.4619999999999997E-2</v>
      </c>
      <c r="X90" s="4" t="s">
        <v>458</v>
      </c>
      <c r="Y90" s="4" t="s">
        <v>164</v>
      </c>
      <c r="Z90" s="150">
        <v>10666.67</v>
      </c>
      <c r="AA90" s="150">
        <v>1</v>
      </c>
      <c r="AB90" s="150">
        <v>84.18</v>
      </c>
      <c r="AD90" s="150">
        <v>8.9789999999999992</v>
      </c>
      <c r="AG90" s="2" t="s">
        <v>37</v>
      </c>
      <c r="AH90" s="164">
        <v>6.0000000000000002E-6</v>
      </c>
      <c r="AI90" s="164">
        <v>4.9924830992469499E-3</v>
      </c>
      <c r="AJ90" s="164">
        <v>2.8859688059080802E-4</v>
      </c>
    </row>
    <row r="91" spans="1:36">
      <c r="A91" s="2" t="s">
        <v>112</v>
      </c>
      <c r="B91" s="2">
        <v>12905</v>
      </c>
      <c r="C91" s="2" t="s">
        <v>2248</v>
      </c>
      <c r="D91" s="2" t="s">
        <v>2249</v>
      </c>
      <c r="E91" s="4" t="s">
        <v>1376</v>
      </c>
      <c r="F91" s="2" t="s">
        <v>2253</v>
      </c>
      <c r="G91" s="2" t="s">
        <v>2254</v>
      </c>
      <c r="H91" s="2" t="s">
        <v>367</v>
      </c>
      <c r="I91" s="2" t="s">
        <v>1010</v>
      </c>
      <c r="J91" s="2" t="s">
        <v>31</v>
      </c>
      <c r="K91" s="2" t="s">
        <v>31</v>
      </c>
      <c r="L91" s="2" t="s">
        <v>373</v>
      </c>
      <c r="M91" s="2" t="s">
        <v>32</v>
      </c>
      <c r="N91" s="2" t="s">
        <v>507</v>
      </c>
      <c r="O91" s="2" t="s">
        <v>164</v>
      </c>
      <c r="P91" s="2" t="s">
        <v>1392</v>
      </c>
      <c r="Q91" s="2" t="s">
        <v>98</v>
      </c>
      <c r="R91" s="2" t="s">
        <v>452</v>
      </c>
      <c r="S91" s="2" t="s">
        <v>35</v>
      </c>
      <c r="T91" s="150">
        <v>6.4660000000000002</v>
      </c>
      <c r="U91" s="2" t="s">
        <v>2255</v>
      </c>
      <c r="V91" s="162">
        <v>4.9399999999999999E-2</v>
      </c>
      <c r="W91" s="164">
        <v>6.9379999999999997E-2</v>
      </c>
      <c r="X91" s="4" t="s">
        <v>458</v>
      </c>
      <c r="Y91" s="4" t="s">
        <v>164</v>
      </c>
      <c r="Z91" s="150">
        <v>12310</v>
      </c>
      <c r="AA91" s="150">
        <v>1</v>
      </c>
      <c r="AB91" s="150">
        <v>89.76</v>
      </c>
      <c r="AD91" s="150">
        <v>11.048999999999999</v>
      </c>
      <c r="AG91" s="2" t="s">
        <v>37</v>
      </c>
      <c r="AH91" s="164">
        <v>1.4E-5</v>
      </c>
      <c r="AI91" s="164">
        <v>6.1435545590986596E-3</v>
      </c>
      <c r="AJ91" s="164">
        <v>3.5513604077352798E-4</v>
      </c>
    </row>
    <row r="92" spans="1:36">
      <c r="A92" s="2" t="s">
        <v>112</v>
      </c>
      <c r="B92" s="2">
        <v>12905</v>
      </c>
      <c r="C92" s="2" t="s">
        <v>1857</v>
      </c>
      <c r="D92" s="2" t="s">
        <v>1858</v>
      </c>
      <c r="E92" s="4" t="s">
        <v>1376</v>
      </c>
      <c r="F92" s="2" t="s">
        <v>2256</v>
      </c>
      <c r="G92" s="2" t="s">
        <v>2257</v>
      </c>
      <c r="H92" s="2" t="s">
        <v>367</v>
      </c>
      <c r="I92" s="2" t="s">
        <v>1010</v>
      </c>
      <c r="J92" s="2" t="s">
        <v>31</v>
      </c>
      <c r="K92" s="2" t="s">
        <v>31</v>
      </c>
      <c r="L92" s="2" t="s">
        <v>373</v>
      </c>
      <c r="M92" s="2" t="s">
        <v>32</v>
      </c>
      <c r="N92" s="2" t="s">
        <v>494</v>
      </c>
      <c r="O92" s="2" t="s">
        <v>164</v>
      </c>
      <c r="P92" s="2" t="s">
        <v>2258</v>
      </c>
      <c r="Q92" s="2" t="s">
        <v>217</v>
      </c>
      <c r="R92" s="2" t="s">
        <v>452</v>
      </c>
      <c r="S92" s="2" t="s">
        <v>35</v>
      </c>
      <c r="T92" s="150">
        <v>3.1309999999999998</v>
      </c>
      <c r="U92" s="2" t="s">
        <v>2259</v>
      </c>
      <c r="V92" s="162">
        <v>0.04</v>
      </c>
      <c r="W92" s="164">
        <v>5.6980000000000003E-2</v>
      </c>
      <c r="X92" s="4" t="s">
        <v>458</v>
      </c>
      <c r="Y92" s="4" t="s">
        <v>164</v>
      </c>
      <c r="Z92" s="150">
        <v>21875</v>
      </c>
      <c r="AA92" s="150">
        <v>1</v>
      </c>
      <c r="AB92" s="150">
        <v>96.92</v>
      </c>
      <c r="AD92" s="150">
        <v>21.201000000000001</v>
      </c>
      <c r="AG92" s="2" t="s">
        <v>37</v>
      </c>
      <c r="AH92" s="164">
        <v>3.1999999999999999E-5</v>
      </c>
      <c r="AI92" s="164">
        <v>1.17880044136191E-2</v>
      </c>
      <c r="AJ92" s="164">
        <v>6.81420694778979E-4</v>
      </c>
    </row>
    <row r="93" spans="1:36">
      <c r="A93" s="2" t="s">
        <v>112</v>
      </c>
      <c r="B93" s="2">
        <v>12905</v>
      </c>
      <c r="C93" s="2" t="s">
        <v>1857</v>
      </c>
      <c r="D93" s="2" t="s">
        <v>1858</v>
      </c>
      <c r="E93" s="4" t="s">
        <v>1376</v>
      </c>
      <c r="F93" s="2" t="s">
        <v>2260</v>
      </c>
      <c r="G93" s="2" t="s">
        <v>2261</v>
      </c>
      <c r="H93" s="2" t="s">
        <v>367</v>
      </c>
      <c r="I93" s="2" t="s">
        <v>1010</v>
      </c>
      <c r="J93" s="2" t="s">
        <v>31</v>
      </c>
      <c r="K93" s="2" t="s">
        <v>31</v>
      </c>
      <c r="L93" s="2" t="s">
        <v>373</v>
      </c>
      <c r="M93" s="2" t="s">
        <v>32</v>
      </c>
      <c r="N93" s="2" t="s">
        <v>494</v>
      </c>
      <c r="O93" s="2" t="s">
        <v>164</v>
      </c>
      <c r="P93" s="2" t="s">
        <v>2258</v>
      </c>
      <c r="Q93" s="2" t="s">
        <v>98</v>
      </c>
      <c r="R93" s="2" t="s">
        <v>452</v>
      </c>
      <c r="S93" s="2" t="s">
        <v>35</v>
      </c>
      <c r="T93" s="150">
        <v>5.0460000000000003</v>
      </c>
      <c r="U93" s="2" t="s">
        <v>2262</v>
      </c>
      <c r="V93" s="162">
        <v>2.07E-2</v>
      </c>
      <c r="W93" s="164">
        <v>5.9479999999999998E-2</v>
      </c>
      <c r="X93" s="4" t="s">
        <v>458</v>
      </c>
      <c r="Y93" s="4" t="s">
        <v>164</v>
      </c>
      <c r="Z93" s="150">
        <v>54080</v>
      </c>
      <c r="AA93" s="150">
        <v>1</v>
      </c>
      <c r="AB93" s="150">
        <v>82.34</v>
      </c>
      <c r="AD93" s="150">
        <v>44.529000000000003</v>
      </c>
      <c r="AG93" s="2" t="s">
        <v>37</v>
      </c>
      <c r="AH93" s="164">
        <v>1.3200000000000001E-4</v>
      </c>
      <c r="AI93" s="164">
        <v>2.4758616235935602E-2</v>
      </c>
      <c r="AJ93" s="164">
        <v>1.4312035256591499E-3</v>
      </c>
    </row>
    <row r="94" spans="1:36">
      <c r="A94" s="2" t="s">
        <v>112</v>
      </c>
      <c r="B94" s="2">
        <v>12905</v>
      </c>
      <c r="C94" s="2" t="s">
        <v>2263</v>
      </c>
      <c r="D94" s="2" t="s">
        <v>2264</v>
      </c>
      <c r="E94" s="4" t="s">
        <v>1376</v>
      </c>
      <c r="F94" s="2" t="s">
        <v>2265</v>
      </c>
      <c r="G94" s="2" t="s">
        <v>2266</v>
      </c>
      <c r="H94" s="2" t="s">
        <v>367</v>
      </c>
      <c r="I94" s="2" t="s">
        <v>219</v>
      </c>
      <c r="J94" s="2" t="s">
        <v>31</v>
      </c>
      <c r="K94" s="2" t="s">
        <v>31</v>
      </c>
      <c r="L94" s="2" t="s">
        <v>373</v>
      </c>
      <c r="M94" s="2" t="s">
        <v>32</v>
      </c>
      <c r="N94" s="2" t="s">
        <v>508</v>
      </c>
      <c r="O94" s="2" t="s">
        <v>164</v>
      </c>
      <c r="P94" s="2" t="s">
        <v>2217</v>
      </c>
      <c r="Q94" s="2" t="s">
        <v>98</v>
      </c>
      <c r="R94" s="2" t="s">
        <v>452</v>
      </c>
      <c r="S94" s="2" t="s">
        <v>35</v>
      </c>
      <c r="T94" s="150">
        <v>1.71</v>
      </c>
      <c r="U94" s="2" t="s">
        <v>2267</v>
      </c>
      <c r="V94" s="162">
        <v>2.5700000000000001E-2</v>
      </c>
      <c r="W94" s="164">
        <v>3.2559999999999999E-2</v>
      </c>
      <c r="X94" s="4" t="s">
        <v>458</v>
      </c>
      <c r="Y94" s="4" t="s">
        <v>164</v>
      </c>
      <c r="Z94" s="150">
        <v>69266</v>
      </c>
      <c r="AA94" s="150">
        <v>1</v>
      </c>
      <c r="AB94" s="150">
        <v>113.71</v>
      </c>
      <c r="AD94" s="150">
        <v>78.762</v>
      </c>
      <c r="AG94" s="2" t="s">
        <v>37</v>
      </c>
      <c r="AH94" s="164">
        <v>5.3999999999999998E-5</v>
      </c>
      <c r="AI94" s="164">
        <v>4.3792283411775101E-2</v>
      </c>
      <c r="AJ94" s="164">
        <v>2.5314690376204299E-3</v>
      </c>
    </row>
    <row r="95" spans="1:36">
      <c r="A95" s="2" t="s">
        <v>112</v>
      </c>
      <c r="B95" s="2">
        <v>12905</v>
      </c>
      <c r="C95" s="2" t="s">
        <v>2263</v>
      </c>
      <c r="D95" s="2" t="s">
        <v>2264</v>
      </c>
      <c r="E95" s="4" t="s">
        <v>1376</v>
      </c>
      <c r="F95" s="2" t="s">
        <v>2268</v>
      </c>
      <c r="G95" s="2" t="s">
        <v>2269</v>
      </c>
      <c r="H95" s="2" t="s">
        <v>367</v>
      </c>
      <c r="I95" s="2" t="s">
        <v>219</v>
      </c>
      <c r="J95" s="2" t="s">
        <v>31</v>
      </c>
      <c r="K95" s="2" t="s">
        <v>31</v>
      </c>
      <c r="L95" s="2" t="s">
        <v>373</v>
      </c>
      <c r="M95" s="2" t="s">
        <v>32</v>
      </c>
      <c r="N95" s="2" t="s">
        <v>508</v>
      </c>
      <c r="O95" s="2" t="s">
        <v>164</v>
      </c>
      <c r="P95" s="2" t="s">
        <v>2217</v>
      </c>
      <c r="Q95" s="2" t="s">
        <v>98</v>
      </c>
      <c r="R95" s="2" t="s">
        <v>452</v>
      </c>
      <c r="S95" s="2" t="s">
        <v>35</v>
      </c>
      <c r="T95" s="150">
        <v>5.3559999999999999</v>
      </c>
      <c r="U95" s="2" t="s">
        <v>2270</v>
      </c>
      <c r="V95" s="162">
        <v>1.54E-2</v>
      </c>
      <c r="W95" s="164">
        <v>4.0140000000000002E-2</v>
      </c>
      <c r="X95" s="4" t="s">
        <v>458</v>
      </c>
      <c r="Y95" s="4" t="s">
        <v>164</v>
      </c>
      <c r="Z95" s="150">
        <v>21070</v>
      </c>
      <c r="AA95" s="150">
        <v>1</v>
      </c>
      <c r="AB95" s="150">
        <v>97.3</v>
      </c>
      <c r="AD95" s="150">
        <v>20.501000000000001</v>
      </c>
      <c r="AG95" s="2" t="s">
        <v>37</v>
      </c>
      <c r="AH95" s="164">
        <v>3.4999999999999997E-5</v>
      </c>
      <c r="AI95" s="164">
        <v>1.1398722960395799E-2</v>
      </c>
      <c r="AJ95" s="164">
        <v>6.5891778173175005E-4</v>
      </c>
    </row>
    <row r="96" spans="1:36">
      <c r="A96" s="2" t="s">
        <v>112</v>
      </c>
      <c r="B96" s="2">
        <v>12905</v>
      </c>
      <c r="C96" s="2" t="s">
        <v>2271</v>
      </c>
      <c r="D96" s="2" t="s">
        <v>2272</v>
      </c>
      <c r="E96" s="4" t="s">
        <v>1376</v>
      </c>
      <c r="F96" s="2" t="s">
        <v>2273</v>
      </c>
      <c r="G96" s="2" t="s">
        <v>2274</v>
      </c>
      <c r="H96" s="2" t="s">
        <v>367</v>
      </c>
      <c r="I96" s="2" t="s">
        <v>219</v>
      </c>
      <c r="J96" s="2" t="s">
        <v>31</v>
      </c>
      <c r="K96" s="2" t="s">
        <v>31</v>
      </c>
      <c r="L96" s="2" t="s">
        <v>373</v>
      </c>
      <c r="M96" s="2" t="s">
        <v>32</v>
      </c>
      <c r="N96" s="2" t="s">
        <v>507</v>
      </c>
      <c r="O96" s="2" t="s">
        <v>164</v>
      </c>
      <c r="P96" s="2" t="s">
        <v>2275</v>
      </c>
      <c r="Q96" s="2" t="s">
        <v>217</v>
      </c>
      <c r="R96" s="2" t="s">
        <v>452</v>
      </c>
      <c r="S96" s="2" t="s">
        <v>35</v>
      </c>
      <c r="T96" s="150">
        <v>6.3</v>
      </c>
      <c r="U96" s="2" t="s">
        <v>2276</v>
      </c>
      <c r="V96" s="162">
        <v>3.6799999999999999E-2</v>
      </c>
      <c r="W96" s="164">
        <v>4.3209999999999998E-2</v>
      </c>
      <c r="X96" s="4" t="s">
        <v>458</v>
      </c>
      <c r="Y96" s="4" t="s">
        <v>164</v>
      </c>
      <c r="Z96" s="150">
        <v>39000</v>
      </c>
      <c r="AA96" s="150">
        <v>1</v>
      </c>
      <c r="AB96" s="150">
        <v>98.21</v>
      </c>
      <c r="AD96" s="150">
        <v>38.302</v>
      </c>
      <c r="AG96" s="2" t="s">
        <v>37</v>
      </c>
      <c r="AH96" s="164">
        <v>1.6000000000000001E-4</v>
      </c>
      <c r="AI96" s="164">
        <v>2.1296054065208399E-2</v>
      </c>
      <c r="AJ96" s="164">
        <v>1.2310456840683901E-3</v>
      </c>
    </row>
    <row r="97" spans="1:36">
      <c r="A97" s="2" t="s">
        <v>112</v>
      </c>
      <c r="B97" s="2">
        <v>12905</v>
      </c>
      <c r="C97" s="2" t="s">
        <v>2271</v>
      </c>
      <c r="D97" s="2" t="s">
        <v>2272</v>
      </c>
      <c r="E97" s="4" t="s">
        <v>1376</v>
      </c>
      <c r="F97" s="2" t="s">
        <v>2277</v>
      </c>
      <c r="G97" s="2" t="s">
        <v>2278</v>
      </c>
      <c r="H97" s="2" t="s">
        <v>367</v>
      </c>
      <c r="I97" s="2" t="s">
        <v>219</v>
      </c>
      <c r="J97" s="2" t="s">
        <v>31</v>
      </c>
      <c r="K97" s="2" t="s">
        <v>31</v>
      </c>
      <c r="L97" s="2" t="s">
        <v>373</v>
      </c>
      <c r="M97" s="2" t="s">
        <v>32</v>
      </c>
      <c r="N97" s="2" t="s">
        <v>507</v>
      </c>
      <c r="O97" s="2" t="s">
        <v>164</v>
      </c>
      <c r="P97" s="2" t="s">
        <v>2275</v>
      </c>
      <c r="Q97" s="2" t="s">
        <v>217</v>
      </c>
      <c r="R97" s="2" t="s">
        <v>452</v>
      </c>
      <c r="S97" s="2" t="s">
        <v>35</v>
      </c>
      <c r="T97" s="150">
        <v>1.69</v>
      </c>
      <c r="U97" s="2" t="s">
        <v>2279</v>
      </c>
      <c r="V97" s="162">
        <v>3.4599999999999999E-2</v>
      </c>
      <c r="W97" s="164">
        <v>2.8910000000000002E-2</v>
      </c>
      <c r="X97" s="4" t="s">
        <v>458</v>
      </c>
      <c r="Y97" s="4" t="s">
        <v>164</v>
      </c>
      <c r="Z97" s="150">
        <v>25500</v>
      </c>
      <c r="AA97" s="150">
        <v>1</v>
      </c>
      <c r="AB97" s="150">
        <v>115.64</v>
      </c>
      <c r="AC97" s="150">
        <v>0.48799999999999999</v>
      </c>
      <c r="AD97" s="150">
        <v>29.975999999999999</v>
      </c>
      <c r="AG97" s="2" t="s">
        <v>37</v>
      </c>
      <c r="AH97" s="164">
        <v>7.2999999999999999E-5</v>
      </c>
      <c r="AI97" s="164">
        <v>1.6666827377762101E-2</v>
      </c>
      <c r="AJ97" s="164">
        <v>9.6344730566903E-4</v>
      </c>
    </row>
    <row r="98" spans="1:36">
      <c r="A98" s="2" t="s">
        <v>112</v>
      </c>
      <c r="B98" s="2">
        <v>12905</v>
      </c>
      <c r="C98" s="2" t="s">
        <v>1869</v>
      </c>
      <c r="D98" s="2" t="s">
        <v>1870</v>
      </c>
      <c r="E98" s="4" t="s">
        <v>1376</v>
      </c>
      <c r="F98" s="2" t="s">
        <v>2496</v>
      </c>
      <c r="G98" s="2" t="s">
        <v>2497</v>
      </c>
      <c r="H98" s="2" t="s">
        <v>367</v>
      </c>
      <c r="I98" s="2" t="s">
        <v>1010</v>
      </c>
      <c r="J98" s="2" t="s">
        <v>31</v>
      </c>
      <c r="K98" s="2" t="s">
        <v>31</v>
      </c>
      <c r="L98" s="2" t="s">
        <v>373</v>
      </c>
      <c r="M98" s="2" t="s">
        <v>32</v>
      </c>
      <c r="N98" s="2" t="s">
        <v>490</v>
      </c>
      <c r="O98" s="2" t="s">
        <v>164</v>
      </c>
      <c r="P98" s="2" t="s">
        <v>2275</v>
      </c>
      <c r="Q98" s="2" t="s">
        <v>217</v>
      </c>
      <c r="R98" s="2" t="s">
        <v>452</v>
      </c>
      <c r="S98" s="2" t="s">
        <v>35</v>
      </c>
      <c r="T98" s="150">
        <v>2.0939999999999999</v>
      </c>
      <c r="U98" s="2" t="s">
        <v>2498</v>
      </c>
      <c r="V98" s="162">
        <v>4.2999999999999997E-2</v>
      </c>
      <c r="W98" s="164">
        <v>5.79E-2</v>
      </c>
      <c r="X98" s="4" t="s">
        <v>458</v>
      </c>
      <c r="Y98" s="4" t="s">
        <v>164</v>
      </c>
      <c r="Z98" s="150">
        <v>27879.16</v>
      </c>
      <c r="AA98" s="150">
        <v>1</v>
      </c>
      <c r="AB98" s="150">
        <v>98.86</v>
      </c>
      <c r="AD98" s="150">
        <v>27.561</v>
      </c>
      <c r="AG98" s="2" t="s">
        <v>37</v>
      </c>
      <c r="AH98" s="164">
        <v>2.8E-5</v>
      </c>
      <c r="AI98" s="164">
        <v>1.5324245928477601E-2</v>
      </c>
      <c r="AJ98" s="164">
        <v>8.8583766523558298E-4</v>
      </c>
    </row>
    <row r="99" spans="1:36">
      <c r="A99" s="2" t="s">
        <v>112</v>
      </c>
      <c r="B99" s="2">
        <v>12905</v>
      </c>
      <c r="C99" s="2" t="s">
        <v>2283</v>
      </c>
      <c r="D99" s="2" t="s">
        <v>2284</v>
      </c>
      <c r="E99" s="4" t="s">
        <v>1376</v>
      </c>
      <c r="F99" s="2" t="s">
        <v>2285</v>
      </c>
      <c r="G99" s="2" t="s">
        <v>2286</v>
      </c>
      <c r="H99" s="2" t="s">
        <v>367</v>
      </c>
      <c r="I99" s="2" t="s">
        <v>1010</v>
      </c>
      <c r="J99" s="2" t="s">
        <v>31</v>
      </c>
      <c r="K99" s="2" t="s">
        <v>31</v>
      </c>
      <c r="L99" s="2" t="s">
        <v>373</v>
      </c>
      <c r="M99" s="2" t="s">
        <v>32</v>
      </c>
      <c r="N99" s="2" t="s">
        <v>528</v>
      </c>
      <c r="O99" s="2" t="s">
        <v>164</v>
      </c>
      <c r="P99" s="2" t="s">
        <v>2287</v>
      </c>
      <c r="Q99" s="2" t="s">
        <v>98</v>
      </c>
      <c r="R99" s="2" t="s">
        <v>452</v>
      </c>
      <c r="S99" s="2" t="s">
        <v>35</v>
      </c>
      <c r="T99" s="150">
        <v>2.323</v>
      </c>
      <c r="U99" s="2" t="s">
        <v>2288</v>
      </c>
      <c r="V99" s="162">
        <v>3.6499999999999998E-2</v>
      </c>
      <c r="W99" s="164">
        <v>5.7189999999999998E-2</v>
      </c>
      <c r="X99" s="4" t="s">
        <v>458</v>
      </c>
      <c r="Y99" s="4" t="s">
        <v>164</v>
      </c>
      <c r="Z99" s="150">
        <v>30000</v>
      </c>
      <c r="AA99" s="150">
        <v>1</v>
      </c>
      <c r="AB99" s="150">
        <v>95.7</v>
      </c>
      <c r="AD99" s="150">
        <v>28.71</v>
      </c>
      <c r="AG99" s="2" t="s">
        <v>37</v>
      </c>
      <c r="AH99" s="164">
        <v>1.5E-5</v>
      </c>
      <c r="AI99" s="164">
        <v>1.59629081641415E-2</v>
      </c>
      <c r="AJ99" s="164">
        <v>9.22756353851989E-4</v>
      </c>
    </row>
    <row r="100" spans="1:36">
      <c r="A100" s="2" t="s">
        <v>112</v>
      </c>
      <c r="B100" s="2">
        <v>12905</v>
      </c>
      <c r="C100" s="2" t="s">
        <v>1885</v>
      </c>
      <c r="D100" s="2" t="s">
        <v>1886</v>
      </c>
      <c r="E100" s="4" t="s">
        <v>1376</v>
      </c>
      <c r="F100" s="2" t="s">
        <v>2499</v>
      </c>
      <c r="G100" s="2" t="s">
        <v>2500</v>
      </c>
      <c r="H100" s="2" t="s">
        <v>367</v>
      </c>
      <c r="I100" s="2" t="s">
        <v>219</v>
      </c>
      <c r="J100" s="2" t="s">
        <v>31</v>
      </c>
      <c r="K100" s="2" t="s">
        <v>31</v>
      </c>
      <c r="L100" s="2" t="s">
        <v>373</v>
      </c>
      <c r="M100" s="2" t="s">
        <v>32</v>
      </c>
      <c r="N100" s="2" t="s">
        <v>507</v>
      </c>
      <c r="O100" s="2" t="s">
        <v>164</v>
      </c>
      <c r="P100" s="2" t="s">
        <v>1387</v>
      </c>
      <c r="Q100" s="2" t="s">
        <v>217</v>
      </c>
      <c r="R100" s="2" t="s">
        <v>452</v>
      </c>
      <c r="S100" s="2" t="s">
        <v>35</v>
      </c>
      <c r="T100" s="150">
        <v>5.5330000000000004</v>
      </c>
      <c r="U100" s="2" t="s">
        <v>2501</v>
      </c>
      <c r="V100" s="162">
        <v>1.8700000000000001E-2</v>
      </c>
      <c r="W100" s="164">
        <v>3.7289999999999997E-2</v>
      </c>
      <c r="X100" s="4" t="s">
        <v>458</v>
      </c>
      <c r="Y100" s="4" t="s">
        <v>164</v>
      </c>
      <c r="Z100" s="150">
        <v>13200</v>
      </c>
      <c r="AA100" s="150">
        <v>1</v>
      </c>
      <c r="AB100" s="150">
        <v>98.81</v>
      </c>
      <c r="AD100" s="150">
        <v>13.042999999999999</v>
      </c>
      <c r="AG100" s="2" t="s">
        <v>37</v>
      </c>
      <c r="AH100" s="164">
        <v>2.5000000000000001E-5</v>
      </c>
      <c r="AI100" s="164">
        <v>7.25193083079919E-3</v>
      </c>
      <c r="AJ100" s="164">
        <v>4.1920715091547201E-4</v>
      </c>
    </row>
    <row r="101" spans="1:36">
      <c r="A101" s="2" t="s">
        <v>112</v>
      </c>
      <c r="B101" s="2">
        <v>12905</v>
      </c>
      <c r="C101" s="2" t="s">
        <v>1877</v>
      </c>
      <c r="D101" s="2" t="s">
        <v>1878</v>
      </c>
      <c r="E101" s="4" t="s">
        <v>1376</v>
      </c>
      <c r="F101" s="2" t="s">
        <v>2294</v>
      </c>
      <c r="G101" s="2" t="s">
        <v>2295</v>
      </c>
      <c r="H101" s="2" t="s">
        <v>367</v>
      </c>
      <c r="I101" s="2" t="s">
        <v>1010</v>
      </c>
      <c r="J101" s="2" t="s">
        <v>31</v>
      </c>
      <c r="K101" s="2" t="s">
        <v>31</v>
      </c>
      <c r="L101" s="2" t="s">
        <v>373</v>
      </c>
      <c r="M101" s="2" t="s">
        <v>32</v>
      </c>
      <c r="N101" s="2" t="s">
        <v>483</v>
      </c>
      <c r="O101" s="2" t="s">
        <v>164</v>
      </c>
      <c r="P101" s="2" t="s">
        <v>2258</v>
      </c>
      <c r="Q101" s="2" t="s">
        <v>217</v>
      </c>
      <c r="R101" s="2" t="s">
        <v>452</v>
      </c>
      <c r="S101" s="2" t="s">
        <v>35</v>
      </c>
      <c r="T101" s="150">
        <v>4.7069999999999999</v>
      </c>
      <c r="U101" s="2" t="s">
        <v>2296</v>
      </c>
      <c r="V101" s="162">
        <v>5.7500000000000002E-2</v>
      </c>
      <c r="W101" s="164">
        <v>6.7390000000000005E-2</v>
      </c>
      <c r="X101" s="4" t="s">
        <v>458</v>
      </c>
      <c r="Y101" s="4" t="s">
        <v>164</v>
      </c>
      <c r="Z101" s="150">
        <v>25526</v>
      </c>
      <c r="AA101" s="150">
        <v>1</v>
      </c>
      <c r="AB101" s="150">
        <v>97.35</v>
      </c>
      <c r="AD101" s="150">
        <v>24.85</v>
      </c>
      <c r="AG101" s="2" t="s">
        <v>37</v>
      </c>
      <c r="AH101" s="164">
        <v>4.8999999999999998E-5</v>
      </c>
      <c r="AI101" s="164">
        <v>1.38164841575142E-2</v>
      </c>
      <c r="AJ101" s="164">
        <v>7.9867956472248595E-4</v>
      </c>
    </row>
    <row r="102" spans="1:36">
      <c r="A102" s="2" t="s">
        <v>112</v>
      </c>
      <c r="B102" s="2">
        <v>12905</v>
      </c>
      <c r="C102" s="2" t="s">
        <v>2297</v>
      </c>
      <c r="D102" s="2" t="s">
        <v>2298</v>
      </c>
      <c r="E102" s="4" t="s">
        <v>1376</v>
      </c>
      <c r="F102" s="2" t="s">
        <v>2305</v>
      </c>
      <c r="G102" s="2" t="s">
        <v>2306</v>
      </c>
      <c r="H102" s="2" t="s">
        <v>367</v>
      </c>
      <c r="I102" s="2" t="s">
        <v>219</v>
      </c>
      <c r="J102" s="2" t="s">
        <v>31</v>
      </c>
      <c r="K102" s="2" t="s">
        <v>31</v>
      </c>
      <c r="L102" s="2" t="s">
        <v>373</v>
      </c>
      <c r="M102" s="2" t="s">
        <v>32</v>
      </c>
      <c r="N102" s="2" t="s">
        <v>507</v>
      </c>
      <c r="O102" s="2" t="s">
        <v>164</v>
      </c>
      <c r="P102" s="2" t="s">
        <v>2247</v>
      </c>
      <c r="Q102" s="2" t="s">
        <v>217</v>
      </c>
      <c r="R102" s="2" t="s">
        <v>452</v>
      </c>
      <c r="S102" s="2" t="s">
        <v>35</v>
      </c>
      <c r="T102" s="150">
        <v>5.37</v>
      </c>
      <c r="U102" s="2" t="s">
        <v>2307</v>
      </c>
      <c r="V102" s="162">
        <v>5.8999999999999999E-3</v>
      </c>
      <c r="W102" s="164">
        <v>3.5549999999999998E-2</v>
      </c>
      <c r="X102" s="4" t="s">
        <v>458</v>
      </c>
      <c r="Y102" s="4" t="s">
        <v>164</v>
      </c>
      <c r="Z102" s="150">
        <v>51260</v>
      </c>
      <c r="AA102" s="150">
        <v>1</v>
      </c>
      <c r="AB102" s="150">
        <v>94</v>
      </c>
      <c r="AD102" s="150">
        <v>48.183999999999997</v>
      </c>
      <c r="AG102" s="2" t="s">
        <v>37</v>
      </c>
      <c r="AH102" s="164">
        <v>3.6999999999999998E-5</v>
      </c>
      <c r="AI102" s="164">
        <v>2.67907750659791E-2</v>
      </c>
      <c r="AJ102" s="164">
        <v>1.5486750698901399E-3</v>
      </c>
    </row>
    <row r="103" spans="1:36">
      <c r="A103" s="2" t="s">
        <v>112</v>
      </c>
      <c r="B103" s="2">
        <v>12905</v>
      </c>
      <c r="C103" s="2" t="s">
        <v>2297</v>
      </c>
      <c r="D103" s="2" t="s">
        <v>2298</v>
      </c>
      <c r="E103" s="4" t="s">
        <v>1376</v>
      </c>
      <c r="F103" s="2" t="s">
        <v>2308</v>
      </c>
      <c r="G103" s="2" t="s">
        <v>2309</v>
      </c>
      <c r="H103" s="2" t="s">
        <v>367</v>
      </c>
      <c r="I103" s="2" t="s">
        <v>219</v>
      </c>
      <c r="J103" s="2" t="s">
        <v>31</v>
      </c>
      <c r="K103" s="2" t="s">
        <v>31</v>
      </c>
      <c r="L103" s="2" t="s">
        <v>373</v>
      </c>
      <c r="M103" s="2" t="s">
        <v>32</v>
      </c>
      <c r="N103" s="2" t="s">
        <v>507</v>
      </c>
      <c r="O103" s="2" t="s">
        <v>164</v>
      </c>
      <c r="P103" s="2" t="s">
        <v>2247</v>
      </c>
      <c r="Q103" s="2" t="s">
        <v>217</v>
      </c>
      <c r="R103" s="2" t="s">
        <v>452</v>
      </c>
      <c r="S103" s="2" t="s">
        <v>35</v>
      </c>
      <c r="T103" s="150">
        <v>1.21</v>
      </c>
      <c r="U103" s="2" t="s">
        <v>2310</v>
      </c>
      <c r="V103" s="162">
        <v>4.7500000000000001E-2</v>
      </c>
      <c r="W103" s="164">
        <v>2.843E-2</v>
      </c>
      <c r="X103" s="4" t="s">
        <v>458</v>
      </c>
      <c r="Y103" s="4" t="s">
        <v>164</v>
      </c>
      <c r="Z103" s="150">
        <v>10243.5</v>
      </c>
      <c r="AA103" s="150">
        <v>1</v>
      </c>
      <c r="AB103" s="150">
        <v>142.59</v>
      </c>
      <c r="AD103" s="150">
        <v>14.606</v>
      </c>
      <c r="AG103" s="2" t="s">
        <v>37</v>
      </c>
      <c r="AH103" s="164">
        <v>1.1E-5</v>
      </c>
      <c r="AI103" s="164">
        <v>8.1211262758768103E-3</v>
      </c>
      <c r="AJ103" s="164">
        <v>4.6945210699974498E-4</v>
      </c>
    </row>
    <row r="104" spans="1:36">
      <c r="A104" s="2" t="s">
        <v>112</v>
      </c>
      <c r="B104" s="2">
        <v>12905</v>
      </c>
      <c r="C104" s="2" t="s">
        <v>2316</v>
      </c>
      <c r="D104" s="2" t="s">
        <v>2317</v>
      </c>
      <c r="E104" s="4" t="s">
        <v>1376</v>
      </c>
      <c r="F104" s="2" t="s">
        <v>2318</v>
      </c>
      <c r="G104" s="2" t="s">
        <v>2319</v>
      </c>
      <c r="H104" s="2" t="s">
        <v>367</v>
      </c>
      <c r="I104" s="2" t="s">
        <v>219</v>
      </c>
      <c r="J104" s="2" t="s">
        <v>31</v>
      </c>
      <c r="K104" s="2" t="s">
        <v>31</v>
      </c>
      <c r="L104" s="2" t="s">
        <v>373</v>
      </c>
      <c r="M104" s="2" t="s">
        <v>32</v>
      </c>
      <c r="N104" s="2" t="s">
        <v>494</v>
      </c>
      <c r="O104" s="2" t="s">
        <v>164</v>
      </c>
      <c r="P104" s="2" t="s">
        <v>2258</v>
      </c>
      <c r="Q104" s="2" t="s">
        <v>217</v>
      </c>
      <c r="R104" s="2" t="s">
        <v>452</v>
      </c>
      <c r="S104" s="2" t="s">
        <v>35</v>
      </c>
      <c r="T104" s="150">
        <v>4.3819999999999997</v>
      </c>
      <c r="U104" s="2" t="s">
        <v>2320</v>
      </c>
      <c r="V104" s="162">
        <v>7.4999999999999997E-3</v>
      </c>
      <c r="W104" s="164">
        <v>3.9260000000000003E-2</v>
      </c>
      <c r="X104" s="4" t="s">
        <v>458</v>
      </c>
      <c r="Y104" s="4" t="s">
        <v>164</v>
      </c>
      <c r="Z104" s="150">
        <v>10192</v>
      </c>
      <c r="AA104" s="150">
        <v>1</v>
      </c>
      <c r="AB104" s="150">
        <v>96.11</v>
      </c>
      <c r="AD104" s="150">
        <v>9.7959999999999994</v>
      </c>
      <c r="AG104" s="2" t="s">
        <v>37</v>
      </c>
      <c r="AH104" s="164">
        <v>1.0000000000000001E-5</v>
      </c>
      <c r="AI104" s="164">
        <v>5.4463658991495299E-3</v>
      </c>
      <c r="AJ104" s="164">
        <v>3.1483415723285998E-4</v>
      </c>
    </row>
    <row r="105" spans="1:36">
      <c r="A105" s="2" t="s">
        <v>112</v>
      </c>
      <c r="B105" s="2">
        <v>12905</v>
      </c>
      <c r="C105" s="2" t="s">
        <v>2321</v>
      </c>
      <c r="D105" s="2" t="s">
        <v>2322</v>
      </c>
      <c r="E105" s="4" t="s">
        <v>1376</v>
      </c>
      <c r="F105" s="2" t="s">
        <v>2332</v>
      </c>
      <c r="G105" s="2" t="s">
        <v>2333</v>
      </c>
      <c r="H105" s="2" t="s">
        <v>367</v>
      </c>
      <c r="I105" s="2" t="s">
        <v>219</v>
      </c>
      <c r="J105" s="2" t="s">
        <v>31</v>
      </c>
      <c r="K105" s="2" t="s">
        <v>31</v>
      </c>
      <c r="L105" s="2" t="s">
        <v>373</v>
      </c>
      <c r="M105" s="2" t="s">
        <v>32</v>
      </c>
      <c r="N105" s="2" t="s">
        <v>491</v>
      </c>
      <c r="O105" s="2" t="s">
        <v>164</v>
      </c>
      <c r="P105" s="2" t="s">
        <v>1392</v>
      </c>
      <c r="Q105" s="2" t="s">
        <v>98</v>
      </c>
      <c r="R105" s="2" t="s">
        <v>452</v>
      </c>
      <c r="S105" s="2" t="s">
        <v>35</v>
      </c>
      <c r="T105" s="150">
        <v>4.1150000000000002</v>
      </c>
      <c r="U105" s="2" t="s">
        <v>2334</v>
      </c>
      <c r="V105" s="162">
        <v>3.1699999999999999E-2</v>
      </c>
      <c r="W105" s="164">
        <v>3.594E-2</v>
      </c>
      <c r="X105" s="4" t="s">
        <v>458</v>
      </c>
      <c r="Y105" s="4" t="s">
        <v>164</v>
      </c>
      <c r="Z105" s="150">
        <v>50000</v>
      </c>
      <c r="AA105" s="150">
        <v>1</v>
      </c>
      <c r="AB105" s="150">
        <v>105.55</v>
      </c>
      <c r="AD105" s="150">
        <v>52.774999999999999</v>
      </c>
      <c r="AG105" s="2" t="s">
        <v>37</v>
      </c>
      <c r="AH105" s="164">
        <v>5.8999999999999998E-5</v>
      </c>
      <c r="AI105" s="164">
        <v>2.9343172356759602E-2</v>
      </c>
      <c r="AJ105" s="164">
        <v>1.6962196647348901E-3</v>
      </c>
    </row>
    <row r="106" spans="1:36">
      <c r="A106" s="2" t="s">
        <v>112</v>
      </c>
      <c r="B106" s="2">
        <v>12905</v>
      </c>
      <c r="C106" s="2" t="s">
        <v>2335</v>
      </c>
      <c r="D106" s="2" t="s">
        <v>2336</v>
      </c>
      <c r="E106" s="4" t="s">
        <v>1376</v>
      </c>
      <c r="F106" s="2" t="s">
        <v>2337</v>
      </c>
      <c r="G106" s="2" t="s">
        <v>2338</v>
      </c>
      <c r="H106" s="2" t="s">
        <v>367</v>
      </c>
      <c r="I106" s="2" t="s">
        <v>219</v>
      </c>
      <c r="J106" s="2" t="s">
        <v>31</v>
      </c>
      <c r="K106" s="2" t="s">
        <v>31</v>
      </c>
      <c r="L106" s="2" t="s">
        <v>373</v>
      </c>
      <c r="M106" s="2" t="s">
        <v>32</v>
      </c>
      <c r="N106" s="2" t="s">
        <v>483</v>
      </c>
      <c r="O106" s="2" t="s">
        <v>164</v>
      </c>
      <c r="P106" s="2" t="s">
        <v>2287</v>
      </c>
      <c r="Q106" s="2" t="s">
        <v>98</v>
      </c>
      <c r="R106" s="2" t="s">
        <v>452</v>
      </c>
      <c r="S106" s="2" t="s">
        <v>35</v>
      </c>
      <c r="T106" s="150">
        <v>3.69</v>
      </c>
      <c r="U106" s="2" t="s">
        <v>2339</v>
      </c>
      <c r="V106" s="162">
        <v>1.7999999999999999E-2</v>
      </c>
      <c r="W106" s="164">
        <v>3.5799999999999998E-2</v>
      </c>
      <c r="X106" s="4" t="s">
        <v>458</v>
      </c>
      <c r="Y106" s="4" t="s">
        <v>164</v>
      </c>
      <c r="Z106" s="150">
        <v>16666.46</v>
      </c>
      <c r="AA106" s="150">
        <v>1</v>
      </c>
      <c r="AB106" s="150">
        <v>106.94</v>
      </c>
      <c r="AD106" s="150">
        <v>17.823</v>
      </c>
      <c r="AG106" s="2" t="s">
        <v>37</v>
      </c>
      <c r="AH106" s="164">
        <v>1.7E-5</v>
      </c>
      <c r="AI106" s="164">
        <v>9.9097424321557201E-3</v>
      </c>
      <c r="AJ106" s="164">
        <v>5.7284535501179697E-4</v>
      </c>
    </row>
    <row r="107" spans="1:36">
      <c r="A107" s="2" t="s">
        <v>112</v>
      </c>
      <c r="B107" s="2">
        <v>12905</v>
      </c>
      <c r="C107" s="2" t="s">
        <v>2335</v>
      </c>
      <c r="D107" s="2" t="s">
        <v>2336</v>
      </c>
      <c r="E107" s="4" t="s">
        <v>1376</v>
      </c>
      <c r="F107" s="2" t="s">
        <v>2340</v>
      </c>
      <c r="G107" s="2" t="s">
        <v>2341</v>
      </c>
      <c r="H107" s="2" t="s">
        <v>367</v>
      </c>
      <c r="I107" s="2" t="s">
        <v>219</v>
      </c>
      <c r="J107" s="2" t="s">
        <v>31</v>
      </c>
      <c r="K107" s="2" t="s">
        <v>31</v>
      </c>
      <c r="L107" s="2" t="s">
        <v>373</v>
      </c>
      <c r="M107" s="2" t="s">
        <v>32</v>
      </c>
      <c r="N107" s="2" t="s">
        <v>483</v>
      </c>
      <c r="O107" s="2" t="s">
        <v>164</v>
      </c>
      <c r="P107" s="2" t="s">
        <v>2287</v>
      </c>
      <c r="Q107" s="2" t="s">
        <v>98</v>
      </c>
      <c r="R107" s="2" t="s">
        <v>452</v>
      </c>
      <c r="S107" s="2" t="s">
        <v>35</v>
      </c>
      <c r="T107" s="150">
        <v>5.9729999999999999</v>
      </c>
      <c r="U107" s="2" t="s">
        <v>2342</v>
      </c>
      <c r="V107" s="162">
        <v>3.3000000000000002E-2</v>
      </c>
      <c r="W107" s="164">
        <v>4.1739999999999999E-2</v>
      </c>
      <c r="X107" s="4" t="s">
        <v>458</v>
      </c>
      <c r="Y107" s="4" t="s">
        <v>164</v>
      </c>
      <c r="Z107" s="150">
        <v>48108.97</v>
      </c>
      <c r="AA107" s="150">
        <v>1</v>
      </c>
      <c r="AB107" s="150">
        <v>100.71</v>
      </c>
      <c r="AD107" s="150">
        <v>48.451000000000001</v>
      </c>
      <c r="AG107" s="2" t="s">
        <v>37</v>
      </c>
      <c r="AH107" s="164">
        <v>3.8000000000000002E-5</v>
      </c>
      <c r="AI107" s="164">
        <v>2.6938752329443E-2</v>
      </c>
      <c r="AJ107" s="164">
        <v>1.5572290851537001E-3</v>
      </c>
    </row>
    <row r="108" spans="1:36">
      <c r="A108" s="2" t="s">
        <v>112</v>
      </c>
      <c r="B108" s="2">
        <v>12905</v>
      </c>
      <c r="C108" s="2" t="s">
        <v>2159</v>
      </c>
      <c r="D108" s="2" t="s">
        <v>2160</v>
      </c>
      <c r="E108" s="4" t="s">
        <v>1376</v>
      </c>
      <c r="F108" s="2" t="s">
        <v>2343</v>
      </c>
      <c r="G108" s="2" t="s">
        <v>2344</v>
      </c>
      <c r="H108" s="2" t="s">
        <v>367</v>
      </c>
      <c r="I108" s="2" t="s">
        <v>219</v>
      </c>
      <c r="J108" s="2" t="s">
        <v>31</v>
      </c>
      <c r="K108" s="2" t="s">
        <v>31</v>
      </c>
      <c r="L108" s="2" t="s">
        <v>373</v>
      </c>
      <c r="M108" s="2" t="s">
        <v>32</v>
      </c>
      <c r="N108" s="2" t="s">
        <v>507</v>
      </c>
      <c r="O108" s="2" t="s">
        <v>164</v>
      </c>
      <c r="P108" s="2" t="s">
        <v>2228</v>
      </c>
      <c r="Q108" s="2" t="s">
        <v>217</v>
      </c>
      <c r="R108" s="2" t="s">
        <v>452</v>
      </c>
      <c r="S108" s="2" t="s">
        <v>35</v>
      </c>
      <c r="T108" s="150">
        <v>2.3730000000000002</v>
      </c>
      <c r="U108" s="2" t="s">
        <v>2237</v>
      </c>
      <c r="V108" s="162">
        <v>3.6499999999999998E-2</v>
      </c>
      <c r="W108" s="164">
        <v>3.7539999999999997E-2</v>
      </c>
      <c r="X108" s="4" t="s">
        <v>458</v>
      </c>
      <c r="Y108" s="4" t="s">
        <v>164</v>
      </c>
      <c r="Z108" s="150">
        <v>34000</v>
      </c>
      <c r="AA108" s="150">
        <v>1</v>
      </c>
      <c r="AB108" s="150">
        <v>105.01</v>
      </c>
      <c r="AD108" s="150">
        <v>35.703000000000003</v>
      </c>
      <c r="AG108" s="2" t="s">
        <v>37</v>
      </c>
      <c r="AH108" s="164">
        <v>1.0399999999999999E-4</v>
      </c>
      <c r="AI108" s="164">
        <v>1.98512746550892E-2</v>
      </c>
      <c r="AJ108" s="164">
        <v>1.14752835960011E-3</v>
      </c>
    </row>
    <row r="109" spans="1:36">
      <c r="A109" s="2" t="s">
        <v>112</v>
      </c>
      <c r="B109" s="2">
        <v>12905</v>
      </c>
      <c r="C109" s="2" t="s">
        <v>2159</v>
      </c>
      <c r="D109" s="2" t="s">
        <v>2160</v>
      </c>
      <c r="E109" s="4" t="s">
        <v>1376</v>
      </c>
      <c r="F109" s="2" t="s">
        <v>2345</v>
      </c>
      <c r="G109" s="2" t="s">
        <v>2346</v>
      </c>
      <c r="H109" s="2" t="s">
        <v>367</v>
      </c>
      <c r="I109" s="2" t="s">
        <v>219</v>
      </c>
      <c r="J109" s="2" t="s">
        <v>31</v>
      </c>
      <c r="K109" s="2" t="s">
        <v>31</v>
      </c>
      <c r="L109" s="2" t="s">
        <v>373</v>
      </c>
      <c r="M109" s="2" t="s">
        <v>32</v>
      </c>
      <c r="N109" s="2" t="s">
        <v>507</v>
      </c>
      <c r="O109" s="2" t="s">
        <v>164</v>
      </c>
      <c r="P109" s="2" t="s">
        <v>2275</v>
      </c>
      <c r="Q109" s="2" t="s">
        <v>217</v>
      </c>
      <c r="R109" s="2" t="s">
        <v>452</v>
      </c>
      <c r="S109" s="2" t="s">
        <v>35</v>
      </c>
      <c r="T109" s="150">
        <v>3.028</v>
      </c>
      <c r="U109" s="2" t="s">
        <v>1371</v>
      </c>
      <c r="V109" s="162">
        <v>1.7999999999999999E-2</v>
      </c>
      <c r="W109" s="164">
        <v>3.0200000000000001E-2</v>
      </c>
      <c r="X109" s="4" t="s">
        <v>458</v>
      </c>
      <c r="Y109" s="4" t="s">
        <v>164</v>
      </c>
      <c r="Z109" s="150">
        <v>18058.349999999999</v>
      </c>
      <c r="AA109" s="150">
        <v>1</v>
      </c>
      <c r="AB109" s="150">
        <v>110.52</v>
      </c>
      <c r="AD109" s="150">
        <v>19.957999999999998</v>
      </c>
      <c r="AG109" s="2" t="s">
        <v>37</v>
      </c>
      <c r="AH109" s="164">
        <v>2.3E-5</v>
      </c>
      <c r="AI109" s="164">
        <v>1.1096800159535901E-2</v>
      </c>
      <c r="AJ109" s="164">
        <v>6.4146474748501595E-4</v>
      </c>
    </row>
    <row r="110" spans="1:36">
      <c r="A110" s="2" t="s">
        <v>112</v>
      </c>
      <c r="B110" s="2">
        <v>12905</v>
      </c>
      <c r="C110" s="2" t="s">
        <v>2347</v>
      </c>
      <c r="D110" s="2" t="s">
        <v>2348</v>
      </c>
      <c r="E110" s="4" t="s">
        <v>1376</v>
      </c>
      <c r="F110" s="2" t="s">
        <v>2349</v>
      </c>
      <c r="G110" s="2" t="s">
        <v>2350</v>
      </c>
      <c r="H110" s="2" t="s">
        <v>367</v>
      </c>
      <c r="I110" s="2" t="s">
        <v>1010</v>
      </c>
      <c r="J110" s="2" t="s">
        <v>31</v>
      </c>
      <c r="K110" s="2" t="s">
        <v>31</v>
      </c>
      <c r="L110" s="2" t="s">
        <v>373</v>
      </c>
      <c r="M110" s="2" t="s">
        <v>32</v>
      </c>
      <c r="N110" s="2" t="s">
        <v>488</v>
      </c>
      <c r="O110" s="2" t="s">
        <v>164</v>
      </c>
      <c r="P110" s="2" t="s">
        <v>1392</v>
      </c>
      <c r="Q110" s="2" t="s">
        <v>98</v>
      </c>
      <c r="R110" s="2" t="s">
        <v>452</v>
      </c>
      <c r="S110" s="2" t="s">
        <v>35</v>
      </c>
      <c r="T110" s="150">
        <v>6.6689999999999996</v>
      </c>
      <c r="U110" s="2" t="s">
        <v>2351</v>
      </c>
      <c r="V110" s="162">
        <v>3.0499999999999999E-2</v>
      </c>
      <c r="W110" s="164">
        <v>6.0159999999999998E-2</v>
      </c>
      <c r="X110" s="4" t="s">
        <v>458</v>
      </c>
      <c r="Y110" s="4" t="s">
        <v>164</v>
      </c>
      <c r="Z110" s="150">
        <v>10445</v>
      </c>
      <c r="AA110" s="150">
        <v>1</v>
      </c>
      <c r="AB110" s="150">
        <v>82.6</v>
      </c>
      <c r="AD110" s="150">
        <v>8.6280000000000001</v>
      </c>
      <c r="AG110" s="2" t="s">
        <v>37</v>
      </c>
      <c r="AH110" s="164">
        <v>1.5E-5</v>
      </c>
      <c r="AI110" s="164">
        <v>4.7969734444340802E-3</v>
      </c>
      <c r="AJ110" s="164">
        <v>2.77295194559485E-4</v>
      </c>
    </row>
    <row r="111" spans="1:36">
      <c r="A111" s="2" t="s">
        <v>112</v>
      </c>
      <c r="B111" s="2">
        <v>12905</v>
      </c>
      <c r="C111" s="2" t="s">
        <v>2347</v>
      </c>
      <c r="D111" s="2" t="s">
        <v>2348</v>
      </c>
      <c r="E111" s="4" t="s">
        <v>1376</v>
      </c>
      <c r="F111" s="2" t="s">
        <v>2502</v>
      </c>
      <c r="G111" s="2" t="s">
        <v>2503</v>
      </c>
      <c r="H111" s="2" t="s">
        <v>367</v>
      </c>
      <c r="I111" s="2" t="s">
        <v>1010</v>
      </c>
      <c r="J111" s="2" t="s">
        <v>31</v>
      </c>
      <c r="K111" s="2" t="s">
        <v>31</v>
      </c>
      <c r="L111" s="2" t="s">
        <v>373</v>
      </c>
      <c r="M111" s="2" t="s">
        <v>32</v>
      </c>
      <c r="N111" s="2" t="s">
        <v>488</v>
      </c>
      <c r="O111" s="2" t="s">
        <v>164</v>
      </c>
      <c r="P111" s="2" t="s">
        <v>1392</v>
      </c>
      <c r="Q111" s="2" t="s">
        <v>98</v>
      </c>
      <c r="R111" s="2" t="s">
        <v>452</v>
      </c>
      <c r="S111" s="2" t="s">
        <v>35</v>
      </c>
      <c r="T111" s="150">
        <v>7.53</v>
      </c>
      <c r="U111" s="2" t="s">
        <v>2504</v>
      </c>
      <c r="V111" s="162">
        <v>2.63E-2</v>
      </c>
      <c r="W111" s="164">
        <v>6.1780000000000002E-2</v>
      </c>
      <c r="X111" s="4" t="s">
        <v>458</v>
      </c>
      <c r="Y111" s="4" t="s">
        <v>164</v>
      </c>
      <c r="Z111" s="150">
        <v>10035</v>
      </c>
      <c r="AA111" s="150">
        <v>1</v>
      </c>
      <c r="AB111" s="150">
        <v>77.16</v>
      </c>
      <c r="AD111" s="150">
        <v>7.7430000000000003</v>
      </c>
      <c r="AG111" s="2" t="s">
        <v>37</v>
      </c>
      <c r="AH111" s="164">
        <v>1.4E-5</v>
      </c>
      <c r="AI111" s="164">
        <v>4.3051512954509503E-3</v>
      </c>
      <c r="AJ111" s="164">
        <v>2.4886478524604902E-4</v>
      </c>
    </row>
    <row r="112" spans="1:36">
      <c r="A112" s="2" t="s">
        <v>112</v>
      </c>
      <c r="B112" s="2">
        <v>12905</v>
      </c>
      <c r="C112" s="2" t="s">
        <v>2347</v>
      </c>
      <c r="D112" s="2" t="s">
        <v>2348</v>
      </c>
      <c r="E112" s="4" t="s">
        <v>1376</v>
      </c>
      <c r="F112" s="2" t="s">
        <v>2352</v>
      </c>
      <c r="G112" s="2" t="s">
        <v>2353</v>
      </c>
      <c r="H112" s="2" t="s">
        <v>367</v>
      </c>
      <c r="I112" s="2" t="s">
        <v>1010</v>
      </c>
      <c r="J112" s="2" t="s">
        <v>31</v>
      </c>
      <c r="K112" s="2" t="s">
        <v>31</v>
      </c>
      <c r="L112" s="2" t="s">
        <v>373</v>
      </c>
      <c r="M112" s="2" t="s">
        <v>32</v>
      </c>
      <c r="N112" s="2" t="s">
        <v>488</v>
      </c>
      <c r="O112" s="2" t="s">
        <v>164</v>
      </c>
      <c r="P112" s="2" t="s">
        <v>1387</v>
      </c>
      <c r="Q112" s="2" t="s">
        <v>217</v>
      </c>
      <c r="R112" s="2" t="s">
        <v>452</v>
      </c>
      <c r="S112" s="2" t="s">
        <v>35</v>
      </c>
      <c r="T112" s="150">
        <v>4.9290000000000003</v>
      </c>
      <c r="U112" s="2" t="s">
        <v>2354</v>
      </c>
      <c r="V112" s="162">
        <v>4.3799999999999999E-2</v>
      </c>
      <c r="W112" s="164">
        <v>5.5509999999999997E-2</v>
      </c>
      <c r="X112" s="4" t="s">
        <v>458</v>
      </c>
      <c r="Y112" s="4" t="s">
        <v>164</v>
      </c>
      <c r="Z112" s="150">
        <v>14000</v>
      </c>
      <c r="AA112" s="150">
        <v>1</v>
      </c>
      <c r="AB112" s="150">
        <v>94.29</v>
      </c>
      <c r="AD112" s="150">
        <v>13.201000000000001</v>
      </c>
      <c r="AG112" s="2" t="s">
        <v>37</v>
      </c>
      <c r="AH112" s="164">
        <v>2.8E-5</v>
      </c>
      <c r="AI112" s="164">
        <v>7.3396017245408096E-3</v>
      </c>
      <c r="AJ112" s="164">
        <v>4.2427507922878998E-4</v>
      </c>
    </row>
    <row r="113" spans="1:36">
      <c r="A113" s="2" t="s">
        <v>112</v>
      </c>
      <c r="B113" s="2">
        <v>12905</v>
      </c>
      <c r="C113" s="2" t="s">
        <v>2355</v>
      </c>
      <c r="D113" s="2" t="s">
        <v>2356</v>
      </c>
      <c r="E113" s="4" t="s">
        <v>1376</v>
      </c>
      <c r="F113" s="2" t="s">
        <v>2357</v>
      </c>
      <c r="G113" s="2" t="s">
        <v>2358</v>
      </c>
      <c r="H113" s="2" t="s">
        <v>367</v>
      </c>
      <c r="I113" s="2" t="s">
        <v>219</v>
      </c>
      <c r="J113" s="2" t="s">
        <v>31</v>
      </c>
      <c r="K113" s="2" t="s">
        <v>31</v>
      </c>
      <c r="L113" s="2" t="s">
        <v>373</v>
      </c>
      <c r="M113" s="2" t="s">
        <v>32</v>
      </c>
      <c r="N113" s="2" t="s">
        <v>491</v>
      </c>
      <c r="O113" s="2" t="s">
        <v>164</v>
      </c>
      <c r="P113" s="2" t="s">
        <v>1387</v>
      </c>
      <c r="Q113" s="2" t="s">
        <v>98</v>
      </c>
      <c r="R113" s="2" t="s">
        <v>452</v>
      </c>
      <c r="S113" s="2" t="s">
        <v>35</v>
      </c>
      <c r="T113" s="150">
        <v>4.7489999999999997</v>
      </c>
      <c r="U113" s="2" t="s">
        <v>2359</v>
      </c>
      <c r="V113" s="162">
        <v>2.5899999999999999E-2</v>
      </c>
      <c r="W113" s="164">
        <v>2.751E-2</v>
      </c>
      <c r="X113" s="4" t="s">
        <v>458</v>
      </c>
      <c r="Y113" s="4" t="s">
        <v>164</v>
      </c>
      <c r="Z113" s="150">
        <v>39000</v>
      </c>
      <c r="AA113" s="150">
        <v>1</v>
      </c>
      <c r="AB113" s="150">
        <v>102.32</v>
      </c>
      <c r="AD113" s="150">
        <v>39.905000000000001</v>
      </c>
      <c r="AG113" s="2" t="s">
        <v>37</v>
      </c>
      <c r="AH113" s="164">
        <v>8.7000000000000001E-5</v>
      </c>
      <c r="AI113" s="164">
        <v>2.2187274737319199E-2</v>
      </c>
      <c r="AJ113" s="164">
        <v>1.2825638366141701E-3</v>
      </c>
    </row>
    <row r="114" spans="1:36">
      <c r="A114" s="2" t="s">
        <v>112</v>
      </c>
      <c r="B114" s="2">
        <v>12905</v>
      </c>
      <c r="C114" s="2" t="s">
        <v>2360</v>
      </c>
      <c r="D114" s="2" t="s">
        <v>2361</v>
      </c>
      <c r="E114" s="4" t="s">
        <v>1376</v>
      </c>
      <c r="F114" s="2" t="s">
        <v>2362</v>
      </c>
      <c r="G114" s="2" t="s">
        <v>2363</v>
      </c>
      <c r="H114" s="2" t="s">
        <v>367</v>
      </c>
      <c r="I114" s="2" t="s">
        <v>1010</v>
      </c>
      <c r="J114" s="2" t="s">
        <v>31</v>
      </c>
      <c r="K114" s="2" t="s">
        <v>31</v>
      </c>
      <c r="L114" s="2" t="s">
        <v>373</v>
      </c>
      <c r="M114" s="2" t="s">
        <v>32</v>
      </c>
      <c r="N114" s="2" t="s">
        <v>497</v>
      </c>
      <c r="O114" s="2" t="s">
        <v>164</v>
      </c>
      <c r="P114" s="2" t="s">
        <v>2247</v>
      </c>
      <c r="Q114" s="2" t="s">
        <v>217</v>
      </c>
      <c r="R114" s="2" t="s">
        <v>452</v>
      </c>
      <c r="S114" s="2" t="s">
        <v>35</v>
      </c>
      <c r="T114" s="150">
        <v>3.4910000000000001</v>
      </c>
      <c r="U114" s="2" t="s">
        <v>2364</v>
      </c>
      <c r="V114" s="162">
        <v>2.24E-2</v>
      </c>
      <c r="W114" s="164">
        <v>5.5100000000000003E-2</v>
      </c>
      <c r="X114" s="4" t="s">
        <v>458</v>
      </c>
      <c r="Y114" s="4" t="s">
        <v>164</v>
      </c>
      <c r="Z114" s="150">
        <v>15557.58</v>
      </c>
      <c r="AA114" s="150">
        <v>1</v>
      </c>
      <c r="AB114" s="150">
        <v>89.89</v>
      </c>
      <c r="AD114" s="150">
        <v>13.984999999999999</v>
      </c>
      <c r="AG114" s="2" t="s">
        <v>37</v>
      </c>
      <c r="AH114" s="164">
        <v>2.5999999999999998E-5</v>
      </c>
      <c r="AI114" s="164">
        <v>7.7755701871745197E-3</v>
      </c>
      <c r="AJ114" s="164">
        <v>4.4947679465794001E-4</v>
      </c>
    </row>
    <row r="115" spans="1:36">
      <c r="A115" s="2" t="s">
        <v>112</v>
      </c>
      <c r="B115" s="2">
        <v>12905</v>
      </c>
      <c r="C115" s="2" t="s">
        <v>1941</v>
      </c>
      <c r="D115" s="2" t="s">
        <v>1942</v>
      </c>
      <c r="E115" s="4" t="s">
        <v>1376</v>
      </c>
      <c r="F115" s="2" t="s">
        <v>2365</v>
      </c>
      <c r="G115" s="2" t="s">
        <v>2366</v>
      </c>
      <c r="H115" s="2" t="s">
        <v>367</v>
      </c>
      <c r="I115" s="2" t="s">
        <v>1010</v>
      </c>
      <c r="J115" s="2" t="s">
        <v>31</v>
      </c>
      <c r="K115" s="2" t="s">
        <v>31</v>
      </c>
      <c r="L115" s="2" t="s">
        <v>373</v>
      </c>
      <c r="M115" s="2" t="s">
        <v>32</v>
      </c>
      <c r="N115" s="2" t="s">
        <v>488</v>
      </c>
      <c r="O115" s="2" t="s">
        <v>164</v>
      </c>
      <c r="P115" s="2" t="s">
        <v>1387</v>
      </c>
      <c r="Q115" s="2" t="s">
        <v>217</v>
      </c>
      <c r="R115" s="2" t="s">
        <v>452</v>
      </c>
      <c r="S115" s="2" t="s">
        <v>35</v>
      </c>
      <c r="T115" s="150">
        <v>3.395</v>
      </c>
      <c r="U115" s="2" t="s">
        <v>2367</v>
      </c>
      <c r="V115" s="162">
        <v>4.7E-2</v>
      </c>
      <c r="W115" s="164">
        <v>5.5599999999999997E-2</v>
      </c>
      <c r="X115" s="4" t="s">
        <v>458</v>
      </c>
      <c r="Y115" s="4" t="s">
        <v>164</v>
      </c>
      <c r="Z115" s="150">
        <v>16000</v>
      </c>
      <c r="AA115" s="150">
        <v>1</v>
      </c>
      <c r="AB115" s="150">
        <v>98.75</v>
      </c>
      <c r="AD115" s="150">
        <v>15.8</v>
      </c>
      <c r="AG115" s="2" t="s">
        <v>37</v>
      </c>
      <c r="AH115" s="164">
        <v>1.8E-5</v>
      </c>
      <c r="AI115" s="164">
        <v>8.7848815393046301E-3</v>
      </c>
      <c r="AJ115" s="164">
        <v>5.0782133022854198E-4</v>
      </c>
    </row>
    <row r="116" spans="1:36">
      <c r="A116" s="2" t="s">
        <v>112</v>
      </c>
      <c r="B116" s="2">
        <v>12905</v>
      </c>
      <c r="C116" s="2" t="s">
        <v>2368</v>
      </c>
      <c r="D116" s="2" t="s">
        <v>2369</v>
      </c>
      <c r="E116" s="4" t="s">
        <v>1376</v>
      </c>
      <c r="F116" s="2" t="s">
        <v>2370</v>
      </c>
      <c r="G116" s="2" t="s">
        <v>2371</v>
      </c>
      <c r="H116" s="2" t="s">
        <v>367</v>
      </c>
      <c r="I116" s="2" t="s">
        <v>1010</v>
      </c>
      <c r="J116" s="2" t="s">
        <v>31</v>
      </c>
      <c r="K116" s="2" t="s">
        <v>31</v>
      </c>
      <c r="L116" s="2" t="s">
        <v>373</v>
      </c>
      <c r="M116" s="2" t="s">
        <v>32</v>
      </c>
      <c r="N116" s="2" t="s">
        <v>522</v>
      </c>
      <c r="O116" s="2" t="s">
        <v>164</v>
      </c>
      <c r="P116" s="2" t="s">
        <v>1392</v>
      </c>
      <c r="Q116" s="2" t="s">
        <v>98</v>
      </c>
      <c r="R116" s="2" t="s">
        <v>452</v>
      </c>
      <c r="S116" s="2" t="s">
        <v>35</v>
      </c>
      <c r="T116" s="150">
        <v>7.6660000000000004</v>
      </c>
      <c r="U116" s="2" t="s">
        <v>2372</v>
      </c>
      <c r="V116" s="162">
        <v>5.3100000000000001E-2</v>
      </c>
      <c r="W116" s="164">
        <v>6.3140000000000002E-2</v>
      </c>
      <c r="X116" s="4" t="s">
        <v>458</v>
      </c>
      <c r="Y116" s="4" t="s">
        <v>164</v>
      </c>
      <c r="Z116" s="150">
        <v>58279</v>
      </c>
      <c r="AA116" s="150">
        <v>1</v>
      </c>
      <c r="AB116" s="150">
        <v>95.33</v>
      </c>
      <c r="AD116" s="150">
        <v>55.557000000000002</v>
      </c>
      <c r="AG116" s="2" t="s">
        <v>37</v>
      </c>
      <c r="AH116" s="164">
        <v>4.6E-5</v>
      </c>
      <c r="AI116" s="164">
        <v>3.0890184824983201E-2</v>
      </c>
      <c r="AJ116" s="164">
        <v>1.78564670208065E-3</v>
      </c>
    </row>
    <row r="117" spans="1:36">
      <c r="A117" s="2" t="s">
        <v>112</v>
      </c>
      <c r="B117" s="2">
        <v>12905</v>
      </c>
      <c r="C117" s="2" t="s">
        <v>1222</v>
      </c>
      <c r="D117" s="2" t="s">
        <v>1945</v>
      </c>
      <c r="E117" s="4" t="s">
        <v>1376</v>
      </c>
      <c r="F117" s="2" t="s">
        <v>2373</v>
      </c>
      <c r="G117" s="2" t="s">
        <v>2374</v>
      </c>
      <c r="H117" s="2" t="s">
        <v>367</v>
      </c>
      <c r="I117" s="2" t="s">
        <v>219</v>
      </c>
      <c r="J117" s="2" t="s">
        <v>31</v>
      </c>
      <c r="K117" s="2" t="s">
        <v>31</v>
      </c>
      <c r="L117" s="2" t="s">
        <v>373</v>
      </c>
      <c r="M117" s="2" t="s">
        <v>32</v>
      </c>
      <c r="N117" s="2" t="s">
        <v>491</v>
      </c>
      <c r="O117" s="2" t="s">
        <v>164</v>
      </c>
      <c r="P117" s="2" t="s">
        <v>97</v>
      </c>
      <c r="Q117" s="2" t="s">
        <v>98</v>
      </c>
      <c r="R117" s="2" t="s">
        <v>452</v>
      </c>
      <c r="S117" s="2" t="s">
        <v>35</v>
      </c>
      <c r="T117" s="150">
        <v>1.986</v>
      </c>
      <c r="U117" s="2" t="s">
        <v>2375</v>
      </c>
      <c r="V117" s="162">
        <v>8.3000000000000001E-3</v>
      </c>
      <c r="W117" s="164">
        <v>2.0129999999999999E-2</v>
      </c>
      <c r="X117" s="4" t="s">
        <v>458</v>
      </c>
      <c r="Y117" s="4" t="s">
        <v>164</v>
      </c>
      <c r="Z117" s="150">
        <v>5558</v>
      </c>
      <c r="AA117" s="150">
        <v>1</v>
      </c>
      <c r="AB117" s="150">
        <v>110.75</v>
      </c>
      <c r="AD117" s="150">
        <v>6.1550000000000002</v>
      </c>
      <c r="AG117" s="2" t="s">
        <v>37</v>
      </c>
      <c r="AH117" s="164">
        <v>1.9999999999999999E-6</v>
      </c>
      <c r="AI117" s="164">
        <v>3.42248142670674E-3</v>
      </c>
      <c r="AJ117" s="164">
        <v>1.9784092284188799E-4</v>
      </c>
    </row>
    <row r="118" spans="1:36">
      <c r="A118" s="2" t="s">
        <v>112</v>
      </c>
      <c r="B118" s="2">
        <v>12905</v>
      </c>
      <c r="C118" s="2" t="s">
        <v>1222</v>
      </c>
      <c r="D118" s="2" t="s">
        <v>1945</v>
      </c>
      <c r="E118" s="4" t="s">
        <v>1376</v>
      </c>
      <c r="F118" s="2" t="s">
        <v>2376</v>
      </c>
      <c r="G118" s="2" t="s">
        <v>2377</v>
      </c>
      <c r="H118" s="2" t="s">
        <v>367</v>
      </c>
      <c r="I118" s="2" t="s">
        <v>219</v>
      </c>
      <c r="J118" s="2" t="s">
        <v>31</v>
      </c>
      <c r="K118" s="2" t="s">
        <v>31</v>
      </c>
      <c r="L118" s="2" t="s">
        <v>373</v>
      </c>
      <c r="M118" s="2" t="s">
        <v>32</v>
      </c>
      <c r="N118" s="2" t="s">
        <v>491</v>
      </c>
      <c r="O118" s="2" t="s">
        <v>164</v>
      </c>
      <c r="P118" s="2" t="s">
        <v>216</v>
      </c>
      <c r="Q118" s="2" t="s">
        <v>217</v>
      </c>
      <c r="R118" s="2" t="s">
        <v>452</v>
      </c>
      <c r="S118" s="2" t="s">
        <v>35</v>
      </c>
      <c r="T118" s="150">
        <v>5.3860000000000001</v>
      </c>
      <c r="U118" s="2" t="s">
        <v>2378</v>
      </c>
      <c r="V118" s="162">
        <v>1E-3</v>
      </c>
      <c r="W118" s="164">
        <v>2.564E-2</v>
      </c>
      <c r="X118" s="4" t="s">
        <v>458</v>
      </c>
      <c r="Y118" s="4" t="s">
        <v>164</v>
      </c>
      <c r="Z118" s="150">
        <v>34000</v>
      </c>
      <c r="AA118" s="150">
        <v>1</v>
      </c>
      <c r="AB118" s="150">
        <v>97.13</v>
      </c>
      <c r="AD118" s="150">
        <v>33.024000000000001</v>
      </c>
      <c r="AG118" s="2" t="s">
        <v>37</v>
      </c>
      <c r="AH118" s="164">
        <v>1.4E-5</v>
      </c>
      <c r="AI118" s="164">
        <v>1.83616256285003E-2</v>
      </c>
      <c r="AJ118" s="164">
        <v>1.0614172894768E-3</v>
      </c>
    </row>
    <row r="119" spans="1:36">
      <c r="A119" s="2" t="s">
        <v>112</v>
      </c>
      <c r="B119" s="2">
        <v>12905</v>
      </c>
      <c r="C119" s="2" t="s">
        <v>2144</v>
      </c>
      <c r="D119" s="2" t="s">
        <v>2145</v>
      </c>
      <c r="E119" s="4" t="s">
        <v>1376</v>
      </c>
      <c r="F119" s="2" t="s">
        <v>2379</v>
      </c>
      <c r="G119" s="2" t="s">
        <v>2380</v>
      </c>
      <c r="H119" s="2" t="s">
        <v>367</v>
      </c>
      <c r="I119" s="2" t="s">
        <v>219</v>
      </c>
      <c r="J119" s="2" t="s">
        <v>31</v>
      </c>
      <c r="K119" s="2" t="s">
        <v>31</v>
      </c>
      <c r="L119" s="2" t="s">
        <v>373</v>
      </c>
      <c r="M119" s="2" t="s">
        <v>32</v>
      </c>
      <c r="N119" s="2" t="s">
        <v>507</v>
      </c>
      <c r="O119" s="2" t="s">
        <v>164</v>
      </c>
      <c r="P119" s="2" t="s">
        <v>2381</v>
      </c>
      <c r="Q119" s="2" t="s">
        <v>98</v>
      </c>
      <c r="R119" s="2" t="s">
        <v>452</v>
      </c>
      <c r="S119" s="2" t="s">
        <v>35</v>
      </c>
      <c r="T119" s="150">
        <v>6.0549999999999997</v>
      </c>
      <c r="U119" s="2" t="s">
        <v>2320</v>
      </c>
      <c r="V119" s="162">
        <v>3.5000000000000001E-3</v>
      </c>
      <c r="W119" s="164">
        <v>3.6319999999999998E-2</v>
      </c>
      <c r="X119" s="4" t="s">
        <v>458</v>
      </c>
      <c r="Y119" s="4" t="s">
        <v>164</v>
      </c>
      <c r="Z119" s="150">
        <v>30000</v>
      </c>
      <c r="AA119" s="150">
        <v>1</v>
      </c>
      <c r="AB119" s="150">
        <v>90.9</v>
      </c>
      <c r="AD119" s="150">
        <v>27.27</v>
      </c>
      <c r="AG119" s="2" t="s">
        <v>37</v>
      </c>
      <c r="AH119" s="164">
        <v>9.0000000000000002E-6</v>
      </c>
      <c r="AI119" s="164">
        <v>1.5162260732711199E-2</v>
      </c>
      <c r="AJ119" s="164">
        <v>8.7647390350204597E-4</v>
      </c>
    </row>
    <row r="120" spans="1:36">
      <c r="A120" s="2" t="s">
        <v>112</v>
      </c>
      <c r="B120" s="2">
        <v>12905</v>
      </c>
      <c r="C120" s="2" t="s">
        <v>2382</v>
      </c>
      <c r="D120" s="2" t="s">
        <v>2383</v>
      </c>
      <c r="E120" s="4" t="s">
        <v>1376</v>
      </c>
      <c r="F120" s="2" t="s">
        <v>2384</v>
      </c>
      <c r="G120" s="2" t="s">
        <v>2385</v>
      </c>
      <c r="H120" s="2" t="s">
        <v>367</v>
      </c>
      <c r="I120" s="2" t="s">
        <v>1010</v>
      </c>
      <c r="J120" s="2" t="s">
        <v>31</v>
      </c>
      <c r="K120" s="2" t="s">
        <v>31</v>
      </c>
      <c r="L120" s="2" t="s">
        <v>373</v>
      </c>
      <c r="M120" s="2" t="s">
        <v>118</v>
      </c>
      <c r="N120" s="2" t="s">
        <v>488</v>
      </c>
      <c r="O120" s="2" t="s">
        <v>164</v>
      </c>
      <c r="P120" s="2" t="s">
        <v>1380</v>
      </c>
      <c r="Q120" s="2" t="s">
        <v>98</v>
      </c>
      <c r="R120" s="2" t="s">
        <v>452</v>
      </c>
      <c r="S120" s="2" t="s">
        <v>35</v>
      </c>
      <c r="T120" s="150">
        <v>6.7270000000000003</v>
      </c>
      <c r="U120" s="2" t="s">
        <v>2386</v>
      </c>
      <c r="V120" s="162">
        <v>6.0699999999999997E-2</v>
      </c>
      <c r="W120" s="164">
        <v>6.4210000000000003E-2</v>
      </c>
      <c r="X120" s="4" t="s">
        <v>458</v>
      </c>
      <c r="Y120" s="4" t="s">
        <v>164</v>
      </c>
      <c r="Z120" s="150">
        <v>60728</v>
      </c>
      <c r="AA120" s="150">
        <v>1</v>
      </c>
      <c r="AB120" s="150">
        <v>98.77</v>
      </c>
      <c r="AD120" s="150">
        <v>59.981000000000002</v>
      </c>
      <c r="AG120" s="2" t="s">
        <v>37</v>
      </c>
      <c r="AH120" s="164">
        <v>2.8899999999999998E-4</v>
      </c>
      <c r="AI120" s="164">
        <v>3.3349770898710697E-2</v>
      </c>
      <c r="AJ120" s="164">
        <v>1.92782622563866E-3</v>
      </c>
    </row>
    <row r="121" spans="1:36">
      <c r="A121" s="2" t="s">
        <v>112</v>
      </c>
      <c r="B121" s="2">
        <v>12905</v>
      </c>
      <c r="C121" s="2" t="s">
        <v>1948</v>
      </c>
      <c r="D121" s="2" t="s">
        <v>1949</v>
      </c>
      <c r="E121" s="4" t="s">
        <v>1376</v>
      </c>
      <c r="F121" s="2" t="s">
        <v>2387</v>
      </c>
      <c r="G121" s="2" t="s">
        <v>2388</v>
      </c>
      <c r="H121" s="2" t="s">
        <v>367</v>
      </c>
      <c r="I121" s="2" t="s">
        <v>1010</v>
      </c>
      <c r="J121" s="2" t="s">
        <v>31</v>
      </c>
      <c r="K121" s="2" t="s">
        <v>31</v>
      </c>
      <c r="L121" s="2" t="s">
        <v>373</v>
      </c>
      <c r="M121" s="2" t="s">
        <v>32</v>
      </c>
      <c r="N121" s="2" t="s">
        <v>507</v>
      </c>
      <c r="O121" s="2" t="s">
        <v>164</v>
      </c>
      <c r="P121" s="2" t="s">
        <v>2217</v>
      </c>
      <c r="Q121" s="2" t="s">
        <v>98</v>
      </c>
      <c r="R121" s="2" t="s">
        <v>452</v>
      </c>
      <c r="S121" s="2" t="s">
        <v>35</v>
      </c>
      <c r="T121" s="150">
        <v>5.5549999999999997</v>
      </c>
      <c r="U121" s="2" t="s">
        <v>2389</v>
      </c>
      <c r="V121" s="162">
        <v>5.4800000000000001E-2</v>
      </c>
      <c r="W121" s="164">
        <v>6.3250000000000001E-2</v>
      </c>
      <c r="X121" s="4" t="s">
        <v>458</v>
      </c>
      <c r="Y121" s="4" t="s">
        <v>164</v>
      </c>
      <c r="Z121" s="150">
        <v>38000</v>
      </c>
      <c r="AA121" s="150">
        <v>1</v>
      </c>
      <c r="AB121" s="150">
        <v>95.98</v>
      </c>
      <c r="AD121" s="150">
        <v>36.472000000000001</v>
      </c>
      <c r="AG121" s="2" t="s">
        <v>37</v>
      </c>
      <c r="AH121" s="164">
        <v>1.27E-4</v>
      </c>
      <c r="AI121" s="164">
        <v>2.0278842623679402E-2</v>
      </c>
      <c r="AJ121" s="164">
        <v>1.1722444737106001E-3</v>
      </c>
    </row>
    <row r="122" spans="1:36">
      <c r="A122" s="2" t="s">
        <v>112</v>
      </c>
      <c r="B122" s="2">
        <v>12905</v>
      </c>
      <c r="C122" s="2" t="s">
        <v>2390</v>
      </c>
      <c r="D122" s="2" t="s">
        <v>2391</v>
      </c>
      <c r="E122" s="4" t="s">
        <v>1376</v>
      </c>
      <c r="F122" s="2" t="s">
        <v>2392</v>
      </c>
      <c r="G122" s="2" t="s">
        <v>2393</v>
      </c>
      <c r="H122" s="2" t="s">
        <v>367</v>
      </c>
      <c r="I122" s="2" t="s">
        <v>219</v>
      </c>
      <c r="J122" s="2" t="s">
        <v>31</v>
      </c>
      <c r="K122" s="2" t="s">
        <v>31</v>
      </c>
      <c r="L122" s="2" t="s">
        <v>373</v>
      </c>
      <c r="M122" s="2" t="s">
        <v>32</v>
      </c>
      <c r="N122" s="2" t="s">
        <v>507</v>
      </c>
      <c r="O122" s="2" t="s">
        <v>164</v>
      </c>
      <c r="P122" s="2" t="s">
        <v>2228</v>
      </c>
      <c r="Q122" s="2" t="s">
        <v>217</v>
      </c>
      <c r="R122" s="2" t="s">
        <v>452</v>
      </c>
      <c r="S122" s="2" t="s">
        <v>35</v>
      </c>
      <c r="T122" s="150">
        <v>2.4910000000000001</v>
      </c>
      <c r="U122" s="2" t="s">
        <v>2394</v>
      </c>
      <c r="V122" s="162">
        <v>3.0000000000000001E-3</v>
      </c>
      <c r="W122" s="164">
        <v>3.322E-2</v>
      </c>
      <c r="X122" s="4" t="s">
        <v>458</v>
      </c>
      <c r="Y122" s="4" t="s">
        <v>164</v>
      </c>
      <c r="Z122" s="150">
        <v>36000</v>
      </c>
      <c r="AA122" s="150">
        <v>1</v>
      </c>
      <c r="AB122" s="150">
        <v>94.71</v>
      </c>
      <c r="AD122" s="150">
        <v>34.095999999999997</v>
      </c>
      <c r="AG122" s="2" t="s">
        <v>37</v>
      </c>
      <c r="AH122" s="164">
        <v>1.1900000000000001E-4</v>
      </c>
      <c r="AI122" s="164">
        <v>1.8957329557690802E-2</v>
      </c>
      <c r="AJ122" s="164">
        <v>1.09585271816078E-3</v>
      </c>
    </row>
    <row r="123" spans="1:36">
      <c r="A123" s="2" t="s">
        <v>112</v>
      </c>
      <c r="B123" s="2">
        <v>12905</v>
      </c>
      <c r="C123" s="2" t="s">
        <v>2395</v>
      </c>
      <c r="D123" s="2" t="s">
        <v>2396</v>
      </c>
      <c r="E123" s="4" t="s">
        <v>1376</v>
      </c>
      <c r="F123" s="2" t="s">
        <v>2505</v>
      </c>
      <c r="G123" s="2" t="s">
        <v>2506</v>
      </c>
      <c r="H123" s="2" t="s">
        <v>367</v>
      </c>
      <c r="I123" s="2" t="s">
        <v>219</v>
      </c>
      <c r="J123" s="2" t="s">
        <v>31</v>
      </c>
      <c r="K123" s="2" t="s">
        <v>31</v>
      </c>
      <c r="L123" s="2" t="s">
        <v>373</v>
      </c>
      <c r="M123" s="2" t="s">
        <v>32</v>
      </c>
      <c r="N123" s="2" t="s">
        <v>491</v>
      </c>
      <c r="O123" s="2" t="s">
        <v>164</v>
      </c>
      <c r="P123" s="2" t="s">
        <v>97</v>
      </c>
      <c r="Q123" s="2" t="s">
        <v>98</v>
      </c>
      <c r="R123" s="2" t="s">
        <v>452</v>
      </c>
      <c r="S123" s="2" t="s">
        <v>35</v>
      </c>
      <c r="T123" s="150">
        <v>3.1680000000000001</v>
      </c>
      <c r="U123" s="2" t="s">
        <v>2507</v>
      </c>
      <c r="V123" s="162">
        <v>1.2200000000000001E-2</v>
      </c>
      <c r="W123" s="164">
        <v>2.3429999999999999E-2</v>
      </c>
      <c r="X123" s="4" t="s">
        <v>458</v>
      </c>
      <c r="Y123" s="4" t="s">
        <v>164</v>
      </c>
      <c r="Z123" s="150">
        <v>18046</v>
      </c>
      <c r="AA123" s="150">
        <v>1</v>
      </c>
      <c r="AB123" s="150">
        <v>111.52</v>
      </c>
      <c r="AD123" s="150">
        <v>20.125</v>
      </c>
      <c r="AG123" s="2" t="s">
        <v>37</v>
      </c>
      <c r="AH123" s="164">
        <v>6.0000000000000002E-6</v>
      </c>
      <c r="AI123" s="164">
        <v>1.1189547814078901E-2</v>
      </c>
      <c r="AJ123" s="164">
        <v>6.4682614445945002E-4</v>
      </c>
    </row>
    <row r="124" spans="1:36">
      <c r="A124" s="2" t="s">
        <v>112</v>
      </c>
      <c r="B124" s="2">
        <v>12905</v>
      </c>
      <c r="C124" s="2" t="s">
        <v>2395</v>
      </c>
      <c r="D124" s="2" t="s">
        <v>2396</v>
      </c>
      <c r="E124" s="4" t="s">
        <v>1376</v>
      </c>
      <c r="F124" s="2" t="s">
        <v>2397</v>
      </c>
      <c r="G124" s="2" t="s">
        <v>2398</v>
      </c>
      <c r="H124" s="2" t="s">
        <v>367</v>
      </c>
      <c r="I124" s="2" t="s">
        <v>219</v>
      </c>
      <c r="J124" s="2" t="s">
        <v>31</v>
      </c>
      <c r="K124" s="2" t="s">
        <v>31</v>
      </c>
      <c r="L124" s="2" t="s">
        <v>373</v>
      </c>
      <c r="M124" s="2" t="s">
        <v>32</v>
      </c>
      <c r="N124" s="2" t="s">
        <v>491</v>
      </c>
      <c r="O124" s="2" t="s">
        <v>164</v>
      </c>
      <c r="P124" s="2" t="s">
        <v>1387</v>
      </c>
      <c r="Q124" s="2" t="s">
        <v>217</v>
      </c>
      <c r="R124" s="2" t="s">
        <v>452</v>
      </c>
      <c r="S124" s="2" t="s">
        <v>35</v>
      </c>
      <c r="T124" s="150">
        <v>4.6680000000000001</v>
      </c>
      <c r="U124" s="2" t="s">
        <v>2399</v>
      </c>
      <c r="V124" s="162">
        <v>3.3599999999999998E-2</v>
      </c>
      <c r="W124" s="164">
        <v>3.4770000000000002E-2</v>
      </c>
      <c r="X124" s="4" t="s">
        <v>458</v>
      </c>
      <c r="Y124" s="4" t="s">
        <v>164</v>
      </c>
      <c r="Z124" s="150">
        <v>50000</v>
      </c>
      <c r="AA124" s="150">
        <v>1</v>
      </c>
      <c r="AB124" s="150">
        <v>101.42</v>
      </c>
      <c r="AD124" s="150">
        <v>50.71</v>
      </c>
      <c r="AG124" s="2" t="s">
        <v>37</v>
      </c>
      <c r="AH124" s="164">
        <v>4.3000000000000002E-5</v>
      </c>
      <c r="AI124" s="164">
        <v>2.8195021699882201E-2</v>
      </c>
      <c r="AJ124" s="164">
        <v>1.6298493453094499E-3</v>
      </c>
    </row>
    <row r="125" spans="1:36">
      <c r="A125" s="2" t="s">
        <v>112</v>
      </c>
      <c r="B125" s="2">
        <v>12905</v>
      </c>
      <c r="C125" s="2" t="s">
        <v>2395</v>
      </c>
      <c r="D125" s="2" t="s">
        <v>2396</v>
      </c>
      <c r="E125" s="4" t="s">
        <v>1376</v>
      </c>
      <c r="F125" s="2" t="s">
        <v>2403</v>
      </c>
      <c r="G125" s="2" t="s">
        <v>2404</v>
      </c>
      <c r="H125" s="2" t="s">
        <v>367</v>
      </c>
      <c r="I125" s="2" t="s">
        <v>219</v>
      </c>
      <c r="J125" s="2" t="s">
        <v>31</v>
      </c>
      <c r="K125" s="2" t="s">
        <v>31</v>
      </c>
      <c r="L125" s="2" t="s">
        <v>373</v>
      </c>
      <c r="M125" s="2" t="s">
        <v>32</v>
      </c>
      <c r="N125" s="2" t="s">
        <v>491</v>
      </c>
      <c r="O125" s="2" t="s">
        <v>164</v>
      </c>
      <c r="P125" s="2" t="s">
        <v>97</v>
      </c>
      <c r="Q125" s="2" t="s">
        <v>98</v>
      </c>
      <c r="R125" s="2" t="s">
        <v>452</v>
      </c>
      <c r="S125" s="2" t="s">
        <v>35</v>
      </c>
      <c r="T125" s="150">
        <v>5.6340000000000003</v>
      </c>
      <c r="U125" s="2" t="s">
        <v>2405</v>
      </c>
      <c r="V125" s="162">
        <v>2.2013000000000001E-2</v>
      </c>
      <c r="W125" s="164">
        <v>2.7099999999999999E-2</v>
      </c>
      <c r="X125" s="4" t="s">
        <v>458</v>
      </c>
      <c r="Y125" s="4" t="s">
        <v>164</v>
      </c>
      <c r="Z125" s="150">
        <v>6987</v>
      </c>
      <c r="AA125" s="150">
        <v>1</v>
      </c>
      <c r="AB125" s="150">
        <v>113.5</v>
      </c>
      <c r="AD125" s="150">
        <v>7.93</v>
      </c>
      <c r="AG125" s="2" t="s">
        <v>37</v>
      </c>
      <c r="AH125" s="164">
        <v>1.0000000000000001E-5</v>
      </c>
      <c r="AI125" s="164">
        <v>4.40925714573816E-3</v>
      </c>
      <c r="AJ125" s="164">
        <v>2.5488275727457199E-4</v>
      </c>
    </row>
    <row r="126" spans="1:36">
      <c r="A126" s="2" t="s">
        <v>112</v>
      </c>
      <c r="B126" s="2">
        <v>12905</v>
      </c>
      <c r="C126" s="2" t="s">
        <v>1960</v>
      </c>
      <c r="D126" s="2" t="s">
        <v>1961</v>
      </c>
      <c r="E126" s="4" t="s">
        <v>1376</v>
      </c>
      <c r="F126" s="2" t="s">
        <v>2406</v>
      </c>
      <c r="G126" s="2" t="s">
        <v>2407</v>
      </c>
      <c r="H126" s="2" t="s">
        <v>367</v>
      </c>
      <c r="I126" s="2" t="s">
        <v>219</v>
      </c>
      <c r="J126" s="2" t="s">
        <v>31</v>
      </c>
      <c r="K126" s="2" t="s">
        <v>31</v>
      </c>
      <c r="L126" s="2" t="s">
        <v>373</v>
      </c>
      <c r="M126" s="2" t="s">
        <v>32</v>
      </c>
      <c r="N126" s="2" t="s">
        <v>507</v>
      </c>
      <c r="O126" s="2" t="s">
        <v>164</v>
      </c>
      <c r="P126" s="2" t="s">
        <v>2247</v>
      </c>
      <c r="Q126" s="2" t="s">
        <v>217</v>
      </c>
      <c r="R126" s="2" t="s">
        <v>452</v>
      </c>
      <c r="S126" s="2" t="s">
        <v>35</v>
      </c>
      <c r="T126" s="150">
        <v>6.2919999999999998</v>
      </c>
      <c r="U126" s="2" t="s">
        <v>2408</v>
      </c>
      <c r="V126" s="162">
        <v>3.61E-2</v>
      </c>
      <c r="W126" s="164">
        <v>3.6889999999999999E-2</v>
      </c>
      <c r="X126" s="4" t="s">
        <v>458</v>
      </c>
      <c r="Y126" s="4" t="s">
        <v>164</v>
      </c>
      <c r="Z126" s="150">
        <v>29696.97</v>
      </c>
      <c r="AA126" s="150">
        <v>1</v>
      </c>
      <c r="AB126" s="150">
        <v>103.82</v>
      </c>
      <c r="AC126" s="150">
        <v>0.88</v>
      </c>
      <c r="AD126" s="150">
        <v>31.710999999999999</v>
      </c>
      <c r="AG126" s="2" t="s">
        <v>37</v>
      </c>
      <c r="AH126" s="164">
        <v>2.8E-5</v>
      </c>
      <c r="AI126" s="164">
        <v>1.7631621017984801E-2</v>
      </c>
      <c r="AJ126" s="164">
        <v>1.0192184378785901E-3</v>
      </c>
    </row>
    <row r="127" spans="1:36">
      <c r="A127" s="2" t="s">
        <v>112</v>
      </c>
      <c r="B127" s="2">
        <v>12905</v>
      </c>
      <c r="C127" s="2" t="s">
        <v>1960</v>
      </c>
      <c r="D127" s="2" t="s">
        <v>1961</v>
      </c>
      <c r="E127" s="4" t="s">
        <v>1376</v>
      </c>
      <c r="F127" s="2" t="s">
        <v>2508</v>
      </c>
      <c r="G127" s="2" t="s">
        <v>2509</v>
      </c>
      <c r="H127" s="2" t="s">
        <v>367</v>
      </c>
      <c r="I127" s="2" t="s">
        <v>219</v>
      </c>
      <c r="J127" s="2" t="s">
        <v>31</v>
      </c>
      <c r="K127" s="2" t="s">
        <v>31</v>
      </c>
      <c r="L127" s="2" t="s">
        <v>373</v>
      </c>
      <c r="M127" s="2" t="s">
        <v>32</v>
      </c>
      <c r="N127" s="2" t="s">
        <v>507</v>
      </c>
      <c r="O127" s="2" t="s">
        <v>164</v>
      </c>
      <c r="P127" s="2" t="s">
        <v>2247</v>
      </c>
      <c r="Q127" s="2" t="s">
        <v>217</v>
      </c>
      <c r="R127" s="2" t="s">
        <v>452</v>
      </c>
      <c r="S127" s="2" t="s">
        <v>35</v>
      </c>
      <c r="T127" s="150">
        <v>1.0069999999999999</v>
      </c>
      <c r="U127" s="2" t="s">
        <v>2510</v>
      </c>
      <c r="V127" s="162">
        <v>2.3E-2</v>
      </c>
      <c r="W127" s="164">
        <v>2.742E-2</v>
      </c>
      <c r="X127" s="4" t="s">
        <v>458</v>
      </c>
      <c r="Y127" s="4" t="s">
        <v>164</v>
      </c>
      <c r="Z127" s="150">
        <v>10885.95</v>
      </c>
      <c r="AA127" s="150">
        <v>1</v>
      </c>
      <c r="AB127" s="150">
        <v>114.76</v>
      </c>
      <c r="AC127" s="150">
        <v>0.29899999999999999</v>
      </c>
      <c r="AD127" s="150">
        <v>12.792</v>
      </c>
      <c r="AG127" s="2" t="s">
        <v>37</v>
      </c>
      <c r="AH127" s="164">
        <v>1.2999999999999999E-5</v>
      </c>
      <c r="AI127" s="164">
        <v>7.1124548345342003E-3</v>
      </c>
      <c r="AJ127" s="164">
        <v>4.11144562291898E-4</v>
      </c>
    </row>
    <row r="128" spans="1:36">
      <c r="A128" s="2" t="s">
        <v>112</v>
      </c>
      <c r="B128" s="2">
        <v>12905</v>
      </c>
      <c r="C128" s="2" t="s">
        <v>1968</v>
      </c>
      <c r="D128" s="2" t="s">
        <v>1518</v>
      </c>
      <c r="E128" s="4" t="s">
        <v>1376</v>
      </c>
      <c r="F128" s="2" t="s">
        <v>2409</v>
      </c>
      <c r="G128" s="2" t="s">
        <v>2410</v>
      </c>
      <c r="H128" s="2" t="s">
        <v>367</v>
      </c>
      <c r="I128" s="2" t="s">
        <v>1010</v>
      </c>
      <c r="J128" s="2" t="s">
        <v>31</v>
      </c>
      <c r="K128" s="2" t="s">
        <v>31</v>
      </c>
      <c r="L128" s="2" t="s">
        <v>373</v>
      </c>
      <c r="M128" s="2" t="s">
        <v>32</v>
      </c>
      <c r="N128" s="2" t="s">
        <v>486</v>
      </c>
      <c r="O128" s="2" t="s">
        <v>164</v>
      </c>
      <c r="P128" s="2" t="s">
        <v>2287</v>
      </c>
      <c r="Q128" s="2" t="s">
        <v>98</v>
      </c>
      <c r="R128" s="2" t="s">
        <v>452</v>
      </c>
      <c r="S128" s="2" t="s">
        <v>35</v>
      </c>
      <c r="T128" s="150">
        <v>1.1870000000000001</v>
      </c>
      <c r="U128" s="2" t="s">
        <v>2411</v>
      </c>
      <c r="V128" s="162">
        <v>0.114</v>
      </c>
      <c r="W128" s="164">
        <v>6.7919999999999994E-2</v>
      </c>
      <c r="X128" s="4" t="s">
        <v>458</v>
      </c>
      <c r="Y128" s="4" t="s">
        <v>164</v>
      </c>
      <c r="Z128" s="150">
        <v>25893</v>
      </c>
      <c r="AA128" s="150">
        <v>1</v>
      </c>
      <c r="AB128" s="150">
        <v>101.87</v>
      </c>
      <c r="AD128" s="150">
        <v>26.376999999999999</v>
      </c>
      <c r="AG128" s="2" t="s">
        <v>37</v>
      </c>
      <c r="AH128" s="164">
        <v>7.2000000000000002E-5</v>
      </c>
      <c r="AI128" s="164">
        <v>1.46658588248198E-2</v>
      </c>
      <c r="AJ128" s="164">
        <v>8.4777875535855E-4</v>
      </c>
    </row>
    <row r="129" spans="1:36">
      <c r="A129" s="2" t="s">
        <v>112</v>
      </c>
      <c r="B129" s="2">
        <v>12905</v>
      </c>
      <c r="C129" s="2" t="s">
        <v>1968</v>
      </c>
      <c r="D129" s="2" t="s">
        <v>1518</v>
      </c>
      <c r="E129" s="4" t="s">
        <v>1376</v>
      </c>
      <c r="F129" s="2" t="s">
        <v>2412</v>
      </c>
      <c r="G129" s="2" t="s">
        <v>2413</v>
      </c>
      <c r="H129" s="2" t="s">
        <v>367</v>
      </c>
      <c r="I129" s="2" t="s">
        <v>1010</v>
      </c>
      <c r="J129" s="2" t="s">
        <v>31</v>
      </c>
      <c r="K129" s="2" t="s">
        <v>31</v>
      </c>
      <c r="L129" s="2" t="s">
        <v>373</v>
      </c>
      <c r="M129" s="2" t="s">
        <v>32</v>
      </c>
      <c r="N129" s="2" t="s">
        <v>522</v>
      </c>
      <c r="O129" s="2" t="s">
        <v>164</v>
      </c>
      <c r="P129" s="2" t="s">
        <v>2287</v>
      </c>
      <c r="Q129" s="2" t="s">
        <v>98</v>
      </c>
      <c r="R129" s="2" t="s">
        <v>452</v>
      </c>
      <c r="S129" s="2" t="s">
        <v>35</v>
      </c>
      <c r="T129" s="150">
        <v>2.7280000000000002</v>
      </c>
      <c r="U129" s="2" t="s">
        <v>2414</v>
      </c>
      <c r="V129" s="162">
        <v>7.22E-2</v>
      </c>
      <c r="W129" s="164">
        <v>7.1040000000000006E-2</v>
      </c>
      <c r="X129" s="4" t="s">
        <v>458</v>
      </c>
      <c r="Y129" s="4" t="s">
        <v>164</v>
      </c>
      <c r="Z129" s="150">
        <v>29000</v>
      </c>
      <c r="AA129" s="150">
        <v>1</v>
      </c>
      <c r="AB129" s="150">
        <v>103.66</v>
      </c>
      <c r="AD129" s="150">
        <v>30.061</v>
      </c>
      <c r="AG129" s="2" t="s">
        <v>37</v>
      </c>
      <c r="AH129" s="164">
        <v>1.37E-4</v>
      </c>
      <c r="AI129" s="164">
        <v>1.6714293538332401E-2</v>
      </c>
      <c r="AJ129" s="164">
        <v>9.6619114788178996E-4</v>
      </c>
    </row>
    <row r="130" spans="1:36">
      <c r="A130" s="2" t="s">
        <v>112</v>
      </c>
      <c r="B130" s="2">
        <v>12905</v>
      </c>
      <c r="C130" s="2" t="s">
        <v>2415</v>
      </c>
      <c r="D130" s="2" t="s">
        <v>2416</v>
      </c>
      <c r="E130" s="4" t="s">
        <v>1376</v>
      </c>
      <c r="F130" s="2" t="s">
        <v>2417</v>
      </c>
      <c r="G130" s="2" t="s">
        <v>2418</v>
      </c>
      <c r="H130" s="2" t="s">
        <v>367</v>
      </c>
      <c r="I130" s="2" t="s">
        <v>219</v>
      </c>
      <c r="J130" s="2" t="s">
        <v>31</v>
      </c>
      <c r="K130" s="2" t="s">
        <v>31</v>
      </c>
      <c r="L130" s="2" t="s">
        <v>373</v>
      </c>
      <c r="M130" s="2" t="s">
        <v>32</v>
      </c>
      <c r="N130" s="2" t="s">
        <v>490</v>
      </c>
      <c r="O130" s="2" t="s">
        <v>164</v>
      </c>
      <c r="P130" s="2" t="s">
        <v>1370</v>
      </c>
      <c r="Q130" s="2" t="s">
        <v>98</v>
      </c>
      <c r="R130" s="2" t="s">
        <v>452</v>
      </c>
      <c r="S130" s="2" t="s">
        <v>35</v>
      </c>
      <c r="T130" s="150">
        <v>3.911</v>
      </c>
      <c r="U130" s="2" t="s">
        <v>2419</v>
      </c>
      <c r="V130" s="162">
        <v>2.07E-2</v>
      </c>
      <c r="W130" s="164">
        <v>5.0009999999999999E-2</v>
      </c>
      <c r="X130" s="4" t="s">
        <v>458</v>
      </c>
      <c r="Y130" s="4" t="s">
        <v>164</v>
      </c>
      <c r="Z130" s="150">
        <v>21065.15</v>
      </c>
      <c r="AA130" s="150">
        <v>1</v>
      </c>
      <c r="AB130" s="150">
        <v>98.87</v>
      </c>
      <c r="AD130" s="150">
        <v>20.827000000000002</v>
      </c>
      <c r="AG130" s="2" t="s">
        <v>37</v>
      </c>
      <c r="AH130" s="164">
        <v>4.3999999999999999E-5</v>
      </c>
      <c r="AI130" s="164">
        <v>1.15799827583887E-2</v>
      </c>
      <c r="AJ130" s="164">
        <v>6.6939573653647605E-4</v>
      </c>
    </row>
    <row r="131" spans="1:36">
      <c r="A131" s="2" t="s">
        <v>112</v>
      </c>
      <c r="B131" s="2">
        <v>12905</v>
      </c>
      <c r="C131" s="2" t="s">
        <v>2420</v>
      </c>
      <c r="D131" s="2" t="s">
        <v>2421</v>
      </c>
      <c r="E131" s="4" t="s">
        <v>1376</v>
      </c>
      <c r="F131" s="2" t="s">
        <v>2422</v>
      </c>
      <c r="G131" s="2" t="s">
        <v>2423</v>
      </c>
      <c r="H131" s="2" t="s">
        <v>367</v>
      </c>
      <c r="I131" s="2" t="s">
        <v>219</v>
      </c>
      <c r="J131" s="2" t="s">
        <v>31</v>
      </c>
      <c r="K131" s="2" t="s">
        <v>31</v>
      </c>
      <c r="L131" s="2" t="s">
        <v>373</v>
      </c>
      <c r="M131" s="2" t="s">
        <v>32</v>
      </c>
      <c r="N131" s="2" t="s">
        <v>521</v>
      </c>
      <c r="O131" s="2" t="s">
        <v>164</v>
      </c>
      <c r="P131" s="2" t="s">
        <v>216</v>
      </c>
      <c r="Q131" s="2" t="s">
        <v>217</v>
      </c>
      <c r="R131" s="2" t="s">
        <v>452</v>
      </c>
      <c r="S131" s="2" t="s">
        <v>35</v>
      </c>
      <c r="T131" s="150">
        <v>11.7</v>
      </c>
      <c r="U131" s="2" t="s">
        <v>2424</v>
      </c>
      <c r="V131" s="162">
        <v>2.07E-2</v>
      </c>
      <c r="W131" s="164">
        <v>3.2730000000000002E-2</v>
      </c>
      <c r="X131" s="4" t="s">
        <v>458</v>
      </c>
      <c r="Y131" s="4" t="s">
        <v>164</v>
      </c>
      <c r="Z131" s="150">
        <v>37111.4</v>
      </c>
      <c r="AA131" s="150">
        <v>1</v>
      </c>
      <c r="AB131" s="150">
        <v>97.32</v>
      </c>
      <c r="AD131" s="150">
        <v>36.116999999999997</v>
      </c>
      <c r="AG131" s="2" t="s">
        <v>37</v>
      </c>
      <c r="AH131" s="164">
        <v>7.9999999999999996E-6</v>
      </c>
      <c r="AI131" s="164">
        <v>2.00811352394837E-2</v>
      </c>
      <c r="AJ131" s="164">
        <v>1.16081574511716E-3</v>
      </c>
    </row>
    <row r="132" spans="1:36">
      <c r="A132" s="2" t="s">
        <v>112</v>
      </c>
      <c r="B132" s="2">
        <v>12905</v>
      </c>
      <c r="C132" s="2" t="s">
        <v>2425</v>
      </c>
      <c r="D132" s="2" t="s">
        <v>2426</v>
      </c>
      <c r="E132" s="4" t="s">
        <v>1376</v>
      </c>
      <c r="F132" s="2" t="s">
        <v>2427</v>
      </c>
      <c r="G132" s="2" t="s">
        <v>2428</v>
      </c>
      <c r="H132" s="2" t="s">
        <v>367</v>
      </c>
      <c r="I132" s="2" t="s">
        <v>1010</v>
      </c>
      <c r="J132" s="2" t="s">
        <v>31</v>
      </c>
      <c r="K132" s="2" t="s">
        <v>31</v>
      </c>
      <c r="L132" s="2" t="s">
        <v>373</v>
      </c>
      <c r="M132" s="2" t="s">
        <v>118</v>
      </c>
      <c r="N132" s="2" t="s">
        <v>497</v>
      </c>
      <c r="O132" s="2" t="s">
        <v>164</v>
      </c>
      <c r="P132" s="2" t="s">
        <v>2228</v>
      </c>
      <c r="Q132" s="2" t="s">
        <v>217</v>
      </c>
      <c r="R132" s="2" t="s">
        <v>452</v>
      </c>
      <c r="S132" s="2" t="s">
        <v>35</v>
      </c>
      <c r="T132" s="150">
        <v>3.8690000000000002</v>
      </c>
      <c r="U132" s="2" t="s">
        <v>2429</v>
      </c>
      <c r="V132" s="162">
        <v>6.7000000000000004E-2</v>
      </c>
      <c r="W132" s="164">
        <v>6.6000000000000003E-2</v>
      </c>
      <c r="X132" s="4" t="s">
        <v>458</v>
      </c>
      <c r="Y132" s="4" t="s">
        <v>164</v>
      </c>
      <c r="Z132" s="150">
        <v>26000</v>
      </c>
      <c r="AA132" s="150">
        <v>1</v>
      </c>
      <c r="AB132" s="150">
        <v>102.81</v>
      </c>
      <c r="AD132" s="150">
        <v>26.731000000000002</v>
      </c>
      <c r="AG132" s="2" t="s">
        <v>37</v>
      </c>
      <c r="AH132" s="164">
        <v>2.9E-5</v>
      </c>
      <c r="AI132" s="164">
        <v>1.48623515490213E-2</v>
      </c>
      <c r="AJ132" s="164">
        <v>8.5913726897512998E-4</v>
      </c>
    </row>
    <row r="133" spans="1:36">
      <c r="A133" s="2" t="s">
        <v>112</v>
      </c>
      <c r="B133" s="2">
        <v>12905</v>
      </c>
      <c r="C133" s="2" t="s">
        <v>2430</v>
      </c>
      <c r="D133" s="2" t="s">
        <v>2431</v>
      </c>
      <c r="E133" s="4" t="s">
        <v>1376</v>
      </c>
      <c r="F133" s="2" t="s">
        <v>2432</v>
      </c>
      <c r="G133" s="2" t="s">
        <v>2433</v>
      </c>
      <c r="H133" s="2" t="s">
        <v>367</v>
      </c>
      <c r="I133" s="2" t="s">
        <v>219</v>
      </c>
      <c r="J133" s="2" t="s">
        <v>31</v>
      </c>
      <c r="K133" s="2" t="s">
        <v>31</v>
      </c>
      <c r="L133" s="2" t="s">
        <v>373</v>
      </c>
      <c r="M133" s="2" t="s">
        <v>32</v>
      </c>
      <c r="N133" s="2" t="s">
        <v>484</v>
      </c>
      <c r="O133" s="2" t="s">
        <v>164</v>
      </c>
      <c r="P133" s="2" t="s">
        <v>1523</v>
      </c>
      <c r="Q133" s="2" t="s">
        <v>1523</v>
      </c>
      <c r="R133" s="2" t="s">
        <v>1523</v>
      </c>
      <c r="S133" s="2" t="s">
        <v>35</v>
      </c>
      <c r="T133" s="150">
        <v>2.7309999999999999</v>
      </c>
      <c r="U133" s="2" t="s">
        <v>1371</v>
      </c>
      <c r="V133" s="162">
        <v>1.4800000000000001E-2</v>
      </c>
      <c r="W133" s="164">
        <v>4.2779999999999999E-2</v>
      </c>
      <c r="X133" s="4" t="s">
        <v>458</v>
      </c>
      <c r="Y133" s="4" t="s">
        <v>164</v>
      </c>
      <c r="Z133" s="150">
        <v>8580</v>
      </c>
      <c r="AA133" s="150">
        <v>1</v>
      </c>
      <c r="AB133" s="150">
        <v>103.41</v>
      </c>
      <c r="AD133" s="150">
        <v>8.8729999999999993</v>
      </c>
      <c r="AG133" s="2" t="s">
        <v>37</v>
      </c>
      <c r="AH133" s="164">
        <v>1.1E-5</v>
      </c>
      <c r="AI133" s="164">
        <v>4.9331991568506602E-3</v>
      </c>
      <c r="AJ133" s="164">
        <v>2.8516989636180303E-4</v>
      </c>
    </row>
    <row r="134" spans="1:36">
      <c r="A134" s="2" t="s">
        <v>112</v>
      </c>
      <c r="B134" s="2">
        <v>12905</v>
      </c>
      <c r="C134" s="2" t="s">
        <v>2430</v>
      </c>
      <c r="D134" s="2" t="s">
        <v>2431</v>
      </c>
      <c r="E134" s="4" t="s">
        <v>1376</v>
      </c>
      <c r="F134" s="2" t="s">
        <v>2434</v>
      </c>
      <c r="G134" s="2" t="s">
        <v>2435</v>
      </c>
      <c r="H134" s="2" t="s">
        <v>367</v>
      </c>
      <c r="I134" s="2" t="s">
        <v>1010</v>
      </c>
      <c r="J134" s="2" t="s">
        <v>31</v>
      </c>
      <c r="K134" s="2" t="s">
        <v>31</v>
      </c>
      <c r="L134" s="2" t="s">
        <v>373</v>
      </c>
      <c r="M134" s="2" t="s">
        <v>32</v>
      </c>
      <c r="N134" s="2" t="s">
        <v>484</v>
      </c>
      <c r="O134" s="2" t="s">
        <v>164</v>
      </c>
      <c r="P134" s="2" t="s">
        <v>1523</v>
      </c>
      <c r="Q134" s="2" t="s">
        <v>1523</v>
      </c>
      <c r="R134" s="2" t="s">
        <v>1523</v>
      </c>
      <c r="S134" s="2" t="s">
        <v>35</v>
      </c>
      <c r="T134" s="150">
        <v>3.85</v>
      </c>
      <c r="U134" s="2" t="s">
        <v>2436</v>
      </c>
      <c r="V134" s="162">
        <v>6.9500000000000006E-2</v>
      </c>
      <c r="W134" s="164">
        <v>6.7629999999999996E-2</v>
      </c>
      <c r="X134" s="4" t="s">
        <v>458</v>
      </c>
      <c r="Y134" s="4" t="s">
        <v>164</v>
      </c>
      <c r="Z134" s="150">
        <v>38000</v>
      </c>
      <c r="AA134" s="150">
        <v>1</v>
      </c>
      <c r="AB134" s="150">
        <v>101.13</v>
      </c>
      <c r="AD134" s="150">
        <v>38.429000000000002</v>
      </c>
      <c r="AG134" s="2" t="s">
        <v>37</v>
      </c>
      <c r="AH134" s="164">
        <v>6.7999999999999999E-5</v>
      </c>
      <c r="AI134" s="164">
        <v>2.13669447231996E-2</v>
      </c>
      <c r="AJ134" s="164">
        <v>1.23514360935979E-3</v>
      </c>
    </row>
    <row r="135" spans="1:36">
      <c r="A135" s="2" t="s">
        <v>112</v>
      </c>
      <c r="B135" s="2">
        <v>12905</v>
      </c>
      <c r="C135" s="2" t="s">
        <v>2437</v>
      </c>
      <c r="D135" s="2" t="s">
        <v>2438</v>
      </c>
      <c r="E135" s="4" t="s">
        <v>360</v>
      </c>
      <c r="F135" s="2" t="s">
        <v>2439</v>
      </c>
      <c r="G135" s="2" t="s">
        <v>2440</v>
      </c>
      <c r="H135" s="2" t="s">
        <v>367</v>
      </c>
      <c r="I135" s="2" t="s">
        <v>1010</v>
      </c>
      <c r="J135" s="2" t="s">
        <v>31</v>
      </c>
      <c r="K135" s="2" t="s">
        <v>31</v>
      </c>
      <c r="L135" s="2" t="s">
        <v>373</v>
      </c>
      <c r="M135" s="2" t="s">
        <v>118</v>
      </c>
      <c r="N135" s="2" t="s">
        <v>508</v>
      </c>
      <c r="O135" s="2" t="s">
        <v>164</v>
      </c>
      <c r="P135" s="2" t="s">
        <v>2247</v>
      </c>
      <c r="Q135" s="2" t="s">
        <v>217</v>
      </c>
      <c r="R135" s="2" t="s">
        <v>452</v>
      </c>
      <c r="S135" s="2" t="s">
        <v>35</v>
      </c>
      <c r="T135" s="150">
        <v>4.1710000000000003</v>
      </c>
      <c r="U135" s="2" t="s">
        <v>2441</v>
      </c>
      <c r="V135" s="162">
        <v>6.25E-2</v>
      </c>
      <c r="W135" s="164">
        <v>6.5070000000000003E-2</v>
      </c>
      <c r="X135" s="4" t="s">
        <v>458</v>
      </c>
      <c r="Y135" s="4" t="s">
        <v>164</v>
      </c>
      <c r="Z135" s="150">
        <v>45066</v>
      </c>
      <c r="AA135" s="150">
        <v>1</v>
      </c>
      <c r="AB135" s="150">
        <v>100.1</v>
      </c>
      <c r="AD135" s="150">
        <v>45.110999999999997</v>
      </c>
      <c r="AG135" s="2" t="s">
        <v>37</v>
      </c>
      <c r="AH135" s="164">
        <v>8.2000000000000001E-5</v>
      </c>
      <c r="AI135" s="164">
        <v>2.5081985501376799E-2</v>
      </c>
      <c r="AJ135" s="164">
        <v>1.4498963002625E-3</v>
      </c>
    </row>
    <row r="136" spans="1:36">
      <c r="A136" s="2" t="s">
        <v>112</v>
      </c>
      <c r="B136" s="2">
        <v>12905</v>
      </c>
      <c r="C136" s="2" t="s">
        <v>2442</v>
      </c>
      <c r="D136" s="2" t="s">
        <v>2443</v>
      </c>
      <c r="E136" s="4" t="s">
        <v>359</v>
      </c>
      <c r="F136" s="2" t="s">
        <v>2444</v>
      </c>
      <c r="G136" s="2" t="s">
        <v>2445</v>
      </c>
      <c r="H136" s="2" t="s">
        <v>367</v>
      </c>
      <c r="I136" s="2" t="s">
        <v>1010</v>
      </c>
      <c r="J136" s="2" t="s">
        <v>94</v>
      </c>
      <c r="K136" s="2" t="s">
        <v>95</v>
      </c>
      <c r="L136" s="2" t="s">
        <v>373</v>
      </c>
      <c r="M136" s="2" t="s">
        <v>32</v>
      </c>
      <c r="N136" s="2" t="s">
        <v>508</v>
      </c>
      <c r="O136" s="2" t="s">
        <v>164</v>
      </c>
      <c r="P136" s="2" t="s">
        <v>2247</v>
      </c>
      <c r="Q136" s="2" t="s">
        <v>217</v>
      </c>
      <c r="R136" s="2" t="s">
        <v>452</v>
      </c>
      <c r="S136" s="2" t="s">
        <v>35</v>
      </c>
      <c r="T136" s="150">
        <v>2.3809999999999998</v>
      </c>
      <c r="U136" s="2" t="s">
        <v>1371</v>
      </c>
      <c r="V136" s="162">
        <v>3.49E-2</v>
      </c>
      <c r="W136" s="164">
        <v>6.8019999999999997E-2</v>
      </c>
      <c r="X136" s="4" t="s">
        <v>458</v>
      </c>
      <c r="Y136" s="4" t="s">
        <v>164</v>
      </c>
      <c r="Z136" s="150">
        <v>62037</v>
      </c>
      <c r="AA136" s="150">
        <v>1</v>
      </c>
      <c r="AB136" s="150">
        <v>92.43</v>
      </c>
      <c r="AD136" s="150">
        <v>57.341000000000001</v>
      </c>
      <c r="AG136" s="2" t="s">
        <v>37</v>
      </c>
      <c r="AH136" s="164">
        <v>6.6000000000000005E-5</v>
      </c>
      <c r="AI136" s="164">
        <v>3.1881780219149697E-2</v>
      </c>
      <c r="AJ136" s="164">
        <v>1.8429671440081999E-3</v>
      </c>
    </row>
    <row r="137" spans="1:36">
      <c r="A137" s="2" t="s">
        <v>112</v>
      </c>
      <c r="B137" s="2">
        <v>12905</v>
      </c>
      <c r="C137" s="2" t="s">
        <v>1987</v>
      </c>
      <c r="D137" s="2" t="s">
        <v>1988</v>
      </c>
      <c r="E137" s="4" t="s">
        <v>1376</v>
      </c>
      <c r="F137" s="2" t="s">
        <v>2446</v>
      </c>
      <c r="G137" s="2" t="s">
        <v>2447</v>
      </c>
      <c r="H137" s="2" t="s">
        <v>367</v>
      </c>
      <c r="I137" s="2" t="s">
        <v>1010</v>
      </c>
      <c r="J137" s="2" t="s">
        <v>31</v>
      </c>
      <c r="K137" s="2" t="s">
        <v>31</v>
      </c>
      <c r="L137" s="2" t="s">
        <v>373</v>
      </c>
      <c r="M137" s="2" t="s">
        <v>32</v>
      </c>
      <c r="N137" s="2" t="s">
        <v>528</v>
      </c>
      <c r="O137" s="2" t="s">
        <v>164</v>
      </c>
      <c r="P137" s="2" t="s">
        <v>2258</v>
      </c>
      <c r="Q137" s="2" t="s">
        <v>217</v>
      </c>
      <c r="R137" s="2" t="s">
        <v>452</v>
      </c>
      <c r="S137" s="2" t="s">
        <v>35</v>
      </c>
      <c r="T137" s="150">
        <v>3.49</v>
      </c>
      <c r="U137" s="2" t="s">
        <v>2448</v>
      </c>
      <c r="V137" s="162">
        <v>4.7300000000000002E-2</v>
      </c>
      <c r="W137" s="164">
        <v>5.6939999999999998E-2</v>
      </c>
      <c r="X137" s="4" t="s">
        <v>458</v>
      </c>
      <c r="Y137" s="4" t="s">
        <v>164</v>
      </c>
      <c r="Z137" s="150">
        <v>15000</v>
      </c>
      <c r="AA137" s="150">
        <v>1</v>
      </c>
      <c r="AB137" s="150">
        <v>96.96</v>
      </c>
      <c r="AC137" s="150">
        <v>0.35499999999999998</v>
      </c>
      <c r="AD137" s="150">
        <v>14.898999999999999</v>
      </c>
      <c r="AG137" s="2" t="s">
        <v>37</v>
      </c>
      <c r="AH137" s="164">
        <v>3.8000000000000002E-5</v>
      </c>
      <c r="AI137" s="164">
        <v>8.2837818882097996E-3</v>
      </c>
      <c r="AJ137" s="164">
        <v>4.7885462302167599E-4</v>
      </c>
    </row>
    <row r="138" spans="1:36">
      <c r="A138" s="2" t="s">
        <v>112</v>
      </c>
      <c r="B138" s="2">
        <v>12905</v>
      </c>
      <c r="C138" s="2" t="s">
        <v>1991</v>
      </c>
      <c r="D138" s="2" t="s">
        <v>1992</v>
      </c>
      <c r="E138" s="4" t="s">
        <v>1376</v>
      </c>
      <c r="F138" s="2" t="s">
        <v>2449</v>
      </c>
      <c r="G138" s="2" t="s">
        <v>2450</v>
      </c>
      <c r="H138" s="2" t="s">
        <v>367</v>
      </c>
      <c r="I138" s="2" t="s">
        <v>219</v>
      </c>
      <c r="J138" s="2" t="s">
        <v>31</v>
      </c>
      <c r="K138" s="2" t="s">
        <v>31</v>
      </c>
      <c r="L138" s="2" t="s">
        <v>373</v>
      </c>
      <c r="M138" s="2" t="s">
        <v>32</v>
      </c>
      <c r="N138" s="2" t="s">
        <v>507</v>
      </c>
      <c r="O138" s="2" t="s">
        <v>164</v>
      </c>
      <c r="P138" s="2" t="s">
        <v>2451</v>
      </c>
      <c r="Q138" s="2" t="s">
        <v>98</v>
      </c>
      <c r="R138" s="2" t="s">
        <v>452</v>
      </c>
      <c r="S138" s="2" t="s">
        <v>35</v>
      </c>
      <c r="T138" s="150">
        <v>2.7959999999999998</v>
      </c>
      <c r="U138" s="2" t="s">
        <v>1516</v>
      </c>
      <c r="V138" s="162">
        <v>1.77E-2</v>
      </c>
      <c r="W138" s="164">
        <v>2.615E-2</v>
      </c>
      <c r="X138" s="4" t="s">
        <v>458</v>
      </c>
      <c r="Y138" s="4" t="s">
        <v>164</v>
      </c>
      <c r="Z138" s="150">
        <v>22050.6</v>
      </c>
      <c r="AA138" s="150">
        <v>1</v>
      </c>
      <c r="AB138" s="150">
        <v>110.8</v>
      </c>
      <c r="AD138" s="150">
        <v>24.431999999999999</v>
      </c>
      <c r="AG138" s="2" t="s">
        <v>37</v>
      </c>
      <c r="AH138" s="164">
        <v>7.9999999999999996E-6</v>
      </c>
      <c r="AI138" s="164">
        <v>1.35843541157351E-2</v>
      </c>
      <c r="AJ138" s="164">
        <v>7.8526099031429896E-4</v>
      </c>
    </row>
    <row r="139" spans="1:36">
      <c r="A139" s="2" t="s">
        <v>112</v>
      </c>
      <c r="B139" s="2">
        <v>12905</v>
      </c>
      <c r="C139" s="2" t="s">
        <v>1991</v>
      </c>
      <c r="D139" s="2" t="s">
        <v>1992</v>
      </c>
      <c r="E139" s="4" t="s">
        <v>1376</v>
      </c>
      <c r="F139" s="2" t="s">
        <v>2452</v>
      </c>
      <c r="G139" s="2" t="s">
        <v>2453</v>
      </c>
      <c r="H139" s="2" t="s">
        <v>367</v>
      </c>
      <c r="I139" s="2" t="s">
        <v>219</v>
      </c>
      <c r="J139" s="2" t="s">
        <v>31</v>
      </c>
      <c r="K139" s="2" t="s">
        <v>31</v>
      </c>
      <c r="L139" s="2" t="s">
        <v>373</v>
      </c>
      <c r="M139" s="2" t="s">
        <v>32</v>
      </c>
      <c r="N139" s="2" t="s">
        <v>507</v>
      </c>
      <c r="O139" s="2" t="s">
        <v>164</v>
      </c>
      <c r="P139" s="2" t="s">
        <v>1555</v>
      </c>
      <c r="Q139" s="2" t="s">
        <v>217</v>
      </c>
      <c r="R139" s="2" t="s">
        <v>452</v>
      </c>
      <c r="S139" s="2" t="s">
        <v>35</v>
      </c>
      <c r="T139" s="150">
        <v>10.566000000000001</v>
      </c>
      <c r="U139" s="2" t="s">
        <v>2454</v>
      </c>
      <c r="V139" s="162">
        <v>1.6899999999999998E-2</v>
      </c>
      <c r="W139" s="164">
        <v>3.8179999999999999E-2</v>
      </c>
      <c r="X139" s="4" t="s">
        <v>458</v>
      </c>
      <c r="Y139" s="4" t="s">
        <v>164</v>
      </c>
      <c r="Z139" s="150">
        <v>45215</v>
      </c>
      <c r="AA139" s="150">
        <v>1</v>
      </c>
      <c r="AB139" s="150">
        <v>89.8</v>
      </c>
      <c r="AC139" s="150">
        <v>0.42699999999999999</v>
      </c>
      <c r="AD139" s="150">
        <v>41.03</v>
      </c>
      <c r="AG139" s="2" t="s">
        <v>37</v>
      </c>
      <c r="AH139" s="164">
        <v>1.0000000000000001E-5</v>
      </c>
      <c r="AI139" s="164">
        <v>2.28131308263754E-2</v>
      </c>
      <c r="AJ139" s="164">
        <v>1.31874224952209E-3</v>
      </c>
    </row>
    <row r="140" spans="1:36">
      <c r="A140" s="2" t="s">
        <v>112</v>
      </c>
      <c r="B140" s="2">
        <v>12905</v>
      </c>
      <c r="C140" s="2" t="s">
        <v>1995</v>
      </c>
      <c r="D140" s="2" t="s">
        <v>1996</v>
      </c>
      <c r="E140" s="4" t="s">
        <v>1376</v>
      </c>
      <c r="F140" s="2" t="s">
        <v>2455</v>
      </c>
      <c r="G140" s="2" t="s">
        <v>2456</v>
      </c>
      <c r="H140" s="2" t="s">
        <v>367</v>
      </c>
      <c r="I140" s="2" t="s">
        <v>219</v>
      </c>
      <c r="J140" s="2" t="s">
        <v>31</v>
      </c>
      <c r="K140" s="2" t="s">
        <v>31</v>
      </c>
      <c r="L140" s="2" t="s">
        <v>373</v>
      </c>
      <c r="M140" s="2" t="s">
        <v>32</v>
      </c>
      <c r="N140" s="2" t="s">
        <v>491</v>
      </c>
      <c r="O140" s="2" t="s">
        <v>164</v>
      </c>
      <c r="P140" s="2" t="s">
        <v>1387</v>
      </c>
      <c r="Q140" s="2" t="s">
        <v>217</v>
      </c>
      <c r="R140" s="2" t="s">
        <v>452</v>
      </c>
      <c r="S140" s="2" t="s">
        <v>35</v>
      </c>
      <c r="T140" s="150">
        <v>4.9290000000000003</v>
      </c>
      <c r="U140" s="2" t="s">
        <v>2457</v>
      </c>
      <c r="V140" s="162">
        <v>3.7100000000000001E-2</v>
      </c>
      <c r="W140" s="164">
        <v>3.3709999999999997E-2</v>
      </c>
      <c r="X140" s="4" t="s">
        <v>458</v>
      </c>
      <c r="Y140" s="4" t="s">
        <v>164</v>
      </c>
      <c r="Z140" s="150">
        <v>50000</v>
      </c>
      <c r="AA140" s="150">
        <v>1</v>
      </c>
      <c r="AB140" s="150">
        <v>105.41</v>
      </c>
      <c r="AD140" s="150">
        <v>52.704999999999998</v>
      </c>
      <c r="AG140" s="2" t="s">
        <v>37</v>
      </c>
      <c r="AH140" s="164">
        <v>1.2999999999999999E-4</v>
      </c>
      <c r="AI140" s="164">
        <v>2.9304251995509501E-2</v>
      </c>
      <c r="AJ140" s="164">
        <v>1.69396982339844E-3</v>
      </c>
    </row>
    <row r="141" spans="1:36">
      <c r="A141" s="2" t="s">
        <v>112</v>
      </c>
      <c r="B141" s="2">
        <v>12905</v>
      </c>
      <c r="C141" s="2" t="s">
        <v>2458</v>
      </c>
      <c r="D141" s="2" t="s">
        <v>2459</v>
      </c>
      <c r="E141" s="4" t="s">
        <v>1376</v>
      </c>
      <c r="F141" s="2" t="s">
        <v>2460</v>
      </c>
      <c r="G141" s="2" t="s">
        <v>2461</v>
      </c>
      <c r="H141" s="2" t="s">
        <v>367</v>
      </c>
      <c r="I141" s="2" t="s">
        <v>1010</v>
      </c>
      <c r="J141" s="2" t="s">
        <v>31</v>
      </c>
      <c r="K141" s="2" t="s">
        <v>31</v>
      </c>
      <c r="L141" s="2" t="s">
        <v>373</v>
      </c>
      <c r="M141" s="2" t="s">
        <v>118</v>
      </c>
      <c r="N141" s="2" t="s">
        <v>483</v>
      </c>
      <c r="O141" s="2" t="s">
        <v>164</v>
      </c>
      <c r="P141" s="2" t="s">
        <v>1387</v>
      </c>
      <c r="Q141" s="2" t="s">
        <v>217</v>
      </c>
      <c r="R141" s="2" t="s">
        <v>452</v>
      </c>
      <c r="S141" s="2" t="s">
        <v>35</v>
      </c>
      <c r="T141" s="150">
        <v>6.8010000000000002</v>
      </c>
      <c r="U141" s="2" t="s">
        <v>2462</v>
      </c>
      <c r="V141" s="162">
        <v>5.8599999999999999E-2</v>
      </c>
      <c r="W141" s="164">
        <v>6.148E-2</v>
      </c>
      <c r="X141" s="4" t="s">
        <v>458</v>
      </c>
      <c r="Y141" s="4" t="s">
        <v>164</v>
      </c>
      <c r="Z141" s="150">
        <v>44806</v>
      </c>
      <c r="AA141" s="150">
        <v>1</v>
      </c>
      <c r="AB141" s="150">
        <v>100.02</v>
      </c>
      <c r="AD141" s="150">
        <v>44.814999999999998</v>
      </c>
      <c r="AG141" s="2" t="s">
        <v>37</v>
      </c>
      <c r="AH141" s="164">
        <v>2.2499999999999999E-4</v>
      </c>
      <c r="AI141" s="164">
        <v>2.49173497044641E-2</v>
      </c>
      <c r="AJ141" s="164">
        <v>1.4403793171344601E-3</v>
      </c>
    </row>
    <row r="142" spans="1:36">
      <c r="A142" s="2" t="s">
        <v>112</v>
      </c>
      <c r="B142" s="2">
        <v>12905</v>
      </c>
      <c r="C142" s="2" t="s">
        <v>2463</v>
      </c>
      <c r="D142" s="2" t="s">
        <v>2464</v>
      </c>
      <c r="E142" s="4" t="s">
        <v>1376</v>
      </c>
      <c r="F142" s="2" t="s">
        <v>2465</v>
      </c>
      <c r="G142" s="2" t="s">
        <v>2466</v>
      </c>
      <c r="H142" s="2" t="s">
        <v>367</v>
      </c>
      <c r="I142" s="2" t="s">
        <v>1010</v>
      </c>
      <c r="J142" s="2" t="s">
        <v>31</v>
      </c>
      <c r="K142" s="2" t="s">
        <v>31</v>
      </c>
      <c r="L142" s="2" t="s">
        <v>373</v>
      </c>
      <c r="M142" s="2" t="s">
        <v>32</v>
      </c>
      <c r="N142" s="2" t="s">
        <v>488</v>
      </c>
      <c r="O142" s="2" t="s">
        <v>164</v>
      </c>
      <c r="P142" s="2" t="s">
        <v>1392</v>
      </c>
      <c r="Q142" s="2" t="s">
        <v>217</v>
      </c>
      <c r="R142" s="2" t="s">
        <v>452</v>
      </c>
      <c r="S142" s="2" t="s">
        <v>35</v>
      </c>
      <c r="T142" s="150">
        <v>5.2389999999999999</v>
      </c>
      <c r="U142" s="2" t="s">
        <v>2436</v>
      </c>
      <c r="V142" s="162">
        <v>4.6899999999999997E-2</v>
      </c>
      <c r="W142" s="164">
        <v>5.7200000000000001E-2</v>
      </c>
      <c r="X142" s="4" t="s">
        <v>458</v>
      </c>
      <c r="Y142" s="4" t="s">
        <v>164</v>
      </c>
      <c r="Z142" s="150">
        <v>42000</v>
      </c>
      <c r="AA142" s="150">
        <v>1</v>
      </c>
      <c r="AB142" s="150">
        <v>95.24</v>
      </c>
      <c r="AD142" s="150">
        <v>40.000999999999998</v>
      </c>
      <c r="AG142" s="2" t="s">
        <v>37</v>
      </c>
      <c r="AH142" s="164">
        <v>8.3999999999999995E-5</v>
      </c>
      <c r="AI142" s="164">
        <v>2.2240651232747901E-2</v>
      </c>
      <c r="AJ142" s="164">
        <v>1.2856493333041701E-3</v>
      </c>
    </row>
    <row r="143" spans="1:36">
      <c r="A143" s="2" t="s">
        <v>112</v>
      </c>
      <c r="B143" s="2">
        <v>12905</v>
      </c>
      <c r="C143" s="2" t="s">
        <v>2467</v>
      </c>
      <c r="D143" s="2" t="s">
        <v>2468</v>
      </c>
      <c r="E143" s="4" t="s">
        <v>1376</v>
      </c>
      <c r="F143" s="2" t="s">
        <v>2469</v>
      </c>
      <c r="G143" s="2" t="s">
        <v>2470</v>
      </c>
      <c r="H143" s="2" t="s">
        <v>367</v>
      </c>
      <c r="I143" s="2" t="s">
        <v>1010</v>
      </c>
      <c r="J143" s="2" t="s">
        <v>31</v>
      </c>
      <c r="K143" s="2" t="s">
        <v>31</v>
      </c>
      <c r="L143" s="2" t="s">
        <v>373</v>
      </c>
      <c r="M143" s="2" t="s">
        <v>32</v>
      </c>
      <c r="N143" s="2" t="s">
        <v>508</v>
      </c>
      <c r="O143" s="2" t="s">
        <v>164</v>
      </c>
      <c r="P143" s="2" t="s">
        <v>2217</v>
      </c>
      <c r="Q143" s="2" t="s">
        <v>98</v>
      </c>
      <c r="R143" s="2" t="s">
        <v>452</v>
      </c>
      <c r="S143" s="2" t="s">
        <v>35</v>
      </c>
      <c r="T143" s="150">
        <v>1.8919999999999999</v>
      </c>
      <c r="U143" s="2" t="s">
        <v>2471</v>
      </c>
      <c r="V143" s="162">
        <v>2.6499999999999999E-2</v>
      </c>
      <c r="W143" s="164">
        <v>5.6939999999999998E-2</v>
      </c>
      <c r="X143" s="4" t="s">
        <v>458</v>
      </c>
      <c r="Y143" s="4" t="s">
        <v>164</v>
      </c>
      <c r="Z143" s="150">
        <v>34285.71</v>
      </c>
      <c r="AA143" s="150">
        <v>1</v>
      </c>
      <c r="AB143" s="150">
        <v>95.45</v>
      </c>
      <c r="AD143" s="150">
        <v>32.725999999999999</v>
      </c>
      <c r="AG143" s="2" t="s">
        <v>37</v>
      </c>
      <c r="AH143" s="164">
        <v>5.5999999999999999E-5</v>
      </c>
      <c r="AI143" s="164">
        <v>1.8195663756499302E-2</v>
      </c>
      <c r="AJ143" s="164">
        <v>1.05182365087966E-3</v>
      </c>
    </row>
    <row r="144" spans="1:36">
      <c r="A144" s="2" t="s">
        <v>112</v>
      </c>
      <c r="B144" s="2">
        <v>12905</v>
      </c>
      <c r="C144" s="2" t="s">
        <v>2491</v>
      </c>
      <c r="D144" s="2" t="s">
        <v>2492</v>
      </c>
      <c r="E144" s="4" t="s">
        <v>360</v>
      </c>
      <c r="F144" s="2" t="s">
        <v>2493</v>
      </c>
      <c r="G144" s="2" t="s">
        <v>2494</v>
      </c>
      <c r="H144" s="2" t="s">
        <v>367</v>
      </c>
      <c r="I144" s="2" t="s">
        <v>214</v>
      </c>
      <c r="J144" s="2" t="s">
        <v>94</v>
      </c>
      <c r="K144" s="2" t="s">
        <v>282</v>
      </c>
      <c r="L144" s="2" t="s">
        <v>373</v>
      </c>
      <c r="M144" s="2" t="s">
        <v>32</v>
      </c>
      <c r="N144" s="2" t="s">
        <v>508</v>
      </c>
      <c r="O144" s="2" t="s">
        <v>164</v>
      </c>
      <c r="P144" s="2" t="s">
        <v>1392</v>
      </c>
      <c r="Q144" s="2" t="s">
        <v>98</v>
      </c>
      <c r="R144" s="2" t="s">
        <v>452</v>
      </c>
      <c r="S144" s="2" t="s">
        <v>35</v>
      </c>
      <c r="T144" s="150">
        <v>3.13</v>
      </c>
      <c r="U144" s="2" t="s">
        <v>2495</v>
      </c>
      <c r="V144" s="162">
        <v>4.2999999999999997E-2</v>
      </c>
      <c r="W144" s="164">
        <v>7.8320000000000001E-2</v>
      </c>
      <c r="X144" s="4" t="s">
        <v>458</v>
      </c>
      <c r="Y144" s="4" t="s">
        <v>164</v>
      </c>
      <c r="Z144" s="150">
        <v>14473.58</v>
      </c>
      <c r="AA144" s="150">
        <v>1</v>
      </c>
      <c r="AB144" s="150">
        <v>90.67</v>
      </c>
      <c r="AD144" s="150">
        <v>13.122999999999999</v>
      </c>
      <c r="AG144" s="2" t="s">
        <v>37</v>
      </c>
      <c r="AH144" s="164">
        <v>1.2999999999999999E-5</v>
      </c>
      <c r="AI144" s="164">
        <v>7.2965641372915498E-3</v>
      </c>
      <c r="AJ144" s="164">
        <v>4.2178723636956001E-4</v>
      </c>
    </row>
    <row r="145" spans="1:36">
      <c r="A145" s="2" t="s">
        <v>112</v>
      </c>
      <c r="B145" s="2">
        <v>13680</v>
      </c>
      <c r="C145" s="2" t="s">
        <v>2219</v>
      </c>
      <c r="D145" s="2" t="s">
        <v>2220</v>
      </c>
      <c r="E145" s="4" t="s">
        <v>1376</v>
      </c>
      <c r="F145" s="2" t="s">
        <v>2221</v>
      </c>
      <c r="G145" s="2" t="s">
        <v>2222</v>
      </c>
      <c r="H145" s="2" t="s">
        <v>367</v>
      </c>
      <c r="I145" s="2" t="s">
        <v>219</v>
      </c>
      <c r="J145" s="2" t="s">
        <v>31</v>
      </c>
      <c r="K145" s="2" t="s">
        <v>31</v>
      </c>
      <c r="L145" s="2" t="s">
        <v>373</v>
      </c>
      <c r="M145" s="2" t="s">
        <v>32</v>
      </c>
      <c r="N145" s="2" t="s">
        <v>499</v>
      </c>
      <c r="O145" s="2" t="s">
        <v>164</v>
      </c>
      <c r="P145" s="2" t="s">
        <v>1387</v>
      </c>
      <c r="Q145" s="2" t="s">
        <v>217</v>
      </c>
      <c r="R145" s="2" t="s">
        <v>452</v>
      </c>
      <c r="S145" s="2" t="s">
        <v>35</v>
      </c>
      <c r="T145" s="150">
        <v>5.4290000000000003</v>
      </c>
      <c r="U145" s="2" t="s">
        <v>2223</v>
      </c>
      <c r="V145" s="162">
        <v>5.1499999999999997E-2</v>
      </c>
      <c r="W145" s="164">
        <v>3.8629999999999998E-2</v>
      </c>
      <c r="X145" s="4" t="s">
        <v>458</v>
      </c>
      <c r="Y145" s="4" t="s">
        <v>164</v>
      </c>
      <c r="Z145" s="150">
        <v>40871</v>
      </c>
      <c r="AA145" s="150">
        <v>1</v>
      </c>
      <c r="AB145" s="150">
        <v>147.13</v>
      </c>
      <c r="AD145" s="150">
        <v>60.134</v>
      </c>
      <c r="AG145" s="2" t="s">
        <v>37</v>
      </c>
      <c r="AH145" s="164">
        <v>1.4E-5</v>
      </c>
      <c r="AI145" s="164">
        <v>0.21400247254796401</v>
      </c>
      <c r="AJ145" s="164">
        <v>1.8727156466141601E-3</v>
      </c>
    </row>
    <row r="146" spans="1:36">
      <c r="A146" s="2" t="s">
        <v>112</v>
      </c>
      <c r="B146" s="2">
        <v>13680</v>
      </c>
      <c r="C146" s="2" t="s">
        <v>1857</v>
      </c>
      <c r="D146" s="2" t="s">
        <v>1858</v>
      </c>
      <c r="E146" s="4" t="s">
        <v>1376</v>
      </c>
      <c r="F146" s="2" t="s">
        <v>2260</v>
      </c>
      <c r="G146" s="2" t="s">
        <v>2261</v>
      </c>
      <c r="H146" s="2" t="s">
        <v>367</v>
      </c>
      <c r="I146" s="2" t="s">
        <v>1010</v>
      </c>
      <c r="J146" s="2" t="s">
        <v>31</v>
      </c>
      <c r="K146" s="2" t="s">
        <v>31</v>
      </c>
      <c r="L146" s="2" t="s">
        <v>373</v>
      </c>
      <c r="M146" s="2" t="s">
        <v>32</v>
      </c>
      <c r="N146" s="2" t="s">
        <v>494</v>
      </c>
      <c r="O146" s="2" t="s">
        <v>164</v>
      </c>
      <c r="P146" s="2" t="s">
        <v>2258</v>
      </c>
      <c r="Q146" s="2" t="s">
        <v>98</v>
      </c>
      <c r="R146" s="2" t="s">
        <v>452</v>
      </c>
      <c r="S146" s="2" t="s">
        <v>35</v>
      </c>
      <c r="T146" s="150">
        <v>5.0460000000000003</v>
      </c>
      <c r="U146" s="2" t="s">
        <v>2262</v>
      </c>
      <c r="V146" s="162">
        <v>2.07E-2</v>
      </c>
      <c r="W146" s="164">
        <v>5.9479999999999998E-2</v>
      </c>
      <c r="X146" s="4" t="s">
        <v>458</v>
      </c>
      <c r="Y146" s="4" t="s">
        <v>164</v>
      </c>
      <c r="Z146" s="150">
        <v>54634</v>
      </c>
      <c r="AA146" s="150">
        <v>1</v>
      </c>
      <c r="AB146" s="150">
        <v>82.34</v>
      </c>
      <c r="AD146" s="150">
        <v>44.985999999999997</v>
      </c>
      <c r="AG146" s="2" t="s">
        <v>37</v>
      </c>
      <c r="AH146" s="164">
        <v>1.3300000000000001E-4</v>
      </c>
      <c r="AI146" s="164">
        <v>0.160094404605163</v>
      </c>
      <c r="AJ146" s="164">
        <v>1.40097117977116E-3</v>
      </c>
    </row>
    <row r="147" spans="1:36">
      <c r="A147" s="2" t="s">
        <v>112</v>
      </c>
      <c r="B147" s="2">
        <v>13680</v>
      </c>
      <c r="C147" s="2" t="s">
        <v>2425</v>
      </c>
      <c r="D147" s="2" t="s">
        <v>2426</v>
      </c>
      <c r="E147" s="4" t="s">
        <v>1376</v>
      </c>
      <c r="F147" s="2" t="s">
        <v>2427</v>
      </c>
      <c r="G147" s="2" t="s">
        <v>2428</v>
      </c>
      <c r="H147" s="2" t="s">
        <v>367</v>
      </c>
      <c r="I147" s="2" t="s">
        <v>1010</v>
      </c>
      <c r="J147" s="2" t="s">
        <v>31</v>
      </c>
      <c r="K147" s="2" t="s">
        <v>31</v>
      </c>
      <c r="L147" s="2" t="s">
        <v>373</v>
      </c>
      <c r="M147" s="2" t="s">
        <v>118</v>
      </c>
      <c r="N147" s="2" t="s">
        <v>497</v>
      </c>
      <c r="O147" s="2" t="s">
        <v>164</v>
      </c>
      <c r="P147" s="2" t="s">
        <v>2228</v>
      </c>
      <c r="Q147" s="2" t="s">
        <v>217</v>
      </c>
      <c r="R147" s="2" t="s">
        <v>452</v>
      </c>
      <c r="S147" s="2" t="s">
        <v>35</v>
      </c>
      <c r="T147" s="150">
        <v>3.8690000000000002</v>
      </c>
      <c r="U147" s="2" t="s">
        <v>2429</v>
      </c>
      <c r="V147" s="162">
        <v>6.7000000000000004E-2</v>
      </c>
      <c r="W147" s="164">
        <v>6.6000000000000003E-2</v>
      </c>
      <c r="X147" s="4" t="s">
        <v>458</v>
      </c>
      <c r="Y147" s="4" t="s">
        <v>164</v>
      </c>
      <c r="Z147" s="150">
        <v>25000</v>
      </c>
      <c r="AA147" s="150">
        <v>1</v>
      </c>
      <c r="AB147" s="150">
        <v>102.81</v>
      </c>
      <c r="AD147" s="150">
        <v>25.702999999999999</v>
      </c>
      <c r="AG147" s="2" t="s">
        <v>37</v>
      </c>
      <c r="AH147" s="164">
        <v>2.6999999999999999E-5</v>
      </c>
      <c r="AI147" s="164">
        <v>9.1469785398879594E-2</v>
      </c>
      <c r="AJ147" s="164">
        <v>8.0044354754139197E-4</v>
      </c>
    </row>
    <row r="148" spans="1:36">
      <c r="A148" s="2" t="s">
        <v>112</v>
      </c>
      <c r="B148" s="2">
        <v>13680</v>
      </c>
      <c r="C148" s="2" t="s">
        <v>2437</v>
      </c>
      <c r="D148" s="2" t="s">
        <v>2438</v>
      </c>
      <c r="E148" s="4" t="s">
        <v>360</v>
      </c>
      <c r="F148" s="2" t="s">
        <v>2439</v>
      </c>
      <c r="G148" s="2" t="s">
        <v>2440</v>
      </c>
      <c r="H148" s="2" t="s">
        <v>367</v>
      </c>
      <c r="I148" s="2" t="s">
        <v>1010</v>
      </c>
      <c r="J148" s="2" t="s">
        <v>31</v>
      </c>
      <c r="K148" s="2" t="s">
        <v>31</v>
      </c>
      <c r="L148" s="2" t="s">
        <v>373</v>
      </c>
      <c r="M148" s="2" t="s">
        <v>118</v>
      </c>
      <c r="N148" s="2" t="s">
        <v>508</v>
      </c>
      <c r="O148" s="2" t="s">
        <v>164</v>
      </c>
      <c r="P148" s="2" t="s">
        <v>2247</v>
      </c>
      <c r="Q148" s="2" t="s">
        <v>217</v>
      </c>
      <c r="R148" s="2" t="s">
        <v>452</v>
      </c>
      <c r="S148" s="2" t="s">
        <v>35</v>
      </c>
      <c r="T148" s="150">
        <v>4.1710000000000003</v>
      </c>
      <c r="U148" s="2" t="s">
        <v>2441</v>
      </c>
      <c r="V148" s="162">
        <v>6.25E-2</v>
      </c>
      <c r="W148" s="164">
        <v>6.5070000000000003E-2</v>
      </c>
      <c r="X148" s="4" t="s">
        <v>458</v>
      </c>
      <c r="Y148" s="4" t="s">
        <v>164</v>
      </c>
      <c r="Z148" s="150">
        <v>45528</v>
      </c>
      <c r="AA148" s="150">
        <v>1</v>
      </c>
      <c r="AB148" s="150">
        <v>100.1</v>
      </c>
      <c r="AD148" s="150">
        <v>45.573999999999998</v>
      </c>
      <c r="AG148" s="2" t="s">
        <v>37</v>
      </c>
      <c r="AH148" s="164">
        <v>8.2999999999999998E-5</v>
      </c>
      <c r="AI148" s="164">
        <v>0.16218658986595999</v>
      </c>
      <c r="AJ148" s="164">
        <v>1.4192796975507E-3</v>
      </c>
    </row>
    <row r="149" spans="1:36">
      <c r="A149" s="2" t="s">
        <v>112</v>
      </c>
      <c r="B149" s="2">
        <v>13680</v>
      </c>
      <c r="C149" s="2" t="s">
        <v>2442</v>
      </c>
      <c r="D149" s="2" t="s">
        <v>2443</v>
      </c>
      <c r="E149" s="4" t="s">
        <v>359</v>
      </c>
      <c r="F149" s="2" t="s">
        <v>2444</v>
      </c>
      <c r="G149" s="2" t="s">
        <v>2445</v>
      </c>
      <c r="H149" s="2" t="s">
        <v>367</v>
      </c>
      <c r="I149" s="2" t="s">
        <v>1010</v>
      </c>
      <c r="J149" s="2" t="s">
        <v>94</v>
      </c>
      <c r="K149" s="2" t="s">
        <v>95</v>
      </c>
      <c r="L149" s="2" t="s">
        <v>373</v>
      </c>
      <c r="M149" s="2" t="s">
        <v>32</v>
      </c>
      <c r="N149" s="2" t="s">
        <v>508</v>
      </c>
      <c r="O149" s="2" t="s">
        <v>164</v>
      </c>
      <c r="P149" s="2" t="s">
        <v>2247</v>
      </c>
      <c r="Q149" s="2" t="s">
        <v>217</v>
      </c>
      <c r="R149" s="2" t="s">
        <v>452</v>
      </c>
      <c r="S149" s="2" t="s">
        <v>35</v>
      </c>
      <c r="T149" s="150">
        <v>2.3809999999999998</v>
      </c>
      <c r="U149" s="2" t="s">
        <v>1371</v>
      </c>
      <c r="V149" s="162">
        <v>3.49E-2</v>
      </c>
      <c r="W149" s="164">
        <v>6.8019999999999997E-2</v>
      </c>
      <c r="X149" s="4" t="s">
        <v>458</v>
      </c>
      <c r="Y149" s="4" t="s">
        <v>164</v>
      </c>
      <c r="Z149" s="150">
        <v>64198</v>
      </c>
      <c r="AA149" s="150">
        <v>1</v>
      </c>
      <c r="AB149" s="150">
        <v>92.43</v>
      </c>
      <c r="AD149" s="150">
        <v>59.338000000000001</v>
      </c>
      <c r="AG149" s="2" t="s">
        <v>37</v>
      </c>
      <c r="AH149" s="164">
        <v>6.7999999999999999E-5</v>
      </c>
      <c r="AI149" s="164">
        <v>0.21117219969696899</v>
      </c>
      <c r="AJ149" s="164">
        <v>1.8479481932799199E-3</v>
      </c>
    </row>
    <row r="150" spans="1:36">
      <c r="A150" s="2" t="s">
        <v>112</v>
      </c>
      <c r="B150" s="2">
        <v>13680</v>
      </c>
      <c r="C150" s="2" t="s">
        <v>2458</v>
      </c>
      <c r="D150" s="2" t="s">
        <v>2459</v>
      </c>
      <c r="E150" s="4" t="s">
        <v>1376</v>
      </c>
      <c r="F150" s="2" t="s">
        <v>2460</v>
      </c>
      <c r="G150" s="2" t="s">
        <v>2461</v>
      </c>
      <c r="H150" s="2" t="s">
        <v>367</v>
      </c>
      <c r="I150" s="2" t="s">
        <v>1010</v>
      </c>
      <c r="J150" s="2" t="s">
        <v>31</v>
      </c>
      <c r="K150" s="2" t="s">
        <v>31</v>
      </c>
      <c r="L150" s="2" t="s">
        <v>373</v>
      </c>
      <c r="M150" s="2" t="s">
        <v>118</v>
      </c>
      <c r="N150" s="2" t="s">
        <v>483</v>
      </c>
      <c r="O150" s="2" t="s">
        <v>164</v>
      </c>
      <c r="P150" s="2" t="s">
        <v>1387</v>
      </c>
      <c r="Q150" s="2" t="s">
        <v>217</v>
      </c>
      <c r="R150" s="2" t="s">
        <v>452</v>
      </c>
      <c r="S150" s="2" t="s">
        <v>35</v>
      </c>
      <c r="T150" s="150">
        <v>6.8010000000000002</v>
      </c>
      <c r="U150" s="2" t="s">
        <v>2462</v>
      </c>
      <c r="V150" s="162">
        <v>5.8599999999999999E-2</v>
      </c>
      <c r="W150" s="164">
        <v>6.148E-2</v>
      </c>
      <c r="X150" s="4" t="s">
        <v>458</v>
      </c>
      <c r="Y150" s="4" t="s">
        <v>164</v>
      </c>
      <c r="Z150" s="150">
        <v>45252</v>
      </c>
      <c r="AA150" s="150">
        <v>1</v>
      </c>
      <c r="AB150" s="150">
        <v>100.02</v>
      </c>
      <c r="AD150" s="150">
        <v>45.261000000000003</v>
      </c>
      <c r="AG150" s="2" t="s">
        <v>37</v>
      </c>
      <c r="AH150" s="164">
        <v>2.2699999999999999E-4</v>
      </c>
      <c r="AI150" s="164">
        <v>0.16107454788506501</v>
      </c>
      <c r="AJ150" s="164">
        <v>1.4095483220552801E-3</v>
      </c>
    </row>
    <row r="151" spans="1:36">
      <c r="A151" s="2" t="s">
        <v>128</v>
      </c>
      <c r="B151" s="2">
        <v>7228</v>
      </c>
      <c r="C151" s="2" t="s">
        <v>2219</v>
      </c>
      <c r="D151" s="2" t="s">
        <v>2220</v>
      </c>
      <c r="E151" s="4" t="s">
        <v>1376</v>
      </c>
      <c r="F151" s="2" t="s">
        <v>2221</v>
      </c>
      <c r="G151" s="2" t="s">
        <v>2222</v>
      </c>
      <c r="H151" s="2" t="s">
        <v>367</v>
      </c>
      <c r="I151" s="2" t="s">
        <v>219</v>
      </c>
      <c r="J151" s="2" t="s">
        <v>31</v>
      </c>
      <c r="K151" s="2" t="s">
        <v>31</v>
      </c>
      <c r="L151" s="2" t="s">
        <v>373</v>
      </c>
      <c r="M151" s="2" t="s">
        <v>32</v>
      </c>
      <c r="N151" s="2" t="s">
        <v>499</v>
      </c>
      <c r="O151" s="2" t="s">
        <v>164</v>
      </c>
      <c r="P151" s="2" t="s">
        <v>1387</v>
      </c>
      <c r="Q151" s="2" t="s">
        <v>217</v>
      </c>
      <c r="R151" s="2" t="s">
        <v>452</v>
      </c>
      <c r="S151" s="2" t="s">
        <v>35</v>
      </c>
      <c r="T151" s="150">
        <v>5.4290000000000003</v>
      </c>
      <c r="U151" s="2" t="s">
        <v>2223</v>
      </c>
      <c r="V151" s="162">
        <v>5.1499999999999997E-2</v>
      </c>
      <c r="W151" s="164">
        <v>3.8629999999999998E-2</v>
      </c>
      <c r="X151" s="4" t="s">
        <v>458</v>
      </c>
      <c r="Y151" s="4" t="s">
        <v>164</v>
      </c>
      <c r="Z151" s="150">
        <v>822644.12</v>
      </c>
      <c r="AA151" s="150">
        <v>1</v>
      </c>
      <c r="AB151" s="150">
        <v>147.13</v>
      </c>
      <c r="AD151" s="150">
        <v>1210.356</v>
      </c>
      <c r="AG151" s="2" t="s">
        <v>37</v>
      </c>
      <c r="AH151" s="164">
        <v>2.8299999999999999E-4</v>
      </c>
      <c r="AI151" s="164">
        <v>8.2020009622925192E-3</v>
      </c>
      <c r="AJ151" s="164">
        <v>5.1717802592200497E-4</v>
      </c>
    </row>
    <row r="152" spans="1:36">
      <c r="A152" s="2" t="s">
        <v>128</v>
      </c>
      <c r="B152" s="2">
        <v>7228</v>
      </c>
      <c r="C152" s="2" t="s">
        <v>2224</v>
      </c>
      <c r="D152" s="2" t="s">
        <v>2225</v>
      </c>
      <c r="E152" s="4" t="s">
        <v>1376</v>
      </c>
      <c r="F152" s="2" t="s">
        <v>2226</v>
      </c>
      <c r="G152" s="2" t="s">
        <v>2227</v>
      </c>
      <c r="H152" s="2" t="s">
        <v>367</v>
      </c>
      <c r="I152" s="2" t="s">
        <v>219</v>
      </c>
      <c r="J152" s="2" t="s">
        <v>31</v>
      </c>
      <c r="K152" s="2" t="s">
        <v>31</v>
      </c>
      <c r="L152" s="2" t="s">
        <v>373</v>
      </c>
      <c r="M152" s="2" t="s">
        <v>32</v>
      </c>
      <c r="N152" s="2" t="s">
        <v>483</v>
      </c>
      <c r="O152" s="2" t="s">
        <v>164</v>
      </c>
      <c r="P152" s="2" t="s">
        <v>2228</v>
      </c>
      <c r="Q152" s="2" t="s">
        <v>217</v>
      </c>
      <c r="R152" s="2" t="s">
        <v>452</v>
      </c>
      <c r="S152" s="2" t="s">
        <v>35</v>
      </c>
      <c r="T152" s="150">
        <v>3.056</v>
      </c>
      <c r="U152" s="2" t="s">
        <v>2229</v>
      </c>
      <c r="V152" s="162">
        <v>2.75E-2</v>
      </c>
      <c r="W152" s="164">
        <v>3.2559999999999999E-2</v>
      </c>
      <c r="X152" s="4" t="s">
        <v>458</v>
      </c>
      <c r="Y152" s="4" t="s">
        <v>164</v>
      </c>
      <c r="Z152" s="150">
        <v>712425.08</v>
      </c>
      <c r="AA152" s="150">
        <v>1</v>
      </c>
      <c r="AB152" s="150">
        <v>112.11</v>
      </c>
      <c r="AD152" s="150">
        <v>798.7</v>
      </c>
      <c r="AG152" s="2" t="s">
        <v>37</v>
      </c>
      <c r="AH152" s="164">
        <v>8.4699999999999999E-4</v>
      </c>
      <c r="AI152" s="164">
        <v>5.4124031170274603E-3</v>
      </c>
      <c r="AJ152" s="164">
        <v>3.41279642909963E-4</v>
      </c>
    </row>
    <row r="153" spans="1:36">
      <c r="A153" s="2" t="s">
        <v>128</v>
      </c>
      <c r="B153" s="2">
        <v>7228</v>
      </c>
      <c r="C153" s="2" t="s">
        <v>2224</v>
      </c>
      <c r="D153" s="2" t="s">
        <v>2225</v>
      </c>
      <c r="E153" s="4" t="s">
        <v>1376</v>
      </c>
      <c r="F153" s="2" t="s">
        <v>2230</v>
      </c>
      <c r="G153" s="2" t="s">
        <v>2231</v>
      </c>
      <c r="H153" s="2" t="s">
        <v>367</v>
      </c>
      <c r="I153" s="2" t="s">
        <v>1010</v>
      </c>
      <c r="J153" s="2" t="s">
        <v>31</v>
      </c>
      <c r="K153" s="2" t="s">
        <v>31</v>
      </c>
      <c r="L153" s="2" t="s">
        <v>373</v>
      </c>
      <c r="M153" s="2" t="s">
        <v>32</v>
      </c>
      <c r="N153" s="2" t="s">
        <v>483</v>
      </c>
      <c r="O153" s="2" t="s">
        <v>164</v>
      </c>
      <c r="P153" s="2" t="s">
        <v>2228</v>
      </c>
      <c r="Q153" s="2" t="s">
        <v>217</v>
      </c>
      <c r="R153" s="2" t="s">
        <v>452</v>
      </c>
      <c r="S153" s="2" t="s">
        <v>35</v>
      </c>
      <c r="T153" s="150">
        <v>3.2629999999999999</v>
      </c>
      <c r="U153" s="2" t="s">
        <v>2232</v>
      </c>
      <c r="V153" s="162">
        <v>2.5000000000000001E-2</v>
      </c>
      <c r="W153" s="164">
        <v>5.9420000000000001E-2</v>
      </c>
      <c r="X153" s="4" t="s">
        <v>458</v>
      </c>
      <c r="Y153" s="4" t="s">
        <v>164</v>
      </c>
      <c r="Z153" s="150">
        <v>2800600</v>
      </c>
      <c r="AA153" s="150">
        <v>1</v>
      </c>
      <c r="AB153" s="150">
        <v>90.38</v>
      </c>
      <c r="AD153" s="150">
        <v>2531.1819999999998</v>
      </c>
      <c r="AG153" s="2" t="s">
        <v>37</v>
      </c>
      <c r="AH153" s="164">
        <v>3.4650000000000002E-3</v>
      </c>
      <c r="AI153" s="164">
        <v>1.7152601761480198E-2</v>
      </c>
      <c r="AJ153" s="164">
        <v>1.0815590926179499E-3</v>
      </c>
    </row>
    <row r="154" spans="1:36">
      <c r="A154" s="2" t="s">
        <v>128</v>
      </c>
      <c r="B154" s="2">
        <v>7228</v>
      </c>
      <c r="C154" s="2" t="s">
        <v>2233</v>
      </c>
      <c r="D154" s="2" t="s">
        <v>2234</v>
      </c>
      <c r="E154" s="4" t="s">
        <v>1376</v>
      </c>
      <c r="F154" s="2" t="s">
        <v>2235</v>
      </c>
      <c r="G154" s="2" t="s">
        <v>2236</v>
      </c>
      <c r="H154" s="2" t="s">
        <v>367</v>
      </c>
      <c r="I154" s="2" t="s">
        <v>1010</v>
      </c>
      <c r="J154" s="2" t="s">
        <v>31</v>
      </c>
      <c r="K154" s="2" t="s">
        <v>31</v>
      </c>
      <c r="L154" s="2" t="s">
        <v>373</v>
      </c>
      <c r="M154" s="2" t="s">
        <v>32</v>
      </c>
      <c r="N154" s="2" t="s">
        <v>490</v>
      </c>
      <c r="O154" s="2" t="s">
        <v>164</v>
      </c>
      <c r="P154" s="2" t="s">
        <v>2217</v>
      </c>
      <c r="Q154" s="2" t="s">
        <v>98</v>
      </c>
      <c r="R154" s="2" t="s">
        <v>452</v>
      </c>
      <c r="S154" s="2" t="s">
        <v>35</v>
      </c>
      <c r="T154" s="150">
        <v>2.5</v>
      </c>
      <c r="U154" s="2" t="s">
        <v>2237</v>
      </c>
      <c r="V154" s="162">
        <v>2.5499999999999998E-2</v>
      </c>
      <c r="W154" s="164">
        <v>5.824E-2</v>
      </c>
      <c r="X154" s="4" t="s">
        <v>458</v>
      </c>
      <c r="Y154" s="4" t="s">
        <v>164</v>
      </c>
      <c r="Z154" s="150">
        <v>2350698</v>
      </c>
      <c r="AA154" s="150">
        <v>1</v>
      </c>
      <c r="AB154" s="150">
        <v>92.23</v>
      </c>
      <c r="AD154" s="150">
        <v>2168.049</v>
      </c>
      <c r="AG154" s="2" t="s">
        <v>37</v>
      </c>
      <c r="AH154" s="164">
        <v>3.058E-3</v>
      </c>
      <c r="AI154" s="164">
        <v>1.4691821038023E-2</v>
      </c>
      <c r="AJ154" s="164">
        <v>9.2639430750814295E-4</v>
      </c>
    </row>
    <row r="155" spans="1:36">
      <c r="A155" s="2" t="s">
        <v>128</v>
      </c>
      <c r="B155" s="2">
        <v>7228</v>
      </c>
      <c r="C155" s="2" t="s">
        <v>2238</v>
      </c>
      <c r="D155" s="2" t="s">
        <v>2239</v>
      </c>
      <c r="E155" s="4" t="s">
        <v>1376</v>
      </c>
      <c r="F155" s="2" t="s">
        <v>2240</v>
      </c>
      <c r="G155" s="2" t="s">
        <v>2241</v>
      </c>
      <c r="H155" s="2" t="s">
        <v>367</v>
      </c>
      <c r="I155" s="2" t="s">
        <v>1010</v>
      </c>
      <c r="J155" s="2" t="s">
        <v>31</v>
      </c>
      <c r="K155" s="2" t="s">
        <v>31</v>
      </c>
      <c r="L155" s="2" t="s">
        <v>373</v>
      </c>
      <c r="M155" s="2" t="s">
        <v>32</v>
      </c>
      <c r="N155" s="2" t="s">
        <v>488</v>
      </c>
      <c r="O155" s="2" t="s">
        <v>164</v>
      </c>
      <c r="P155" s="2" t="s">
        <v>2217</v>
      </c>
      <c r="Q155" s="2" t="s">
        <v>98</v>
      </c>
      <c r="R155" s="2" t="s">
        <v>452</v>
      </c>
      <c r="S155" s="2" t="s">
        <v>35</v>
      </c>
      <c r="T155" s="150">
        <v>4.2480000000000002</v>
      </c>
      <c r="U155" s="2" t="s">
        <v>2242</v>
      </c>
      <c r="V155" s="162">
        <v>2.18E-2</v>
      </c>
      <c r="W155" s="164">
        <v>6.062E-2</v>
      </c>
      <c r="X155" s="4" t="s">
        <v>458</v>
      </c>
      <c r="Y155" s="4" t="s">
        <v>164</v>
      </c>
      <c r="Z155" s="150">
        <v>5190607</v>
      </c>
      <c r="AA155" s="150">
        <v>1</v>
      </c>
      <c r="AB155" s="150">
        <v>85.44</v>
      </c>
      <c r="AD155" s="150">
        <v>4434.8549999999996</v>
      </c>
      <c r="AG155" s="2" t="s">
        <v>37</v>
      </c>
      <c r="AH155" s="164">
        <v>3.1572999999999997E-2</v>
      </c>
      <c r="AI155" s="164">
        <v>3.00528712537615E-2</v>
      </c>
      <c r="AJ155" s="164">
        <v>1.8949869305994601E-3</v>
      </c>
    </row>
    <row r="156" spans="1:36">
      <c r="A156" s="2" t="s">
        <v>128</v>
      </c>
      <c r="B156" s="2">
        <v>7228</v>
      </c>
      <c r="C156" s="2" t="s">
        <v>1837</v>
      </c>
      <c r="D156" s="2" t="s">
        <v>1838</v>
      </c>
      <c r="E156" s="4" t="s">
        <v>1376</v>
      </c>
      <c r="F156" s="2" t="s">
        <v>2511</v>
      </c>
      <c r="G156" s="2" t="s">
        <v>2512</v>
      </c>
      <c r="H156" s="2" t="s">
        <v>367</v>
      </c>
      <c r="I156" s="2" t="s">
        <v>1010</v>
      </c>
      <c r="J156" s="2" t="s">
        <v>31</v>
      </c>
      <c r="K156" s="2" t="s">
        <v>31</v>
      </c>
      <c r="L156" s="2" t="s">
        <v>373</v>
      </c>
      <c r="M156" s="2" t="s">
        <v>32</v>
      </c>
      <c r="N156" s="2" t="s">
        <v>499</v>
      </c>
      <c r="O156" s="2" t="s">
        <v>164</v>
      </c>
      <c r="P156" s="2" t="s">
        <v>2247</v>
      </c>
      <c r="Q156" s="2" t="s">
        <v>217</v>
      </c>
      <c r="R156" s="2" t="s">
        <v>452</v>
      </c>
      <c r="S156" s="2" t="s">
        <v>35</v>
      </c>
      <c r="T156" s="150">
        <v>7.81</v>
      </c>
      <c r="U156" s="2" t="s">
        <v>2513</v>
      </c>
      <c r="V156" s="162">
        <v>2.4E-2</v>
      </c>
      <c r="W156" s="164">
        <v>5.8409999999999997E-2</v>
      </c>
      <c r="X156" s="4" t="s">
        <v>458</v>
      </c>
      <c r="Y156" s="4" t="s">
        <v>164</v>
      </c>
      <c r="Z156" s="150">
        <v>655553.28000000003</v>
      </c>
      <c r="AA156" s="150">
        <v>1</v>
      </c>
      <c r="AB156" s="150">
        <v>76.87</v>
      </c>
      <c r="AD156" s="150">
        <v>503.92399999999998</v>
      </c>
      <c r="AG156" s="2" t="s">
        <v>37</v>
      </c>
      <c r="AH156" s="164">
        <v>8.9099999999999997E-4</v>
      </c>
      <c r="AI156" s="164">
        <v>3.4148486406955498E-3</v>
      </c>
      <c r="AJ156" s="164">
        <v>2.15323637114489E-4</v>
      </c>
    </row>
    <row r="157" spans="1:36">
      <c r="A157" s="2" t="s">
        <v>128</v>
      </c>
      <c r="B157" s="2">
        <v>7228</v>
      </c>
      <c r="C157" s="2" t="s">
        <v>2243</v>
      </c>
      <c r="D157" s="2" t="s">
        <v>2244</v>
      </c>
      <c r="E157" s="4" t="s">
        <v>1376</v>
      </c>
      <c r="F157" s="2" t="s">
        <v>2245</v>
      </c>
      <c r="G157" s="2" t="s">
        <v>2246</v>
      </c>
      <c r="H157" s="2" t="s">
        <v>367</v>
      </c>
      <c r="I157" s="2" t="s">
        <v>219</v>
      </c>
      <c r="J157" s="2" t="s">
        <v>31</v>
      </c>
      <c r="K157" s="2" t="s">
        <v>31</v>
      </c>
      <c r="L157" s="2" t="s">
        <v>373</v>
      </c>
      <c r="M157" s="2" t="s">
        <v>32</v>
      </c>
      <c r="N157" s="2" t="s">
        <v>507</v>
      </c>
      <c r="O157" s="2" t="s">
        <v>164</v>
      </c>
      <c r="P157" s="2" t="s">
        <v>2247</v>
      </c>
      <c r="Q157" s="2" t="s">
        <v>217</v>
      </c>
      <c r="R157" s="2" t="s">
        <v>452</v>
      </c>
      <c r="S157" s="2" t="s">
        <v>35</v>
      </c>
      <c r="T157" s="150">
        <v>2.4359999999999999</v>
      </c>
      <c r="U157" s="2" t="s">
        <v>62</v>
      </c>
      <c r="V157" s="162">
        <v>2.3400000000000001E-2</v>
      </c>
      <c r="W157" s="164">
        <v>2.6800000000000001E-2</v>
      </c>
      <c r="X157" s="4" t="s">
        <v>458</v>
      </c>
      <c r="Y157" s="4" t="s">
        <v>164</v>
      </c>
      <c r="Z157" s="150">
        <v>528000.11</v>
      </c>
      <c r="AA157" s="150">
        <v>1</v>
      </c>
      <c r="AB157" s="150">
        <v>113.08</v>
      </c>
      <c r="AD157" s="150">
        <v>597.06299999999999</v>
      </c>
      <c r="AG157" s="2" t="s">
        <v>37</v>
      </c>
      <c r="AH157" s="164">
        <v>2.5000000000000001E-4</v>
      </c>
      <c r="AI157" s="164">
        <v>4.0460048209295298E-3</v>
      </c>
      <c r="AJ157" s="164">
        <v>2.5512125587149199E-4</v>
      </c>
    </row>
    <row r="158" spans="1:36">
      <c r="A158" s="2" t="s">
        <v>128</v>
      </c>
      <c r="B158" s="2">
        <v>7228</v>
      </c>
      <c r="C158" s="2" t="s">
        <v>2248</v>
      </c>
      <c r="D158" s="2" t="s">
        <v>2249</v>
      </c>
      <c r="E158" s="4" t="s">
        <v>1376</v>
      </c>
      <c r="F158" s="2" t="s">
        <v>2514</v>
      </c>
      <c r="G158" s="2" t="s">
        <v>2515</v>
      </c>
      <c r="H158" s="2" t="s">
        <v>367</v>
      </c>
      <c r="I158" s="2" t="s">
        <v>1010</v>
      </c>
      <c r="J158" s="2" t="s">
        <v>31</v>
      </c>
      <c r="K158" s="2" t="s">
        <v>31</v>
      </c>
      <c r="L158" s="2" t="s">
        <v>373</v>
      </c>
      <c r="M158" s="2" t="s">
        <v>32</v>
      </c>
      <c r="N158" s="2" t="s">
        <v>507</v>
      </c>
      <c r="O158" s="2" t="s">
        <v>164</v>
      </c>
      <c r="P158" s="2" t="s">
        <v>1387</v>
      </c>
      <c r="Q158" s="2" t="s">
        <v>217</v>
      </c>
      <c r="R158" s="2" t="s">
        <v>452</v>
      </c>
      <c r="S158" s="2" t="s">
        <v>35</v>
      </c>
      <c r="T158" s="150">
        <v>1.6020000000000001</v>
      </c>
      <c r="U158" s="2" t="s">
        <v>2516</v>
      </c>
      <c r="V158" s="162">
        <v>3.85E-2</v>
      </c>
      <c r="W158" s="164">
        <v>5.4699999999999999E-2</v>
      </c>
      <c r="X158" s="4" t="s">
        <v>458</v>
      </c>
      <c r="Y158" s="4" t="s">
        <v>164</v>
      </c>
      <c r="Z158" s="150">
        <v>504551.12</v>
      </c>
      <c r="AA158" s="150">
        <v>1</v>
      </c>
      <c r="AB158" s="150">
        <v>98.64</v>
      </c>
      <c r="AD158" s="150">
        <v>497.68900000000002</v>
      </c>
      <c r="AG158" s="2" t="s">
        <v>37</v>
      </c>
      <c r="AH158" s="164">
        <v>7.0200000000000004E-4</v>
      </c>
      <c r="AI158" s="164">
        <v>3.3725998877588898E-3</v>
      </c>
      <c r="AJ158" s="164">
        <v>2.12659637592677E-4</v>
      </c>
    </row>
    <row r="159" spans="1:36">
      <c r="A159" s="2" t="s">
        <v>128</v>
      </c>
      <c r="B159" s="2">
        <v>7228</v>
      </c>
      <c r="C159" s="2" t="s">
        <v>2248</v>
      </c>
      <c r="D159" s="2" t="s">
        <v>2249</v>
      </c>
      <c r="E159" s="4" t="s">
        <v>1376</v>
      </c>
      <c r="F159" s="2" t="s">
        <v>2250</v>
      </c>
      <c r="G159" s="2" t="s">
        <v>2251</v>
      </c>
      <c r="H159" s="2" t="s">
        <v>367</v>
      </c>
      <c r="I159" s="2" t="s">
        <v>1010</v>
      </c>
      <c r="J159" s="2" t="s">
        <v>31</v>
      </c>
      <c r="K159" s="2" t="s">
        <v>31</v>
      </c>
      <c r="L159" s="2" t="s">
        <v>373</v>
      </c>
      <c r="M159" s="2" t="s">
        <v>32</v>
      </c>
      <c r="N159" s="2" t="s">
        <v>507</v>
      </c>
      <c r="O159" s="2" t="s">
        <v>164</v>
      </c>
      <c r="P159" s="2" t="s">
        <v>1387</v>
      </c>
      <c r="Q159" s="2" t="s">
        <v>217</v>
      </c>
      <c r="R159" s="2" t="s">
        <v>452</v>
      </c>
      <c r="S159" s="2" t="s">
        <v>35</v>
      </c>
      <c r="T159" s="150">
        <v>4.5730000000000004</v>
      </c>
      <c r="U159" s="2" t="s">
        <v>2252</v>
      </c>
      <c r="V159" s="162">
        <v>2.41E-2</v>
      </c>
      <c r="W159" s="164">
        <v>6.4619999999999997E-2</v>
      </c>
      <c r="X159" s="4" t="s">
        <v>458</v>
      </c>
      <c r="Y159" s="4" t="s">
        <v>164</v>
      </c>
      <c r="Z159" s="150">
        <v>1733333.33</v>
      </c>
      <c r="AA159" s="150">
        <v>1</v>
      </c>
      <c r="AB159" s="150">
        <v>84.18</v>
      </c>
      <c r="AD159" s="150">
        <v>1459.12</v>
      </c>
      <c r="AG159" s="2" t="s">
        <v>37</v>
      </c>
      <c r="AH159" s="164">
        <v>9.8400000000000007E-4</v>
      </c>
      <c r="AI159" s="164">
        <v>9.8877526252596597E-3</v>
      </c>
      <c r="AJ159" s="164">
        <v>6.2347327280824804E-4</v>
      </c>
    </row>
    <row r="160" spans="1:36">
      <c r="A160" s="2" t="s">
        <v>128</v>
      </c>
      <c r="B160" s="2">
        <v>7228</v>
      </c>
      <c r="C160" s="2" t="s">
        <v>2248</v>
      </c>
      <c r="D160" s="2" t="s">
        <v>2249</v>
      </c>
      <c r="E160" s="4" t="s">
        <v>1376</v>
      </c>
      <c r="F160" s="2" t="s">
        <v>2253</v>
      </c>
      <c r="G160" s="2" t="s">
        <v>2254</v>
      </c>
      <c r="H160" s="2" t="s">
        <v>367</v>
      </c>
      <c r="I160" s="2" t="s">
        <v>1010</v>
      </c>
      <c r="J160" s="2" t="s">
        <v>31</v>
      </c>
      <c r="K160" s="2" t="s">
        <v>31</v>
      </c>
      <c r="L160" s="2" t="s">
        <v>373</v>
      </c>
      <c r="M160" s="2" t="s">
        <v>32</v>
      </c>
      <c r="N160" s="2" t="s">
        <v>507</v>
      </c>
      <c r="O160" s="2" t="s">
        <v>164</v>
      </c>
      <c r="P160" s="2" t="s">
        <v>1392</v>
      </c>
      <c r="Q160" s="2" t="s">
        <v>98</v>
      </c>
      <c r="R160" s="2" t="s">
        <v>452</v>
      </c>
      <c r="S160" s="2" t="s">
        <v>35</v>
      </c>
      <c r="T160" s="150">
        <v>6.4660000000000002</v>
      </c>
      <c r="U160" s="2" t="s">
        <v>2255</v>
      </c>
      <c r="V160" s="162">
        <v>4.9399999999999999E-2</v>
      </c>
      <c r="W160" s="164">
        <v>6.9379999999999997E-2</v>
      </c>
      <c r="X160" s="4" t="s">
        <v>458</v>
      </c>
      <c r="Y160" s="4" t="s">
        <v>164</v>
      </c>
      <c r="Z160" s="150">
        <v>2000466</v>
      </c>
      <c r="AA160" s="150">
        <v>1</v>
      </c>
      <c r="AB160" s="150">
        <v>89.76</v>
      </c>
      <c r="AD160" s="150">
        <v>1795.6179999999999</v>
      </c>
      <c r="AG160" s="2" t="s">
        <v>37</v>
      </c>
      <c r="AH160" s="164">
        <v>2.2290000000000001E-3</v>
      </c>
      <c r="AI160" s="164">
        <v>1.21680392373473E-2</v>
      </c>
      <c r="AJ160" s="164">
        <v>7.6725698290503602E-4</v>
      </c>
    </row>
    <row r="161" spans="1:36">
      <c r="A161" s="2" t="s">
        <v>128</v>
      </c>
      <c r="B161" s="2">
        <v>7228</v>
      </c>
      <c r="C161" s="2" t="s">
        <v>1857</v>
      </c>
      <c r="D161" s="2" t="s">
        <v>1858</v>
      </c>
      <c r="E161" s="4" t="s">
        <v>1376</v>
      </c>
      <c r="F161" s="2" t="s">
        <v>2256</v>
      </c>
      <c r="G161" s="2" t="s">
        <v>2257</v>
      </c>
      <c r="H161" s="2" t="s">
        <v>367</v>
      </c>
      <c r="I161" s="2" t="s">
        <v>1010</v>
      </c>
      <c r="J161" s="2" t="s">
        <v>31</v>
      </c>
      <c r="K161" s="2" t="s">
        <v>31</v>
      </c>
      <c r="L161" s="2" t="s">
        <v>373</v>
      </c>
      <c r="M161" s="2" t="s">
        <v>32</v>
      </c>
      <c r="N161" s="2" t="s">
        <v>494</v>
      </c>
      <c r="O161" s="2" t="s">
        <v>164</v>
      </c>
      <c r="P161" s="2" t="s">
        <v>2258</v>
      </c>
      <c r="Q161" s="2" t="s">
        <v>217</v>
      </c>
      <c r="R161" s="2" t="s">
        <v>452</v>
      </c>
      <c r="S161" s="2" t="s">
        <v>35</v>
      </c>
      <c r="T161" s="150">
        <v>3.1309999999999998</v>
      </c>
      <c r="U161" s="2" t="s">
        <v>2259</v>
      </c>
      <c r="V161" s="162">
        <v>0.04</v>
      </c>
      <c r="W161" s="164">
        <v>5.6980000000000003E-2</v>
      </c>
      <c r="X161" s="4" t="s">
        <v>458</v>
      </c>
      <c r="Y161" s="4" t="s">
        <v>164</v>
      </c>
      <c r="Z161" s="150">
        <v>1837500.3</v>
      </c>
      <c r="AA161" s="150">
        <v>1</v>
      </c>
      <c r="AB161" s="150">
        <v>96.92</v>
      </c>
      <c r="AD161" s="150">
        <v>1780.905</v>
      </c>
      <c r="AG161" s="2" t="s">
        <v>37</v>
      </c>
      <c r="AH161" s="164">
        <v>2.712E-3</v>
      </c>
      <c r="AI161" s="164">
        <v>1.2068336393110101E-2</v>
      </c>
      <c r="AJ161" s="164">
        <v>7.6097020966537602E-4</v>
      </c>
    </row>
    <row r="162" spans="1:36">
      <c r="A162" s="2" t="s">
        <v>128</v>
      </c>
      <c r="B162" s="2">
        <v>7228</v>
      </c>
      <c r="C162" s="2" t="s">
        <v>1857</v>
      </c>
      <c r="D162" s="2" t="s">
        <v>1858</v>
      </c>
      <c r="E162" s="4" t="s">
        <v>1376</v>
      </c>
      <c r="F162" s="2" t="s">
        <v>2260</v>
      </c>
      <c r="G162" s="2" t="s">
        <v>2261</v>
      </c>
      <c r="H162" s="2" t="s">
        <v>367</v>
      </c>
      <c r="I162" s="2" t="s">
        <v>1010</v>
      </c>
      <c r="J162" s="2" t="s">
        <v>31</v>
      </c>
      <c r="K162" s="2" t="s">
        <v>31</v>
      </c>
      <c r="L162" s="2" t="s">
        <v>373</v>
      </c>
      <c r="M162" s="2" t="s">
        <v>32</v>
      </c>
      <c r="N162" s="2" t="s">
        <v>494</v>
      </c>
      <c r="O162" s="2" t="s">
        <v>164</v>
      </c>
      <c r="P162" s="2" t="s">
        <v>2258</v>
      </c>
      <c r="Q162" s="2" t="s">
        <v>98</v>
      </c>
      <c r="R162" s="2" t="s">
        <v>452</v>
      </c>
      <c r="S162" s="2" t="s">
        <v>35</v>
      </c>
      <c r="T162" s="150">
        <v>5.0460000000000003</v>
      </c>
      <c r="U162" s="2" t="s">
        <v>2262</v>
      </c>
      <c r="V162" s="162">
        <v>2.07E-2</v>
      </c>
      <c r="W162" s="164">
        <v>5.9479999999999998E-2</v>
      </c>
      <c r="X162" s="4" t="s">
        <v>458</v>
      </c>
      <c r="Y162" s="4" t="s">
        <v>164</v>
      </c>
      <c r="Z162" s="150">
        <v>3258173</v>
      </c>
      <c r="AA162" s="150">
        <v>1</v>
      </c>
      <c r="AB162" s="150">
        <v>82.34</v>
      </c>
      <c r="AD162" s="150">
        <v>2682.78</v>
      </c>
      <c r="AG162" s="2" t="s">
        <v>37</v>
      </c>
      <c r="AH162" s="164">
        <v>7.9330000000000008E-3</v>
      </c>
      <c r="AI162" s="164">
        <v>1.81799040246831E-2</v>
      </c>
      <c r="AJ162" s="164">
        <v>1.1463357439437699E-3</v>
      </c>
    </row>
    <row r="163" spans="1:36">
      <c r="A163" s="2" t="s">
        <v>128</v>
      </c>
      <c r="B163" s="2">
        <v>7228</v>
      </c>
      <c r="C163" s="2" t="s">
        <v>2263</v>
      </c>
      <c r="D163" s="2" t="s">
        <v>2264</v>
      </c>
      <c r="E163" s="4" t="s">
        <v>1376</v>
      </c>
      <c r="F163" s="2" t="s">
        <v>2517</v>
      </c>
      <c r="G163" s="2" t="s">
        <v>2518</v>
      </c>
      <c r="H163" s="2" t="s">
        <v>367</v>
      </c>
      <c r="I163" s="2" t="s">
        <v>1010</v>
      </c>
      <c r="J163" s="2" t="s">
        <v>31</v>
      </c>
      <c r="K163" s="2" t="s">
        <v>31</v>
      </c>
      <c r="L163" s="2" t="s">
        <v>373</v>
      </c>
      <c r="M163" s="2" t="s">
        <v>32</v>
      </c>
      <c r="N163" s="2" t="s">
        <v>508</v>
      </c>
      <c r="O163" s="2" t="s">
        <v>164</v>
      </c>
      <c r="P163" s="2" t="s">
        <v>2217</v>
      </c>
      <c r="Q163" s="2" t="s">
        <v>98</v>
      </c>
      <c r="R163" s="2" t="s">
        <v>452</v>
      </c>
      <c r="S163" s="2" t="s">
        <v>35</v>
      </c>
      <c r="T163" s="150">
        <v>3.069</v>
      </c>
      <c r="U163" s="2" t="s">
        <v>2519</v>
      </c>
      <c r="V163" s="162">
        <v>3.2500000000000001E-2</v>
      </c>
      <c r="W163" s="164">
        <v>6.1699999999999998E-2</v>
      </c>
      <c r="X163" s="4" t="s">
        <v>458</v>
      </c>
      <c r="Y163" s="4" t="s">
        <v>164</v>
      </c>
      <c r="Z163" s="150">
        <v>815603.05</v>
      </c>
      <c r="AA163" s="150">
        <v>1</v>
      </c>
      <c r="AB163" s="150">
        <v>92.55</v>
      </c>
      <c r="AD163" s="150">
        <v>754.84100000000001</v>
      </c>
      <c r="AG163" s="2" t="s">
        <v>37</v>
      </c>
      <c r="AH163" s="164">
        <v>2.7950000000000002E-3</v>
      </c>
      <c r="AI163" s="164">
        <v>5.1151909122274901E-3</v>
      </c>
      <c r="AJ163" s="164">
        <v>3.2253889634518702E-4</v>
      </c>
    </row>
    <row r="164" spans="1:36">
      <c r="A164" s="2" t="s">
        <v>128</v>
      </c>
      <c r="B164" s="2">
        <v>7228</v>
      </c>
      <c r="C164" s="2" t="s">
        <v>2263</v>
      </c>
      <c r="D164" s="2" t="s">
        <v>2264</v>
      </c>
      <c r="E164" s="4" t="s">
        <v>1376</v>
      </c>
      <c r="F164" s="2" t="s">
        <v>2268</v>
      </c>
      <c r="G164" s="2" t="s">
        <v>2269</v>
      </c>
      <c r="H164" s="2" t="s">
        <v>367</v>
      </c>
      <c r="I164" s="2" t="s">
        <v>219</v>
      </c>
      <c r="J164" s="2" t="s">
        <v>31</v>
      </c>
      <c r="K164" s="2" t="s">
        <v>31</v>
      </c>
      <c r="L164" s="2" t="s">
        <v>373</v>
      </c>
      <c r="M164" s="2" t="s">
        <v>32</v>
      </c>
      <c r="N164" s="2" t="s">
        <v>508</v>
      </c>
      <c r="O164" s="2" t="s">
        <v>164</v>
      </c>
      <c r="P164" s="2" t="s">
        <v>2217</v>
      </c>
      <c r="Q164" s="2" t="s">
        <v>98</v>
      </c>
      <c r="R164" s="2" t="s">
        <v>452</v>
      </c>
      <c r="S164" s="2" t="s">
        <v>35</v>
      </c>
      <c r="T164" s="150">
        <v>5.3559999999999999</v>
      </c>
      <c r="U164" s="2" t="s">
        <v>2270</v>
      </c>
      <c r="V164" s="162">
        <v>1.54E-2</v>
      </c>
      <c r="W164" s="164">
        <v>4.0140000000000002E-2</v>
      </c>
      <c r="X164" s="4" t="s">
        <v>458</v>
      </c>
      <c r="Y164" s="4" t="s">
        <v>164</v>
      </c>
      <c r="Z164" s="150">
        <v>2876000</v>
      </c>
      <c r="AA164" s="150">
        <v>1</v>
      </c>
      <c r="AB164" s="150">
        <v>97.3</v>
      </c>
      <c r="AD164" s="150">
        <v>2798.348</v>
      </c>
      <c r="AG164" s="2" t="s">
        <v>37</v>
      </c>
      <c r="AH164" s="164">
        <v>4.8219999999999999E-3</v>
      </c>
      <c r="AI164" s="164">
        <v>1.8963055017133901E-2</v>
      </c>
      <c r="AJ164" s="164">
        <v>1.1957174114340099E-3</v>
      </c>
    </row>
    <row r="165" spans="1:36">
      <c r="A165" s="2" t="s">
        <v>128</v>
      </c>
      <c r="B165" s="2">
        <v>7228</v>
      </c>
      <c r="C165" s="2" t="s">
        <v>2520</v>
      </c>
      <c r="D165" s="2" t="s">
        <v>2521</v>
      </c>
      <c r="E165" s="4" t="s">
        <v>1376</v>
      </c>
      <c r="F165" s="2" t="s">
        <v>2522</v>
      </c>
      <c r="G165" s="2" t="s">
        <v>2523</v>
      </c>
      <c r="H165" s="2" t="s">
        <v>367</v>
      </c>
      <c r="I165" s="2" t="s">
        <v>219</v>
      </c>
      <c r="J165" s="2" t="s">
        <v>31</v>
      </c>
      <c r="K165" s="2" t="s">
        <v>31</v>
      </c>
      <c r="L165" s="2" t="s">
        <v>373</v>
      </c>
      <c r="M165" s="2" t="s">
        <v>32</v>
      </c>
      <c r="N165" s="2" t="s">
        <v>508</v>
      </c>
      <c r="O165" s="2" t="s">
        <v>164</v>
      </c>
      <c r="P165" s="2" t="s">
        <v>2524</v>
      </c>
      <c r="Q165" s="2" t="s">
        <v>217</v>
      </c>
      <c r="R165" s="2" t="s">
        <v>452</v>
      </c>
      <c r="S165" s="2" t="s">
        <v>35</v>
      </c>
      <c r="T165" s="150">
        <v>2.83</v>
      </c>
      <c r="U165" s="2" t="s">
        <v>2525</v>
      </c>
      <c r="V165" s="162">
        <v>4.6002000000000001E-2</v>
      </c>
      <c r="W165" s="164">
        <v>0.22542999999999999</v>
      </c>
      <c r="X165" s="4" t="s">
        <v>458</v>
      </c>
      <c r="Y165" s="4" t="s">
        <v>164</v>
      </c>
      <c r="Z165" s="150">
        <v>106852.46</v>
      </c>
      <c r="AA165" s="150">
        <v>1</v>
      </c>
      <c r="AB165" s="150">
        <v>147.91999999999999</v>
      </c>
      <c r="AD165" s="150">
        <v>158.05600000000001</v>
      </c>
      <c r="AG165" s="2" t="s">
        <v>37</v>
      </c>
      <c r="AH165" s="164">
        <v>6.7869999999999996E-3</v>
      </c>
      <c r="AI165" s="164">
        <v>1.07107037285144E-3</v>
      </c>
      <c r="AJ165" s="164">
        <v>6.7536454043529403E-5</v>
      </c>
    </row>
    <row r="166" spans="1:36">
      <c r="A166" s="2" t="s">
        <v>128</v>
      </c>
      <c r="B166" s="2">
        <v>7228</v>
      </c>
      <c r="C166" s="2" t="s">
        <v>2271</v>
      </c>
      <c r="D166" s="2" t="s">
        <v>2272</v>
      </c>
      <c r="E166" s="4" t="s">
        <v>1376</v>
      </c>
      <c r="F166" s="2" t="s">
        <v>2273</v>
      </c>
      <c r="G166" s="2" t="s">
        <v>2274</v>
      </c>
      <c r="H166" s="2" t="s">
        <v>367</v>
      </c>
      <c r="I166" s="2" t="s">
        <v>219</v>
      </c>
      <c r="J166" s="2" t="s">
        <v>31</v>
      </c>
      <c r="K166" s="2" t="s">
        <v>31</v>
      </c>
      <c r="L166" s="2" t="s">
        <v>373</v>
      </c>
      <c r="M166" s="2" t="s">
        <v>32</v>
      </c>
      <c r="N166" s="2" t="s">
        <v>507</v>
      </c>
      <c r="O166" s="2" t="s">
        <v>164</v>
      </c>
      <c r="P166" s="2" t="s">
        <v>2275</v>
      </c>
      <c r="Q166" s="2" t="s">
        <v>217</v>
      </c>
      <c r="R166" s="2" t="s">
        <v>452</v>
      </c>
      <c r="S166" s="2" t="s">
        <v>35</v>
      </c>
      <c r="T166" s="150">
        <v>6.3</v>
      </c>
      <c r="U166" s="2" t="s">
        <v>2276</v>
      </c>
      <c r="V166" s="162">
        <v>3.6799999999999999E-2</v>
      </c>
      <c r="W166" s="164">
        <v>4.3209999999999998E-2</v>
      </c>
      <c r="X166" s="4" t="s">
        <v>458</v>
      </c>
      <c r="Y166" s="4" t="s">
        <v>164</v>
      </c>
      <c r="Z166" s="150">
        <v>2928000</v>
      </c>
      <c r="AA166" s="150">
        <v>1</v>
      </c>
      <c r="AB166" s="150">
        <v>98.21</v>
      </c>
      <c r="AD166" s="150">
        <v>2875.5889999999999</v>
      </c>
      <c r="AG166" s="2" t="s">
        <v>37</v>
      </c>
      <c r="AH166" s="164">
        <v>1.2016000000000001E-2</v>
      </c>
      <c r="AI166" s="164">
        <v>1.9486478672793399E-2</v>
      </c>
      <c r="AJ166" s="164">
        <v>1.22872194462041E-3</v>
      </c>
    </row>
    <row r="167" spans="1:36">
      <c r="A167" s="2" t="s">
        <v>128</v>
      </c>
      <c r="B167" s="2">
        <v>7228</v>
      </c>
      <c r="C167" s="2" t="s">
        <v>2271</v>
      </c>
      <c r="D167" s="2" t="s">
        <v>2272</v>
      </c>
      <c r="E167" s="4" t="s">
        <v>1376</v>
      </c>
      <c r="F167" s="2" t="s">
        <v>2277</v>
      </c>
      <c r="G167" s="2" t="s">
        <v>2278</v>
      </c>
      <c r="H167" s="2" t="s">
        <v>367</v>
      </c>
      <c r="I167" s="2" t="s">
        <v>219</v>
      </c>
      <c r="J167" s="2" t="s">
        <v>31</v>
      </c>
      <c r="K167" s="2" t="s">
        <v>31</v>
      </c>
      <c r="L167" s="2" t="s">
        <v>373</v>
      </c>
      <c r="M167" s="2" t="s">
        <v>32</v>
      </c>
      <c r="N167" s="2" t="s">
        <v>507</v>
      </c>
      <c r="O167" s="2" t="s">
        <v>164</v>
      </c>
      <c r="P167" s="2" t="s">
        <v>2275</v>
      </c>
      <c r="Q167" s="2" t="s">
        <v>217</v>
      </c>
      <c r="R167" s="2" t="s">
        <v>452</v>
      </c>
      <c r="S167" s="2" t="s">
        <v>35</v>
      </c>
      <c r="T167" s="150">
        <v>1.69</v>
      </c>
      <c r="U167" s="2" t="s">
        <v>2279</v>
      </c>
      <c r="V167" s="162">
        <v>3.4599999999999999E-2</v>
      </c>
      <c r="W167" s="164">
        <v>2.8910000000000002E-2</v>
      </c>
      <c r="X167" s="4" t="s">
        <v>458</v>
      </c>
      <c r="Y167" s="4" t="s">
        <v>164</v>
      </c>
      <c r="Z167" s="150">
        <v>1004545.45</v>
      </c>
      <c r="AA167" s="150">
        <v>1</v>
      </c>
      <c r="AB167" s="150">
        <v>115.64</v>
      </c>
      <c r="AC167" s="150">
        <v>19.218</v>
      </c>
      <c r="AD167" s="150">
        <v>1180.874</v>
      </c>
      <c r="AG167" s="2" t="s">
        <v>37</v>
      </c>
      <c r="AH167" s="164">
        <v>2.8769999999999998E-3</v>
      </c>
      <c r="AI167" s="164">
        <v>8.0022133919943703E-3</v>
      </c>
      <c r="AJ167" s="164">
        <v>5.0458039984446897E-4</v>
      </c>
    </row>
    <row r="168" spans="1:36">
      <c r="A168" s="2" t="s">
        <v>128</v>
      </c>
      <c r="B168" s="2">
        <v>7228</v>
      </c>
      <c r="C168" s="2" t="s">
        <v>1877</v>
      </c>
      <c r="D168" s="2" t="s">
        <v>1878</v>
      </c>
      <c r="E168" s="4" t="s">
        <v>1376</v>
      </c>
      <c r="F168" s="2" t="s">
        <v>2280</v>
      </c>
      <c r="G168" s="2" t="s">
        <v>2281</v>
      </c>
      <c r="H168" s="2" t="s">
        <v>367</v>
      </c>
      <c r="I168" s="2" t="s">
        <v>1010</v>
      </c>
      <c r="J168" s="2" t="s">
        <v>31</v>
      </c>
      <c r="K168" s="2" t="s">
        <v>31</v>
      </c>
      <c r="L168" s="2" t="s">
        <v>373</v>
      </c>
      <c r="M168" s="2" t="s">
        <v>32</v>
      </c>
      <c r="N168" s="2" t="s">
        <v>483</v>
      </c>
      <c r="O168" s="2" t="s">
        <v>164</v>
      </c>
      <c r="P168" s="2" t="s">
        <v>2258</v>
      </c>
      <c r="Q168" s="2" t="s">
        <v>217</v>
      </c>
      <c r="R168" s="2" t="s">
        <v>452</v>
      </c>
      <c r="S168" s="2" t="s">
        <v>35</v>
      </c>
      <c r="T168" s="150">
        <v>2.4390000000000001</v>
      </c>
      <c r="U168" s="2" t="s">
        <v>2282</v>
      </c>
      <c r="V168" s="162">
        <v>2.7E-2</v>
      </c>
      <c r="W168" s="164">
        <v>6.2280000000000002E-2</v>
      </c>
      <c r="X168" s="4" t="s">
        <v>458</v>
      </c>
      <c r="Y168" s="4" t="s">
        <v>164</v>
      </c>
      <c r="Z168" s="150">
        <v>2720000</v>
      </c>
      <c r="AA168" s="150">
        <v>1</v>
      </c>
      <c r="AB168" s="150">
        <v>92.63</v>
      </c>
      <c r="AD168" s="150">
        <v>2519.5360000000001</v>
      </c>
      <c r="AG168" s="2" t="s">
        <v>37</v>
      </c>
      <c r="AH168" s="164">
        <v>3.8649999999999999E-3</v>
      </c>
      <c r="AI168" s="164">
        <v>1.7073680537820698E-2</v>
      </c>
      <c r="AJ168" s="164">
        <v>1.0765827066307699E-3</v>
      </c>
    </row>
    <row r="169" spans="1:36">
      <c r="A169" s="2" t="s">
        <v>128</v>
      </c>
      <c r="B169" s="2">
        <v>7228</v>
      </c>
      <c r="C169" s="2" t="s">
        <v>2283</v>
      </c>
      <c r="D169" s="2" t="s">
        <v>2284</v>
      </c>
      <c r="E169" s="4" t="s">
        <v>1376</v>
      </c>
      <c r="F169" s="2" t="s">
        <v>2285</v>
      </c>
      <c r="G169" s="2" t="s">
        <v>2286</v>
      </c>
      <c r="H169" s="2" t="s">
        <v>367</v>
      </c>
      <c r="I169" s="2" t="s">
        <v>1010</v>
      </c>
      <c r="J169" s="2" t="s">
        <v>31</v>
      </c>
      <c r="K169" s="2" t="s">
        <v>31</v>
      </c>
      <c r="L169" s="2" t="s">
        <v>373</v>
      </c>
      <c r="M169" s="2" t="s">
        <v>32</v>
      </c>
      <c r="N169" s="2" t="s">
        <v>528</v>
      </c>
      <c r="O169" s="2" t="s">
        <v>164</v>
      </c>
      <c r="P169" s="2" t="s">
        <v>2287</v>
      </c>
      <c r="Q169" s="2" t="s">
        <v>98</v>
      </c>
      <c r="R169" s="2" t="s">
        <v>452</v>
      </c>
      <c r="S169" s="2" t="s">
        <v>35</v>
      </c>
      <c r="T169" s="150">
        <v>2.323</v>
      </c>
      <c r="U169" s="2" t="s">
        <v>2288</v>
      </c>
      <c r="V169" s="162">
        <v>3.6499999999999998E-2</v>
      </c>
      <c r="W169" s="164">
        <v>5.7189999999999998E-2</v>
      </c>
      <c r="X169" s="4" t="s">
        <v>458</v>
      </c>
      <c r="Y169" s="4" t="s">
        <v>164</v>
      </c>
      <c r="Z169" s="150">
        <v>4809142</v>
      </c>
      <c r="AA169" s="150">
        <v>1</v>
      </c>
      <c r="AB169" s="150">
        <v>95.7</v>
      </c>
      <c r="AD169" s="150">
        <v>4602.3490000000002</v>
      </c>
      <c r="AG169" s="2" t="s">
        <v>37</v>
      </c>
      <c r="AH169" s="164">
        <v>2.3930000000000002E-3</v>
      </c>
      <c r="AI169" s="164">
        <v>3.1187899176574E-2</v>
      </c>
      <c r="AJ169" s="164">
        <v>1.96655623462481E-3</v>
      </c>
    </row>
    <row r="170" spans="1:36">
      <c r="A170" s="2" t="s">
        <v>128</v>
      </c>
      <c r="B170" s="2">
        <v>7228</v>
      </c>
      <c r="C170" s="2" t="s">
        <v>1885</v>
      </c>
      <c r="D170" s="2" t="s">
        <v>1886</v>
      </c>
      <c r="E170" s="4" t="s">
        <v>1376</v>
      </c>
      <c r="F170" s="2" t="s">
        <v>2289</v>
      </c>
      <c r="G170" s="2" t="s">
        <v>2290</v>
      </c>
      <c r="H170" s="2" t="s">
        <v>367</v>
      </c>
      <c r="I170" s="2" t="s">
        <v>219</v>
      </c>
      <c r="J170" s="2" t="s">
        <v>31</v>
      </c>
      <c r="K170" s="2" t="s">
        <v>31</v>
      </c>
      <c r="L170" s="2" t="s">
        <v>373</v>
      </c>
      <c r="M170" s="2" t="s">
        <v>32</v>
      </c>
      <c r="N170" s="2" t="s">
        <v>507</v>
      </c>
      <c r="O170" s="2" t="s">
        <v>164</v>
      </c>
      <c r="P170" s="2" t="s">
        <v>1392</v>
      </c>
      <c r="Q170" s="2" t="s">
        <v>98</v>
      </c>
      <c r="R170" s="2" t="s">
        <v>452</v>
      </c>
      <c r="S170" s="2" t="s">
        <v>35</v>
      </c>
      <c r="T170" s="150">
        <v>4.6890000000000001</v>
      </c>
      <c r="U170" s="2" t="s">
        <v>2291</v>
      </c>
      <c r="V170" s="162">
        <v>1.17E-2</v>
      </c>
      <c r="W170" s="164">
        <v>3.5060000000000001E-2</v>
      </c>
      <c r="X170" s="4" t="s">
        <v>458</v>
      </c>
      <c r="Y170" s="4" t="s">
        <v>164</v>
      </c>
      <c r="Z170" s="150">
        <v>2397394.14</v>
      </c>
      <c r="AA170" s="150">
        <v>1</v>
      </c>
      <c r="AB170" s="150">
        <v>101.69</v>
      </c>
      <c r="AD170" s="150">
        <v>2437.91</v>
      </c>
      <c r="AG170" s="2" t="s">
        <v>37</v>
      </c>
      <c r="AH170" s="164">
        <v>3.4819999999999999E-3</v>
      </c>
      <c r="AI170" s="164">
        <v>1.6520541180526802E-2</v>
      </c>
      <c r="AJ170" s="164">
        <v>1.0417044467792801E-3</v>
      </c>
    </row>
    <row r="171" spans="1:36">
      <c r="A171" s="2" t="s">
        <v>128</v>
      </c>
      <c r="B171" s="2">
        <v>7228</v>
      </c>
      <c r="C171" s="2" t="s">
        <v>1885</v>
      </c>
      <c r="D171" s="2" t="s">
        <v>1886</v>
      </c>
      <c r="E171" s="4" t="s">
        <v>1376</v>
      </c>
      <c r="F171" s="2" t="s">
        <v>2292</v>
      </c>
      <c r="G171" s="2" t="s">
        <v>2293</v>
      </c>
      <c r="H171" s="2" t="s">
        <v>367</v>
      </c>
      <c r="I171" s="2" t="s">
        <v>219</v>
      </c>
      <c r="J171" s="2" t="s">
        <v>31</v>
      </c>
      <c r="K171" s="2" t="s">
        <v>31</v>
      </c>
      <c r="L171" s="2" t="s">
        <v>373</v>
      </c>
      <c r="M171" s="2" t="s">
        <v>32</v>
      </c>
      <c r="N171" s="2" t="s">
        <v>507</v>
      </c>
      <c r="O171" s="2" t="s">
        <v>164</v>
      </c>
      <c r="P171" s="2" t="s">
        <v>1392</v>
      </c>
      <c r="Q171" s="2" t="s">
        <v>98</v>
      </c>
      <c r="R171" s="2" t="s">
        <v>452</v>
      </c>
      <c r="S171" s="2" t="s">
        <v>35</v>
      </c>
      <c r="T171" s="150">
        <v>4.4539999999999997</v>
      </c>
      <c r="U171" s="2" t="s">
        <v>2270</v>
      </c>
      <c r="V171" s="162">
        <v>1.3299999999999999E-2</v>
      </c>
      <c r="W171" s="164">
        <v>3.5150000000000001E-2</v>
      </c>
      <c r="X171" s="4" t="s">
        <v>458</v>
      </c>
      <c r="Y171" s="4" t="s">
        <v>164</v>
      </c>
      <c r="Z171" s="150">
        <v>1615000</v>
      </c>
      <c r="AA171" s="150">
        <v>1</v>
      </c>
      <c r="AB171" s="150">
        <v>103.22</v>
      </c>
      <c r="AD171" s="150">
        <v>1667.0029999999999</v>
      </c>
      <c r="AG171" s="2" t="s">
        <v>37</v>
      </c>
      <c r="AH171" s="164">
        <v>1.3600000000000001E-3</v>
      </c>
      <c r="AI171" s="164">
        <v>1.12964754929434E-2</v>
      </c>
      <c r="AJ171" s="164">
        <v>7.1230044012136201E-4</v>
      </c>
    </row>
    <row r="172" spans="1:36">
      <c r="A172" s="2" t="s">
        <v>128</v>
      </c>
      <c r="B172" s="2">
        <v>7228</v>
      </c>
      <c r="C172" s="2" t="s">
        <v>1877</v>
      </c>
      <c r="D172" s="2" t="s">
        <v>1878</v>
      </c>
      <c r="E172" s="4" t="s">
        <v>1376</v>
      </c>
      <c r="F172" s="2" t="s">
        <v>2294</v>
      </c>
      <c r="G172" s="2" t="s">
        <v>2295</v>
      </c>
      <c r="H172" s="2" t="s">
        <v>367</v>
      </c>
      <c r="I172" s="2" t="s">
        <v>1010</v>
      </c>
      <c r="J172" s="2" t="s">
        <v>31</v>
      </c>
      <c r="K172" s="2" t="s">
        <v>31</v>
      </c>
      <c r="L172" s="2" t="s">
        <v>373</v>
      </c>
      <c r="M172" s="2" t="s">
        <v>32</v>
      </c>
      <c r="N172" s="2" t="s">
        <v>483</v>
      </c>
      <c r="O172" s="2" t="s">
        <v>164</v>
      </c>
      <c r="P172" s="2" t="s">
        <v>2258</v>
      </c>
      <c r="Q172" s="2" t="s">
        <v>217</v>
      </c>
      <c r="R172" s="2" t="s">
        <v>452</v>
      </c>
      <c r="S172" s="2" t="s">
        <v>35</v>
      </c>
      <c r="T172" s="150">
        <v>4.7069999999999999</v>
      </c>
      <c r="U172" s="2" t="s">
        <v>2296</v>
      </c>
      <c r="V172" s="162">
        <v>5.7500000000000002E-2</v>
      </c>
      <c r="W172" s="164">
        <v>6.7390000000000005E-2</v>
      </c>
      <c r="X172" s="4" t="s">
        <v>458</v>
      </c>
      <c r="Y172" s="4" t="s">
        <v>164</v>
      </c>
      <c r="Z172" s="150">
        <v>2229683</v>
      </c>
      <c r="AA172" s="150">
        <v>1</v>
      </c>
      <c r="AB172" s="150">
        <v>97.35</v>
      </c>
      <c r="AD172" s="150">
        <v>2170.596</v>
      </c>
      <c r="AG172" s="2" t="s">
        <v>37</v>
      </c>
      <c r="AH172" s="164">
        <v>4.2469999999999999E-3</v>
      </c>
      <c r="AI172" s="164">
        <v>1.4709085132611901E-2</v>
      </c>
      <c r="AJ172" s="164">
        <v>9.2748289679262397E-4</v>
      </c>
    </row>
    <row r="173" spans="1:36">
      <c r="A173" s="2" t="s">
        <v>128</v>
      </c>
      <c r="B173" s="2">
        <v>7228</v>
      </c>
      <c r="C173" s="2" t="s">
        <v>2297</v>
      </c>
      <c r="D173" s="2" t="s">
        <v>2298</v>
      </c>
      <c r="E173" s="4" t="s">
        <v>1376</v>
      </c>
      <c r="F173" s="2" t="s">
        <v>2305</v>
      </c>
      <c r="G173" s="2" t="s">
        <v>2306</v>
      </c>
      <c r="H173" s="2" t="s">
        <v>367</v>
      </c>
      <c r="I173" s="2" t="s">
        <v>219</v>
      </c>
      <c r="J173" s="2" t="s">
        <v>31</v>
      </c>
      <c r="K173" s="2" t="s">
        <v>31</v>
      </c>
      <c r="L173" s="2" t="s">
        <v>373</v>
      </c>
      <c r="M173" s="2" t="s">
        <v>32</v>
      </c>
      <c r="N173" s="2" t="s">
        <v>507</v>
      </c>
      <c r="O173" s="2" t="s">
        <v>164</v>
      </c>
      <c r="P173" s="2" t="s">
        <v>2247</v>
      </c>
      <c r="Q173" s="2" t="s">
        <v>217</v>
      </c>
      <c r="R173" s="2" t="s">
        <v>452</v>
      </c>
      <c r="S173" s="2" t="s">
        <v>35</v>
      </c>
      <c r="T173" s="150">
        <v>5.37</v>
      </c>
      <c r="U173" s="2" t="s">
        <v>2307</v>
      </c>
      <c r="V173" s="162">
        <v>5.8999999999999999E-3</v>
      </c>
      <c r="W173" s="164">
        <v>3.5549999999999998E-2</v>
      </c>
      <c r="X173" s="4" t="s">
        <v>458</v>
      </c>
      <c r="Y173" s="4" t="s">
        <v>164</v>
      </c>
      <c r="Z173" s="150">
        <v>2348171</v>
      </c>
      <c r="AA173" s="150">
        <v>1</v>
      </c>
      <c r="AB173" s="150">
        <v>94</v>
      </c>
      <c r="AD173" s="150">
        <v>2207.2809999999999</v>
      </c>
      <c r="AG173" s="2" t="s">
        <v>37</v>
      </c>
      <c r="AH173" s="164">
        <v>1.6770000000000001E-3</v>
      </c>
      <c r="AI173" s="164">
        <v>1.4957677212012299E-2</v>
      </c>
      <c r="AJ173" s="164">
        <v>9.4315789628057495E-4</v>
      </c>
    </row>
    <row r="174" spans="1:36">
      <c r="A174" s="2" t="s">
        <v>128</v>
      </c>
      <c r="B174" s="2">
        <v>7228</v>
      </c>
      <c r="C174" s="2" t="s">
        <v>2297</v>
      </c>
      <c r="D174" s="2" t="s">
        <v>2298</v>
      </c>
      <c r="E174" s="4" t="s">
        <v>1376</v>
      </c>
      <c r="F174" s="2" t="s">
        <v>2308</v>
      </c>
      <c r="G174" s="2" t="s">
        <v>2309</v>
      </c>
      <c r="H174" s="2" t="s">
        <v>367</v>
      </c>
      <c r="I174" s="2" t="s">
        <v>219</v>
      </c>
      <c r="J174" s="2" t="s">
        <v>31</v>
      </c>
      <c r="K174" s="2" t="s">
        <v>31</v>
      </c>
      <c r="L174" s="2" t="s">
        <v>373</v>
      </c>
      <c r="M174" s="2" t="s">
        <v>32</v>
      </c>
      <c r="N174" s="2" t="s">
        <v>507</v>
      </c>
      <c r="O174" s="2" t="s">
        <v>164</v>
      </c>
      <c r="P174" s="2" t="s">
        <v>2247</v>
      </c>
      <c r="Q174" s="2" t="s">
        <v>217</v>
      </c>
      <c r="R174" s="2" t="s">
        <v>452</v>
      </c>
      <c r="S174" s="2" t="s">
        <v>35</v>
      </c>
      <c r="T174" s="150">
        <v>1.21</v>
      </c>
      <c r="U174" s="2" t="s">
        <v>2310</v>
      </c>
      <c r="V174" s="162">
        <v>4.7500000000000001E-2</v>
      </c>
      <c r="W174" s="164">
        <v>2.843E-2</v>
      </c>
      <c r="X174" s="4" t="s">
        <v>458</v>
      </c>
      <c r="Y174" s="4" t="s">
        <v>164</v>
      </c>
      <c r="Z174" s="150">
        <v>1071344.68</v>
      </c>
      <c r="AA174" s="150">
        <v>1</v>
      </c>
      <c r="AB174" s="150">
        <v>142.59</v>
      </c>
      <c r="AD174" s="150">
        <v>1527.63</v>
      </c>
      <c r="AG174" s="2" t="s">
        <v>37</v>
      </c>
      <c r="AH174" s="164">
        <v>1.121E-3</v>
      </c>
      <c r="AI174" s="164">
        <v>1.03520144481109E-2</v>
      </c>
      <c r="AJ174" s="164">
        <v>6.5274735045796003E-4</v>
      </c>
    </row>
    <row r="175" spans="1:36">
      <c r="A175" s="2" t="s">
        <v>128</v>
      </c>
      <c r="B175" s="2">
        <v>7228</v>
      </c>
      <c r="C175" s="2" t="s">
        <v>2311</v>
      </c>
      <c r="D175" s="2" t="s">
        <v>2312</v>
      </c>
      <c r="E175" s="4" t="s">
        <v>1376</v>
      </c>
      <c r="F175" s="2" t="s">
        <v>2313</v>
      </c>
      <c r="G175" s="2" t="s">
        <v>2314</v>
      </c>
      <c r="H175" s="2" t="s">
        <v>367</v>
      </c>
      <c r="I175" s="2" t="s">
        <v>219</v>
      </c>
      <c r="J175" s="2" t="s">
        <v>31</v>
      </c>
      <c r="K175" s="2" t="s">
        <v>345</v>
      </c>
      <c r="L175" s="2" t="s">
        <v>373</v>
      </c>
      <c r="M175" s="2" t="s">
        <v>32</v>
      </c>
      <c r="N175" s="2" t="s">
        <v>508</v>
      </c>
      <c r="O175" s="2" t="s">
        <v>164</v>
      </c>
      <c r="P175" s="2" t="s">
        <v>2287</v>
      </c>
      <c r="Q175" s="2" t="s">
        <v>98</v>
      </c>
      <c r="R175" s="2" t="s">
        <v>452</v>
      </c>
      <c r="S175" s="2" t="s">
        <v>35</v>
      </c>
      <c r="T175" s="150">
        <v>0.247</v>
      </c>
      <c r="U175" s="2" t="s">
        <v>2315</v>
      </c>
      <c r="V175" s="162">
        <v>5.3499999999999999E-2</v>
      </c>
      <c r="W175" s="164">
        <v>3.3520000000000001E-2</v>
      </c>
      <c r="X175" s="4" t="s">
        <v>458</v>
      </c>
      <c r="Y175" s="4" t="s">
        <v>164</v>
      </c>
      <c r="Z175" s="150">
        <v>754764.16</v>
      </c>
      <c r="AA175" s="150">
        <v>1</v>
      </c>
      <c r="AB175" s="150">
        <v>119.58</v>
      </c>
      <c r="AD175" s="150">
        <v>902.54700000000003</v>
      </c>
      <c r="AG175" s="2" t="s">
        <v>37</v>
      </c>
      <c r="AH175" s="164">
        <v>2.2829999999999999E-3</v>
      </c>
      <c r="AI175" s="164">
        <v>6.1161256874508402E-3</v>
      </c>
      <c r="AJ175" s="164">
        <v>3.8565294296704998E-4</v>
      </c>
    </row>
    <row r="176" spans="1:36">
      <c r="A176" s="2" t="s">
        <v>128</v>
      </c>
      <c r="B176" s="2">
        <v>7228</v>
      </c>
      <c r="C176" s="2" t="s">
        <v>2316</v>
      </c>
      <c r="D176" s="2" t="s">
        <v>2317</v>
      </c>
      <c r="E176" s="4" t="s">
        <v>1376</v>
      </c>
      <c r="F176" s="2" t="s">
        <v>2318</v>
      </c>
      <c r="G176" s="2" t="s">
        <v>2319</v>
      </c>
      <c r="H176" s="2" t="s">
        <v>367</v>
      </c>
      <c r="I176" s="2" t="s">
        <v>219</v>
      </c>
      <c r="J176" s="2" t="s">
        <v>31</v>
      </c>
      <c r="K176" s="2" t="s">
        <v>31</v>
      </c>
      <c r="L176" s="2" t="s">
        <v>373</v>
      </c>
      <c r="M176" s="2" t="s">
        <v>32</v>
      </c>
      <c r="N176" s="2" t="s">
        <v>494</v>
      </c>
      <c r="O176" s="2" t="s">
        <v>164</v>
      </c>
      <c r="P176" s="2" t="s">
        <v>2258</v>
      </c>
      <c r="Q176" s="2" t="s">
        <v>217</v>
      </c>
      <c r="R176" s="2" t="s">
        <v>452</v>
      </c>
      <c r="S176" s="2" t="s">
        <v>35</v>
      </c>
      <c r="T176" s="150">
        <v>4.3819999999999997</v>
      </c>
      <c r="U176" s="2" t="s">
        <v>2320</v>
      </c>
      <c r="V176" s="162">
        <v>7.4999999999999997E-3</v>
      </c>
      <c r="W176" s="164">
        <v>3.9260000000000003E-2</v>
      </c>
      <c r="X176" s="4" t="s">
        <v>458</v>
      </c>
      <c r="Y176" s="4" t="s">
        <v>164</v>
      </c>
      <c r="Z176" s="150">
        <v>1936489</v>
      </c>
      <c r="AA176" s="150">
        <v>1</v>
      </c>
      <c r="AB176" s="150">
        <v>96.11</v>
      </c>
      <c r="AD176" s="150">
        <v>1861.16</v>
      </c>
      <c r="AG176" s="2" t="s">
        <v>37</v>
      </c>
      <c r="AH176" s="164">
        <v>1.848E-3</v>
      </c>
      <c r="AI176" s="164">
        <v>1.2612180997997199E-2</v>
      </c>
      <c r="AJ176" s="164">
        <v>7.9526238793466999E-4</v>
      </c>
    </row>
    <row r="177" spans="1:36">
      <c r="A177" s="2" t="s">
        <v>128</v>
      </c>
      <c r="B177" s="2">
        <v>7228</v>
      </c>
      <c r="C177" s="2" t="s">
        <v>2321</v>
      </c>
      <c r="D177" s="2" t="s">
        <v>2322</v>
      </c>
      <c r="E177" s="4" t="s">
        <v>1376</v>
      </c>
      <c r="F177" s="2" t="s">
        <v>2323</v>
      </c>
      <c r="G177" s="2" t="s">
        <v>2324</v>
      </c>
      <c r="H177" s="2" t="s">
        <v>367</v>
      </c>
      <c r="I177" s="2" t="s">
        <v>219</v>
      </c>
      <c r="J177" s="2" t="s">
        <v>31</v>
      </c>
      <c r="K177" s="2" t="s">
        <v>31</v>
      </c>
      <c r="L177" s="2" t="s">
        <v>373</v>
      </c>
      <c r="M177" s="2" t="s">
        <v>32</v>
      </c>
      <c r="N177" s="2" t="s">
        <v>491</v>
      </c>
      <c r="O177" s="2" t="s">
        <v>164</v>
      </c>
      <c r="P177" s="2" t="s">
        <v>97</v>
      </c>
      <c r="Q177" s="2" t="s">
        <v>98</v>
      </c>
      <c r="R177" s="2" t="s">
        <v>452</v>
      </c>
      <c r="S177" s="2" t="s">
        <v>35</v>
      </c>
      <c r="T177" s="150">
        <v>5.3019999999999996</v>
      </c>
      <c r="U177" s="2" t="s">
        <v>2325</v>
      </c>
      <c r="V177" s="162">
        <v>2.47E-2</v>
      </c>
      <c r="W177" s="164">
        <v>2.6040000000000001E-2</v>
      </c>
      <c r="X177" s="4" t="s">
        <v>458</v>
      </c>
      <c r="Y177" s="4" t="s">
        <v>164</v>
      </c>
      <c r="Z177" s="150">
        <v>3330214</v>
      </c>
      <c r="AA177" s="150">
        <v>1</v>
      </c>
      <c r="AB177" s="150">
        <v>100.34</v>
      </c>
      <c r="AD177" s="150">
        <v>3341.5369999999998</v>
      </c>
      <c r="AG177" s="2" t="s">
        <v>37</v>
      </c>
      <c r="AH177" s="164">
        <v>2.1310000000000001E-3</v>
      </c>
      <c r="AI177" s="164">
        <v>2.2643983095473601E-2</v>
      </c>
      <c r="AJ177" s="164">
        <v>1.4278187152339699E-3</v>
      </c>
    </row>
    <row r="178" spans="1:36">
      <c r="A178" s="2" t="s">
        <v>128</v>
      </c>
      <c r="B178" s="2">
        <v>7228</v>
      </c>
      <c r="C178" s="2" t="s">
        <v>2326</v>
      </c>
      <c r="D178" s="2" t="s">
        <v>2327</v>
      </c>
      <c r="E178" s="4" t="s">
        <v>1376</v>
      </c>
      <c r="F178" s="2" t="s">
        <v>2328</v>
      </c>
      <c r="G178" s="2" t="s">
        <v>2329</v>
      </c>
      <c r="H178" s="2" t="s">
        <v>367</v>
      </c>
      <c r="I178" s="2" t="s">
        <v>219</v>
      </c>
      <c r="J178" s="2" t="s">
        <v>31</v>
      </c>
      <c r="K178" s="2" t="s">
        <v>31</v>
      </c>
      <c r="L178" s="2" t="s">
        <v>373</v>
      </c>
      <c r="M178" s="2" t="s">
        <v>32</v>
      </c>
      <c r="N178" s="2" t="s">
        <v>494</v>
      </c>
      <c r="O178" s="2" t="s">
        <v>164</v>
      </c>
      <c r="P178" s="2" t="s">
        <v>2330</v>
      </c>
      <c r="Q178" s="2" t="s">
        <v>217</v>
      </c>
      <c r="R178" s="2" t="s">
        <v>452</v>
      </c>
      <c r="S178" s="2" t="s">
        <v>35</v>
      </c>
      <c r="T178" s="150">
        <v>0.97599999999999998</v>
      </c>
      <c r="U178" s="2" t="s">
        <v>2331</v>
      </c>
      <c r="V178" s="162">
        <v>4.9500000000000002E-2</v>
      </c>
      <c r="W178" s="164">
        <v>4.5920000000000002E-2</v>
      </c>
      <c r="X178" s="4" t="s">
        <v>458</v>
      </c>
      <c r="Y178" s="4" t="s">
        <v>386</v>
      </c>
      <c r="Z178" s="150">
        <v>0.8</v>
      </c>
      <c r="AA178" s="150">
        <v>1</v>
      </c>
      <c r="AB178" s="150">
        <v>140.22</v>
      </c>
      <c r="AD178" s="150">
        <v>1E-3</v>
      </c>
      <c r="AG178" s="2" t="s">
        <v>37</v>
      </c>
      <c r="AH178" s="164">
        <v>0</v>
      </c>
      <c r="AI178" s="164">
        <v>7.6016266011304408E-9</v>
      </c>
      <c r="AJ178" s="164">
        <v>4.7932135797628403E-10</v>
      </c>
    </row>
    <row r="179" spans="1:36">
      <c r="A179" s="2" t="s">
        <v>128</v>
      </c>
      <c r="B179" s="2">
        <v>7228</v>
      </c>
      <c r="C179" s="2" t="s">
        <v>2321</v>
      </c>
      <c r="D179" s="2" t="s">
        <v>2322</v>
      </c>
      <c r="E179" s="4" t="s">
        <v>1376</v>
      </c>
      <c r="F179" s="2" t="s">
        <v>2332</v>
      </c>
      <c r="G179" s="2" t="s">
        <v>2333</v>
      </c>
      <c r="H179" s="2" t="s">
        <v>367</v>
      </c>
      <c r="I179" s="2" t="s">
        <v>219</v>
      </c>
      <c r="J179" s="2" t="s">
        <v>31</v>
      </c>
      <c r="K179" s="2" t="s">
        <v>31</v>
      </c>
      <c r="L179" s="2" t="s">
        <v>373</v>
      </c>
      <c r="M179" s="2" t="s">
        <v>32</v>
      </c>
      <c r="N179" s="2" t="s">
        <v>491</v>
      </c>
      <c r="O179" s="2" t="s">
        <v>164</v>
      </c>
      <c r="P179" s="2" t="s">
        <v>1392</v>
      </c>
      <c r="Q179" s="2" t="s">
        <v>98</v>
      </c>
      <c r="R179" s="2" t="s">
        <v>452</v>
      </c>
      <c r="S179" s="2" t="s">
        <v>35</v>
      </c>
      <c r="T179" s="150">
        <v>4.1150000000000002</v>
      </c>
      <c r="U179" s="2" t="s">
        <v>2334</v>
      </c>
      <c r="V179" s="162">
        <v>3.1699999999999999E-2</v>
      </c>
      <c r="W179" s="164">
        <v>3.594E-2</v>
      </c>
      <c r="X179" s="4" t="s">
        <v>458</v>
      </c>
      <c r="Y179" s="4" t="s">
        <v>164</v>
      </c>
      <c r="Z179" s="150">
        <v>3000000</v>
      </c>
      <c r="AA179" s="150">
        <v>1</v>
      </c>
      <c r="AB179" s="150">
        <v>105.55</v>
      </c>
      <c r="AD179" s="150">
        <v>3166.5</v>
      </c>
      <c r="AG179" s="2" t="s">
        <v>37</v>
      </c>
      <c r="AH179" s="164">
        <v>3.552E-3</v>
      </c>
      <c r="AI179" s="164">
        <v>2.1457843596205499E-2</v>
      </c>
      <c r="AJ179" s="164">
        <v>1.3530265654256701E-3</v>
      </c>
    </row>
    <row r="180" spans="1:36">
      <c r="A180" s="2" t="s">
        <v>128</v>
      </c>
      <c r="B180" s="2">
        <v>7228</v>
      </c>
      <c r="C180" s="2" t="s">
        <v>2335</v>
      </c>
      <c r="D180" s="2" t="s">
        <v>2336</v>
      </c>
      <c r="E180" s="4" t="s">
        <v>1376</v>
      </c>
      <c r="F180" s="2" t="s">
        <v>2340</v>
      </c>
      <c r="G180" s="2" t="s">
        <v>2341</v>
      </c>
      <c r="H180" s="2" t="s">
        <v>367</v>
      </c>
      <c r="I180" s="2" t="s">
        <v>219</v>
      </c>
      <c r="J180" s="2" t="s">
        <v>31</v>
      </c>
      <c r="K180" s="2" t="s">
        <v>31</v>
      </c>
      <c r="L180" s="2" t="s">
        <v>373</v>
      </c>
      <c r="M180" s="2" t="s">
        <v>32</v>
      </c>
      <c r="N180" s="2" t="s">
        <v>483</v>
      </c>
      <c r="O180" s="2" t="s">
        <v>164</v>
      </c>
      <c r="P180" s="2" t="s">
        <v>2287</v>
      </c>
      <c r="Q180" s="2" t="s">
        <v>98</v>
      </c>
      <c r="R180" s="2" t="s">
        <v>452</v>
      </c>
      <c r="S180" s="2" t="s">
        <v>35</v>
      </c>
      <c r="T180" s="150">
        <v>5.9729999999999999</v>
      </c>
      <c r="U180" s="2" t="s">
        <v>2342</v>
      </c>
      <c r="V180" s="162">
        <v>3.3000000000000002E-2</v>
      </c>
      <c r="W180" s="164">
        <v>4.1739999999999999E-2</v>
      </c>
      <c r="X180" s="4" t="s">
        <v>458</v>
      </c>
      <c r="Y180" s="4" t="s">
        <v>164</v>
      </c>
      <c r="Z180" s="150">
        <v>3935167.95</v>
      </c>
      <c r="AA180" s="150">
        <v>1</v>
      </c>
      <c r="AB180" s="150">
        <v>100.71</v>
      </c>
      <c r="AD180" s="150">
        <v>3963.1080000000002</v>
      </c>
      <c r="AG180" s="2" t="s">
        <v>37</v>
      </c>
      <c r="AH180" s="164">
        <v>3.143E-3</v>
      </c>
      <c r="AI180" s="164">
        <v>2.6856069460449002E-2</v>
      </c>
      <c r="AJ180" s="164">
        <v>1.6934122601830401E-3</v>
      </c>
    </row>
    <row r="181" spans="1:36">
      <c r="A181" s="2" t="s">
        <v>128</v>
      </c>
      <c r="B181" s="2">
        <v>7228</v>
      </c>
      <c r="C181" s="2" t="s">
        <v>2159</v>
      </c>
      <c r="D181" s="2" t="s">
        <v>2160</v>
      </c>
      <c r="E181" s="4" t="s">
        <v>1376</v>
      </c>
      <c r="F181" s="2" t="s">
        <v>2343</v>
      </c>
      <c r="G181" s="2" t="s">
        <v>2344</v>
      </c>
      <c r="H181" s="2" t="s">
        <v>367</v>
      </c>
      <c r="I181" s="2" t="s">
        <v>219</v>
      </c>
      <c r="J181" s="2" t="s">
        <v>31</v>
      </c>
      <c r="K181" s="2" t="s">
        <v>31</v>
      </c>
      <c r="L181" s="2" t="s">
        <v>373</v>
      </c>
      <c r="M181" s="2" t="s">
        <v>32</v>
      </c>
      <c r="N181" s="2" t="s">
        <v>507</v>
      </c>
      <c r="O181" s="2" t="s">
        <v>164</v>
      </c>
      <c r="P181" s="2" t="s">
        <v>2228</v>
      </c>
      <c r="Q181" s="2" t="s">
        <v>217</v>
      </c>
      <c r="R181" s="2" t="s">
        <v>452</v>
      </c>
      <c r="S181" s="2" t="s">
        <v>35</v>
      </c>
      <c r="T181" s="150">
        <v>2.3730000000000002</v>
      </c>
      <c r="U181" s="2" t="s">
        <v>2237</v>
      </c>
      <c r="V181" s="162">
        <v>3.6499999999999998E-2</v>
      </c>
      <c r="W181" s="164">
        <v>3.7539999999999997E-2</v>
      </c>
      <c r="X181" s="4" t="s">
        <v>458</v>
      </c>
      <c r="Y181" s="4" t="s">
        <v>164</v>
      </c>
      <c r="Z181" s="150">
        <v>1720000</v>
      </c>
      <c r="AA181" s="150">
        <v>1</v>
      </c>
      <c r="AB181" s="150">
        <v>105.01</v>
      </c>
      <c r="AD181" s="150">
        <v>1806.172</v>
      </c>
      <c r="AG181" s="2" t="s">
        <v>37</v>
      </c>
      <c r="AH181" s="164">
        <v>5.2750000000000002E-3</v>
      </c>
      <c r="AI181" s="164">
        <v>1.2239556697882801E-2</v>
      </c>
      <c r="AJ181" s="164">
        <v>7.7176652383641902E-4</v>
      </c>
    </row>
    <row r="182" spans="1:36">
      <c r="A182" s="2" t="s">
        <v>128</v>
      </c>
      <c r="B182" s="2">
        <v>7228</v>
      </c>
      <c r="C182" s="2" t="s">
        <v>2159</v>
      </c>
      <c r="D182" s="2" t="s">
        <v>2160</v>
      </c>
      <c r="E182" s="4" t="s">
        <v>1376</v>
      </c>
      <c r="F182" s="2" t="s">
        <v>2345</v>
      </c>
      <c r="G182" s="2" t="s">
        <v>2346</v>
      </c>
      <c r="H182" s="2" t="s">
        <v>367</v>
      </c>
      <c r="I182" s="2" t="s">
        <v>219</v>
      </c>
      <c r="J182" s="2" t="s">
        <v>31</v>
      </c>
      <c r="K182" s="2" t="s">
        <v>31</v>
      </c>
      <c r="L182" s="2" t="s">
        <v>373</v>
      </c>
      <c r="M182" s="2" t="s">
        <v>32</v>
      </c>
      <c r="N182" s="2" t="s">
        <v>507</v>
      </c>
      <c r="O182" s="2" t="s">
        <v>164</v>
      </c>
      <c r="P182" s="2" t="s">
        <v>2275</v>
      </c>
      <c r="Q182" s="2" t="s">
        <v>217</v>
      </c>
      <c r="R182" s="2" t="s">
        <v>452</v>
      </c>
      <c r="S182" s="2" t="s">
        <v>35</v>
      </c>
      <c r="T182" s="150">
        <v>3.028</v>
      </c>
      <c r="U182" s="2" t="s">
        <v>1371</v>
      </c>
      <c r="V182" s="162">
        <v>1.7999999999999999E-2</v>
      </c>
      <c r="W182" s="164">
        <v>3.0200000000000001E-2</v>
      </c>
      <c r="X182" s="4" t="s">
        <v>458</v>
      </c>
      <c r="Y182" s="4" t="s">
        <v>164</v>
      </c>
      <c r="Z182" s="150">
        <v>1805813.65</v>
      </c>
      <c r="AA182" s="150">
        <v>1</v>
      </c>
      <c r="AB182" s="150">
        <v>110.52</v>
      </c>
      <c r="AD182" s="150">
        <v>1995.7850000000001</v>
      </c>
      <c r="AG182" s="2" t="s">
        <v>37</v>
      </c>
      <c r="AH182" s="164">
        <v>2.2899999999999999E-3</v>
      </c>
      <c r="AI182" s="164">
        <v>1.35244742333344E-2</v>
      </c>
      <c r="AJ182" s="164">
        <v>8.52787133016123E-4</v>
      </c>
    </row>
    <row r="183" spans="1:36">
      <c r="A183" s="2" t="s">
        <v>128</v>
      </c>
      <c r="B183" s="2">
        <v>7228</v>
      </c>
      <c r="C183" s="2" t="s">
        <v>2347</v>
      </c>
      <c r="D183" s="2" t="s">
        <v>2348</v>
      </c>
      <c r="E183" s="4" t="s">
        <v>1376</v>
      </c>
      <c r="F183" s="2" t="s">
        <v>2349</v>
      </c>
      <c r="G183" s="2" t="s">
        <v>2350</v>
      </c>
      <c r="H183" s="2" t="s">
        <v>367</v>
      </c>
      <c r="I183" s="2" t="s">
        <v>1010</v>
      </c>
      <c r="J183" s="2" t="s">
        <v>31</v>
      </c>
      <c r="K183" s="2" t="s">
        <v>31</v>
      </c>
      <c r="L183" s="2" t="s">
        <v>373</v>
      </c>
      <c r="M183" s="2" t="s">
        <v>32</v>
      </c>
      <c r="N183" s="2" t="s">
        <v>488</v>
      </c>
      <c r="O183" s="2" t="s">
        <v>164</v>
      </c>
      <c r="P183" s="2" t="s">
        <v>1392</v>
      </c>
      <c r="Q183" s="2" t="s">
        <v>98</v>
      </c>
      <c r="R183" s="2" t="s">
        <v>452</v>
      </c>
      <c r="S183" s="2" t="s">
        <v>35</v>
      </c>
      <c r="T183" s="150">
        <v>6.6689999999999996</v>
      </c>
      <c r="U183" s="2" t="s">
        <v>2351</v>
      </c>
      <c r="V183" s="162">
        <v>3.0499999999999999E-2</v>
      </c>
      <c r="W183" s="164">
        <v>6.0159999999999998E-2</v>
      </c>
      <c r="X183" s="4" t="s">
        <v>458</v>
      </c>
      <c r="Y183" s="4" t="s">
        <v>164</v>
      </c>
      <c r="Z183" s="150">
        <v>1926852</v>
      </c>
      <c r="AA183" s="150">
        <v>1</v>
      </c>
      <c r="AB183" s="150">
        <v>82.6</v>
      </c>
      <c r="AD183" s="150">
        <v>1591.58</v>
      </c>
      <c r="AG183" s="2" t="s">
        <v>37</v>
      </c>
      <c r="AH183" s="164">
        <v>2.823E-3</v>
      </c>
      <c r="AI183" s="164">
        <v>1.07853685107543E-2</v>
      </c>
      <c r="AJ183" s="164">
        <v>6.8007253606493104E-4</v>
      </c>
    </row>
    <row r="184" spans="1:36">
      <c r="A184" s="2" t="s">
        <v>128</v>
      </c>
      <c r="B184" s="2">
        <v>7228</v>
      </c>
      <c r="C184" s="2" t="s">
        <v>2347</v>
      </c>
      <c r="D184" s="2" t="s">
        <v>2348</v>
      </c>
      <c r="E184" s="4" t="s">
        <v>1376</v>
      </c>
      <c r="F184" s="2" t="s">
        <v>2526</v>
      </c>
      <c r="G184" s="2" t="s">
        <v>2527</v>
      </c>
      <c r="H184" s="2" t="s">
        <v>367</v>
      </c>
      <c r="I184" s="2" t="s">
        <v>219</v>
      </c>
      <c r="J184" s="2" t="s">
        <v>31</v>
      </c>
      <c r="K184" s="2" t="s">
        <v>31</v>
      </c>
      <c r="L184" s="2" t="s">
        <v>373</v>
      </c>
      <c r="M184" s="2" t="s">
        <v>32</v>
      </c>
      <c r="N184" s="2" t="s">
        <v>488</v>
      </c>
      <c r="O184" s="2" t="s">
        <v>164</v>
      </c>
      <c r="P184" s="2" t="s">
        <v>1392</v>
      </c>
      <c r="Q184" s="2" t="s">
        <v>98</v>
      </c>
      <c r="R184" s="2" t="s">
        <v>452</v>
      </c>
      <c r="S184" s="2" t="s">
        <v>35</v>
      </c>
      <c r="T184" s="150">
        <v>2.44</v>
      </c>
      <c r="U184" s="2" t="s">
        <v>2394</v>
      </c>
      <c r="V184" s="162">
        <v>2.4E-2</v>
      </c>
      <c r="W184" s="164">
        <v>2.2759999999999999E-2</v>
      </c>
      <c r="X184" s="4" t="s">
        <v>458</v>
      </c>
      <c r="Y184" s="4" t="s">
        <v>164</v>
      </c>
      <c r="Z184" s="150">
        <v>16877.099999999999</v>
      </c>
      <c r="AA184" s="150">
        <v>1</v>
      </c>
      <c r="AB184" s="150">
        <v>113.85</v>
      </c>
      <c r="AD184" s="150">
        <v>19.215</v>
      </c>
      <c r="AG184" s="2" t="s">
        <v>37</v>
      </c>
      <c r="AH184" s="164">
        <v>5.7000000000000003E-5</v>
      </c>
      <c r="AI184" s="164">
        <v>1.3020793210211199E-4</v>
      </c>
      <c r="AJ184" s="164">
        <v>8.2102747358291499E-6</v>
      </c>
    </row>
    <row r="185" spans="1:36">
      <c r="A185" s="2" t="s">
        <v>128</v>
      </c>
      <c r="B185" s="2">
        <v>7228</v>
      </c>
      <c r="C185" s="2" t="s">
        <v>2347</v>
      </c>
      <c r="D185" s="2" t="s">
        <v>2348</v>
      </c>
      <c r="E185" s="4" t="s">
        <v>1376</v>
      </c>
      <c r="F185" s="2" t="s">
        <v>2352</v>
      </c>
      <c r="G185" s="2" t="s">
        <v>2353</v>
      </c>
      <c r="H185" s="2" t="s">
        <v>367</v>
      </c>
      <c r="I185" s="2" t="s">
        <v>1010</v>
      </c>
      <c r="J185" s="2" t="s">
        <v>31</v>
      </c>
      <c r="K185" s="2" t="s">
        <v>31</v>
      </c>
      <c r="L185" s="2" t="s">
        <v>373</v>
      </c>
      <c r="M185" s="2" t="s">
        <v>32</v>
      </c>
      <c r="N185" s="2" t="s">
        <v>488</v>
      </c>
      <c r="O185" s="2" t="s">
        <v>164</v>
      </c>
      <c r="P185" s="2" t="s">
        <v>1387</v>
      </c>
      <c r="Q185" s="2" t="s">
        <v>217</v>
      </c>
      <c r="R185" s="2" t="s">
        <v>452</v>
      </c>
      <c r="S185" s="2" t="s">
        <v>35</v>
      </c>
      <c r="T185" s="150">
        <v>4.9290000000000003</v>
      </c>
      <c r="U185" s="2" t="s">
        <v>2354</v>
      </c>
      <c r="V185" s="162">
        <v>4.3799999999999999E-2</v>
      </c>
      <c r="W185" s="164">
        <v>5.5509999999999997E-2</v>
      </c>
      <c r="X185" s="4" t="s">
        <v>458</v>
      </c>
      <c r="Y185" s="4" t="s">
        <v>164</v>
      </c>
      <c r="Z185" s="150">
        <v>935000</v>
      </c>
      <c r="AA185" s="150">
        <v>1</v>
      </c>
      <c r="AB185" s="150">
        <v>94.29</v>
      </c>
      <c r="AD185" s="150">
        <v>881.61199999999997</v>
      </c>
      <c r="AG185" s="2" t="s">
        <v>37</v>
      </c>
      <c r="AH185" s="164">
        <v>1.8699999999999999E-3</v>
      </c>
      <c r="AI185" s="164">
        <v>5.9742560175639198E-3</v>
      </c>
      <c r="AJ185" s="164">
        <v>3.7670733613920002E-4</v>
      </c>
    </row>
    <row r="186" spans="1:36">
      <c r="A186" s="2" t="s">
        <v>128</v>
      </c>
      <c r="B186" s="2">
        <v>7228</v>
      </c>
      <c r="C186" s="2" t="s">
        <v>2355</v>
      </c>
      <c r="D186" s="2" t="s">
        <v>2356</v>
      </c>
      <c r="E186" s="4" t="s">
        <v>1376</v>
      </c>
      <c r="F186" s="2" t="s">
        <v>2357</v>
      </c>
      <c r="G186" s="2" t="s">
        <v>2358</v>
      </c>
      <c r="H186" s="2" t="s">
        <v>367</v>
      </c>
      <c r="I186" s="2" t="s">
        <v>219</v>
      </c>
      <c r="J186" s="2" t="s">
        <v>31</v>
      </c>
      <c r="K186" s="2" t="s">
        <v>31</v>
      </c>
      <c r="L186" s="2" t="s">
        <v>373</v>
      </c>
      <c r="M186" s="2" t="s">
        <v>32</v>
      </c>
      <c r="N186" s="2" t="s">
        <v>491</v>
      </c>
      <c r="O186" s="2" t="s">
        <v>164</v>
      </c>
      <c r="P186" s="2" t="s">
        <v>1387</v>
      </c>
      <c r="Q186" s="2" t="s">
        <v>98</v>
      </c>
      <c r="R186" s="2" t="s">
        <v>452</v>
      </c>
      <c r="S186" s="2" t="s">
        <v>35</v>
      </c>
      <c r="T186" s="150">
        <v>4.7489999999999997</v>
      </c>
      <c r="U186" s="2" t="s">
        <v>2359</v>
      </c>
      <c r="V186" s="162">
        <v>2.5899999999999999E-2</v>
      </c>
      <c r="W186" s="164">
        <v>2.751E-2</v>
      </c>
      <c r="X186" s="4" t="s">
        <v>458</v>
      </c>
      <c r="Y186" s="4" t="s">
        <v>164</v>
      </c>
      <c r="Z186" s="150">
        <v>2010000</v>
      </c>
      <c r="AA186" s="150">
        <v>1</v>
      </c>
      <c r="AB186" s="150">
        <v>102.32</v>
      </c>
      <c r="AD186" s="150">
        <v>2056.6320000000001</v>
      </c>
      <c r="AG186" s="2" t="s">
        <v>37</v>
      </c>
      <c r="AH186" s="164">
        <v>4.4669999999999996E-3</v>
      </c>
      <c r="AI186" s="164">
        <v>1.3936803344687001E-2</v>
      </c>
      <c r="AJ186" s="164">
        <v>8.7878658812712198E-4</v>
      </c>
    </row>
    <row r="187" spans="1:36">
      <c r="A187" s="2" t="s">
        <v>128</v>
      </c>
      <c r="B187" s="2">
        <v>7228</v>
      </c>
      <c r="C187" s="2" t="s">
        <v>1941</v>
      </c>
      <c r="D187" s="2" t="s">
        <v>1942</v>
      </c>
      <c r="E187" s="4" t="s">
        <v>1376</v>
      </c>
      <c r="F187" s="2" t="s">
        <v>2365</v>
      </c>
      <c r="G187" s="2" t="s">
        <v>2366</v>
      </c>
      <c r="H187" s="2" t="s">
        <v>367</v>
      </c>
      <c r="I187" s="2" t="s">
        <v>1010</v>
      </c>
      <c r="J187" s="2" t="s">
        <v>31</v>
      </c>
      <c r="K187" s="2" t="s">
        <v>31</v>
      </c>
      <c r="L187" s="2" t="s">
        <v>373</v>
      </c>
      <c r="M187" s="2" t="s">
        <v>32</v>
      </c>
      <c r="N187" s="2" t="s">
        <v>488</v>
      </c>
      <c r="O187" s="2" t="s">
        <v>164</v>
      </c>
      <c r="P187" s="2" t="s">
        <v>1387</v>
      </c>
      <c r="Q187" s="2" t="s">
        <v>217</v>
      </c>
      <c r="R187" s="2" t="s">
        <v>452</v>
      </c>
      <c r="S187" s="2" t="s">
        <v>35</v>
      </c>
      <c r="T187" s="150">
        <v>3.395</v>
      </c>
      <c r="U187" s="2" t="s">
        <v>2367</v>
      </c>
      <c r="V187" s="162">
        <v>4.7E-2</v>
      </c>
      <c r="W187" s="164">
        <v>5.5599999999999997E-2</v>
      </c>
      <c r="X187" s="4" t="s">
        <v>458</v>
      </c>
      <c r="Y187" s="4" t="s">
        <v>164</v>
      </c>
      <c r="Z187" s="150">
        <v>1282000</v>
      </c>
      <c r="AA187" s="150">
        <v>1</v>
      </c>
      <c r="AB187" s="150">
        <v>98.75</v>
      </c>
      <c r="AD187" s="150">
        <v>1265.9749999999999</v>
      </c>
      <c r="AG187" s="2" t="s">
        <v>37</v>
      </c>
      <c r="AH187" s="164">
        <v>1.426E-3</v>
      </c>
      <c r="AI187" s="164">
        <v>8.5789021148606707E-3</v>
      </c>
      <c r="AJ187" s="164">
        <v>5.4094356739768396E-4</v>
      </c>
    </row>
    <row r="188" spans="1:36">
      <c r="A188" s="2" t="s">
        <v>128</v>
      </c>
      <c r="B188" s="2">
        <v>7228</v>
      </c>
      <c r="C188" s="2" t="s">
        <v>2368</v>
      </c>
      <c r="D188" s="2" t="s">
        <v>2369</v>
      </c>
      <c r="E188" s="4" t="s">
        <v>1376</v>
      </c>
      <c r="F188" s="2" t="s">
        <v>2370</v>
      </c>
      <c r="G188" s="2" t="s">
        <v>2371</v>
      </c>
      <c r="H188" s="2" t="s">
        <v>367</v>
      </c>
      <c r="I188" s="2" t="s">
        <v>1010</v>
      </c>
      <c r="J188" s="2" t="s">
        <v>31</v>
      </c>
      <c r="K188" s="2" t="s">
        <v>31</v>
      </c>
      <c r="L188" s="2" t="s">
        <v>373</v>
      </c>
      <c r="M188" s="2" t="s">
        <v>32</v>
      </c>
      <c r="N188" s="2" t="s">
        <v>522</v>
      </c>
      <c r="O188" s="2" t="s">
        <v>164</v>
      </c>
      <c r="P188" s="2" t="s">
        <v>1392</v>
      </c>
      <c r="Q188" s="2" t="s">
        <v>98</v>
      </c>
      <c r="R188" s="2" t="s">
        <v>452</v>
      </c>
      <c r="S188" s="2" t="s">
        <v>35</v>
      </c>
      <c r="T188" s="150">
        <v>7.6660000000000004</v>
      </c>
      <c r="U188" s="2" t="s">
        <v>2372</v>
      </c>
      <c r="V188" s="162">
        <v>5.3100000000000001E-2</v>
      </c>
      <c r="W188" s="164">
        <v>6.3140000000000002E-2</v>
      </c>
      <c r="X188" s="4" t="s">
        <v>458</v>
      </c>
      <c r="Y188" s="4" t="s">
        <v>164</v>
      </c>
      <c r="Z188" s="150">
        <v>3444043</v>
      </c>
      <c r="AA188" s="150">
        <v>1</v>
      </c>
      <c r="AB188" s="150">
        <v>95.33</v>
      </c>
      <c r="AD188" s="150">
        <v>3283.2060000000001</v>
      </c>
      <c r="AG188" s="2" t="s">
        <v>37</v>
      </c>
      <c r="AH188" s="164">
        <v>2.7049999999999999E-3</v>
      </c>
      <c r="AI188" s="164">
        <v>2.2248705182341299E-2</v>
      </c>
      <c r="AJ188" s="164">
        <v>1.40289442520472E-3</v>
      </c>
    </row>
    <row r="189" spans="1:36">
      <c r="A189" s="2" t="s">
        <v>128</v>
      </c>
      <c r="B189" s="2">
        <v>7228</v>
      </c>
      <c r="C189" s="2" t="s">
        <v>1222</v>
      </c>
      <c r="D189" s="2" t="s">
        <v>1945</v>
      </c>
      <c r="E189" s="4" t="s">
        <v>1376</v>
      </c>
      <c r="F189" s="2" t="s">
        <v>2373</v>
      </c>
      <c r="G189" s="2" t="s">
        <v>2374</v>
      </c>
      <c r="H189" s="2" t="s">
        <v>367</v>
      </c>
      <c r="I189" s="2" t="s">
        <v>219</v>
      </c>
      <c r="J189" s="2" t="s">
        <v>31</v>
      </c>
      <c r="K189" s="2" t="s">
        <v>31</v>
      </c>
      <c r="L189" s="2" t="s">
        <v>373</v>
      </c>
      <c r="M189" s="2" t="s">
        <v>32</v>
      </c>
      <c r="N189" s="2" t="s">
        <v>491</v>
      </c>
      <c r="O189" s="2" t="s">
        <v>164</v>
      </c>
      <c r="P189" s="2" t="s">
        <v>97</v>
      </c>
      <c r="Q189" s="2" t="s">
        <v>98</v>
      </c>
      <c r="R189" s="2" t="s">
        <v>452</v>
      </c>
      <c r="S189" s="2" t="s">
        <v>35</v>
      </c>
      <c r="T189" s="150">
        <v>1.986</v>
      </c>
      <c r="U189" s="2" t="s">
        <v>2375</v>
      </c>
      <c r="V189" s="162">
        <v>8.3000000000000001E-3</v>
      </c>
      <c r="W189" s="164">
        <v>2.0129999999999999E-2</v>
      </c>
      <c r="X189" s="4" t="s">
        <v>458</v>
      </c>
      <c r="Y189" s="4" t="s">
        <v>164</v>
      </c>
      <c r="Z189" s="150">
        <v>1051282.5</v>
      </c>
      <c r="AA189" s="150">
        <v>1</v>
      </c>
      <c r="AB189" s="150">
        <v>110.75</v>
      </c>
      <c r="AD189" s="150">
        <v>1164.2950000000001</v>
      </c>
      <c r="AG189" s="2" t="s">
        <v>37</v>
      </c>
      <c r="AH189" s="164">
        <v>3.4600000000000001E-4</v>
      </c>
      <c r="AI189" s="164">
        <v>7.8898682843593707E-3</v>
      </c>
      <c r="AJ189" s="164">
        <v>4.9749646736801803E-4</v>
      </c>
    </row>
    <row r="190" spans="1:36">
      <c r="A190" s="2" t="s">
        <v>128</v>
      </c>
      <c r="B190" s="2">
        <v>7228</v>
      </c>
      <c r="C190" s="2" t="s">
        <v>2382</v>
      </c>
      <c r="D190" s="2" t="s">
        <v>2383</v>
      </c>
      <c r="E190" s="4" t="s">
        <v>1376</v>
      </c>
      <c r="F190" s="2" t="s">
        <v>2528</v>
      </c>
      <c r="G190" s="2" t="s">
        <v>2529</v>
      </c>
      <c r="H190" s="2" t="s">
        <v>367</v>
      </c>
      <c r="I190" s="2" t="s">
        <v>1010</v>
      </c>
      <c r="J190" s="2" t="s">
        <v>31</v>
      </c>
      <c r="K190" s="2" t="s">
        <v>31</v>
      </c>
      <c r="L190" s="2" t="s">
        <v>373</v>
      </c>
      <c r="M190" s="2" t="s">
        <v>32</v>
      </c>
      <c r="N190" s="2" t="s">
        <v>488</v>
      </c>
      <c r="O190" s="2" t="s">
        <v>164</v>
      </c>
      <c r="P190" s="2" t="s">
        <v>1380</v>
      </c>
      <c r="Q190" s="2" t="s">
        <v>98</v>
      </c>
      <c r="R190" s="2" t="s">
        <v>452</v>
      </c>
      <c r="S190" s="2" t="s">
        <v>35</v>
      </c>
      <c r="T190" s="150">
        <v>2.38</v>
      </c>
      <c r="U190" s="2" t="s">
        <v>2394</v>
      </c>
      <c r="V190" s="162">
        <v>4.1000000000000002E-2</v>
      </c>
      <c r="W190" s="164">
        <v>5.3969999999999997E-2</v>
      </c>
      <c r="X190" s="4" t="s">
        <v>458</v>
      </c>
      <c r="Y190" s="4" t="s">
        <v>164</v>
      </c>
      <c r="Z190" s="150">
        <v>1220000</v>
      </c>
      <c r="AA190" s="150">
        <v>1</v>
      </c>
      <c r="AB190" s="150">
        <v>98.89</v>
      </c>
      <c r="AD190" s="150">
        <v>1206.4580000000001</v>
      </c>
      <c r="AG190" s="2" t="s">
        <v>37</v>
      </c>
      <c r="AH190" s="164">
        <v>1.7110000000000001E-3</v>
      </c>
      <c r="AI190" s="164">
        <v>8.1755841052868899E-3</v>
      </c>
      <c r="AJ190" s="164">
        <v>5.15512308248959E-4</v>
      </c>
    </row>
    <row r="191" spans="1:36">
      <c r="A191" s="2" t="s">
        <v>128</v>
      </c>
      <c r="B191" s="2">
        <v>7228</v>
      </c>
      <c r="C191" s="2" t="s">
        <v>2382</v>
      </c>
      <c r="D191" s="2" t="s">
        <v>2383</v>
      </c>
      <c r="E191" s="4" t="s">
        <v>1376</v>
      </c>
      <c r="F191" s="2" t="s">
        <v>2384</v>
      </c>
      <c r="G191" s="2" t="s">
        <v>2385</v>
      </c>
      <c r="H191" s="2" t="s">
        <v>367</v>
      </c>
      <c r="I191" s="2" t="s">
        <v>1010</v>
      </c>
      <c r="J191" s="2" t="s">
        <v>31</v>
      </c>
      <c r="K191" s="2" t="s">
        <v>31</v>
      </c>
      <c r="L191" s="2" t="s">
        <v>373</v>
      </c>
      <c r="M191" s="2" t="s">
        <v>118</v>
      </c>
      <c r="N191" s="2" t="s">
        <v>488</v>
      </c>
      <c r="O191" s="2" t="s">
        <v>164</v>
      </c>
      <c r="P191" s="2" t="s">
        <v>1380</v>
      </c>
      <c r="Q191" s="2" t="s">
        <v>98</v>
      </c>
      <c r="R191" s="2" t="s">
        <v>452</v>
      </c>
      <c r="S191" s="2" t="s">
        <v>35</v>
      </c>
      <c r="T191" s="150">
        <v>6.7270000000000003</v>
      </c>
      <c r="U191" s="2" t="s">
        <v>2386</v>
      </c>
      <c r="V191" s="162">
        <v>6.0699999999999997E-2</v>
      </c>
      <c r="W191" s="164">
        <v>6.4210000000000003E-2</v>
      </c>
      <c r="X191" s="4" t="s">
        <v>458</v>
      </c>
      <c r="Y191" s="4" t="s">
        <v>164</v>
      </c>
      <c r="Z191" s="150">
        <v>222672</v>
      </c>
      <c r="AA191" s="150">
        <v>1</v>
      </c>
      <c r="AB191" s="150">
        <v>98.77</v>
      </c>
      <c r="AD191" s="150">
        <v>219.93299999999999</v>
      </c>
      <c r="AG191" s="2" t="s">
        <v>37</v>
      </c>
      <c r="AH191" s="164">
        <v>1.059E-3</v>
      </c>
      <c r="AI191" s="164">
        <v>1.4903807988562901E-3</v>
      </c>
      <c r="AJ191" s="164">
        <v>9.3976116677888796E-5</v>
      </c>
    </row>
    <row r="192" spans="1:36">
      <c r="A192" s="2" t="s">
        <v>128</v>
      </c>
      <c r="B192" s="2">
        <v>7228</v>
      </c>
      <c r="C192" s="2" t="s">
        <v>1948</v>
      </c>
      <c r="D192" s="2" t="s">
        <v>1949</v>
      </c>
      <c r="E192" s="4" t="s">
        <v>1376</v>
      </c>
      <c r="F192" s="2" t="s">
        <v>2387</v>
      </c>
      <c r="G192" s="2" t="s">
        <v>2388</v>
      </c>
      <c r="H192" s="2" t="s">
        <v>367</v>
      </c>
      <c r="I192" s="2" t="s">
        <v>1010</v>
      </c>
      <c r="J192" s="2" t="s">
        <v>31</v>
      </c>
      <c r="K192" s="2" t="s">
        <v>31</v>
      </c>
      <c r="L192" s="2" t="s">
        <v>373</v>
      </c>
      <c r="M192" s="2" t="s">
        <v>32</v>
      </c>
      <c r="N192" s="2" t="s">
        <v>507</v>
      </c>
      <c r="O192" s="2" t="s">
        <v>164</v>
      </c>
      <c r="P192" s="2" t="s">
        <v>2217</v>
      </c>
      <c r="Q192" s="2" t="s">
        <v>98</v>
      </c>
      <c r="R192" s="2" t="s">
        <v>452</v>
      </c>
      <c r="S192" s="2" t="s">
        <v>35</v>
      </c>
      <c r="T192" s="150">
        <v>5.5549999999999997</v>
      </c>
      <c r="U192" s="2" t="s">
        <v>2389</v>
      </c>
      <c r="V192" s="162">
        <v>5.4800000000000001E-2</v>
      </c>
      <c r="W192" s="164">
        <v>6.3250000000000001E-2</v>
      </c>
      <c r="X192" s="4" t="s">
        <v>458</v>
      </c>
      <c r="Y192" s="4" t="s">
        <v>164</v>
      </c>
      <c r="Z192" s="150">
        <v>2160000</v>
      </c>
      <c r="AA192" s="150">
        <v>1</v>
      </c>
      <c r="AB192" s="150">
        <v>95.98</v>
      </c>
      <c r="AD192" s="150">
        <v>2073.1680000000001</v>
      </c>
      <c r="AG192" s="2" t="s">
        <v>37</v>
      </c>
      <c r="AH192" s="164">
        <v>7.1999999999999998E-3</v>
      </c>
      <c r="AI192" s="164">
        <v>1.40488598429364E-2</v>
      </c>
      <c r="AJ192" s="164">
        <v>8.8585232230867304E-4</v>
      </c>
    </row>
    <row r="193" spans="1:36">
      <c r="A193" s="2" t="s">
        <v>128</v>
      </c>
      <c r="B193" s="2">
        <v>7228</v>
      </c>
      <c r="C193" s="2" t="s">
        <v>2390</v>
      </c>
      <c r="D193" s="2" t="s">
        <v>2391</v>
      </c>
      <c r="E193" s="4" t="s">
        <v>1376</v>
      </c>
      <c r="F193" s="2" t="s">
        <v>2392</v>
      </c>
      <c r="G193" s="2" t="s">
        <v>2393</v>
      </c>
      <c r="H193" s="2" t="s">
        <v>367</v>
      </c>
      <c r="I193" s="2" t="s">
        <v>219</v>
      </c>
      <c r="J193" s="2" t="s">
        <v>31</v>
      </c>
      <c r="K193" s="2" t="s">
        <v>31</v>
      </c>
      <c r="L193" s="2" t="s">
        <v>373</v>
      </c>
      <c r="M193" s="2" t="s">
        <v>32</v>
      </c>
      <c r="N193" s="2" t="s">
        <v>507</v>
      </c>
      <c r="O193" s="2" t="s">
        <v>164</v>
      </c>
      <c r="P193" s="2" t="s">
        <v>2228</v>
      </c>
      <c r="Q193" s="2" t="s">
        <v>217</v>
      </c>
      <c r="R193" s="2" t="s">
        <v>452</v>
      </c>
      <c r="S193" s="2" t="s">
        <v>35</v>
      </c>
      <c r="T193" s="150">
        <v>2.4910000000000001</v>
      </c>
      <c r="U193" s="2" t="s">
        <v>2394</v>
      </c>
      <c r="V193" s="162">
        <v>3.0000000000000001E-3</v>
      </c>
      <c r="W193" s="164">
        <v>3.322E-2</v>
      </c>
      <c r="X193" s="4" t="s">
        <v>458</v>
      </c>
      <c r="Y193" s="4" t="s">
        <v>164</v>
      </c>
      <c r="Z193" s="150">
        <v>2163000</v>
      </c>
      <c r="AA193" s="150">
        <v>1</v>
      </c>
      <c r="AB193" s="150">
        <v>94.71</v>
      </c>
      <c r="AD193" s="150">
        <v>2048.5770000000002</v>
      </c>
      <c r="AG193" s="2" t="s">
        <v>37</v>
      </c>
      <c r="AH193" s="164">
        <v>7.1590000000000004E-3</v>
      </c>
      <c r="AI193" s="164">
        <v>1.3882220526807799E-2</v>
      </c>
      <c r="AJ193" s="164">
        <v>8.7534486285425496E-4</v>
      </c>
    </row>
    <row r="194" spans="1:36">
      <c r="A194" s="2" t="s">
        <v>128</v>
      </c>
      <c r="B194" s="2">
        <v>7228</v>
      </c>
      <c r="C194" s="2" t="s">
        <v>2395</v>
      </c>
      <c r="D194" s="2" t="s">
        <v>2396</v>
      </c>
      <c r="E194" s="4" t="s">
        <v>1376</v>
      </c>
      <c r="F194" s="2" t="s">
        <v>2530</v>
      </c>
      <c r="G194" s="2" t="s">
        <v>2531</v>
      </c>
      <c r="H194" s="2" t="s">
        <v>367</v>
      </c>
      <c r="I194" s="2" t="s">
        <v>1010</v>
      </c>
      <c r="J194" s="2" t="s">
        <v>31</v>
      </c>
      <c r="K194" s="2" t="s">
        <v>31</v>
      </c>
      <c r="L194" s="2" t="s">
        <v>373</v>
      </c>
      <c r="M194" s="2" t="s">
        <v>32</v>
      </c>
      <c r="N194" s="2" t="s">
        <v>491</v>
      </c>
      <c r="O194" s="2" t="s">
        <v>164</v>
      </c>
      <c r="P194" s="2" t="s">
        <v>97</v>
      </c>
      <c r="Q194" s="2" t="s">
        <v>98</v>
      </c>
      <c r="R194" s="2" t="s">
        <v>452</v>
      </c>
      <c r="S194" s="2" t="s">
        <v>35</v>
      </c>
      <c r="T194" s="150">
        <v>0.93400000000000005</v>
      </c>
      <c r="U194" s="2" t="s">
        <v>2532</v>
      </c>
      <c r="V194" s="162">
        <v>2.98E-2</v>
      </c>
      <c r="W194" s="164">
        <v>4.4900000000000002E-2</v>
      </c>
      <c r="X194" s="4" t="s">
        <v>458</v>
      </c>
      <c r="Y194" s="4" t="s">
        <v>164</v>
      </c>
      <c r="Z194" s="150">
        <v>2000000</v>
      </c>
      <c r="AA194" s="150">
        <v>1</v>
      </c>
      <c r="AB194" s="150">
        <v>98.82</v>
      </c>
      <c r="AD194" s="150">
        <v>1976.4</v>
      </c>
      <c r="AG194" s="2" t="s">
        <v>37</v>
      </c>
      <c r="AH194" s="164">
        <v>7.8700000000000005E-4</v>
      </c>
      <c r="AI194" s="164">
        <v>1.33931097690007E-2</v>
      </c>
      <c r="AJ194" s="164">
        <v>8.4450393301983297E-4</v>
      </c>
    </row>
    <row r="195" spans="1:36">
      <c r="A195" s="2" t="s">
        <v>128</v>
      </c>
      <c r="B195" s="2">
        <v>7228</v>
      </c>
      <c r="C195" s="2" t="s">
        <v>2395</v>
      </c>
      <c r="D195" s="2" t="s">
        <v>2396</v>
      </c>
      <c r="E195" s="4" t="s">
        <v>1376</v>
      </c>
      <c r="F195" s="2" t="s">
        <v>2397</v>
      </c>
      <c r="G195" s="2" t="s">
        <v>2398</v>
      </c>
      <c r="H195" s="2" t="s">
        <v>367</v>
      </c>
      <c r="I195" s="2" t="s">
        <v>219</v>
      </c>
      <c r="J195" s="2" t="s">
        <v>31</v>
      </c>
      <c r="K195" s="2" t="s">
        <v>31</v>
      </c>
      <c r="L195" s="2" t="s">
        <v>373</v>
      </c>
      <c r="M195" s="2" t="s">
        <v>32</v>
      </c>
      <c r="N195" s="2" t="s">
        <v>491</v>
      </c>
      <c r="O195" s="2" t="s">
        <v>164</v>
      </c>
      <c r="P195" s="2" t="s">
        <v>1387</v>
      </c>
      <c r="Q195" s="2" t="s">
        <v>217</v>
      </c>
      <c r="R195" s="2" t="s">
        <v>452</v>
      </c>
      <c r="S195" s="2" t="s">
        <v>35</v>
      </c>
      <c r="T195" s="150">
        <v>4.6680000000000001</v>
      </c>
      <c r="U195" s="2" t="s">
        <v>2399</v>
      </c>
      <c r="V195" s="162">
        <v>3.3599999999999998E-2</v>
      </c>
      <c r="W195" s="164">
        <v>3.4770000000000002E-2</v>
      </c>
      <c r="X195" s="4" t="s">
        <v>458</v>
      </c>
      <c r="Y195" s="4" t="s">
        <v>164</v>
      </c>
      <c r="Z195" s="150">
        <v>2550000</v>
      </c>
      <c r="AA195" s="150">
        <v>1</v>
      </c>
      <c r="AB195" s="150">
        <v>101.42</v>
      </c>
      <c r="AD195" s="150">
        <v>2586.21</v>
      </c>
      <c r="AG195" s="2" t="s">
        <v>37</v>
      </c>
      <c r="AH195" s="164">
        <v>2.1849999999999999E-3</v>
      </c>
      <c r="AI195" s="164">
        <v>1.75254980852496E-2</v>
      </c>
      <c r="AJ195" s="164">
        <v>1.1050721091961299E-3</v>
      </c>
    </row>
    <row r="196" spans="1:36">
      <c r="A196" s="2" t="s">
        <v>128</v>
      </c>
      <c r="B196" s="2">
        <v>7228</v>
      </c>
      <c r="C196" s="2" t="s">
        <v>2395</v>
      </c>
      <c r="D196" s="2" t="s">
        <v>2396</v>
      </c>
      <c r="E196" s="4" t="s">
        <v>1376</v>
      </c>
      <c r="F196" s="2" t="s">
        <v>2400</v>
      </c>
      <c r="G196" s="2" t="s">
        <v>2401</v>
      </c>
      <c r="H196" s="2" t="s">
        <v>367</v>
      </c>
      <c r="I196" s="2" t="s">
        <v>219</v>
      </c>
      <c r="J196" s="2" t="s">
        <v>31</v>
      </c>
      <c r="K196" s="2" t="s">
        <v>31</v>
      </c>
      <c r="L196" s="2" t="s">
        <v>373</v>
      </c>
      <c r="M196" s="2" t="s">
        <v>32</v>
      </c>
      <c r="N196" s="2" t="s">
        <v>491</v>
      </c>
      <c r="O196" s="2" t="s">
        <v>164</v>
      </c>
      <c r="P196" s="2" t="s">
        <v>97</v>
      </c>
      <c r="Q196" s="2" t="s">
        <v>98</v>
      </c>
      <c r="R196" s="2" t="s">
        <v>452</v>
      </c>
      <c r="S196" s="2" t="s">
        <v>35</v>
      </c>
      <c r="T196" s="150">
        <v>0.24399999999999999</v>
      </c>
      <c r="U196" s="2" t="s">
        <v>2402</v>
      </c>
      <c r="V196" s="162">
        <v>8.6E-3</v>
      </c>
      <c r="W196" s="164">
        <v>2.4969999999999999E-2</v>
      </c>
      <c r="X196" s="4" t="s">
        <v>458</v>
      </c>
      <c r="Y196" s="4" t="s">
        <v>164</v>
      </c>
      <c r="Z196" s="150">
        <v>2500000</v>
      </c>
      <c r="AA196" s="150">
        <v>1</v>
      </c>
      <c r="AB196" s="150">
        <v>114.94</v>
      </c>
      <c r="AD196" s="150">
        <v>2873.5</v>
      </c>
      <c r="AG196" s="2" t="s">
        <v>37</v>
      </c>
      <c r="AH196" s="164">
        <v>9.990000000000001E-4</v>
      </c>
      <c r="AI196" s="164">
        <v>1.94723238824243E-2</v>
      </c>
      <c r="AJ196" s="164">
        <v>1.2278294128377301E-3</v>
      </c>
    </row>
    <row r="197" spans="1:36">
      <c r="A197" s="2" t="s">
        <v>128</v>
      </c>
      <c r="B197" s="2">
        <v>7228</v>
      </c>
      <c r="C197" s="2" t="s">
        <v>2395</v>
      </c>
      <c r="D197" s="2" t="s">
        <v>2396</v>
      </c>
      <c r="E197" s="4" t="s">
        <v>1376</v>
      </c>
      <c r="F197" s="2" t="s">
        <v>2403</v>
      </c>
      <c r="G197" s="2" t="s">
        <v>2404</v>
      </c>
      <c r="H197" s="2" t="s">
        <v>367</v>
      </c>
      <c r="I197" s="2" t="s">
        <v>219</v>
      </c>
      <c r="J197" s="2" t="s">
        <v>31</v>
      </c>
      <c r="K197" s="2" t="s">
        <v>31</v>
      </c>
      <c r="L197" s="2" t="s">
        <v>373</v>
      </c>
      <c r="M197" s="2" t="s">
        <v>32</v>
      </c>
      <c r="N197" s="2" t="s">
        <v>491</v>
      </c>
      <c r="O197" s="2" t="s">
        <v>164</v>
      </c>
      <c r="P197" s="2" t="s">
        <v>97</v>
      </c>
      <c r="Q197" s="2" t="s">
        <v>98</v>
      </c>
      <c r="R197" s="2" t="s">
        <v>452</v>
      </c>
      <c r="S197" s="2" t="s">
        <v>35</v>
      </c>
      <c r="T197" s="150">
        <v>5.6340000000000003</v>
      </c>
      <c r="U197" s="2" t="s">
        <v>2405</v>
      </c>
      <c r="V197" s="162">
        <v>2.2013000000000001E-2</v>
      </c>
      <c r="W197" s="164">
        <v>2.7099999999999999E-2</v>
      </c>
      <c r="X197" s="4" t="s">
        <v>458</v>
      </c>
      <c r="Y197" s="4" t="s">
        <v>164</v>
      </c>
      <c r="Z197" s="150">
        <v>4000000</v>
      </c>
      <c r="AA197" s="150">
        <v>1</v>
      </c>
      <c r="AB197" s="150">
        <v>113.5</v>
      </c>
      <c r="AD197" s="150">
        <v>4540</v>
      </c>
      <c r="AG197" s="2" t="s">
        <v>37</v>
      </c>
      <c r="AH197" s="164">
        <v>5.6990000000000001E-3</v>
      </c>
      <c r="AI197" s="164">
        <v>3.0765390786917202E-2</v>
      </c>
      <c r="AJ197" s="164">
        <v>1.9399149240589199E-3</v>
      </c>
    </row>
    <row r="198" spans="1:36">
      <c r="A198" s="2" t="s">
        <v>128</v>
      </c>
      <c r="B198" s="2">
        <v>7228</v>
      </c>
      <c r="C198" s="2" t="s">
        <v>1960</v>
      </c>
      <c r="D198" s="2" t="s">
        <v>1961</v>
      </c>
      <c r="E198" s="4" t="s">
        <v>1376</v>
      </c>
      <c r="F198" s="2" t="s">
        <v>2406</v>
      </c>
      <c r="G198" s="2" t="s">
        <v>2407</v>
      </c>
      <c r="H198" s="2" t="s">
        <v>367</v>
      </c>
      <c r="I198" s="2" t="s">
        <v>219</v>
      </c>
      <c r="J198" s="2" t="s">
        <v>31</v>
      </c>
      <c r="K198" s="2" t="s">
        <v>31</v>
      </c>
      <c r="L198" s="2" t="s">
        <v>373</v>
      </c>
      <c r="M198" s="2" t="s">
        <v>32</v>
      </c>
      <c r="N198" s="2" t="s">
        <v>507</v>
      </c>
      <c r="O198" s="2" t="s">
        <v>164</v>
      </c>
      <c r="P198" s="2" t="s">
        <v>2247</v>
      </c>
      <c r="Q198" s="2" t="s">
        <v>217</v>
      </c>
      <c r="R198" s="2" t="s">
        <v>452</v>
      </c>
      <c r="S198" s="2" t="s">
        <v>35</v>
      </c>
      <c r="T198" s="150">
        <v>6.2919999999999998</v>
      </c>
      <c r="U198" s="2" t="s">
        <v>2408</v>
      </c>
      <c r="V198" s="162">
        <v>3.61E-2</v>
      </c>
      <c r="W198" s="164">
        <v>3.6889999999999999E-2</v>
      </c>
      <c r="X198" s="4" t="s">
        <v>458</v>
      </c>
      <c r="Y198" s="4" t="s">
        <v>164</v>
      </c>
      <c r="Z198" s="150">
        <v>1979797.98</v>
      </c>
      <c r="AA198" s="150">
        <v>1</v>
      </c>
      <c r="AB198" s="150">
        <v>103.82</v>
      </c>
      <c r="AC198" s="150">
        <v>58.656999999999996</v>
      </c>
      <c r="AD198" s="150">
        <v>2114.0830000000001</v>
      </c>
      <c r="AG198" s="2" t="s">
        <v>37</v>
      </c>
      <c r="AH198" s="164">
        <v>1.8339999999999999E-3</v>
      </c>
      <c r="AI198" s="164">
        <v>1.4326123323966501E-2</v>
      </c>
      <c r="AJ198" s="164">
        <v>9.0333520001602795E-4</v>
      </c>
    </row>
    <row r="199" spans="1:36">
      <c r="A199" s="2" t="s">
        <v>128</v>
      </c>
      <c r="B199" s="2">
        <v>7228</v>
      </c>
      <c r="C199" s="2" t="s">
        <v>1968</v>
      </c>
      <c r="D199" s="2" t="s">
        <v>1518</v>
      </c>
      <c r="E199" s="4" t="s">
        <v>1376</v>
      </c>
      <c r="F199" s="2" t="s">
        <v>2409</v>
      </c>
      <c r="G199" s="2" t="s">
        <v>2410</v>
      </c>
      <c r="H199" s="2" t="s">
        <v>367</v>
      </c>
      <c r="I199" s="2" t="s">
        <v>1010</v>
      </c>
      <c r="J199" s="2" t="s">
        <v>31</v>
      </c>
      <c r="K199" s="2" t="s">
        <v>31</v>
      </c>
      <c r="L199" s="2" t="s">
        <v>373</v>
      </c>
      <c r="M199" s="2" t="s">
        <v>32</v>
      </c>
      <c r="N199" s="2" t="s">
        <v>486</v>
      </c>
      <c r="O199" s="2" t="s">
        <v>164</v>
      </c>
      <c r="P199" s="2" t="s">
        <v>2287</v>
      </c>
      <c r="Q199" s="2" t="s">
        <v>98</v>
      </c>
      <c r="R199" s="2" t="s">
        <v>452</v>
      </c>
      <c r="S199" s="2" t="s">
        <v>35</v>
      </c>
      <c r="T199" s="150">
        <v>1.1870000000000001</v>
      </c>
      <c r="U199" s="2" t="s">
        <v>2411</v>
      </c>
      <c r="V199" s="162">
        <v>0.114</v>
      </c>
      <c r="W199" s="164">
        <v>6.7919999999999994E-2</v>
      </c>
      <c r="X199" s="4" t="s">
        <v>458</v>
      </c>
      <c r="Y199" s="4" t="s">
        <v>164</v>
      </c>
      <c r="Z199" s="150">
        <v>5682794</v>
      </c>
      <c r="AA199" s="150">
        <v>1</v>
      </c>
      <c r="AB199" s="150">
        <v>101.87</v>
      </c>
      <c r="AD199" s="150">
        <v>5789.0619999999999</v>
      </c>
      <c r="AG199" s="2" t="s">
        <v>37</v>
      </c>
      <c r="AH199" s="164">
        <v>1.5751000000000001E-2</v>
      </c>
      <c r="AI199" s="164">
        <v>3.9229683335540999E-2</v>
      </c>
      <c r="AJ199" s="164">
        <v>2.4736317733068899E-3</v>
      </c>
    </row>
    <row r="200" spans="1:36">
      <c r="A200" s="2" t="s">
        <v>128</v>
      </c>
      <c r="B200" s="2">
        <v>7228</v>
      </c>
      <c r="C200" s="2" t="s">
        <v>2415</v>
      </c>
      <c r="D200" s="2" t="s">
        <v>2416</v>
      </c>
      <c r="E200" s="4" t="s">
        <v>1376</v>
      </c>
      <c r="F200" s="2" t="s">
        <v>2417</v>
      </c>
      <c r="G200" s="2" t="s">
        <v>2418</v>
      </c>
      <c r="H200" s="2" t="s">
        <v>367</v>
      </c>
      <c r="I200" s="2" t="s">
        <v>219</v>
      </c>
      <c r="J200" s="2" t="s">
        <v>31</v>
      </c>
      <c r="K200" s="2" t="s">
        <v>31</v>
      </c>
      <c r="L200" s="2" t="s">
        <v>373</v>
      </c>
      <c r="M200" s="2" t="s">
        <v>32</v>
      </c>
      <c r="N200" s="2" t="s">
        <v>490</v>
      </c>
      <c r="O200" s="2" t="s">
        <v>164</v>
      </c>
      <c r="P200" s="2" t="s">
        <v>1370</v>
      </c>
      <c r="Q200" s="2" t="s">
        <v>98</v>
      </c>
      <c r="R200" s="2" t="s">
        <v>452</v>
      </c>
      <c r="S200" s="2" t="s">
        <v>35</v>
      </c>
      <c r="T200" s="150">
        <v>3.911</v>
      </c>
      <c r="U200" s="2" t="s">
        <v>2419</v>
      </c>
      <c r="V200" s="162">
        <v>2.07E-2</v>
      </c>
      <c r="W200" s="164">
        <v>5.0009999999999999E-2</v>
      </c>
      <c r="X200" s="4" t="s">
        <v>458</v>
      </c>
      <c r="Y200" s="4" t="s">
        <v>164</v>
      </c>
      <c r="Z200" s="150">
        <v>3387035.23</v>
      </c>
      <c r="AA200" s="150">
        <v>1</v>
      </c>
      <c r="AB200" s="150">
        <v>98.87</v>
      </c>
      <c r="AD200" s="150">
        <v>3348.7620000000002</v>
      </c>
      <c r="AG200" s="2" t="s">
        <v>37</v>
      </c>
      <c r="AH200" s="164">
        <v>7.1009999999999997E-3</v>
      </c>
      <c r="AI200" s="164">
        <v>2.2692943465684502E-2</v>
      </c>
      <c r="AJ200" s="164">
        <v>1.43090591648285E-3</v>
      </c>
    </row>
    <row r="201" spans="1:36">
      <c r="A201" s="2" t="s">
        <v>128</v>
      </c>
      <c r="B201" s="2">
        <v>7228</v>
      </c>
      <c r="C201" s="2" t="s">
        <v>2420</v>
      </c>
      <c r="D201" s="2" t="s">
        <v>2421</v>
      </c>
      <c r="E201" s="4" t="s">
        <v>1376</v>
      </c>
      <c r="F201" s="2" t="s">
        <v>2422</v>
      </c>
      <c r="G201" s="2" t="s">
        <v>2423</v>
      </c>
      <c r="H201" s="2" t="s">
        <v>367</v>
      </c>
      <c r="I201" s="2" t="s">
        <v>219</v>
      </c>
      <c r="J201" s="2" t="s">
        <v>31</v>
      </c>
      <c r="K201" s="2" t="s">
        <v>31</v>
      </c>
      <c r="L201" s="2" t="s">
        <v>373</v>
      </c>
      <c r="M201" s="2" t="s">
        <v>32</v>
      </c>
      <c r="N201" s="2" t="s">
        <v>521</v>
      </c>
      <c r="O201" s="2" t="s">
        <v>164</v>
      </c>
      <c r="P201" s="2" t="s">
        <v>216</v>
      </c>
      <c r="Q201" s="2" t="s">
        <v>217</v>
      </c>
      <c r="R201" s="2" t="s">
        <v>452</v>
      </c>
      <c r="S201" s="2" t="s">
        <v>35</v>
      </c>
      <c r="T201" s="150">
        <v>11.7</v>
      </c>
      <c r="U201" s="2" t="s">
        <v>2424</v>
      </c>
      <c r="V201" s="162">
        <v>2.07E-2</v>
      </c>
      <c r="W201" s="164">
        <v>3.2730000000000002E-2</v>
      </c>
      <c r="X201" s="4" t="s">
        <v>458</v>
      </c>
      <c r="Y201" s="4" t="s">
        <v>164</v>
      </c>
      <c r="Z201" s="150">
        <v>2091063.83</v>
      </c>
      <c r="AA201" s="150">
        <v>1</v>
      </c>
      <c r="AB201" s="150">
        <v>97.32</v>
      </c>
      <c r="AD201" s="150">
        <v>2035.0229999999999</v>
      </c>
      <c r="AG201" s="2" t="s">
        <v>37</v>
      </c>
      <c r="AH201" s="164">
        <v>4.5899999999999999E-4</v>
      </c>
      <c r="AI201" s="164">
        <v>1.37903717357878E-2</v>
      </c>
      <c r="AJ201" s="164">
        <v>8.6955332775916704E-4</v>
      </c>
    </row>
    <row r="202" spans="1:36">
      <c r="A202" s="2" t="s">
        <v>128</v>
      </c>
      <c r="B202" s="2">
        <v>7228</v>
      </c>
      <c r="C202" s="2" t="s">
        <v>2425</v>
      </c>
      <c r="D202" s="2" t="s">
        <v>2426</v>
      </c>
      <c r="E202" s="4" t="s">
        <v>1376</v>
      </c>
      <c r="F202" s="2" t="s">
        <v>2427</v>
      </c>
      <c r="G202" s="2" t="s">
        <v>2428</v>
      </c>
      <c r="H202" s="2" t="s">
        <v>367</v>
      </c>
      <c r="I202" s="2" t="s">
        <v>1010</v>
      </c>
      <c r="J202" s="2" t="s">
        <v>31</v>
      </c>
      <c r="K202" s="2" t="s">
        <v>31</v>
      </c>
      <c r="L202" s="2" t="s">
        <v>373</v>
      </c>
      <c r="M202" s="2" t="s">
        <v>118</v>
      </c>
      <c r="N202" s="2" t="s">
        <v>497</v>
      </c>
      <c r="O202" s="2" t="s">
        <v>164</v>
      </c>
      <c r="P202" s="2" t="s">
        <v>2228</v>
      </c>
      <c r="Q202" s="2" t="s">
        <v>217</v>
      </c>
      <c r="R202" s="2" t="s">
        <v>452</v>
      </c>
      <c r="S202" s="2" t="s">
        <v>35</v>
      </c>
      <c r="T202" s="150">
        <v>3.8690000000000002</v>
      </c>
      <c r="U202" s="2" t="s">
        <v>2429</v>
      </c>
      <c r="V202" s="162">
        <v>6.7000000000000004E-2</v>
      </c>
      <c r="W202" s="164">
        <v>6.6000000000000003E-2</v>
      </c>
      <c r="X202" s="4" t="s">
        <v>458</v>
      </c>
      <c r="Y202" s="4" t="s">
        <v>164</v>
      </c>
      <c r="Z202" s="150">
        <v>1425000</v>
      </c>
      <c r="AA202" s="150">
        <v>1</v>
      </c>
      <c r="AB202" s="150">
        <v>102.81</v>
      </c>
      <c r="AD202" s="150">
        <v>1465.0429999999999</v>
      </c>
      <c r="AG202" s="2" t="s">
        <v>37</v>
      </c>
      <c r="AH202" s="164">
        <v>1.5659999999999999E-3</v>
      </c>
      <c r="AI202" s="164">
        <v>9.9278865709123507E-3</v>
      </c>
      <c r="AJ202" s="164">
        <v>6.2600392293625203E-4</v>
      </c>
    </row>
    <row r="203" spans="1:36">
      <c r="A203" s="2" t="s">
        <v>128</v>
      </c>
      <c r="B203" s="2">
        <v>7228</v>
      </c>
      <c r="C203" s="2" t="s">
        <v>2430</v>
      </c>
      <c r="D203" s="2" t="s">
        <v>2431</v>
      </c>
      <c r="E203" s="4" t="s">
        <v>1376</v>
      </c>
      <c r="F203" s="2" t="s">
        <v>2434</v>
      </c>
      <c r="G203" s="2" t="s">
        <v>2435</v>
      </c>
      <c r="H203" s="2" t="s">
        <v>367</v>
      </c>
      <c r="I203" s="2" t="s">
        <v>1010</v>
      </c>
      <c r="J203" s="2" t="s">
        <v>31</v>
      </c>
      <c r="K203" s="2" t="s">
        <v>31</v>
      </c>
      <c r="L203" s="2" t="s">
        <v>373</v>
      </c>
      <c r="M203" s="2" t="s">
        <v>32</v>
      </c>
      <c r="N203" s="2" t="s">
        <v>484</v>
      </c>
      <c r="O203" s="2" t="s">
        <v>164</v>
      </c>
      <c r="P203" s="2" t="s">
        <v>1523</v>
      </c>
      <c r="Q203" s="2" t="s">
        <v>1523</v>
      </c>
      <c r="R203" s="2" t="s">
        <v>1523</v>
      </c>
      <c r="S203" s="2" t="s">
        <v>35</v>
      </c>
      <c r="T203" s="150">
        <v>3.85</v>
      </c>
      <c r="U203" s="2" t="s">
        <v>2436</v>
      </c>
      <c r="V203" s="162">
        <v>6.9500000000000006E-2</v>
      </c>
      <c r="W203" s="164">
        <v>6.7629999999999996E-2</v>
      </c>
      <c r="X203" s="4" t="s">
        <v>458</v>
      </c>
      <c r="Y203" s="4" t="s">
        <v>164</v>
      </c>
      <c r="Z203" s="150">
        <v>2200000</v>
      </c>
      <c r="AA203" s="150">
        <v>1</v>
      </c>
      <c r="AB203" s="150">
        <v>101.13</v>
      </c>
      <c r="AD203" s="150">
        <v>2224.86</v>
      </c>
      <c r="AG203" s="2" t="s">
        <v>37</v>
      </c>
      <c r="AH203" s="164">
        <v>3.9360000000000003E-3</v>
      </c>
      <c r="AI203" s="164">
        <v>1.5076803380216001E-2</v>
      </c>
      <c r="AJ203" s="164">
        <v>9.5066940923826395E-4</v>
      </c>
    </row>
    <row r="204" spans="1:36">
      <c r="A204" s="2" t="s">
        <v>128</v>
      </c>
      <c r="B204" s="2">
        <v>7228</v>
      </c>
      <c r="C204" s="2" t="s">
        <v>2533</v>
      </c>
      <c r="D204" s="2" t="s">
        <v>2534</v>
      </c>
      <c r="E204" s="4" t="s">
        <v>1376</v>
      </c>
      <c r="F204" s="2" t="s">
        <v>2535</v>
      </c>
      <c r="G204" s="2" t="s">
        <v>2536</v>
      </c>
      <c r="H204" s="2" t="s">
        <v>367</v>
      </c>
      <c r="I204" s="2" t="s">
        <v>219</v>
      </c>
      <c r="J204" s="2" t="s">
        <v>31</v>
      </c>
      <c r="K204" s="2" t="s">
        <v>31</v>
      </c>
      <c r="L204" s="2" t="s">
        <v>373</v>
      </c>
      <c r="M204" s="2" t="s">
        <v>32</v>
      </c>
      <c r="N204" s="2" t="s">
        <v>507</v>
      </c>
      <c r="O204" s="2" t="s">
        <v>164</v>
      </c>
      <c r="P204" s="2" t="s">
        <v>97</v>
      </c>
      <c r="Q204" s="2" t="s">
        <v>98</v>
      </c>
      <c r="R204" s="2" t="s">
        <v>452</v>
      </c>
      <c r="S204" s="2" t="s">
        <v>35</v>
      </c>
      <c r="T204" s="150">
        <v>1.7070000000000001</v>
      </c>
      <c r="U204" s="2" t="s">
        <v>2394</v>
      </c>
      <c r="V204" s="162">
        <v>8.3000000000000001E-3</v>
      </c>
      <c r="W204" s="164">
        <v>2.0580000000000001E-2</v>
      </c>
      <c r="X204" s="4" t="s">
        <v>458</v>
      </c>
      <c r="Y204" s="4" t="s">
        <v>164</v>
      </c>
      <c r="Z204" s="150">
        <v>2092500</v>
      </c>
      <c r="AA204" s="150">
        <v>1</v>
      </c>
      <c r="AB204" s="150">
        <v>111.94</v>
      </c>
      <c r="AD204" s="150">
        <v>2342.3449999999998</v>
      </c>
      <c r="AG204" s="2" t="s">
        <v>37</v>
      </c>
      <c r="AH204" s="164">
        <v>1.763E-3</v>
      </c>
      <c r="AI204" s="164">
        <v>1.5872939185040999E-2</v>
      </c>
      <c r="AJ204" s="164">
        <v>1.0008698354267199E-3</v>
      </c>
    </row>
    <row r="205" spans="1:36">
      <c r="A205" s="2" t="s">
        <v>128</v>
      </c>
      <c r="B205" s="2">
        <v>7228</v>
      </c>
      <c r="C205" s="2" t="s">
        <v>2437</v>
      </c>
      <c r="D205" s="2" t="s">
        <v>2438</v>
      </c>
      <c r="E205" s="4" t="s">
        <v>360</v>
      </c>
      <c r="F205" s="2" t="s">
        <v>2439</v>
      </c>
      <c r="G205" s="2" t="s">
        <v>2440</v>
      </c>
      <c r="H205" s="2" t="s">
        <v>367</v>
      </c>
      <c r="I205" s="2" t="s">
        <v>1010</v>
      </c>
      <c r="J205" s="2" t="s">
        <v>31</v>
      </c>
      <c r="K205" s="2" t="s">
        <v>31</v>
      </c>
      <c r="L205" s="2" t="s">
        <v>373</v>
      </c>
      <c r="M205" s="2" t="s">
        <v>118</v>
      </c>
      <c r="N205" s="2" t="s">
        <v>508</v>
      </c>
      <c r="O205" s="2" t="s">
        <v>164</v>
      </c>
      <c r="P205" s="2" t="s">
        <v>2247</v>
      </c>
      <c r="Q205" s="2" t="s">
        <v>217</v>
      </c>
      <c r="R205" s="2" t="s">
        <v>452</v>
      </c>
      <c r="S205" s="2" t="s">
        <v>35</v>
      </c>
      <c r="T205" s="150">
        <v>4.1710000000000003</v>
      </c>
      <c r="U205" s="2" t="s">
        <v>2441</v>
      </c>
      <c r="V205" s="162">
        <v>6.25E-2</v>
      </c>
      <c r="W205" s="164">
        <v>6.5070000000000003E-2</v>
      </c>
      <c r="X205" s="4" t="s">
        <v>458</v>
      </c>
      <c r="Y205" s="4" t="s">
        <v>164</v>
      </c>
      <c r="Z205" s="150">
        <v>3422632</v>
      </c>
      <c r="AA205" s="150">
        <v>1</v>
      </c>
      <c r="AB205" s="150">
        <v>100.1</v>
      </c>
      <c r="AD205" s="150">
        <v>3426.0549999999998</v>
      </c>
      <c r="AG205" s="2" t="s">
        <v>37</v>
      </c>
      <c r="AH205" s="164">
        <v>6.2230000000000002E-3</v>
      </c>
      <c r="AI205" s="164">
        <v>2.3216720178591999E-2</v>
      </c>
      <c r="AJ205" s="164">
        <v>1.4639327117308299E-3</v>
      </c>
    </row>
    <row r="206" spans="1:36">
      <c r="A206" s="2" t="s">
        <v>128</v>
      </c>
      <c r="B206" s="2">
        <v>7228</v>
      </c>
      <c r="C206" s="2" t="s">
        <v>2442</v>
      </c>
      <c r="D206" s="2" t="s">
        <v>2443</v>
      </c>
      <c r="E206" s="4" t="s">
        <v>359</v>
      </c>
      <c r="F206" s="2" t="s">
        <v>2444</v>
      </c>
      <c r="G206" s="2" t="s">
        <v>2445</v>
      </c>
      <c r="H206" s="2" t="s">
        <v>367</v>
      </c>
      <c r="I206" s="2" t="s">
        <v>1010</v>
      </c>
      <c r="J206" s="2" t="s">
        <v>94</v>
      </c>
      <c r="K206" s="2" t="s">
        <v>95</v>
      </c>
      <c r="L206" s="2" t="s">
        <v>373</v>
      </c>
      <c r="M206" s="2" t="s">
        <v>32</v>
      </c>
      <c r="N206" s="2" t="s">
        <v>508</v>
      </c>
      <c r="O206" s="2" t="s">
        <v>164</v>
      </c>
      <c r="P206" s="2" t="s">
        <v>2247</v>
      </c>
      <c r="Q206" s="2" t="s">
        <v>217</v>
      </c>
      <c r="R206" s="2" t="s">
        <v>452</v>
      </c>
      <c r="S206" s="2" t="s">
        <v>35</v>
      </c>
      <c r="T206" s="150">
        <v>2.3809999999999998</v>
      </c>
      <c r="U206" s="2" t="s">
        <v>1371</v>
      </c>
      <c r="V206" s="162">
        <v>3.49E-2</v>
      </c>
      <c r="W206" s="164">
        <v>6.8019999999999997E-2</v>
      </c>
      <c r="X206" s="4" t="s">
        <v>458</v>
      </c>
      <c r="Y206" s="4" t="s">
        <v>164</v>
      </c>
      <c r="Z206" s="150">
        <v>4891529</v>
      </c>
      <c r="AA206" s="150">
        <v>1</v>
      </c>
      <c r="AB206" s="150">
        <v>92.43</v>
      </c>
      <c r="AD206" s="150">
        <v>4521.24</v>
      </c>
      <c r="AG206" s="2" t="s">
        <v>37</v>
      </c>
      <c r="AH206" s="164">
        <v>5.1729999999999996E-3</v>
      </c>
      <c r="AI206" s="164">
        <v>3.06382650390719E-2</v>
      </c>
      <c r="AJ206" s="164">
        <v>1.93189899677279E-3</v>
      </c>
    </row>
    <row r="207" spans="1:36">
      <c r="A207" s="2" t="s">
        <v>128</v>
      </c>
      <c r="B207" s="2">
        <v>7228</v>
      </c>
      <c r="C207" s="2" t="s">
        <v>1987</v>
      </c>
      <c r="D207" s="2" t="s">
        <v>1988</v>
      </c>
      <c r="E207" s="4" t="s">
        <v>1376</v>
      </c>
      <c r="F207" s="2" t="s">
        <v>2446</v>
      </c>
      <c r="G207" s="2" t="s">
        <v>2447</v>
      </c>
      <c r="H207" s="2" t="s">
        <v>367</v>
      </c>
      <c r="I207" s="2" t="s">
        <v>1010</v>
      </c>
      <c r="J207" s="2" t="s">
        <v>31</v>
      </c>
      <c r="K207" s="2" t="s">
        <v>31</v>
      </c>
      <c r="L207" s="2" t="s">
        <v>373</v>
      </c>
      <c r="M207" s="2" t="s">
        <v>32</v>
      </c>
      <c r="N207" s="2" t="s">
        <v>528</v>
      </c>
      <c r="O207" s="2" t="s">
        <v>164</v>
      </c>
      <c r="P207" s="2" t="s">
        <v>2258</v>
      </c>
      <c r="Q207" s="2" t="s">
        <v>217</v>
      </c>
      <c r="R207" s="2" t="s">
        <v>452</v>
      </c>
      <c r="S207" s="2" t="s">
        <v>35</v>
      </c>
      <c r="T207" s="150">
        <v>3.49</v>
      </c>
      <c r="U207" s="2" t="s">
        <v>2448</v>
      </c>
      <c r="V207" s="162">
        <v>4.7300000000000002E-2</v>
      </c>
      <c r="W207" s="164">
        <v>5.6939999999999998E-2</v>
      </c>
      <c r="X207" s="4" t="s">
        <v>458</v>
      </c>
      <c r="Y207" s="4" t="s">
        <v>164</v>
      </c>
      <c r="Z207" s="150">
        <v>1850000</v>
      </c>
      <c r="AA207" s="150">
        <v>1</v>
      </c>
      <c r="AB207" s="150">
        <v>96.96</v>
      </c>
      <c r="AC207" s="150">
        <v>43.752000000000002</v>
      </c>
      <c r="AD207" s="150">
        <v>1837.5129999999999</v>
      </c>
      <c r="AG207" s="2" t="s">
        <v>37</v>
      </c>
      <c r="AH207" s="164">
        <v>4.6849999999999999E-3</v>
      </c>
      <c r="AI207" s="164">
        <v>1.24519361538205E-2</v>
      </c>
      <c r="AJ207" s="164">
        <v>7.8515813257594902E-4</v>
      </c>
    </row>
    <row r="208" spans="1:36">
      <c r="A208" s="2" t="s">
        <v>128</v>
      </c>
      <c r="B208" s="2">
        <v>7228</v>
      </c>
      <c r="C208" s="2" t="s">
        <v>1991</v>
      </c>
      <c r="D208" s="2" t="s">
        <v>1992</v>
      </c>
      <c r="E208" s="4" t="s">
        <v>1376</v>
      </c>
      <c r="F208" s="2" t="s">
        <v>2449</v>
      </c>
      <c r="G208" s="2" t="s">
        <v>2450</v>
      </c>
      <c r="H208" s="2" t="s">
        <v>367</v>
      </c>
      <c r="I208" s="2" t="s">
        <v>219</v>
      </c>
      <c r="J208" s="2" t="s">
        <v>31</v>
      </c>
      <c r="K208" s="2" t="s">
        <v>31</v>
      </c>
      <c r="L208" s="2" t="s">
        <v>373</v>
      </c>
      <c r="M208" s="2" t="s">
        <v>32</v>
      </c>
      <c r="N208" s="2" t="s">
        <v>507</v>
      </c>
      <c r="O208" s="2" t="s">
        <v>164</v>
      </c>
      <c r="P208" s="2" t="s">
        <v>2451</v>
      </c>
      <c r="Q208" s="2" t="s">
        <v>98</v>
      </c>
      <c r="R208" s="2" t="s">
        <v>452</v>
      </c>
      <c r="S208" s="2" t="s">
        <v>35</v>
      </c>
      <c r="T208" s="150">
        <v>2.7959999999999998</v>
      </c>
      <c r="U208" s="2" t="s">
        <v>1516</v>
      </c>
      <c r="V208" s="162">
        <v>1.77E-2</v>
      </c>
      <c r="W208" s="164">
        <v>2.615E-2</v>
      </c>
      <c r="X208" s="4" t="s">
        <v>458</v>
      </c>
      <c r="Y208" s="4" t="s">
        <v>164</v>
      </c>
      <c r="Z208" s="150">
        <v>2236800</v>
      </c>
      <c r="AA208" s="150">
        <v>1</v>
      </c>
      <c r="AB208" s="150">
        <v>110.8</v>
      </c>
      <c r="AD208" s="150">
        <v>2478.3739999999998</v>
      </c>
      <c r="AG208" s="2" t="s">
        <v>37</v>
      </c>
      <c r="AH208" s="164">
        <v>8.1099999999999998E-4</v>
      </c>
      <c r="AI208" s="164">
        <v>1.6794748222971698E-2</v>
      </c>
      <c r="AJ208" s="164">
        <v>1.0589946004329401E-3</v>
      </c>
    </row>
    <row r="209" spans="1:36">
      <c r="A209" s="2" t="s">
        <v>128</v>
      </c>
      <c r="B209" s="2">
        <v>7228</v>
      </c>
      <c r="C209" s="2" t="s">
        <v>1991</v>
      </c>
      <c r="D209" s="2" t="s">
        <v>1992</v>
      </c>
      <c r="E209" s="4" t="s">
        <v>1376</v>
      </c>
      <c r="F209" s="2" t="s">
        <v>2452</v>
      </c>
      <c r="G209" s="2" t="s">
        <v>2453</v>
      </c>
      <c r="H209" s="2" t="s">
        <v>367</v>
      </c>
      <c r="I209" s="2" t="s">
        <v>219</v>
      </c>
      <c r="J209" s="2" t="s">
        <v>31</v>
      </c>
      <c r="K209" s="2" t="s">
        <v>31</v>
      </c>
      <c r="L209" s="2" t="s">
        <v>373</v>
      </c>
      <c r="M209" s="2" t="s">
        <v>32</v>
      </c>
      <c r="N209" s="2" t="s">
        <v>507</v>
      </c>
      <c r="O209" s="2" t="s">
        <v>164</v>
      </c>
      <c r="P209" s="2" t="s">
        <v>1555</v>
      </c>
      <c r="Q209" s="2" t="s">
        <v>217</v>
      </c>
      <c r="R209" s="2" t="s">
        <v>452</v>
      </c>
      <c r="S209" s="2" t="s">
        <v>35</v>
      </c>
      <c r="T209" s="150">
        <v>10.566000000000001</v>
      </c>
      <c r="U209" s="2" t="s">
        <v>2454</v>
      </c>
      <c r="V209" s="162">
        <v>1.6899999999999998E-2</v>
      </c>
      <c r="W209" s="164">
        <v>3.8179999999999999E-2</v>
      </c>
      <c r="X209" s="4" t="s">
        <v>458</v>
      </c>
      <c r="Y209" s="4" t="s">
        <v>164</v>
      </c>
      <c r="Z209" s="150">
        <v>2367865</v>
      </c>
      <c r="AA209" s="150">
        <v>1</v>
      </c>
      <c r="AB209" s="150">
        <v>89.8</v>
      </c>
      <c r="AC209" s="150">
        <v>22.38</v>
      </c>
      <c r="AD209" s="150">
        <v>2148.723</v>
      </c>
      <c r="AG209" s="2" t="s">
        <v>37</v>
      </c>
      <c r="AH209" s="164">
        <v>5.4299999999999997E-4</v>
      </c>
      <c r="AI209" s="164">
        <v>1.4560858425124799E-2</v>
      </c>
      <c r="AJ209" s="164">
        <v>9.1813644629602602E-4</v>
      </c>
    </row>
    <row r="210" spans="1:36">
      <c r="A210" s="2" t="s">
        <v>128</v>
      </c>
      <c r="B210" s="2">
        <v>7228</v>
      </c>
      <c r="C210" s="2" t="s">
        <v>1995</v>
      </c>
      <c r="D210" s="2" t="s">
        <v>1996</v>
      </c>
      <c r="E210" s="4" t="s">
        <v>1376</v>
      </c>
      <c r="F210" s="2" t="s">
        <v>2455</v>
      </c>
      <c r="G210" s="2" t="s">
        <v>2456</v>
      </c>
      <c r="H210" s="2" t="s">
        <v>367</v>
      </c>
      <c r="I210" s="2" t="s">
        <v>219</v>
      </c>
      <c r="J210" s="2" t="s">
        <v>31</v>
      </c>
      <c r="K210" s="2" t="s">
        <v>31</v>
      </c>
      <c r="L210" s="2" t="s">
        <v>373</v>
      </c>
      <c r="M210" s="2" t="s">
        <v>32</v>
      </c>
      <c r="N210" s="2" t="s">
        <v>491</v>
      </c>
      <c r="O210" s="2" t="s">
        <v>164</v>
      </c>
      <c r="P210" s="2" t="s">
        <v>1387</v>
      </c>
      <c r="Q210" s="2" t="s">
        <v>217</v>
      </c>
      <c r="R210" s="2" t="s">
        <v>452</v>
      </c>
      <c r="S210" s="2" t="s">
        <v>35</v>
      </c>
      <c r="T210" s="150">
        <v>4.9290000000000003</v>
      </c>
      <c r="U210" s="2" t="s">
        <v>2457</v>
      </c>
      <c r="V210" s="162">
        <v>3.7100000000000001E-2</v>
      </c>
      <c r="W210" s="164">
        <v>3.3709999999999997E-2</v>
      </c>
      <c r="X210" s="4" t="s">
        <v>458</v>
      </c>
      <c r="Y210" s="4" t="s">
        <v>164</v>
      </c>
      <c r="Z210" s="150">
        <v>2150000</v>
      </c>
      <c r="AA210" s="150">
        <v>1</v>
      </c>
      <c r="AB210" s="150">
        <v>105.41</v>
      </c>
      <c r="AD210" s="150">
        <v>2266.3150000000001</v>
      </c>
      <c r="AG210" s="2" t="s">
        <v>37</v>
      </c>
      <c r="AH210" s="164">
        <v>5.5970000000000004E-3</v>
      </c>
      <c r="AI210" s="164">
        <v>1.53577239253859E-2</v>
      </c>
      <c r="AJ210" s="164">
        <v>9.6838288350629595E-4</v>
      </c>
    </row>
    <row r="211" spans="1:36">
      <c r="A211" s="2" t="s">
        <v>128</v>
      </c>
      <c r="B211" s="2">
        <v>7228</v>
      </c>
      <c r="C211" s="2" t="s">
        <v>2458</v>
      </c>
      <c r="D211" s="2" t="s">
        <v>2459</v>
      </c>
      <c r="E211" s="4" t="s">
        <v>1376</v>
      </c>
      <c r="F211" s="2" t="s">
        <v>2460</v>
      </c>
      <c r="G211" s="2" t="s">
        <v>2461</v>
      </c>
      <c r="H211" s="2" t="s">
        <v>367</v>
      </c>
      <c r="I211" s="2" t="s">
        <v>1010</v>
      </c>
      <c r="J211" s="2" t="s">
        <v>31</v>
      </c>
      <c r="K211" s="2" t="s">
        <v>31</v>
      </c>
      <c r="L211" s="2" t="s">
        <v>373</v>
      </c>
      <c r="M211" s="2" t="s">
        <v>118</v>
      </c>
      <c r="N211" s="2" t="s">
        <v>483</v>
      </c>
      <c r="O211" s="2" t="s">
        <v>164</v>
      </c>
      <c r="P211" s="2" t="s">
        <v>1387</v>
      </c>
      <c r="Q211" s="2" t="s">
        <v>217</v>
      </c>
      <c r="R211" s="2" t="s">
        <v>452</v>
      </c>
      <c r="S211" s="2" t="s">
        <v>35</v>
      </c>
      <c r="T211" s="150">
        <v>6.8010000000000002</v>
      </c>
      <c r="U211" s="2" t="s">
        <v>2462</v>
      </c>
      <c r="V211" s="162">
        <v>5.8599999999999999E-2</v>
      </c>
      <c r="W211" s="164">
        <v>6.148E-2</v>
      </c>
      <c r="X211" s="4" t="s">
        <v>458</v>
      </c>
      <c r="Y211" s="4" t="s">
        <v>164</v>
      </c>
      <c r="Z211" s="150">
        <v>3401902</v>
      </c>
      <c r="AA211" s="150">
        <v>1</v>
      </c>
      <c r="AB211" s="150">
        <v>100.02</v>
      </c>
      <c r="AD211" s="150">
        <v>3402.5819999999999</v>
      </c>
      <c r="AG211" s="2" t="s">
        <v>37</v>
      </c>
      <c r="AH211" s="164">
        <v>1.7052000000000001E-2</v>
      </c>
      <c r="AI211" s="164">
        <v>2.3057660047948202E-2</v>
      </c>
      <c r="AJ211" s="164">
        <v>1.4539031586074599E-3</v>
      </c>
    </row>
    <row r="212" spans="1:36">
      <c r="A212" s="2" t="s">
        <v>128</v>
      </c>
      <c r="B212" s="2">
        <v>7228</v>
      </c>
      <c r="C212" s="2" t="s">
        <v>2463</v>
      </c>
      <c r="D212" s="2" t="s">
        <v>2464</v>
      </c>
      <c r="E212" s="4" t="s">
        <v>1376</v>
      </c>
      <c r="F212" s="2" t="s">
        <v>2465</v>
      </c>
      <c r="G212" s="2" t="s">
        <v>2466</v>
      </c>
      <c r="H212" s="2" t="s">
        <v>367</v>
      </c>
      <c r="I212" s="2" t="s">
        <v>1010</v>
      </c>
      <c r="J212" s="2" t="s">
        <v>31</v>
      </c>
      <c r="K212" s="2" t="s">
        <v>31</v>
      </c>
      <c r="L212" s="2" t="s">
        <v>373</v>
      </c>
      <c r="M212" s="2" t="s">
        <v>32</v>
      </c>
      <c r="N212" s="2" t="s">
        <v>488</v>
      </c>
      <c r="O212" s="2" t="s">
        <v>164</v>
      </c>
      <c r="P212" s="2" t="s">
        <v>1392</v>
      </c>
      <c r="Q212" s="2" t="s">
        <v>217</v>
      </c>
      <c r="R212" s="2" t="s">
        <v>452</v>
      </c>
      <c r="S212" s="2" t="s">
        <v>35</v>
      </c>
      <c r="T212" s="150">
        <v>5.2389999999999999</v>
      </c>
      <c r="U212" s="2" t="s">
        <v>2436</v>
      </c>
      <c r="V212" s="162">
        <v>4.6899999999999997E-2</v>
      </c>
      <c r="W212" s="164">
        <v>5.7200000000000001E-2</v>
      </c>
      <c r="X212" s="4" t="s">
        <v>458</v>
      </c>
      <c r="Y212" s="4" t="s">
        <v>164</v>
      </c>
      <c r="Z212" s="150">
        <v>2999000</v>
      </c>
      <c r="AA212" s="150">
        <v>1</v>
      </c>
      <c r="AB212" s="150">
        <v>95.24</v>
      </c>
      <c r="AD212" s="150">
        <v>2856.248</v>
      </c>
      <c r="AG212" s="2" t="s">
        <v>37</v>
      </c>
      <c r="AH212" s="164">
        <v>5.9979999999999999E-3</v>
      </c>
      <c r="AI212" s="164">
        <v>1.93554126868269E-2</v>
      </c>
      <c r="AJ212" s="164">
        <v>1.2204575652086901E-3</v>
      </c>
    </row>
    <row r="213" spans="1:36">
      <c r="A213" s="2" t="s">
        <v>128</v>
      </c>
      <c r="B213" s="2">
        <v>7228</v>
      </c>
      <c r="C213" s="2" t="s">
        <v>2003</v>
      </c>
      <c r="D213" s="2" t="s">
        <v>2004</v>
      </c>
      <c r="E213" s="4" t="s">
        <v>1376</v>
      </c>
      <c r="F213" s="2" t="s">
        <v>2537</v>
      </c>
      <c r="G213" s="2" t="s">
        <v>2538</v>
      </c>
      <c r="H213" s="2" t="s">
        <v>367</v>
      </c>
      <c r="I213" s="2" t="s">
        <v>1010</v>
      </c>
      <c r="J213" s="2" t="s">
        <v>31</v>
      </c>
      <c r="K213" s="2" t="s">
        <v>31</v>
      </c>
      <c r="L213" s="2" t="s">
        <v>373</v>
      </c>
      <c r="M213" s="2" t="s">
        <v>32</v>
      </c>
      <c r="N213" s="2" t="s">
        <v>528</v>
      </c>
      <c r="O213" s="2" t="s">
        <v>164</v>
      </c>
      <c r="P213" s="2" t="s">
        <v>1387</v>
      </c>
      <c r="Q213" s="2" t="s">
        <v>217</v>
      </c>
      <c r="R213" s="2" t="s">
        <v>452</v>
      </c>
      <c r="S213" s="2" t="s">
        <v>35</v>
      </c>
      <c r="T213" s="150">
        <v>2.327</v>
      </c>
      <c r="U213" s="2" t="s">
        <v>2539</v>
      </c>
      <c r="V213" s="162">
        <v>0.04</v>
      </c>
      <c r="W213" s="164">
        <v>5.2909999999999999E-2</v>
      </c>
      <c r="X213" s="4" t="s">
        <v>458</v>
      </c>
      <c r="Y213" s="4" t="s">
        <v>164</v>
      </c>
      <c r="Z213" s="150">
        <v>426678.7</v>
      </c>
      <c r="AA213" s="150">
        <v>1</v>
      </c>
      <c r="AB213" s="150">
        <v>97.24</v>
      </c>
      <c r="AD213" s="150">
        <v>414.90199999999999</v>
      </c>
      <c r="AG213" s="2" t="s">
        <v>37</v>
      </c>
      <c r="AH213" s="164">
        <v>7.1599999999999995E-4</v>
      </c>
      <c r="AI213" s="164">
        <v>2.8115932789086898E-3</v>
      </c>
      <c r="AJ213" s="164">
        <v>1.7728530737396399E-4</v>
      </c>
    </row>
    <row r="214" spans="1:36">
      <c r="A214" s="2" t="s">
        <v>128</v>
      </c>
      <c r="B214" s="2">
        <v>7228</v>
      </c>
      <c r="C214" s="2" t="s">
        <v>2467</v>
      </c>
      <c r="D214" s="2" t="s">
        <v>2468</v>
      </c>
      <c r="E214" s="4" t="s">
        <v>1376</v>
      </c>
      <c r="F214" s="2" t="s">
        <v>2469</v>
      </c>
      <c r="G214" s="2" t="s">
        <v>2470</v>
      </c>
      <c r="H214" s="2" t="s">
        <v>367</v>
      </c>
      <c r="I214" s="2" t="s">
        <v>1010</v>
      </c>
      <c r="J214" s="2" t="s">
        <v>31</v>
      </c>
      <c r="K214" s="2" t="s">
        <v>31</v>
      </c>
      <c r="L214" s="2" t="s">
        <v>373</v>
      </c>
      <c r="M214" s="2" t="s">
        <v>32</v>
      </c>
      <c r="N214" s="2" t="s">
        <v>508</v>
      </c>
      <c r="O214" s="2" t="s">
        <v>164</v>
      </c>
      <c r="P214" s="2" t="s">
        <v>2217</v>
      </c>
      <c r="Q214" s="2" t="s">
        <v>98</v>
      </c>
      <c r="R214" s="2" t="s">
        <v>452</v>
      </c>
      <c r="S214" s="2" t="s">
        <v>35</v>
      </c>
      <c r="T214" s="150">
        <v>1.8919999999999999</v>
      </c>
      <c r="U214" s="2" t="s">
        <v>2471</v>
      </c>
      <c r="V214" s="162">
        <v>2.6499999999999999E-2</v>
      </c>
      <c r="W214" s="164">
        <v>5.6939999999999998E-2</v>
      </c>
      <c r="X214" s="4" t="s">
        <v>458</v>
      </c>
      <c r="Y214" s="4" t="s">
        <v>164</v>
      </c>
      <c r="Z214" s="150">
        <v>1902857.14</v>
      </c>
      <c r="AA214" s="150">
        <v>1</v>
      </c>
      <c r="AB214" s="150">
        <v>95.45</v>
      </c>
      <c r="AD214" s="150">
        <v>1816.277</v>
      </c>
      <c r="AG214" s="2" t="s">
        <v>37</v>
      </c>
      <c r="AH214" s="164">
        <v>3.0959999999999998E-3</v>
      </c>
      <c r="AI214" s="164">
        <v>1.23080343597894E-2</v>
      </c>
      <c r="AJ214" s="164">
        <v>7.7608438994829004E-4</v>
      </c>
    </row>
    <row r="215" spans="1:36">
      <c r="A215" s="2" t="s">
        <v>128</v>
      </c>
      <c r="B215" s="2">
        <v>7228</v>
      </c>
      <c r="C215" s="2" t="s">
        <v>2540</v>
      </c>
      <c r="D215" s="2" t="s">
        <v>2541</v>
      </c>
      <c r="E215" s="4" t="s">
        <v>361</v>
      </c>
      <c r="F215" s="2" t="s">
        <v>2542</v>
      </c>
      <c r="G215" s="2" t="s">
        <v>2543</v>
      </c>
      <c r="H215" s="2" t="s">
        <v>367</v>
      </c>
      <c r="I215" s="2" t="s">
        <v>214</v>
      </c>
      <c r="J215" s="2" t="s">
        <v>94</v>
      </c>
      <c r="K215" s="2" t="s">
        <v>287</v>
      </c>
      <c r="L215" s="2" t="s">
        <v>373</v>
      </c>
      <c r="M215" s="2" t="s">
        <v>203</v>
      </c>
      <c r="N215" s="2" t="s">
        <v>586</v>
      </c>
      <c r="O215" s="2" t="s">
        <v>164</v>
      </c>
      <c r="P215" s="2" t="s">
        <v>1380</v>
      </c>
      <c r="Q215" s="2" t="s">
        <v>104</v>
      </c>
      <c r="R215" s="2" t="s">
        <v>452</v>
      </c>
      <c r="S215" s="2" t="s">
        <v>1219</v>
      </c>
      <c r="T215" s="150">
        <v>0.28999999999999998</v>
      </c>
      <c r="U215" s="2" t="s">
        <v>2544</v>
      </c>
      <c r="V215" s="162">
        <v>3.3750000000000002E-2</v>
      </c>
      <c r="W215" s="164">
        <v>5.9729999999999998E-2</v>
      </c>
      <c r="X215" s="4" t="s">
        <v>458</v>
      </c>
      <c r="Y215" s="4" t="s">
        <v>164</v>
      </c>
      <c r="Z215" s="150">
        <v>200000</v>
      </c>
      <c r="AA215" s="150">
        <v>4.0199999999999996</v>
      </c>
      <c r="AB215" s="150">
        <v>102.298</v>
      </c>
      <c r="AD215" s="150">
        <v>822.51400000000001</v>
      </c>
      <c r="AG215" s="2" t="s">
        <v>37</v>
      </c>
      <c r="AH215" s="164">
        <v>1.3300000000000001E-4</v>
      </c>
      <c r="AI215" s="164">
        <v>5.5737836513201503E-3</v>
      </c>
      <c r="AJ215" s="164">
        <v>3.5145550932737002E-4</v>
      </c>
    </row>
    <row r="216" spans="1:36">
      <c r="A216" s="2" t="s">
        <v>128</v>
      </c>
      <c r="B216" s="2">
        <v>7228</v>
      </c>
      <c r="C216" s="2" t="s">
        <v>2476</v>
      </c>
      <c r="D216" s="2" t="s">
        <v>2477</v>
      </c>
      <c r="E216" s="4" t="s">
        <v>361</v>
      </c>
      <c r="F216" s="2" t="s">
        <v>2478</v>
      </c>
      <c r="G216" s="2" t="s">
        <v>2479</v>
      </c>
      <c r="H216" s="2" t="s">
        <v>367</v>
      </c>
      <c r="I216" s="2" t="s">
        <v>214</v>
      </c>
      <c r="J216" s="2" t="s">
        <v>94</v>
      </c>
      <c r="K216" s="2" t="s">
        <v>95</v>
      </c>
      <c r="L216" s="2" t="s">
        <v>373</v>
      </c>
      <c r="M216" s="2" t="s">
        <v>203</v>
      </c>
      <c r="N216" s="2" t="s">
        <v>580</v>
      </c>
      <c r="O216" s="2" t="s">
        <v>164</v>
      </c>
      <c r="P216" s="2" t="s">
        <v>2480</v>
      </c>
      <c r="Q216" s="2" t="s">
        <v>104</v>
      </c>
      <c r="R216" s="2" t="s">
        <v>452</v>
      </c>
      <c r="S216" s="2" t="s">
        <v>99</v>
      </c>
      <c r="T216" s="150">
        <v>0.61</v>
      </c>
      <c r="U216" s="2" t="s">
        <v>2481</v>
      </c>
      <c r="V216" s="162">
        <v>0.04</v>
      </c>
      <c r="W216" s="164">
        <v>6.0069999999999998E-2</v>
      </c>
      <c r="X216" s="4" t="s">
        <v>458</v>
      </c>
      <c r="Y216" s="4" t="s">
        <v>164</v>
      </c>
      <c r="Z216" s="150">
        <v>200000</v>
      </c>
      <c r="AA216" s="150">
        <v>3.7589999999999999</v>
      </c>
      <c r="AB216" s="150">
        <v>100.77500000000001</v>
      </c>
      <c r="AD216" s="150">
        <v>757.62400000000002</v>
      </c>
      <c r="AG216" s="2" t="s">
        <v>37</v>
      </c>
      <c r="AH216" s="164">
        <v>8.0000000000000007E-5</v>
      </c>
      <c r="AI216" s="164">
        <v>5.1340525116394201E-3</v>
      </c>
      <c r="AJ216" s="164">
        <v>3.2372821646285601E-4</v>
      </c>
    </row>
    <row r="217" spans="1:36">
      <c r="A217" s="2" t="s">
        <v>128</v>
      </c>
      <c r="B217" s="2">
        <v>7228</v>
      </c>
      <c r="C217" s="2" t="s">
        <v>2545</v>
      </c>
      <c r="D217" s="2" t="s">
        <v>2546</v>
      </c>
      <c r="E217" s="4" t="s">
        <v>361</v>
      </c>
      <c r="F217" s="2" t="s">
        <v>2547</v>
      </c>
      <c r="G217" s="2" t="s">
        <v>2548</v>
      </c>
      <c r="H217" s="2" t="s">
        <v>367</v>
      </c>
      <c r="I217" s="2" t="s">
        <v>214</v>
      </c>
      <c r="J217" s="2" t="s">
        <v>94</v>
      </c>
      <c r="K217" s="2" t="s">
        <v>287</v>
      </c>
      <c r="L217" s="2" t="s">
        <v>373</v>
      </c>
      <c r="M217" s="2" t="s">
        <v>203</v>
      </c>
      <c r="N217" s="2" t="s">
        <v>578</v>
      </c>
      <c r="O217" s="2" t="s">
        <v>164</v>
      </c>
      <c r="P217" s="2" t="s">
        <v>2549</v>
      </c>
      <c r="Q217" s="2" t="s">
        <v>104</v>
      </c>
      <c r="R217" s="2" t="s">
        <v>452</v>
      </c>
      <c r="S217" s="2" t="s">
        <v>1219</v>
      </c>
      <c r="T217" s="150">
        <v>2.67</v>
      </c>
      <c r="U217" s="2" t="s">
        <v>2550</v>
      </c>
      <c r="V217" s="162">
        <v>4.4999999999999998E-2</v>
      </c>
      <c r="W217" s="164">
        <v>6.6369999999999998E-2</v>
      </c>
      <c r="X217" s="4" t="s">
        <v>458</v>
      </c>
      <c r="Y217" s="4" t="s">
        <v>164</v>
      </c>
      <c r="Z217" s="150">
        <v>300000</v>
      </c>
      <c r="AA217" s="150">
        <v>4.0199999999999996</v>
      </c>
      <c r="AB217" s="150">
        <v>99.826999999999998</v>
      </c>
      <c r="AD217" s="150">
        <v>1203.972</v>
      </c>
      <c r="AG217" s="2" t="s">
        <v>37</v>
      </c>
      <c r="AH217" s="164">
        <v>0</v>
      </c>
      <c r="AI217" s="164">
        <v>8.1587397837190601E-3</v>
      </c>
      <c r="AJ217" s="164">
        <v>5.1445018779609601E-4</v>
      </c>
    </row>
    <row r="218" spans="1:36">
      <c r="A218" s="2" t="s">
        <v>128</v>
      </c>
      <c r="B218" s="2">
        <v>7228</v>
      </c>
      <c r="C218" s="2" t="s">
        <v>2551</v>
      </c>
      <c r="D218" s="2" t="s">
        <v>2552</v>
      </c>
      <c r="E218" s="4" t="s">
        <v>361</v>
      </c>
      <c r="F218" s="2" t="s">
        <v>2553</v>
      </c>
      <c r="G218" s="2" t="s">
        <v>2554</v>
      </c>
      <c r="H218" s="2" t="s">
        <v>367</v>
      </c>
      <c r="I218" s="2" t="s">
        <v>214</v>
      </c>
      <c r="J218" s="2" t="s">
        <v>94</v>
      </c>
      <c r="K218" s="2" t="s">
        <v>95</v>
      </c>
      <c r="L218" s="2" t="s">
        <v>373</v>
      </c>
      <c r="M218" s="2" t="s">
        <v>203</v>
      </c>
      <c r="N218" s="2" t="s">
        <v>580</v>
      </c>
      <c r="O218" s="2" t="s">
        <v>164</v>
      </c>
      <c r="P218" s="2" t="s">
        <v>2555</v>
      </c>
      <c r="Q218" s="2" t="s">
        <v>104</v>
      </c>
      <c r="R218" s="2" t="s">
        <v>452</v>
      </c>
      <c r="S218" s="2" t="s">
        <v>99</v>
      </c>
      <c r="T218" s="150">
        <v>0.79</v>
      </c>
      <c r="U218" s="2" t="s">
        <v>2556</v>
      </c>
      <c r="V218" s="162">
        <v>3.875E-2</v>
      </c>
      <c r="W218" s="164">
        <v>5.7660000000000003E-2</v>
      </c>
      <c r="X218" s="4" t="s">
        <v>458</v>
      </c>
      <c r="Y218" s="4" t="s">
        <v>164</v>
      </c>
      <c r="Z218" s="150">
        <v>270000</v>
      </c>
      <c r="AA218" s="150">
        <v>3.7589999999999999</v>
      </c>
      <c r="AB218" s="150">
        <v>99.65</v>
      </c>
      <c r="AD218" s="150">
        <v>1011.374</v>
      </c>
      <c r="AG218" s="2" t="s">
        <v>37</v>
      </c>
      <c r="AH218" s="164">
        <v>2.7E-4</v>
      </c>
      <c r="AI218" s="164">
        <v>6.8535917751638203E-3</v>
      </c>
      <c r="AJ218" s="164">
        <v>4.3215394402536098E-4</v>
      </c>
    </row>
    <row r="219" spans="1:36">
      <c r="A219" s="2" t="s">
        <v>128</v>
      </c>
      <c r="B219" s="2">
        <v>7228</v>
      </c>
      <c r="C219" s="2" t="s">
        <v>2557</v>
      </c>
      <c r="D219" s="2" t="s">
        <v>2558</v>
      </c>
      <c r="E219" s="4" t="s">
        <v>361</v>
      </c>
      <c r="F219" s="2" t="s">
        <v>2559</v>
      </c>
      <c r="G219" s="2" t="s">
        <v>2560</v>
      </c>
      <c r="H219" s="2" t="s">
        <v>367</v>
      </c>
      <c r="I219" s="2" t="s">
        <v>214</v>
      </c>
      <c r="J219" s="2" t="s">
        <v>94</v>
      </c>
      <c r="K219" s="2" t="s">
        <v>95</v>
      </c>
      <c r="L219" s="2" t="s">
        <v>373</v>
      </c>
      <c r="M219" s="2" t="s">
        <v>203</v>
      </c>
      <c r="N219" s="2" t="s">
        <v>556</v>
      </c>
      <c r="O219" s="2" t="s">
        <v>164</v>
      </c>
      <c r="P219" s="2" t="s">
        <v>2561</v>
      </c>
      <c r="Q219" s="2" t="s">
        <v>476</v>
      </c>
      <c r="R219" s="2" t="s">
        <v>452</v>
      </c>
      <c r="S219" s="2" t="s">
        <v>99</v>
      </c>
      <c r="T219" s="150">
        <v>1.87</v>
      </c>
      <c r="U219" s="2" t="s">
        <v>127</v>
      </c>
      <c r="V219" s="162">
        <v>0.05</v>
      </c>
      <c r="W219" s="164">
        <v>6.4449999999999993E-2</v>
      </c>
      <c r="X219" s="4" t="s">
        <v>458</v>
      </c>
      <c r="Y219" s="4" t="s">
        <v>164</v>
      </c>
      <c r="Z219" s="150">
        <v>263000</v>
      </c>
      <c r="AA219" s="150">
        <v>3.7589999999999999</v>
      </c>
      <c r="AB219" s="150">
        <v>98.748999999999995</v>
      </c>
      <c r="AD219" s="150">
        <v>976.245</v>
      </c>
      <c r="AG219" s="2" t="s">
        <v>37</v>
      </c>
      <c r="AH219" s="164">
        <v>2.92E-4</v>
      </c>
      <c r="AI219" s="164">
        <v>6.6155446424356803E-3</v>
      </c>
      <c r="AJ219" s="164">
        <v>4.17143857249374E-4</v>
      </c>
    </row>
    <row r="220" spans="1:36">
      <c r="A220" s="2" t="s">
        <v>128</v>
      </c>
      <c r="B220" s="2">
        <v>7228</v>
      </c>
      <c r="C220" s="2" t="s">
        <v>2562</v>
      </c>
      <c r="D220" s="2" t="s">
        <v>2563</v>
      </c>
      <c r="E220" s="4" t="s">
        <v>361</v>
      </c>
      <c r="F220" s="2" t="s">
        <v>2564</v>
      </c>
      <c r="G220" s="2" t="s">
        <v>2565</v>
      </c>
      <c r="H220" s="2" t="s">
        <v>367</v>
      </c>
      <c r="I220" s="2" t="s">
        <v>214</v>
      </c>
      <c r="J220" s="2" t="s">
        <v>94</v>
      </c>
      <c r="K220" s="2" t="s">
        <v>95</v>
      </c>
      <c r="L220" s="2" t="s">
        <v>373</v>
      </c>
      <c r="M220" s="2" t="s">
        <v>203</v>
      </c>
      <c r="N220" s="2" t="s">
        <v>590</v>
      </c>
      <c r="O220" s="2" t="s">
        <v>164</v>
      </c>
      <c r="P220" s="2" t="s">
        <v>2555</v>
      </c>
      <c r="Q220" s="2" t="s">
        <v>104</v>
      </c>
      <c r="R220" s="2" t="s">
        <v>452</v>
      </c>
      <c r="S220" s="2" t="s">
        <v>99</v>
      </c>
      <c r="T220" s="150">
        <v>1.3</v>
      </c>
      <c r="U220" s="2" t="s">
        <v>2566</v>
      </c>
      <c r="V220" s="162">
        <v>4.9000000000000002E-2</v>
      </c>
      <c r="W220" s="164">
        <v>5.5969999999999999E-2</v>
      </c>
      <c r="X220" s="4" t="s">
        <v>458</v>
      </c>
      <c r="Y220" s="4" t="s">
        <v>164</v>
      </c>
      <c r="Z220" s="150">
        <v>252000</v>
      </c>
      <c r="AA220" s="150">
        <v>3.7589999999999999</v>
      </c>
      <c r="AB220" s="150">
        <v>100.282</v>
      </c>
      <c r="AD220" s="150">
        <v>949.94299999999998</v>
      </c>
      <c r="AG220" s="2" t="s">
        <v>37</v>
      </c>
      <c r="AH220" s="164">
        <v>1.01E-4</v>
      </c>
      <c r="AI220" s="164">
        <v>6.4373062181026603E-3</v>
      </c>
      <c r="AJ220" s="164">
        <v>4.05905014817657E-4</v>
      </c>
    </row>
    <row r="221" spans="1:36">
      <c r="A221" s="2" t="s">
        <v>128</v>
      </c>
      <c r="B221" s="2">
        <v>7228</v>
      </c>
      <c r="C221" s="2" t="s">
        <v>2482</v>
      </c>
      <c r="D221" s="2" t="s">
        <v>2483</v>
      </c>
      <c r="E221" s="4" t="s">
        <v>361</v>
      </c>
      <c r="F221" s="2" t="s">
        <v>2484</v>
      </c>
      <c r="G221" s="2" t="s">
        <v>2485</v>
      </c>
      <c r="H221" s="2" t="s">
        <v>367</v>
      </c>
      <c r="I221" s="2" t="s">
        <v>214</v>
      </c>
      <c r="J221" s="2" t="s">
        <v>94</v>
      </c>
      <c r="K221" s="2" t="s">
        <v>95</v>
      </c>
      <c r="L221" s="2" t="s">
        <v>373</v>
      </c>
      <c r="M221" s="2" t="s">
        <v>203</v>
      </c>
      <c r="N221" s="2" t="s">
        <v>590</v>
      </c>
      <c r="O221" s="2" t="s">
        <v>164</v>
      </c>
      <c r="P221" s="2" t="s">
        <v>2330</v>
      </c>
      <c r="Q221" s="2" t="s">
        <v>476</v>
      </c>
      <c r="R221" s="2" t="s">
        <v>452</v>
      </c>
      <c r="S221" s="2" t="s">
        <v>99</v>
      </c>
      <c r="T221" s="150">
        <v>0.91</v>
      </c>
      <c r="U221" s="2" t="s">
        <v>2486</v>
      </c>
      <c r="V221" s="162">
        <v>7.4999999999999997E-2</v>
      </c>
      <c r="W221" s="164">
        <v>6.0630000000000003E-2</v>
      </c>
      <c r="X221" s="4" t="s">
        <v>458</v>
      </c>
      <c r="Y221" s="4" t="s">
        <v>164</v>
      </c>
      <c r="Z221" s="150">
        <v>150000</v>
      </c>
      <c r="AA221" s="150">
        <v>3.7589999999999999</v>
      </c>
      <c r="AB221" s="150">
        <v>102.27800000000001</v>
      </c>
      <c r="AD221" s="150">
        <v>576.69600000000003</v>
      </c>
      <c r="AG221" s="2" t="s">
        <v>37</v>
      </c>
      <c r="AH221" s="164">
        <v>3.7500000000000001E-4</v>
      </c>
      <c r="AI221" s="164">
        <v>3.9079920243741701E-3</v>
      </c>
      <c r="AJ221" s="164">
        <v>2.4641884459372898E-4</v>
      </c>
    </row>
    <row r="222" spans="1:36">
      <c r="A222" s="2" t="s">
        <v>128</v>
      </c>
      <c r="B222" s="2">
        <v>7228</v>
      </c>
      <c r="C222" s="2" t="s">
        <v>2567</v>
      </c>
      <c r="D222" s="2" t="s">
        <v>2568</v>
      </c>
      <c r="E222" s="4" t="s">
        <v>361</v>
      </c>
      <c r="F222" s="2" t="s">
        <v>2569</v>
      </c>
      <c r="G222" s="2" t="s">
        <v>2570</v>
      </c>
      <c r="H222" s="2" t="s">
        <v>367</v>
      </c>
      <c r="I222" s="2" t="s">
        <v>214</v>
      </c>
      <c r="J222" s="2" t="s">
        <v>94</v>
      </c>
      <c r="K222" s="2" t="s">
        <v>258</v>
      </c>
      <c r="L222" s="2" t="s">
        <v>373</v>
      </c>
      <c r="M222" s="2" t="s">
        <v>203</v>
      </c>
      <c r="N222" s="2" t="s">
        <v>553</v>
      </c>
      <c r="O222" s="2" t="s">
        <v>164</v>
      </c>
      <c r="P222" s="2" t="s">
        <v>1370</v>
      </c>
      <c r="Q222" s="2" t="s">
        <v>104</v>
      </c>
      <c r="R222" s="2" t="s">
        <v>452</v>
      </c>
      <c r="S222" s="2" t="s">
        <v>99</v>
      </c>
      <c r="T222" s="150">
        <v>1.81</v>
      </c>
      <c r="U222" s="2" t="s">
        <v>2571</v>
      </c>
      <c r="V222" s="162">
        <v>3.6249999999999998E-2</v>
      </c>
      <c r="W222" s="164">
        <v>5.7639999999999997E-2</v>
      </c>
      <c r="X222" s="4" t="s">
        <v>458</v>
      </c>
      <c r="Y222" s="4" t="s">
        <v>164</v>
      </c>
      <c r="Z222" s="150">
        <v>270000</v>
      </c>
      <c r="AA222" s="150">
        <v>3.7589999999999999</v>
      </c>
      <c r="AB222" s="150">
        <v>97.346000000000004</v>
      </c>
      <c r="AD222" s="150">
        <v>987.99800000000005</v>
      </c>
      <c r="AG222" s="2" t="s">
        <v>37</v>
      </c>
      <c r="AH222" s="164">
        <v>2.9999999999999997E-4</v>
      </c>
      <c r="AI222" s="164">
        <v>6.6951847913268902E-3</v>
      </c>
      <c r="AJ222" s="164">
        <v>4.2216557514200098E-4</v>
      </c>
    </row>
    <row r="223" spans="1:36">
      <c r="A223" s="2" t="s">
        <v>128</v>
      </c>
      <c r="B223" s="2">
        <v>7228</v>
      </c>
      <c r="C223" s="2" t="s">
        <v>1929</v>
      </c>
      <c r="D223" s="2" t="s">
        <v>1930</v>
      </c>
      <c r="E223" s="4" t="s">
        <v>1376</v>
      </c>
      <c r="F223" s="2" t="s">
        <v>2487</v>
      </c>
      <c r="G223" s="2" t="s">
        <v>2488</v>
      </c>
      <c r="H223" s="2" t="s">
        <v>367</v>
      </c>
      <c r="I223" s="2" t="s">
        <v>214</v>
      </c>
      <c r="J223" s="2" t="s">
        <v>31</v>
      </c>
      <c r="K223" s="2" t="s">
        <v>95</v>
      </c>
      <c r="L223" s="2" t="s">
        <v>373</v>
      </c>
      <c r="M223" s="2" t="s">
        <v>390</v>
      </c>
      <c r="N223" s="2" t="s">
        <v>510</v>
      </c>
      <c r="O223" s="2" t="s">
        <v>164</v>
      </c>
      <c r="P223" s="2" t="s">
        <v>2489</v>
      </c>
      <c r="Q223" s="2" t="s">
        <v>104</v>
      </c>
      <c r="R223" s="2" t="s">
        <v>452</v>
      </c>
      <c r="S223" s="2" t="s">
        <v>1219</v>
      </c>
      <c r="T223" s="150">
        <v>5.13</v>
      </c>
      <c r="U223" s="2" t="s">
        <v>2490</v>
      </c>
      <c r="V223" s="162">
        <v>4.3749999999999997E-2</v>
      </c>
      <c r="W223" s="164">
        <v>5.033E-2</v>
      </c>
      <c r="X223" s="4" t="s">
        <v>458</v>
      </c>
      <c r="Y223" s="4" t="s">
        <v>164</v>
      </c>
      <c r="Z223" s="150">
        <v>640000</v>
      </c>
      <c r="AA223" s="150">
        <v>4.0199999999999996</v>
      </c>
      <c r="AB223" s="150">
        <v>97.57</v>
      </c>
      <c r="AD223" s="150">
        <v>2510.4079999999999</v>
      </c>
      <c r="AG223" s="2" t="s">
        <v>37</v>
      </c>
      <c r="AH223" s="164">
        <v>4.2700000000000002E-4</v>
      </c>
      <c r="AI223" s="164">
        <v>1.7011827346661301E-2</v>
      </c>
      <c r="AJ223" s="164">
        <v>1.07268254721261E-3</v>
      </c>
    </row>
    <row r="224" spans="1:36">
      <c r="A224" s="2" t="s">
        <v>128</v>
      </c>
      <c r="B224" s="2">
        <v>7228</v>
      </c>
      <c r="C224" s="2" t="s">
        <v>2572</v>
      </c>
      <c r="D224" s="2" t="s">
        <v>2573</v>
      </c>
      <c r="E224" s="4" t="s">
        <v>361</v>
      </c>
      <c r="F224" s="2" t="s">
        <v>2574</v>
      </c>
      <c r="G224" s="2" t="s">
        <v>2575</v>
      </c>
      <c r="H224" s="2" t="s">
        <v>367</v>
      </c>
      <c r="I224" s="2" t="s">
        <v>214</v>
      </c>
      <c r="J224" s="2" t="s">
        <v>94</v>
      </c>
      <c r="K224" s="2" t="s">
        <v>95</v>
      </c>
      <c r="L224" s="2" t="s">
        <v>373</v>
      </c>
      <c r="M224" s="2" t="s">
        <v>203</v>
      </c>
      <c r="N224" s="2" t="s">
        <v>2043</v>
      </c>
      <c r="O224" s="2" t="s">
        <v>164</v>
      </c>
      <c r="P224" s="2" t="s">
        <v>2576</v>
      </c>
      <c r="Q224" s="2" t="s">
        <v>104</v>
      </c>
      <c r="R224" s="2" t="s">
        <v>452</v>
      </c>
      <c r="S224" s="2" t="s">
        <v>99</v>
      </c>
      <c r="T224" s="150">
        <v>1.86</v>
      </c>
      <c r="U224" s="2" t="s">
        <v>2577</v>
      </c>
      <c r="V224" s="162">
        <v>3.4500000000000003E-2</v>
      </c>
      <c r="W224" s="164">
        <v>6.0139999999999999E-2</v>
      </c>
      <c r="X224" s="4" t="s">
        <v>458</v>
      </c>
      <c r="Y224" s="4" t="s">
        <v>164</v>
      </c>
      <c r="Z224" s="150">
        <v>273000</v>
      </c>
      <c r="AA224" s="150">
        <v>3.7589999999999999</v>
      </c>
      <c r="AB224" s="150">
        <v>94.352000000000004</v>
      </c>
      <c r="AD224" s="150">
        <v>968.24199999999996</v>
      </c>
      <c r="AG224" s="2" t="s">
        <v>37</v>
      </c>
      <c r="AH224" s="164">
        <v>1.44E-4</v>
      </c>
      <c r="AI224" s="164">
        <v>6.5613070931731E-3</v>
      </c>
      <c r="AJ224" s="164">
        <v>4.1372390292512801E-4</v>
      </c>
    </row>
    <row r="225" spans="1:36">
      <c r="A225" s="2" t="s">
        <v>128</v>
      </c>
      <c r="B225" s="2">
        <v>7228</v>
      </c>
      <c r="C225" s="2" t="s">
        <v>2491</v>
      </c>
      <c r="D225" s="2" t="s">
        <v>2492</v>
      </c>
      <c r="E225" s="4" t="s">
        <v>360</v>
      </c>
      <c r="F225" s="2" t="s">
        <v>2493</v>
      </c>
      <c r="G225" s="2" t="s">
        <v>2494</v>
      </c>
      <c r="H225" s="2" t="s">
        <v>367</v>
      </c>
      <c r="I225" s="2" t="s">
        <v>214</v>
      </c>
      <c r="J225" s="2" t="s">
        <v>94</v>
      </c>
      <c r="K225" s="2" t="s">
        <v>282</v>
      </c>
      <c r="L225" s="2" t="s">
        <v>373</v>
      </c>
      <c r="M225" s="2" t="s">
        <v>32</v>
      </c>
      <c r="N225" s="2" t="s">
        <v>508</v>
      </c>
      <c r="O225" s="2" t="s">
        <v>164</v>
      </c>
      <c r="P225" s="2" t="s">
        <v>1392</v>
      </c>
      <c r="Q225" s="2" t="s">
        <v>98</v>
      </c>
      <c r="R225" s="2" t="s">
        <v>452</v>
      </c>
      <c r="S225" s="2" t="s">
        <v>35</v>
      </c>
      <c r="T225" s="150">
        <v>3.13</v>
      </c>
      <c r="U225" s="2" t="s">
        <v>2495</v>
      </c>
      <c r="V225" s="162">
        <v>4.2999999999999997E-2</v>
      </c>
      <c r="W225" s="164">
        <v>7.8320000000000001E-2</v>
      </c>
      <c r="X225" s="4" t="s">
        <v>458</v>
      </c>
      <c r="Y225" s="4" t="s">
        <v>164</v>
      </c>
      <c r="Z225" s="150">
        <v>2351570.5</v>
      </c>
      <c r="AA225" s="150">
        <v>1</v>
      </c>
      <c r="AB225" s="150">
        <v>90.67</v>
      </c>
      <c r="AD225" s="150">
        <v>2132.1689999999999</v>
      </c>
      <c r="AG225" s="2" t="s">
        <v>37</v>
      </c>
      <c r="AH225" s="164">
        <v>2.0890000000000001E-3</v>
      </c>
      <c r="AI225" s="164">
        <v>1.4448680981957601E-2</v>
      </c>
      <c r="AJ225" s="164">
        <v>9.1106308592007199E-4</v>
      </c>
    </row>
    <row r="226" spans="1:36">
      <c r="A226" s="2" t="s">
        <v>128</v>
      </c>
      <c r="B226" s="2">
        <v>7229</v>
      </c>
      <c r="C226" s="2" t="s">
        <v>2219</v>
      </c>
      <c r="D226" s="2" t="s">
        <v>2220</v>
      </c>
      <c r="E226" s="4" t="s">
        <v>1376</v>
      </c>
      <c r="F226" s="2" t="s">
        <v>2221</v>
      </c>
      <c r="G226" s="2" t="s">
        <v>2222</v>
      </c>
      <c r="H226" s="2" t="s">
        <v>367</v>
      </c>
      <c r="I226" s="2" t="s">
        <v>219</v>
      </c>
      <c r="J226" s="2" t="s">
        <v>31</v>
      </c>
      <c r="K226" s="2" t="s">
        <v>31</v>
      </c>
      <c r="L226" s="2" t="s">
        <v>373</v>
      </c>
      <c r="M226" s="2" t="s">
        <v>32</v>
      </c>
      <c r="N226" s="2" t="s">
        <v>499</v>
      </c>
      <c r="O226" s="2" t="s">
        <v>164</v>
      </c>
      <c r="P226" s="2" t="s">
        <v>1387</v>
      </c>
      <c r="Q226" s="2" t="s">
        <v>217</v>
      </c>
      <c r="R226" s="2" t="s">
        <v>452</v>
      </c>
      <c r="S226" s="2" t="s">
        <v>35</v>
      </c>
      <c r="T226" s="150">
        <v>5.4290000000000003</v>
      </c>
      <c r="U226" s="2" t="s">
        <v>2223</v>
      </c>
      <c r="V226" s="162">
        <v>5.1499999999999997E-2</v>
      </c>
      <c r="W226" s="164">
        <v>3.8629999999999998E-2</v>
      </c>
      <c r="X226" s="4" t="s">
        <v>458</v>
      </c>
      <c r="Y226" s="4" t="s">
        <v>164</v>
      </c>
      <c r="Z226" s="150">
        <v>257958.28</v>
      </c>
      <c r="AA226" s="150">
        <v>1</v>
      </c>
      <c r="AB226" s="150">
        <v>147.13</v>
      </c>
      <c r="AD226" s="150">
        <v>379.53399999999999</v>
      </c>
      <c r="AG226" s="2" t="s">
        <v>37</v>
      </c>
      <c r="AH226" s="164">
        <v>8.8999999999999995E-5</v>
      </c>
      <c r="AI226" s="164">
        <v>2.2673489118350501E-2</v>
      </c>
      <c r="AJ226" s="164">
        <v>2.6840313604895101E-3</v>
      </c>
    </row>
    <row r="227" spans="1:36">
      <c r="A227" s="2" t="s">
        <v>128</v>
      </c>
      <c r="B227" s="2">
        <v>7229</v>
      </c>
      <c r="C227" s="2" t="s">
        <v>2224</v>
      </c>
      <c r="D227" s="2" t="s">
        <v>2225</v>
      </c>
      <c r="E227" s="4" t="s">
        <v>1376</v>
      </c>
      <c r="F227" s="2" t="s">
        <v>2226</v>
      </c>
      <c r="G227" s="2" t="s">
        <v>2227</v>
      </c>
      <c r="H227" s="2" t="s">
        <v>367</v>
      </c>
      <c r="I227" s="2" t="s">
        <v>219</v>
      </c>
      <c r="J227" s="2" t="s">
        <v>31</v>
      </c>
      <c r="K227" s="2" t="s">
        <v>31</v>
      </c>
      <c r="L227" s="2" t="s">
        <v>373</v>
      </c>
      <c r="M227" s="2" t="s">
        <v>32</v>
      </c>
      <c r="N227" s="2" t="s">
        <v>483</v>
      </c>
      <c r="O227" s="2" t="s">
        <v>164</v>
      </c>
      <c r="P227" s="2" t="s">
        <v>2228</v>
      </c>
      <c r="Q227" s="2" t="s">
        <v>217</v>
      </c>
      <c r="R227" s="2" t="s">
        <v>452</v>
      </c>
      <c r="S227" s="2" t="s">
        <v>35</v>
      </c>
      <c r="T227" s="150">
        <v>3.056</v>
      </c>
      <c r="U227" s="2" t="s">
        <v>2229</v>
      </c>
      <c r="V227" s="162">
        <v>2.75E-2</v>
      </c>
      <c r="W227" s="164">
        <v>3.2559999999999999E-2</v>
      </c>
      <c r="X227" s="4" t="s">
        <v>458</v>
      </c>
      <c r="Y227" s="4" t="s">
        <v>164</v>
      </c>
      <c r="Z227" s="150">
        <v>320507.92</v>
      </c>
      <c r="AA227" s="150">
        <v>1</v>
      </c>
      <c r="AB227" s="150">
        <v>112.11</v>
      </c>
      <c r="AD227" s="150">
        <v>359.32100000000003</v>
      </c>
      <c r="AG227" s="2" t="s">
        <v>37</v>
      </c>
      <c r="AH227" s="164">
        <v>3.8099999999999999E-4</v>
      </c>
      <c r="AI227" s="164">
        <v>2.1465982336828299E-2</v>
      </c>
      <c r="AJ227" s="164">
        <v>2.5410897050304701E-3</v>
      </c>
    </row>
    <row r="228" spans="1:36">
      <c r="A228" s="2" t="s">
        <v>128</v>
      </c>
      <c r="B228" s="2">
        <v>7229</v>
      </c>
      <c r="C228" s="2" t="s">
        <v>2224</v>
      </c>
      <c r="D228" s="2" t="s">
        <v>2225</v>
      </c>
      <c r="E228" s="4" t="s">
        <v>1376</v>
      </c>
      <c r="F228" s="2" t="s">
        <v>2230</v>
      </c>
      <c r="G228" s="2" t="s">
        <v>2231</v>
      </c>
      <c r="H228" s="2" t="s">
        <v>367</v>
      </c>
      <c r="I228" s="2" t="s">
        <v>1010</v>
      </c>
      <c r="J228" s="2" t="s">
        <v>31</v>
      </c>
      <c r="K228" s="2" t="s">
        <v>31</v>
      </c>
      <c r="L228" s="2" t="s">
        <v>373</v>
      </c>
      <c r="M228" s="2" t="s">
        <v>32</v>
      </c>
      <c r="N228" s="2" t="s">
        <v>483</v>
      </c>
      <c r="O228" s="2" t="s">
        <v>164</v>
      </c>
      <c r="P228" s="2" t="s">
        <v>2228</v>
      </c>
      <c r="Q228" s="2" t="s">
        <v>217</v>
      </c>
      <c r="R228" s="2" t="s">
        <v>452</v>
      </c>
      <c r="S228" s="2" t="s">
        <v>35</v>
      </c>
      <c r="T228" s="150">
        <v>3.2629999999999999</v>
      </c>
      <c r="U228" s="2" t="s">
        <v>2232</v>
      </c>
      <c r="V228" s="162">
        <v>2.5000000000000001E-2</v>
      </c>
      <c r="W228" s="164">
        <v>5.9420000000000001E-2</v>
      </c>
      <c r="X228" s="4" t="s">
        <v>458</v>
      </c>
      <c r="Y228" s="4" t="s">
        <v>164</v>
      </c>
      <c r="Z228" s="150">
        <v>261250</v>
      </c>
      <c r="AA228" s="150">
        <v>1</v>
      </c>
      <c r="AB228" s="150">
        <v>90.38</v>
      </c>
      <c r="AD228" s="150">
        <v>236.11799999999999</v>
      </c>
      <c r="AG228" s="2" t="s">
        <v>37</v>
      </c>
      <c r="AH228" s="164">
        <v>3.2299999999999999E-4</v>
      </c>
      <c r="AI228" s="164">
        <v>1.4105753345792799E-2</v>
      </c>
      <c r="AJ228" s="164">
        <v>1.6698040670236199E-3</v>
      </c>
    </row>
    <row r="229" spans="1:36">
      <c r="A229" s="2" t="s">
        <v>128</v>
      </c>
      <c r="B229" s="2">
        <v>7229</v>
      </c>
      <c r="C229" s="2" t="s">
        <v>2233</v>
      </c>
      <c r="D229" s="2" t="s">
        <v>2234</v>
      </c>
      <c r="E229" s="4" t="s">
        <v>1376</v>
      </c>
      <c r="F229" s="2" t="s">
        <v>2578</v>
      </c>
      <c r="G229" s="2" t="s">
        <v>2579</v>
      </c>
      <c r="H229" s="2" t="s">
        <v>367</v>
      </c>
      <c r="I229" s="2" t="s">
        <v>1010</v>
      </c>
      <c r="J229" s="2" t="s">
        <v>31</v>
      </c>
      <c r="K229" s="2" t="s">
        <v>31</v>
      </c>
      <c r="L229" s="2" t="s">
        <v>373</v>
      </c>
      <c r="M229" s="2" t="s">
        <v>32</v>
      </c>
      <c r="N229" s="2" t="s">
        <v>490</v>
      </c>
      <c r="O229" s="2" t="s">
        <v>164</v>
      </c>
      <c r="P229" s="2" t="s">
        <v>2217</v>
      </c>
      <c r="Q229" s="2" t="s">
        <v>98</v>
      </c>
      <c r="R229" s="2" t="s">
        <v>452</v>
      </c>
      <c r="S229" s="2" t="s">
        <v>35</v>
      </c>
      <c r="T229" s="150">
        <v>1.615</v>
      </c>
      <c r="U229" s="2" t="s">
        <v>2394</v>
      </c>
      <c r="V229" s="162">
        <v>2.9499999999999998E-2</v>
      </c>
      <c r="W229" s="164">
        <v>5.6570000000000002E-2</v>
      </c>
      <c r="X229" s="4" t="s">
        <v>458</v>
      </c>
      <c r="Y229" s="4" t="s">
        <v>164</v>
      </c>
      <c r="Z229" s="150">
        <v>162400</v>
      </c>
      <c r="AA229" s="150">
        <v>1</v>
      </c>
      <c r="AB229" s="150">
        <v>95.9</v>
      </c>
      <c r="AD229" s="150">
        <v>155.74199999999999</v>
      </c>
      <c r="AG229" s="2" t="s">
        <v>37</v>
      </c>
      <c r="AH229" s="164">
        <v>5.2499999999999997E-4</v>
      </c>
      <c r="AI229" s="164">
        <v>9.3040552659811402E-3</v>
      </c>
      <c r="AJ229" s="164">
        <v>1.10139096736593E-3</v>
      </c>
    </row>
    <row r="230" spans="1:36">
      <c r="A230" s="2" t="s">
        <v>128</v>
      </c>
      <c r="B230" s="2">
        <v>7229</v>
      </c>
      <c r="C230" s="2" t="s">
        <v>2233</v>
      </c>
      <c r="D230" s="2" t="s">
        <v>2234</v>
      </c>
      <c r="E230" s="4" t="s">
        <v>1376</v>
      </c>
      <c r="F230" s="2" t="s">
        <v>2235</v>
      </c>
      <c r="G230" s="2" t="s">
        <v>2236</v>
      </c>
      <c r="H230" s="2" t="s">
        <v>367</v>
      </c>
      <c r="I230" s="2" t="s">
        <v>1010</v>
      </c>
      <c r="J230" s="2" t="s">
        <v>31</v>
      </c>
      <c r="K230" s="2" t="s">
        <v>31</v>
      </c>
      <c r="L230" s="2" t="s">
        <v>373</v>
      </c>
      <c r="M230" s="2" t="s">
        <v>32</v>
      </c>
      <c r="N230" s="2" t="s">
        <v>490</v>
      </c>
      <c r="O230" s="2" t="s">
        <v>164</v>
      </c>
      <c r="P230" s="2" t="s">
        <v>2217</v>
      </c>
      <c r="Q230" s="2" t="s">
        <v>98</v>
      </c>
      <c r="R230" s="2" t="s">
        <v>452</v>
      </c>
      <c r="S230" s="2" t="s">
        <v>35</v>
      </c>
      <c r="T230" s="150">
        <v>2.5</v>
      </c>
      <c r="U230" s="2" t="s">
        <v>2237</v>
      </c>
      <c r="V230" s="162">
        <v>2.5499999999999998E-2</v>
      </c>
      <c r="W230" s="164">
        <v>5.824E-2</v>
      </c>
      <c r="X230" s="4" t="s">
        <v>458</v>
      </c>
      <c r="Y230" s="4" t="s">
        <v>164</v>
      </c>
      <c r="Z230" s="150">
        <v>152955</v>
      </c>
      <c r="AA230" s="150">
        <v>1</v>
      </c>
      <c r="AB230" s="150">
        <v>92.23</v>
      </c>
      <c r="AD230" s="150">
        <v>141.07</v>
      </c>
      <c r="AG230" s="2" t="s">
        <v>37</v>
      </c>
      <c r="AH230" s="164">
        <v>1.9900000000000001E-4</v>
      </c>
      <c r="AI230" s="164">
        <v>8.4275926626532199E-3</v>
      </c>
      <c r="AJ230" s="164">
        <v>9.9763749998606601E-4</v>
      </c>
    </row>
    <row r="231" spans="1:36">
      <c r="A231" s="2" t="s">
        <v>128</v>
      </c>
      <c r="B231" s="2">
        <v>7229</v>
      </c>
      <c r="C231" s="2" t="s">
        <v>2238</v>
      </c>
      <c r="D231" s="2" t="s">
        <v>2239</v>
      </c>
      <c r="E231" s="4" t="s">
        <v>1376</v>
      </c>
      <c r="F231" s="2" t="s">
        <v>2240</v>
      </c>
      <c r="G231" s="2" t="s">
        <v>2241</v>
      </c>
      <c r="H231" s="2" t="s">
        <v>367</v>
      </c>
      <c r="I231" s="2" t="s">
        <v>1010</v>
      </c>
      <c r="J231" s="2" t="s">
        <v>31</v>
      </c>
      <c r="K231" s="2" t="s">
        <v>31</v>
      </c>
      <c r="L231" s="2" t="s">
        <v>373</v>
      </c>
      <c r="M231" s="2" t="s">
        <v>32</v>
      </c>
      <c r="N231" s="2" t="s">
        <v>488</v>
      </c>
      <c r="O231" s="2" t="s">
        <v>164</v>
      </c>
      <c r="P231" s="2" t="s">
        <v>2217</v>
      </c>
      <c r="Q231" s="2" t="s">
        <v>98</v>
      </c>
      <c r="R231" s="2" t="s">
        <v>452</v>
      </c>
      <c r="S231" s="2" t="s">
        <v>35</v>
      </c>
      <c r="T231" s="150">
        <v>4.2480000000000002</v>
      </c>
      <c r="U231" s="2" t="s">
        <v>2242</v>
      </c>
      <c r="V231" s="162">
        <v>2.18E-2</v>
      </c>
      <c r="W231" s="164">
        <v>6.062E-2</v>
      </c>
      <c r="X231" s="4" t="s">
        <v>458</v>
      </c>
      <c r="Y231" s="4" t="s">
        <v>164</v>
      </c>
      <c r="Z231" s="150">
        <v>328903</v>
      </c>
      <c r="AA231" s="150">
        <v>1</v>
      </c>
      <c r="AB231" s="150">
        <v>85.44</v>
      </c>
      <c r="AD231" s="150">
        <v>281.01499999999999</v>
      </c>
      <c r="AG231" s="2" t="s">
        <v>37</v>
      </c>
      <c r="AH231" s="164">
        <v>2.0010000000000002E-3</v>
      </c>
      <c r="AI231" s="164">
        <v>1.6787913538882301E-2</v>
      </c>
      <c r="AJ231" s="164">
        <v>1.98731153288085E-3</v>
      </c>
    </row>
    <row r="232" spans="1:36">
      <c r="A232" s="2" t="s">
        <v>128</v>
      </c>
      <c r="B232" s="2">
        <v>7229</v>
      </c>
      <c r="C232" s="2" t="s">
        <v>1837</v>
      </c>
      <c r="D232" s="2" t="s">
        <v>1838</v>
      </c>
      <c r="E232" s="4" t="s">
        <v>1376</v>
      </c>
      <c r="F232" s="2" t="s">
        <v>2511</v>
      </c>
      <c r="G232" s="2" t="s">
        <v>2512</v>
      </c>
      <c r="H232" s="2" t="s">
        <v>367</v>
      </c>
      <c r="I232" s="2" t="s">
        <v>1010</v>
      </c>
      <c r="J232" s="2" t="s">
        <v>31</v>
      </c>
      <c r="K232" s="2" t="s">
        <v>31</v>
      </c>
      <c r="L232" s="2" t="s">
        <v>373</v>
      </c>
      <c r="M232" s="2" t="s">
        <v>32</v>
      </c>
      <c r="N232" s="2" t="s">
        <v>499</v>
      </c>
      <c r="O232" s="2" t="s">
        <v>164</v>
      </c>
      <c r="P232" s="2" t="s">
        <v>2247</v>
      </c>
      <c r="Q232" s="2" t="s">
        <v>217</v>
      </c>
      <c r="R232" s="2" t="s">
        <v>452</v>
      </c>
      <c r="S232" s="2" t="s">
        <v>35</v>
      </c>
      <c r="T232" s="150">
        <v>7.81</v>
      </c>
      <c r="U232" s="2" t="s">
        <v>2513</v>
      </c>
      <c r="V232" s="162">
        <v>2.4E-2</v>
      </c>
      <c r="W232" s="164">
        <v>5.8409999999999997E-2</v>
      </c>
      <c r="X232" s="4" t="s">
        <v>458</v>
      </c>
      <c r="Y232" s="4" t="s">
        <v>164</v>
      </c>
      <c r="Z232" s="150">
        <v>384000</v>
      </c>
      <c r="AA232" s="150">
        <v>1</v>
      </c>
      <c r="AB232" s="150">
        <v>76.87</v>
      </c>
      <c r="AD232" s="150">
        <v>295.18099999999998</v>
      </c>
      <c r="AG232" s="2" t="s">
        <v>37</v>
      </c>
      <c r="AH232" s="164">
        <v>5.22E-4</v>
      </c>
      <c r="AI232" s="164">
        <v>1.7634199704231399E-2</v>
      </c>
      <c r="AJ232" s="164">
        <v>2.08749278843834E-3</v>
      </c>
    </row>
    <row r="233" spans="1:36">
      <c r="A233" s="2" t="s">
        <v>128</v>
      </c>
      <c r="B233" s="2">
        <v>7229</v>
      </c>
      <c r="C233" s="2" t="s">
        <v>2243</v>
      </c>
      <c r="D233" s="2" t="s">
        <v>2244</v>
      </c>
      <c r="E233" s="4" t="s">
        <v>1376</v>
      </c>
      <c r="F233" s="2" t="s">
        <v>2245</v>
      </c>
      <c r="G233" s="2" t="s">
        <v>2246</v>
      </c>
      <c r="H233" s="2" t="s">
        <v>367</v>
      </c>
      <c r="I233" s="2" t="s">
        <v>219</v>
      </c>
      <c r="J233" s="2" t="s">
        <v>31</v>
      </c>
      <c r="K233" s="2" t="s">
        <v>31</v>
      </c>
      <c r="L233" s="2" t="s">
        <v>373</v>
      </c>
      <c r="M233" s="2" t="s">
        <v>32</v>
      </c>
      <c r="N233" s="2" t="s">
        <v>507</v>
      </c>
      <c r="O233" s="2" t="s">
        <v>164</v>
      </c>
      <c r="P233" s="2" t="s">
        <v>2247</v>
      </c>
      <c r="Q233" s="2" t="s">
        <v>217</v>
      </c>
      <c r="R233" s="2" t="s">
        <v>452</v>
      </c>
      <c r="S233" s="2" t="s">
        <v>35</v>
      </c>
      <c r="T233" s="150">
        <v>2.4359999999999999</v>
      </c>
      <c r="U233" s="2" t="s">
        <v>62</v>
      </c>
      <c r="V233" s="162">
        <v>2.3400000000000001E-2</v>
      </c>
      <c r="W233" s="164">
        <v>2.6800000000000001E-2</v>
      </c>
      <c r="X233" s="4" t="s">
        <v>458</v>
      </c>
      <c r="Y233" s="4" t="s">
        <v>164</v>
      </c>
      <c r="Z233" s="150">
        <v>154000.01999999999</v>
      </c>
      <c r="AA233" s="150">
        <v>1</v>
      </c>
      <c r="AB233" s="150">
        <v>113.08</v>
      </c>
      <c r="AD233" s="150">
        <v>174.143</v>
      </c>
      <c r="AG233" s="2" t="s">
        <v>37</v>
      </c>
      <c r="AH233" s="164">
        <v>7.2999999999999999E-5</v>
      </c>
      <c r="AI233" s="164">
        <v>1.0403374354798701E-2</v>
      </c>
      <c r="AJ233" s="164">
        <v>1.2315256323118301E-3</v>
      </c>
    </row>
    <row r="234" spans="1:36">
      <c r="A234" s="2" t="s">
        <v>128</v>
      </c>
      <c r="B234" s="2">
        <v>7229</v>
      </c>
      <c r="C234" s="2" t="s">
        <v>2248</v>
      </c>
      <c r="D234" s="2" t="s">
        <v>2249</v>
      </c>
      <c r="E234" s="4" t="s">
        <v>1376</v>
      </c>
      <c r="F234" s="2" t="s">
        <v>2250</v>
      </c>
      <c r="G234" s="2" t="s">
        <v>2251</v>
      </c>
      <c r="H234" s="2" t="s">
        <v>367</v>
      </c>
      <c r="I234" s="2" t="s">
        <v>1010</v>
      </c>
      <c r="J234" s="2" t="s">
        <v>31</v>
      </c>
      <c r="K234" s="2" t="s">
        <v>31</v>
      </c>
      <c r="L234" s="2" t="s">
        <v>373</v>
      </c>
      <c r="M234" s="2" t="s">
        <v>32</v>
      </c>
      <c r="N234" s="2" t="s">
        <v>507</v>
      </c>
      <c r="O234" s="2" t="s">
        <v>164</v>
      </c>
      <c r="P234" s="2" t="s">
        <v>1387</v>
      </c>
      <c r="Q234" s="2" t="s">
        <v>217</v>
      </c>
      <c r="R234" s="2" t="s">
        <v>452</v>
      </c>
      <c r="S234" s="2" t="s">
        <v>35</v>
      </c>
      <c r="T234" s="150">
        <v>4.5730000000000004</v>
      </c>
      <c r="U234" s="2" t="s">
        <v>2252</v>
      </c>
      <c r="V234" s="162">
        <v>2.41E-2</v>
      </c>
      <c r="W234" s="164">
        <v>6.4619999999999997E-2</v>
      </c>
      <c r="X234" s="4" t="s">
        <v>458</v>
      </c>
      <c r="Y234" s="4" t="s">
        <v>164</v>
      </c>
      <c r="Z234" s="150">
        <v>133333.32999999999</v>
      </c>
      <c r="AA234" s="150">
        <v>1</v>
      </c>
      <c r="AB234" s="150">
        <v>84.18</v>
      </c>
      <c r="AD234" s="150">
        <v>112.24</v>
      </c>
      <c r="AG234" s="2" t="s">
        <v>37</v>
      </c>
      <c r="AH234" s="164">
        <v>7.6000000000000004E-5</v>
      </c>
      <c r="AI234" s="164">
        <v>6.7052549668588498E-3</v>
      </c>
      <c r="AJ234" s="164">
        <v>7.9375143883617799E-4</v>
      </c>
    </row>
    <row r="235" spans="1:36">
      <c r="A235" s="2" t="s">
        <v>128</v>
      </c>
      <c r="B235" s="2">
        <v>7229</v>
      </c>
      <c r="C235" s="2" t="s">
        <v>2248</v>
      </c>
      <c r="D235" s="2" t="s">
        <v>2249</v>
      </c>
      <c r="E235" s="4" t="s">
        <v>1376</v>
      </c>
      <c r="F235" s="2" t="s">
        <v>2253</v>
      </c>
      <c r="G235" s="2" t="s">
        <v>2254</v>
      </c>
      <c r="H235" s="2" t="s">
        <v>367</v>
      </c>
      <c r="I235" s="2" t="s">
        <v>1010</v>
      </c>
      <c r="J235" s="2" t="s">
        <v>31</v>
      </c>
      <c r="K235" s="2" t="s">
        <v>31</v>
      </c>
      <c r="L235" s="2" t="s">
        <v>373</v>
      </c>
      <c r="M235" s="2" t="s">
        <v>32</v>
      </c>
      <c r="N235" s="2" t="s">
        <v>507</v>
      </c>
      <c r="O235" s="2" t="s">
        <v>164</v>
      </c>
      <c r="P235" s="2" t="s">
        <v>1392</v>
      </c>
      <c r="Q235" s="2" t="s">
        <v>98</v>
      </c>
      <c r="R235" s="2" t="s">
        <v>452</v>
      </c>
      <c r="S235" s="2" t="s">
        <v>35</v>
      </c>
      <c r="T235" s="150">
        <v>6.4660000000000002</v>
      </c>
      <c r="U235" s="2" t="s">
        <v>2255</v>
      </c>
      <c r="V235" s="162">
        <v>4.9399999999999999E-2</v>
      </c>
      <c r="W235" s="164">
        <v>6.9379999999999997E-2</v>
      </c>
      <c r="X235" s="4" t="s">
        <v>458</v>
      </c>
      <c r="Y235" s="4" t="s">
        <v>164</v>
      </c>
      <c r="Z235" s="150">
        <v>153881</v>
      </c>
      <c r="AA235" s="150">
        <v>1</v>
      </c>
      <c r="AB235" s="150">
        <v>89.76</v>
      </c>
      <c r="AD235" s="150">
        <v>138.124</v>
      </c>
      <c r="AG235" s="2" t="s">
        <v>37</v>
      </c>
      <c r="AH235" s="164">
        <v>1.7100000000000001E-4</v>
      </c>
      <c r="AI235" s="164">
        <v>8.2515491940359995E-3</v>
      </c>
      <c r="AJ235" s="164">
        <v>9.7679791115562204E-4</v>
      </c>
    </row>
    <row r="236" spans="1:36">
      <c r="A236" s="2" t="s">
        <v>128</v>
      </c>
      <c r="B236" s="2">
        <v>7229</v>
      </c>
      <c r="C236" s="2" t="s">
        <v>1857</v>
      </c>
      <c r="D236" s="2" t="s">
        <v>1858</v>
      </c>
      <c r="E236" s="4" t="s">
        <v>1376</v>
      </c>
      <c r="F236" s="2" t="s">
        <v>2256</v>
      </c>
      <c r="G236" s="2" t="s">
        <v>2257</v>
      </c>
      <c r="H236" s="2" t="s">
        <v>367</v>
      </c>
      <c r="I236" s="2" t="s">
        <v>1010</v>
      </c>
      <c r="J236" s="2" t="s">
        <v>31</v>
      </c>
      <c r="K236" s="2" t="s">
        <v>31</v>
      </c>
      <c r="L236" s="2" t="s">
        <v>373</v>
      </c>
      <c r="M236" s="2" t="s">
        <v>32</v>
      </c>
      <c r="N236" s="2" t="s">
        <v>494</v>
      </c>
      <c r="O236" s="2" t="s">
        <v>164</v>
      </c>
      <c r="P236" s="2" t="s">
        <v>2258</v>
      </c>
      <c r="Q236" s="2" t="s">
        <v>217</v>
      </c>
      <c r="R236" s="2" t="s">
        <v>452</v>
      </c>
      <c r="S236" s="2" t="s">
        <v>35</v>
      </c>
      <c r="T236" s="150">
        <v>3.1309999999999998</v>
      </c>
      <c r="U236" s="2" t="s">
        <v>2259</v>
      </c>
      <c r="V236" s="162">
        <v>0.04</v>
      </c>
      <c r="W236" s="164">
        <v>5.6980000000000003E-2</v>
      </c>
      <c r="X236" s="4" t="s">
        <v>458</v>
      </c>
      <c r="Y236" s="4" t="s">
        <v>164</v>
      </c>
      <c r="Z236" s="150">
        <v>262500.03999999998</v>
      </c>
      <c r="AA236" s="150">
        <v>1</v>
      </c>
      <c r="AB236" s="150">
        <v>96.92</v>
      </c>
      <c r="AD236" s="150">
        <v>254.41499999999999</v>
      </c>
      <c r="AG236" s="2" t="s">
        <v>37</v>
      </c>
      <c r="AH236" s="164">
        <v>3.8699999999999997E-4</v>
      </c>
      <c r="AI236" s="164">
        <v>1.51988394956403E-2</v>
      </c>
      <c r="AJ236" s="164">
        <v>1.79920089212598E-3</v>
      </c>
    </row>
    <row r="237" spans="1:36">
      <c r="A237" s="2" t="s">
        <v>128</v>
      </c>
      <c r="B237" s="2">
        <v>7229</v>
      </c>
      <c r="C237" s="2" t="s">
        <v>1857</v>
      </c>
      <c r="D237" s="2" t="s">
        <v>1858</v>
      </c>
      <c r="E237" s="4" t="s">
        <v>1376</v>
      </c>
      <c r="F237" s="2" t="s">
        <v>2260</v>
      </c>
      <c r="G237" s="2" t="s">
        <v>2261</v>
      </c>
      <c r="H237" s="2" t="s">
        <v>367</v>
      </c>
      <c r="I237" s="2" t="s">
        <v>1010</v>
      </c>
      <c r="J237" s="2" t="s">
        <v>31</v>
      </c>
      <c r="K237" s="2" t="s">
        <v>31</v>
      </c>
      <c r="L237" s="2" t="s">
        <v>373</v>
      </c>
      <c r="M237" s="2" t="s">
        <v>32</v>
      </c>
      <c r="N237" s="2" t="s">
        <v>494</v>
      </c>
      <c r="O237" s="2" t="s">
        <v>164</v>
      </c>
      <c r="P237" s="2" t="s">
        <v>2258</v>
      </c>
      <c r="Q237" s="2" t="s">
        <v>98</v>
      </c>
      <c r="R237" s="2" t="s">
        <v>452</v>
      </c>
      <c r="S237" s="2" t="s">
        <v>35</v>
      </c>
      <c r="T237" s="150">
        <v>5.0460000000000003</v>
      </c>
      <c r="U237" s="2" t="s">
        <v>2262</v>
      </c>
      <c r="V237" s="162">
        <v>2.07E-2</v>
      </c>
      <c r="W237" s="164">
        <v>5.9479999999999998E-2</v>
      </c>
      <c r="X237" s="4" t="s">
        <v>458</v>
      </c>
      <c r="Y237" s="4" t="s">
        <v>164</v>
      </c>
      <c r="Z237" s="150">
        <v>258481</v>
      </c>
      <c r="AA237" s="150">
        <v>1</v>
      </c>
      <c r="AB237" s="150">
        <v>82.34</v>
      </c>
      <c r="AD237" s="150">
        <v>212.833</v>
      </c>
      <c r="AG237" s="2" t="s">
        <v>37</v>
      </c>
      <c r="AH237" s="164">
        <v>6.29E-4</v>
      </c>
      <c r="AI237" s="164">
        <v>1.27147298517562E-2</v>
      </c>
      <c r="AJ237" s="164">
        <v>1.5051381586720901E-3</v>
      </c>
    </row>
    <row r="238" spans="1:36">
      <c r="A238" s="2" t="s">
        <v>128</v>
      </c>
      <c r="B238" s="2">
        <v>7229</v>
      </c>
      <c r="C238" s="2" t="s">
        <v>2580</v>
      </c>
      <c r="D238" s="2" t="s">
        <v>2581</v>
      </c>
      <c r="E238" s="4" t="s">
        <v>1376</v>
      </c>
      <c r="F238" s="2" t="s">
        <v>2582</v>
      </c>
      <c r="G238" s="2" t="s">
        <v>2583</v>
      </c>
      <c r="H238" s="2" t="s">
        <v>367</v>
      </c>
      <c r="I238" s="2" t="s">
        <v>219</v>
      </c>
      <c r="J238" s="2" t="s">
        <v>31</v>
      </c>
      <c r="K238" s="2" t="s">
        <v>31</v>
      </c>
      <c r="L238" s="2" t="s">
        <v>373</v>
      </c>
      <c r="M238" s="2" t="s">
        <v>32</v>
      </c>
      <c r="N238" s="2" t="s">
        <v>507</v>
      </c>
      <c r="O238" s="2" t="s">
        <v>164</v>
      </c>
      <c r="P238" s="2" t="s">
        <v>2381</v>
      </c>
      <c r="Q238" s="2" t="s">
        <v>98</v>
      </c>
      <c r="R238" s="2" t="s">
        <v>452</v>
      </c>
      <c r="S238" s="2" t="s">
        <v>35</v>
      </c>
      <c r="T238" s="150">
        <v>2.4300000000000002</v>
      </c>
      <c r="U238" s="2" t="s">
        <v>2584</v>
      </c>
      <c r="V238" s="162">
        <v>3.2000000000000001E-2</v>
      </c>
      <c r="W238" s="164">
        <v>2.7519999999999999E-2</v>
      </c>
      <c r="X238" s="4" t="s">
        <v>458</v>
      </c>
      <c r="Y238" s="4" t="s">
        <v>164</v>
      </c>
      <c r="Z238" s="150">
        <v>292605.75</v>
      </c>
      <c r="AA238" s="150">
        <v>1</v>
      </c>
      <c r="AB238" s="150">
        <v>114.34</v>
      </c>
      <c r="AC238" s="150">
        <v>124.652</v>
      </c>
      <c r="AD238" s="150">
        <v>459.21699999999998</v>
      </c>
      <c r="AG238" s="2" t="s">
        <v>37</v>
      </c>
      <c r="AH238" s="164">
        <v>2.7799999999999998E-4</v>
      </c>
      <c r="AI238" s="164">
        <v>2.7433802510791801E-2</v>
      </c>
      <c r="AJ238" s="164">
        <v>3.2475454435835602E-3</v>
      </c>
    </row>
    <row r="239" spans="1:36">
      <c r="A239" s="2" t="s">
        <v>128</v>
      </c>
      <c r="B239" s="2">
        <v>7229</v>
      </c>
      <c r="C239" s="2" t="s">
        <v>2580</v>
      </c>
      <c r="D239" s="2" t="s">
        <v>2581</v>
      </c>
      <c r="E239" s="4" t="s">
        <v>1376</v>
      </c>
      <c r="F239" s="2" t="s">
        <v>2585</v>
      </c>
      <c r="G239" s="2" t="s">
        <v>2586</v>
      </c>
      <c r="H239" s="2" t="s">
        <v>367</v>
      </c>
      <c r="I239" s="2" t="s">
        <v>1010</v>
      </c>
      <c r="J239" s="2" t="s">
        <v>31</v>
      </c>
      <c r="K239" s="2" t="s">
        <v>31</v>
      </c>
      <c r="L239" s="2" t="s">
        <v>373</v>
      </c>
      <c r="M239" s="2" t="s">
        <v>32</v>
      </c>
      <c r="N239" s="2" t="s">
        <v>507</v>
      </c>
      <c r="O239" s="2" t="s">
        <v>164</v>
      </c>
      <c r="P239" s="2" t="s">
        <v>2381</v>
      </c>
      <c r="Q239" s="2" t="s">
        <v>98</v>
      </c>
      <c r="R239" s="2" t="s">
        <v>452</v>
      </c>
      <c r="S239" s="2" t="s">
        <v>35</v>
      </c>
      <c r="T239" s="150">
        <v>0.99099999999999999</v>
      </c>
      <c r="U239" s="2" t="s">
        <v>2587</v>
      </c>
      <c r="V239" s="162">
        <v>3.39E-2</v>
      </c>
      <c r="W239" s="164">
        <v>4.795E-2</v>
      </c>
      <c r="X239" s="4" t="s">
        <v>458</v>
      </c>
      <c r="Y239" s="4" t="s">
        <v>164</v>
      </c>
      <c r="Z239" s="150">
        <v>127234</v>
      </c>
      <c r="AA239" s="150">
        <v>1</v>
      </c>
      <c r="AB239" s="150">
        <v>100.14</v>
      </c>
      <c r="AD239" s="150">
        <v>127.41200000000001</v>
      </c>
      <c r="AG239" s="2" t="s">
        <v>37</v>
      </c>
      <c r="AH239" s="164">
        <v>2.9300000000000002E-4</v>
      </c>
      <c r="AI239" s="164">
        <v>7.6116431110675696E-3</v>
      </c>
      <c r="AJ239" s="164">
        <v>9.0104741746273895E-4</v>
      </c>
    </row>
    <row r="240" spans="1:36">
      <c r="A240" s="2" t="s">
        <v>128</v>
      </c>
      <c r="B240" s="2">
        <v>7229</v>
      </c>
      <c r="C240" s="2" t="s">
        <v>2263</v>
      </c>
      <c r="D240" s="2" t="s">
        <v>2264</v>
      </c>
      <c r="E240" s="4" t="s">
        <v>1376</v>
      </c>
      <c r="F240" s="2" t="s">
        <v>2265</v>
      </c>
      <c r="G240" s="2" t="s">
        <v>2266</v>
      </c>
      <c r="H240" s="2" t="s">
        <v>367</v>
      </c>
      <c r="I240" s="2" t="s">
        <v>219</v>
      </c>
      <c r="J240" s="2" t="s">
        <v>31</v>
      </c>
      <c r="K240" s="2" t="s">
        <v>31</v>
      </c>
      <c r="L240" s="2" t="s">
        <v>373</v>
      </c>
      <c r="M240" s="2" t="s">
        <v>32</v>
      </c>
      <c r="N240" s="2" t="s">
        <v>508</v>
      </c>
      <c r="O240" s="2" t="s">
        <v>164</v>
      </c>
      <c r="P240" s="2" t="s">
        <v>2217</v>
      </c>
      <c r="Q240" s="2" t="s">
        <v>98</v>
      </c>
      <c r="R240" s="2" t="s">
        <v>452</v>
      </c>
      <c r="S240" s="2" t="s">
        <v>35</v>
      </c>
      <c r="T240" s="150">
        <v>1.71</v>
      </c>
      <c r="U240" s="2" t="s">
        <v>2267</v>
      </c>
      <c r="V240" s="162">
        <v>2.5700000000000001E-2</v>
      </c>
      <c r="W240" s="164">
        <v>3.2559999999999999E-2</v>
      </c>
      <c r="X240" s="4" t="s">
        <v>458</v>
      </c>
      <c r="Y240" s="4" t="s">
        <v>164</v>
      </c>
      <c r="Z240" s="150">
        <v>330471</v>
      </c>
      <c r="AA240" s="150">
        <v>1</v>
      </c>
      <c r="AB240" s="150">
        <v>113.71</v>
      </c>
      <c r="AD240" s="150">
        <v>375.779</v>
      </c>
      <c r="AG240" s="2" t="s">
        <v>37</v>
      </c>
      <c r="AH240" s="164">
        <v>2.5799999999999998E-4</v>
      </c>
      <c r="AI240" s="164">
        <v>2.2449137681890999E-2</v>
      </c>
      <c r="AJ240" s="164">
        <v>2.6574731943384898E-3</v>
      </c>
    </row>
    <row r="241" spans="1:36">
      <c r="A241" s="2" t="s">
        <v>128</v>
      </c>
      <c r="B241" s="2">
        <v>7229</v>
      </c>
      <c r="C241" s="2" t="s">
        <v>2263</v>
      </c>
      <c r="D241" s="2" t="s">
        <v>2264</v>
      </c>
      <c r="E241" s="4" t="s">
        <v>1376</v>
      </c>
      <c r="F241" s="2" t="s">
        <v>2517</v>
      </c>
      <c r="G241" s="2" t="s">
        <v>2518</v>
      </c>
      <c r="H241" s="2" t="s">
        <v>367</v>
      </c>
      <c r="I241" s="2" t="s">
        <v>1010</v>
      </c>
      <c r="J241" s="2" t="s">
        <v>31</v>
      </c>
      <c r="K241" s="2" t="s">
        <v>31</v>
      </c>
      <c r="L241" s="2" t="s">
        <v>373</v>
      </c>
      <c r="M241" s="2" t="s">
        <v>32</v>
      </c>
      <c r="N241" s="2" t="s">
        <v>508</v>
      </c>
      <c r="O241" s="2" t="s">
        <v>164</v>
      </c>
      <c r="P241" s="2" t="s">
        <v>2217</v>
      </c>
      <c r="Q241" s="2" t="s">
        <v>98</v>
      </c>
      <c r="R241" s="2" t="s">
        <v>452</v>
      </c>
      <c r="S241" s="2" t="s">
        <v>35</v>
      </c>
      <c r="T241" s="150">
        <v>3.069</v>
      </c>
      <c r="U241" s="2" t="s">
        <v>2519</v>
      </c>
      <c r="V241" s="162">
        <v>3.2500000000000001E-2</v>
      </c>
      <c r="W241" s="164">
        <v>6.1699999999999998E-2</v>
      </c>
      <c r="X241" s="4" t="s">
        <v>458</v>
      </c>
      <c r="Y241" s="4" t="s">
        <v>164</v>
      </c>
      <c r="Z241" s="150">
        <v>255000</v>
      </c>
      <c r="AA241" s="150">
        <v>1</v>
      </c>
      <c r="AB241" s="150">
        <v>92.55</v>
      </c>
      <c r="AD241" s="150">
        <v>236.00200000000001</v>
      </c>
      <c r="AG241" s="2" t="s">
        <v>37</v>
      </c>
      <c r="AH241" s="164">
        <v>8.7399999999999999E-4</v>
      </c>
      <c r="AI241" s="164">
        <v>1.4098868272251701E-2</v>
      </c>
      <c r="AJ241" s="164">
        <v>1.66898902910832E-3</v>
      </c>
    </row>
    <row r="242" spans="1:36">
      <c r="A242" s="2" t="s">
        <v>128</v>
      </c>
      <c r="B242" s="2">
        <v>7229</v>
      </c>
      <c r="C242" s="2" t="s">
        <v>2263</v>
      </c>
      <c r="D242" s="2" t="s">
        <v>2264</v>
      </c>
      <c r="E242" s="4" t="s">
        <v>1376</v>
      </c>
      <c r="F242" s="2" t="s">
        <v>2268</v>
      </c>
      <c r="G242" s="2" t="s">
        <v>2269</v>
      </c>
      <c r="H242" s="2" t="s">
        <v>367</v>
      </c>
      <c r="I242" s="2" t="s">
        <v>219</v>
      </c>
      <c r="J242" s="2" t="s">
        <v>31</v>
      </c>
      <c r="K242" s="2" t="s">
        <v>31</v>
      </c>
      <c r="L242" s="2" t="s">
        <v>373</v>
      </c>
      <c r="M242" s="2" t="s">
        <v>32</v>
      </c>
      <c r="N242" s="2" t="s">
        <v>508</v>
      </c>
      <c r="O242" s="2" t="s">
        <v>164</v>
      </c>
      <c r="P242" s="2" t="s">
        <v>2217</v>
      </c>
      <c r="Q242" s="2" t="s">
        <v>98</v>
      </c>
      <c r="R242" s="2" t="s">
        <v>452</v>
      </c>
      <c r="S242" s="2" t="s">
        <v>35</v>
      </c>
      <c r="T242" s="150">
        <v>5.3559999999999999</v>
      </c>
      <c r="U242" s="2" t="s">
        <v>2270</v>
      </c>
      <c r="V242" s="162">
        <v>1.54E-2</v>
      </c>
      <c r="W242" s="164">
        <v>4.0140000000000002E-2</v>
      </c>
      <c r="X242" s="4" t="s">
        <v>458</v>
      </c>
      <c r="Y242" s="4" t="s">
        <v>164</v>
      </c>
      <c r="Z242" s="150">
        <v>228000</v>
      </c>
      <c r="AA242" s="150">
        <v>1</v>
      </c>
      <c r="AB242" s="150">
        <v>97.3</v>
      </c>
      <c r="AD242" s="150">
        <v>221.84399999999999</v>
      </c>
      <c r="AG242" s="2" t="s">
        <v>37</v>
      </c>
      <c r="AH242" s="164">
        <v>3.8200000000000002E-4</v>
      </c>
      <c r="AI242" s="164">
        <v>1.32530347474684E-2</v>
      </c>
      <c r="AJ242" s="164">
        <v>1.5688613560174501E-3</v>
      </c>
    </row>
    <row r="243" spans="1:36">
      <c r="A243" s="2" t="s">
        <v>128</v>
      </c>
      <c r="B243" s="2">
        <v>7229</v>
      </c>
      <c r="C243" s="2" t="s">
        <v>2271</v>
      </c>
      <c r="D243" s="2" t="s">
        <v>2272</v>
      </c>
      <c r="E243" s="4" t="s">
        <v>1376</v>
      </c>
      <c r="F243" s="2" t="s">
        <v>2273</v>
      </c>
      <c r="G243" s="2" t="s">
        <v>2274</v>
      </c>
      <c r="H243" s="2" t="s">
        <v>367</v>
      </c>
      <c r="I243" s="2" t="s">
        <v>219</v>
      </c>
      <c r="J243" s="2" t="s">
        <v>31</v>
      </c>
      <c r="K243" s="2" t="s">
        <v>31</v>
      </c>
      <c r="L243" s="2" t="s">
        <v>373</v>
      </c>
      <c r="M243" s="2" t="s">
        <v>32</v>
      </c>
      <c r="N243" s="2" t="s">
        <v>507</v>
      </c>
      <c r="O243" s="2" t="s">
        <v>164</v>
      </c>
      <c r="P243" s="2" t="s">
        <v>2275</v>
      </c>
      <c r="Q243" s="2" t="s">
        <v>217</v>
      </c>
      <c r="R243" s="2" t="s">
        <v>452</v>
      </c>
      <c r="S243" s="2" t="s">
        <v>35</v>
      </c>
      <c r="T243" s="150">
        <v>6.3</v>
      </c>
      <c r="U243" s="2" t="s">
        <v>2276</v>
      </c>
      <c r="V243" s="162">
        <v>3.6799999999999999E-2</v>
      </c>
      <c r="W243" s="164">
        <v>4.3209999999999998E-2</v>
      </c>
      <c r="X243" s="4" t="s">
        <v>458</v>
      </c>
      <c r="Y243" s="4" t="s">
        <v>164</v>
      </c>
      <c r="Z243" s="150">
        <v>248000</v>
      </c>
      <c r="AA243" s="150">
        <v>1</v>
      </c>
      <c r="AB243" s="150">
        <v>98.21</v>
      </c>
      <c r="AD243" s="150">
        <v>243.56100000000001</v>
      </c>
      <c r="AG243" s="2" t="s">
        <v>37</v>
      </c>
      <c r="AH243" s="164">
        <v>1.018E-3</v>
      </c>
      <c r="AI243" s="164">
        <v>1.45504036418438E-2</v>
      </c>
      <c r="AJ243" s="164">
        <v>1.72244066533552E-3</v>
      </c>
    </row>
    <row r="244" spans="1:36">
      <c r="A244" s="2" t="s">
        <v>128</v>
      </c>
      <c r="B244" s="2">
        <v>7229</v>
      </c>
      <c r="C244" s="2" t="s">
        <v>2271</v>
      </c>
      <c r="D244" s="2" t="s">
        <v>2272</v>
      </c>
      <c r="E244" s="4" t="s">
        <v>1376</v>
      </c>
      <c r="F244" s="2" t="s">
        <v>2277</v>
      </c>
      <c r="G244" s="2" t="s">
        <v>2278</v>
      </c>
      <c r="H244" s="2" t="s">
        <v>367</v>
      </c>
      <c r="I244" s="2" t="s">
        <v>219</v>
      </c>
      <c r="J244" s="2" t="s">
        <v>31</v>
      </c>
      <c r="K244" s="2" t="s">
        <v>31</v>
      </c>
      <c r="L244" s="2" t="s">
        <v>373</v>
      </c>
      <c r="M244" s="2" t="s">
        <v>32</v>
      </c>
      <c r="N244" s="2" t="s">
        <v>507</v>
      </c>
      <c r="O244" s="2" t="s">
        <v>164</v>
      </c>
      <c r="P244" s="2" t="s">
        <v>2275</v>
      </c>
      <c r="Q244" s="2" t="s">
        <v>217</v>
      </c>
      <c r="R244" s="2" t="s">
        <v>452</v>
      </c>
      <c r="S244" s="2" t="s">
        <v>35</v>
      </c>
      <c r="T244" s="150">
        <v>1.69</v>
      </c>
      <c r="U244" s="2" t="s">
        <v>2279</v>
      </c>
      <c r="V244" s="162">
        <v>3.4599999999999999E-2</v>
      </c>
      <c r="W244" s="164">
        <v>2.8910000000000002E-2</v>
      </c>
      <c r="X244" s="4" t="s">
        <v>458</v>
      </c>
      <c r="Y244" s="4" t="s">
        <v>164</v>
      </c>
      <c r="Z244" s="150">
        <v>154545.45000000001</v>
      </c>
      <c r="AA244" s="150">
        <v>1</v>
      </c>
      <c r="AB244" s="150">
        <v>115.64</v>
      </c>
      <c r="AC244" s="150">
        <v>2.9569999999999999</v>
      </c>
      <c r="AD244" s="150">
        <v>181.673</v>
      </c>
      <c r="AG244" s="2" t="s">
        <v>37</v>
      </c>
      <c r="AH244" s="164">
        <v>4.4299999999999998E-4</v>
      </c>
      <c r="AI244" s="164">
        <v>1.08532003003632E-2</v>
      </c>
      <c r="AJ244" s="164">
        <v>1.28477491116586E-3</v>
      </c>
    </row>
    <row r="245" spans="1:36">
      <c r="A245" s="2" t="s">
        <v>128</v>
      </c>
      <c r="B245" s="2">
        <v>7229</v>
      </c>
      <c r="C245" s="2" t="s">
        <v>1869</v>
      </c>
      <c r="D245" s="2" t="s">
        <v>1870</v>
      </c>
      <c r="E245" s="4" t="s">
        <v>1376</v>
      </c>
      <c r="F245" s="2" t="s">
        <v>2496</v>
      </c>
      <c r="G245" s="2" t="s">
        <v>2497</v>
      </c>
      <c r="H245" s="2" t="s">
        <v>367</v>
      </c>
      <c r="I245" s="2" t="s">
        <v>1010</v>
      </c>
      <c r="J245" s="2" t="s">
        <v>31</v>
      </c>
      <c r="K245" s="2" t="s">
        <v>31</v>
      </c>
      <c r="L245" s="2" t="s">
        <v>373</v>
      </c>
      <c r="M245" s="2" t="s">
        <v>32</v>
      </c>
      <c r="N245" s="2" t="s">
        <v>490</v>
      </c>
      <c r="O245" s="2" t="s">
        <v>164</v>
      </c>
      <c r="P245" s="2" t="s">
        <v>2275</v>
      </c>
      <c r="Q245" s="2" t="s">
        <v>217</v>
      </c>
      <c r="R245" s="2" t="s">
        <v>452</v>
      </c>
      <c r="S245" s="2" t="s">
        <v>35</v>
      </c>
      <c r="T245" s="150">
        <v>2.0939999999999999</v>
      </c>
      <c r="U245" s="2" t="s">
        <v>2498</v>
      </c>
      <c r="V245" s="162">
        <v>4.2999999999999997E-2</v>
      </c>
      <c r="W245" s="164">
        <v>5.79E-2</v>
      </c>
      <c r="X245" s="4" t="s">
        <v>458</v>
      </c>
      <c r="Y245" s="4" t="s">
        <v>164</v>
      </c>
      <c r="Z245" s="150">
        <v>354025.64</v>
      </c>
      <c r="AA245" s="150">
        <v>1</v>
      </c>
      <c r="AB245" s="150">
        <v>98.86</v>
      </c>
      <c r="AD245" s="150">
        <v>349.99</v>
      </c>
      <c r="AG245" s="2" t="s">
        <v>37</v>
      </c>
      <c r="AH245" s="164">
        <v>3.5100000000000002E-4</v>
      </c>
      <c r="AI245" s="164">
        <v>2.0908504568880801E-2</v>
      </c>
      <c r="AJ245" s="164">
        <v>2.47509687066182E-3</v>
      </c>
    </row>
    <row r="246" spans="1:36">
      <c r="A246" s="2" t="s">
        <v>128</v>
      </c>
      <c r="B246" s="2">
        <v>7229</v>
      </c>
      <c r="C246" s="2" t="s">
        <v>1877</v>
      </c>
      <c r="D246" s="2" t="s">
        <v>1878</v>
      </c>
      <c r="E246" s="4" t="s">
        <v>1376</v>
      </c>
      <c r="F246" s="2" t="s">
        <v>2280</v>
      </c>
      <c r="G246" s="2" t="s">
        <v>2281</v>
      </c>
      <c r="H246" s="2" t="s">
        <v>367</v>
      </c>
      <c r="I246" s="2" t="s">
        <v>1010</v>
      </c>
      <c r="J246" s="2" t="s">
        <v>31</v>
      </c>
      <c r="K246" s="2" t="s">
        <v>31</v>
      </c>
      <c r="L246" s="2" t="s">
        <v>373</v>
      </c>
      <c r="M246" s="2" t="s">
        <v>32</v>
      </c>
      <c r="N246" s="2" t="s">
        <v>483</v>
      </c>
      <c r="O246" s="2" t="s">
        <v>164</v>
      </c>
      <c r="P246" s="2" t="s">
        <v>2258</v>
      </c>
      <c r="Q246" s="2" t="s">
        <v>217</v>
      </c>
      <c r="R246" s="2" t="s">
        <v>452</v>
      </c>
      <c r="S246" s="2" t="s">
        <v>35</v>
      </c>
      <c r="T246" s="150">
        <v>2.4390000000000001</v>
      </c>
      <c r="U246" s="2" t="s">
        <v>2282</v>
      </c>
      <c r="V246" s="162">
        <v>2.7E-2</v>
      </c>
      <c r="W246" s="164">
        <v>6.2280000000000002E-2</v>
      </c>
      <c r="X246" s="4" t="s">
        <v>458</v>
      </c>
      <c r="Y246" s="4" t="s">
        <v>164</v>
      </c>
      <c r="Z246" s="150">
        <v>240000</v>
      </c>
      <c r="AA246" s="150">
        <v>1</v>
      </c>
      <c r="AB246" s="150">
        <v>92.63</v>
      </c>
      <c r="AD246" s="150">
        <v>222.31200000000001</v>
      </c>
      <c r="AG246" s="2" t="s">
        <v>37</v>
      </c>
      <c r="AH246" s="164">
        <v>3.4099999999999999E-4</v>
      </c>
      <c r="AI246" s="164">
        <v>1.32809932239736E-2</v>
      </c>
      <c r="AJ246" s="164">
        <v>1.5721710110661101E-3</v>
      </c>
    </row>
    <row r="247" spans="1:36">
      <c r="A247" s="2" t="s">
        <v>128</v>
      </c>
      <c r="B247" s="2">
        <v>7229</v>
      </c>
      <c r="C247" s="2" t="s">
        <v>2283</v>
      </c>
      <c r="D247" s="2" t="s">
        <v>2284</v>
      </c>
      <c r="E247" s="4" t="s">
        <v>1376</v>
      </c>
      <c r="F247" s="2" t="s">
        <v>2285</v>
      </c>
      <c r="G247" s="2" t="s">
        <v>2286</v>
      </c>
      <c r="H247" s="2" t="s">
        <v>367</v>
      </c>
      <c r="I247" s="2" t="s">
        <v>1010</v>
      </c>
      <c r="J247" s="2" t="s">
        <v>31</v>
      </c>
      <c r="K247" s="2" t="s">
        <v>31</v>
      </c>
      <c r="L247" s="2" t="s">
        <v>373</v>
      </c>
      <c r="M247" s="2" t="s">
        <v>32</v>
      </c>
      <c r="N247" s="2" t="s">
        <v>528</v>
      </c>
      <c r="O247" s="2" t="s">
        <v>164</v>
      </c>
      <c r="P247" s="2" t="s">
        <v>2287</v>
      </c>
      <c r="Q247" s="2" t="s">
        <v>98</v>
      </c>
      <c r="R247" s="2" t="s">
        <v>452</v>
      </c>
      <c r="S247" s="2" t="s">
        <v>35</v>
      </c>
      <c r="T247" s="150">
        <v>2.323</v>
      </c>
      <c r="U247" s="2" t="s">
        <v>2288</v>
      </c>
      <c r="V247" s="162">
        <v>3.6499999999999998E-2</v>
      </c>
      <c r="W247" s="164">
        <v>5.7189999999999998E-2</v>
      </c>
      <c r="X247" s="4" t="s">
        <v>458</v>
      </c>
      <c r="Y247" s="4" t="s">
        <v>164</v>
      </c>
      <c r="Z247" s="150">
        <v>477385.69</v>
      </c>
      <c r="AA247" s="150">
        <v>1</v>
      </c>
      <c r="AB247" s="150">
        <v>95.7</v>
      </c>
      <c r="AD247" s="150">
        <v>456.858</v>
      </c>
      <c r="AG247" s="2" t="s">
        <v>37</v>
      </c>
      <c r="AH247" s="164">
        <v>2.3800000000000001E-4</v>
      </c>
      <c r="AI247" s="164">
        <v>2.7292855991602499E-2</v>
      </c>
      <c r="AJ247" s="164">
        <v>3.23086054450688E-3</v>
      </c>
    </row>
    <row r="248" spans="1:36">
      <c r="A248" s="2" t="s">
        <v>128</v>
      </c>
      <c r="B248" s="2">
        <v>7229</v>
      </c>
      <c r="C248" s="2" t="s">
        <v>1885</v>
      </c>
      <c r="D248" s="2" t="s">
        <v>1886</v>
      </c>
      <c r="E248" s="4" t="s">
        <v>1376</v>
      </c>
      <c r="F248" s="2" t="s">
        <v>2289</v>
      </c>
      <c r="G248" s="2" t="s">
        <v>2290</v>
      </c>
      <c r="H248" s="2" t="s">
        <v>367</v>
      </c>
      <c r="I248" s="2" t="s">
        <v>219</v>
      </c>
      <c r="J248" s="2" t="s">
        <v>31</v>
      </c>
      <c r="K248" s="2" t="s">
        <v>31</v>
      </c>
      <c r="L248" s="2" t="s">
        <v>373</v>
      </c>
      <c r="M248" s="2" t="s">
        <v>32</v>
      </c>
      <c r="N248" s="2" t="s">
        <v>507</v>
      </c>
      <c r="O248" s="2" t="s">
        <v>164</v>
      </c>
      <c r="P248" s="2" t="s">
        <v>1392</v>
      </c>
      <c r="Q248" s="2" t="s">
        <v>98</v>
      </c>
      <c r="R248" s="2" t="s">
        <v>452</v>
      </c>
      <c r="S248" s="2" t="s">
        <v>35</v>
      </c>
      <c r="T248" s="150">
        <v>4.6890000000000001</v>
      </c>
      <c r="U248" s="2" t="s">
        <v>2291</v>
      </c>
      <c r="V248" s="162">
        <v>1.17E-2</v>
      </c>
      <c r="W248" s="164">
        <v>3.5060000000000001E-2</v>
      </c>
      <c r="X248" s="4" t="s">
        <v>458</v>
      </c>
      <c r="Y248" s="4" t="s">
        <v>164</v>
      </c>
      <c r="Z248" s="150">
        <v>419160</v>
      </c>
      <c r="AA248" s="150">
        <v>1</v>
      </c>
      <c r="AB248" s="150">
        <v>101.69</v>
      </c>
      <c r="AD248" s="150">
        <v>426.24400000000003</v>
      </c>
      <c r="AG248" s="2" t="s">
        <v>37</v>
      </c>
      <c r="AH248" s="164">
        <v>6.0899999999999995E-4</v>
      </c>
      <c r="AI248" s="164">
        <v>2.54639473923347E-2</v>
      </c>
      <c r="AJ248" s="164">
        <v>3.0143588843397802E-3</v>
      </c>
    </row>
    <row r="249" spans="1:36">
      <c r="A249" s="2" t="s">
        <v>128</v>
      </c>
      <c r="B249" s="2">
        <v>7229</v>
      </c>
      <c r="C249" s="2" t="s">
        <v>1885</v>
      </c>
      <c r="D249" s="2" t="s">
        <v>1886</v>
      </c>
      <c r="E249" s="4" t="s">
        <v>1376</v>
      </c>
      <c r="F249" s="2" t="s">
        <v>2588</v>
      </c>
      <c r="G249" s="2" t="s">
        <v>2589</v>
      </c>
      <c r="H249" s="2" t="s">
        <v>367</v>
      </c>
      <c r="I249" s="2" t="s">
        <v>219</v>
      </c>
      <c r="J249" s="2" t="s">
        <v>31</v>
      </c>
      <c r="K249" s="2" t="s">
        <v>31</v>
      </c>
      <c r="L249" s="2" t="s">
        <v>373</v>
      </c>
      <c r="M249" s="2" t="s">
        <v>32</v>
      </c>
      <c r="N249" s="2" t="s">
        <v>507</v>
      </c>
      <c r="O249" s="2" t="s">
        <v>164</v>
      </c>
      <c r="P249" s="2" t="s">
        <v>1392</v>
      </c>
      <c r="Q249" s="2" t="s">
        <v>98</v>
      </c>
      <c r="R249" s="2" t="s">
        <v>452</v>
      </c>
      <c r="S249" s="2" t="s">
        <v>35</v>
      </c>
      <c r="T249" s="150">
        <v>2.956</v>
      </c>
      <c r="U249" s="2" t="s">
        <v>2590</v>
      </c>
      <c r="V249" s="162">
        <v>3.3500000000000002E-2</v>
      </c>
      <c r="W249" s="164">
        <v>2.853E-2</v>
      </c>
      <c r="X249" s="4" t="s">
        <v>458</v>
      </c>
      <c r="Y249" s="4" t="s">
        <v>164</v>
      </c>
      <c r="Z249" s="150">
        <v>114400</v>
      </c>
      <c r="AA249" s="150">
        <v>1</v>
      </c>
      <c r="AB249" s="150">
        <v>115.92</v>
      </c>
      <c r="AD249" s="150">
        <v>132.61199999999999</v>
      </c>
      <c r="AG249" s="2" t="s">
        <v>37</v>
      </c>
      <c r="AH249" s="164">
        <v>1.8000000000000001E-4</v>
      </c>
      <c r="AI249" s="164">
        <v>7.9223139025078708E-3</v>
      </c>
      <c r="AJ249" s="164">
        <v>9.3782385458987603E-4</v>
      </c>
    </row>
    <row r="250" spans="1:36">
      <c r="A250" s="2" t="s">
        <v>128</v>
      </c>
      <c r="B250" s="2">
        <v>7229</v>
      </c>
      <c r="C250" s="2" t="s">
        <v>1877</v>
      </c>
      <c r="D250" s="2" t="s">
        <v>1878</v>
      </c>
      <c r="E250" s="4" t="s">
        <v>1376</v>
      </c>
      <c r="F250" s="2" t="s">
        <v>2294</v>
      </c>
      <c r="G250" s="2" t="s">
        <v>2295</v>
      </c>
      <c r="H250" s="2" t="s">
        <v>367</v>
      </c>
      <c r="I250" s="2" t="s">
        <v>1010</v>
      </c>
      <c r="J250" s="2" t="s">
        <v>31</v>
      </c>
      <c r="K250" s="2" t="s">
        <v>31</v>
      </c>
      <c r="L250" s="2" t="s">
        <v>373</v>
      </c>
      <c r="M250" s="2" t="s">
        <v>32</v>
      </c>
      <c r="N250" s="2" t="s">
        <v>483</v>
      </c>
      <c r="O250" s="2" t="s">
        <v>164</v>
      </c>
      <c r="P250" s="2" t="s">
        <v>2258</v>
      </c>
      <c r="Q250" s="2" t="s">
        <v>217</v>
      </c>
      <c r="R250" s="2" t="s">
        <v>452</v>
      </c>
      <c r="S250" s="2" t="s">
        <v>35</v>
      </c>
      <c r="T250" s="150">
        <v>4.7069999999999999</v>
      </c>
      <c r="U250" s="2" t="s">
        <v>2296</v>
      </c>
      <c r="V250" s="162">
        <v>5.7500000000000002E-2</v>
      </c>
      <c r="W250" s="164">
        <v>6.7390000000000005E-2</v>
      </c>
      <c r="X250" s="4" t="s">
        <v>458</v>
      </c>
      <c r="Y250" s="4" t="s">
        <v>164</v>
      </c>
      <c r="Z250" s="150">
        <v>140252</v>
      </c>
      <c r="AA250" s="150">
        <v>1</v>
      </c>
      <c r="AB250" s="150">
        <v>97.35</v>
      </c>
      <c r="AD250" s="150">
        <v>136.535</v>
      </c>
      <c r="AG250" s="2" t="s">
        <v>37</v>
      </c>
      <c r="AH250" s="164">
        <v>2.6699999999999998E-4</v>
      </c>
      <c r="AI250" s="164">
        <v>8.1566657954363596E-3</v>
      </c>
      <c r="AJ250" s="164">
        <v>9.6556584995401498E-4</v>
      </c>
    </row>
    <row r="251" spans="1:36">
      <c r="A251" s="2" t="s">
        <v>128</v>
      </c>
      <c r="B251" s="2">
        <v>7229</v>
      </c>
      <c r="C251" s="2" t="s">
        <v>2297</v>
      </c>
      <c r="D251" s="2" t="s">
        <v>2298</v>
      </c>
      <c r="E251" s="4" t="s">
        <v>1376</v>
      </c>
      <c r="F251" s="2" t="s">
        <v>2299</v>
      </c>
      <c r="G251" s="2" t="s">
        <v>2300</v>
      </c>
      <c r="H251" s="2" t="s">
        <v>367</v>
      </c>
      <c r="I251" s="2" t="s">
        <v>1010</v>
      </c>
      <c r="J251" s="2" t="s">
        <v>31</v>
      </c>
      <c r="K251" s="2" t="s">
        <v>31</v>
      </c>
      <c r="L251" s="2" t="s">
        <v>373</v>
      </c>
      <c r="M251" s="2" t="s">
        <v>32</v>
      </c>
      <c r="N251" s="2" t="s">
        <v>507</v>
      </c>
      <c r="O251" s="2" t="s">
        <v>164</v>
      </c>
      <c r="P251" s="2" t="s">
        <v>2247</v>
      </c>
      <c r="Q251" s="2" t="s">
        <v>217</v>
      </c>
      <c r="R251" s="2" t="s">
        <v>452</v>
      </c>
      <c r="S251" s="2" t="s">
        <v>35</v>
      </c>
      <c r="T251" s="150">
        <v>5.38</v>
      </c>
      <c r="U251" s="2" t="s">
        <v>2301</v>
      </c>
      <c r="V251" s="162">
        <v>2.5499999999999998E-2</v>
      </c>
      <c r="W251" s="164">
        <v>6.1440000000000002E-2</v>
      </c>
      <c r="X251" s="4" t="s">
        <v>458</v>
      </c>
      <c r="Y251" s="4" t="s">
        <v>164</v>
      </c>
      <c r="Z251" s="150">
        <v>201760</v>
      </c>
      <c r="AA251" s="150">
        <v>1</v>
      </c>
      <c r="AB251" s="150">
        <v>82.82</v>
      </c>
      <c r="AD251" s="150">
        <v>167.09800000000001</v>
      </c>
      <c r="AG251" s="2" t="s">
        <v>37</v>
      </c>
      <c r="AH251" s="164">
        <v>1.12E-4</v>
      </c>
      <c r="AI251" s="164">
        <v>9.9824684152633493E-3</v>
      </c>
      <c r="AJ251" s="164">
        <v>1.18169983198475E-3</v>
      </c>
    </row>
    <row r="252" spans="1:36">
      <c r="A252" s="2" t="s">
        <v>128</v>
      </c>
      <c r="B252" s="2">
        <v>7229</v>
      </c>
      <c r="C252" s="2" t="s">
        <v>2297</v>
      </c>
      <c r="D252" s="2" t="s">
        <v>2298</v>
      </c>
      <c r="E252" s="4" t="s">
        <v>1376</v>
      </c>
      <c r="F252" s="2" t="s">
        <v>2305</v>
      </c>
      <c r="G252" s="2" t="s">
        <v>2306</v>
      </c>
      <c r="H252" s="2" t="s">
        <v>367</v>
      </c>
      <c r="I252" s="2" t="s">
        <v>219</v>
      </c>
      <c r="J252" s="2" t="s">
        <v>31</v>
      </c>
      <c r="K252" s="2" t="s">
        <v>31</v>
      </c>
      <c r="L252" s="2" t="s">
        <v>373</v>
      </c>
      <c r="M252" s="2" t="s">
        <v>32</v>
      </c>
      <c r="N252" s="2" t="s">
        <v>507</v>
      </c>
      <c r="O252" s="2" t="s">
        <v>164</v>
      </c>
      <c r="P252" s="2" t="s">
        <v>2247</v>
      </c>
      <c r="Q252" s="2" t="s">
        <v>217</v>
      </c>
      <c r="R252" s="2" t="s">
        <v>452</v>
      </c>
      <c r="S252" s="2" t="s">
        <v>35</v>
      </c>
      <c r="T252" s="150">
        <v>5.37</v>
      </c>
      <c r="U252" s="2" t="s">
        <v>2307</v>
      </c>
      <c r="V252" s="162">
        <v>5.8999999999999999E-3</v>
      </c>
      <c r="W252" s="164">
        <v>3.5549999999999998E-2</v>
      </c>
      <c r="X252" s="4" t="s">
        <v>458</v>
      </c>
      <c r="Y252" s="4" t="s">
        <v>164</v>
      </c>
      <c r="Z252" s="150">
        <v>224263</v>
      </c>
      <c r="AA252" s="150">
        <v>1</v>
      </c>
      <c r="AB252" s="150">
        <v>94</v>
      </c>
      <c r="AD252" s="150">
        <v>210.80699999999999</v>
      </c>
      <c r="AG252" s="2" t="s">
        <v>37</v>
      </c>
      <c r="AH252" s="164">
        <v>1.6000000000000001E-4</v>
      </c>
      <c r="AI252" s="164">
        <v>1.25936938194281E-2</v>
      </c>
      <c r="AJ252" s="164">
        <v>1.4908102136071699E-3</v>
      </c>
    </row>
    <row r="253" spans="1:36">
      <c r="A253" s="2" t="s">
        <v>128</v>
      </c>
      <c r="B253" s="2">
        <v>7229</v>
      </c>
      <c r="C253" s="2" t="s">
        <v>2297</v>
      </c>
      <c r="D253" s="2" t="s">
        <v>2298</v>
      </c>
      <c r="E253" s="4" t="s">
        <v>1376</v>
      </c>
      <c r="F253" s="2" t="s">
        <v>2308</v>
      </c>
      <c r="G253" s="2" t="s">
        <v>2309</v>
      </c>
      <c r="H253" s="2" t="s">
        <v>367</v>
      </c>
      <c r="I253" s="2" t="s">
        <v>219</v>
      </c>
      <c r="J253" s="2" t="s">
        <v>31</v>
      </c>
      <c r="K253" s="2" t="s">
        <v>31</v>
      </c>
      <c r="L253" s="2" t="s">
        <v>373</v>
      </c>
      <c r="M253" s="2" t="s">
        <v>32</v>
      </c>
      <c r="N253" s="2" t="s">
        <v>507</v>
      </c>
      <c r="O253" s="2" t="s">
        <v>164</v>
      </c>
      <c r="P253" s="2" t="s">
        <v>2247</v>
      </c>
      <c r="Q253" s="2" t="s">
        <v>217</v>
      </c>
      <c r="R253" s="2" t="s">
        <v>452</v>
      </c>
      <c r="S253" s="2" t="s">
        <v>35</v>
      </c>
      <c r="T253" s="150">
        <v>1.21</v>
      </c>
      <c r="U253" s="2" t="s">
        <v>2310</v>
      </c>
      <c r="V253" s="162">
        <v>4.7500000000000001E-2</v>
      </c>
      <c r="W253" s="164">
        <v>2.843E-2</v>
      </c>
      <c r="X253" s="4" t="s">
        <v>458</v>
      </c>
      <c r="Y253" s="4" t="s">
        <v>164</v>
      </c>
      <c r="Z253" s="150">
        <v>394983.65</v>
      </c>
      <c r="AA253" s="150">
        <v>1</v>
      </c>
      <c r="AB253" s="150">
        <v>142.59</v>
      </c>
      <c r="AD253" s="150">
        <v>563.20699999999999</v>
      </c>
      <c r="AG253" s="2" t="s">
        <v>37</v>
      </c>
      <c r="AH253" s="164">
        <v>4.1300000000000001E-4</v>
      </c>
      <c r="AI253" s="164">
        <v>3.3646185667280899E-2</v>
      </c>
      <c r="AJ253" s="164">
        <v>3.9829519409408003E-3</v>
      </c>
    </row>
    <row r="254" spans="1:36">
      <c r="A254" s="2" t="s">
        <v>128</v>
      </c>
      <c r="B254" s="2">
        <v>7229</v>
      </c>
      <c r="C254" s="2" t="s">
        <v>2311</v>
      </c>
      <c r="D254" s="2" t="s">
        <v>2312</v>
      </c>
      <c r="E254" s="4" t="s">
        <v>1376</v>
      </c>
      <c r="F254" s="2" t="s">
        <v>2313</v>
      </c>
      <c r="G254" s="2" t="s">
        <v>2314</v>
      </c>
      <c r="H254" s="2" t="s">
        <v>367</v>
      </c>
      <c r="I254" s="2" t="s">
        <v>219</v>
      </c>
      <c r="J254" s="2" t="s">
        <v>31</v>
      </c>
      <c r="K254" s="2" t="s">
        <v>345</v>
      </c>
      <c r="L254" s="2" t="s">
        <v>373</v>
      </c>
      <c r="M254" s="2" t="s">
        <v>32</v>
      </c>
      <c r="N254" s="2" t="s">
        <v>508</v>
      </c>
      <c r="O254" s="2" t="s">
        <v>164</v>
      </c>
      <c r="P254" s="2" t="s">
        <v>2287</v>
      </c>
      <c r="Q254" s="2" t="s">
        <v>98</v>
      </c>
      <c r="R254" s="2" t="s">
        <v>452</v>
      </c>
      <c r="S254" s="2" t="s">
        <v>35</v>
      </c>
      <c r="T254" s="150">
        <v>0.247</v>
      </c>
      <c r="U254" s="2" t="s">
        <v>2315</v>
      </c>
      <c r="V254" s="162">
        <v>5.3499999999999999E-2</v>
      </c>
      <c r="W254" s="164">
        <v>3.3520000000000001E-2</v>
      </c>
      <c r="X254" s="4" t="s">
        <v>458</v>
      </c>
      <c r="Y254" s="4" t="s">
        <v>164</v>
      </c>
      <c r="Z254" s="150">
        <v>113055.55</v>
      </c>
      <c r="AA254" s="150">
        <v>1</v>
      </c>
      <c r="AB254" s="150">
        <v>119.58</v>
      </c>
      <c r="AD254" s="150">
        <v>135.19200000000001</v>
      </c>
      <c r="AG254" s="2" t="s">
        <v>37</v>
      </c>
      <c r="AH254" s="164">
        <v>3.4200000000000002E-4</v>
      </c>
      <c r="AI254" s="164">
        <v>8.0764049363349598E-3</v>
      </c>
      <c r="AJ254" s="164">
        <v>9.5606476868136602E-4</v>
      </c>
    </row>
    <row r="255" spans="1:36">
      <c r="A255" s="2" t="s">
        <v>128</v>
      </c>
      <c r="B255" s="2">
        <v>7229</v>
      </c>
      <c r="C255" s="2" t="s">
        <v>2316</v>
      </c>
      <c r="D255" s="2" t="s">
        <v>2317</v>
      </c>
      <c r="E255" s="4" t="s">
        <v>1376</v>
      </c>
      <c r="F255" s="2" t="s">
        <v>2318</v>
      </c>
      <c r="G255" s="2" t="s">
        <v>2319</v>
      </c>
      <c r="H255" s="2" t="s">
        <v>367</v>
      </c>
      <c r="I255" s="2" t="s">
        <v>219</v>
      </c>
      <c r="J255" s="2" t="s">
        <v>31</v>
      </c>
      <c r="K255" s="2" t="s">
        <v>31</v>
      </c>
      <c r="L255" s="2" t="s">
        <v>373</v>
      </c>
      <c r="M255" s="2" t="s">
        <v>32</v>
      </c>
      <c r="N255" s="2" t="s">
        <v>494</v>
      </c>
      <c r="O255" s="2" t="s">
        <v>164</v>
      </c>
      <c r="P255" s="2" t="s">
        <v>2258</v>
      </c>
      <c r="Q255" s="2" t="s">
        <v>217</v>
      </c>
      <c r="R255" s="2" t="s">
        <v>452</v>
      </c>
      <c r="S255" s="2" t="s">
        <v>35</v>
      </c>
      <c r="T255" s="150">
        <v>4.3819999999999997</v>
      </c>
      <c r="U255" s="2" t="s">
        <v>2320</v>
      </c>
      <c r="V255" s="162">
        <v>7.4999999999999997E-3</v>
      </c>
      <c r="W255" s="164">
        <v>3.9260000000000003E-2</v>
      </c>
      <c r="X255" s="4" t="s">
        <v>458</v>
      </c>
      <c r="Y255" s="4" t="s">
        <v>164</v>
      </c>
      <c r="Z255" s="150">
        <v>163074</v>
      </c>
      <c r="AA255" s="150">
        <v>1</v>
      </c>
      <c r="AB255" s="150">
        <v>96.11</v>
      </c>
      <c r="AD255" s="150">
        <v>156.72999999999999</v>
      </c>
      <c r="AG255" s="2" t="s">
        <v>37</v>
      </c>
      <c r="AH255" s="164">
        <v>1.56E-4</v>
      </c>
      <c r="AI255" s="164">
        <v>9.3631277870916598E-3</v>
      </c>
      <c r="AJ255" s="164">
        <v>1.1083838257820301E-3</v>
      </c>
    </row>
    <row r="256" spans="1:36">
      <c r="A256" s="2" t="s">
        <v>128</v>
      </c>
      <c r="B256" s="2">
        <v>7229</v>
      </c>
      <c r="C256" s="2" t="s">
        <v>2321</v>
      </c>
      <c r="D256" s="2" t="s">
        <v>2322</v>
      </c>
      <c r="E256" s="4" t="s">
        <v>1376</v>
      </c>
      <c r="F256" s="2" t="s">
        <v>2323</v>
      </c>
      <c r="G256" s="2" t="s">
        <v>2324</v>
      </c>
      <c r="H256" s="2" t="s">
        <v>367</v>
      </c>
      <c r="I256" s="2" t="s">
        <v>219</v>
      </c>
      <c r="J256" s="2" t="s">
        <v>31</v>
      </c>
      <c r="K256" s="2" t="s">
        <v>31</v>
      </c>
      <c r="L256" s="2" t="s">
        <v>373</v>
      </c>
      <c r="M256" s="2" t="s">
        <v>32</v>
      </c>
      <c r="N256" s="2" t="s">
        <v>491</v>
      </c>
      <c r="O256" s="2" t="s">
        <v>164</v>
      </c>
      <c r="P256" s="2" t="s">
        <v>97</v>
      </c>
      <c r="Q256" s="2" t="s">
        <v>98</v>
      </c>
      <c r="R256" s="2" t="s">
        <v>452</v>
      </c>
      <c r="S256" s="2" t="s">
        <v>35</v>
      </c>
      <c r="T256" s="150">
        <v>5.3019999999999996</v>
      </c>
      <c r="U256" s="2" t="s">
        <v>2325</v>
      </c>
      <c r="V256" s="162">
        <v>2.47E-2</v>
      </c>
      <c r="W256" s="164">
        <v>2.6040000000000001E-2</v>
      </c>
      <c r="X256" s="4" t="s">
        <v>458</v>
      </c>
      <c r="Y256" s="4" t="s">
        <v>164</v>
      </c>
      <c r="Z256" s="150">
        <v>211921</v>
      </c>
      <c r="AA256" s="150">
        <v>1</v>
      </c>
      <c r="AB256" s="150">
        <v>100.34</v>
      </c>
      <c r="AD256" s="150">
        <v>212.642</v>
      </c>
      <c r="AG256" s="2" t="s">
        <v>37</v>
      </c>
      <c r="AH256" s="164">
        <v>1.36E-4</v>
      </c>
      <c r="AI256" s="164">
        <v>1.27032761958813E-2</v>
      </c>
      <c r="AJ256" s="164">
        <v>1.50378230332049E-3</v>
      </c>
    </row>
    <row r="257" spans="1:36">
      <c r="A257" s="2" t="s">
        <v>128</v>
      </c>
      <c r="B257" s="2">
        <v>7229</v>
      </c>
      <c r="C257" s="2" t="s">
        <v>2326</v>
      </c>
      <c r="D257" s="2" t="s">
        <v>2327</v>
      </c>
      <c r="E257" s="4" t="s">
        <v>1376</v>
      </c>
      <c r="F257" s="2" t="s">
        <v>2328</v>
      </c>
      <c r="G257" s="2" t="s">
        <v>2329</v>
      </c>
      <c r="H257" s="2" t="s">
        <v>367</v>
      </c>
      <c r="I257" s="2" t="s">
        <v>219</v>
      </c>
      <c r="J257" s="2" t="s">
        <v>31</v>
      </c>
      <c r="K257" s="2" t="s">
        <v>31</v>
      </c>
      <c r="L257" s="2" t="s">
        <v>373</v>
      </c>
      <c r="M257" s="2" t="s">
        <v>32</v>
      </c>
      <c r="N257" s="2" t="s">
        <v>494</v>
      </c>
      <c r="O257" s="2" t="s">
        <v>164</v>
      </c>
      <c r="P257" s="2" t="s">
        <v>2330</v>
      </c>
      <c r="Q257" s="2" t="s">
        <v>217</v>
      </c>
      <c r="R257" s="2" t="s">
        <v>452</v>
      </c>
      <c r="S257" s="2" t="s">
        <v>35</v>
      </c>
      <c r="T257" s="150">
        <v>0.97599999999999998</v>
      </c>
      <c r="U257" s="2" t="s">
        <v>2331</v>
      </c>
      <c r="V257" s="162">
        <v>4.9500000000000002E-2</v>
      </c>
      <c r="W257" s="164">
        <v>4.5920000000000002E-2</v>
      </c>
      <c r="X257" s="4" t="s">
        <v>458</v>
      </c>
      <c r="Y257" s="4" t="s">
        <v>386</v>
      </c>
      <c r="Z257" s="150">
        <v>0.23</v>
      </c>
      <c r="AA257" s="150">
        <v>1</v>
      </c>
      <c r="AB257" s="150">
        <v>140.22</v>
      </c>
      <c r="AD257" s="150">
        <v>0</v>
      </c>
      <c r="AG257" s="2" t="s">
        <v>37</v>
      </c>
      <c r="AH257" s="164">
        <v>0</v>
      </c>
      <c r="AI257" s="164">
        <v>1.9266616290127502E-8</v>
      </c>
      <c r="AJ257" s="164">
        <v>2.2807342118054203E-9</v>
      </c>
    </row>
    <row r="258" spans="1:36">
      <c r="A258" s="2" t="s">
        <v>128</v>
      </c>
      <c r="B258" s="2">
        <v>7229</v>
      </c>
      <c r="C258" s="2" t="s">
        <v>2321</v>
      </c>
      <c r="D258" s="2" t="s">
        <v>2322</v>
      </c>
      <c r="E258" s="4" t="s">
        <v>1376</v>
      </c>
      <c r="F258" s="2" t="s">
        <v>2332</v>
      </c>
      <c r="G258" s="2" t="s">
        <v>2333</v>
      </c>
      <c r="H258" s="2" t="s">
        <v>367</v>
      </c>
      <c r="I258" s="2" t="s">
        <v>219</v>
      </c>
      <c r="J258" s="2" t="s">
        <v>31</v>
      </c>
      <c r="K258" s="2" t="s">
        <v>31</v>
      </c>
      <c r="L258" s="2" t="s">
        <v>373</v>
      </c>
      <c r="M258" s="2" t="s">
        <v>32</v>
      </c>
      <c r="N258" s="2" t="s">
        <v>491</v>
      </c>
      <c r="O258" s="2" t="s">
        <v>164</v>
      </c>
      <c r="P258" s="2" t="s">
        <v>1392</v>
      </c>
      <c r="Q258" s="2" t="s">
        <v>98</v>
      </c>
      <c r="R258" s="2" t="s">
        <v>452</v>
      </c>
      <c r="S258" s="2" t="s">
        <v>35</v>
      </c>
      <c r="T258" s="150">
        <v>4.1150000000000002</v>
      </c>
      <c r="U258" s="2" t="s">
        <v>2334</v>
      </c>
      <c r="V258" s="162">
        <v>3.1699999999999999E-2</v>
      </c>
      <c r="W258" s="164">
        <v>3.594E-2</v>
      </c>
      <c r="X258" s="4" t="s">
        <v>458</v>
      </c>
      <c r="Y258" s="4" t="s">
        <v>164</v>
      </c>
      <c r="Z258" s="150">
        <v>200000</v>
      </c>
      <c r="AA258" s="150">
        <v>1</v>
      </c>
      <c r="AB258" s="150">
        <v>105.55</v>
      </c>
      <c r="AD258" s="150">
        <v>211.1</v>
      </c>
      <c r="AG258" s="2" t="s">
        <v>37</v>
      </c>
      <c r="AH258" s="164">
        <v>2.3699999999999999E-4</v>
      </c>
      <c r="AI258" s="164">
        <v>1.26111845945375E-2</v>
      </c>
      <c r="AJ258" s="164">
        <v>1.4928807281480801E-3</v>
      </c>
    </row>
    <row r="259" spans="1:36">
      <c r="A259" s="2" t="s">
        <v>128</v>
      </c>
      <c r="B259" s="2">
        <v>7229</v>
      </c>
      <c r="C259" s="2" t="s">
        <v>2335</v>
      </c>
      <c r="D259" s="2" t="s">
        <v>2336</v>
      </c>
      <c r="E259" s="4" t="s">
        <v>1376</v>
      </c>
      <c r="F259" s="2" t="s">
        <v>2337</v>
      </c>
      <c r="G259" s="2" t="s">
        <v>2338</v>
      </c>
      <c r="H259" s="2" t="s">
        <v>367</v>
      </c>
      <c r="I259" s="2" t="s">
        <v>219</v>
      </c>
      <c r="J259" s="2" t="s">
        <v>31</v>
      </c>
      <c r="K259" s="2" t="s">
        <v>31</v>
      </c>
      <c r="L259" s="2" t="s">
        <v>373</v>
      </c>
      <c r="M259" s="2" t="s">
        <v>32</v>
      </c>
      <c r="N259" s="2" t="s">
        <v>483</v>
      </c>
      <c r="O259" s="2" t="s">
        <v>164</v>
      </c>
      <c r="P259" s="2" t="s">
        <v>2287</v>
      </c>
      <c r="Q259" s="2" t="s">
        <v>98</v>
      </c>
      <c r="R259" s="2" t="s">
        <v>452</v>
      </c>
      <c r="S259" s="2" t="s">
        <v>35</v>
      </c>
      <c r="T259" s="150">
        <v>3.69</v>
      </c>
      <c r="U259" s="2" t="s">
        <v>2339</v>
      </c>
      <c r="V259" s="162">
        <v>1.7999999999999999E-2</v>
      </c>
      <c r="W259" s="164">
        <v>3.5799999999999998E-2</v>
      </c>
      <c r="X259" s="4" t="s">
        <v>458</v>
      </c>
      <c r="Y259" s="4" t="s">
        <v>164</v>
      </c>
      <c r="Z259" s="150">
        <v>123172.04</v>
      </c>
      <c r="AA259" s="150">
        <v>1</v>
      </c>
      <c r="AB259" s="150">
        <v>106.94</v>
      </c>
      <c r="AD259" s="150">
        <v>131.72</v>
      </c>
      <c r="AG259" s="2" t="s">
        <v>37</v>
      </c>
      <c r="AH259" s="164">
        <v>1.2400000000000001E-4</v>
      </c>
      <c r="AI259" s="164">
        <v>7.8690075767814394E-3</v>
      </c>
      <c r="AJ259" s="164">
        <v>9.3151358407017896E-4</v>
      </c>
    </row>
    <row r="260" spans="1:36">
      <c r="A260" s="2" t="s">
        <v>128</v>
      </c>
      <c r="B260" s="2">
        <v>7229</v>
      </c>
      <c r="C260" s="2" t="s">
        <v>2335</v>
      </c>
      <c r="D260" s="2" t="s">
        <v>2336</v>
      </c>
      <c r="E260" s="4" t="s">
        <v>1376</v>
      </c>
      <c r="F260" s="2" t="s">
        <v>2340</v>
      </c>
      <c r="G260" s="2" t="s">
        <v>2341</v>
      </c>
      <c r="H260" s="2" t="s">
        <v>367</v>
      </c>
      <c r="I260" s="2" t="s">
        <v>219</v>
      </c>
      <c r="J260" s="2" t="s">
        <v>31</v>
      </c>
      <c r="K260" s="2" t="s">
        <v>31</v>
      </c>
      <c r="L260" s="2" t="s">
        <v>373</v>
      </c>
      <c r="M260" s="2" t="s">
        <v>32</v>
      </c>
      <c r="N260" s="2" t="s">
        <v>483</v>
      </c>
      <c r="O260" s="2" t="s">
        <v>164</v>
      </c>
      <c r="P260" s="2" t="s">
        <v>2287</v>
      </c>
      <c r="Q260" s="2" t="s">
        <v>98</v>
      </c>
      <c r="R260" s="2" t="s">
        <v>452</v>
      </c>
      <c r="S260" s="2" t="s">
        <v>35</v>
      </c>
      <c r="T260" s="150">
        <v>5.9729999999999999</v>
      </c>
      <c r="U260" s="2" t="s">
        <v>2342</v>
      </c>
      <c r="V260" s="162">
        <v>3.3000000000000002E-2</v>
      </c>
      <c r="W260" s="164">
        <v>4.1739999999999999E-2</v>
      </c>
      <c r="X260" s="4" t="s">
        <v>458</v>
      </c>
      <c r="Y260" s="4" t="s">
        <v>164</v>
      </c>
      <c r="Z260" s="150">
        <v>284050</v>
      </c>
      <c r="AA260" s="150">
        <v>1</v>
      </c>
      <c r="AB260" s="150">
        <v>100.71</v>
      </c>
      <c r="AD260" s="150">
        <v>286.06700000000001</v>
      </c>
      <c r="AG260" s="2" t="s">
        <v>37</v>
      </c>
      <c r="AH260" s="164">
        <v>2.2699999999999999E-4</v>
      </c>
      <c r="AI260" s="164">
        <v>1.7089723608078301E-2</v>
      </c>
      <c r="AJ260" s="164">
        <v>2.02303905970326E-3</v>
      </c>
    </row>
    <row r="261" spans="1:36">
      <c r="A261" s="2" t="s">
        <v>128</v>
      </c>
      <c r="B261" s="2">
        <v>7229</v>
      </c>
      <c r="C261" s="2" t="s">
        <v>2159</v>
      </c>
      <c r="D261" s="2" t="s">
        <v>2160</v>
      </c>
      <c r="E261" s="4" t="s">
        <v>1376</v>
      </c>
      <c r="F261" s="2" t="s">
        <v>2343</v>
      </c>
      <c r="G261" s="2" t="s">
        <v>2344</v>
      </c>
      <c r="H261" s="2" t="s">
        <v>367</v>
      </c>
      <c r="I261" s="2" t="s">
        <v>219</v>
      </c>
      <c r="J261" s="2" t="s">
        <v>31</v>
      </c>
      <c r="K261" s="2" t="s">
        <v>31</v>
      </c>
      <c r="L261" s="2" t="s">
        <v>373</v>
      </c>
      <c r="M261" s="2" t="s">
        <v>32</v>
      </c>
      <c r="N261" s="2" t="s">
        <v>507</v>
      </c>
      <c r="O261" s="2" t="s">
        <v>164</v>
      </c>
      <c r="P261" s="2" t="s">
        <v>2228</v>
      </c>
      <c r="Q261" s="2" t="s">
        <v>217</v>
      </c>
      <c r="R261" s="2" t="s">
        <v>452</v>
      </c>
      <c r="S261" s="2" t="s">
        <v>35</v>
      </c>
      <c r="T261" s="150">
        <v>2.3730000000000002</v>
      </c>
      <c r="U261" s="2" t="s">
        <v>2237</v>
      </c>
      <c r="V261" s="162">
        <v>3.6499999999999998E-2</v>
      </c>
      <c r="W261" s="164">
        <v>3.7539999999999997E-2</v>
      </c>
      <c r="X261" s="4" t="s">
        <v>458</v>
      </c>
      <c r="Y261" s="4" t="s">
        <v>164</v>
      </c>
      <c r="Z261" s="150">
        <v>280000</v>
      </c>
      <c r="AA261" s="150">
        <v>1</v>
      </c>
      <c r="AB261" s="150">
        <v>105.01</v>
      </c>
      <c r="AD261" s="150">
        <v>294.02800000000002</v>
      </c>
      <c r="AG261" s="2" t="s">
        <v>37</v>
      </c>
      <c r="AH261" s="164">
        <v>8.5899999999999995E-4</v>
      </c>
      <c r="AI261" s="164">
        <v>1.7565331046720398E-2</v>
      </c>
      <c r="AJ261" s="164">
        <v>2.07934028771162E-3</v>
      </c>
    </row>
    <row r="262" spans="1:36">
      <c r="A262" s="2" t="s">
        <v>128</v>
      </c>
      <c r="B262" s="2">
        <v>7229</v>
      </c>
      <c r="C262" s="2" t="s">
        <v>2159</v>
      </c>
      <c r="D262" s="2" t="s">
        <v>2160</v>
      </c>
      <c r="E262" s="4" t="s">
        <v>1376</v>
      </c>
      <c r="F262" s="2" t="s">
        <v>2345</v>
      </c>
      <c r="G262" s="2" t="s">
        <v>2346</v>
      </c>
      <c r="H262" s="2" t="s">
        <v>367</v>
      </c>
      <c r="I262" s="2" t="s">
        <v>219</v>
      </c>
      <c r="J262" s="2" t="s">
        <v>31</v>
      </c>
      <c r="K262" s="2" t="s">
        <v>31</v>
      </c>
      <c r="L262" s="2" t="s">
        <v>373</v>
      </c>
      <c r="M262" s="2" t="s">
        <v>32</v>
      </c>
      <c r="N262" s="2" t="s">
        <v>507</v>
      </c>
      <c r="O262" s="2" t="s">
        <v>164</v>
      </c>
      <c r="P262" s="2" t="s">
        <v>2275</v>
      </c>
      <c r="Q262" s="2" t="s">
        <v>217</v>
      </c>
      <c r="R262" s="2" t="s">
        <v>452</v>
      </c>
      <c r="S262" s="2" t="s">
        <v>35</v>
      </c>
      <c r="T262" s="150">
        <v>3.028</v>
      </c>
      <c r="U262" s="2" t="s">
        <v>1371</v>
      </c>
      <c r="V262" s="162">
        <v>1.7999999999999999E-2</v>
      </c>
      <c r="W262" s="164">
        <v>3.0200000000000001E-2</v>
      </c>
      <c r="X262" s="4" t="s">
        <v>458</v>
      </c>
      <c r="Y262" s="4" t="s">
        <v>164</v>
      </c>
      <c r="Z262" s="150">
        <v>135437.18</v>
      </c>
      <c r="AA262" s="150">
        <v>1</v>
      </c>
      <c r="AB262" s="150">
        <v>110.52</v>
      </c>
      <c r="AD262" s="150">
        <v>149.685</v>
      </c>
      <c r="AG262" s="2" t="s">
        <v>37</v>
      </c>
      <c r="AH262" s="164">
        <v>1.7200000000000001E-4</v>
      </c>
      <c r="AI262" s="164">
        <v>8.9422421922466504E-3</v>
      </c>
      <c r="AJ262" s="164">
        <v>1.0585604338089001E-3</v>
      </c>
    </row>
    <row r="263" spans="1:36">
      <c r="A263" s="2" t="s">
        <v>128</v>
      </c>
      <c r="B263" s="2">
        <v>7229</v>
      </c>
      <c r="C263" s="2" t="s">
        <v>2347</v>
      </c>
      <c r="D263" s="2" t="s">
        <v>2348</v>
      </c>
      <c r="E263" s="4" t="s">
        <v>1376</v>
      </c>
      <c r="F263" s="2" t="s">
        <v>2349</v>
      </c>
      <c r="G263" s="2" t="s">
        <v>2350</v>
      </c>
      <c r="H263" s="2" t="s">
        <v>367</v>
      </c>
      <c r="I263" s="2" t="s">
        <v>1010</v>
      </c>
      <c r="J263" s="2" t="s">
        <v>31</v>
      </c>
      <c r="K263" s="2" t="s">
        <v>31</v>
      </c>
      <c r="L263" s="2" t="s">
        <v>373</v>
      </c>
      <c r="M263" s="2" t="s">
        <v>32</v>
      </c>
      <c r="N263" s="2" t="s">
        <v>488</v>
      </c>
      <c r="O263" s="2" t="s">
        <v>164</v>
      </c>
      <c r="P263" s="2" t="s">
        <v>1392</v>
      </c>
      <c r="Q263" s="2" t="s">
        <v>98</v>
      </c>
      <c r="R263" s="2" t="s">
        <v>452</v>
      </c>
      <c r="S263" s="2" t="s">
        <v>35</v>
      </c>
      <c r="T263" s="150">
        <v>6.6689999999999996</v>
      </c>
      <c r="U263" s="2" t="s">
        <v>2351</v>
      </c>
      <c r="V263" s="162">
        <v>3.0499999999999999E-2</v>
      </c>
      <c r="W263" s="164">
        <v>6.0159999999999998E-2</v>
      </c>
      <c r="X263" s="4" t="s">
        <v>458</v>
      </c>
      <c r="Y263" s="4" t="s">
        <v>164</v>
      </c>
      <c r="Z263" s="150">
        <v>166845</v>
      </c>
      <c r="AA263" s="150">
        <v>1</v>
      </c>
      <c r="AB263" s="150">
        <v>82.6</v>
      </c>
      <c r="AD263" s="150">
        <v>137.81399999999999</v>
      </c>
      <c r="AG263" s="2" t="s">
        <v>37</v>
      </c>
      <c r="AH263" s="164">
        <v>2.4399999999999999E-4</v>
      </c>
      <c r="AI263" s="164">
        <v>8.2330526545525903E-3</v>
      </c>
      <c r="AJ263" s="164">
        <v>9.7460833672467003E-4</v>
      </c>
    </row>
    <row r="264" spans="1:36">
      <c r="A264" s="2" t="s">
        <v>128</v>
      </c>
      <c r="B264" s="2">
        <v>7229</v>
      </c>
      <c r="C264" s="2" t="s">
        <v>2347</v>
      </c>
      <c r="D264" s="2" t="s">
        <v>2348</v>
      </c>
      <c r="E264" s="4" t="s">
        <v>1376</v>
      </c>
      <c r="F264" s="2" t="s">
        <v>2352</v>
      </c>
      <c r="G264" s="2" t="s">
        <v>2353</v>
      </c>
      <c r="H264" s="2" t="s">
        <v>367</v>
      </c>
      <c r="I264" s="2" t="s">
        <v>1010</v>
      </c>
      <c r="J264" s="2" t="s">
        <v>31</v>
      </c>
      <c r="K264" s="2" t="s">
        <v>31</v>
      </c>
      <c r="L264" s="2" t="s">
        <v>373</v>
      </c>
      <c r="M264" s="2" t="s">
        <v>32</v>
      </c>
      <c r="N264" s="2" t="s">
        <v>488</v>
      </c>
      <c r="O264" s="2" t="s">
        <v>164</v>
      </c>
      <c r="P264" s="2" t="s">
        <v>1387</v>
      </c>
      <c r="Q264" s="2" t="s">
        <v>217</v>
      </c>
      <c r="R264" s="2" t="s">
        <v>452</v>
      </c>
      <c r="S264" s="2" t="s">
        <v>35</v>
      </c>
      <c r="T264" s="150">
        <v>4.9290000000000003</v>
      </c>
      <c r="U264" s="2" t="s">
        <v>2354</v>
      </c>
      <c r="V264" s="162">
        <v>4.3799999999999999E-2</v>
      </c>
      <c r="W264" s="164">
        <v>5.5509999999999997E-2</v>
      </c>
      <c r="X264" s="4" t="s">
        <v>458</v>
      </c>
      <c r="Y264" s="4" t="s">
        <v>164</v>
      </c>
      <c r="Z264" s="150">
        <v>210000</v>
      </c>
      <c r="AA264" s="150">
        <v>1</v>
      </c>
      <c r="AB264" s="150">
        <v>94.29</v>
      </c>
      <c r="AD264" s="150">
        <v>198.00899999999999</v>
      </c>
      <c r="AG264" s="2" t="s">
        <v>37</v>
      </c>
      <c r="AH264" s="164">
        <v>4.2000000000000002E-4</v>
      </c>
      <c r="AI264" s="164">
        <v>1.1829123876739799E-2</v>
      </c>
      <c r="AJ264" s="164">
        <v>1.4003023216479101E-3</v>
      </c>
    </row>
    <row r="265" spans="1:36">
      <c r="A265" s="2" t="s">
        <v>128</v>
      </c>
      <c r="B265" s="2">
        <v>7229</v>
      </c>
      <c r="C265" s="2" t="s">
        <v>2355</v>
      </c>
      <c r="D265" s="2" t="s">
        <v>2356</v>
      </c>
      <c r="E265" s="4" t="s">
        <v>1376</v>
      </c>
      <c r="F265" s="2" t="s">
        <v>2357</v>
      </c>
      <c r="G265" s="2" t="s">
        <v>2358</v>
      </c>
      <c r="H265" s="2" t="s">
        <v>367</v>
      </c>
      <c r="I265" s="2" t="s">
        <v>219</v>
      </c>
      <c r="J265" s="2" t="s">
        <v>31</v>
      </c>
      <c r="K265" s="2" t="s">
        <v>31</v>
      </c>
      <c r="L265" s="2" t="s">
        <v>373</v>
      </c>
      <c r="M265" s="2" t="s">
        <v>32</v>
      </c>
      <c r="N265" s="2" t="s">
        <v>491</v>
      </c>
      <c r="O265" s="2" t="s">
        <v>164</v>
      </c>
      <c r="P265" s="2" t="s">
        <v>1387</v>
      </c>
      <c r="Q265" s="2" t="s">
        <v>98</v>
      </c>
      <c r="R265" s="2" t="s">
        <v>452</v>
      </c>
      <c r="S265" s="2" t="s">
        <v>35</v>
      </c>
      <c r="T265" s="150">
        <v>4.7489999999999997</v>
      </c>
      <c r="U265" s="2" t="s">
        <v>2359</v>
      </c>
      <c r="V265" s="162">
        <v>2.5899999999999999E-2</v>
      </c>
      <c r="W265" s="164">
        <v>2.751E-2</v>
      </c>
      <c r="X265" s="4" t="s">
        <v>458</v>
      </c>
      <c r="Y265" s="4" t="s">
        <v>164</v>
      </c>
      <c r="Z265" s="150">
        <v>327000</v>
      </c>
      <c r="AA265" s="150">
        <v>1</v>
      </c>
      <c r="AB265" s="150">
        <v>102.32</v>
      </c>
      <c r="AD265" s="150">
        <v>334.58600000000001</v>
      </c>
      <c r="AG265" s="2" t="s">
        <v>37</v>
      </c>
      <c r="AH265" s="164">
        <v>7.27E-4</v>
      </c>
      <c r="AI265" s="164">
        <v>1.99883034259676E-2</v>
      </c>
      <c r="AJ265" s="164">
        <v>2.3661657435359801E-3</v>
      </c>
    </row>
    <row r="266" spans="1:36">
      <c r="A266" s="2" t="s">
        <v>128</v>
      </c>
      <c r="B266" s="2">
        <v>7229</v>
      </c>
      <c r="C266" s="2" t="s">
        <v>2360</v>
      </c>
      <c r="D266" s="2" t="s">
        <v>2361</v>
      </c>
      <c r="E266" s="4" t="s">
        <v>1376</v>
      </c>
      <c r="F266" s="2" t="s">
        <v>2362</v>
      </c>
      <c r="G266" s="2" t="s">
        <v>2363</v>
      </c>
      <c r="H266" s="2" t="s">
        <v>367</v>
      </c>
      <c r="I266" s="2" t="s">
        <v>1010</v>
      </c>
      <c r="J266" s="2" t="s">
        <v>31</v>
      </c>
      <c r="K266" s="2" t="s">
        <v>31</v>
      </c>
      <c r="L266" s="2" t="s">
        <v>373</v>
      </c>
      <c r="M266" s="2" t="s">
        <v>32</v>
      </c>
      <c r="N266" s="2" t="s">
        <v>497</v>
      </c>
      <c r="O266" s="2" t="s">
        <v>164</v>
      </c>
      <c r="P266" s="2" t="s">
        <v>2247</v>
      </c>
      <c r="Q266" s="2" t="s">
        <v>217</v>
      </c>
      <c r="R266" s="2" t="s">
        <v>452</v>
      </c>
      <c r="S266" s="2" t="s">
        <v>35</v>
      </c>
      <c r="T266" s="150">
        <v>3.4910000000000001</v>
      </c>
      <c r="U266" s="2" t="s">
        <v>2364</v>
      </c>
      <c r="V266" s="162">
        <v>2.24E-2</v>
      </c>
      <c r="W266" s="164">
        <v>5.5100000000000003E-2</v>
      </c>
      <c r="X266" s="4" t="s">
        <v>458</v>
      </c>
      <c r="Y266" s="4" t="s">
        <v>164</v>
      </c>
      <c r="Z266" s="150">
        <v>172963.64</v>
      </c>
      <c r="AA266" s="150">
        <v>1</v>
      </c>
      <c r="AB266" s="150">
        <v>89.89</v>
      </c>
      <c r="AD266" s="150">
        <v>155.477</v>
      </c>
      <c r="AG266" s="2" t="s">
        <v>37</v>
      </c>
      <c r="AH266" s="164">
        <v>2.9399999999999999E-4</v>
      </c>
      <c r="AI266" s="164">
        <v>9.2882489291019107E-3</v>
      </c>
      <c r="AJ266" s="164">
        <v>1.09951985244149E-3</v>
      </c>
    </row>
    <row r="267" spans="1:36">
      <c r="A267" s="2" t="s">
        <v>128</v>
      </c>
      <c r="B267" s="2">
        <v>7229</v>
      </c>
      <c r="C267" s="2" t="s">
        <v>1941</v>
      </c>
      <c r="D267" s="2" t="s">
        <v>1942</v>
      </c>
      <c r="E267" s="4" t="s">
        <v>1376</v>
      </c>
      <c r="F267" s="2" t="s">
        <v>2365</v>
      </c>
      <c r="G267" s="2" t="s">
        <v>2366</v>
      </c>
      <c r="H267" s="2" t="s">
        <v>367</v>
      </c>
      <c r="I267" s="2" t="s">
        <v>1010</v>
      </c>
      <c r="J267" s="2" t="s">
        <v>31</v>
      </c>
      <c r="K267" s="2" t="s">
        <v>31</v>
      </c>
      <c r="L267" s="2" t="s">
        <v>373</v>
      </c>
      <c r="M267" s="2" t="s">
        <v>32</v>
      </c>
      <c r="N267" s="2" t="s">
        <v>488</v>
      </c>
      <c r="O267" s="2" t="s">
        <v>164</v>
      </c>
      <c r="P267" s="2" t="s">
        <v>1387</v>
      </c>
      <c r="Q267" s="2" t="s">
        <v>217</v>
      </c>
      <c r="R267" s="2" t="s">
        <v>452</v>
      </c>
      <c r="S267" s="2" t="s">
        <v>35</v>
      </c>
      <c r="T267" s="150">
        <v>3.395</v>
      </c>
      <c r="U267" s="2" t="s">
        <v>2367</v>
      </c>
      <c r="V267" s="162">
        <v>4.7E-2</v>
      </c>
      <c r="W267" s="164">
        <v>5.5599999999999997E-2</v>
      </c>
      <c r="X267" s="4" t="s">
        <v>458</v>
      </c>
      <c r="Y267" s="4" t="s">
        <v>164</v>
      </c>
      <c r="Z267" s="150">
        <v>183000</v>
      </c>
      <c r="AA267" s="150">
        <v>1</v>
      </c>
      <c r="AB267" s="150">
        <v>98.75</v>
      </c>
      <c r="AD267" s="150">
        <v>180.71299999999999</v>
      </c>
      <c r="AG267" s="2" t="s">
        <v>37</v>
      </c>
      <c r="AH267" s="164">
        <v>2.04E-4</v>
      </c>
      <c r="AI267" s="164">
        <v>1.07958251825692E-2</v>
      </c>
      <c r="AJ267" s="164">
        <v>1.2779829871409801E-3</v>
      </c>
    </row>
    <row r="268" spans="1:36">
      <c r="A268" s="2" t="s">
        <v>128</v>
      </c>
      <c r="B268" s="2">
        <v>7229</v>
      </c>
      <c r="C268" s="2" t="s">
        <v>2368</v>
      </c>
      <c r="D268" s="2" t="s">
        <v>2369</v>
      </c>
      <c r="E268" s="4" t="s">
        <v>1376</v>
      </c>
      <c r="F268" s="2" t="s">
        <v>2370</v>
      </c>
      <c r="G268" s="2" t="s">
        <v>2371</v>
      </c>
      <c r="H268" s="2" t="s">
        <v>367</v>
      </c>
      <c r="I268" s="2" t="s">
        <v>1010</v>
      </c>
      <c r="J268" s="2" t="s">
        <v>31</v>
      </c>
      <c r="K268" s="2" t="s">
        <v>31</v>
      </c>
      <c r="L268" s="2" t="s">
        <v>373</v>
      </c>
      <c r="M268" s="2" t="s">
        <v>32</v>
      </c>
      <c r="N268" s="2" t="s">
        <v>522</v>
      </c>
      <c r="O268" s="2" t="s">
        <v>164</v>
      </c>
      <c r="P268" s="2" t="s">
        <v>1392</v>
      </c>
      <c r="Q268" s="2" t="s">
        <v>98</v>
      </c>
      <c r="R268" s="2" t="s">
        <v>452</v>
      </c>
      <c r="S268" s="2" t="s">
        <v>35</v>
      </c>
      <c r="T268" s="150">
        <v>7.6660000000000004</v>
      </c>
      <c r="U268" s="2" t="s">
        <v>2372</v>
      </c>
      <c r="V268" s="162">
        <v>5.3100000000000001E-2</v>
      </c>
      <c r="W268" s="164">
        <v>6.3140000000000002E-2</v>
      </c>
      <c r="X268" s="4" t="s">
        <v>458</v>
      </c>
      <c r="Y268" s="4" t="s">
        <v>164</v>
      </c>
      <c r="Z268" s="150">
        <v>294997</v>
      </c>
      <c r="AA268" s="150">
        <v>1</v>
      </c>
      <c r="AB268" s="150">
        <v>95.33</v>
      </c>
      <c r="AD268" s="150">
        <v>281.221</v>
      </c>
      <c r="AG268" s="2" t="s">
        <v>37</v>
      </c>
      <c r="AH268" s="164">
        <v>2.32E-4</v>
      </c>
      <c r="AI268" s="164">
        <v>1.6800215083349598E-2</v>
      </c>
      <c r="AJ268" s="164">
        <v>1.9887677591793299E-3</v>
      </c>
    </row>
    <row r="269" spans="1:36">
      <c r="A269" s="2" t="s">
        <v>128</v>
      </c>
      <c r="B269" s="2">
        <v>7229</v>
      </c>
      <c r="C269" s="2" t="s">
        <v>1222</v>
      </c>
      <c r="D269" s="2" t="s">
        <v>1945</v>
      </c>
      <c r="E269" s="4" t="s">
        <v>1376</v>
      </c>
      <c r="F269" s="2" t="s">
        <v>2373</v>
      </c>
      <c r="G269" s="2" t="s">
        <v>2374</v>
      </c>
      <c r="H269" s="2" t="s">
        <v>367</v>
      </c>
      <c r="I269" s="2" t="s">
        <v>219</v>
      </c>
      <c r="J269" s="2" t="s">
        <v>31</v>
      </c>
      <c r="K269" s="2" t="s">
        <v>31</v>
      </c>
      <c r="L269" s="2" t="s">
        <v>373</v>
      </c>
      <c r="M269" s="2" t="s">
        <v>32</v>
      </c>
      <c r="N269" s="2" t="s">
        <v>491</v>
      </c>
      <c r="O269" s="2" t="s">
        <v>164</v>
      </c>
      <c r="P269" s="2" t="s">
        <v>97</v>
      </c>
      <c r="Q269" s="2" t="s">
        <v>98</v>
      </c>
      <c r="R269" s="2" t="s">
        <v>452</v>
      </c>
      <c r="S269" s="2" t="s">
        <v>35</v>
      </c>
      <c r="T269" s="150">
        <v>1.986</v>
      </c>
      <c r="U269" s="2" t="s">
        <v>2375</v>
      </c>
      <c r="V269" s="162">
        <v>8.3000000000000001E-3</v>
      </c>
      <c r="W269" s="164">
        <v>2.0129999999999999E-2</v>
      </c>
      <c r="X269" s="4" t="s">
        <v>458</v>
      </c>
      <c r="Y269" s="4" t="s">
        <v>164</v>
      </c>
      <c r="Z269" s="150">
        <v>85685</v>
      </c>
      <c r="AA269" s="150">
        <v>1</v>
      </c>
      <c r="AB269" s="150">
        <v>110.75</v>
      </c>
      <c r="AD269" s="150">
        <v>94.896000000000001</v>
      </c>
      <c r="AG269" s="2" t="s">
        <v>37</v>
      </c>
      <c r="AH269" s="164">
        <v>2.8E-5</v>
      </c>
      <c r="AI269" s="164">
        <v>5.6691269887309903E-3</v>
      </c>
      <c r="AJ269" s="164">
        <v>6.7109718071738697E-4</v>
      </c>
    </row>
    <row r="270" spans="1:36">
      <c r="A270" s="2" t="s">
        <v>128</v>
      </c>
      <c r="B270" s="2">
        <v>7229</v>
      </c>
      <c r="C270" s="2" t="s">
        <v>1222</v>
      </c>
      <c r="D270" s="2" t="s">
        <v>1945</v>
      </c>
      <c r="E270" s="4" t="s">
        <v>1376</v>
      </c>
      <c r="F270" s="2" t="s">
        <v>2376</v>
      </c>
      <c r="G270" s="2" t="s">
        <v>2377</v>
      </c>
      <c r="H270" s="2" t="s">
        <v>367</v>
      </c>
      <c r="I270" s="2" t="s">
        <v>219</v>
      </c>
      <c r="J270" s="2" t="s">
        <v>31</v>
      </c>
      <c r="K270" s="2" t="s">
        <v>31</v>
      </c>
      <c r="L270" s="2" t="s">
        <v>373</v>
      </c>
      <c r="M270" s="2" t="s">
        <v>32</v>
      </c>
      <c r="N270" s="2" t="s">
        <v>491</v>
      </c>
      <c r="O270" s="2" t="s">
        <v>164</v>
      </c>
      <c r="P270" s="2" t="s">
        <v>216</v>
      </c>
      <c r="Q270" s="2" t="s">
        <v>217</v>
      </c>
      <c r="R270" s="2" t="s">
        <v>452</v>
      </c>
      <c r="S270" s="2" t="s">
        <v>35</v>
      </c>
      <c r="T270" s="150">
        <v>5.3860000000000001</v>
      </c>
      <c r="U270" s="2" t="s">
        <v>2378</v>
      </c>
      <c r="V270" s="162">
        <v>1E-3</v>
      </c>
      <c r="W270" s="164">
        <v>2.564E-2</v>
      </c>
      <c r="X270" s="4" t="s">
        <v>458</v>
      </c>
      <c r="Y270" s="4" t="s">
        <v>164</v>
      </c>
      <c r="Z270" s="150">
        <v>300000</v>
      </c>
      <c r="AA270" s="150">
        <v>1</v>
      </c>
      <c r="AB270" s="150">
        <v>97.13</v>
      </c>
      <c r="AD270" s="150">
        <v>291.39</v>
      </c>
      <c r="AG270" s="2" t="s">
        <v>37</v>
      </c>
      <c r="AH270" s="164">
        <v>1.21E-4</v>
      </c>
      <c r="AI270" s="164">
        <v>1.7407736044539501E-2</v>
      </c>
      <c r="AJ270" s="164">
        <v>2.0606845825441502E-3</v>
      </c>
    </row>
    <row r="271" spans="1:36">
      <c r="A271" s="2" t="s">
        <v>128</v>
      </c>
      <c r="B271" s="2">
        <v>7229</v>
      </c>
      <c r="C271" s="2" t="s">
        <v>2144</v>
      </c>
      <c r="D271" s="2" t="s">
        <v>2145</v>
      </c>
      <c r="E271" s="4" t="s">
        <v>1376</v>
      </c>
      <c r="F271" s="2" t="s">
        <v>2379</v>
      </c>
      <c r="G271" s="2" t="s">
        <v>2380</v>
      </c>
      <c r="H271" s="2" t="s">
        <v>367</v>
      </c>
      <c r="I271" s="2" t="s">
        <v>219</v>
      </c>
      <c r="J271" s="2" t="s">
        <v>31</v>
      </c>
      <c r="K271" s="2" t="s">
        <v>31</v>
      </c>
      <c r="L271" s="2" t="s">
        <v>373</v>
      </c>
      <c r="M271" s="2" t="s">
        <v>32</v>
      </c>
      <c r="N271" s="2" t="s">
        <v>507</v>
      </c>
      <c r="O271" s="2" t="s">
        <v>164</v>
      </c>
      <c r="P271" s="2" t="s">
        <v>2381</v>
      </c>
      <c r="Q271" s="2" t="s">
        <v>98</v>
      </c>
      <c r="R271" s="2" t="s">
        <v>452</v>
      </c>
      <c r="S271" s="2" t="s">
        <v>35</v>
      </c>
      <c r="T271" s="150">
        <v>6.0549999999999997</v>
      </c>
      <c r="U271" s="2" t="s">
        <v>2320</v>
      </c>
      <c r="V271" s="162">
        <v>3.5000000000000001E-3</v>
      </c>
      <c r="W271" s="164">
        <v>3.6319999999999998E-2</v>
      </c>
      <c r="X271" s="4" t="s">
        <v>458</v>
      </c>
      <c r="Y271" s="4" t="s">
        <v>164</v>
      </c>
      <c r="Z271" s="150">
        <v>200000</v>
      </c>
      <c r="AA271" s="150">
        <v>1</v>
      </c>
      <c r="AB271" s="150">
        <v>90.9</v>
      </c>
      <c r="AD271" s="150">
        <v>181.8</v>
      </c>
      <c r="AG271" s="2" t="s">
        <v>37</v>
      </c>
      <c r="AH271" s="164">
        <v>5.7000000000000003E-5</v>
      </c>
      <c r="AI271" s="164">
        <v>1.08607927962431E-2</v>
      </c>
      <c r="AJ271" s="164">
        <v>1.28567369198163E-3</v>
      </c>
    </row>
    <row r="272" spans="1:36">
      <c r="A272" s="2" t="s">
        <v>128</v>
      </c>
      <c r="B272" s="2">
        <v>7229</v>
      </c>
      <c r="C272" s="2" t="s">
        <v>2382</v>
      </c>
      <c r="D272" s="2" t="s">
        <v>2383</v>
      </c>
      <c r="E272" s="4" t="s">
        <v>1376</v>
      </c>
      <c r="F272" s="2" t="s">
        <v>2528</v>
      </c>
      <c r="G272" s="2" t="s">
        <v>2529</v>
      </c>
      <c r="H272" s="2" t="s">
        <v>367</v>
      </c>
      <c r="I272" s="2" t="s">
        <v>1010</v>
      </c>
      <c r="J272" s="2" t="s">
        <v>31</v>
      </c>
      <c r="K272" s="2" t="s">
        <v>31</v>
      </c>
      <c r="L272" s="2" t="s">
        <v>373</v>
      </c>
      <c r="M272" s="2" t="s">
        <v>32</v>
      </c>
      <c r="N272" s="2" t="s">
        <v>488</v>
      </c>
      <c r="O272" s="2" t="s">
        <v>164</v>
      </c>
      <c r="P272" s="2" t="s">
        <v>1380</v>
      </c>
      <c r="Q272" s="2" t="s">
        <v>98</v>
      </c>
      <c r="R272" s="2" t="s">
        <v>452</v>
      </c>
      <c r="S272" s="2" t="s">
        <v>35</v>
      </c>
      <c r="T272" s="150">
        <v>2.38</v>
      </c>
      <c r="U272" s="2" t="s">
        <v>2394</v>
      </c>
      <c r="V272" s="162">
        <v>4.1000000000000002E-2</v>
      </c>
      <c r="W272" s="164">
        <v>5.3969999999999997E-2</v>
      </c>
      <c r="X272" s="4" t="s">
        <v>458</v>
      </c>
      <c r="Y272" s="4" t="s">
        <v>164</v>
      </c>
      <c r="Z272" s="150">
        <v>200000</v>
      </c>
      <c r="AA272" s="150">
        <v>1</v>
      </c>
      <c r="AB272" s="150">
        <v>98.89</v>
      </c>
      <c r="AD272" s="150">
        <v>197.78</v>
      </c>
      <c r="AG272" s="2" t="s">
        <v>37</v>
      </c>
      <c r="AH272" s="164">
        <v>2.7999999999999998E-4</v>
      </c>
      <c r="AI272" s="164">
        <v>1.18154433401593E-2</v>
      </c>
      <c r="AJ272" s="164">
        <v>1.39868285368606E-3</v>
      </c>
    </row>
    <row r="273" spans="1:36">
      <c r="A273" s="2" t="s">
        <v>128</v>
      </c>
      <c r="B273" s="2">
        <v>7229</v>
      </c>
      <c r="C273" s="2" t="s">
        <v>1948</v>
      </c>
      <c r="D273" s="2" t="s">
        <v>1949</v>
      </c>
      <c r="E273" s="4" t="s">
        <v>1376</v>
      </c>
      <c r="F273" s="2" t="s">
        <v>2387</v>
      </c>
      <c r="G273" s="2" t="s">
        <v>2388</v>
      </c>
      <c r="H273" s="2" t="s">
        <v>367</v>
      </c>
      <c r="I273" s="2" t="s">
        <v>1010</v>
      </c>
      <c r="J273" s="2" t="s">
        <v>31</v>
      </c>
      <c r="K273" s="2" t="s">
        <v>31</v>
      </c>
      <c r="L273" s="2" t="s">
        <v>373</v>
      </c>
      <c r="M273" s="2" t="s">
        <v>32</v>
      </c>
      <c r="N273" s="2" t="s">
        <v>507</v>
      </c>
      <c r="O273" s="2" t="s">
        <v>164</v>
      </c>
      <c r="P273" s="2" t="s">
        <v>2217</v>
      </c>
      <c r="Q273" s="2" t="s">
        <v>98</v>
      </c>
      <c r="R273" s="2" t="s">
        <v>452</v>
      </c>
      <c r="S273" s="2" t="s">
        <v>35</v>
      </c>
      <c r="T273" s="150">
        <v>5.5549999999999997</v>
      </c>
      <c r="U273" s="2" t="s">
        <v>2389</v>
      </c>
      <c r="V273" s="162">
        <v>5.4800000000000001E-2</v>
      </c>
      <c r="W273" s="164">
        <v>6.3250000000000001E-2</v>
      </c>
      <c r="X273" s="4" t="s">
        <v>458</v>
      </c>
      <c r="Y273" s="4" t="s">
        <v>164</v>
      </c>
      <c r="Z273" s="150">
        <v>223000</v>
      </c>
      <c r="AA273" s="150">
        <v>1</v>
      </c>
      <c r="AB273" s="150">
        <v>95.98</v>
      </c>
      <c r="AD273" s="150">
        <v>214.035</v>
      </c>
      <c r="AG273" s="2" t="s">
        <v>37</v>
      </c>
      <c r="AH273" s="164">
        <v>7.4299999999999995E-4</v>
      </c>
      <c r="AI273" s="164">
        <v>1.2786546372172801E-2</v>
      </c>
      <c r="AJ273" s="164">
        <v>1.51363962009221E-3</v>
      </c>
    </row>
    <row r="274" spans="1:36">
      <c r="A274" s="2" t="s">
        <v>128</v>
      </c>
      <c r="B274" s="2">
        <v>7229</v>
      </c>
      <c r="C274" s="2" t="s">
        <v>2390</v>
      </c>
      <c r="D274" s="2" t="s">
        <v>2391</v>
      </c>
      <c r="E274" s="4" t="s">
        <v>1376</v>
      </c>
      <c r="F274" s="2" t="s">
        <v>2392</v>
      </c>
      <c r="G274" s="2" t="s">
        <v>2393</v>
      </c>
      <c r="H274" s="2" t="s">
        <v>367</v>
      </c>
      <c r="I274" s="2" t="s">
        <v>219</v>
      </c>
      <c r="J274" s="2" t="s">
        <v>31</v>
      </c>
      <c r="K274" s="2" t="s">
        <v>31</v>
      </c>
      <c r="L274" s="2" t="s">
        <v>373</v>
      </c>
      <c r="M274" s="2" t="s">
        <v>32</v>
      </c>
      <c r="N274" s="2" t="s">
        <v>507</v>
      </c>
      <c r="O274" s="2" t="s">
        <v>164</v>
      </c>
      <c r="P274" s="2" t="s">
        <v>2228</v>
      </c>
      <c r="Q274" s="2" t="s">
        <v>217</v>
      </c>
      <c r="R274" s="2" t="s">
        <v>452</v>
      </c>
      <c r="S274" s="2" t="s">
        <v>35</v>
      </c>
      <c r="T274" s="150">
        <v>2.4910000000000001</v>
      </c>
      <c r="U274" s="2" t="s">
        <v>2394</v>
      </c>
      <c r="V274" s="162">
        <v>3.0000000000000001E-3</v>
      </c>
      <c r="W274" s="164">
        <v>3.322E-2</v>
      </c>
      <c r="X274" s="4" t="s">
        <v>458</v>
      </c>
      <c r="Y274" s="4" t="s">
        <v>164</v>
      </c>
      <c r="Z274" s="150">
        <v>138000</v>
      </c>
      <c r="AA274" s="150">
        <v>1</v>
      </c>
      <c r="AB274" s="150">
        <v>94.71</v>
      </c>
      <c r="AD274" s="150">
        <v>130.69999999999999</v>
      </c>
      <c r="AG274" s="2" t="s">
        <v>37</v>
      </c>
      <c r="AH274" s="164">
        <v>4.57E-4</v>
      </c>
      <c r="AI274" s="164">
        <v>7.8080497596832296E-3</v>
      </c>
      <c r="AJ274" s="164">
        <v>9.2429754899482901E-4</v>
      </c>
    </row>
    <row r="275" spans="1:36">
      <c r="A275" s="2" t="s">
        <v>128</v>
      </c>
      <c r="B275" s="2">
        <v>7229</v>
      </c>
      <c r="C275" s="2" t="s">
        <v>2395</v>
      </c>
      <c r="D275" s="2" t="s">
        <v>2396</v>
      </c>
      <c r="E275" s="4" t="s">
        <v>1376</v>
      </c>
      <c r="F275" s="2" t="s">
        <v>2530</v>
      </c>
      <c r="G275" s="2" t="s">
        <v>2531</v>
      </c>
      <c r="H275" s="2" t="s">
        <v>367</v>
      </c>
      <c r="I275" s="2" t="s">
        <v>1010</v>
      </c>
      <c r="J275" s="2" t="s">
        <v>31</v>
      </c>
      <c r="K275" s="2" t="s">
        <v>31</v>
      </c>
      <c r="L275" s="2" t="s">
        <v>373</v>
      </c>
      <c r="M275" s="2" t="s">
        <v>32</v>
      </c>
      <c r="N275" s="2" t="s">
        <v>491</v>
      </c>
      <c r="O275" s="2" t="s">
        <v>164</v>
      </c>
      <c r="P275" s="2" t="s">
        <v>97</v>
      </c>
      <c r="Q275" s="2" t="s">
        <v>98</v>
      </c>
      <c r="R275" s="2" t="s">
        <v>452</v>
      </c>
      <c r="S275" s="2" t="s">
        <v>35</v>
      </c>
      <c r="T275" s="150">
        <v>0.93400000000000005</v>
      </c>
      <c r="U275" s="2" t="s">
        <v>2532</v>
      </c>
      <c r="V275" s="162">
        <v>2.98E-2</v>
      </c>
      <c r="W275" s="164">
        <v>4.4900000000000002E-2</v>
      </c>
      <c r="X275" s="4" t="s">
        <v>458</v>
      </c>
      <c r="Y275" s="4" t="s">
        <v>164</v>
      </c>
      <c r="Z275" s="150">
        <v>200000</v>
      </c>
      <c r="AA275" s="150">
        <v>1</v>
      </c>
      <c r="AB275" s="150">
        <v>98.82</v>
      </c>
      <c r="AD275" s="150">
        <v>197.64</v>
      </c>
      <c r="AG275" s="2" t="s">
        <v>37</v>
      </c>
      <c r="AH275" s="164">
        <v>7.8999999999999996E-5</v>
      </c>
      <c r="AI275" s="164">
        <v>1.18070796933415E-2</v>
      </c>
      <c r="AJ275" s="164">
        <v>1.3976927859364601E-3</v>
      </c>
    </row>
    <row r="276" spans="1:36">
      <c r="A276" s="2" t="s">
        <v>128</v>
      </c>
      <c r="B276" s="2">
        <v>7229</v>
      </c>
      <c r="C276" s="2" t="s">
        <v>2395</v>
      </c>
      <c r="D276" s="2" t="s">
        <v>2396</v>
      </c>
      <c r="E276" s="4" t="s">
        <v>1376</v>
      </c>
      <c r="F276" s="2" t="s">
        <v>2397</v>
      </c>
      <c r="G276" s="2" t="s">
        <v>2398</v>
      </c>
      <c r="H276" s="2" t="s">
        <v>367</v>
      </c>
      <c r="I276" s="2" t="s">
        <v>219</v>
      </c>
      <c r="J276" s="2" t="s">
        <v>31</v>
      </c>
      <c r="K276" s="2" t="s">
        <v>31</v>
      </c>
      <c r="L276" s="2" t="s">
        <v>373</v>
      </c>
      <c r="M276" s="2" t="s">
        <v>32</v>
      </c>
      <c r="N276" s="2" t="s">
        <v>491</v>
      </c>
      <c r="O276" s="2" t="s">
        <v>164</v>
      </c>
      <c r="P276" s="2" t="s">
        <v>1387</v>
      </c>
      <c r="Q276" s="2" t="s">
        <v>217</v>
      </c>
      <c r="R276" s="2" t="s">
        <v>452</v>
      </c>
      <c r="S276" s="2" t="s">
        <v>35</v>
      </c>
      <c r="T276" s="150">
        <v>4.6680000000000001</v>
      </c>
      <c r="U276" s="2" t="s">
        <v>2399</v>
      </c>
      <c r="V276" s="162">
        <v>3.3599999999999998E-2</v>
      </c>
      <c r="W276" s="164">
        <v>3.4770000000000002E-2</v>
      </c>
      <c r="X276" s="4" t="s">
        <v>458</v>
      </c>
      <c r="Y276" s="4" t="s">
        <v>164</v>
      </c>
      <c r="Z276" s="150">
        <v>200000</v>
      </c>
      <c r="AA276" s="150">
        <v>1</v>
      </c>
      <c r="AB276" s="150">
        <v>101.42</v>
      </c>
      <c r="AD276" s="150">
        <v>202.84</v>
      </c>
      <c r="AG276" s="2" t="s">
        <v>37</v>
      </c>
      <c r="AH276" s="164">
        <v>1.7100000000000001E-4</v>
      </c>
      <c r="AI276" s="164">
        <v>1.2117729432287901E-2</v>
      </c>
      <c r="AJ276" s="164">
        <v>1.43446673092163E-3</v>
      </c>
    </row>
    <row r="277" spans="1:36">
      <c r="A277" s="2" t="s">
        <v>128</v>
      </c>
      <c r="B277" s="2">
        <v>7229</v>
      </c>
      <c r="C277" s="2" t="s">
        <v>2395</v>
      </c>
      <c r="D277" s="2" t="s">
        <v>2396</v>
      </c>
      <c r="E277" s="4" t="s">
        <v>1376</v>
      </c>
      <c r="F277" s="2" t="s">
        <v>2400</v>
      </c>
      <c r="G277" s="2" t="s">
        <v>2401</v>
      </c>
      <c r="H277" s="2" t="s">
        <v>367</v>
      </c>
      <c r="I277" s="2" t="s">
        <v>219</v>
      </c>
      <c r="J277" s="2" t="s">
        <v>31</v>
      </c>
      <c r="K277" s="2" t="s">
        <v>31</v>
      </c>
      <c r="L277" s="2" t="s">
        <v>373</v>
      </c>
      <c r="M277" s="2" t="s">
        <v>32</v>
      </c>
      <c r="N277" s="2" t="s">
        <v>491</v>
      </c>
      <c r="O277" s="2" t="s">
        <v>164</v>
      </c>
      <c r="P277" s="2" t="s">
        <v>97</v>
      </c>
      <c r="Q277" s="2" t="s">
        <v>98</v>
      </c>
      <c r="R277" s="2" t="s">
        <v>452</v>
      </c>
      <c r="S277" s="2" t="s">
        <v>35</v>
      </c>
      <c r="T277" s="150">
        <v>0.24399999999999999</v>
      </c>
      <c r="U277" s="2" t="s">
        <v>2402</v>
      </c>
      <c r="V277" s="162">
        <v>8.6E-3</v>
      </c>
      <c r="W277" s="164">
        <v>2.4969999999999999E-2</v>
      </c>
      <c r="X277" s="4" t="s">
        <v>458</v>
      </c>
      <c r="Y277" s="4" t="s">
        <v>164</v>
      </c>
      <c r="Z277" s="150">
        <v>200000</v>
      </c>
      <c r="AA277" s="150">
        <v>1</v>
      </c>
      <c r="AB277" s="150">
        <v>114.94</v>
      </c>
      <c r="AD277" s="150">
        <v>229.88</v>
      </c>
      <c r="AG277" s="2" t="s">
        <v>37</v>
      </c>
      <c r="AH277" s="164">
        <v>8.0000000000000007E-5</v>
      </c>
      <c r="AI277" s="164">
        <v>1.37331080748095E-2</v>
      </c>
      <c r="AJ277" s="164">
        <v>1.6256912448445299E-3</v>
      </c>
    </row>
    <row r="278" spans="1:36">
      <c r="A278" s="2" t="s">
        <v>128</v>
      </c>
      <c r="B278" s="2">
        <v>7229</v>
      </c>
      <c r="C278" s="2" t="s">
        <v>2395</v>
      </c>
      <c r="D278" s="2" t="s">
        <v>2396</v>
      </c>
      <c r="E278" s="4" t="s">
        <v>1376</v>
      </c>
      <c r="F278" s="2" t="s">
        <v>2403</v>
      </c>
      <c r="G278" s="2" t="s">
        <v>2404</v>
      </c>
      <c r="H278" s="2" t="s">
        <v>367</v>
      </c>
      <c r="I278" s="2" t="s">
        <v>219</v>
      </c>
      <c r="J278" s="2" t="s">
        <v>31</v>
      </c>
      <c r="K278" s="2" t="s">
        <v>31</v>
      </c>
      <c r="L278" s="2" t="s">
        <v>373</v>
      </c>
      <c r="M278" s="2" t="s">
        <v>32</v>
      </c>
      <c r="N278" s="2" t="s">
        <v>491</v>
      </c>
      <c r="O278" s="2" t="s">
        <v>164</v>
      </c>
      <c r="P278" s="2" t="s">
        <v>97</v>
      </c>
      <c r="Q278" s="2" t="s">
        <v>98</v>
      </c>
      <c r="R278" s="2" t="s">
        <v>452</v>
      </c>
      <c r="S278" s="2" t="s">
        <v>35</v>
      </c>
      <c r="T278" s="150">
        <v>5.6340000000000003</v>
      </c>
      <c r="U278" s="2" t="s">
        <v>2405</v>
      </c>
      <c r="V278" s="162">
        <v>2.2013000000000001E-2</v>
      </c>
      <c r="W278" s="164">
        <v>2.7099999999999999E-2</v>
      </c>
      <c r="X278" s="4" t="s">
        <v>458</v>
      </c>
      <c r="Y278" s="4" t="s">
        <v>164</v>
      </c>
      <c r="Z278" s="150">
        <v>300000</v>
      </c>
      <c r="AA278" s="150">
        <v>1</v>
      </c>
      <c r="AB278" s="150">
        <v>113.5</v>
      </c>
      <c r="AD278" s="150">
        <v>340.5</v>
      </c>
      <c r="AG278" s="2" t="s">
        <v>37</v>
      </c>
      <c r="AH278" s="164">
        <v>4.2700000000000002E-4</v>
      </c>
      <c r="AI278" s="164">
        <v>2.0341583867551E-2</v>
      </c>
      <c r="AJ278" s="164">
        <v>2.4079862052791201E-3</v>
      </c>
    </row>
    <row r="279" spans="1:36">
      <c r="A279" s="2" t="s">
        <v>128</v>
      </c>
      <c r="B279" s="2">
        <v>7229</v>
      </c>
      <c r="C279" s="2" t="s">
        <v>1960</v>
      </c>
      <c r="D279" s="2" t="s">
        <v>1961</v>
      </c>
      <c r="E279" s="4" t="s">
        <v>1376</v>
      </c>
      <c r="F279" s="2" t="s">
        <v>2406</v>
      </c>
      <c r="G279" s="2" t="s">
        <v>2407</v>
      </c>
      <c r="H279" s="2" t="s">
        <v>367</v>
      </c>
      <c r="I279" s="2" t="s">
        <v>219</v>
      </c>
      <c r="J279" s="2" t="s">
        <v>31</v>
      </c>
      <c r="K279" s="2" t="s">
        <v>31</v>
      </c>
      <c r="L279" s="2" t="s">
        <v>373</v>
      </c>
      <c r="M279" s="2" t="s">
        <v>32</v>
      </c>
      <c r="N279" s="2" t="s">
        <v>507</v>
      </c>
      <c r="O279" s="2" t="s">
        <v>164</v>
      </c>
      <c r="P279" s="2" t="s">
        <v>2247</v>
      </c>
      <c r="Q279" s="2" t="s">
        <v>217</v>
      </c>
      <c r="R279" s="2" t="s">
        <v>452</v>
      </c>
      <c r="S279" s="2" t="s">
        <v>35</v>
      </c>
      <c r="T279" s="150">
        <v>6.2919999999999998</v>
      </c>
      <c r="U279" s="2" t="s">
        <v>2408</v>
      </c>
      <c r="V279" s="162">
        <v>3.61E-2</v>
      </c>
      <c r="W279" s="164">
        <v>3.6889999999999999E-2</v>
      </c>
      <c r="X279" s="4" t="s">
        <v>458</v>
      </c>
      <c r="Y279" s="4" t="s">
        <v>164</v>
      </c>
      <c r="Z279" s="150">
        <v>98989.9</v>
      </c>
      <c r="AA279" s="150">
        <v>1</v>
      </c>
      <c r="AB279" s="150">
        <v>103.82</v>
      </c>
      <c r="AC279" s="150">
        <v>2.9329999999999998</v>
      </c>
      <c r="AD279" s="150">
        <v>105.70399999999999</v>
      </c>
      <c r="AG279" s="2" t="s">
        <v>37</v>
      </c>
      <c r="AH279" s="164">
        <v>9.2E-5</v>
      </c>
      <c r="AI279" s="164">
        <v>6.3148021169364202E-3</v>
      </c>
      <c r="AJ279" s="164">
        <v>7.4753059966519504E-4</v>
      </c>
    </row>
    <row r="280" spans="1:36">
      <c r="A280" s="2" t="s">
        <v>128</v>
      </c>
      <c r="B280" s="2">
        <v>7229</v>
      </c>
      <c r="C280" s="2" t="s">
        <v>2163</v>
      </c>
      <c r="D280" s="2" t="s">
        <v>2164</v>
      </c>
      <c r="E280" s="4" t="s">
        <v>1376</v>
      </c>
      <c r="F280" s="2" t="s">
        <v>2591</v>
      </c>
      <c r="G280" s="2" t="s">
        <v>2592</v>
      </c>
      <c r="H280" s="2" t="s">
        <v>367</v>
      </c>
      <c r="I280" s="2" t="s">
        <v>219</v>
      </c>
      <c r="J280" s="2" t="s">
        <v>31</v>
      </c>
      <c r="K280" s="2" t="s">
        <v>31</v>
      </c>
      <c r="L280" s="2" t="s">
        <v>373</v>
      </c>
      <c r="M280" s="2" t="s">
        <v>32</v>
      </c>
      <c r="N280" s="2" t="s">
        <v>507</v>
      </c>
      <c r="O280" s="2" t="s">
        <v>164</v>
      </c>
      <c r="P280" s="2" t="s">
        <v>1392</v>
      </c>
      <c r="Q280" s="2" t="s">
        <v>98</v>
      </c>
      <c r="R280" s="2" t="s">
        <v>452</v>
      </c>
      <c r="S280" s="2" t="s">
        <v>35</v>
      </c>
      <c r="T280" s="150">
        <v>3.0230000000000001</v>
      </c>
      <c r="U280" s="2" t="s">
        <v>1371</v>
      </c>
      <c r="V280" s="162">
        <v>2.75E-2</v>
      </c>
      <c r="W280" s="164">
        <v>3.124E-2</v>
      </c>
      <c r="X280" s="4" t="s">
        <v>458</v>
      </c>
      <c r="Y280" s="4" t="s">
        <v>164</v>
      </c>
      <c r="Z280" s="150">
        <v>170000</v>
      </c>
      <c r="AA280" s="150">
        <v>1</v>
      </c>
      <c r="AB280" s="150">
        <v>111.38</v>
      </c>
      <c r="AD280" s="150">
        <v>189.346</v>
      </c>
      <c r="AG280" s="2" t="s">
        <v>37</v>
      </c>
      <c r="AH280" s="164">
        <v>3.1399999999999999E-4</v>
      </c>
      <c r="AI280" s="164">
        <v>1.13115933597219E-2</v>
      </c>
      <c r="AJ280" s="164">
        <v>1.33903834368511E-3</v>
      </c>
    </row>
    <row r="281" spans="1:36">
      <c r="A281" s="2" t="s">
        <v>128</v>
      </c>
      <c r="B281" s="2">
        <v>7229</v>
      </c>
      <c r="C281" s="2" t="s">
        <v>1968</v>
      </c>
      <c r="D281" s="2" t="s">
        <v>1518</v>
      </c>
      <c r="E281" s="4" t="s">
        <v>1376</v>
      </c>
      <c r="F281" s="2" t="s">
        <v>2409</v>
      </c>
      <c r="G281" s="2" t="s">
        <v>2410</v>
      </c>
      <c r="H281" s="2" t="s">
        <v>367</v>
      </c>
      <c r="I281" s="2" t="s">
        <v>1010</v>
      </c>
      <c r="J281" s="2" t="s">
        <v>31</v>
      </c>
      <c r="K281" s="2" t="s">
        <v>31</v>
      </c>
      <c r="L281" s="2" t="s">
        <v>373</v>
      </c>
      <c r="M281" s="2" t="s">
        <v>32</v>
      </c>
      <c r="N281" s="2" t="s">
        <v>486</v>
      </c>
      <c r="O281" s="2" t="s">
        <v>164</v>
      </c>
      <c r="P281" s="2" t="s">
        <v>2287</v>
      </c>
      <c r="Q281" s="2" t="s">
        <v>98</v>
      </c>
      <c r="R281" s="2" t="s">
        <v>452</v>
      </c>
      <c r="S281" s="2" t="s">
        <v>35</v>
      </c>
      <c r="T281" s="150">
        <v>1.1870000000000001</v>
      </c>
      <c r="U281" s="2" t="s">
        <v>2411</v>
      </c>
      <c r="V281" s="162">
        <v>0.114</v>
      </c>
      <c r="W281" s="164">
        <v>6.7919999999999994E-2</v>
      </c>
      <c r="X281" s="4" t="s">
        <v>458</v>
      </c>
      <c r="Y281" s="4" t="s">
        <v>164</v>
      </c>
      <c r="Z281" s="150">
        <v>484810</v>
      </c>
      <c r="AA281" s="150">
        <v>1</v>
      </c>
      <c r="AB281" s="150">
        <v>101.87</v>
      </c>
      <c r="AD281" s="150">
        <v>493.87599999999998</v>
      </c>
      <c r="AG281" s="2" t="s">
        <v>37</v>
      </c>
      <c r="AH281" s="164">
        <v>1.3439999999999999E-3</v>
      </c>
      <c r="AI281" s="164">
        <v>2.9504314232207601E-2</v>
      </c>
      <c r="AJ281" s="164">
        <v>3.4926474816304302E-3</v>
      </c>
    </row>
    <row r="282" spans="1:36">
      <c r="A282" s="2" t="s">
        <v>128</v>
      </c>
      <c r="B282" s="2">
        <v>7229</v>
      </c>
      <c r="C282" s="2" t="s">
        <v>2415</v>
      </c>
      <c r="D282" s="2" t="s">
        <v>2416</v>
      </c>
      <c r="E282" s="4" t="s">
        <v>1376</v>
      </c>
      <c r="F282" s="2" t="s">
        <v>2417</v>
      </c>
      <c r="G282" s="2" t="s">
        <v>2418</v>
      </c>
      <c r="H282" s="2" t="s">
        <v>367</v>
      </c>
      <c r="I282" s="2" t="s">
        <v>219</v>
      </c>
      <c r="J282" s="2" t="s">
        <v>31</v>
      </c>
      <c r="K282" s="2" t="s">
        <v>31</v>
      </c>
      <c r="L282" s="2" t="s">
        <v>373</v>
      </c>
      <c r="M282" s="2" t="s">
        <v>32</v>
      </c>
      <c r="N282" s="2" t="s">
        <v>490</v>
      </c>
      <c r="O282" s="2" t="s">
        <v>164</v>
      </c>
      <c r="P282" s="2" t="s">
        <v>1370</v>
      </c>
      <c r="Q282" s="2" t="s">
        <v>98</v>
      </c>
      <c r="R282" s="2" t="s">
        <v>452</v>
      </c>
      <c r="S282" s="2" t="s">
        <v>35</v>
      </c>
      <c r="T282" s="150">
        <v>3.911</v>
      </c>
      <c r="U282" s="2" t="s">
        <v>2419</v>
      </c>
      <c r="V282" s="162">
        <v>2.07E-2</v>
      </c>
      <c r="W282" s="164">
        <v>5.0009999999999999E-2</v>
      </c>
      <c r="X282" s="4" t="s">
        <v>458</v>
      </c>
      <c r="Y282" s="4" t="s">
        <v>164</v>
      </c>
      <c r="Z282" s="150">
        <v>274186.53999999998</v>
      </c>
      <c r="AA282" s="150">
        <v>1</v>
      </c>
      <c r="AB282" s="150">
        <v>98.87</v>
      </c>
      <c r="AD282" s="150">
        <v>271.08800000000002</v>
      </c>
      <c r="AG282" s="2" t="s">
        <v>37</v>
      </c>
      <c r="AH282" s="164">
        <v>5.7499999999999999E-4</v>
      </c>
      <c r="AI282" s="164">
        <v>1.6194901640903401E-2</v>
      </c>
      <c r="AJ282" s="164">
        <v>1.91711225640378E-3</v>
      </c>
    </row>
    <row r="283" spans="1:36">
      <c r="A283" s="2" t="s">
        <v>128</v>
      </c>
      <c r="B283" s="2">
        <v>7229</v>
      </c>
      <c r="C283" s="2" t="s">
        <v>2420</v>
      </c>
      <c r="D283" s="2" t="s">
        <v>2421</v>
      </c>
      <c r="E283" s="4" t="s">
        <v>1376</v>
      </c>
      <c r="F283" s="2" t="s">
        <v>2422</v>
      </c>
      <c r="G283" s="2" t="s">
        <v>2423</v>
      </c>
      <c r="H283" s="2" t="s">
        <v>367</v>
      </c>
      <c r="I283" s="2" t="s">
        <v>219</v>
      </c>
      <c r="J283" s="2" t="s">
        <v>31</v>
      </c>
      <c r="K283" s="2" t="s">
        <v>31</v>
      </c>
      <c r="L283" s="2" t="s">
        <v>373</v>
      </c>
      <c r="M283" s="2" t="s">
        <v>32</v>
      </c>
      <c r="N283" s="2" t="s">
        <v>521</v>
      </c>
      <c r="O283" s="2" t="s">
        <v>164</v>
      </c>
      <c r="P283" s="2" t="s">
        <v>216</v>
      </c>
      <c r="Q283" s="2" t="s">
        <v>217</v>
      </c>
      <c r="R283" s="2" t="s">
        <v>452</v>
      </c>
      <c r="S283" s="2" t="s">
        <v>35</v>
      </c>
      <c r="T283" s="150">
        <v>11.7</v>
      </c>
      <c r="U283" s="2" t="s">
        <v>2424</v>
      </c>
      <c r="V283" s="162">
        <v>2.07E-2</v>
      </c>
      <c r="W283" s="164">
        <v>3.2730000000000002E-2</v>
      </c>
      <c r="X283" s="4" t="s">
        <v>458</v>
      </c>
      <c r="Y283" s="4" t="s">
        <v>164</v>
      </c>
      <c r="Z283" s="150">
        <v>144244.68</v>
      </c>
      <c r="AA283" s="150">
        <v>1</v>
      </c>
      <c r="AB283" s="150">
        <v>97.32</v>
      </c>
      <c r="AD283" s="150">
        <v>140.37899999999999</v>
      </c>
      <c r="AG283" s="2" t="s">
        <v>37</v>
      </c>
      <c r="AH283" s="164">
        <v>3.1999999999999999E-5</v>
      </c>
      <c r="AI283" s="164">
        <v>8.3862837791957405E-3</v>
      </c>
      <c r="AJ283" s="164">
        <v>9.9274745690147693E-4</v>
      </c>
    </row>
    <row r="284" spans="1:36">
      <c r="A284" s="2" t="s">
        <v>128</v>
      </c>
      <c r="B284" s="2">
        <v>7229</v>
      </c>
      <c r="C284" s="2" t="s">
        <v>2425</v>
      </c>
      <c r="D284" s="2" t="s">
        <v>2426</v>
      </c>
      <c r="E284" s="4" t="s">
        <v>1376</v>
      </c>
      <c r="F284" s="2" t="s">
        <v>2427</v>
      </c>
      <c r="G284" s="2" t="s">
        <v>2428</v>
      </c>
      <c r="H284" s="2" t="s">
        <v>367</v>
      </c>
      <c r="I284" s="2" t="s">
        <v>1010</v>
      </c>
      <c r="J284" s="2" t="s">
        <v>31</v>
      </c>
      <c r="K284" s="2" t="s">
        <v>31</v>
      </c>
      <c r="L284" s="2" t="s">
        <v>373</v>
      </c>
      <c r="M284" s="2" t="s">
        <v>118</v>
      </c>
      <c r="N284" s="2" t="s">
        <v>497</v>
      </c>
      <c r="O284" s="2" t="s">
        <v>164</v>
      </c>
      <c r="P284" s="2" t="s">
        <v>2228</v>
      </c>
      <c r="Q284" s="2" t="s">
        <v>217</v>
      </c>
      <c r="R284" s="2" t="s">
        <v>452</v>
      </c>
      <c r="S284" s="2" t="s">
        <v>35</v>
      </c>
      <c r="T284" s="150">
        <v>3.8690000000000002</v>
      </c>
      <c r="U284" s="2" t="s">
        <v>2429</v>
      </c>
      <c r="V284" s="162">
        <v>6.7000000000000004E-2</v>
      </c>
      <c r="W284" s="164">
        <v>6.6000000000000003E-2</v>
      </c>
      <c r="X284" s="4" t="s">
        <v>458</v>
      </c>
      <c r="Y284" s="4" t="s">
        <v>164</v>
      </c>
      <c r="Z284" s="150">
        <v>67000</v>
      </c>
      <c r="AA284" s="150">
        <v>1</v>
      </c>
      <c r="AB284" s="150">
        <v>102.81</v>
      </c>
      <c r="AD284" s="150">
        <v>68.882999999999996</v>
      </c>
      <c r="AG284" s="2" t="s">
        <v>37</v>
      </c>
      <c r="AH284" s="164">
        <v>7.3999999999999996E-5</v>
      </c>
      <c r="AI284" s="164">
        <v>4.11507553325508E-3</v>
      </c>
      <c r="AJ284" s="164">
        <v>4.87132426967342E-4</v>
      </c>
    </row>
    <row r="285" spans="1:36">
      <c r="A285" s="2" t="s">
        <v>128</v>
      </c>
      <c r="B285" s="2">
        <v>7229</v>
      </c>
      <c r="C285" s="2" t="s">
        <v>2430</v>
      </c>
      <c r="D285" s="2" t="s">
        <v>2431</v>
      </c>
      <c r="E285" s="4" t="s">
        <v>1376</v>
      </c>
      <c r="F285" s="2" t="s">
        <v>2432</v>
      </c>
      <c r="G285" s="2" t="s">
        <v>2433</v>
      </c>
      <c r="H285" s="2" t="s">
        <v>367</v>
      </c>
      <c r="I285" s="2" t="s">
        <v>219</v>
      </c>
      <c r="J285" s="2" t="s">
        <v>31</v>
      </c>
      <c r="K285" s="2" t="s">
        <v>31</v>
      </c>
      <c r="L285" s="2" t="s">
        <v>373</v>
      </c>
      <c r="M285" s="2" t="s">
        <v>32</v>
      </c>
      <c r="N285" s="2" t="s">
        <v>484</v>
      </c>
      <c r="O285" s="2" t="s">
        <v>164</v>
      </c>
      <c r="P285" s="2" t="s">
        <v>1523</v>
      </c>
      <c r="Q285" s="2" t="s">
        <v>1523</v>
      </c>
      <c r="R285" s="2" t="s">
        <v>1523</v>
      </c>
      <c r="S285" s="2" t="s">
        <v>35</v>
      </c>
      <c r="T285" s="150">
        <v>2.7309999999999999</v>
      </c>
      <c r="U285" s="2" t="s">
        <v>1371</v>
      </c>
      <c r="V285" s="162">
        <v>1.4800000000000001E-2</v>
      </c>
      <c r="W285" s="164">
        <v>4.2779999999999999E-2</v>
      </c>
      <c r="X285" s="4" t="s">
        <v>458</v>
      </c>
      <c r="Y285" s="4" t="s">
        <v>164</v>
      </c>
      <c r="Z285" s="150">
        <v>117000</v>
      </c>
      <c r="AA285" s="150">
        <v>1</v>
      </c>
      <c r="AB285" s="150">
        <v>103.41</v>
      </c>
      <c r="AD285" s="150">
        <v>120.99</v>
      </c>
      <c r="AG285" s="2" t="s">
        <v>37</v>
      </c>
      <c r="AH285" s="164">
        <v>1.44E-4</v>
      </c>
      <c r="AI285" s="164">
        <v>7.2279651385017199E-3</v>
      </c>
      <c r="AJ285" s="164">
        <v>8.5562857145626598E-4</v>
      </c>
    </row>
    <row r="286" spans="1:36">
      <c r="A286" s="2" t="s">
        <v>128</v>
      </c>
      <c r="B286" s="2">
        <v>7229</v>
      </c>
      <c r="C286" s="2" t="s">
        <v>2430</v>
      </c>
      <c r="D286" s="2" t="s">
        <v>2431</v>
      </c>
      <c r="E286" s="4" t="s">
        <v>1376</v>
      </c>
      <c r="F286" s="2" t="s">
        <v>2434</v>
      </c>
      <c r="G286" s="2" t="s">
        <v>2435</v>
      </c>
      <c r="H286" s="2" t="s">
        <v>367</v>
      </c>
      <c r="I286" s="2" t="s">
        <v>1010</v>
      </c>
      <c r="J286" s="2" t="s">
        <v>31</v>
      </c>
      <c r="K286" s="2" t="s">
        <v>31</v>
      </c>
      <c r="L286" s="2" t="s">
        <v>373</v>
      </c>
      <c r="M286" s="2" t="s">
        <v>32</v>
      </c>
      <c r="N286" s="2" t="s">
        <v>484</v>
      </c>
      <c r="O286" s="2" t="s">
        <v>164</v>
      </c>
      <c r="P286" s="2" t="s">
        <v>1523</v>
      </c>
      <c r="Q286" s="2" t="s">
        <v>1523</v>
      </c>
      <c r="R286" s="2" t="s">
        <v>1523</v>
      </c>
      <c r="S286" s="2" t="s">
        <v>35</v>
      </c>
      <c r="T286" s="150">
        <v>3.85</v>
      </c>
      <c r="U286" s="2" t="s">
        <v>2436</v>
      </c>
      <c r="V286" s="162">
        <v>6.9500000000000006E-2</v>
      </c>
      <c r="W286" s="164">
        <v>6.7629999999999996E-2</v>
      </c>
      <c r="X286" s="4" t="s">
        <v>458</v>
      </c>
      <c r="Y286" s="4" t="s">
        <v>164</v>
      </c>
      <c r="Z286" s="150">
        <v>140000</v>
      </c>
      <c r="AA286" s="150">
        <v>1</v>
      </c>
      <c r="AB286" s="150">
        <v>101.13</v>
      </c>
      <c r="AD286" s="150">
        <v>141.58199999999999</v>
      </c>
      <c r="AG286" s="2" t="s">
        <v>37</v>
      </c>
      <c r="AH286" s="164">
        <v>2.5000000000000001E-4</v>
      </c>
      <c r="AI286" s="164">
        <v>8.4581560268299702E-3</v>
      </c>
      <c r="AJ286" s="164">
        <v>1.0012555151713001E-3</v>
      </c>
    </row>
    <row r="287" spans="1:36">
      <c r="A287" s="2" t="s">
        <v>128</v>
      </c>
      <c r="B287" s="2">
        <v>7229</v>
      </c>
      <c r="C287" s="2" t="s">
        <v>2533</v>
      </c>
      <c r="D287" s="2" t="s">
        <v>2534</v>
      </c>
      <c r="E287" s="4" t="s">
        <v>1376</v>
      </c>
      <c r="F287" s="2" t="s">
        <v>2535</v>
      </c>
      <c r="G287" s="2" t="s">
        <v>2536</v>
      </c>
      <c r="H287" s="2" t="s">
        <v>367</v>
      </c>
      <c r="I287" s="2" t="s">
        <v>219</v>
      </c>
      <c r="J287" s="2" t="s">
        <v>31</v>
      </c>
      <c r="K287" s="2" t="s">
        <v>31</v>
      </c>
      <c r="L287" s="2" t="s">
        <v>373</v>
      </c>
      <c r="M287" s="2" t="s">
        <v>32</v>
      </c>
      <c r="N287" s="2" t="s">
        <v>507</v>
      </c>
      <c r="O287" s="2" t="s">
        <v>164</v>
      </c>
      <c r="P287" s="2" t="s">
        <v>97</v>
      </c>
      <c r="Q287" s="2" t="s">
        <v>98</v>
      </c>
      <c r="R287" s="2" t="s">
        <v>452</v>
      </c>
      <c r="S287" s="2" t="s">
        <v>35</v>
      </c>
      <c r="T287" s="150">
        <v>1.7070000000000001</v>
      </c>
      <c r="U287" s="2" t="s">
        <v>2394</v>
      </c>
      <c r="V287" s="162">
        <v>8.3000000000000001E-3</v>
      </c>
      <c r="W287" s="164">
        <v>2.0580000000000001E-2</v>
      </c>
      <c r="X287" s="4" t="s">
        <v>458</v>
      </c>
      <c r="Y287" s="4" t="s">
        <v>164</v>
      </c>
      <c r="Z287" s="150">
        <v>232500</v>
      </c>
      <c r="AA287" s="150">
        <v>1</v>
      </c>
      <c r="AB287" s="150">
        <v>111.94</v>
      </c>
      <c r="AD287" s="150">
        <v>260.26</v>
      </c>
      <c r="AG287" s="2" t="s">
        <v>37</v>
      </c>
      <c r="AH287" s="164">
        <v>1.9599999999999999E-4</v>
      </c>
      <c r="AI287" s="164">
        <v>1.5548049304436901E-2</v>
      </c>
      <c r="AJ287" s="164">
        <v>1.84053948246416E-3</v>
      </c>
    </row>
    <row r="288" spans="1:36">
      <c r="A288" s="2" t="s">
        <v>128</v>
      </c>
      <c r="B288" s="2">
        <v>7229</v>
      </c>
      <c r="C288" s="2" t="s">
        <v>2437</v>
      </c>
      <c r="D288" s="2" t="s">
        <v>2438</v>
      </c>
      <c r="E288" s="4" t="s">
        <v>360</v>
      </c>
      <c r="F288" s="2" t="s">
        <v>2439</v>
      </c>
      <c r="G288" s="2" t="s">
        <v>2440</v>
      </c>
      <c r="H288" s="2" t="s">
        <v>367</v>
      </c>
      <c r="I288" s="2" t="s">
        <v>1010</v>
      </c>
      <c r="J288" s="2" t="s">
        <v>31</v>
      </c>
      <c r="K288" s="2" t="s">
        <v>31</v>
      </c>
      <c r="L288" s="2" t="s">
        <v>373</v>
      </c>
      <c r="M288" s="2" t="s">
        <v>118</v>
      </c>
      <c r="N288" s="2" t="s">
        <v>508</v>
      </c>
      <c r="O288" s="2" t="s">
        <v>164</v>
      </c>
      <c r="P288" s="2" t="s">
        <v>2247</v>
      </c>
      <c r="Q288" s="2" t="s">
        <v>217</v>
      </c>
      <c r="R288" s="2" t="s">
        <v>452</v>
      </c>
      <c r="S288" s="2" t="s">
        <v>35</v>
      </c>
      <c r="T288" s="150">
        <v>4.1710000000000003</v>
      </c>
      <c r="U288" s="2" t="s">
        <v>2441</v>
      </c>
      <c r="V288" s="162">
        <v>6.25E-2</v>
      </c>
      <c r="W288" s="164">
        <v>6.5070000000000003E-2</v>
      </c>
      <c r="X288" s="4" t="s">
        <v>458</v>
      </c>
      <c r="Y288" s="4" t="s">
        <v>164</v>
      </c>
      <c r="Z288" s="150">
        <v>215398</v>
      </c>
      <c r="AA288" s="150">
        <v>1</v>
      </c>
      <c r="AB288" s="150">
        <v>100.1</v>
      </c>
      <c r="AD288" s="150">
        <v>215.613</v>
      </c>
      <c r="AG288" s="2" t="s">
        <v>37</v>
      </c>
      <c r="AH288" s="164">
        <v>3.9199999999999999E-4</v>
      </c>
      <c r="AI288" s="164">
        <v>1.28808165003954E-2</v>
      </c>
      <c r="AJ288" s="164">
        <v>1.52479908386889E-3</v>
      </c>
    </row>
    <row r="289" spans="1:36">
      <c r="A289" s="2" t="s">
        <v>128</v>
      </c>
      <c r="B289" s="2">
        <v>7229</v>
      </c>
      <c r="C289" s="2" t="s">
        <v>2442</v>
      </c>
      <c r="D289" s="2" t="s">
        <v>2443</v>
      </c>
      <c r="E289" s="4" t="s">
        <v>359</v>
      </c>
      <c r="F289" s="2" t="s">
        <v>2444</v>
      </c>
      <c r="G289" s="2" t="s">
        <v>2445</v>
      </c>
      <c r="H289" s="2" t="s">
        <v>367</v>
      </c>
      <c r="I289" s="2" t="s">
        <v>1010</v>
      </c>
      <c r="J289" s="2" t="s">
        <v>94</v>
      </c>
      <c r="K289" s="2" t="s">
        <v>95</v>
      </c>
      <c r="L289" s="2" t="s">
        <v>373</v>
      </c>
      <c r="M289" s="2" t="s">
        <v>32</v>
      </c>
      <c r="N289" s="2" t="s">
        <v>508</v>
      </c>
      <c r="O289" s="2" t="s">
        <v>164</v>
      </c>
      <c r="P289" s="2" t="s">
        <v>2247</v>
      </c>
      <c r="Q289" s="2" t="s">
        <v>217</v>
      </c>
      <c r="R289" s="2" t="s">
        <v>452</v>
      </c>
      <c r="S289" s="2" t="s">
        <v>35</v>
      </c>
      <c r="T289" s="150">
        <v>2.3809999999999998</v>
      </c>
      <c r="U289" s="2" t="s">
        <v>1371</v>
      </c>
      <c r="V289" s="162">
        <v>3.49E-2</v>
      </c>
      <c r="W289" s="164">
        <v>6.8019999999999997E-2</v>
      </c>
      <c r="X289" s="4" t="s">
        <v>458</v>
      </c>
      <c r="Y289" s="4" t="s">
        <v>164</v>
      </c>
      <c r="Z289" s="150">
        <v>326575</v>
      </c>
      <c r="AA289" s="150">
        <v>1</v>
      </c>
      <c r="AB289" s="150">
        <v>92.43</v>
      </c>
      <c r="AD289" s="150">
        <v>301.85300000000001</v>
      </c>
      <c r="AG289" s="2" t="s">
        <v>37</v>
      </c>
      <c r="AH289" s="164">
        <v>3.4499999999999998E-4</v>
      </c>
      <c r="AI289" s="164">
        <v>1.80328154427415E-2</v>
      </c>
      <c r="AJ289" s="164">
        <v>2.13467993009797E-3</v>
      </c>
    </row>
    <row r="290" spans="1:36">
      <c r="A290" s="2" t="s">
        <v>128</v>
      </c>
      <c r="B290" s="2">
        <v>7229</v>
      </c>
      <c r="C290" s="2" t="s">
        <v>1987</v>
      </c>
      <c r="D290" s="2" t="s">
        <v>1988</v>
      </c>
      <c r="E290" s="4" t="s">
        <v>1376</v>
      </c>
      <c r="F290" s="2" t="s">
        <v>2446</v>
      </c>
      <c r="G290" s="2" t="s">
        <v>2447</v>
      </c>
      <c r="H290" s="2" t="s">
        <v>367</v>
      </c>
      <c r="I290" s="2" t="s">
        <v>1010</v>
      </c>
      <c r="J290" s="2" t="s">
        <v>31</v>
      </c>
      <c r="K290" s="2" t="s">
        <v>31</v>
      </c>
      <c r="L290" s="2" t="s">
        <v>373</v>
      </c>
      <c r="M290" s="2" t="s">
        <v>32</v>
      </c>
      <c r="N290" s="2" t="s">
        <v>528</v>
      </c>
      <c r="O290" s="2" t="s">
        <v>164</v>
      </c>
      <c r="P290" s="2" t="s">
        <v>2258</v>
      </c>
      <c r="Q290" s="2" t="s">
        <v>217</v>
      </c>
      <c r="R290" s="2" t="s">
        <v>452</v>
      </c>
      <c r="S290" s="2" t="s">
        <v>35</v>
      </c>
      <c r="T290" s="150">
        <v>3.49</v>
      </c>
      <c r="U290" s="2" t="s">
        <v>2448</v>
      </c>
      <c r="V290" s="162">
        <v>4.7300000000000002E-2</v>
      </c>
      <c r="W290" s="164">
        <v>5.6939999999999998E-2</v>
      </c>
      <c r="X290" s="4" t="s">
        <v>458</v>
      </c>
      <c r="Y290" s="4" t="s">
        <v>164</v>
      </c>
      <c r="Z290" s="150">
        <v>300000</v>
      </c>
      <c r="AA290" s="150">
        <v>1</v>
      </c>
      <c r="AB290" s="150">
        <v>96.96</v>
      </c>
      <c r="AC290" s="150">
        <v>7.0949999999999998</v>
      </c>
      <c r="AD290" s="150">
        <v>297.97500000000002</v>
      </c>
      <c r="AG290" s="2" t="s">
        <v>37</v>
      </c>
      <c r="AH290" s="164">
        <v>7.6000000000000004E-4</v>
      </c>
      <c r="AI290" s="164">
        <v>1.7801126146647601E-2</v>
      </c>
      <c r="AJ290" s="164">
        <v>2.1072531263378702E-3</v>
      </c>
    </row>
    <row r="291" spans="1:36">
      <c r="A291" s="2" t="s">
        <v>128</v>
      </c>
      <c r="B291" s="2">
        <v>7229</v>
      </c>
      <c r="C291" s="2" t="s">
        <v>1991</v>
      </c>
      <c r="D291" s="2" t="s">
        <v>1992</v>
      </c>
      <c r="E291" s="4" t="s">
        <v>1376</v>
      </c>
      <c r="F291" s="2" t="s">
        <v>2449</v>
      </c>
      <c r="G291" s="2" t="s">
        <v>2450</v>
      </c>
      <c r="H291" s="2" t="s">
        <v>367</v>
      </c>
      <c r="I291" s="2" t="s">
        <v>219</v>
      </c>
      <c r="J291" s="2" t="s">
        <v>31</v>
      </c>
      <c r="K291" s="2" t="s">
        <v>31</v>
      </c>
      <c r="L291" s="2" t="s">
        <v>373</v>
      </c>
      <c r="M291" s="2" t="s">
        <v>32</v>
      </c>
      <c r="N291" s="2" t="s">
        <v>507</v>
      </c>
      <c r="O291" s="2" t="s">
        <v>164</v>
      </c>
      <c r="P291" s="2" t="s">
        <v>2451</v>
      </c>
      <c r="Q291" s="2" t="s">
        <v>98</v>
      </c>
      <c r="R291" s="2" t="s">
        <v>452</v>
      </c>
      <c r="S291" s="2" t="s">
        <v>35</v>
      </c>
      <c r="T291" s="150">
        <v>2.7959999999999998</v>
      </c>
      <c r="U291" s="2" t="s">
        <v>1516</v>
      </c>
      <c r="V291" s="162">
        <v>1.77E-2</v>
      </c>
      <c r="W291" s="164">
        <v>2.615E-2</v>
      </c>
      <c r="X291" s="4" t="s">
        <v>458</v>
      </c>
      <c r="Y291" s="4" t="s">
        <v>164</v>
      </c>
      <c r="Z291" s="150">
        <v>160000</v>
      </c>
      <c r="AA291" s="150">
        <v>1</v>
      </c>
      <c r="AB291" s="150">
        <v>110.8</v>
      </c>
      <c r="AD291" s="150">
        <v>177.28</v>
      </c>
      <c r="AG291" s="2" t="s">
        <v>37</v>
      </c>
      <c r="AH291" s="164">
        <v>5.8E-5</v>
      </c>
      <c r="AI291" s="164">
        <v>1.0590766484697299E-2</v>
      </c>
      <c r="AJ291" s="164">
        <v>1.2537086474945099E-3</v>
      </c>
    </row>
    <row r="292" spans="1:36">
      <c r="A292" s="2" t="s">
        <v>128</v>
      </c>
      <c r="B292" s="2">
        <v>7229</v>
      </c>
      <c r="C292" s="2" t="s">
        <v>1991</v>
      </c>
      <c r="D292" s="2" t="s">
        <v>1992</v>
      </c>
      <c r="E292" s="4" t="s">
        <v>1376</v>
      </c>
      <c r="F292" s="2" t="s">
        <v>2452</v>
      </c>
      <c r="G292" s="2" t="s">
        <v>2453</v>
      </c>
      <c r="H292" s="2" t="s">
        <v>367</v>
      </c>
      <c r="I292" s="2" t="s">
        <v>219</v>
      </c>
      <c r="J292" s="2" t="s">
        <v>31</v>
      </c>
      <c r="K292" s="2" t="s">
        <v>31</v>
      </c>
      <c r="L292" s="2" t="s">
        <v>373</v>
      </c>
      <c r="M292" s="2" t="s">
        <v>32</v>
      </c>
      <c r="N292" s="2" t="s">
        <v>507</v>
      </c>
      <c r="O292" s="2" t="s">
        <v>164</v>
      </c>
      <c r="P292" s="2" t="s">
        <v>1555</v>
      </c>
      <c r="Q292" s="2" t="s">
        <v>217</v>
      </c>
      <c r="R292" s="2" t="s">
        <v>452</v>
      </c>
      <c r="S292" s="2" t="s">
        <v>35</v>
      </c>
      <c r="T292" s="150">
        <v>10.566000000000001</v>
      </c>
      <c r="U292" s="2" t="s">
        <v>2454</v>
      </c>
      <c r="V292" s="162">
        <v>1.6899999999999998E-2</v>
      </c>
      <c r="W292" s="164">
        <v>3.8179999999999999E-2</v>
      </c>
      <c r="X292" s="4" t="s">
        <v>458</v>
      </c>
      <c r="Y292" s="4" t="s">
        <v>164</v>
      </c>
      <c r="Z292" s="150">
        <v>226074</v>
      </c>
      <c r="AA292" s="150">
        <v>1</v>
      </c>
      <c r="AB292" s="150">
        <v>89.8</v>
      </c>
      <c r="AC292" s="150">
        <v>2.137</v>
      </c>
      <c r="AD292" s="150">
        <v>205.15100000000001</v>
      </c>
      <c r="AG292" s="2" t="s">
        <v>37</v>
      </c>
      <c r="AH292" s="164">
        <v>5.1999999999999997E-5</v>
      </c>
      <c r="AI292" s="164">
        <v>1.2255802010066799E-2</v>
      </c>
      <c r="AJ292" s="164">
        <v>1.45081141994799E-3</v>
      </c>
    </row>
    <row r="293" spans="1:36">
      <c r="A293" s="2" t="s">
        <v>128</v>
      </c>
      <c r="B293" s="2">
        <v>7229</v>
      </c>
      <c r="C293" s="2" t="s">
        <v>1995</v>
      </c>
      <c r="D293" s="2" t="s">
        <v>1996</v>
      </c>
      <c r="E293" s="4" t="s">
        <v>1376</v>
      </c>
      <c r="F293" s="2" t="s">
        <v>2455</v>
      </c>
      <c r="G293" s="2" t="s">
        <v>2456</v>
      </c>
      <c r="H293" s="2" t="s">
        <v>367</v>
      </c>
      <c r="I293" s="2" t="s">
        <v>219</v>
      </c>
      <c r="J293" s="2" t="s">
        <v>31</v>
      </c>
      <c r="K293" s="2" t="s">
        <v>31</v>
      </c>
      <c r="L293" s="2" t="s">
        <v>373</v>
      </c>
      <c r="M293" s="2" t="s">
        <v>32</v>
      </c>
      <c r="N293" s="2" t="s">
        <v>491</v>
      </c>
      <c r="O293" s="2" t="s">
        <v>164</v>
      </c>
      <c r="P293" s="2" t="s">
        <v>1387</v>
      </c>
      <c r="Q293" s="2" t="s">
        <v>217</v>
      </c>
      <c r="R293" s="2" t="s">
        <v>452</v>
      </c>
      <c r="S293" s="2" t="s">
        <v>35</v>
      </c>
      <c r="T293" s="150">
        <v>4.9290000000000003</v>
      </c>
      <c r="U293" s="2" t="s">
        <v>2457</v>
      </c>
      <c r="V293" s="162">
        <v>3.7100000000000001E-2</v>
      </c>
      <c r="W293" s="164">
        <v>3.3709999999999997E-2</v>
      </c>
      <c r="X293" s="4" t="s">
        <v>458</v>
      </c>
      <c r="Y293" s="4" t="s">
        <v>164</v>
      </c>
      <c r="Z293" s="150">
        <v>300000</v>
      </c>
      <c r="AA293" s="150">
        <v>1</v>
      </c>
      <c r="AB293" s="150">
        <v>105.41</v>
      </c>
      <c r="AD293" s="150">
        <v>316.23</v>
      </c>
      <c r="AG293" s="2" t="s">
        <v>37</v>
      </c>
      <c r="AH293" s="164">
        <v>7.8100000000000001E-4</v>
      </c>
      <c r="AI293" s="164">
        <v>1.8891685951352901E-2</v>
      </c>
      <c r="AJ293" s="164">
        <v>2.2363508889733201E-3</v>
      </c>
    </row>
    <row r="294" spans="1:36">
      <c r="A294" s="2" t="s">
        <v>128</v>
      </c>
      <c r="B294" s="2">
        <v>7229</v>
      </c>
      <c r="C294" s="2" t="s">
        <v>2458</v>
      </c>
      <c r="D294" s="2" t="s">
        <v>2459</v>
      </c>
      <c r="E294" s="4" t="s">
        <v>1376</v>
      </c>
      <c r="F294" s="2" t="s">
        <v>2460</v>
      </c>
      <c r="G294" s="2" t="s">
        <v>2461</v>
      </c>
      <c r="H294" s="2" t="s">
        <v>367</v>
      </c>
      <c r="I294" s="2" t="s">
        <v>1010</v>
      </c>
      <c r="J294" s="2" t="s">
        <v>31</v>
      </c>
      <c r="K294" s="2" t="s">
        <v>31</v>
      </c>
      <c r="L294" s="2" t="s">
        <v>373</v>
      </c>
      <c r="M294" s="2" t="s">
        <v>118</v>
      </c>
      <c r="N294" s="2" t="s">
        <v>483</v>
      </c>
      <c r="O294" s="2" t="s">
        <v>164</v>
      </c>
      <c r="P294" s="2" t="s">
        <v>1387</v>
      </c>
      <c r="Q294" s="2" t="s">
        <v>217</v>
      </c>
      <c r="R294" s="2" t="s">
        <v>452</v>
      </c>
      <c r="S294" s="2" t="s">
        <v>35</v>
      </c>
      <c r="T294" s="150">
        <v>6.8010000000000002</v>
      </c>
      <c r="U294" s="2" t="s">
        <v>2462</v>
      </c>
      <c r="V294" s="162">
        <v>5.8599999999999999E-2</v>
      </c>
      <c r="W294" s="164">
        <v>6.148E-2</v>
      </c>
      <c r="X294" s="4" t="s">
        <v>458</v>
      </c>
      <c r="Y294" s="4" t="s">
        <v>164</v>
      </c>
      <c r="Z294" s="150">
        <v>214093</v>
      </c>
      <c r="AA294" s="150">
        <v>1</v>
      </c>
      <c r="AB294" s="150">
        <v>100.02</v>
      </c>
      <c r="AD294" s="150">
        <v>214.136</v>
      </c>
      <c r="AG294" s="2" t="s">
        <v>37</v>
      </c>
      <c r="AH294" s="164">
        <v>1.073E-3</v>
      </c>
      <c r="AI294" s="164">
        <v>1.2792545412918001E-2</v>
      </c>
      <c r="AJ294" s="164">
        <v>1.5143497716444999E-3</v>
      </c>
    </row>
    <row r="295" spans="1:36">
      <c r="A295" s="2" t="s">
        <v>128</v>
      </c>
      <c r="B295" s="2">
        <v>7229</v>
      </c>
      <c r="C295" s="2" t="s">
        <v>2463</v>
      </c>
      <c r="D295" s="2" t="s">
        <v>2464</v>
      </c>
      <c r="E295" s="4" t="s">
        <v>1376</v>
      </c>
      <c r="F295" s="2" t="s">
        <v>2465</v>
      </c>
      <c r="G295" s="2" t="s">
        <v>2466</v>
      </c>
      <c r="H295" s="2" t="s">
        <v>367</v>
      </c>
      <c r="I295" s="2" t="s">
        <v>1010</v>
      </c>
      <c r="J295" s="2" t="s">
        <v>31</v>
      </c>
      <c r="K295" s="2" t="s">
        <v>31</v>
      </c>
      <c r="L295" s="2" t="s">
        <v>373</v>
      </c>
      <c r="M295" s="2" t="s">
        <v>32</v>
      </c>
      <c r="N295" s="2" t="s">
        <v>488</v>
      </c>
      <c r="O295" s="2" t="s">
        <v>164</v>
      </c>
      <c r="P295" s="2" t="s">
        <v>1392</v>
      </c>
      <c r="Q295" s="2" t="s">
        <v>217</v>
      </c>
      <c r="R295" s="2" t="s">
        <v>452</v>
      </c>
      <c r="S295" s="2" t="s">
        <v>35</v>
      </c>
      <c r="T295" s="150">
        <v>5.2389999999999999</v>
      </c>
      <c r="U295" s="2" t="s">
        <v>2436</v>
      </c>
      <c r="V295" s="162">
        <v>4.6899999999999997E-2</v>
      </c>
      <c r="W295" s="164">
        <v>5.7200000000000001E-2</v>
      </c>
      <c r="X295" s="4" t="s">
        <v>458</v>
      </c>
      <c r="Y295" s="4" t="s">
        <v>164</v>
      </c>
      <c r="Z295" s="150">
        <v>210000</v>
      </c>
      <c r="AA295" s="150">
        <v>1</v>
      </c>
      <c r="AB295" s="150">
        <v>95.24</v>
      </c>
      <c r="AD295" s="150">
        <v>200.00399999999999</v>
      </c>
      <c r="AG295" s="2" t="s">
        <v>37</v>
      </c>
      <c r="AH295" s="164">
        <v>4.2000000000000002E-4</v>
      </c>
      <c r="AI295" s="164">
        <v>1.19483058438933E-2</v>
      </c>
      <c r="AJ295" s="164">
        <v>1.41441078707972E-3</v>
      </c>
    </row>
    <row r="296" spans="1:36">
      <c r="A296" s="2" t="s">
        <v>128</v>
      </c>
      <c r="B296" s="2">
        <v>7229</v>
      </c>
      <c r="C296" s="2" t="s">
        <v>2003</v>
      </c>
      <c r="D296" s="2" t="s">
        <v>2004</v>
      </c>
      <c r="E296" s="4" t="s">
        <v>1376</v>
      </c>
      <c r="F296" s="2" t="s">
        <v>2537</v>
      </c>
      <c r="G296" s="2" t="s">
        <v>2538</v>
      </c>
      <c r="H296" s="2" t="s">
        <v>367</v>
      </c>
      <c r="I296" s="2" t="s">
        <v>1010</v>
      </c>
      <c r="J296" s="2" t="s">
        <v>31</v>
      </c>
      <c r="K296" s="2" t="s">
        <v>31</v>
      </c>
      <c r="L296" s="2" t="s">
        <v>373</v>
      </c>
      <c r="M296" s="2" t="s">
        <v>32</v>
      </c>
      <c r="N296" s="2" t="s">
        <v>528</v>
      </c>
      <c r="O296" s="2" t="s">
        <v>164</v>
      </c>
      <c r="P296" s="2" t="s">
        <v>1387</v>
      </c>
      <c r="Q296" s="2" t="s">
        <v>217</v>
      </c>
      <c r="R296" s="2" t="s">
        <v>452</v>
      </c>
      <c r="S296" s="2" t="s">
        <v>35</v>
      </c>
      <c r="T296" s="150">
        <v>2.327</v>
      </c>
      <c r="U296" s="2" t="s">
        <v>2539</v>
      </c>
      <c r="V296" s="162">
        <v>0.04</v>
      </c>
      <c r="W296" s="164">
        <v>5.2909999999999999E-2</v>
      </c>
      <c r="X296" s="4" t="s">
        <v>458</v>
      </c>
      <c r="Y296" s="4" t="s">
        <v>164</v>
      </c>
      <c r="Z296" s="150">
        <v>250894.7</v>
      </c>
      <c r="AA296" s="150">
        <v>1</v>
      </c>
      <c r="AB296" s="150">
        <v>97.24</v>
      </c>
      <c r="AD296" s="150">
        <v>243.97</v>
      </c>
      <c r="AG296" s="2" t="s">
        <v>37</v>
      </c>
      <c r="AH296" s="164">
        <v>4.2099999999999999E-4</v>
      </c>
      <c r="AI296" s="164">
        <v>1.4574849761854801E-2</v>
      </c>
      <c r="AJ296" s="164">
        <v>1.7253345363409699E-3</v>
      </c>
    </row>
    <row r="297" spans="1:36">
      <c r="A297" s="2" t="s">
        <v>128</v>
      </c>
      <c r="B297" s="2">
        <v>7229</v>
      </c>
      <c r="C297" s="2" t="s">
        <v>2467</v>
      </c>
      <c r="D297" s="2" t="s">
        <v>2468</v>
      </c>
      <c r="E297" s="4" t="s">
        <v>1376</v>
      </c>
      <c r="F297" s="2" t="s">
        <v>2469</v>
      </c>
      <c r="G297" s="2" t="s">
        <v>2470</v>
      </c>
      <c r="H297" s="2" t="s">
        <v>367</v>
      </c>
      <c r="I297" s="2" t="s">
        <v>1010</v>
      </c>
      <c r="J297" s="2" t="s">
        <v>31</v>
      </c>
      <c r="K297" s="2" t="s">
        <v>31</v>
      </c>
      <c r="L297" s="2" t="s">
        <v>373</v>
      </c>
      <c r="M297" s="2" t="s">
        <v>32</v>
      </c>
      <c r="N297" s="2" t="s">
        <v>508</v>
      </c>
      <c r="O297" s="2" t="s">
        <v>164</v>
      </c>
      <c r="P297" s="2" t="s">
        <v>2217</v>
      </c>
      <c r="Q297" s="2" t="s">
        <v>98</v>
      </c>
      <c r="R297" s="2" t="s">
        <v>452</v>
      </c>
      <c r="S297" s="2" t="s">
        <v>35</v>
      </c>
      <c r="T297" s="150">
        <v>1.8919999999999999</v>
      </c>
      <c r="U297" s="2" t="s">
        <v>2471</v>
      </c>
      <c r="V297" s="162">
        <v>2.6499999999999999E-2</v>
      </c>
      <c r="W297" s="164">
        <v>5.6939999999999998E-2</v>
      </c>
      <c r="X297" s="4" t="s">
        <v>458</v>
      </c>
      <c r="Y297" s="4" t="s">
        <v>164</v>
      </c>
      <c r="Z297" s="150">
        <v>282857.14</v>
      </c>
      <c r="AA297" s="150">
        <v>1</v>
      </c>
      <c r="AB297" s="150">
        <v>95.45</v>
      </c>
      <c r="AD297" s="150">
        <v>269.98700000000002</v>
      </c>
      <c r="AG297" s="2" t="s">
        <v>37</v>
      </c>
      <c r="AH297" s="164">
        <v>4.6000000000000001E-4</v>
      </c>
      <c r="AI297" s="164">
        <v>1.6129122038515801E-2</v>
      </c>
      <c r="AJ297" s="164">
        <v>1.90932543035477E-3</v>
      </c>
    </row>
    <row r="298" spans="1:36">
      <c r="A298" s="2" t="s">
        <v>128</v>
      </c>
      <c r="B298" s="2">
        <v>7229</v>
      </c>
      <c r="C298" s="2" t="s">
        <v>2593</v>
      </c>
      <c r="D298" s="2" t="s">
        <v>2594</v>
      </c>
      <c r="E298" s="4" t="s">
        <v>1376</v>
      </c>
      <c r="F298" s="2" t="s">
        <v>2595</v>
      </c>
      <c r="G298" s="2" t="s">
        <v>2596</v>
      </c>
      <c r="H298" s="2" t="s">
        <v>367</v>
      </c>
      <c r="I298" s="2" t="s">
        <v>219</v>
      </c>
      <c r="J298" s="2" t="s">
        <v>31</v>
      </c>
      <c r="K298" s="2" t="s">
        <v>31</v>
      </c>
      <c r="L298" s="2" t="s">
        <v>373</v>
      </c>
      <c r="M298" s="2" t="s">
        <v>32</v>
      </c>
      <c r="N298" s="2" t="s">
        <v>507</v>
      </c>
      <c r="O298" s="2" t="s">
        <v>164</v>
      </c>
      <c r="P298" s="2" t="s">
        <v>1387</v>
      </c>
      <c r="Q298" s="2" t="s">
        <v>217</v>
      </c>
      <c r="R298" s="2" t="s">
        <v>452</v>
      </c>
      <c r="S298" s="2" t="s">
        <v>35</v>
      </c>
      <c r="T298" s="150">
        <v>1.4590000000000001</v>
      </c>
      <c r="U298" s="2" t="s">
        <v>2288</v>
      </c>
      <c r="V298" s="162">
        <v>2.1499999999999998E-2</v>
      </c>
      <c r="W298" s="164">
        <v>2.538E-2</v>
      </c>
      <c r="X298" s="4" t="s">
        <v>458</v>
      </c>
      <c r="Y298" s="4" t="s">
        <v>164</v>
      </c>
      <c r="Z298" s="150">
        <v>125300</v>
      </c>
      <c r="AA298" s="150">
        <v>1</v>
      </c>
      <c r="AB298" s="150">
        <v>114.49</v>
      </c>
      <c r="AD298" s="150">
        <v>143.45599999999999</v>
      </c>
      <c r="AG298" s="2" t="s">
        <v>37</v>
      </c>
      <c r="AH298" s="164">
        <v>6.3999999999999997E-5</v>
      </c>
      <c r="AI298" s="164">
        <v>8.57010762130948E-3</v>
      </c>
      <c r="AJ298" s="164">
        <v>1.01450806703358E-3</v>
      </c>
    </row>
    <row r="299" spans="1:36">
      <c r="A299" s="2" t="s">
        <v>128</v>
      </c>
      <c r="B299" s="2">
        <v>7229</v>
      </c>
      <c r="C299" s="2" t="s">
        <v>2491</v>
      </c>
      <c r="D299" s="2" t="s">
        <v>2492</v>
      </c>
      <c r="E299" s="4" t="s">
        <v>360</v>
      </c>
      <c r="F299" s="2" t="s">
        <v>2493</v>
      </c>
      <c r="G299" s="2" t="s">
        <v>2494</v>
      </c>
      <c r="H299" s="2" t="s">
        <v>367</v>
      </c>
      <c r="I299" s="2" t="s">
        <v>214</v>
      </c>
      <c r="J299" s="2" t="s">
        <v>94</v>
      </c>
      <c r="K299" s="2" t="s">
        <v>282</v>
      </c>
      <c r="L299" s="2" t="s">
        <v>373</v>
      </c>
      <c r="M299" s="2" t="s">
        <v>32</v>
      </c>
      <c r="N299" s="2" t="s">
        <v>508</v>
      </c>
      <c r="O299" s="2" t="s">
        <v>164</v>
      </c>
      <c r="P299" s="2" t="s">
        <v>1392</v>
      </c>
      <c r="Q299" s="2" t="s">
        <v>98</v>
      </c>
      <c r="R299" s="2" t="s">
        <v>452</v>
      </c>
      <c r="S299" s="2" t="s">
        <v>35</v>
      </c>
      <c r="T299" s="150">
        <v>3.13</v>
      </c>
      <c r="U299" s="2" t="s">
        <v>2495</v>
      </c>
      <c r="V299" s="162">
        <v>4.2999999999999997E-2</v>
      </c>
      <c r="W299" s="164">
        <v>7.8320000000000001E-2</v>
      </c>
      <c r="X299" s="4" t="s">
        <v>458</v>
      </c>
      <c r="Y299" s="4" t="s">
        <v>164</v>
      </c>
      <c r="Z299" s="150">
        <v>180889.83</v>
      </c>
      <c r="AA299" s="150">
        <v>1</v>
      </c>
      <c r="AB299" s="150">
        <v>90.67</v>
      </c>
      <c r="AD299" s="150">
        <v>164.01300000000001</v>
      </c>
      <c r="AG299" s="2" t="s">
        <v>37</v>
      </c>
      <c r="AH299" s="164">
        <v>1.6100000000000001E-4</v>
      </c>
      <c r="AI299" s="164">
        <v>9.79818004933522E-3</v>
      </c>
      <c r="AJ299" s="164">
        <v>1.15988423267656E-3</v>
      </c>
    </row>
    <row r="300" spans="1:36">
      <c r="A300" s="2" t="s">
        <v>128</v>
      </c>
      <c r="B300" s="2">
        <v>9817</v>
      </c>
      <c r="C300" s="2" t="s">
        <v>2238</v>
      </c>
      <c r="D300" s="2" t="s">
        <v>2239</v>
      </c>
      <c r="E300" s="4" t="s">
        <v>1376</v>
      </c>
      <c r="F300" s="2" t="s">
        <v>2240</v>
      </c>
      <c r="G300" s="2" t="s">
        <v>2241</v>
      </c>
      <c r="H300" s="2" t="s">
        <v>367</v>
      </c>
      <c r="I300" s="2" t="s">
        <v>1010</v>
      </c>
      <c r="J300" s="2" t="s">
        <v>31</v>
      </c>
      <c r="K300" s="2" t="s">
        <v>31</v>
      </c>
      <c r="L300" s="2" t="s">
        <v>373</v>
      </c>
      <c r="M300" s="2" t="s">
        <v>32</v>
      </c>
      <c r="N300" s="2" t="s">
        <v>488</v>
      </c>
      <c r="O300" s="2" t="s">
        <v>164</v>
      </c>
      <c r="P300" s="2" t="s">
        <v>2217</v>
      </c>
      <c r="Q300" s="2" t="s">
        <v>98</v>
      </c>
      <c r="R300" s="2" t="s">
        <v>452</v>
      </c>
      <c r="S300" s="2" t="s">
        <v>35</v>
      </c>
      <c r="T300" s="150">
        <v>4.2480000000000002</v>
      </c>
      <c r="U300" s="2" t="s">
        <v>2242</v>
      </c>
      <c r="V300" s="162">
        <v>2.18E-2</v>
      </c>
      <c r="W300" s="164">
        <v>6.062E-2</v>
      </c>
      <c r="X300" s="4" t="s">
        <v>458</v>
      </c>
      <c r="Y300" s="4" t="s">
        <v>164</v>
      </c>
      <c r="Z300" s="150">
        <v>2364</v>
      </c>
      <c r="AA300" s="150">
        <v>1</v>
      </c>
      <c r="AB300" s="150">
        <v>85.44</v>
      </c>
      <c r="AD300" s="150">
        <v>2.02</v>
      </c>
      <c r="AG300" s="2" t="s">
        <v>37</v>
      </c>
      <c r="AH300" s="164">
        <v>1.4E-5</v>
      </c>
      <c r="AI300" s="164">
        <v>1.73318432132042E-2</v>
      </c>
      <c r="AJ300" s="164">
        <v>1.36971071064088E-3</v>
      </c>
    </row>
    <row r="301" spans="1:36">
      <c r="A301" s="2" t="s">
        <v>128</v>
      </c>
      <c r="B301" s="2">
        <v>9817</v>
      </c>
      <c r="C301" s="2" t="s">
        <v>2248</v>
      </c>
      <c r="D301" s="2" t="s">
        <v>2249</v>
      </c>
      <c r="E301" s="4" t="s">
        <v>1376</v>
      </c>
      <c r="F301" s="2" t="s">
        <v>2514</v>
      </c>
      <c r="G301" s="2" t="s">
        <v>2515</v>
      </c>
      <c r="H301" s="2" t="s">
        <v>367</v>
      </c>
      <c r="I301" s="2" t="s">
        <v>1010</v>
      </c>
      <c r="J301" s="2" t="s">
        <v>31</v>
      </c>
      <c r="K301" s="2" t="s">
        <v>31</v>
      </c>
      <c r="L301" s="2" t="s">
        <v>373</v>
      </c>
      <c r="M301" s="2" t="s">
        <v>32</v>
      </c>
      <c r="N301" s="2" t="s">
        <v>507</v>
      </c>
      <c r="O301" s="2" t="s">
        <v>164</v>
      </c>
      <c r="P301" s="2" t="s">
        <v>1387</v>
      </c>
      <c r="Q301" s="2" t="s">
        <v>217</v>
      </c>
      <c r="R301" s="2" t="s">
        <v>452</v>
      </c>
      <c r="S301" s="2" t="s">
        <v>35</v>
      </c>
      <c r="T301" s="150">
        <v>1.6020000000000001</v>
      </c>
      <c r="U301" s="2" t="s">
        <v>2516</v>
      </c>
      <c r="V301" s="162">
        <v>3.85E-2</v>
      </c>
      <c r="W301" s="164">
        <v>5.4699999999999999E-2</v>
      </c>
      <c r="X301" s="4" t="s">
        <v>458</v>
      </c>
      <c r="Y301" s="4" t="s">
        <v>164</v>
      </c>
      <c r="Z301" s="150">
        <v>2439.6999999999998</v>
      </c>
      <c r="AA301" s="150">
        <v>1</v>
      </c>
      <c r="AB301" s="150">
        <v>98.64</v>
      </c>
      <c r="AD301" s="150">
        <v>2.407</v>
      </c>
      <c r="AG301" s="2" t="s">
        <v>37</v>
      </c>
      <c r="AH301" s="164">
        <v>3.0000000000000001E-6</v>
      </c>
      <c r="AI301" s="164">
        <v>2.0650260261199701E-2</v>
      </c>
      <c r="AJ301" s="164">
        <v>1.63196045044639E-3</v>
      </c>
    </row>
    <row r="302" spans="1:36">
      <c r="A302" s="2" t="s">
        <v>128</v>
      </c>
      <c r="B302" s="2">
        <v>9817</v>
      </c>
      <c r="C302" s="2" t="s">
        <v>2248</v>
      </c>
      <c r="D302" s="2" t="s">
        <v>2249</v>
      </c>
      <c r="E302" s="4" t="s">
        <v>1376</v>
      </c>
      <c r="F302" s="2" t="s">
        <v>2253</v>
      </c>
      <c r="G302" s="2" t="s">
        <v>2254</v>
      </c>
      <c r="H302" s="2" t="s">
        <v>367</v>
      </c>
      <c r="I302" s="2" t="s">
        <v>1010</v>
      </c>
      <c r="J302" s="2" t="s">
        <v>31</v>
      </c>
      <c r="K302" s="2" t="s">
        <v>31</v>
      </c>
      <c r="L302" s="2" t="s">
        <v>373</v>
      </c>
      <c r="M302" s="2" t="s">
        <v>32</v>
      </c>
      <c r="N302" s="2" t="s">
        <v>507</v>
      </c>
      <c r="O302" s="2" t="s">
        <v>164</v>
      </c>
      <c r="P302" s="2" t="s">
        <v>1392</v>
      </c>
      <c r="Q302" s="2" t="s">
        <v>98</v>
      </c>
      <c r="R302" s="2" t="s">
        <v>452</v>
      </c>
      <c r="S302" s="2" t="s">
        <v>35</v>
      </c>
      <c r="T302" s="150">
        <v>6.4660000000000002</v>
      </c>
      <c r="U302" s="2" t="s">
        <v>2255</v>
      </c>
      <c r="V302" s="162">
        <v>4.9399999999999999E-2</v>
      </c>
      <c r="W302" s="164">
        <v>6.9379999999999997E-2</v>
      </c>
      <c r="X302" s="4" t="s">
        <v>458</v>
      </c>
      <c r="Y302" s="4" t="s">
        <v>164</v>
      </c>
      <c r="Z302" s="150">
        <v>1538</v>
      </c>
      <c r="AA302" s="150">
        <v>1</v>
      </c>
      <c r="AB302" s="150">
        <v>89.76</v>
      </c>
      <c r="AD302" s="150">
        <v>1.381</v>
      </c>
      <c r="AG302" s="2" t="s">
        <v>37</v>
      </c>
      <c r="AH302" s="164">
        <v>1.9999999999999999E-6</v>
      </c>
      <c r="AI302" s="164">
        <v>1.1846095218485101E-2</v>
      </c>
      <c r="AJ302" s="164">
        <v>9.3617991464804598E-4</v>
      </c>
    </row>
    <row r="303" spans="1:36">
      <c r="A303" s="2" t="s">
        <v>128</v>
      </c>
      <c r="B303" s="2">
        <v>9817</v>
      </c>
      <c r="C303" s="2" t="s">
        <v>1857</v>
      </c>
      <c r="D303" s="2" t="s">
        <v>1858</v>
      </c>
      <c r="E303" s="4" t="s">
        <v>1376</v>
      </c>
      <c r="F303" s="2" t="s">
        <v>2256</v>
      </c>
      <c r="G303" s="2" t="s">
        <v>2257</v>
      </c>
      <c r="H303" s="2" t="s">
        <v>367</v>
      </c>
      <c r="I303" s="2" t="s">
        <v>1010</v>
      </c>
      <c r="J303" s="2" t="s">
        <v>31</v>
      </c>
      <c r="K303" s="2" t="s">
        <v>31</v>
      </c>
      <c r="L303" s="2" t="s">
        <v>373</v>
      </c>
      <c r="M303" s="2" t="s">
        <v>32</v>
      </c>
      <c r="N303" s="2" t="s">
        <v>494</v>
      </c>
      <c r="O303" s="2" t="s">
        <v>164</v>
      </c>
      <c r="P303" s="2" t="s">
        <v>2258</v>
      </c>
      <c r="Q303" s="2" t="s">
        <v>217</v>
      </c>
      <c r="R303" s="2" t="s">
        <v>452</v>
      </c>
      <c r="S303" s="2" t="s">
        <v>35</v>
      </c>
      <c r="T303" s="150">
        <v>3.1309999999999998</v>
      </c>
      <c r="U303" s="2" t="s">
        <v>2259</v>
      </c>
      <c r="V303" s="162">
        <v>0.04</v>
      </c>
      <c r="W303" s="164">
        <v>5.6980000000000003E-2</v>
      </c>
      <c r="X303" s="4" t="s">
        <v>458</v>
      </c>
      <c r="Y303" s="4" t="s">
        <v>164</v>
      </c>
      <c r="Z303" s="150">
        <v>2751.88</v>
      </c>
      <c r="AA303" s="150">
        <v>1</v>
      </c>
      <c r="AB303" s="150">
        <v>96.92</v>
      </c>
      <c r="AD303" s="150">
        <v>2.6669999999999998</v>
      </c>
      <c r="AG303" s="2" t="s">
        <v>37</v>
      </c>
      <c r="AH303" s="164">
        <v>3.9999999999999998E-6</v>
      </c>
      <c r="AI303" s="164">
        <v>2.2886476571928899E-2</v>
      </c>
      <c r="AJ303" s="164">
        <v>1.80868541815105E-3</v>
      </c>
    </row>
    <row r="304" spans="1:36">
      <c r="A304" s="2" t="s">
        <v>128</v>
      </c>
      <c r="B304" s="2">
        <v>9817</v>
      </c>
      <c r="C304" s="2" t="s">
        <v>2263</v>
      </c>
      <c r="D304" s="2" t="s">
        <v>2264</v>
      </c>
      <c r="E304" s="4" t="s">
        <v>1376</v>
      </c>
      <c r="F304" s="2" t="s">
        <v>2517</v>
      </c>
      <c r="G304" s="2" t="s">
        <v>2518</v>
      </c>
      <c r="H304" s="2" t="s">
        <v>367</v>
      </c>
      <c r="I304" s="2" t="s">
        <v>1010</v>
      </c>
      <c r="J304" s="2" t="s">
        <v>31</v>
      </c>
      <c r="K304" s="2" t="s">
        <v>31</v>
      </c>
      <c r="L304" s="2" t="s">
        <v>373</v>
      </c>
      <c r="M304" s="2" t="s">
        <v>32</v>
      </c>
      <c r="N304" s="2" t="s">
        <v>508</v>
      </c>
      <c r="O304" s="2" t="s">
        <v>164</v>
      </c>
      <c r="P304" s="2" t="s">
        <v>2217</v>
      </c>
      <c r="Q304" s="2" t="s">
        <v>98</v>
      </c>
      <c r="R304" s="2" t="s">
        <v>452</v>
      </c>
      <c r="S304" s="2" t="s">
        <v>35</v>
      </c>
      <c r="T304" s="150">
        <v>3.069</v>
      </c>
      <c r="U304" s="2" t="s">
        <v>2519</v>
      </c>
      <c r="V304" s="162">
        <v>3.2500000000000001E-2</v>
      </c>
      <c r="W304" s="164">
        <v>6.1699999999999998E-2</v>
      </c>
      <c r="X304" s="4" t="s">
        <v>458</v>
      </c>
      <c r="Y304" s="4" t="s">
        <v>164</v>
      </c>
      <c r="Z304" s="150">
        <v>2125</v>
      </c>
      <c r="AA304" s="150">
        <v>1</v>
      </c>
      <c r="AB304" s="150">
        <v>92.55</v>
      </c>
      <c r="AD304" s="150">
        <v>1.9670000000000001</v>
      </c>
      <c r="AG304" s="2" t="s">
        <v>37</v>
      </c>
      <c r="AH304" s="164">
        <v>6.9999999999999999E-6</v>
      </c>
      <c r="AI304" s="164">
        <v>1.68760730753795E-2</v>
      </c>
      <c r="AJ304" s="164">
        <v>1.33369185034487E-3</v>
      </c>
    </row>
    <row r="305" spans="1:36">
      <c r="A305" s="2" t="s">
        <v>128</v>
      </c>
      <c r="B305" s="2">
        <v>9817</v>
      </c>
      <c r="C305" s="2" t="s">
        <v>1877</v>
      </c>
      <c r="D305" s="2" t="s">
        <v>1878</v>
      </c>
      <c r="E305" s="4" t="s">
        <v>1376</v>
      </c>
      <c r="F305" s="2" t="s">
        <v>2280</v>
      </c>
      <c r="G305" s="2" t="s">
        <v>2281</v>
      </c>
      <c r="H305" s="2" t="s">
        <v>367</v>
      </c>
      <c r="I305" s="2" t="s">
        <v>1010</v>
      </c>
      <c r="J305" s="2" t="s">
        <v>31</v>
      </c>
      <c r="K305" s="2" t="s">
        <v>31</v>
      </c>
      <c r="L305" s="2" t="s">
        <v>373</v>
      </c>
      <c r="M305" s="2" t="s">
        <v>32</v>
      </c>
      <c r="N305" s="2" t="s">
        <v>483</v>
      </c>
      <c r="O305" s="2" t="s">
        <v>164</v>
      </c>
      <c r="P305" s="2" t="s">
        <v>2258</v>
      </c>
      <c r="Q305" s="2" t="s">
        <v>217</v>
      </c>
      <c r="R305" s="2" t="s">
        <v>452</v>
      </c>
      <c r="S305" s="2" t="s">
        <v>35</v>
      </c>
      <c r="T305" s="150">
        <v>2.4390000000000001</v>
      </c>
      <c r="U305" s="2" t="s">
        <v>2282</v>
      </c>
      <c r="V305" s="162">
        <v>2.7E-2</v>
      </c>
      <c r="W305" s="164">
        <v>6.2280000000000002E-2</v>
      </c>
      <c r="X305" s="4" t="s">
        <v>458</v>
      </c>
      <c r="Y305" s="4" t="s">
        <v>164</v>
      </c>
      <c r="Z305" s="150">
        <v>2000</v>
      </c>
      <c r="AA305" s="150">
        <v>1</v>
      </c>
      <c r="AB305" s="150">
        <v>92.63</v>
      </c>
      <c r="AD305" s="150">
        <v>1.853</v>
      </c>
      <c r="AG305" s="2" t="s">
        <v>37</v>
      </c>
      <c r="AH305" s="164">
        <v>3.0000000000000001E-6</v>
      </c>
      <c r="AI305" s="164">
        <v>1.5897092435604599E-2</v>
      </c>
      <c r="AJ305" s="164">
        <v>1.2563244145035301E-3</v>
      </c>
    </row>
    <row r="306" spans="1:36">
      <c r="A306" s="2" t="s">
        <v>128</v>
      </c>
      <c r="B306" s="2">
        <v>9817</v>
      </c>
      <c r="C306" s="2" t="s">
        <v>2283</v>
      </c>
      <c r="D306" s="2" t="s">
        <v>2284</v>
      </c>
      <c r="E306" s="4" t="s">
        <v>1376</v>
      </c>
      <c r="F306" s="2" t="s">
        <v>2285</v>
      </c>
      <c r="G306" s="2" t="s">
        <v>2286</v>
      </c>
      <c r="H306" s="2" t="s">
        <v>367</v>
      </c>
      <c r="I306" s="2" t="s">
        <v>1010</v>
      </c>
      <c r="J306" s="2" t="s">
        <v>31</v>
      </c>
      <c r="K306" s="2" t="s">
        <v>31</v>
      </c>
      <c r="L306" s="2" t="s">
        <v>373</v>
      </c>
      <c r="M306" s="2" t="s">
        <v>32</v>
      </c>
      <c r="N306" s="2" t="s">
        <v>528</v>
      </c>
      <c r="O306" s="2" t="s">
        <v>164</v>
      </c>
      <c r="P306" s="2" t="s">
        <v>2287</v>
      </c>
      <c r="Q306" s="2" t="s">
        <v>98</v>
      </c>
      <c r="R306" s="2" t="s">
        <v>452</v>
      </c>
      <c r="S306" s="2" t="s">
        <v>35</v>
      </c>
      <c r="T306" s="150">
        <v>2.323</v>
      </c>
      <c r="U306" s="2" t="s">
        <v>2288</v>
      </c>
      <c r="V306" s="162">
        <v>3.6499999999999998E-2</v>
      </c>
      <c r="W306" s="164">
        <v>5.7189999999999998E-2</v>
      </c>
      <c r="X306" s="4" t="s">
        <v>458</v>
      </c>
      <c r="Y306" s="4" t="s">
        <v>164</v>
      </c>
      <c r="Z306" s="150">
        <v>5303</v>
      </c>
      <c r="AA306" s="150">
        <v>1</v>
      </c>
      <c r="AB306" s="150">
        <v>95.7</v>
      </c>
      <c r="AD306" s="150">
        <v>5.0750000000000002</v>
      </c>
      <c r="AG306" s="2" t="s">
        <v>37</v>
      </c>
      <c r="AH306" s="164">
        <v>3.0000000000000001E-6</v>
      </c>
      <c r="AI306" s="164">
        <v>4.3548139422979998E-2</v>
      </c>
      <c r="AJ306" s="164">
        <v>3.4415469989190301E-3</v>
      </c>
    </row>
    <row r="307" spans="1:36">
      <c r="A307" s="2" t="s">
        <v>128</v>
      </c>
      <c r="B307" s="2">
        <v>9817</v>
      </c>
      <c r="C307" s="2" t="s">
        <v>1885</v>
      </c>
      <c r="D307" s="2" t="s">
        <v>1886</v>
      </c>
      <c r="E307" s="4" t="s">
        <v>1376</v>
      </c>
      <c r="F307" s="2" t="s">
        <v>2588</v>
      </c>
      <c r="G307" s="2" t="s">
        <v>2589</v>
      </c>
      <c r="H307" s="2" t="s">
        <v>367</v>
      </c>
      <c r="I307" s="2" t="s">
        <v>219</v>
      </c>
      <c r="J307" s="2" t="s">
        <v>31</v>
      </c>
      <c r="K307" s="2" t="s">
        <v>31</v>
      </c>
      <c r="L307" s="2" t="s">
        <v>373</v>
      </c>
      <c r="M307" s="2" t="s">
        <v>32</v>
      </c>
      <c r="N307" s="2" t="s">
        <v>507</v>
      </c>
      <c r="O307" s="2" t="s">
        <v>164</v>
      </c>
      <c r="P307" s="2" t="s">
        <v>1392</v>
      </c>
      <c r="Q307" s="2" t="s">
        <v>98</v>
      </c>
      <c r="R307" s="2" t="s">
        <v>452</v>
      </c>
      <c r="S307" s="2" t="s">
        <v>35</v>
      </c>
      <c r="T307" s="150">
        <v>2.956</v>
      </c>
      <c r="U307" s="2" t="s">
        <v>2590</v>
      </c>
      <c r="V307" s="162">
        <v>3.3500000000000002E-2</v>
      </c>
      <c r="W307" s="164">
        <v>2.853E-2</v>
      </c>
      <c r="X307" s="4" t="s">
        <v>458</v>
      </c>
      <c r="Y307" s="4" t="s">
        <v>164</v>
      </c>
      <c r="Z307" s="150">
        <v>5391.7</v>
      </c>
      <c r="AA307" s="150">
        <v>1</v>
      </c>
      <c r="AB307" s="150">
        <v>115.92</v>
      </c>
      <c r="AD307" s="150">
        <v>6.25</v>
      </c>
      <c r="AG307" s="2" t="s">
        <v>37</v>
      </c>
      <c r="AH307" s="164">
        <v>7.9999999999999996E-6</v>
      </c>
      <c r="AI307" s="164">
        <v>5.36315232257525E-2</v>
      </c>
      <c r="AJ307" s="164">
        <v>4.2384223585829302E-3</v>
      </c>
    </row>
    <row r="308" spans="1:36">
      <c r="A308" s="2" t="s">
        <v>128</v>
      </c>
      <c r="B308" s="2">
        <v>9817</v>
      </c>
      <c r="C308" s="2" t="s">
        <v>2297</v>
      </c>
      <c r="D308" s="2" t="s">
        <v>2298</v>
      </c>
      <c r="E308" s="4" t="s">
        <v>1376</v>
      </c>
      <c r="F308" s="2" t="s">
        <v>2302</v>
      </c>
      <c r="G308" s="2" t="s">
        <v>2303</v>
      </c>
      <c r="H308" s="2" t="s">
        <v>367</v>
      </c>
      <c r="I308" s="2" t="s">
        <v>219</v>
      </c>
      <c r="J308" s="2" t="s">
        <v>31</v>
      </c>
      <c r="K308" s="2" t="s">
        <v>31</v>
      </c>
      <c r="L308" s="2" t="s">
        <v>373</v>
      </c>
      <c r="M308" s="2" t="s">
        <v>32</v>
      </c>
      <c r="N308" s="2" t="s">
        <v>507</v>
      </c>
      <c r="O308" s="2" t="s">
        <v>164</v>
      </c>
      <c r="P308" s="2" t="s">
        <v>2247</v>
      </c>
      <c r="Q308" s="2" t="s">
        <v>217</v>
      </c>
      <c r="R308" s="2" t="s">
        <v>452</v>
      </c>
      <c r="S308" s="2" t="s">
        <v>35</v>
      </c>
      <c r="T308" s="150">
        <v>4.2089999999999996</v>
      </c>
      <c r="U308" s="2" t="s">
        <v>2304</v>
      </c>
      <c r="V308" s="162">
        <v>5.0000000000000001E-3</v>
      </c>
      <c r="W308" s="164">
        <v>3.3119999999999997E-2</v>
      </c>
      <c r="X308" s="4" t="s">
        <v>458</v>
      </c>
      <c r="Y308" s="4" t="s">
        <v>164</v>
      </c>
      <c r="Z308" s="150">
        <v>12433.63</v>
      </c>
      <c r="AA308" s="150">
        <v>1</v>
      </c>
      <c r="AB308" s="150">
        <v>100.45</v>
      </c>
      <c r="AD308" s="150">
        <v>12.49</v>
      </c>
      <c r="AG308" s="2" t="s">
        <v>37</v>
      </c>
      <c r="AH308" s="164">
        <v>6.9999999999999999E-6</v>
      </c>
      <c r="AI308" s="164">
        <v>0.10717263789511899</v>
      </c>
      <c r="AJ308" s="164">
        <v>8.4696998586246807E-3</v>
      </c>
    </row>
    <row r="309" spans="1:36">
      <c r="A309" s="2" t="s">
        <v>128</v>
      </c>
      <c r="B309" s="2">
        <v>9817</v>
      </c>
      <c r="C309" s="2" t="s">
        <v>2297</v>
      </c>
      <c r="D309" s="2" t="s">
        <v>2298</v>
      </c>
      <c r="E309" s="4" t="s">
        <v>1376</v>
      </c>
      <c r="F309" s="2" t="s">
        <v>2305</v>
      </c>
      <c r="G309" s="2" t="s">
        <v>2306</v>
      </c>
      <c r="H309" s="2" t="s">
        <v>367</v>
      </c>
      <c r="I309" s="2" t="s">
        <v>219</v>
      </c>
      <c r="J309" s="2" t="s">
        <v>31</v>
      </c>
      <c r="K309" s="2" t="s">
        <v>31</v>
      </c>
      <c r="L309" s="2" t="s">
        <v>373</v>
      </c>
      <c r="M309" s="2" t="s">
        <v>32</v>
      </c>
      <c r="N309" s="2" t="s">
        <v>507</v>
      </c>
      <c r="O309" s="2" t="s">
        <v>164</v>
      </c>
      <c r="P309" s="2" t="s">
        <v>2247</v>
      </c>
      <c r="Q309" s="2" t="s">
        <v>217</v>
      </c>
      <c r="R309" s="2" t="s">
        <v>452</v>
      </c>
      <c r="S309" s="2" t="s">
        <v>35</v>
      </c>
      <c r="T309" s="150">
        <v>5.37</v>
      </c>
      <c r="U309" s="2" t="s">
        <v>2307</v>
      </c>
      <c r="V309" s="162">
        <v>5.8999999999999999E-3</v>
      </c>
      <c r="W309" s="164">
        <v>3.5549999999999998E-2</v>
      </c>
      <c r="X309" s="4" t="s">
        <v>458</v>
      </c>
      <c r="Y309" s="4" t="s">
        <v>164</v>
      </c>
      <c r="Z309" s="150">
        <v>1557</v>
      </c>
      <c r="AA309" s="150">
        <v>1</v>
      </c>
      <c r="AB309" s="150">
        <v>94</v>
      </c>
      <c r="AD309" s="150">
        <v>1.464</v>
      </c>
      <c r="AG309" s="2" t="s">
        <v>37</v>
      </c>
      <c r="AH309" s="164">
        <v>9.9999999999999995E-7</v>
      </c>
      <c r="AI309" s="164">
        <v>1.2558926129171E-2</v>
      </c>
      <c r="AJ309" s="164">
        <v>9.9251391912937308E-4</v>
      </c>
    </row>
    <row r="310" spans="1:36">
      <c r="A310" s="2" t="s">
        <v>128</v>
      </c>
      <c r="B310" s="2">
        <v>9817</v>
      </c>
      <c r="C310" s="2" t="s">
        <v>2297</v>
      </c>
      <c r="D310" s="2" t="s">
        <v>2298</v>
      </c>
      <c r="E310" s="4" t="s">
        <v>1376</v>
      </c>
      <c r="F310" s="2" t="s">
        <v>2308</v>
      </c>
      <c r="G310" s="2" t="s">
        <v>2309</v>
      </c>
      <c r="H310" s="2" t="s">
        <v>367</v>
      </c>
      <c r="I310" s="2" t="s">
        <v>219</v>
      </c>
      <c r="J310" s="2" t="s">
        <v>31</v>
      </c>
      <c r="K310" s="2" t="s">
        <v>31</v>
      </c>
      <c r="L310" s="2" t="s">
        <v>373</v>
      </c>
      <c r="M310" s="2" t="s">
        <v>32</v>
      </c>
      <c r="N310" s="2" t="s">
        <v>507</v>
      </c>
      <c r="O310" s="2" t="s">
        <v>164</v>
      </c>
      <c r="P310" s="2" t="s">
        <v>2247</v>
      </c>
      <c r="Q310" s="2" t="s">
        <v>217</v>
      </c>
      <c r="R310" s="2" t="s">
        <v>452</v>
      </c>
      <c r="S310" s="2" t="s">
        <v>35</v>
      </c>
      <c r="T310" s="150">
        <v>1.21</v>
      </c>
      <c r="U310" s="2" t="s">
        <v>2310</v>
      </c>
      <c r="V310" s="162">
        <v>4.7500000000000001E-2</v>
      </c>
      <c r="W310" s="164">
        <v>2.843E-2</v>
      </c>
      <c r="X310" s="4" t="s">
        <v>458</v>
      </c>
      <c r="Y310" s="4" t="s">
        <v>164</v>
      </c>
      <c r="Z310" s="150">
        <v>912.67</v>
      </c>
      <c r="AA310" s="150">
        <v>1</v>
      </c>
      <c r="AB310" s="150">
        <v>142.59</v>
      </c>
      <c r="AD310" s="150">
        <v>1.3009999999999999</v>
      </c>
      <c r="AG310" s="2" t="s">
        <v>37</v>
      </c>
      <c r="AH310" s="164">
        <v>9.9999999999999995E-7</v>
      </c>
      <c r="AI310" s="164">
        <v>1.1167060886177501E-2</v>
      </c>
      <c r="AJ310" s="164">
        <v>8.8251680528261996E-4</v>
      </c>
    </row>
    <row r="311" spans="1:36">
      <c r="A311" s="2" t="s">
        <v>128</v>
      </c>
      <c r="B311" s="2">
        <v>9817</v>
      </c>
      <c r="C311" s="2" t="s">
        <v>2316</v>
      </c>
      <c r="D311" s="2" t="s">
        <v>2317</v>
      </c>
      <c r="E311" s="4" t="s">
        <v>1376</v>
      </c>
      <c r="F311" s="2" t="s">
        <v>2318</v>
      </c>
      <c r="G311" s="2" t="s">
        <v>2319</v>
      </c>
      <c r="H311" s="2" t="s">
        <v>367</v>
      </c>
      <c r="I311" s="2" t="s">
        <v>219</v>
      </c>
      <c r="J311" s="2" t="s">
        <v>31</v>
      </c>
      <c r="K311" s="2" t="s">
        <v>31</v>
      </c>
      <c r="L311" s="2" t="s">
        <v>373</v>
      </c>
      <c r="M311" s="2" t="s">
        <v>32</v>
      </c>
      <c r="N311" s="2" t="s">
        <v>494</v>
      </c>
      <c r="O311" s="2" t="s">
        <v>164</v>
      </c>
      <c r="P311" s="2" t="s">
        <v>2258</v>
      </c>
      <c r="Q311" s="2" t="s">
        <v>217</v>
      </c>
      <c r="R311" s="2" t="s">
        <v>452</v>
      </c>
      <c r="S311" s="2" t="s">
        <v>35</v>
      </c>
      <c r="T311" s="150">
        <v>4.3819999999999997</v>
      </c>
      <c r="U311" s="2" t="s">
        <v>2320</v>
      </c>
      <c r="V311" s="162">
        <v>7.4999999999999997E-3</v>
      </c>
      <c r="W311" s="164">
        <v>3.9260000000000003E-2</v>
      </c>
      <c r="X311" s="4" t="s">
        <v>458</v>
      </c>
      <c r="Y311" s="4" t="s">
        <v>164</v>
      </c>
      <c r="Z311" s="150">
        <v>1529</v>
      </c>
      <c r="AA311" s="150">
        <v>1</v>
      </c>
      <c r="AB311" s="150">
        <v>96.11</v>
      </c>
      <c r="AD311" s="150">
        <v>1.47</v>
      </c>
      <c r="AG311" s="2" t="s">
        <v>37</v>
      </c>
      <c r="AH311" s="164">
        <v>9.9999999999999995E-7</v>
      </c>
      <c r="AI311" s="164">
        <v>1.26099133544453E-2</v>
      </c>
      <c r="AJ311" s="164">
        <v>9.9654336641348106E-4</v>
      </c>
    </row>
    <row r="312" spans="1:36">
      <c r="A312" s="2" t="s">
        <v>128</v>
      </c>
      <c r="B312" s="2">
        <v>9817</v>
      </c>
      <c r="C312" s="2" t="s">
        <v>2335</v>
      </c>
      <c r="D312" s="2" t="s">
        <v>2336</v>
      </c>
      <c r="E312" s="4" t="s">
        <v>1376</v>
      </c>
      <c r="F312" s="2" t="s">
        <v>2337</v>
      </c>
      <c r="G312" s="2" t="s">
        <v>2338</v>
      </c>
      <c r="H312" s="2" t="s">
        <v>367</v>
      </c>
      <c r="I312" s="2" t="s">
        <v>219</v>
      </c>
      <c r="J312" s="2" t="s">
        <v>31</v>
      </c>
      <c r="K312" s="2" t="s">
        <v>31</v>
      </c>
      <c r="L312" s="2" t="s">
        <v>373</v>
      </c>
      <c r="M312" s="2" t="s">
        <v>32</v>
      </c>
      <c r="N312" s="2" t="s">
        <v>483</v>
      </c>
      <c r="O312" s="2" t="s">
        <v>164</v>
      </c>
      <c r="P312" s="2" t="s">
        <v>2287</v>
      </c>
      <c r="Q312" s="2" t="s">
        <v>98</v>
      </c>
      <c r="R312" s="2" t="s">
        <v>452</v>
      </c>
      <c r="S312" s="2" t="s">
        <v>35</v>
      </c>
      <c r="T312" s="150">
        <v>3.69</v>
      </c>
      <c r="U312" s="2" t="s">
        <v>2339</v>
      </c>
      <c r="V312" s="162">
        <v>1.7999999999999999E-2</v>
      </c>
      <c r="W312" s="164">
        <v>3.5799999999999998E-2</v>
      </c>
      <c r="X312" s="4" t="s">
        <v>458</v>
      </c>
      <c r="Y312" s="4" t="s">
        <v>164</v>
      </c>
      <c r="Z312" s="150">
        <v>7359.02</v>
      </c>
      <c r="AA312" s="150">
        <v>1</v>
      </c>
      <c r="AB312" s="150">
        <v>106.94</v>
      </c>
      <c r="AD312" s="150">
        <v>7.87</v>
      </c>
      <c r="AG312" s="2" t="s">
        <v>37</v>
      </c>
      <c r="AH312" s="164">
        <v>6.9999999999999999E-6</v>
      </c>
      <c r="AI312" s="164">
        <v>6.7529914954679901E-2</v>
      </c>
      <c r="AJ312" s="164">
        <v>5.3367923229091299E-3</v>
      </c>
    </row>
    <row r="313" spans="1:36">
      <c r="A313" s="2" t="s">
        <v>128</v>
      </c>
      <c r="B313" s="2">
        <v>9817</v>
      </c>
      <c r="C313" s="2" t="s">
        <v>2347</v>
      </c>
      <c r="D313" s="2" t="s">
        <v>2348</v>
      </c>
      <c r="E313" s="4" t="s">
        <v>1376</v>
      </c>
      <c r="F313" s="2" t="s">
        <v>2597</v>
      </c>
      <c r="G313" s="2" t="s">
        <v>2598</v>
      </c>
      <c r="H313" s="2" t="s">
        <v>367</v>
      </c>
      <c r="I313" s="2" t="s">
        <v>1010</v>
      </c>
      <c r="J313" s="2" t="s">
        <v>31</v>
      </c>
      <c r="K313" s="2" t="s">
        <v>31</v>
      </c>
      <c r="L313" s="2" t="s">
        <v>373</v>
      </c>
      <c r="M313" s="2" t="s">
        <v>32</v>
      </c>
      <c r="N313" s="2" t="s">
        <v>488</v>
      </c>
      <c r="O313" s="2" t="s">
        <v>164</v>
      </c>
      <c r="P313" s="2" t="s">
        <v>1392</v>
      </c>
      <c r="Q313" s="2" t="s">
        <v>98</v>
      </c>
      <c r="R313" s="2" t="s">
        <v>452</v>
      </c>
      <c r="S313" s="2" t="s">
        <v>35</v>
      </c>
      <c r="T313" s="150">
        <v>3.4</v>
      </c>
      <c r="U313" s="2" t="s">
        <v>1371</v>
      </c>
      <c r="V313" s="162">
        <v>1.7899999999999999E-2</v>
      </c>
      <c r="W313" s="164">
        <v>5.1369999999999999E-2</v>
      </c>
      <c r="X313" s="4" t="s">
        <v>458</v>
      </c>
      <c r="Y313" s="4" t="s">
        <v>164</v>
      </c>
      <c r="Z313" s="150">
        <v>6000</v>
      </c>
      <c r="AA313" s="150">
        <v>1</v>
      </c>
      <c r="AB313" s="150">
        <v>89.57</v>
      </c>
      <c r="AD313" s="150">
        <v>5.3739999999999997</v>
      </c>
      <c r="AG313" s="2" t="s">
        <v>37</v>
      </c>
      <c r="AH313" s="164">
        <v>1.7E-5</v>
      </c>
      <c r="AI313" s="164">
        <v>4.6115812462175401E-2</v>
      </c>
      <c r="AJ313" s="164">
        <v>3.6444665164767701E-3</v>
      </c>
    </row>
    <row r="314" spans="1:36">
      <c r="A314" s="2" t="s">
        <v>128</v>
      </c>
      <c r="B314" s="2">
        <v>9817</v>
      </c>
      <c r="C314" s="2" t="s">
        <v>2347</v>
      </c>
      <c r="D314" s="2" t="s">
        <v>2348</v>
      </c>
      <c r="E314" s="4" t="s">
        <v>1376</v>
      </c>
      <c r="F314" s="2" t="s">
        <v>2349</v>
      </c>
      <c r="G314" s="2" t="s">
        <v>2350</v>
      </c>
      <c r="H314" s="2" t="s">
        <v>367</v>
      </c>
      <c r="I314" s="2" t="s">
        <v>1010</v>
      </c>
      <c r="J314" s="2" t="s">
        <v>31</v>
      </c>
      <c r="K314" s="2" t="s">
        <v>31</v>
      </c>
      <c r="L314" s="2" t="s">
        <v>373</v>
      </c>
      <c r="M314" s="2" t="s">
        <v>32</v>
      </c>
      <c r="N314" s="2" t="s">
        <v>488</v>
      </c>
      <c r="O314" s="2" t="s">
        <v>164</v>
      </c>
      <c r="P314" s="2" t="s">
        <v>1392</v>
      </c>
      <c r="Q314" s="2" t="s">
        <v>98</v>
      </c>
      <c r="R314" s="2" t="s">
        <v>452</v>
      </c>
      <c r="S314" s="2" t="s">
        <v>35</v>
      </c>
      <c r="T314" s="150">
        <v>6.6689999999999996</v>
      </c>
      <c r="U314" s="2" t="s">
        <v>2351</v>
      </c>
      <c r="V314" s="162">
        <v>3.0499999999999999E-2</v>
      </c>
      <c r="W314" s="164">
        <v>6.0159999999999998E-2</v>
      </c>
      <c r="X314" s="4" t="s">
        <v>458</v>
      </c>
      <c r="Y314" s="4" t="s">
        <v>164</v>
      </c>
      <c r="Z314" s="150">
        <v>1546</v>
      </c>
      <c r="AA314" s="150">
        <v>1</v>
      </c>
      <c r="AB314" s="150">
        <v>82.6</v>
      </c>
      <c r="AD314" s="150">
        <v>1.2769999999999999</v>
      </c>
      <c r="AG314" s="2" t="s">
        <v>37</v>
      </c>
      <c r="AH314" s="164">
        <v>1.9999999999999999E-6</v>
      </c>
      <c r="AI314" s="164">
        <v>1.09578556903257E-2</v>
      </c>
      <c r="AJ314" s="164">
        <v>8.6598361871064995E-4</v>
      </c>
    </row>
    <row r="315" spans="1:36">
      <c r="A315" s="2" t="s">
        <v>128</v>
      </c>
      <c r="B315" s="2">
        <v>9817</v>
      </c>
      <c r="C315" s="2" t="s">
        <v>2347</v>
      </c>
      <c r="D315" s="2" t="s">
        <v>2348</v>
      </c>
      <c r="E315" s="4" t="s">
        <v>1376</v>
      </c>
      <c r="F315" s="2" t="s">
        <v>2502</v>
      </c>
      <c r="G315" s="2" t="s">
        <v>2503</v>
      </c>
      <c r="H315" s="2" t="s">
        <v>367</v>
      </c>
      <c r="I315" s="2" t="s">
        <v>1010</v>
      </c>
      <c r="J315" s="2" t="s">
        <v>31</v>
      </c>
      <c r="K315" s="2" t="s">
        <v>31</v>
      </c>
      <c r="L315" s="2" t="s">
        <v>373</v>
      </c>
      <c r="M315" s="2" t="s">
        <v>32</v>
      </c>
      <c r="N315" s="2" t="s">
        <v>488</v>
      </c>
      <c r="O315" s="2" t="s">
        <v>164</v>
      </c>
      <c r="P315" s="2" t="s">
        <v>1392</v>
      </c>
      <c r="Q315" s="2" t="s">
        <v>98</v>
      </c>
      <c r="R315" s="2" t="s">
        <v>452</v>
      </c>
      <c r="S315" s="2" t="s">
        <v>35</v>
      </c>
      <c r="T315" s="150">
        <v>7.53</v>
      </c>
      <c r="U315" s="2" t="s">
        <v>2504</v>
      </c>
      <c r="V315" s="162">
        <v>2.63E-2</v>
      </c>
      <c r="W315" s="164">
        <v>6.1780000000000002E-2</v>
      </c>
      <c r="X315" s="4" t="s">
        <v>458</v>
      </c>
      <c r="Y315" s="4" t="s">
        <v>164</v>
      </c>
      <c r="Z315" s="150">
        <v>1016</v>
      </c>
      <c r="AA315" s="150">
        <v>1</v>
      </c>
      <c r="AB315" s="150">
        <v>77.16</v>
      </c>
      <c r="AD315" s="150">
        <v>0.78400000000000003</v>
      </c>
      <c r="AG315" s="2" t="s">
        <v>37</v>
      </c>
      <c r="AH315" s="164">
        <v>9.9999999999999995E-7</v>
      </c>
      <c r="AI315" s="164">
        <v>6.7270083491771E-3</v>
      </c>
      <c r="AJ315" s="164">
        <v>5.3162582150632497E-4</v>
      </c>
    </row>
    <row r="316" spans="1:36">
      <c r="A316" s="2" t="s">
        <v>128</v>
      </c>
      <c r="B316" s="2">
        <v>9817</v>
      </c>
      <c r="C316" s="2" t="s">
        <v>1222</v>
      </c>
      <c r="D316" s="2" t="s">
        <v>1945</v>
      </c>
      <c r="E316" s="4" t="s">
        <v>1376</v>
      </c>
      <c r="F316" s="2" t="s">
        <v>2599</v>
      </c>
      <c r="G316" s="2" t="s">
        <v>2600</v>
      </c>
      <c r="H316" s="2" t="s">
        <v>367</v>
      </c>
      <c r="I316" s="2" t="s">
        <v>1010</v>
      </c>
      <c r="J316" s="2" t="s">
        <v>31</v>
      </c>
      <c r="K316" s="2" t="s">
        <v>31</v>
      </c>
      <c r="L316" s="2" t="s">
        <v>373</v>
      </c>
      <c r="M316" s="2" t="s">
        <v>32</v>
      </c>
      <c r="N316" s="2" t="s">
        <v>491</v>
      </c>
      <c r="O316" s="2" t="s">
        <v>164</v>
      </c>
      <c r="P316" s="2" t="s">
        <v>216</v>
      </c>
      <c r="Q316" s="2" t="s">
        <v>217</v>
      </c>
      <c r="R316" s="2" t="s">
        <v>452</v>
      </c>
      <c r="S316" s="2" t="s">
        <v>35</v>
      </c>
      <c r="T316" s="150">
        <v>0.66</v>
      </c>
      <c r="U316" s="2" t="s">
        <v>2601</v>
      </c>
      <c r="V316" s="162">
        <v>2.0199999999999999E-2</v>
      </c>
      <c r="W316" s="164">
        <v>4.7199999999999999E-2</v>
      </c>
      <c r="X316" s="4" t="s">
        <v>458</v>
      </c>
      <c r="Y316" s="4" t="s">
        <v>164</v>
      </c>
      <c r="Z316" s="150">
        <v>2860</v>
      </c>
      <c r="AA316" s="150">
        <v>1</v>
      </c>
      <c r="AB316" s="150">
        <v>99.11</v>
      </c>
      <c r="AD316" s="150">
        <v>2.835</v>
      </c>
      <c r="AG316" s="2" t="s">
        <v>37</v>
      </c>
      <c r="AH316" s="164">
        <v>3.0000000000000001E-6</v>
      </c>
      <c r="AI316" s="164">
        <v>2.4323134931972999E-2</v>
      </c>
      <c r="AJ316" s="164">
        <v>1.92222246779301E-3</v>
      </c>
    </row>
    <row r="317" spans="1:36">
      <c r="A317" s="2" t="s">
        <v>128</v>
      </c>
      <c r="B317" s="2">
        <v>9817</v>
      </c>
      <c r="C317" s="2" t="s">
        <v>2395</v>
      </c>
      <c r="D317" s="2" t="s">
        <v>2396</v>
      </c>
      <c r="E317" s="4" t="s">
        <v>1376</v>
      </c>
      <c r="F317" s="2" t="s">
        <v>2602</v>
      </c>
      <c r="G317" s="2" t="s">
        <v>2603</v>
      </c>
      <c r="H317" s="2" t="s">
        <v>367</v>
      </c>
      <c r="I317" s="2" t="s">
        <v>1010</v>
      </c>
      <c r="J317" s="2" t="s">
        <v>31</v>
      </c>
      <c r="K317" s="2" t="s">
        <v>31</v>
      </c>
      <c r="L317" s="2" t="s">
        <v>373</v>
      </c>
      <c r="M317" s="2" t="s">
        <v>32</v>
      </c>
      <c r="N317" s="2" t="s">
        <v>491</v>
      </c>
      <c r="O317" s="2" t="s">
        <v>164</v>
      </c>
      <c r="P317" s="2" t="s">
        <v>97</v>
      </c>
      <c r="Q317" s="2" t="s">
        <v>98</v>
      </c>
      <c r="R317" s="2" t="s">
        <v>452</v>
      </c>
      <c r="S317" s="2" t="s">
        <v>35</v>
      </c>
      <c r="T317" s="150">
        <v>0.17799999999999999</v>
      </c>
      <c r="U317" s="2" t="s">
        <v>2604</v>
      </c>
      <c r="V317" s="162">
        <v>1.09E-2</v>
      </c>
      <c r="W317" s="164">
        <v>4.7379999999999999E-2</v>
      </c>
      <c r="X317" s="4" t="s">
        <v>458</v>
      </c>
      <c r="Y317" s="4" t="s">
        <v>164</v>
      </c>
      <c r="Z317" s="150">
        <v>5000</v>
      </c>
      <c r="AA317" s="150">
        <v>1</v>
      </c>
      <c r="AB317" s="150">
        <v>100.26</v>
      </c>
      <c r="AD317" s="150">
        <v>5.0129999999999999</v>
      </c>
      <c r="AG317" s="2" t="s">
        <v>37</v>
      </c>
      <c r="AH317" s="164">
        <v>6.9999999999999999E-6</v>
      </c>
      <c r="AI317" s="164">
        <v>4.3016368552135302E-2</v>
      </c>
      <c r="AJ317" s="164">
        <v>3.3995219096978301E-3</v>
      </c>
    </row>
    <row r="318" spans="1:36">
      <c r="A318" s="2" t="s">
        <v>128</v>
      </c>
      <c r="B318" s="2">
        <v>9817</v>
      </c>
      <c r="C318" s="2" t="s">
        <v>2395</v>
      </c>
      <c r="D318" s="2" t="s">
        <v>2396</v>
      </c>
      <c r="E318" s="4" t="s">
        <v>1376</v>
      </c>
      <c r="F318" s="2" t="s">
        <v>2530</v>
      </c>
      <c r="G318" s="2" t="s">
        <v>2531</v>
      </c>
      <c r="H318" s="2" t="s">
        <v>367</v>
      </c>
      <c r="I318" s="2" t="s">
        <v>1010</v>
      </c>
      <c r="J318" s="2" t="s">
        <v>31</v>
      </c>
      <c r="K318" s="2" t="s">
        <v>31</v>
      </c>
      <c r="L318" s="2" t="s">
        <v>373</v>
      </c>
      <c r="M318" s="2" t="s">
        <v>32</v>
      </c>
      <c r="N318" s="2" t="s">
        <v>491</v>
      </c>
      <c r="O318" s="2" t="s">
        <v>164</v>
      </c>
      <c r="P318" s="2" t="s">
        <v>97</v>
      </c>
      <c r="Q318" s="2" t="s">
        <v>98</v>
      </c>
      <c r="R318" s="2" t="s">
        <v>452</v>
      </c>
      <c r="S318" s="2" t="s">
        <v>35</v>
      </c>
      <c r="T318" s="150">
        <v>0.93400000000000005</v>
      </c>
      <c r="U318" s="2" t="s">
        <v>2532</v>
      </c>
      <c r="V318" s="162">
        <v>2.98E-2</v>
      </c>
      <c r="W318" s="164">
        <v>4.4900000000000002E-2</v>
      </c>
      <c r="X318" s="4" t="s">
        <v>458</v>
      </c>
      <c r="Y318" s="4" t="s">
        <v>164</v>
      </c>
      <c r="Z318" s="150">
        <v>2050</v>
      </c>
      <c r="AA318" s="150">
        <v>1</v>
      </c>
      <c r="AB318" s="150">
        <v>98.82</v>
      </c>
      <c r="AD318" s="150">
        <v>2.0259999999999998</v>
      </c>
      <c r="AG318" s="2" t="s">
        <v>37</v>
      </c>
      <c r="AH318" s="164">
        <v>9.9999999999999995E-7</v>
      </c>
      <c r="AI318" s="164">
        <v>1.7383401072531598E-2</v>
      </c>
      <c r="AJ318" s="164">
        <v>1.37378525431577E-3</v>
      </c>
    </row>
    <row r="319" spans="1:36">
      <c r="A319" s="2" t="s">
        <v>128</v>
      </c>
      <c r="B319" s="2">
        <v>9817</v>
      </c>
      <c r="C319" s="2" t="s">
        <v>2395</v>
      </c>
      <c r="D319" s="2" t="s">
        <v>2396</v>
      </c>
      <c r="E319" s="4" t="s">
        <v>1376</v>
      </c>
      <c r="F319" s="2" t="s">
        <v>2605</v>
      </c>
      <c r="G319" s="2" t="s">
        <v>2606</v>
      </c>
      <c r="H319" s="2" t="s">
        <v>367</v>
      </c>
      <c r="I319" s="2" t="s">
        <v>219</v>
      </c>
      <c r="J319" s="2" t="s">
        <v>31</v>
      </c>
      <c r="K319" s="2" t="s">
        <v>31</v>
      </c>
      <c r="L319" s="2" t="s">
        <v>373</v>
      </c>
      <c r="M319" s="2" t="s">
        <v>32</v>
      </c>
      <c r="N319" s="2" t="s">
        <v>491</v>
      </c>
      <c r="O319" s="2" t="s">
        <v>164</v>
      </c>
      <c r="P319" s="2" t="s">
        <v>97</v>
      </c>
      <c r="Q319" s="2" t="s">
        <v>98</v>
      </c>
      <c r="R319" s="2" t="s">
        <v>452</v>
      </c>
      <c r="S319" s="2" t="s">
        <v>35</v>
      </c>
      <c r="T319" s="150">
        <v>1.9710000000000001</v>
      </c>
      <c r="U319" s="2" t="s">
        <v>2607</v>
      </c>
      <c r="V319" s="162">
        <v>3.8E-3</v>
      </c>
      <c r="W319" s="164">
        <v>2.087E-2</v>
      </c>
      <c r="X319" s="4" t="s">
        <v>458</v>
      </c>
      <c r="Y319" s="4" t="s">
        <v>164</v>
      </c>
      <c r="Z319" s="150">
        <v>7012</v>
      </c>
      <c r="AA319" s="150">
        <v>1</v>
      </c>
      <c r="AB319" s="150">
        <v>107.97</v>
      </c>
      <c r="AD319" s="150">
        <v>7.5709999999999997</v>
      </c>
      <c r="AG319" s="2" t="s">
        <v>37</v>
      </c>
      <c r="AH319" s="164">
        <v>1.9999999999999999E-6</v>
      </c>
      <c r="AI319" s="164">
        <v>6.4965240207000202E-2</v>
      </c>
      <c r="AJ319" s="164">
        <v>5.1341097560295302E-3</v>
      </c>
    </row>
    <row r="320" spans="1:36">
      <c r="A320" s="2" t="s">
        <v>128</v>
      </c>
      <c r="B320" s="2">
        <v>9817</v>
      </c>
      <c r="C320" s="2" t="s">
        <v>1960</v>
      </c>
      <c r="D320" s="2" t="s">
        <v>1961</v>
      </c>
      <c r="E320" s="4" t="s">
        <v>1376</v>
      </c>
      <c r="F320" s="2" t="s">
        <v>2508</v>
      </c>
      <c r="G320" s="2" t="s">
        <v>2509</v>
      </c>
      <c r="H320" s="2" t="s">
        <v>367</v>
      </c>
      <c r="I320" s="2" t="s">
        <v>219</v>
      </c>
      <c r="J320" s="2" t="s">
        <v>31</v>
      </c>
      <c r="K320" s="2" t="s">
        <v>31</v>
      </c>
      <c r="L320" s="2" t="s">
        <v>373</v>
      </c>
      <c r="M320" s="2" t="s">
        <v>32</v>
      </c>
      <c r="N320" s="2" t="s">
        <v>507</v>
      </c>
      <c r="O320" s="2" t="s">
        <v>164</v>
      </c>
      <c r="P320" s="2" t="s">
        <v>2247</v>
      </c>
      <c r="Q320" s="2" t="s">
        <v>217</v>
      </c>
      <c r="R320" s="2" t="s">
        <v>452</v>
      </c>
      <c r="S320" s="2" t="s">
        <v>35</v>
      </c>
      <c r="T320" s="150">
        <v>1.0069999999999999</v>
      </c>
      <c r="U320" s="2" t="s">
        <v>2510</v>
      </c>
      <c r="V320" s="162">
        <v>2.3E-2</v>
      </c>
      <c r="W320" s="164">
        <v>2.742E-2</v>
      </c>
      <c r="X320" s="4" t="s">
        <v>458</v>
      </c>
      <c r="Y320" s="4" t="s">
        <v>164</v>
      </c>
      <c r="Z320" s="150">
        <v>3965.62</v>
      </c>
      <c r="AA320" s="150">
        <v>1</v>
      </c>
      <c r="AB320" s="150">
        <v>114.76</v>
      </c>
      <c r="AC320" s="150">
        <v>0.109</v>
      </c>
      <c r="AD320" s="150">
        <v>4.66</v>
      </c>
      <c r="AG320" s="2" t="s">
        <v>37</v>
      </c>
      <c r="AH320" s="164">
        <v>5.0000000000000004E-6</v>
      </c>
      <c r="AI320" s="164">
        <v>3.9987164219390199E-2</v>
      </c>
      <c r="AJ320" s="164">
        <v>3.1601282359701699E-3</v>
      </c>
    </row>
    <row r="321" spans="1:36">
      <c r="A321" s="2" t="s">
        <v>128</v>
      </c>
      <c r="B321" s="2">
        <v>9817</v>
      </c>
      <c r="C321" s="2" t="s">
        <v>1960</v>
      </c>
      <c r="D321" s="2" t="s">
        <v>1961</v>
      </c>
      <c r="E321" s="4" t="s">
        <v>1376</v>
      </c>
      <c r="F321" s="2" t="s">
        <v>2608</v>
      </c>
      <c r="G321" s="2" t="s">
        <v>2609</v>
      </c>
      <c r="H321" s="2" t="s">
        <v>367</v>
      </c>
      <c r="I321" s="2" t="s">
        <v>219</v>
      </c>
      <c r="J321" s="2" t="s">
        <v>31</v>
      </c>
      <c r="K321" s="2" t="s">
        <v>31</v>
      </c>
      <c r="L321" s="2" t="s">
        <v>373</v>
      </c>
      <c r="M321" s="2" t="s">
        <v>32</v>
      </c>
      <c r="N321" s="2" t="s">
        <v>507</v>
      </c>
      <c r="O321" s="2" t="s">
        <v>164</v>
      </c>
      <c r="P321" s="2" t="s">
        <v>2247</v>
      </c>
      <c r="Q321" s="2" t="s">
        <v>217</v>
      </c>
      <c r="R321" s="2" t="s">
        <v>452</v>
      </c>
      <c r="S321" s="2" t="s">
        <v>35</v>
      </c>
      <c r="T321" s="150">
        <v>1.752</v>
      </c>
      <c r="U321" s="2" t="s">
        <v>2610</v>
      </c>
      <c r="V321" s="162">
        <v>2.1499999999999998E-2</v>
      </c>
      <c r="W321" s="164">
        <v>2.5180000000000001E-2</v>
      </c>
      <c r="X321" s="4" t="s">
        <v>458</v>
      </c>
      <c r="Y321" s="4" t="s">
        <v>164</v>
      </c>
      <c r="Z321" s="150">
        <v>3693.72</v>
      </c>
      <c r="AA321" s="150">
        <v>1</v>
      </c>
      <c r="AB321" s="150">
        <v>115.16</v>
      </c>
      <c r="AD321" s="150">
        <v>4.2539999999999996</v>
      </c>
      <c r="AG321" s="2" t="s">
        <v>37</v>
      </c>
      <c r="AH321" s="164">
        <v>3.0000000000000001E-6</v>
      </c>
      <c r="AI321" s="164">
        <v>3.6500739806305499E-2</v>
      </c>
      <c r="AJ321" s="164">
        <v>2.88460111506916E-3</v>
      </c>
    </row>
    <row r="322" spans="1:36">
      <c r="A322" s="2" t="s">
        <v>128</v>
      </c>
      <c r="B322" s="2">
        <v>9817</v>
      </c>
      <c r="C322" s="2" t="s">
        <v>1960</v>
      </c>
      <c r="D322" s="2" t="s">
        <v>1961</v>
      </c>
      <c r="E322" s="4" t="s">
        <v>1376</v>
      </c>
      <c r="F322" s="2" t="s">
        <v>2611</v>
      </c>
      <c r="G322" s="2" t="s">
        <v>2612</v>
      </c>
      <c r="H322" s="2" t="s">
        <v>367</v>
      </c>
      <c r="I322" s="2" t="s">
        <v>219</v>
      </c>
      <c r="J322" s="2" t="s">
        <v>31</v>
      </c>
      <c r="K322" s="2" t="s">
        <v>31</v>
      </c>
      <c r="L322" s="2" t="s">
        <v>373</v>
      </c>
      <c r="M322" s="2" t="s">
        <v>32</v>
      </c>
      <c r="N322" s="2" t="s">
        <v>507</v>
      </c>
      <c r="O322" s="2" t="s">
        <v>164</v>
      </c>
      <c r="P322" s="2" t="s">
        <v>2247</v>
      </c>
      <c r="Q322" s="2" t="s">
        <v>217</v>
      </c>
      <c r="R322" s="2" t="s">
        <v>452</v>
      </c>
      <c r="S322" s="2" t="s">
        <v>35</v>
      </c>
      <c r="T322" s="150">
        <v>2.577</v>
      </c>
      <c r="U322" s="2" t="s">
        <v>2613</v>
      </c>
      <c r="V322" s="162">
        <v>2.35E-2</v>
      </c>
      <c r="W322" s="164">
        <v>2.5690000000000001E-2</v>
      </c>
      <c r="X322" s="4" t="s">
        <v>458</v>
      </c>
      <c r="Y322" s="4" t="s">
        <v>164</v>
      </c>
      <c r="Z322" s="150">
        <v>13148</v>
      </c>
      <c r="AA322" s="150">
        <v>1</v>
      </c>
      <c r="AB322" s="150">
        <v>114.98</v>
      </c>
      <c r="AD322" s="150">
        <v>15.118</v>
      </c>
      <c r="AG322" s="2" t="s">
        <v>37</v>
      </c>
      <c r="AH322" s="164">
        <v>1.4E-5</v>
      </c>
      <c r="AI322" s="164">
        <v>0.129723315367894</v>
      </c>
      <c r="AJ322" s="164">
        <v>1.02518475555953E-2</v>
      </c>
    </row>
    <row r="323" spans="1:36">
      <c r="A323" s="2" t="s">
        <v>128</v>
      </c>
      <c r="B323" s="2">
        <v>9817</v>
      </c>
      <c r="C323" s="2" t="s">
        <v>2163</v>
      </c>
      <c r="D323" s="2" t="s">
        <v>2164</v>
      </c>
      <c r="E323" s="4" t="s">
        <v>1376</v>
      </c>
      <c r="F323" s="2" t="s">
        <v>2591</v>
      </c>
      <c r="G323" s="2" t="s">
        <v>2592</v>
      </c>
      <c r="H323" s="2" t="s">
        <v>367</v>
      </c>
      <c r="I323" s="2" t="s">
        <v>219</v>
      </c>
      <c r="J323" s="2" t="s">
        <v>31</v>
      </c>
      <c r="K323" s="2" t="s">
        <v>31</v>
      </c>
      <c r="L323" s="2" t="s">
        <v>373</v>
      </c>
      <c r="M323" s="2" t="s">
        <v>32</v>
      </c>
      <c r="N323" s="2" t="s">
        <v>507</v>
      </c>
      <c r="O323" s="2" t="s">
        <v>164</v>
      </c>
      <c r="P323" s="2" t="s">
        <v>1392</v>
      </c>
      <c r="Q323" s="2" t="s">
        <v>98</v>
      </c>
      <c r="R323" s="2" t="s">
        <v>452</v>
      </c>
      <c r="S323" s="2" t="s">
        <v>35</v>
      </c>
      <c r="T323" s="150">
        <v>3.0230000000000001</v>
      </c>
      <c r="U323" s="2" t="s">
        <v>1371</v>
      </c>
      <c r="V323" s="162">
        <v>2.75E-2</v>
      </c>
      <c r="W323" s="164">
        <v>3.124E-2</v>
      </c>
      <c r="X323" s="4" t="s">
        <v>458</v>
      </c>
      <c r="Y323" s="4" t="s">
        <v>164</v>
      </c>
      <c r="Z323" s="150">
        <v>4250</v>
      </c>
      <c r="AA323" s="150">
        <v>1</v>
      </c>
      <c r="AB323" s="150">
        <v>111.38</v>
      </c>
      <c r="AD323" s="150">
        <v>4.734</v>
      </c>
      <c r="AG323" s="2" t="s">
        <v>37</v>
      </c>
      <c r="AH323" s="164">
        <v>7.9999999999999996E-6</v>
      </c>
      <c r="AI323" s="164">
        <v>4.0619276480513701E-2</v>
      </c>
      <c r="AJ323" s="164">
        <v>3.2100831613487198E-3</v>
      </c>
    </row>
    <row r="324" spans="1:36">
      <c r="A324" s="2" t="s">
        <v>128</v>
      </c>
      <c r="B324" s="2">
        <v>9817</v>
      </c>
      <c r="C324" s="2" t="s">
        <v>1968</v>
      </c>
      <c r="D324" s="2" t="s">
        <v>1518</v>
      </c>
      <c r="E324" s="4" t="s">
        <v>1376</v>
      </c>
      <c r="F324" s="2" t="s">
        <v>2409</v>
      </c>
      <c r="G324" s="2" t="s">
        <v>2410</v>
      </c>
      <c r="H324" s="2" t="s">
        <v>367</v>
      </c>
      <c r="I324" s="2" t="s">
        <v>1010</v>
      </c>
      <c r="J324" s="2" t="s">
        <v>31</v>
      </c>
      <c r="K324" s="2" t="s">
        <v>31</v>
      </c>
      <c r="L324" s="2" t="s">
        <v>373</v>
      </c>
      <c r="M324" s="2" t="s">
        <v>32</v>
      </c>
      <c r="N324" s="2" t="s">
        <v>486</v>
      </c>
      <c r="O324" s="2" t="s">
        <v>164</v>
      </c>
      <c r="P324" s="2" t="s">
        <v>2287</v>
      </c>
      <c r="Q324" s="2" t="s">
        <v>98</v>
      </c>
      <c r="R324" s="2" t="s">
        <v>452</v>
      </c>
      <c r="S324" s="2" t="s">
        <v>35</v>
      </c>
      <c r="T324" s="150">
        <v>1.1870000000000001</v>
      </c>
      <c r="U324" s="2" t="s">
        <v>2411</v>
      </c>
      <c r="V324" s="162">
        <v>0.114</v>
      </c>
      <c r="W324" s="164">
        <v>6.7919999999999994E-2</v>
      </c>
      <c r="X324" s="4" t="s">
        <v>458</v>
      </c>
      <c r="Y324" s="4" t="s">
        <v>164</v>
      </c>
      <c r="Z324" s="150">
        <v>2971</v>
      </c>
      <c r="AA324" s="150">
        <v>1</v>
      </c>
      <c r="AB324" s="150">
        <v>101.87</v>
      </c>
      <c r="AD324" s="150">
        <v>3.0270000000000001</v>
      </c>
      <c r="AG324" s="2" t="s">
        <v>37</v>
      </c>
      <c r="AH324" s="164">
        <v>7.9999999999999996E-6</v>
      </c>
      <c r="AI324" s="164">
        <v>2.5970780264812102E-2</v>
      </c>
      <c r="AJ324" s="164">
        <v>2.0524335152832E-3</v>
      </c>
    </row>
    <row r="325" spans="1:36">
      <c r="A325" s="2" t="s">
        <v>128</v>
      </c>
      <c r="B325" s="2">
        <v>9817</v>
      </c>
      <c r="C325" s="2" t="s">
        <v>2415</v>
      </c>
      <c r="D325" s="2" t="s">
        <v>2416</v>
      </c>
      <c r="E325" s="4" t="s">
        <v>1376</v>
      </c>
      <c r="F325" s="2" t="s">
        <v>2417</v>
      </c>
      <c r="G325" s="2" t="s">
        <v>2418</v>
      </c>
      <c r="H325" s="2" t="s">
        <v>367</v>
      </c>
      <c r="I325" s="2" t="s">
        <v>219</v>
      </c>
      <c r="J325" s="2" t="s">
        <v>31</v>
      </c>
      <c r="K325" s="2" t="s">
        <v>31</v>
      </c>
      <c r="L325" s="2" t="s">
        <v>373</v>
      </c>
      <c r="M325" s="2" t="s">
        <v>32</v>
      </c>
      <c r="N325" s="2" t="s">
        <v>490</v>
      </c>
      <c r="O325" s="2" t="s">
        <v>164</v>
      </c>
      <c r="P325" s="2" t="s">
        <v>1370</v>
      </c>
      <c r="Q325" s="2" t="s">
        <v>98</v>
      </c>
      <c r="R325" s="2" t="s">
        <v>452</v>
      </c>
      <c r="S325" s="2" t="s">
        <v>35</v>
      </c>
      <c r="T325" s="150">
        <v>3.911</v>
      </c>
      <c r="U325" s="2" t="s">
        <v>2419</v>
      </c>
      <c r="V325" s="162">
        <v>2.07E-2</v>
      </c>
      <c r="W325" s="164">
        <v>5.0009999999999999E-2</v>
      </c>
      <c r="X325" s="4" t="s">
        <v>458</v>
      </c>
      <c r="Y325" s="4" t="s">
        <v>164</v>
      </c>
      <c r="Z325" s="150">
        <v>2104.0300000000002</v>
      </c>
      <c r="AA325" s="150">
        <v>1</v>
      </c>
      <c r="AB325" s="150">
        <v>98.87</v>
      </c>
      <c r="AD325" s="150">
        <v>2.08</v>
      </c>
      <c r="AG325" s="2" t="s">
        <v>37</v>
      </c>
      <c r="AH325" s="164">
        <v>3.9999999999999998E-6</v>
      </c>
      <c r="AI325" s="164">
        <v>1.7850586989148098E-2</v>
      </c>
      <c r="AJ325" s="164">
        <v>1.4107062872364101E-3</v>
      </c>
    </row>
    <row r="326" spans="1:36">
      <c r="A326" s="2" t="s">
        <v>128</v>
      </c>
      <c r="B326" s="2">
        <v>9817</v>
      </c>
      <c r="C326" s="2" t="s">
        <v>1991</v>
      </c>
      <c r="D326" s="2" t="s">
        <v>1992</v>
      </c>
      <c r="E326" s="4" t="s">
        <v>1376</v>
      </c>
      <c r="F326" s="2" t="s">
        <v>2452</v>
      </c>
      <c r="G326" s="2" t="s">
        <v>2453</v>
      </c>
      <c r="H326" s="2" t="s">
        <v>367</v>
      </c>
      <c r="I326" s="2" t="s">
        <v>219</v>
      </c>
      <c r="J326" s="2" t="s">
        <v>31</v>
      </c>
      <c r="K326" s="2" t="s">
        <v>31</v>
      </c>
      <c r="L326" s="2" t="s">
        <v>373</v>
      </c>
      <c r="M326" s="2" t="s">
        <v>32</v>
      </c>
      <c r="N326" s="2" t="s">
        <v>507</v>
      </c>
      <c r="O326" s="2" t="s">
        <v>164</v>
      </c>
      <c r="P326" s="2" t="s">
        <v>1555</v>
      </c>
      <c r="Q326" s="2" t="s">
        <v>217</v>
      </c>
      <c r="R326" s="2" t="s">
        <v>452</v>
      </c>
      <c r="S326" s="2" t="s">
        <v>35</v>
      </c>
      <c r="T326" s="150">
        <v>10.566000000000001</v>
      </c>
      <c r="U326" s="2" t="s">
        <v>2454</v>
      </c>
      <c r="V326" s="162">
        <v>1.6899999999999998E-2</v>
      </c>
      <c r="W326" s="164">
        <v>3.8179999999999999E-2</v>
      </c>
      <c r="X326" s="4" t="s">
        <v>458</v>
      </c>
      <c r="Y326" s="4" t="s">
        <v>164</v>
      </c>
      <c r="Z326" s="150">
        <v>2131</v>
      </c>
      <c r="AA326" s="150">
        <v>1</v>
      </c>
      <c r="AB326" s="150">
        <v>89.8</v>
      </c>
      <c r="AC326" s="150">
        <v>0.02</v>
      </c>
      <c r="AD326" s="150">
        <v>1.9339999999999999</v>
      </c>
      <c r="AG326" s="2" t="s">
        <v>37</v>
      </c>
      <c r="AH326" s="164">
        <v>0</v>
      </c>
      <c r="AI326" s="164">
        <v>1.6593677866748702E-2</v>
      </c>
      <c r="AJ326" s="164">
        <v>1.3113745620370299E-3</v>
      </c>
    </row>
    <row r="327" spans="1:36">
      <c r="A327" s="2" t="s">
        <v>128</v>
      </c>
      <c r="B327" s="2">
        <v>9817</v>
      </c>
      <c r="C327" s="2" t="s">
        <v>1995</v>
      </c>
      <c r="D327" s="2" t="s">
        <v>1996</v>
      </c>
      <c r="E327" s="4" t="s">
        <v>1376</v>
      </c>
      <c r="F327" s="2" t="s">
        <v>2614</v>
      </c>
      <c r="G327" s="2" t="s">
        <v>2615</v>
      </c>
      <c r="H327" s="2" t="s">
        <v>367</v>
      </c>
      <c r="I327" s="2" t="s">
        <v>219</v>
      </c>
      <c r="J327" s="2" t="s">
        <v>31</v>
      </c>
      <c r="K327" s="2" t="s">
        <v>31</v>
      </c>
      <c r="L327" s="2" t="s">
        <v>373</v>
      </c>
      <c r="M327" s="2" t="s">
        <v>32</v>
      </c>
      <c r="N327" s="2" t="s">
        <v>491</v>
      </c>
      <c r="O327" s="2" t="s">
        <v>164</v>
      </c>
      <c r="P327" s="2" t="s">
        <v>97</v>
      </c>
      <c r="Q327" s="2" t="s">
        <v>98</v>
      </c>
      <c r="R327" s="2" t="s">
        <v>452</v>
      </c>
      <c r="S327" s="2" t="s">
        <v>35</v>
      </c>
      <c r="T327" s="150">
        <v>3.262</v>
      </c>
      <c r="U327" s="2" t="s">
        <v>2616</v>
      </c>
      <c r="V327" s="162">
        <v>1.7500000000000002E-2</v>
      </c>
      <c r="W327" s="164">
        <v>2.4060000000000002E-2</v>
      </c>
      <c r="X327" s="4" t="s">
        <v>458</v>
      </c>
      <c r="Y327" s="4" t="s">
        <v>164</v>
      </c>
      <c r="Z327" s="150">
        <v>4512.28</v>
      </c>
      <c r="AA327" s="150">
        <v>1</v>
      </c>
      <c r="AB327" s="150">
        <v>111.51</v>
      </c>
      <c r="AD327" s="150">
        <v>5.032</v>
      </c>
      <c r="AG327" s="2" t="s">
        <v>37</v>
      </c>
      <c r="AH327" s="164">
        <v>1.9999999999999999E-6</v>
      </c>
      <c r="AI327" s="164">
        <v>4.3176347121838703E-2</v>
      </c>
      <c r="AJ327" s="164">
        <v>3.41216478660943E-3</v>
      </c>
    </row>
    <row r="328" spans="1:36">
      <c r="A328" s="2" t="s">
        <v>128</v>
      </c>
      <c r="B328" s="2">
        <v>9817</v>
      </c>
      <c r="C328" s="2" t="s">
        <v>2003</v>
      </c>
      <c r="D328" s="2" t="s">
        <v>2004</v>
      </c>
      <c r="E328" s="4" t="s">
        <v>1376</v>
      </c>
      <c r="F328" s="2" t="s">
        <v>2537</v>
      </c>
      <c r="G328" s="2" t="s">
        <v>2538</v>
      </c>
      <c r="H328" s="2" t="s">
        <v>367</v>
      </c>
      <c r="I328" s="2" t="s">
        <v>1010</v>
      </c>
      <c r="J328" s="2" t="s">
        <v>31</v>
      </c>
      <c r="K328" s="2" t="s">
        <v>31</v>
      </c>
      <c r="L328" s="2" t="s">
        <v>373</v>
      </c>
      <c r="M328" s="2" t="s">
        <v>32</v>
      </c>
      <c r="N328" s="2" t="s">
        <v>528</v>
      </c>
      <c r="O328" s="2" t="s">
        <v>164</v>
      </c>
      <c r="P328" s="2" t="s">
        <v>1387</v>
      </c>
      <c r="Q328" s="2" t="s">
        <v>217</v>
      </c>
      <c r="R328" s="2" t="s">
        <v>452</v>
      </c>
      <c r="S328" s="2" t="s">
        <v>35</v>
      </c>
      <c r="T328" s="150">
        <v>2.327</v>
      </c>
      <c r="U328" s="2" t="s">
        <v>2539</v>
      </c>
      <c r="V328" s="162">
        <v>0.04</v>
      </c>
      <c r="W328" s="164">
        <v>5.2909999999999999E-2</v>
      </c>
      <c r="X328" s="4" t="s">
        <v>458</v>
      </c>
      <c r="Y328" s="4" t="s">
        <v>164</v>
      </c>
      <c r="Z328" s="150">
        <v>1750</v>
      </c>
      <c r="AA328" s="150">
        <v>1</v>
      </c>
      <c r="AB328" s="150">
        <v>97.24</v>
      </c>
      <c r="AD328" s="150">
        <v>1.702</v>
      </c>
      <c r="AG328" s="2" t="s">
        <v>37</v>
      </c>
      <c r="AH328" s="164">
        <v>3.0000000000000001E-6</v>
      </c>
      <c r="AI328" s="164">
        <v>1.46022250878054E-2</v>
      </c>
      <c r="AJ328" s="164">
        <v>1.15399290519306E-3</v>
      </c>
    </row>
    <row r="329" spans="1:36">
      <c r="A329" s="2" t="s">
        <v>128</v>
      </c>
      <c r="B329" s="2">
        <v>9817</v>
      </c>
      <c r="C329" s="2" t="s">
        <v>2617</v>
      </c>
      <c r="D329" s="2" t="s">
        <v>2618</v>
      </c>
      <c r="E329" s="4" t="s">
        <v>1376</v>
      </c>
      <c r="F329" s="2" t="s">
        <v>2619</v>
      </c>
      <c r="G329" s="2" t="s">
        <v>2620</v>
      </c>
      <c r="H329" s="2" t="s">
        <v>367</v>
      </c>
      <c r="I329" s="2" t="s">
        <v>219</v>
      </c>
      <c r="J329" s="2" t="s">
        <v>31</v>
      </c>
      <c r="K329" s="2" t="s">
        <v>31</v>
      </c>
      <c r="L329" s="2" t="s">
        <v>373</v>
      </c>
      <c r="M329" s="2" t="s">
        <v>32</v>
      </c>
      <c r="N329" s="2" t="s">
        <v>494</v>
      </c>
      <c r="O329" s="2" t="s">
        <v>164</v>
      </c>
      <c r="P329" s="2" t="s">
        <v>2258</v>
      </c>
      <c r="Q329" s="2" t="s">
        <v>217</v>
      </c>
      <c r="R329" s="2" t="s">
        <v>452</v>
      </c>
      <c r="S329" s="2" t="s">
        <v>35</v>
      </c>
      <c r="T329" s="150">
        <v>4.2450000000000001</v>
      </c>
      <c r="U329" s="2" t="s">
        <v>2351</v>
      </c>
      <c r="V329" s="162">
        <v>7.4999999999999997E-3</v>
      </c>
      <c r="W329" s="164">
        <v>3.8010000000000002E-2</v>
      </c>
      <c r="X329" s="4" t="s">
        <v>458</v>
      </c>
      <c r="Y329" s="4" t="s">
        <v>164</v>
      </c>
      <c r="Z329" s="150">
        <v>931.95</v>
      </c>
      <c r="AA329" s="150">
        <v>1</v>
      </c>
      <c r="AB329" s="150">
        <v>97.3</v>
      </c>
      <c r="AD329" s="150">
        <v>0.90700000000000003</v>
      </c>
      <c r="AG329" s="2" t="s">
        <v>37</v>
      </c>
      <c r="AH329" s="164">
        <v>9.9999999999999995E-7</v>
      </c>
      <c r="AI329" s="164">
        <v>7.78110888609896E-3</v>
      </c>
      <c r="AJ329" s="164">
        <v>6.1492987507716596E-4</v>
      </c>
    </row>
    <row r="330" spans="1:36">
      <c r="A330" s="2" t="s">
        <v>144</v>
      </c>
      <c r="B330" s="2">
        <v>969</v>
      </c>
      <c r="C330" s="2" t="s">
        <v>2219</v>
      </c>
      <c r="D330" s="2" t="s">
        <v>2220</v>
      </c>
      <c r="E330" s="4" t="s">
        <v>1376</v>
      </c>
      <c r="F330" s="2" t="s">
        <v>2221</v>
      </c>
      <c r="G330" s="2" t="s">
        <v>2222</v>
      </c>
      <c r="H330" s="2" t="s">
        <v>367</v>
      </c>
      <c r="I330" s="2" t="s">
        <v>219</v>
      </c>
      <c r="J330" s="2" t="s">
        <v>31</v>
      </c>
      <c r="K330" s="2" t="s">
        <v>31</v>
      </c>
      <c r="L330" s="2" t="s">
        <v>373</v>
      </c>
      <c r="M330" s="2" t="s">
        <v>32</v>
      </c>
      <c r="N330" s="2" t="s">
        <v>499</v>
      </c>
      <c r="O330" s="2" t="s">
        <v>164</v>
      </c>
      <c r="P330" s="2" t="s">
        <v>1387</v>
      </c>
      <c r="Q330" s="2" t="s">
        <v>217</v>
      </c>
      <c r="R330" s="2" t="s">
        <v>452</v>
      </c>
      <c r="S330" s="2" t="s">
        <v>35</v>
      </c>
      <c r="T330" s="150">
        <v>5.4290000000000003</v>
      </c>
      <c r="U330" s="2" t="s">
        <v>2223</v>
      </c>
      <c r="V330" s="162">
        <v>5.1499999999999997E-2</v>
      </c>
      <c r="W330" s="164">
        <v>3.8629999999999998E-2</v>
      </c>
      <c r="X330" s="4" t="s">
        <v>458</v>
      </c>
      <c r="Y330" s="4" t="s">
        <v>164</v>
      </c>
      <c r="Z330" s="150">
        <v>110104.15</v>
      </c>
      <c r="AA330" s="150">
        <v>1</v>
      </c>
      <c r="AB330" s="150">
        <v>147.13</v>
      </c>
      <c r="AD330" s="150">
        <v>161.99600000000001</v>
      </c>
      <c r="AG330" s="2" t="s">
        <v>37</v>
      </c>
      <c r="AH330" s="164">
        <v>3.8000000000000002E-5</v>
      </c>
      <c r="AI330" s="164">
        <v>2.5727159914508701E-2</v>
      </c>
      <c r="AJ330" s="164">
        <v>2.1963979843581199E-3</v>
      </c>
    </row>
    <row r="331" spans="1:36">
      <c r="A331" s="2" t="s">
        <v>144</v>
      </c>
      <c r="B331" s="2">
        <v>969</v>
      </c>
      <c r="C331" s="2" t="s">
        <v>2224</v>
      </c>
      <c r="D331" s="2" t="s">
        <v>2225</v>
      </c>
      <c r="E331" s="4" t="s">
        <v>1376</v>
      </c>
      <c r="F331" s="2" t="s">
        <v>2226</v>
      </c>
      <c r="G331" s="2" t="s">
        <v>2227</v>
      </c>
      <c r="H331" s="2" t="s">
        <v>367</v>
      </c>
      <c r="I331" s="2" t="s">
        <v>219</v>
      </c>
      <c r="J331" s="2" t="s">
        <v>31</v>
      </c>
      <c r="K331" s="2" t="s">
        <v>31</v>
      </c>
      <c r="L331" s="2" t="s">
        <v>373</v>
      </c>
      <c r="M331" s="2" t="s">
        <v>32</v>
      </c>
      <c r="N331" s="2" t="s">
        <v>483</v>
      </c>
      <c r="O331" s="2" t="s">
        <v>164</v>
      </c>
      <c r="P331" s="2" t="s">
        <v>2228</v>
      </c>
      <c r="Q331" s="2" t="s">
        <v>217</v>
      </c>
      <c r="R331" s="2" t="s">
        <v>452</v>
      </c>
      <c r="S331" s="2" t="s">
        <v>35</v>
      </c>
      <c r="T331" s="150">
        <v>3.056</v>
      </c>
      <c r="U331" s="2" t="s">
        <v>2229</v>
      </c>
      <c r="V331" s="162">
        <v>2.75E-2</v>
      </c>
      <c r="W331" s="164">
        <v>3.2559999999999999E-2</v>
      </c>
      <c r="X331" s="4" t="s">
        <v>458</v>
      </c>
      <c r="Y331" s="4" t="s">
        <v>164</v>
      </c>
      <c r="Z331" s="150">
        <v>57079</v>
      </c>
      <c r="AA331" s="150">
        <v>1</v>
      </c>
      <c r="AB331" s="150">
        <v>112.11</v>
      </c>
      <c r="AD331" s="150">
        <v>63.991</v>
      </c>
      <c r="AG331" s="2" t="s">
        <v>37</v>
      </c>
      <c r="AH331" s="164">
        <v>6.7999999999999999E-5</v>
      </c>
      <c r="AI331" s="164">
        <v>1.01626654938784E-2</v>
      </c>
      <c r="AJ331" s="164">
        <v>8.6761453967845205E-4</v>
      </c>
    </row>
    <row r="332" spans="1:36">
      <c r="A332" s="2" t="s">
        <v>144</v>
      </c>
      <c r="B332" s="2">
        <v>969</v>
      </c>
      <c r="C332" s="2" t="s">
        <v>2224</v>
      </c>
      <c r="D332" s="2" t="s">
        <v>2225</v>
      </c>
      <c r="E332" s="4" t="s">
        <v>1376</v>
      </c>
      <c r="F332" s="2" t="s">
        <v>2230</v>
      </c>
      <c r="G332" s="2" t="s">
        <v>2231</v>
      </c>
      <c r="H332" s="2" t="s">
        <v>367</v>
      </c>
      <c r="I332" s="2" t="s">
        <v>1010</v>
      </c>
      <c r="J332" s="2" t="s">
        <v>31</v>
      </c>
      <c r="K332" s="2" t="s">
        <v>31</v>
      </c>
      <c r="L332" s="2" t="s">
        <v>373</v>
      </c>
      <c r="M332" s="2" t="s">
        <v>32</v>
      </c>
      <c r="N332" s="2" t="s">
        <v>483</v>
      </c>
      <c r="O332" s="2" t="s">
        <v>164</v>
      </c>
      <c r="P332" s="2" t="s">
        <v>2228</v>
      </c>
      <c r="Q332" s="2" t="s">
        <v>217</v>
      </c>
      <c r="R332" s="2" t="s">
        <v>452</v>
      </c>
      <c r="S332" s="2" t="s">
        <v>35</v>
      </c>
      <c r="T332" s="150">
        <v>3.2629999999999999</v>
      </c>
      <c r="U332" s="2" t="s">
        <v>2232</v>
      </c>
      <c r="V332" s="162">
        <v>2.5000000000000001E-2</v>
      </c>
      <c r="W332" s="164">
        <v>5.9420000000000001E-2</v>
      </c>
      <c r="X332" s="4" t="s">
        <v>458</v>
      </c>
      <c r="Y332" s="4" t="s">
        <v>164</v>
      </c>
      <c r="Z332" s="150">
        <v>93835.3</v>
      </c>
      <c r="AA332" s="150">
        <v>1</v>
      </c>
      <c r="AB332" s="150">
        <v>90.38</v>
      </c>
      <c r="AD332" s="150">
        <v>84.808000000000007</v>
      </c>
      <c r="AG332" s="2" t="s">
        <v>37</v>
      </c>
      <c r="AH332" s="164">
        <v>1.16E-4</v>
      </c>
      <c r="AI332" s="164">
        <v>1.34686946256497E-2</v>
      </c>
      <c r="AJ332" s="164">
        <v>1.14985928590699E-3</v>
      </c>
    </row>
    <row r="333" spans="1:36">
      <c r="A333" s="2" t="s">
        <v>144</v>
      </c>
      <c r="B333" s="2">
        <v>969</v>
      </c>
      <c r="C333" s="2" t="s">
        <v>2233</v>
      </c>
      <c r="D333" s="2" t="s">
        <v>2234</v>
      </c>
      <c r="E333" s="4" t="s">
        <v>1376</v>
      </c>
      <c r="F333" s="2" t="s">
        <v>2235</v>
      </c>
      <c r="G333" s="2" t="s">
        <v>2236</v>
      </c>
      <c r="H333" s="2" t="s">
        <v>367</v>
      </c>
      <c r="I333" s="2" t="s">
        <v>1010</v>
      </c>
      <c r="J333" s="2" t="s">
        <v>31</v>
      </c>
      <c r="K333" s="2" t="s">
        <v>31</v>
      </c>
      <c r="L333" s="2" t="s">
        <v>373</v>
      </c>
      <c r="M333" s="2" t="s">
        <v>32</v>
      </c>
      <c r="N333" s="2" t="s">
        <v>490</v>
      </c>
      <c r="O333" s="2" t="s">
        <v>164</v>
      </c>
      <c r="P333" s="2" t="s">
        <v>2217</v>
      </c>
      <c r="Q333" s="2" t="s">
        <v>98</v>
      </c>
      <c r="R333" s="2" t="s">
        <v>452</v>
      </c>
      <c r="S333" s="2" t="s">
        <v>35</v>
      </c>
      <c r="T333" s="150">
        <v>2.5</v>
      </c>
      <c r="U333" s="2" t="s">
        <v>2237</v>
      </c>
      <c r="V333" s="162">
        <v>2.5499999999999998E-2</v>
      </c>
      <c r="W333" s="164">
        <v>5.824E-2</v>
      </c>
      <c r="X333" s="4" t="s">
        <v>458</v>
      </c>
      <c r="Y333" s="4" t="s">
        <v>164</v>
      </c>
      <c r="Z333" s="150">
        <v>76477</v>
      </c>
      <c r="AA333" s="150">
        <v>1</v>
      </c>
      <c r="AB333" s="150">
        <v>92.23</v>
      </c>
      <c r="AD333" s="150">
        <v>70.534999999999997</v>
      </c>
      <c r="AG333" s="2" t="s">
        <v>37</v>
      </c>
      <c r="AH333" s="164">
        <v>9.8999999999999994E-5</v>
      </c>
      <c r="AI333" s="164">
        <v>1.1201855715189101E-2</v>
      </c>
      <c r="AJ333" s="164">
        <v>9.5633305019558995E-4</v>
      </c>
    </row>
    <row r="334" spans="1:36">
      <c r="A334" s="2" t="s">
        <v>144</v>
      </c>
      <c r="B334" s="2">
        <v>969</v>
      </c>
      <c r="C334" s="2" t="s">
        <v>2238</v>
      </c>
      <c r="D334" s="2" t="s">
        <v>2239</v>
      </c>
      <c r="E334" s="4" t="s">
        <v>1376</v>
      </c>
      <c r="F334" s="2" t="s">
        <v>2240</v>
      </c>
      <c r="G334" s="2" t="s">
        <v>2241</v>
      </c>
      <c r="H334" s="2" t="s">
        <v>367</v>
      </c>
      <c r="I334" s="2" t="s">
        <v>1010</v>
      </c>
      <c r="J334" s="2" t="s">
        <v>31</v>
      </c>
      <c r="K334" s="2" t="s">
        <v>31</v>
      </c>
      <c r="L334" s="2" t="s">
        <v>373</v>
      </c>
      <c r="M334" s="2" t="s">
        <v>32</v>
      </c>
      <c r="N334" s="2" t="s">
        <v>488</v>
      </c>
      <c r="O334" s="2" t="s">
        <v>164</v>
      </c>
      <c r="P334" s="2" t="s">
        <v>2217</v>
      </c>
      <c r="Q334" s="2" t="s">
        <v>98</v>
      </c>
      <c r="R334" s="2" t="s">
        <v>452</v>
      </c>
      <c r="S334" s="2" t="s">
        <v>35</v>
      </c>
      <c r="T334" s="150">
        <v>4.2480000000000002</v>
      </c>
      <c r="U334" s="2" t="s">
        <v>2242</v>
      </c>
      <c r="V334" s="162">
        <v>2.18E-2</v>
      </c>
      <c r="W334" s="164">
        <v>6.062E-2</v>
      </c>
      <c r="X334" s="4" t="s">
        <v>458</v>
      </c>
      <c r="Y334" s="4" t="s">
        <v>164</v>
      </c>
      <c r="Z334" s="150">
        <v>281740</v>
      </c>
      <c r="AA334" s="150">
        <v>1</v>
      </c>
      <c r="AB334" s="150">
        <v>85.44</v>
      </c>
      <c r="AD334" s="150">
        <v>240.71899999999999</v>
      </c>
      <c r="AG334" s="2" t="s">
        <v>37</v>
      </c>
      <c r="AH334" s="164">
        <v>1.714E-3</v>
      </c>
      <c r="AI334" s="164">
        <v>3.8229328743982001E-2</v>
      </c>
      <c r="AJ334" s="164">
        <v>3.2637423203986499E-3</v>
      </c>
    </row>
    <row r="335" spans="1:36">
      <c r="A335" s="2" t="s">
        <v>144</v>
      </c>
      <c r="B335" s="2">
        <v>969</v>
      </c>
      <c r="C335" s="2" t="s">
        <v>2243</v>
      </c>
      <c r="D335" s="2" t="s">
        <v>2244</v>
      </c>
      <c r="E335" s="4" t="s">
        <v>1376</v>
      </c>
      <c r="F335" s="2" t="s">
        <v>2245</v>
      </c>
      <c r="G335" s="2" t="s">
        <v>2246</v>
      </c>
      <c r="H335" s="2" t="s">
        <v>367</v>
      </c>
      <c r="I335" s="2" t="s">
        <v>219</v>
      </c>
      <c r="J335" s="2" t="s">
        <v>31</v>
      </c>
      <c r="K335" s="2" t="s">
        <v>31</v>
      </c>
      <c r="L335" s="2" t="s">
        <v>373</v>
      </c>
      <c r="M335" s="2" t="s">
        <v>32</v>
      </c>
      <c r="N335" s="2" t="s">
        <v>507</v>
      </c>
      <c r="O335" s="2" t="s">
        <v>164</v>
      </c>
      <c r="P335" s="2" t="s">
        <v>2247</v>
      </c>
      <c r="Q335" s="2" t="s">
        <v>217</v>
      </c>
      <c r="R335" s="2" t="s">
        <v>452</v>
      </c>
      <c r="S335" s="2" t="s">
        <v>35</v>
      </c>
      <c r="T335" s="150">
        <v>2.4359999999999999</v>
      </c>
      <c r="U335" s="2" t="s">
        <v>62</v>
      </c>
      <c r="V335" s="162">
        <v>2.3400000000000001E-2</v>
      </c>
      <c r="W335" s="164">
        <v>2.6800000000000001E-2</v>
      </c>
      <c r="X335" s="4" t="s">
        <v>458</v>
      </c>
      <c r="Y335" s="4" t="s">
        <v>164</v>
      </c>
      <c r="Z335" s="150">
        <v>66000.02</v>
      </c>
      <c r="AA335" s="150">
        <v>1</v>
      </c>
      <c r="AB335" s="150">
        <v>113.08</v>
      </c>
      <c r="AD335" s="150">
        <v>74.632999999999996</v>
      </c>
      <c r="AG335" s="2" t="s">
        <v>37</v>
      </c>
      <c r="AH335" s="164">
        <v>3.1000000000000001E-5</v>
      </c>
      <c r="AI335" s="164">
        <v>1.1852686278201701E-2</v>
      </c>
      <c r="AJ335" s="164">
        <v>1.01189623484208E-3</v>
      </c>
    </row>
    <row r="336" spans="1:36">
      <c r="A336" s="2" t="s">
        <v>144</v>
      </c>
      <c r="B336" s="2">
        <v>969</v>
      </c>
      <c r="C336" s="2" t="s">
        <v>2248</v>
      </c>
      <c r="D336" s="2" t="s">
        <v>2249</v>
      </c>
      <c r="E336" s="4" t="s">
        <v>1376</v>
      </c>
      <c r="F336" s="2" t="s">
        <v>2250</v>
      </c>
      <c r="G336" s="2" t="s">
        <v>2251</v>
      </c>
      <c r="H336" s="2" t="s">
        <v>367</v>
      </c>
      <c r="I336" s="2" t="s">
        <v>1010</v>
      </c>
      <c r="J336" s="2" t="s">
        <v>31</v>
      </c>
      <c r="K336" s="2" t="s">
        <v>31</v>
      </c>
      <c r="L336" s="2" t="s">
        <v>373</v>
      </c>
      <c r="M336" s="2" t="s">
        <v>32</v>
      </c>
      <c r="N336" s="2" t="s">
        <v>507</v>
      </c>
      <c r="O336" s="2" t="s">
        <v>164</v>
      </c>
      <c r="P336" s="2" t="s">
        <v>1387</v>
      </c>
      <c r="Q336" s="2" t="s">
        <v>217</v>
      </c>
      <c r="R336" s="2" t="s">
        <v>452</v>
      </c>
      <c r="S336" s="2" t="s">
        <v>35</v>
      </c>
      <c r="T336" s="150">
        <v>4.5730000000000004</v>
      </c>
      <c r="U336" s="2" t="s">
        <v>2252</v>
      </c>
      <c r="V336" s="162">
        <v>2.41E-2</v>
      </c>
      <c r="W336" s="164">
        <v>6.4619999999999997E-2</v>
      </c>
      <c r="X336" s="4" t="s">
        <v>458</v>
      </c>
      <c r="Y336" s="4" t="s">
        <v>164</v>
      </c>
      <c r="Z336" s="150">
        <v>62222.22</v>
      </c>
      <c r="AA336" s="150">
        <v>1</v>
      </c>
      <c r="AB336" s="150">
        <v>84.18</v>
      </c>
      <c r="AD336" s="150">
        <v>52.378999999999998</v>
      </c>
      <c r="AG336" s="2" t="s">
        <v>37</v>
      </c>
      <c r="AH336" s="164">
        <v>3.4999999999999997E-5</v>
      </c>
      <c r="AI336" s="164">
        <v>8.3184296096149701E-3</v>
      </c>
      <c r="AJ336" s="164">
        <v>7.1016707978246703E-4</v>
      </c>
    </row>
    <row r="337" spans="1:36">
      <c r="A337" s="2" t="s">
        <v>144</v>
      </c>
      <c r="B337" s="2">
        <v>969</v>
      </c>
      <c r="C337" s="2" t="s">
        <v>2248</v>
      </c>
      <c r="D337" s="2" t="s">
        <v>2249</v>
      </c>
      <c r="E337" s="4" t="s">
        <v>1376</v>
      </c>
      <c r="F337" s="2" t="s">
        <v>2253</v>
      </c>
      <c r="G337" s="2" t="s">
        <v>2254</v>
      </c>
      <c r="H337" s="2" t="s">
        <v>367</v>
      </c>
      <c r="I337" s="2" t="s">
        <v>1010</v>
      </c>
      <c r="J337" s="2" t="s">
        <v>31</v>
      </c>
      <c r="K337" s="2" t="s">
        <v>31</v>
      </c>
      <c r="L337" s="2" t="s">
        <v>373</v>
      </c>
      <c r="M337" s="2" t="s">
        <v>32</v>
      </c>
      <c r="N337" s="2" t="s">
        <v>507</v>
      </c>
      <c r="O337" s="2" t="s">
        <v>164</v>
      </c>
      <c r="P337" s="2" t="s">
        <v>1392</v>
      </c>
      <c r="Q337" s="2" t="s">
        <v>98</v>
      </c>
      <c r="R337" s="2" t="s">
        <v>452</v>
      </c>
      <c r="S337" s="2" t="s">
        <v>35</v>
      </c>
      <c r="T337" s="150">
        <v>6.4660000000000002</v>
      </c>
      <c r="U337" s="2" t="s">
        <v>2255</v>
      </c>
      <c r="V337" s="162">
        <v>4.9399999999999999E-2</v>
      </c>
      <c r="W337" s="164">
        <v>6.9379999999999997E-2</v>
      </c>
      <c r="X337" s="4" t="s">
        <v>458</v>
      </c>
      <c r="Y337" s="4" t="s">
        <v>164</v>
      </c>
      <c r="Z337" s="150">
        <v>71811</v>
      </c>
      <c r="AA337" s="150">
        <v>1</v>
      </c>
      <c r="AB337" s="150">
        <v>89.76</v>
      </c>
      <c r="AD337" s="150">
        <v>64.457999999999998</v>
      </c>
      <c r="AG337" s="2" t="s">
        <v>37</v>
      </c>
      <c r="AH337" s="164">
        <v>8.0000000000000007E-5</v>
      </c>
      <c r="AI337" s="164">
        <v>1.02367180323873E-2</v>
      </c>
      <c r="AJ337" s="164">
        <v>8.7393660736326403E-4</v>
      </c>
    </row>
    <row r="338" spans="1:36">
      <c r="A338" s="2" t="s">
        <v>144</v>
      </c>
      <c r="B338" s="2">
        <v>969</v>
      </c>
      <c r="C338" s="2" t="s">
        <v>1857</v>
      </c>
      <c r="D338" s="2" t="s">
        <v>1858</v>
      </c>
      <c r="E338" s="4" t="s">
        <v>1376</v>
      </c>
      <c r="F338" s="2" t="s">
        <v>2256</v>
      </c>
      <c r="G338" s="2" t="s">
        <v>2257</v>
      </c>
      <c r="H338" s="2" t="s">
        <v>367</v>
      </c>
      <c r="I338" s="2" t="s">
        <v>1010</v>
      </c>
      <c r="J338" s="2" t="s">
        <v>31</v>
      </c>
      <c r="K338" s="2" t="s">
        <v>31</v>
      </c>
      <c r="L338" s="2" t="s">
        <v>373</v>
      </c>
      <c r="M338" s="2" t="s">
        <v>32</v>
      </c>
      <c r="N338" s="2" t="s">
        <v>494</v>
      </c>
      <c r="O338" s="2" t="s">
        <v>164</v>
      </c>
      <c r="P338" s="2" t="s">
        <v>2258</v>
      </c>
      <c r="Q338" s="2" t="s">
        <v>217</v>
      </c>
      <c r="R338" s="2" t="s">
        <v>452</v>
      </c>
      <c r="S338" s="2" t="s">
        <v>35</v>
      </c>
      <c r="T338" s="150">
        <v>3.1309999999999998</v>
      </c>
      <c r="U338" s="2" t="s">
        <v>2259</v>
      </c>
      <c r="V338" s="162">
        <v>0.04</v>
      </c>
      <c r="W338" s="164">
        <v>5.6980000000000003E-2</v>
      </c>
      <c r="X338" s="4" t="s">
        <v>458</v>
      </c>
      <c r="Y338" s="4" t="s">
        <v>164</v>
      </c>
      <c r="Z338" s="150">
        <v>61250.01</v>
      </c>
      <c r="AA338" s="150">
        <v>1</v>
      </c>
      <c r="AB338" s="150">
        <v>96.92</v>
      </c>
      <c r="AD338" s="150">
        <v>59.363999999999997</v>
      </c>
      <c r="AG338" s="2" t="s">
        <v>37</v>
      </c>
      <c r="AH338" s="164">
        <v>9.0000000000000006E-5</v>
      </c>
      <c r="AI338" s="164">
        <v>9.42771601139227E-3</v>
      </c>
      <c r="AJ338" s="164">
        <v>8.0486989288099098E-4</v>
      </c>
    </row>
    <row r="339" spans="1:36">
      <c r="A339" s="2" t="s">
        <v>144</v>
      </c>
      <c r="B339" s="2">
        <v>969</v>
      </c>
      <c r="C339" s="2" t="s">
        <v>1857</v>
      </c>
      <c r="D339" s="2" t="s">
        <v>1858</v>
      </c>
      <c r="E339" s="4" t="s">
        <v>1376</v>
      </c>
      <c r="F339" s="2" t="s">
        <v>2260</v>
      </c>
      <c r="G339" s="2" t="s">
        <v>2261</v>
      </c>
      <c r="H339" s="2" t="s">
        <v>367</v>
      </c>
      <c r="I339" s="2" t="s">
        <v>1010</v>
      </c>
      <c r="J339" s="2" t="s">
        <v>31</v>
      </c>
      <c r="K339" s="2" t="s">
        <v>31</v>
      </c>
      <c r="L339" s="2" t="s">
        <v>373</v>
      </c>
      <c r="M339" s="2" t="s">
        <v>32</v>
      </c>
      <c r="N339" s="2" t="s">
        <v>494</v>
      </c>
      <c r="O339" s="2" t="s">
        <v>164</v>
      </c>
      <c r="P339" s="2" t="s">
        <v>2258</v>
      </c>
      <c r="Q339" s="2" t="s">
        <v>98</v>
      </c>
      <c r="R339" s="2" t="s">
        <v>452</v>
      </c>
      <c r="S339" s="2" t="s">
        <v>35</v>
      </c>
      <c r="T339" s="150">
        <v>5.0460000000000003</v>
      </c>
      <c r="U339" s="2" t="s">
        <v>2262</v>
      </c>
      <c r="V339" s="162">
        <v>2.07E-2</v>
      </c>
      <c r="W339" s="164">
        <v>5.9479999999999998E-2</v>
      </c>
      <c r="X339" s="4" t="s">
        <v>458</v>
      </c>
      <c r="Y339" s="4" t="s">
        <v>164</v>
      </c>
      <c r="Z339" s="150">
        <v>131932</v>
      </c>
      <c r="AA339" s="150">
        <v>1</v>
      </c>
      <c r="AB339" s="150">
        <v>82.34</v>
      </c>
      <c r="AD339" s="150">
        <v>108.633</v>
      </c>
      <c r="AG339" s="2" t="s">
        <v>37</v>
      </c>
      <c r="AH339" s="164">
        <v>3.21E-4</v>
      </c>
      <c r="AI339" s="164">
        <v>1.7252336935602301E-2</v>
      </c>
      <c r="AJ339" s="164">
        <v>1.4728791750330101E-3</v>
      </c>
    </row>
    <row r="340" spans="1:36">
      <c r="A340" s="2" t="s">
        <v>144</v>
      </c>
      <c r="B340" s="2">
        <v>969</v>
      </c>
      <c r="C340" s="2" t="s">
        <v>2580</v>
      </c>
      <c r="D340" s="2" t="s">
        <v>2581</v>
      </c>
      <c r="E340" s="4" t="s">
        <v>1376</v>
      </c>
      <c r="F340" s="2" t="s">
        <v>2582</v>
      </c>
      <c r="G340" s="2" t="s">
        <v>2583</v>
      </c>
      <c r="H340" s="2" t="s">
        <v>367</v>
      </c>
      <c r="I340" s="2" t="s">
        <v>219</v>
      </c>
      <c r="J340" s="2" t="s">
        <v>31</v>
      </c>
      <c r="K340" s="2" t="s">
        <v>31</v>
      </c>
      <c r="L340" s="2" t="s">
        <v>373</v>
      </c>
      <c r="M340" s="2" t="s">
        <v>32</v>
      </c>
      <c r="N340" s="2" t="s">
        <v>507</v>
      </c>
      <c r="O340" s="2" t="s">
        <v>164</v>
      </c>
      <c r="P340" s="2" t="s">
        <v>2381</v>
      </c>
      <c r="Q340" s="2" t="s">
        <v>98</v>
      </c>
      <c r="R340" s="2" t="s">
        <v>452</v>
      </c>
      <c r="S340" s="2" t="s">
        <v>35</v>
      </c>
      <c r="T340" s="150">
        <v>2.4300000000000002</v>
      </c>
      <c r="U340" s="2" t="s">
        <v>2584</v>
      </c>
      <c r="V340" s="162">
        <v>3.2000000000000001E-2</v>
      </c>
      <c r="W340" s="164">
        <v>2.7519999999999999E-2</v>
      </c>
      <c r="X340" s="4" t="s">
        <v>458</v>
      </c>
      <c r="Y340" s="4" t="s">
        <v>164</v>
      </c>
      <c r="Z340" s="150">
        <v>90000</v>
      </c>
      <c r="AA340" s="150">
        <v>1</v>
      </c>
      <c r="AB340" s="150">
        <v>114.34</v>
      </c>
      <c r="AC340" s="150">
        <v>38.341000000000001</v>
      </c>
      <c r="AD340" s="150">
        <v>141.24700000000001</v>
      </c>
      <c r="AG340" s="2" t="s">
        <v>37</v>
      </c>
      <c r="AH340" s="164">
        <v>8.6000000000000003E-5</v>
      </c>
      <c r="AI340" s="164">
        <v>2.2431842954718902E-2</v>
      </c>
      <c r="AJ340" s="164">
        <v>1.9150677655405499E-3</v>
      </c>
    </row>
    <row r="341" spans="1:36">
      <c r="A341" s="2" t="s">
        <v>144</v>
      </c>
      <c r="B341" s="2">
        <v>969</v>
      </c>
      <c r="C341" s="2" t="s">
        <v>2263</v>
      </c>
      <c r="D341" s="2" t="s">
        <v>2264</v>
      </c>
      <c r="E341" s="4" t="s">
        <v>1376</v>
      </c>
      <c r="F341" s="2" t="s">
        <v>2265</v>
      </c>
      <c r="G341" s="2" t="s">
        <v>2266</v>
      </c>
      <c r="H341" s="2" t="s">
        <v>367</v>
      </c>
      <c r="I341" s="2" t="s">
        <v>219</v>
      </c>
      <c r="J341" s="2" t="s">
        <v>31</v>
      </c>
      <c r="K341" s="2" t="s">
        <v>31</v>
      </c>
      <c r="L341" s="2" t="s">
        <v>373</v>
      </c>
      <c r="M341" s="2" t="s">
        <v>32</v>
      </c>
      <c r="N341" s="2" t="s">
        <v>508</v>
      </c>
      <c r="O341" s="2" t="s">
        <v>164</v>
      </c>
      <c r="P341" s="2" t="s">
        <v>2217</v>
      </c>
      <c r="Q341" s="2" t="s">
        <v>98</v>
      </c>
      <c r="R341" s="2" t="s">
        <v>452</v>
      </c>
      <c r="S341" s="2" t="s">
        <v>35</v>
      </c>
      <c r="T341" s="150">
        <v>1.71</v>
      </c>
      <c r="U341" s="2" t="s">
        <v>2267</v>
      </c>
      <c r="V341" s="162">
        <v>2.5700000000000001E-2</v>
      </c>
      <c r="W341" s="164">
        <v>3.2559999999999999E-2</v>
      </c>
      <c r="X341" s="4" t="s">
        <v>458</v>
      </c>
      <c r="Y341" s="4" t="s">
        <v>164</v>
      </c>
      <c r="Z341" s="150">
        <v>128455</v>
      </c>
      <c r="AA341" s="150">
        <v>1</v>
      </c>
      <c r="AB341" s="150">
        <v>113.71</v>
      </c>
      <c r="AD341" s="150">
        <v>146.066</v>
      </c>
      <c r="AG341" s="2" t="s">
        <v>37</v>
      </c>
      <c r="AH341" s="164">
        <v>1E-4</v>
      </c>
      <c r="AI341" s="164">
        <v>2.3197254942767299E-2</v>
      </c>
      <c r="AJ341" s="164">
        <v>1.9804130797275599E-3</v>
      </c>
    </row>
    <row r="342" spans="1:36">
      <c r="A342" s="2" t="s">
        <v>144</v>
      </c>
      <c r="B342" s="2">
        <v>969</v>
      </c>
      <c r="C342" s="2" t="s">
        <v>2263</v>
      </c>
      <c r="D342" s="2" t="s">
        <v>2264</v>
      </c>
      <c r="E342" s="4" t="s">
        <v>1376</v>
      </c>
      <c r="F342" s="2" t="s">
        <v>2517</v>
      </c>
      <c r="G342" s="2" t="s">
        <v>2518</v>
      </c>
      <c r="H342" s="2" t="s">
        <v>367</v>
      </c>
      <c r="I342" s="2" t="s">
        <v>1010</v>
      </c>
      <c r="J342" s="2" t="s">
        <v>31</v>
      </c>
      <c r="K342" s="2" t="s">
        <v>31</v>
      </c>
      <c r="L342" s="2" t="s">
        <v>373</v>
      </c>
      <c r="M342" s="2" t="s">
        <v>32</v>
      </c>
      <c r="N342" s="2" t="s">
        <v>508</v>
      </c>
      <c r="O342" s="2" t="s">
        <v>164</v>
      </c>
      <c r="P342" s="2" t="s">
        <v>2217</v>
      </c>
      <c r="Q342" s="2" t="s">
        <v>98</v>
      </c>
      <c r="R342" s="2" t="s">
        <v>452</v>
      </c>
      <c r="S342" s="2" t="s">
        <v>35</v>
      </c>
      <c r="T342" s="150">
        <v>3.069</v>
      </c>
      <c r="U342" s="2" t="s">
        <v>2519</v>
      </c>
      <c r="V342" s="162">
        <v>3.2500000000000001E-2</v>
      </c>
      <c r="W342" s="164">
        <v>6.1699999999999998E-2</v>
      </c>
      <c r="X342" s="4" t="s">
        <v>458</v>
      </c>
      <c r="Y342" s="4" t="s">
        <v>164</v>
      </c>
      <c r="Z342" s="150">
        <v>36493.050000000003</v>
      </c>
      <c r="AA342" s="150">
        <v>1</v>
      </c>
      <c r="AB342" s="150">
        <v>92.55</v>
      </c>
      <c r="AD342" s="150">
        <v>33.774000000000001</v>
      </c>
      <c r="AG342" s="2" t="s">
        <v>37</v>
      </c>
      <c r="AH342" s="164">
        <v>1.25E-4</v>
      </c>
      <c r="AI342" s="164">
        <v>5.3638115083368904E-3</v>
      </c>
      <c r="AJ342" s="164">
        <v>4.57923254045004E-4</v>
      </c>
    </row>
    <row r="343" spans="1:36">
      <c r="A343" s="2" t="s">
        <v>144</v>
      </c>
      <c r="B343" s="2">
        <v>969</v>
      </c>
      <c r="C343" s="2" t="s">
        <v>2263</v>
      </c>
      <c r="D343" s="2" t="s">
        <v>2264</v>
      </c>
      <c r="E343" s="4" t="s">
        <v>1376</v>
      </c>
      <c r="F343" s="2" t="s">
        <v>2268</v>
      </c>
      <c r="G343" s="2" t="s">
        <v>2269</v>
      </c>
      <c r="H343" s="2" t="s">
        <v>367</v>
      </c>
      <c r="I343" s="2" t="s">
        <v>219</v>
      </c>
      <c r="J343" s="2" t="s">
        <v>31</v>
      </c>
      <c r="K343" s="2" t="s">
        <v>31</v>
      </c>
      <c r="L343" s="2" t="s">
        <v>373</v>
      </c>
      <c r="M343" s="2" t="s">
        <v>32</v>
      </c>
      <c r="N343" s="2" t="s">
        <v>508</v>
      </c>
      <c r="O343" s="2" t="s">
        <v>164</v>
      </c>
      <c r="P343" s="2" t="s">
        <v>2217</v>
      </c>
      <c r="Q343" s="2" t="s">
        <v>98</v>
      </c>
      <c r="R343" s="2" t="s">
        <v>452</v>
      </c>
      <c r="S343" s="2" t="s">
        <v>35</v>
      </c>
      <c r="T343" s="150">
        <v>5.3559999999999999</v>
      </c>
      <c r="U343" s="2" t="s">
        <v>2270</v>
      </c>
      <c r="V343" s="162">
        <v>1.54E-2</v>
      </c>
      <c r="W343" s="164">
        <v>4.0140000000000002E-2</v>
      </c>
      <c r="X343" s="4" t="s">
        <v>458</v>
      </c>
      <c r="Y343" s="4" t="s">
        <v>164</v>
      </c>
      <c r="Z343" s="150">
        <v>109000</v>
      </c>
      <c r="AA343" s="150">
        <v>1</v>
      </c>
      <c r="AB343" s="150">
        <v>97.3</v>
      </c>
      <c r="AD343" s="150">
        <v>106.057</v>
      </c>
      <c r="AG343" s="2" t="s">
        <v>37</v>
      </c>
      <c r="AH343" s="164">
        <v>1.83E-4</v>
      </c>
      <c r="AI343" s="164">
        <v>1.6843264190543199E-2</v>
      </c>
      <c r="AJ343" s="164">
        <v>1.4379555163124499E-3</v>
      </c>
    </row>
    <row r="344" spans="1:36">
      <c r="A344" s="2" t="s">
        <v>144</v>
      </c>
      <c r="B344" s="2">
        <v>969</v>
      </c>
      <c r="C344" s="2" t="s">
        <v>2271</v>
      </c>
      <c r="D344" s="2" t="s">
        <v>2272</v>
      </c>
      <c r="E344" s="4" t="s">
        <v>1376</v>
      </c>
      <c r="F344" s="2" t="s">
        <v>2273</v>
      </c>
      <c r="G344" s="2" t="s">
        <v>2274</v>
      </c>
      <c r="H344" s="2" t="s">
        <v>367</v>
      </c>
      <c r="I344" s="2" t="s">
        <v>219</v>
      </c>
      <c r="J344" s="2" t="s">
        <v>31</v>
      </c>
      <c r="K344" s="2" t="s">
        <v>31</v>
      </c>
      <c r="L344" s="2" t="s">
        <v>373</v>
      </c>
      <c r="M344" s="2" t="s">
        <v>32</v>
      </c>
      <c r="N344" s="2" t="s">
        <v>507</v>
      </c>
      <c r="O344" s="2" t="s">
        <v>164</v>
      </c>
      <c r="P344" s="2" t="s">
        <v>2275</v>
      </c>
      <c r="Q344" s="2" t="s">
        <v>217</v>
      </c>
      <c r="R344" s="2" t="s">
        <v>452</v>
      </c>
      <c r="S344" s="2" t="s">
        <v>35</v>
      </c>
      <c r="T344" s="150">
        <v>6.3</v>
      </c>
      <c r="U344" s="2" t="s">
        <v>2276</v>
      </c>
      <c r="V344" s="162">
        <v>3.6799999999999999E-2</v>
      </c>
      <c r="W344" s="164">
        <v>4.3209999999999998E-2</v>
      </c>
      <c r="X344" s="4" t="s">
        <v>458</v>
      </c>
      <c r="Y344" s="4" t="s">
        <v>164</v>
      </c>
      <c r="Z344" s="150">
        <v>89000</v>
      </c>
      <c r="AA344" s="150">
        <v>1</v>
      </c>
      <c r="AB344" s="150">
        <v>98.21</v>
      </c>
      <c r="AD344" s="150">
        <v>87.406999999999996</v>
      </c>
      <c r="AG344" s="2" t="s">
        <v>37</v>
      </c>
      <c r="AH344" s="164">
        <v>3.6499999999999998E-4</v>
      </c>
      <c r="AI344" s="164">
        <v>1.3881379906808501E-2</v>
      </c>
      <c r="AJ344" s="164">
        <v>1.18509135671168E-3</v>
      </c>
    </row>
    <row r="345" spans="1:36">
      <c r="A345" s="2" t="s">
        <v>144</v>
      </c>
      <c r="B345" s="2">
        <v>969</v>
      </c>
      <c r="C345" s="2" t="s">
        <v>2271</v>
      </c>
      <c r="D345" s="2" t="s">
        <v>2272</v>
      </c>
      <c r="E345" s="4" t="s">
        <v>1376</v>
      </c>
      <c r="F345" s="2" t="s">
        <v>2277</v>
      </c>
      <c r="G345" s="2" t="s">
        <v>2278</v>
      </c>
      <c r="H345" s="2" t="s">
        <v>367</v>
      </c>
      <c r="I345" s="2" t="s">
        <v>219</v>
      </c>
      <c r="J345" s="2" t="s">
        <v>31</v>
      </c>
      <c r="K345" s="2" t="s">
        <v>31</v>
      </c>
      <c r="L345" s="2" t="s">
        <v>373</v>
      </c>
      <c r="M345" s="2" t="s">
        <v>32</v>
      </c>
      <c r="N345" s="2" t="s">
        <v>507</v>
      </c>
      <c r="O345" s="2" t="s">
        <v>164</v>
      </c>
      <c r="P345" s="2" t="s">
        <v>2275</v>
      </c>
      <c r="Q345" s="2" t="s">
        <v>217</v>
      </c>
      <c r="R345" s="2" t="s">
        <v>452</v>
      </c>
      <c r="S345" s="2" t="s">
        <v>35</v>
      </c>
      <c r="T345" s="150">
        <v>1.69</v>
      </c>
      <c r="U345" s="2" t="s">
        <v>2279</v>
      </c>
      <c r="V345" s="162">
        <v>3.4599999999999999E-2</v>
      </c>
      <c r="W345" s="164">
        <v>2.8910000000000002E-2</v>
      </c>
      <c r="X345" s="4" t="s">
        <v>458</v>
      </c>
      <c r="Y345" s="4" t="s">
        <v>164</v>
      </c>
      <c r="Z345" s="150">
        <v>46363.64</v>
      </c>
      <c r="AA345" s="150">
        <v>1</v>
      </c>
      <c r="AB345" s="150">
        <v>115.64</v>
      </c>
      <c r="AC345" s="150">
        <v>0.88700000000000001</v>
      </c>
      <c r="AD345" s="150">
        <v>54.502000000000002</v>
      </c>
      <c r="AG345" s="2" t="s">
        <v>37</v>
      </c>
      <c r="AH345" s="164">
        <v>1.3300000000000001E-4</v>
      </c>
      <c r="AI345" s="164">
        <v>8.6556249869097109E-3</v>
      </c>
      <c r="AJ345" s="164">
        <v>7.3895437109196803E-4</v>
      </c>
    </row>
    <row r="346" spans="1:36">
      <c r="A346" s="2" t="s">
        <v>144</v>
      </c>
      <c r="B346" s="2">
        <v>969</v>
      </c>
      <c r="C346" s="2" t="s">
        <v>1869</v>
      </c>
      <c r="D346" s="2" t="s">
        <v>1870</v>
      </c>
      <c r="E346" s="4" t="s">
        <v>1376</v>
      </c>
      <c r="F346" s="2" t="s">
        <v>2621</v>
      </c>
      <c r="G346" s="2" t="s">
        <v>2622</v>
      </c>
      <c r="H346" s="2" t="s">
        <v>367</v>
      </c>
      <c r="I346" s="2" t="s">
        <v>1010</v>
      </c>
      <c r="J346" s="2" t="s">
        <v>31</v>
      </c>
      <c r="K346" s="2" t="s">
        <v>31</v>
      </c>
      <c r="L346" s="2" t="s">
        <v>373</v>
      </c>
      <c r="M346" s="2" t="s">
        <v>32</v>
      </c>
      <c r="N346" s="2" t="s">
        <v>490</v>
      </c>
      <c r="O346" s="2" t="s">
        <v>164</v>
      </c>
      <c r="P346" s="2" t="s">
        <v>2275</v>
      </c>
      <c r="Q346" s="2" t="s">
        <v>217</v>
      </c>
      <c r="R346" s="2" t="s">
        <v>452</v>
      </c>
      <c r="S346" s="2" t="s">
        <v>35</v>
      </c>
      <c r="T346" s="150">
        <v>0.84699999999999998</v>
      </c>
      <c r="U346" s="2" t="s">
        <v>2623</v>
      </c>
      <c r="V346" s="162">
        <v>4.2000000000000003E-2</v>
      </c>
      <c r="W346" s="164">
        <v>5.4100000000000002E-2</v>
      </c>
      <c r="X346" s="4" t="s">
        <v>458</v>
      </c>
      <c r="Y346" s="4" t="s">
        <v>164</v>
      </c>
      <c r="Z346" s="150">
        <v>17827.099999999999</v>
      </c>
      <c r="AA346" s="150">
        <v>1</v>
      </c>
      <c r="AB346" s="150">
        <v>99.51</v>
      </c>
      <c r="AD346" s="150">
        <v>17.739999999999998</v>
      </c>
      <c r="AG346" s="2" t="s">
        <v>37</v>
      </c>
      <c r="AH346" s="164">
        <v>1.4799999999999999E-4</v>
      </c>
      <c r="AI346" s="164">
        <v>2.8173081355448702E-3</v>
      </c>
      <c r="AJ346" s="164">
        <v>2.4052129853388199E-4</v>
      </c>
    </row>
    <row r="347" spans="1:36">
      <c r="A347" s="2" t="s">
        <v>144</v>
      </c>
      <c r="B347" s="2">
        <v>969</v>
      </c>
      <c r="C347" s="2" t="s">
        <v>1877</v>
      </c>
      <c r="D347" s="2" t="s">
        <v>1878</v>
      </c>
      <c r="E347" s="4" t="s">
        <v>1376</v>
      </c>
      <c r="F347" s="2" t="s">
        <v>2280</v>
      </c>
      <c r="G347" s="2" t="s">
        <v>2281</v>
      </c>
      <c r="H347" s="2" t="s">
        <v>367</v>
      </c>
      <c r="I347" s="2" t="s">
        <v>1010</v>
      </c>
      <c r="J347" s="2" t="s">
        <v>31</v>
      </c>
      <c r="K347" s="2" t="s">
        <v>31</v>
      </c>
      <c r="L347" s="2" t="s">
        <v>373</v>
      </c>
      <c r="M347" s="2" t="s">
        <v>32</v>
      </c>
      <c r="N347" s="2" t="s">
        <v>483</v>
      </c>
      <c r="O347" s="2" t="s">
        <v>164</v>
      </c>
      <c r="P347" s="2" t="s">
        <v>2258</v>
      </c>
      <c r="Q347" s="2" t="s">
        <v>217</v>
      </c>
      <c r="R347" s="2" t="s">
        <v>452</v>
      </c>
      <c r="S347" s="2" t="s">
        <v>35</v>
      </c>
      <c r="T347" s="150">
        <v>2.4390000000000001</v>
      </c>
      <c r="U347" s="2" t="s">
        <v>2282</v>
      </c>
      <c r="V347" s="162">
        <v>2.7E-2</v>
      </c>
      <c r="W347" s="164">
        <v>6.2280000000000002E-2</v>
      </c>
      <c r="X347" s="4" t="s">
        <v>458</v>
      </c>
      <c r="Y347" s="4" t="s">
        <v>164</v>
      </c>
      <c r="Z347" s="150">
        <v>120000</v>
      </c>
      <c r="AA347" s="150">
        <v>1</v>
      </c>
      <c r="AB347" s="150">
        <v>92.63</v>
      </c>
      <c r="AD347" s="150">
        <v>111.15600000000001</v>
      </c>
      <c r="AG347" s="2" t="s">
        <v>37</v>
      </c>
      <c r="AH347" s="164">
        <v>1.7100000000000001E-4</v>
      </c>
      <c r="AI347" s="164">
        <v>1.76530533049589E-2</v>
      </c>
      <c r="AJ347" s="164">
        <v>1.5070894271120899E-3</v>
      </c>
    </row>
    <row r="348" spans="1:36">
      <c r="A348" s="2" t="s">
        <v>144</v>
      </c>
      <c r="B348" s="2">
        <v>969</v>
      </c>
      <c r="C348" s="2" t="s">
        <v>2283</v>
      </c>
      <c r="D348" s="2" t="s">
        <v>2284</v>
      </c>
      <c r="E348" s="4" t="s">
        <v>1376</v>
      </c>
      <c r="F348" s="2" t="s">
        <v>2285</v>
      </c>
      <c r="G348" s="2" t="s">
        <v>2286</v>
      </c>
      <c r="H348" s="2" t="s">
        <v>367</v>
      </c>
      <c r="I348" s="2" t="s">
        <v>1010</v>
      </c>
      <c r="J348" s="2" t="s">
        <v>31</v>
      </c>
      <c r="K348" s="2" t="s">
        <v>31</v>
      </c>
      <c r="L348" s="2" t="s">
        <v>373</v>
      </c>
      <c r="M348" s="2" t="s">
        <v>32</v>
      </c>
      <c r="N348" s="2" t="s">
        <v>528</v>
      </c>
      <c r="O348" s="2" t="s">
        <v>164</v>
      </c>
      <c r="P348" s="2" t="s">
        <v>2287</v>
      </c>
      <c r="Q348" s="2" t="s">
        <v>98</v>
      </c>
      <c r="R348" s="2" t="s">
        <v>452</v>
      </c>
      <c r="S348" s="2" t="s">
        <v>35</v>
      </c>
      <c r="T348" s="150">
        <v>2.323</v>
      </c>
      <c r="U348" s="2" t="s">
        <v>2288</v>
      </c>
      <c r="V348" s="162">
        <v>3.6499999999999998E-2</v>
      </c>
      <c r="W348" s="164">
        <v>5.7189999999999998E-2</v>
      </c>
      <c r="X348" s="4" t="s">
        <v>458</v>
      </c>
      <c r="Y348" s="4" t="s">
        <v>164</v>
      </c>
      <c r="Z348" s="150">
        <v>165450.82</v>
      </c>
      <c r="AA348" s="150">
        <v>1</v>
      </c>
      <c r="AB348" s="150">
        <v>95.7</v>
      </c>
      <c r="AD348" s="150">
        <v>158.33600000000001</v>
      </c>
      <c r="AG348" s="2" t="s">
        <v>37</v>
      </c>
      <c r="AH348" s="164">
        <v>8.2000000000000001E-5</v>
      </c>
      <c r="AI348" s="164">
        <v>2.5145934745604E-2</v>
      </c>
      <c r="AJ348" s="164">
        <v>2.1467772025196802E-3</v>
      </c>
    </row>
    <row r="349" spans="1:36">
      <c r="A349" s="2" t="s">
        <v>144</v>
      </c>
      <c r="B349" s="2">
        <v>969</v>
      </c>
      <c r="C349" s="2" t="s">
        <v>1885</v>
      </c>
      <c r="D349" s="2" t="s">
        <v>1886</v>
      </c>
      <c r="E349" s="4" t="s">
        <v>1376</v>
      </c>
      <c r="F349" s="2" t="s">
        <v>2289</v>
      </c>
      <c r="G349" s="2" t="s">
        <v>2290</v>
      </c>
      <c r="H349" s="2" t="s">
        <v>367</v>
      </c>
      <c r="I349" s="2" t="s">
        <v>219</v>
      </c>
      <c r="J349" s="2" t="s">
        <v>31</v>
      </c>
      <c r="K349" s="2" t="s">
        <v>31</v>
      </c>
      <c r="L349" s="2" t="s">
        <v>373</v>
      </c>
      <c r="M349" s="2" t="s">
        <v>32</v>
      </c>
      <c r="N349" s="2" t="s">
        <v>507</v>
      </c>
      <c r="O349" s="2" t="s">
        <v>164</v>
      </c>
      <c r="P349" s="2" t="s">
        <v>1392</v>
      </c>
      <c r="Q349" s="2" t="s">
        <v>98</v>
      </c>
      <c r="R349" s="2" t="s">
        <v>452</v>
      </c>
      <c r="S349" s="2" t="s">
        <v>35</v>
      </c>
      <c r="T349" s="150">
        <v>4.6890000000000001</v>
      </c>
      <c r="U349" s="2" t="s">
        <v>2291</v>
      </c>
      <c r="V349" s="162">
        <v>1.17E-2</v>
      </c>
      <c r="W349" s="164">
        <v>3.5060000000000001E-2</v>
      </c>
      <c r="X349" s="4" t="s">
        <v>458</v>
      </c>
      <c r="Y349" s="4" t="s">
        <v>164</v>
      </c>
      <c r="Z349" s="150">
        <v>120553.13</v>
      </c>
      <c r="AA349" s="150">
        <v>1</v>
      </c>
      <c r="AB349" s="150">
        <v>101.69</v>
      </c>
      <c r="AD349" s="150">
        <v>122.59</v>
      </c>
      <c r="AG349" s="2" t="s">
        <v>37</v>
      </c>
      <c r="AH349" s="164">
        <v>1.75E-4</v>
      </c>
      <c r="AI349" s="164">
        <v>1.9469000692685302E-2</v>
      </c>
      <c r="AJ349" s="164">
        <v>1.66212182071312E-3</v>
      </c>
    </row>
    <row r="350" spans="1:36">
      <c r="A350" s="2" t="s">
        <v>144</v>
      </c>
      <c r="B350" s="2">
        <v>969</v>
      </c>
      <c r="C350" s="2" t="s">
        <v>1885</v>
      </c>
      <c r="D350" s="2" t="s">
        <v>1886</v>
      </c>
      <c r="E350" s="4" t="s">
        <v>1376</v>
      </c>
      <c r="F350" s="2" t="s">
        <v>2292</v>
      </c>
      <c r="G350" s="2" t="s">
        <v>2293</v>
      </c>
      <c r="H350" s="2" t="s">
        <v>367</v>
      </c>
      <c r="I350" s="2" t="s">
        <v>219</v>
      </c>
      <c r="J350" s="2" t="s">
        <v>31</v>
      </c>
      <c r="K350" s="2" t="s">
        <v>31</v>
      </c>
      <c r="L350" s="2" t="s">
        <v>373</v>
      </c>
      <c r="M350" s="2" t="s">
        <v>32</v>
      </c>
      <c r="N350" s="2" t="s">
        <v>507</v>
      </c>
      <c r="O350" s="2" t="s">
        <v>164</v>
      </c>
      <c r="P350" s="2" t="s">
        <v>1392</v>
      </c>
      <c r="Q350" s="2" t="s">
        <v>98</v>
      </c>
      <c r="R350" s="2" t="s">
        <v>452</v>
      </c>
      <c r="S350" s="2" t="s">
        <v>35</v>
      </c>
      <c r="T350" s="150">
        <v>4.4539999999999997</v>
      </c>
      <c r="U350" s="2" t="s">
        <v>2270</v>
      </c>
      <c r="V350" s="162">
        <v>1.3299999999999999E-2</v>
      </c>
      <c r="W350" s="164">
        <v>3.5150000000000001E-2</v>
      </c>
      <c r="X350" s="4" t="s">
        <v>458</v>
      </c>
      <c r="Y350" s="4" t="s">
        <v>164</v>
      </c>
      <c r="Z350" s="150">
        <v>66500</v>
      </c>
      <c r="AA350" s="150">
        <v>1</v>
      </c>
      <c r="AB350" s="150">
        <v>103.22</v>
      </c>
      <c r="AD350" s="150">
        <v>68.641000000000005</v>
      </c>
      <c r="AG350" s="2" t="s">
        <v>37</v>
      </c>
      <c r="AH350" s="164">
        <v>5.5999999999999999E-5</v>
      </c>
      <c r="AI350" s="164">
        <v>1.09011526847104E-2</v>
      </c>
      <c r="AJ350" s="164">
        <v>9.3066121031009795E-4</v>
      </c>
    </row>
    <row r="351" spans="1:36">
      <c r="A351" s="2" t="s">
        <v>144</v>
      </c>
      <c r="B351" s="2">
        <v>969</v>
      </c>
      <c r="C351" s="2" t="s">
        <v>1877</v>
      </c>
      <c r="D351" s="2" t="s">
        <v>1878</v>
      </c>
      <c r="E351" s="4" t="s">
        <v>1376</v>
      </c>
      <c r="F351" s="2" t="s">
        <v>2294</v>
      </c>
      <c r="G351" s="2" t="s">
        <v>2295</v>
      </c>
      <c r="H351" s="2" t="s">
        <v>367</v>
      </c>
      <c r="I351" s="2" t="s">
        <v>1010</v>
      </c>
      <c r="J351" s="2" t="s">
        <v>31</v>
      </c>
      <c r="K351" s="2" t="s">
        <v>31</v>
      </c>
      <c r="L351" s="2" t="s">
        <v>373</v>
      </c>
      <c r="M351" s="2" t="s">
        <v>32</v>
      </c>
      <c r="N351" s="2" t="s">
        <v>483</v>
      </c>
      <c r="O351" s="2" t="s">
        <v>164</v>
      </c>
      <c r="P351" s="2" t="s">
        <v>2258</v>
      </c>
      <c r="Q351" s="2" t="s">
        <v>217</v>
      </c>
      <c r="R351" s="2" t="s">
        <v>452</v>
      </c>
      <c r="S351" s="2" t="s">
        <v>35</v>
      </c>
      <c r="T351" s="150">
        <v>4.7069999999999999</v>
      </c>
      <c r="U351" s="2" t="s">
        <v>2296</v>
      </c>
      <c r="V351" s="162">
        <v>5.7500000000000002E-2</v>
      </c>
      <c r="W351" s="164">
        <v>6.7390000000000005E-2</v>
      </c>
      <c r="X351" s="4" t="s">
        <v>458</v>
      </c>
      <c r="Y351" s="4" t="s">
        <v>164</v>
      </c>
      <c r="Z351" s="150">
        <v>70828</v>
      </c>
      <c r="AA351" s="150">
        <v>1</v>
      </c>
      <c r="AB351" s="150">
        <v>97.35</v>
      </c>
      <c r="AD351" s="150">
        <v>68.950999999999993</v>
      </c>
      <c r="AG351" s="2" t="s">
        <v>37</v>
      </c>
      <c r="AH351" s="164">
        <v>1.35E-4</v>
      </c>
      <c r="AI351" s="164">
        <v>1.09503463808279E-2</v>
      </c>
      <c r="AJ351" s="164">
        <v>9.3486101065163002E-4</v>
      </c>
    </row>
    <row r="352" spans="1:36">
      <c r="A352" s="2" t="s">
        <v>144</v>
      </c>
      <c r="B352" s="2">
        <v>969</v>
      </c>
      <c r="C352" s="2" t="s">
        <v>2297</v>
      </c>
      <c r="D352" s="2" t="s">
        <v>2298</v>
      </c>
      <c r="E352" s="4" t="s">
        <v>1376</v>
      </c>
      <c r="F352" s="2" t="s">
        <v>2299</v>
      </c>
      <c r="G352" s="2" t="s">
        <v>2300</v>
      </c>
      <c r="H352" s="2" t="s">
        <v>367</v>
      </c>
      <c r="I352" s="2" t="s">
        <v>1010</v>
      </c>
      <c r="J352" s="2" t="s">
        <v>31</v>
      </c>
      <c r="K352" s="2" t="s">
        <v>31</v>
      </c>
      <c r="L352" s="2" t="s">
        <v>373</v>
      </c>
      <c r="M352" s="2" t="s">
        <v>32</v>
      </c>
      <c r="N352" s="2" t="s">
        <v>507</v>
      </c>
      <c r="O352" s="2" t="s">
        <v>164</v>
      </c>
      <c r="P352" s="2" t="s">
        <v>2247</v>
      </c>
      <c r="Q352" s="2" t="s">
        <v>217</v>
      </c>
      <c r="R352" s="2" t="s">
        <v>452</v>
      </c>
      <c r="S352" s="2" t="s">
        <v>35</v>
      </c>
      <c r="T352" s="150">
        <v>5.38</v>
      </c>
      <c r="U352" s="2" t="s">
        <v>2301</v>
      </c>
      <c r="V352" s="162">
        <v>2.5499999999999998E-2</v>
      </c>
      <c r="W352" s="164">
        <v>6.1440000000000002E-2</v>
      </c>
      <c r="X352" s="4" t="s">
        <v>458</v>
      </c>
      <c r="Y352" s="4" t="s">
        <v>164</v>
      </c>
      <c r="Z352" s="150">
        <v>87598.32</v>
      </c>
      <c r="AA352" s="150">
        <v>1</v>
      </c>
      <c r="AB352" s="150">
        <v>82.82</v>
      </c>
      <c r="AD352" s="150">
        <v>72.549000000000007</v>
      </c>
      <c r="AG352" s="2" t="s">
        <v>37</v>
      </c>
      <c r="AH352" s="164">
        <v>4.8999999999999998E-5</v>
      </c>
      <c r="AI352" s="164">
        <v>1.15217361565469E-2</v>
      </c>
      <c r="AJ352" s="164">
        <v>9.8364211808215697E-4</v>
      </c>
    </row>
    <row r="353" spans="1:36">
      <c r="A353" s="2" t="s">
        <v>144</v>
      </c>
      <c r="B353" s="2">
        <v>969</v>
      </c>
      <c r="C353" s="2" t="s">
        <v>2297</v>
      </c>
      <c r="D353" s="2" t="s">
        <v>2298</v>
      </c>
      <c r="E353" s="4" t="s">
        <v>1376</v>
      </c>
      <c r="F353" s="2" t="s">
        <v>2305</v>
      </c>
      <c r="G353" s="2" t="s">
        <v>2306</v>
      </c>
      <c r="H353" s="2" t="s">
        <v>367</v>
      </c>
      <c r="I353" s="2" t="s">
        <v>219</v>
      </c>
      <c r="J353" s="2" t="s">
        <v>31</v>
      </c>
      <c r="K353" s="2" t="s">
        <v>31</v>
      </c>
      <c r="L353" s="2" t="s">
        <v>373</v>
      </c>
      <c r="M353" s="2" t="s">
        <v>32</v>
      </c>
      <c r="N353" s="2" t="s">
        <v>507</v>
      </c>
      <c r="O353" s="2" t="s">
        <v>164</v>
      </c>
      <c r="P353" s="2" t="s">
        <v>2247</v>
      </c>
      <c r="Q353" s="2" t="s">
        <v>217</v>
      </c>
      <c r="R353" s="2" t="s">
        <v>452</v>
      </c>
      <c r="S353" s="2" t="s">
        <v>35</v>
      </c>
      <c r="T353" s="150">
        <v>5.37</v>
      </c>
      <c r="U353" s="2" t="s">
        <v>2307</v>
      </c>
      <c r="V353" s="162">
        <v>5.8999999999999999E-3</v>
      </c>
      <c r="W353" s="164">
        <v>3.5549999999999998E-2</v>
      </c>
      <c r="X353" s="4" t="s">
        <v>458</v>
      </c>
      <c r="Y353" s="4" t="s">
        <v>164</v>
      </c>
      <c r="Z353" s="150">
        <v>112131</v>
      </c>
      <c r="AA353" s="150">
        <v>1</v>
      </c>
      <c r="AB353" s="150">
        <v>94</v>
      </c>
      <c r="AD353" s="150">
        <v>105.40300000000001</v>
      </c>
      <c r="AG353" s="2" t="s">
        <v>37</v>
      </c>
      <c r="AH353" s="164">
        <v>8.0000000000000007E-5</v>
      </c>
      <c r="AI353" s="164">
        <v>1.6739422513674902E-2</v>
      </c>
      <c r="AJ353" s="164">
        <v>1.42909026843729E-3</v>
      </c>
    </row>
    <row r="354" spans="1:36">
      <c r="A354" s="2" t="s">
        <v>144</v>
      </c>
      <c r="B354" s="2">
        <v>969</v>
      </c>
      <c r="C354" s="2" t="s">
        <v>2297</v>
      </c>
      <c r="D354" s="2" t="s">
        <v>2298</v>
      </c>
      <c r="E354" s="4" t="s">
        <v>1376</v>
      </c>
      <c r="F354" s="2" t="s">
        <v>2308</v>
      </c>
      <c r="G354" s="2" t="s">
        <v>2309</v>
      </c>
      <c r="H354" s="2" t="s">
        <v>367</v>
      </c>
      <c r="I354" s="2" t="s">
        <v>219</v>
      </c>
      <c r="J354" s="2" t="s">
        <v>31</v>
      </c>
      <c r="K354" s="2" t="s">
        <v>31</v>
      </c>
      <c r="L354" s="2" t="s">
        <v>373</v>
      </c>
      <c r="M354" s="2" t="s">
        <v>32</v>
      </c>
      <c r="N354" s="2" t="s">
        <v>507</v>
      </c>
      <c r="O354" s="2" t="s">
        <v>164</v>
      </c>
      <c r="P354" s="2" t="s">
        <v>2247</v>
      </c>
      <c r="Q354" s="2" t="s">
        <v>217</v>
      </c>
      <c r="R354" s="2" t="s">
        <v>452</v>
      </c>
      <c r="S354" s="2" t="s">
        <v>35</v>
      </c>
      <c r="T354" s="150">
        <v>1.21</v>
      </c>
      <c r="U354" s="2" t="s">
        <v>2310</v>
      </c>
      <c r="V354" s="162">
        <v>4.7500000000000001E-2</v>
      </c>
      <c r="W354" s="164">
        <v>2.843E-2</v>
      </c>
      <c r="X354" s="4" t="s">
        <v>458</v>
      </c>
      <c r="Y354" s="4" t="s">
        <v>164</v>
      </c>
      <c r="Z354" s="150">
        <v>71646.39</v>
      </c>
      <c r="AA354" s="150">
        <v>1</v>
      </c>
      <c r="AB354" s="150">
        <v>142.59</v>
      </c>
      <c r="AD354" s="150">
        <v>102.161</v>
      </c>
      <c r="AG354" s="2" t="s">
        <v>37</v>
      </c>
      <c r="AH354" s="164">
        <v>7.4999999999999993E-5</v>
      </c>
      <c r="AI354" s="164">
        <v>1.6224461988746199E-2</v>
      </c>
      <c r="AJ354" s="164">
        <v>1.38512668043396E-3</v>
      </c>
    </row>
    <row r="355" spans="1:36">
      <c r="A355" s="2" t="s">
        <v>144</v>
      </c>
      <c r="B355" s="2">
        <v>969</v>
      </c>
      <c r="C355" s="2" t="s">
        <v>2311</v>
      </c>
      <c r="D355" s="2" t="s">
        <v>2312</v>
      </c>
      <c r="E355" s="4" t="s">
        <v>1376</v>
      </c>
      <c r="F355" s="2" t="s">
        <v>2313</v>
      </c>
      <c r="G355" s="2" t="s">
        <v>2314</v>
      </c>
      <c r="H355" s="2" t="s">
        <v>367</v>
      </c>
      <c r="I355" s="2" t="s">
        <v>219</v>
      </c>
      <c r="J355" s="2" t="s">
        <v>31</v>
      </c>
      <c r="K355" s="2" t="s">
        <v>345</v>
      </c>
      <c r="L355" s="2" t="s">
        <v>373</v>
      </c>
      <c r="M355" s="2" t="s">
        <v>32</v>
      </c>
      <c r="N355" s="2" t="s">
        <v>508</v>
      </c>
      <c r="O355" s="2" t="s">
        <v>164</v>
      </c>
      <c r="P355" s="2" t="s">
        <v>2287</v>
      </c>
      <c r="Q355" s="2" t="s">
        <v>98</v>
      </c>
      <c r="R355" s="2" t="s">
        <v>452</v>
      </c>
      <c r="S355" s="2" t="s">
        <v>35</v>
      </c>
      <c r="T355" s="150">
        <v>0.247</v>
      </c>
      <c r="U355" s="2" t="s">
        <v>2315</v>
      </c>
      <c r="V355" s="162">
        <v>5.3499999999999999E-2</v>
      </c>
      <c r="W355" s="164">
        <v>3.3520000000000001E-2</v>
      </c>
      <c r="X355" s="4" t="s">
        <v>458</v>
      </c>
      <c r="Y355" s="4" t="s">
        <v>164</v>
      </c>
      <c r="Z355" s="150">
        <v>58750</v>
      </c>
      <c r="AA355" s="150">
        <v>1</v>
      </c>
      <c r="AB355" s="150">
        <v>119.58</v>
      </c>
      <c r="AD355" s="150">
        <v>70.253</v>
      </c>
      <c r="AG355" s="2" t="s">
        <v>37</v>
      </c>
      <c r="AH355" s="164">
        <v>1.7799999999999999E-4</v>
      </c>
      <c r="AI355" s="164">
        <v>1.1157151814536401E-2</v>
      </c>
      <c r="AJ355" s="164">
        <v>9.5251655596875198E-4</v>
      </c>
    </row>
    <row r="356" spans="1:36">
      <c r="A356" s="2" t="s">
        <v>144</v>
      </c>
      <c r="B356" s="2">
        <v>969</v>
      </c>
      <c r="C356" s="2" t="s">
        <v>2316</v>
      </c>
      <c r="D356" s="2" t="s">
        <v>2317</v>
      </c>
      <c r="E356" s="4" t="s">
        <v>1376</v>
      </c>
      <c r="F356" s="2" t="s">
        <v>2318</v>
      </c>
      <c r="G356" s="2" t="s">
        <v>2319</v>
      </c>
      <c r="H356" s="2" t="s">
        <v>367</v>
      </c>
      <c r="I356" s="2" t="s">
        <v>219</v>
      </c>
      <c r="J356" s="2" t="s">
        <v>31</v>
      </c>
      <c r="K356" s="2" t="s">
        <v>31</v>
      </c>
      <c r="L356" s="2" t="s">
        <v>373</v>
      </c>
      <c r="M356" s="2" t="s">
        <v>32</v>
      </c>
      <c r="N356" s="2" t="s">
        <v>494</v>
      </c>
      <c r="O356" s="2" t="s">
        <v>164</v>
      </c>
      <c r="P356" s="2" t="s">
        <v>2258</v>
      </c>
      <c r="Q356" s="2" t="s">
        <v>217</v>
      </c>
      <c r="R356" s="2" t="s">
        <v>452</v>
      </c>
      <c r="S356" s="2" t="s">
        <v>35</v>
      </c>
      <c r="T356" s="150">
        <v>4.3819999999999997</v>
      </c>
      <c r="U356" s="2" t="s">
        <v>2320</v>
      </c>
      <c r="V356" s="162">
        <v>7.4999999999999997E-3</v>
      </c>
      <c r="W356" s="164">
        <v>3.9260000000000003E-2</v>
      </c>
      <c r="X356" s="4" t="s">
        <v>458</v>
      </c>
      <c r="Y356" s="4" t="s">
        <v>164</v>
      </c>
      <c r="Z356" s="150">
        <v>71345</v>
      </c>
      <c r="AA356" s="150">
        <v>1</v>
      </c>
      <c r="AB356" s="150">
        <v>96.11</v>
      </c>
      <c r="AD356" s="150">
        <v>68.569999999999993</v>
      </c>
      <c r="AG356" s="2" t="s">
        <v>37</v>
      </c>
      <c r="AH356" s="164">
        <v>6.7999999999999999E-5</v>
      </c>
      <c r="AI356" s="164">
        <v>1.08897783953853E-2</v>
      </c>
      <c r="AJ356" s="164">
        <v>9.2969015613115602E-4</v>
      </c>
    </row>
    <row r="357" spans="1:36">
      <c r="A357" s="2" t="s">
        <v>144</v>
      </c>
      <c r="B357" s="2">
        <v>969</v>
      </c>
      <c r="C357" s="2" t="s">
        <v>2321</v>
      </c>
      <c r="D357" s="2" t="s">
        <v>2322</v>
      </c>
      <c r="E357" s="4" t="s">
        <v>1376</v>
      </c>
      <c r="F357" s="2" t="s">
        <v>2323</v>
      </c>
      <c r="G357" s="2" t="s">
        <v>2324</v>
      </c>
      <c r="H357" s="2" t="s">
        <v>367</v>
      </c>
      <c r="I357" s="2" t="s">
        <v>219</v>
      </c>
      <c r="J357" s="2" t="s">
        <v>31</v>
      </c>
      <c r="K357" s="2" t="s">
        <v>31</v>
      </c>
      <c r="L357" s="2" t="s">
        <v>373</v>
      </c>
      <c r="M357" s="2" t="s">
        <v>32</v>
      </c>
      <c r="N357" s="2" t="s">
        <v>491</v>
      </c>
      <c r="O357" s="2" t="s">
        <v>164</v>
      </c>
      <c r="P357" s="2" t="s">
        <v>97</v>
      </c>
      <c r="Q357" s="2" t="s">
        <v>98</v>
      </c>
      <c r="R357" s="2" t="s">
        <v>452</v>
      </c>
      <c r="S357" s="2" t="s">
        <v>35</v>
      </c>
      <c r="T357" s="150">
        <v>5.3019999999999996</v>
      </c>
      <c r="U357" s="2" t="s">
        <v>2325</v>
      </c>
      <c r="V357" s="162">
        <v>2.47E-2</v>
      </c>
      <c r="W357" s="164">
        <v>2.6040000000000001E-2</v>
      </c>
      <c r="X357" s="4" t="s">
        <v>458</v>
      </c>
      <c r="Y357" s="4" t="s">
        <v>164</v>
      </c>
      <c r="Z357" s="150">
        <v>100915</v>
      </c>
      <c r="AA357" s="150">
        <v>1</v>
      </c>
      <c r="AB357" s="150">
        <v>100.34</v>
      </c>
      <c r="AD357" s="150">
        <v>101.258</v>
      </c>
      <c r="AG357" s="2" t="s">
        <v>37</v>
      </c>
      <c r="AH357" s="164">
        <v>6.4999999999999994E-5</v>
      </c>
      <c r="AI357" s="164">
        <v>1.60811367001551E-2</v>
      </c>
      <c r="AJ357" s="164">
        <v>1.37289060867108E-3</v>
      </c>
    </row>
    <row r="358" spans="1:36">
      <c r="A358" s="2" t="s">
        <v>144</v>
      </c>
      <c r="B358" s="2">
        <v>969</v>
      </c>
      <c r="C358" s="2" t="s">
        <v>2321</v>
      </c>
      <c r="D358" s="2" t="s">
        <v>2322</v>
      </c>
      <c r="E358" s="4" t="s">
        <v>1376</v>
      </c>
      <c r="F358" s="2" t="s">
        <v>2332</v>
      </c>
      <c r="G358" s="2" t="s">
        <v>2333</v>
      </c>
      <c r="H358" s="2" t="s">
        <v>367</v>
      </c>
      <c r="I358" s="2" t="s">
        <v>219</v>
      </c>
      <c r="J358" s="2" t="s">
        <v>31</v>
      </c>
      <c r="K358" s="2" t="s">
        <v>31</v>
      </c>
      <c r="L358" s="2" t="s">
        <v>373</v>
      </c>
      <c r="M358" s="2" t="s">
        <v>32</v>
      </c>
      <c r="N358" s="2" t="s">
        <v>491</v>
      </c>
      <c r="O358" s="2" t="s">
        <v>164</v>
      </c>
      <c r="P358" s="2" t="s">
        <v>1392</v>
      </c>
      <c r="Q358" s="2" t="s">
        <v>98</v>
      </c>
      <c r="R358" s="2" t="s">
        <v>452</v>
      </c>
      <c r="S358" s="2" t="s">
        <v>35</v>
      </c>
      <c r="T358" s="150">
        <v>4.1150000000000002</v>
      </c>
      <c r="U358" s="2" t="s">
        <v>2334</v>
      </c>
      <c r="V358" s="162">
        <v>3.1699999999999999E-2</v>
      </c>
      <c r="W358" s="164">
        <v>3.594E-2</v>
      </c>
      <c r="X358" s="4" t="s">
        <v>458</v>
      </c>
      <c r="Y358" s="4" t="s">
        <v>164</v>
      </c>
      <c r="Z358" s="150">
        <v>100000</v>
      </c>
      <c r="AA358" s="150">
        <v>1</v>
      </c>
      <c r="AB358" s="150">
        <v>105.55</v>
      </c>
      <c r="AD358" s="150">
        <v>105.55</v>
      </c>
      <c r="AG358" s="2" t="s">
        <v>37</v>
      </c>
      <c r="AH358" s="164">
        <v>1.18E-4</v>
      </c>
      <c r="AI358" s="164">
        <v>1.6762745837727199E-2</v>
      </c>
      <c r="AJ358" s="164">
        <v>1.4310814443815999E-3</v>
      </c>
    </row>
    <row r="359" spans="1:36">
      <c r="A359" s="2" t="s">
        <v>144</v>
      </c>
      <c r="B359" s="2">
        <v>969</v>
      </c>
      <c r="C359" s="2" t="s">
        <v>2335</v>
      </c>
      <c r="D359" s="2" t="s">
        <v>2336</v>
      </c>
      <c r="E359" s="4" t="s">
        <v>1376</v>
      </c>
      <c r="F359" s="2" t="s">
        <v>2337</v>
      </c>
      <c r="G359" s="2" t="s">
        <v>2338</v>
      </c>
      <c r="H359" s="2" t="s">
        <v>367</v>
      </c>
      <c r="I359" s="2" t="s">
        <v>219</v>
      </c>
      <c r="J359" s="2" t="s">
        <v>31</v>
      </c>
      <c r="K359" s="2" t="s">
        <v>31</v>
      </c>
      <c r="L359" s="2" t="s">
        <v>373</v>
      </c>
      <c r="M359" s="2" t="s">
        <v>32</v>
      </c>
      <c r="N359" s="2" t="s">
        <v>483</v>
      </c>
      <c r="O359" s="2" t="s">
        <v>164</v>
      </c>
      <c r="P359" s="2" t="s">
        <v>2287</v>
      </c>
      <c r="Q359" s="2" t="s">
        <v>98</v>
      </c>
      <c r="R359" s="2" t="s">
        <v>452</v>
      </c>
      <c r="S359" s="2" t="s">
        <v>35</v>
      </c>
      <c r="T359" s="150">
        <v>3.69</v>
      </c>
      <c r="U359" s="2" t="s">
        <v>2339</v>
      </c>
      <c r="V359" s="162">
        <v>1.7999999999999999E-2</v>
      </c>
      <c r="W359" s="164">
        <v>3.5799999999999998E-2</v>
      </c>
      <c r="X359" s="4" t="s">
        <v>458</v>
      </c>
      <c r="Y359" s="4" t="s">
        <v>164</v>
      </c>
      <c r="Z359" s="150">
        <v>55215.06</v>
      </c>
      <c r="AA359" s="150">
        <v>1</v>
      </c>
      <c r="AB359" s="150">
        <v>106.94</v>
      </c>
      <c r="AD359" s="150">
        <v>59.046999999999997</v>
      </c>
      <c r="AG359" s="2" t="s">
        <v>37</v>
      </c>
      <c r="AH359" s="164">
        <v>5.5000000000000002E-5</v>
      </c>
      <c r="AI359" s="164">
        <v>9.3774477005038707E-3</v>
      </c>
      <c r="AJ359" s="164">
        <v>8.00578349738286E-4</v>
      </c>
    </row>
    <row r="360" spans="1:36">
      <c r="A360" s="2" t="s">
        <v>144</v>
      </c>
      <c r="B360" s="2">
        <v>969</v>
      </c>
      <c r="C360" s="2" t="s">
        <v>2335</v>
      </c>
      <c r="D360" s="2" t="s">
        <v>2336</v>
      </c>
      <c r="E360" s="4" t="s">
        <v>1376</v>
      </c>
      <c r="F360" s="2" t="s">
        <v>2340</v>
      </c>
      <c r="G360" s="2" t="s">
        <v>2341</v>
      </c>
      <c r="H360" s="2" t="s">
        <v>367</v>
      </c>
      <c r="I360" s="2" t="s">
        <v>219</v>
      </c>
      <c r="J360" s="2" t="s">
        <v>31</v>
      </c>
      <c r="K360" s="2" t="s">
        <v>31</v>
      </c>
      <c r="L360" s="2" t="s">
        <v>373</v>
      </c>
      <c r="M360" s="2" t="s">
        <v>32</v>
      </c>
      <c r="N360" s="2" t="s">
        <v>483</v>
      </c>
      <c r="O360" s="2" t="s">
        <v>164</v>
      </c>
      <c r="P360" s="2" t="s">
        <v>2287</v>
      </c>
      <c r="Q360" s="2" t="s">
        <v>98</v>
      </c>
      <c r="R360" s="2" t="s">
        <v>452</v>
      </c>
      <c r="S360" s="2" t="s">
        <v>35</v>
      </c>
      <c r="T360" s="150">
        <v>5.9729999999999999</v>
      </c>
      <c r="U360" s="2" t="s">
        <v>2342</v>
      </c>
      <c r="V360" s="162">
        <v>3.3000000000000002E-2</v>
      </c>
      <c r="W360" s="164">
        <v>4.1739999999999999E-2</v>
      </c>
      <c r="X360" s="4" t="s">
        <v>458</v>
      </c>
      <c r="Y360" s="4" t="s">
        <v>164</v>
      </c>
      <c r="Z360" s="150">
        <v>163935.9</v>
      </c>
      <c r="AA360" s="150">
        <v>1</v>
      </c>
      <c r="AB360" s="150">
        <v>100.71</v>
      </c>
      <c r="AD360" s="150">
        <v>165.1</v>
      </c>
      <c r="AG360" s="2" t="s">
        <v>37</v>
      </c>
      <c r="AH360" s="164">
        <v>1.3100000000000001E-4</v>
      </c>
      <c r="AI360" s="164">
        <v>2.6220054360390901E-2</v>
      </c>
      <c r="AJ360" s="164">
        <v>2.2384777308608202E-3</v>
      </c>
    </row>
    <row r="361" spans="1:36">
      <c r="A361" s="2" t="s">
        <v>144</v>
      </c>
      <c r="B361" s="2">
        <v>969</v>
      </c>
      <c r="C361" s="2" t="s">
        <v>2159</v>
      </c>
      <c r="D361" s="2" t="s">
        <v>2160</v>
      </c>
      <c r="E361" s="4" t="s">
        <v>1376</v>
      </c>
      <c r="F361" s="2" t="s">
        <v>2343</v>
      </c>
      <c r="G361" s="2" t="s">
        <v>2344</v>
      </c>
      <c r="H361" s="2" t="s">
        <v>367</v>
      </c>
      <c r="I361" s="2" t="s">
        <v>219</v>
      </c>
      <c r="J361" s="2" t="s">
        <v>31</v>
      </c>
      <c r="K361" s="2" t="s">
        <v>31</v>
      </c>
      <c r="L361" s="2" t="s">
        <v>373</v>
      </c>
      <c r="M361" s="2" t="s">
        <v>32</v>
      </c>
      <c r="N361" s="2" t="s">
        <v>507</v>
      </c>
      <c r="O361" s="2" t="s">
        <v>164</v>
      </c>
      <c r="P361" s="2" t="s">
        <v>2228</v>
      </c>
      <c r="Q361" s="2" t="s">
        <v>217</v>
      </c>
      <c r="R361" s="2" t="s">
        <v>452</v>
      </c>
      <c r="S361" s="2" t="s">
        <v>35</v>
      </c>
      <c r="T361" s="150">
        <v>2.3730000000000002</v>
      </c>
      <c r="U361" s="2" t="s">
        <v>2237</v>
      </c>
      <c r="V361" s="162">
        <v>3.6499999999999998E-2</v>
      </c>
      <c r="W361" s="164">
        <v>3.7539999999999997E-2</v>
      </c>
      <c r="X361" s="4" t="s">
        <v>458</v>
      </c>
      <c r="Y361" s="4" t="s">
        <v>164</v>
      </c>
      <c r="Z361" s="150">
        <v>80000</v>
      </c>
      <c r="AA361" s="150">
        <v>1</v>
      </c>
      <c r="AB361" s="150">
        <v>105.01</v>
      </c>
      <c r="AD361" s="150">
        <v>84.007999999999996</v>
      </c>
      <c r="AG361" s="2" t="s">
        <v>37</v>
      </c>
      <c r="AH361" s="164">
        <v>2.4499999999999999E-4</v>
      </c>
      <c r="AI361" s="164">
        <v>1.3341589316303099E-2</v>
      </c>
      <c r="AJ361" s="164">
        <v>1.1390079581204101E-3</v>
      </c>
    </row>
    <row r="362" spans="1:36">
      <c r="A362" s="2" t="s">
        <v>144</v>
      </c>
      <c r="B362" s="2">
        <v>969</v>
      </c>
      <c r="C362" s="2" t="s">
        <v>2159</v>
      </c>
      <c r="D362" s="2" t="s">
        <v>2160</v>
      </c>
      <c r="E362" s="4" t="s">
        <v>1376</v>
      </c>
      <c r="F362" s="2" t="s">
        <v>2345</v>
      </c>
      <c r="G362" s="2" t="s">
        <v>2346</v>
      </c>
      <c r="H362" s="2" t="s">
        <v>367</v>
      </c>
      <c r="I362" s="2" t="s">
        <v>219</v>
      </c>
      <c r="J362" s="2" t="s">
        <v>31</v>
      </c>
      <c r="K362" s="2" t="s">
        <v>31</v>
      </c>
      <c r="L362" s="2" t="s">
        <v>373</v>
      </c>
      <c r="M362" s="2" t="s">
        <v>32</v>
      </c>
      <c r="N362" s="2" t="s">
        <v>507</v>
      </c>
      <c r="O362" s="2" t="s">
        <v>164</v>
      </c>
      <c r="P362" s="2" t="s">
        <v>2275</v>
      </c>
      <c r="Q362" s="2" t="s">
        <v>217</v>
      </c>
      <c r="R362" s="2" t="s">
        <v>452</v>
      </c>
      <c r="S362" s="2" t="s">
        <v>35</v>
      </c>
      <c r="T362" s="150">
        <v>3.028</v>
      </c>
      <c r="U362" s="2" t="s">
        <v>1371</v>
      </c>
      <c r="V362" s="162">
        <v>1.7999999999999999E-2</v>
      </c>
      <c r="W362" s="164">
        <v>3.0200000000000001E-2</v>
      </c>
      <c r="X362" s="4" t="s">
        <v>458</v>
      </c>
      <c r="Y362" s="4" t="s">
        <v>164</v>
      </c>
      <c r="Z362" s="150">
        <v>60495.06</v>
      </c>
      <c r="AA362" s="150">
        <v>1</v>
      </c>
      <c r="AB362" s="150">
        <v>110.52</v>
      </c>
      <c r="AD362" s="150">
        <v>66.858999999999995</v>
      </c>
      <c r="AG362" s="2" t="s">
        <v>37</v>
      </c>
      <c r="AH362" s="164">
        <v>7.7000000000000001E-5</v>
      </c>
      <c r="AI362" s="164">
        <v>1.0618121989379401E-2</v>
      </c>
      <c r="AJ362" s="164">
        <v>9.0649810599534905E-4</v>
      </c>
    </row>
    <row r="363" spans="1:36">
      <c r="A363" s="2" t="s">
        <v>144</v>
      </c>
      <c r="B363" s="2">
        <v>969</v>
      </c>
      <c r="C363" s="2" t="s">
        <v>2347</v>
      </c>
      <c r="D363" s="2" t="s">
        <v>2348</v>
      </c>
      <c r="E363" s="4" t="s">
        <v>1376</v>
      </c>
      <c r="F363" s="2" t="s">
        <v>2349</v>
      </c>
      <c r="G363" s="2" t="s">
        <v>2350</v>
      </c>
      <c r="H363" s="2" t="s">
        <v>367</v>
      </c>
      <c r="I363" s="2" t="s">
        <v>1010</v>
      </c>
      <c r="J363" s="2" t="s">
        <v>31</v>
      </c>
      <c r="K363" s="2" t="s">
        <v>31</v>
      </c>
      <c r="L363" s="2" t="s">
        <v>373</v>
      </c>
      <c r="M363" s="2" t="s">
        <v>32</v>
      </c>
      <c r="N363" s="2" t="s">
        <v>488</v>
      </c>
      <c r="O363" s="2" t="s">
        <v>164</v>
      </c>
      <c r="P363" s="2" t="s">
        <v>1392</v>
      </c>
      <c r="Q363" s="2" t="s">
        <v>98</v>
      </c>
      <c r="R363" s="2" t="s">
        <v>452</v>
      </c>
      <c r="S363" s="2" t="s">
        <v>35</v>
      </c>
      <c r="T363" s="150">
        <v>6.6689999999999996</v>
      </c>
      <c r="U363" s="2" t="s">
        <v>2351</v>
      </c>
      <c r="V363" s="162">
        <v>3.0499999999999999E-2</v>
      </c>
      <c r="W363" s="164">
        <v>6.0159999999999998E-2</v>
      </c>
      <c r="X363" s="4" t="s">
        <v>458</v>
      </c>
      <c r="Y363" s="4" t="s">
        <v>164</v>
      </c>
      <c r="Z363" s="150">
        <v>73032</v>
      </c>
      <c r="AA363" s="150">
        <v>1</v>
      </c>
      <c r="AB363" s="150">
        <v>82.6</v>
      </c>
      <c r="AD363" s="150">
        <v>60.323999999999998</v>
      </c>
      <c r="AG363" s="2" t="s">
        <v>37</v>
      </c>
      <c r="AH363" s="164">
        <v>1.07E-4</v>
      </c>
      <c r="AI363" s="164">
        <v>9.5803232725841792E-3</v>
      </c>
      <c r="AJ363" s="164">
        <v>8.1789839202330396E-4</v>
      </c>
    </row>
    <row r="364" spans="1:36">
      <c r="A364" s="2" t="s">
        <v>144</v>
      </c>
      <c r="B364" s="2">
        <v>969</v>
      </c>
      <c r="C364" s="2" t="s">
        <v>2347</v>
      </c>
      <c r="D364" s="2" t="s">
        <v>2348</v>
      </c>
      <c r="E364" s="4" t="s">
        <v>1376</v>
      </c>
      <c r="F364" s="2" t="s">
        <v>2352</v>
      </c>
      <c r="G364" s="2" t="s">
        <v>2353</v>
      </c>
      <c r="H364" s="2" t="s">
        <v>367</v>
      </c>
      <c r="I364" s="2" t="s">
        <v>1010</v>
      </c>
      <c r="J364" s="2" t="s">
        <v>31</v>
      </c>
      <c r="K364" s="2" t="s">
        <v>31</v>
      </c>
      <c r="L364" s="2" t="s">
        <v>373</v>
      </c>
      <c r="M364" s="2" t="s">
        <v>32</v>
      </c>
      <c r="N364" s="2" t="s">
        <v>488</v>
      </c>
      <c r="O364" s="2" t="s">
        <v>164</v>
      </c>
      <c r="P364" s="2" t="s">
        <v>1387</v>
      </c>
      <c r="Q364" s="2" t="s">
        <v>217</v>
      </c>
      <c r="R364" s="2" t="s">
        <v>452</v>
      </c>
      <c r="S364" s="2" t="s">
        <v>35</v>
      </c>
      <c r="T364" s="150">
        <v>4.9290000000000003</v>
      </c>
      <c r="U364" s="2" t="s">
        <v>2354</v>
      </c>
      <c r="V364" s="162">
        <v>4.3799999999999999E-2</v>
      </c>
      <c r="W364" s="164">
        <v>5.5509999999999997E-2</v>
      </c>
      <c r="X364" s="4" t="s">
        <v>458</v>
      </c>
      <c r="Y364" s="4" t="s">
        <v>164</v>
      </c>
      <c r="Z364" s="150">
        <v>32000</v>
      </c>
      <c r="AA364" s="150">
        <v>1</v>
      </c>
      <c r="AB364" s="150">
        <v>94.29</v>
      </c>
      <c r="AD364" s="150">
        <v>30.172999999999998</v>
      </c>
      <c r="AG364" s="2" t="s">
        <v>37</v>
      </c>
      <c r="AH364" s="164">
        <v>6.3999999999999997E-5</v>
      </c>
      <c r="AI364" s="164">
        <v>4.7918425164621197E-3</v>
      </c>
      <c r="AJ364" s="164">
        <v>4.09092697347581E-4</v>
      </c>
    </row>
    <row r="365" spans="1:36">
      <c r="A365" s="2" t="s">
        <v>144</v>
      </c>
      <c r="B365" s="2">
        <v>969</v>
      </c>
      <c r="C365" s="2" t="s">
        <v>2355</v>
      </c>
      <c r="D365" s="2" t="s">
        <v>2356</v>
      </c>
      <c r="E365" s="4" t="s">
        <v>1376</v>
      </c>
      <c r="F365" s="2" t="s">
        <v>2357</v>
      </c>
      <c r="G365" s="2" t="s">
        <v>2358</v>
      </c>
      <c r="H365" s="2" t="s">
        <v>367</v>
      </c>
      <c r="I365" s="2" t="s">
        <v>219</v>
      </c>
      <c r="J365" s="2" t="s">
        <v>31</v>
      </c>
      <c r="K365" s="2" t="s">
        <v>31</v>
      </c>
      <c r="L365" s="2" t="s">
        <v>373</v>
      </c>
      <c r="M365" s="2" t="s">
        <v>32</v>
      </c>
      <c r="N365" s="2" t="s">
        <v>491</v>
      </c>
      <c r="O365" s="2" t="s">
        <v>164</v>
      </c>
      <c r="P365" s="2" t="s">
        <v>1387</v>
      </c>
      <c r="Q365" s="2" t="s">
        <v>98</v>
      </c>
      <c r="R365" s="2" t="s">
        <v>452</v>
      </c>
      <c r="S365" s="2" t="s">
        <v>35</v>
      </c>
      <c r="T365" s="150">
        <v>4.7489999999999997</v>
      </c>
      <c r="U365" s="2" t="s">
        <v>2359</v>
      </c>
      <c r="V365" s="162">
        <v>2.5899999999999999E-2</v>
      </c>
      <c r="W365" s="164">
        <v>2.751E-2</v>
      </c>
      <c r="X365" s="4" t="s">
        <v>458</v>
      </c>
      <c r="Y365" s="4" t="s">
        <v>164</v>
      </c>
      <c r="Z365" s="150">
        <v>93000</v>
      </c>
      <c r="AA365" s="150">
        <v>1</v>
      </c>
      <c r="AB365" s="150">
        <v>102.32</v>
      </c>
      <c r="AD365" s="150">
        <v>95.158000000000001</v>
      </c>
      <c r="AG365" s="2" t="s">
        <v>37</v>
      </c>
      <c r="AH365" s="164">
        <v>2.0699999999999999E-4</v>
      </c>
      <c r="AI365" s="164">
        <v>1.5112294299650501E-2</v>
      </c>
      <c r="AJ365" s="164">
        <v>1.2901778839591301E-3</v>
      </c>
    </row>
    <row r="366" spans="1:36">
      <c r="A366" s="2" t="s">
        <v>144</v>
      </c>
      <c r="B366" s="2">
        <v>969</v>
      </c>
      <c r="C366" s="2" t="s">
        <v>2360</v>
      </c>
      <c r="D366" s="2" t="s">
        <v>2361</v>
      </c>
      <c r="E366" s="4" t="s">
        <v>1376</v>
      </c>
      <c r="F366" s="2" t="s">
        <v>2362</v>
      </c>
      <c r="G366" s="2" t="s">
        <v>2363</v>
      </c>
      <c r="H366" s="2" t="s">
        <v>367</v>
      </c>
      <c r="I366" s="2" t="s">
        <v>1010</v>
      </c>
      <c r="J366" s="2" t="s">
        <v>31</v>
      </c>
      <c r="K366" s="2" t="s">
        <v>31</v>
      </c>
      <c r="L366" s="2" t="s">
        <v>373</v>
      </c>
      <c r="M366" s="2" t="s">
        <v>32</v>
      </c>
      <c r="N366" s="2" t="s">
        <v>497</v>
      </c>
      <c r="O366" s="2" t="s">
        <v>164</v>
      </c>
      <c r="P366" s="2" t="s">
        <v>2247</v>
      </c>
      <c r="Q366" s="2" t="s">
        <v>217</v>
      </c>
      <c r="R366" s="2" t="s">
        <v>452</v>
      </c>
      <c r="S366" s="2" t="s">
        <v>35</v>
      </c>
      <c r="T366" s="150">
        <v>3.4910000000000001</v>
      </c>
      <c r="U366" s="2" t="s">
        <v>2364</v>
      </c>
      <c r="V366" s="162">
        <v>2.24E-2</v>
      </c>
      <c r="W366" s="164">
        <v>5.5100000000000003E-2</v>
      </c>
      <c r="X366" s="4" t="s">
        <v>458</v>
      </c>
      <c r="Y366" s="4" t="s">
        <v>164</v>
      </c>
      <c r="Z366" s="150">
        <v>76872.72</v>
      </c>
      <c r="AA366" s="150">
        <v>1</v>
      </c>
      <c r="AB366" s="150">
        <v>89.89</v>
      </c>
      <c r="AD366" s="150">
        <v>69.100999999999999</v>
      </c>
      <c r="AG366" s="2" t="s">
        <v>37</v>
      </c>
      <c r="AH366" s="164">
        <v>1.3100000000000001E-4</v>
      </c>
      <c r="AI366" s="164">
        <v>1.09741413817088E-2</v>
      </c>
      <c r="AJ366" s="164">
        <v>9.3689245493642798E-4</v>
      </c>
    </row>
    <row r="367" spans="1:36">
      <c r="A367" s="2" t="s">
        <v>144</v>
      </c>
      <c r="B367" s="2">
        <v>969</v>
      </c>
      <c r="C367" s="2" t="s">
        <v>1941</v>
      </c>
      <c r="D367" s="2" t="s">
        <v>1942</v>
      </c>
      <c r="E367" s="4" t="s">
        <v>1376</v>
      </c>
      <c r="F367" s="2" t="s">
        <v>2365</v>
      </c>
      <c r="G367" s="2" t="s">
        <v>2366</v>
      </c>
      <c r="H367" s="2" t="s">
        <v>367</v>
      </c>
      <c r="I367" s="2" t="s">
        <v>1010</v>
      </c>
      <c r="J367" s="2" t="s">
        <v>31</v>
      </c>
      <c r="K367" s="2" t="s">
        <v>31</v>
      </c>
      <c r="L367" s="2" t="s">
        <v>373</v>
      </c>
      <c r="M367" s="2" t="s">
        <v>32</v>
      </c>
      <c r="N367" s="2" t="s">
        <v>488</v>
      </c>
      <c r="O367" s="2" t="s">
        <v>164</v>
      </c>
      <c r="P367" s="2" t="s">
        <v>1387</v>
      </c>
      <c r="Q367" s="2" t="s">
        <v>217</v>
      </c>
      <c r="R367" s="2" t="s">
        <v>452</v>
      </c>
      <c r="S367" s="2" t="s">
        <v>35</v>
      </c>
      <c r="T367" s="150">
        <v>3.395</v>
      </c>
      <c r="U367" s="2" t="s">
        <v>2367</v>
      </c>
      <c r="V367" s="162">
        <v>4.7E-2</v>
      </c>
      <c r="W367" s="164">
        <v>5.5599999999999997E-2</v>
      </c>
      <c r="X367" s="4" t="s">
        <v>458</v>
      </c>
      <c r="Y367" s="4" t="s">
        <v>164</v>
      </c>
      <c r="Z367" s="150">
        <v>61000</v>
      </c>
      <c r="AA367" s="150">
        <v>1</v>
      </c>
      <c r="AB367" s="150">
        <v>98.75</v>
      </c>
      <c r="AD367" s="150">
        <v>60.237000000000002</v>
      </c>
      <c r="AG367" s="2" t="s">
        <v>37</v>
      </c>
      <c r="AH367" s="164">
        <v>6.7999999999999999E-5</v>
      </c>
      <c r="AI367" s="164">
        <v>9.5665173131226407E-3</v>
      </c>
      <c r="AJ367" s="164">
        <v>8.1671973951621697E-4</v>
      </c>
    </row>
    <row r="368" spans="1:36">
      <c r="A368" s="2" t="s">
        <v>144</v>
      </c>
      <c r="B368" s="2">
        <v>969</v>
      </c>
      <c r="C368" s="2" t="s">
        <v>2368</v>
      </c>
      <c r="D368" s="2" t="s">
        <v>2369</v>
      </c>
      <c r="E368" s="4" t="s">
        <v>1376</v>
      </c>
      <c r="F368" s="2" t="s">
        <v>2370</v>
      </c>
      <c r="G368" s="2" t="s">
        <v>2371</v>
      </c>
      <c r="H368" s="2" t="s">
        <v>367</v>
      </c>
      <c r="I368" s="2" t="s">
        <v>1010</v>
      </c>
      <c r="J368" s="2" t="s">
        <v>31</v>
      </c>
      <c r="K368" s="2" t="s">
        <v>31</v>
      </c>
      <c r="L368" s="2" t="s">
        <v>373</v>
      </c>
      <c r="M368" s="2" t="s">
        <v>32</v>
      </c>
      <c r="N368" s="2" t="s">
        <v>522</v>
      </c>
      <c r="O368" s="2" t="s">
        <v>164</v>
      </c>
      <c r="P368" s="2" t="s">
        <v>1392</v>
      </c>
      <c r="Q368" s="2" t="s">
        <v>98</v>
      </c>
      <c r="R368" s="2" t="s">
        <v>452</v>
      </c>
      <c r="S368" s="2" t="s">
        <v>35</v>
      </c>
      <c r="T368" s="150">
        <v>7.6660000000000004</v>
      </c>
      <c r="U368" s="2" t="s">
        <v>2372</v>
      </c>
      <c r="V368" s="162">
        <v>5.3100000000000001E-2</v>
      </c>
      <c r="W368" s="164">
        <v>6.3140000000000002E-2</v>
      </c>
      <c r="X368" s="4" t="s">
        <v>458</v>
      </c>
      <c r="Y368" s="4" t="s">
        <v>164</v>
      </c>
      <c r="Z368" s="150">
        <v>109850</v>
      </c>
      <c r="AA368" s="150">
        <v>1</v>
      </c>
      <c r="AB368" s="150">
        <v>95.33</v>
      </c>
      <c r="AD368" s="150">
        <v>104.72</v>
      </c>
      <c r="AG368" s="2" t="s">
        <v>37</v>
      </c>
      <c r="AH368" s="164">
        <v>8.6000000000000003E-5</v>
      </c>
      <c r="AI368" s="164">
        <v>1.6630931576888001E-2</v>
      </c>
      <c r="AJ368" s="164">
        <v>1.4198281005310101E-3</v>
      </c>
    </row>
    <row r="369" spans="1:36">
      <c r="A369" s="2" t="s">
        <v>144</v>
      </c>
      <c r="B369" s="2">
        <v>969</v>
      </c>
      <c r="C369" s="2" t="s">
        <v>1222</v>
      </c>
      <c r="D369" s="2" t="s">
        <v>1945</v>
      </c>
      <c r="E369" s="4" t="s">
        <v>1376</v>
      </c>
      <c r="F369" s="2" t="s">
        <v>2373</v>
      </c>
      <c r="G369" s="2" t="s">
        <v>2374</v>
      </c>
      <c r="H369" s="2" t="s">
        <v>367</v>
      </c>
      <c r="I369" s="2" t="s">
        <v>219</v>
      </c>
      <c r="J369" s="2" t="s">
        <v>31</v>
      </c>
      <c r="K369" s="2" t="s">
        <v>31</v>
      </c>
      <c r="L369" s="2" t="s">
        <v>373</v>
      </c>
      <c r="M369" s="2" t="s">
        <v>32</v>
      </c>
      <c r="N369" s="2" t="s">
        <v>491</v>
      </c>
      <c r="O369" s="2" t="s">
        <v>164</v>
      </c>
      <c r="P369" s="2" t="s">
        <v>97</v>
      </c>
      <c r="Q369" s="2" t="s">
        <v>98</v>
      </c>
      <c r="R369" s="2" t="s">
        <v>452</v>
      </c>
      <c r="S369" s="2" t="s">
        <v>35</v>
      </c>
      <c r="T369" s="150">
        <v>1.986</v>
      </c>
      <c r="U369" s="2" t="s">
        <v>2375</v>
      </c>
      <c r="V369" s="162">
        <v>8.3000000000000001E-3</v>
      </c>
      <c r="W369" s="164">
        <v>2.0129999999999999E-2</v>
      </c>
      <c r="X369" s="4" t="s">
        <v>458</v>
      </c>
      <c r="Y369" s="4" t="s">
        <v>164</v>
      </c>
      <c r="Z369" s="150">
        <v>39368.5</v>
      </c>
      <c r="AA369" s="150">
        <v>1</v>
      </c>
      <c r="AB369" s="150">
        <v>110.75</v>
      </c>
      <c r="AD369" s="150">
        <v>43.600999999999999</v>
      </c>
      <c r="AG369" s="2" t="s">
        <v>37</v>
      </c>
      <c r="AH369" s="164">
        <v>1.2999999999999999E-5</v>
      </c>
      <c r="AI369" s="164">
        <v>6.9243581872114202E-3</v>
      </c>
      <c r="AJ369" s="164">
        <v>5.9115139082211604E-4</v>
      </c>
    </row>
    <row r="370" spans="1:36">
      <c r="A370" s="2" t="s">
        <v>144</v>
      </c>
      <c r="B370" s="2">
        <v>969</v>
      </c>
      <c r="C370" s="2" t="s">
        <v>1222</v>
      </c>
      <c r="D370" s="2" t="s">
        <v>1945</v>
      </c>
      <c r="E370" s="4" t="s">
        <v>1376</v>
      </c>
      <c r="F370" s="2" t="s">
        <v>2376</v>
      </c>
      <c r="G370" s="2" t="s">
        <v>2377</v>
      </c>
      <c r="H370" s="2" t="s">
        <v>367</v>
      </c>
      <c r="I370" s="2" t="s">
        <v>219</v>
      </c>
      <c r="J370" s="2" t="s">
        <v>31</v>
      </c>
      <c r="K370" s="2" t="s">
        <v>31</v>
      </c>
      <c r="L370" s="2" t="s">
        <v>373</v>
      </c>
      <c r="M370" s="2" t="s">
        <v>32</v>
      </c>
      <c r="N370" s="2" t="s">
        <v>491</v>
      </c>
      <c r="O370" s="2" t="s">
        <v>164</v>
      </c>
      <c r="P370" s="2" t="s">
        <v>216</v>
      </c>
      <c r="Q370" s="2" t="s">
        <v>217</v>
      </c>
      <c r="R370" s="2" t="s">
        <v>452</v>
      </c>
      <c r="S370" s="2" t="s">
        <v>35</v>
      </c>
      <c r="T370" s="150">
        <v>5.3860000000000001</v>
      </c>
      <c r="U370" s="2" t="s">
        <v>2378</v>
      </c>
      <c r="V370" s="162">
        <v>1E-3</v>
      </c>
      <c r="W370" s="164">
        <v>2.564E-2</v>
      </c>
      <c r="X370" s="4" t="s">
        <v>458</v>
      </c>
      <c r="Y370" s="4" t="s">
        <v>164</v>
      </c>
      <c r="Z370" s="150">
        <v>102000</v>
      </c>
      <c r="AA370" s="150">
        <v>1</v>
      </c>
      <c r="AB370" s="150">
        <v>97.13</v>
      </c>
      <c r="AD370" s="150">
        <v>99.072999999999993</v>
      </c>
      <c r="AG370" s="2" t="s">
        <v>37</v>
      </c>
      <c r="AH370" s="164">
        <v>4.1E-5</v>
      </c>
      <c r="AI370" s="164">
        <v>1.5734048444176401E-2</v>
      </c>
      <c r="AJ370" s="164">
        <v>1.3432587352594999E-3</v>
      </c>
    </row>
    <row r="371" spans="1:36">
      <c r="A371" s="2" t="s">
        <v>144</v>
      </c>
      <c r="B371" s="2">
        <v>969</v>
      </c>
      <c r="C371" s="2" t="s">
        <v>2382</v>
      </c>
      <c r="D371" s="2" t="s">
        <v>2383</v>
      </c>
      <c r="E371" s="4" t="s">
        <v>1376</v>
      </c>
      <c r="F371" s="2" t="s">
        <v>2528</v>
      </c>
      <c r="G371" s="2" t="s">
        <v>2529</v>
      </c>
      <c r="H371" s="2" t="s">
        <v>367</v>
      </c>
      <c r="I371" s="2" t="s">
        <v>1010</v>
      </c>
      <c r="J371" s="2" t="s">
        <v>31</v>
      </c>
      <c r="K371" s="2" t="s">
        <v>31</v>
      </c>
      <c r="L371" s="2" t="s">
        <v>373</v>
      </c>
      <c r="M371" s="2" t="s">
        <v>32</v>
      </c>
      <c r="N371" s="2" t="s">
        <v>488</v>
      </c>
      <c r="O371" s="2" t="s">
        <v>164</v>
      </c>
      <c r="P371" s="2" t="s">
        <v>1380</v>
      </c>
      <c r="Q371" s="2" t="s">
        <v>98</v>
      </c>
      <c r="R371" s="2" t="s">
        <v>452</v>
      </c>
      <c r="S371" s="2" t="s">
        <v>35</v>
      </c>
      <c r="T371" s="150">
        <v>2.38</v>
      </c>
      <c r="U371" s="2" t="s">
        <v>2394</v>
      </c>
      <c r="V371" s="162">
        <v>4.1000000000000002E-2</v>
      </c>
      <c r="W371" s="164">
        <v>5.3969999999999997E-2</v>
      </c>
      <c r="X371" s="4" t="s">
        <v>458</v>
      </c>
      <c r="Y371" s="4" t="s">
        <v>164</v>
      </c>
      <c r="Z371" s="150">
        <v>69900</v>
      </c>
      <c r="AA371" s="150">
        <v>1</v>
      </c>
      <c r="AB371" s="150">
        <v>98.89</v>
      </c>
      <c r="AD371" s="150">
        <v>69.123999999999995</v>
      </c>
      <c r="AG371" s="2" t="s">
        <v>37</v>
      </c>
      <c r="AH371" s="164">
        <v>9.7999999999999997E-5</v>
      </c>
      <c r="AI371" s="164">
        <v>1.0977829343335899E-2</v>
      </c>
      <c r="AJ371" s="164">
        <v>9.3720730630405201E-4</v>
      </c>
    </row>
    <row r="372" spans="1:36">
      <c r="A372" s="2" t="s">
        <v>144</v>
      </c>
      <c r="B372" s="2">
        <v>969</v>
      </c>
      <c r="C372" s="2" t="s">
        <v>1948</v>
      </c>
      <c r="D372" s="2" t="s">
        <v>1949</v>
      </c>
      <c r="E372" s="4" t="s">
        <v>1376</v>
      </c>
      <c r="F372" s="2" t="s">
        <v>2387</v>
      </c>
      <c r="G372" s="2" t="s">
        <v>2388</v>
      </c>
      <c r="H372" s="2" t="s">
        <v>367</v>
      </c>
      <c r="I372" s="2" t="s">
        <v>1010</v>
      </c>
      <c r="J372" s="2" t="s">
        <v>31</v>
      </c>
      <c r="K372" s="2" t="s">
        <v>31</v>
      </c>
      <c r="L372" s="2" t="s">
        <v>373</v>
      </c>
      <c r="M372" s="2" t="s">
        <v>32</v>
      </c>
      <c r="N372" s="2" t="s">
        <v>507</v>
      </c>
      <c r="O372" s="2" t="s">
        <v>164</v>
      </c>
      <c r="P372" s="2" t="s">
        <v>2217</v>
      </c>
      <c r="Q372" s="2" t="s">
        <v>98</v>
      </c>
      <c r="R372" s="2" t="s">
        <v>452</v>
      </c>
      <c r="S372" s="2" t="s">
        <v>35</v>
      </c>
      <c r="T372" s="150">
        <v>5.5549999999999997</v>
      </c>
      <c r="U372" s="2" t="s">
        <v>2389</v>
      </c>
      <c r="V372" s="162">
        <v>5.4800000000000001E-2</v>
      </c>
      <c r="W372" s="164">
        <v>6.3250000000000001E-2</v>
      </c>
      <c r="X372" s="4" t="s">
        <v>458</v>
      </c>
      <c r="Y372" s="4" t="s">
        <v>164</v>
      </c>
      <c r="Z372" s="150">
        <v>100000</v>
      </c>
      <c r="AA372" s="150">
        <v>1</v>
      </c>
      <c r="AB372" s="150">
        <v>95.98</v>
      </c>
      <c r="AD372" s="150">
        <v>95.98</v>
      </c>
      <c r="AG372" s="2" t="s">
        <v>37</v>
      </c>
      <c r="AH372" s="164">
        <v>3.3300000000000002E-4</v>
      </c>
      <c r="AI372" s="164">
        <v>1.5242902373330799E-2</v>
      </c>
      <c r="AJ372" s="164">
        <v>1.3013282523140299E-3</v>
      </c>
    </row>
    <row r="373" spans="1:36">
      <c r="A373" s="2" t="s">
        <v>144</v>
      </c>
      <c r="B373" s="2">
        <v>969</v>
      </c>
      <c r="C373" s="2" t="s">
        <v>2390</v>
      </c>
      <c r="D373" s="2" t="s">
        <v>2391</v>
      </c>
      <c r="E373" s="4" t="s">
        <v>1376</v>
      </c>
      <c r="F373" s="2" t="s">
        <v>2392</v>
      </c>
      <c r="G373" s="2" t="s">
        <v>2393</v>
      </c>
      <c r="H373" s="2" t="s">
        <v>367</v>
      </c>
      <c r="I373" s="2" t="s">
        <v>219</v>
      </c>
      <c r="J373" s="2" t="s">
        <v>31</v>
      </c>
      <c r="K373" s="2" t="s">
        <v>31</v>
      </c>
      <c r="L373" s="2" t="s">
        <v>373</v>
      </c>
      <c r="M373" s="2" t="s">
        <v>32</v>
      </c>
      <c r="N373" s="2" t="s">
        <v>507</v>
      </c>
      <c r="O373" s="2" t="s">
        <v>164</v>
      </c>
      <c r="P373" s="2" t="s">
        <v>2228</v>
      </c>
      <c r="Q373" s="2" t="s">
        <v>217</v>
      </c>
      <c r="R373" s="2" t="s">
        <v>452</v>
      </c>
      <c r="S373" s="2" t="s">
        <v>35</v>
      </c>
      <c r="T373" s="150">
        <v>2.4910000000000001</v>
      </c>
      <c r="U373" s="2" t="s">
        <v>2394</v>
      </c>
      <c r="V373" s="162">
        <v>3.0000000000000001E-3</v>
      </c>
      <c r="W373" s="164">
        <v>3.322E-2</v>
      </c>
      <c r="X373" s="4" t="s">
        <v>458</v>
      </c>
      <c r="Y373" s="4" t="s">
        <v>164</v>
      </c>
      <c r="Z373" s="150">
        <v>69000</v>
      </c>
      <c r="AA373" s="150">
        <v>1</v>
      </c>
      <c r="AB373" s="150">
        <v>94.71</v>
      </c>
      <c r="AD373" s="150">
        <v>65.349999999999994</v>
      </c>
      <c r="AG373" s="2" t="s">
        <v>37</v>
      </c>
      <c r="AH373" s="164">
        <v>2.2800000000000001E-4</v>
      </c>
      <c r="AI373" s="164">
        <v>1.03784345260151E-2</v>
      </c>
      <c r="AJ373" s="164">
        <v>8.8603533190140401E-4</v>
      </c>
    </row>
    <row r="374" spans="1:36">
      <c r="A374" s="2" t="s">
        <v>144</v>
      </c>
      <c r="B374" s="2">
        <v>969</v>
      </c>
      <c r="C374" s="2" t="s">
        <v>2395</v>
      </c>
      <c r="D374" s="2" t="s">
        <v>2396</v>
      </c>
      <c r="E374" s="4" t="s">
        <v>1376</v>
      </c>
      <c r="F374" s="2" t="s">
        <v>2530</v>
      </c>
      <c r="G374" s="2" t="s">
        <v>2531</v>
      </c>
      <c r="H374" s="2" t="s">
        <v>367</v>
      </c>
      <c r="I374" s="2" t="s">
        <v>1010</v>
      </c>
      <c r="J374" s="2" t="s">
        <v>31</v>
      </c>
      <c r="K374" s="2" t="s">
        <v>31</v>
      </c>
      <c r="L374" s="2" t="s">
        <v>373</v>
      </c>
      <c r="M374" s="2" t="s">
        <v>32</v>
      </c>
      <c r="N374" s="2" t="s">
        <v>491</v>
      </c>
      <c r="O374" s="2" t="s">
        <v>164</v>
      </c>
      <c r="P374" s="2" t="s">
        <v>97</v>
      </c>
      <c r="Q374" s="2" t="s">
        <v>98</v>
      </c>
      <c r="R374" s="2" t="s">
        <v>452</v>
      </c>
      <c r="S374" s="2" t="s">
        <v>35</v>
      </c>
      <c r="T374" s="150">
        <v>0.93400000000000005</v>
      </c>
      <c r="U374" s="2" t="s">
        <v>2532</v>
      </c>
      <c r="V374" s="162">
        <v>2.98E-2</v>
      </c>
      <c r="W374" s="164">
        <v>4.4900000000000002E-2</v>
      </c>
      <c r="X374" s="4" t="s">
        <v>458</v>
      </c>
      <c r="Y374" s="4" t="s">
        <v>164</v>
      </c>
      <c r="Z374" s="150">
        <v>150000</v>
      </c>
      <c r="AA374" s="150">
        <v>1</v>
      </c>
      <c r="AB374" s="150">
        <v>98.82</v>
      </c>
      <c r="AD374" s="150">
        <v>148.22999999999999</v>
      </c>
      <c r="AG374" s="2" t="s">
        <v>37</v>
      </c>
      <c r="AH374" s="164">
        <v>5.8999999999999998E-5</v>
      </c>
      <c r="AI374" s="164">
        <v>2.3540898299633399E-2</v>
      </c>
      <c r="AJ374" s="164">
        <v>2.0097508526829401E-3</v>
      </c>
    </row>
    <row r="375" spans="1:36">
      <c r="A375" s="2" t="s">
        <v>144</v>
      </c>
      <c r="B375" s="2">
        <v>969</v>
      </c>
      <c r="C375" s="2" t="s">
        <v>2395</v>
      </c>
      <c r="D375" s="2" t="s">
        <v>2396</v>
      </c>
      <c r="E375" s="4" t="s">
        <v>1376</v>
      </c>
      <c r="F375" s="2" t="s">
        <v>2397</v>
      </c>
      <c r="G375" s="2" t="s">
        <v>2398</v>
      </c>
      <c r="H375" s="2" t="s">
        <v>367</v>
      </c>
      <c r="I375" s="2" t="s">
        <v>219</v>
      </c>
      <c r="J375" s="2" t="s">
        <v>31</v>
      </c>
      <c r="K375" s="2" t="s">
        <v>31</v>
      </c>
      <c r="L375" s="2" t="s">
        <v>373</v>
      </c>
      <c r="M375" s="2" t="s">
        <v>32</v>
      </c>
      <c r="N375" s="2" t="s">
        <v>491</v>
      </c>
      <c r="O375" s="2" t="s">
        <v>164</v>
      </c>
      <c r="P375" s="2" t="s">
        <v>1387</v>
      </c>
      <c r="Q375" s="2" t="s">
        <v>217</v>
      </c>
      <c r="R375" s="2" t="s">
        <v>452</v>
      </c>
      <c r="S375" s="2" t="s">
        <v>35</v>
      </c>
      <c r="T375" s="150">
        <v>4.6680000000000001</v>
      </c>
      <c r="U375" s="2" t="s">
        <v>2399</v>
      </c>
      <c r="V375" s="162">
        <v>3.3599999999999998E-2</v>
      </c>
      <c r="W375" s="164">
        <v>3.4770000000000002E-2</v>
      </c>
      <c r="X375" s="4" t="s">
        <v>458</v>
      </c>
      <c r="Y375" s="4" t="s">
        <v>164</v>
      </c>
      <c r="Z375" s="150">
        <v>100000</v>
      </c>
      <c r="AA375" s="150">
        <v>1</v>
      </c>
      <c r="AB375" s="150">
        <v>101.42</v>
      </c>
      <c r="AD375" s="150">
        <v>101.42</v>
      </c>
      <c r="AG375" s="2" t="s">
        <v>37</v>
      </c>
      <c r="AH375" s="164">
        <v>8.6000000000000003E-5</v>
      </c>
      <c r="AI375" s="164">
        <v>1.61068468295812E-2</v>
      </c>
      <c r="AJ375" s="164">
        <v>1.37508555271608E-3</v>
      </c>
    </row>
    <row r="376" spans="1:36">
      <c r="A376" s="2" t="s">
        <v>144</v>
      </c>
      <c r="B376" s="2">
        <v>969</v>
      </c>
      <c r="C376" s="2" t="s">
        <v>2395</v>
      </c>
      <c r="D376" s="2" t="s">
        <v>2396</v>
      </c>
      <c r="E376" s="4" t="s">
        <v>1376</v>
      </c>
      <c r="F376" s="2" t="s">
        <v>2400</v>
      </c>
      <c r="G376" s="2" t="s">
        <v>2401</v>
      </c>
      <c r="H376" s="2" t="s">
        <v>367</v>
      </c>
      <c r="I376" s="2" t="s">
        <v>219</v>
      </c>
      <c r="J376" s="2" t="s">
        <v>31</v>
      </c>
      <c r="K376" s="2" t="s">
        <v>31</v>
      </c>
      <c r="L376" s="2" t="s">
        <v>373</v>
      </c>
      <c r="M376" s="2" t="s">
        <v>32</v>
      </c>
      <c r="N376" s="2" t="s">
        <v>491</v>
      </c>
      <c r="O376" s="2" t="s">
        <v>164</v>
      </c>
      <c r="P376" s="2" t="s">
        <v>97</v>
      </c>
      <c r="Q376" s="2" t="s">
        <v>98</v>
      </c>
      <c r="R376" s="2" t="s">
        <v>452</v>
      </c>
      <c r="S376" s="2" t="s">
        <v>35</v>
      </c>
      <c r="T376" s="150">
        <v>0.24399999999999999</v>
      </c>
      <c r="U376" s="2" t="s">
        <v>2402</v>
      </c>
      <c r="V376" s="162">
        <v>8.6E-3</v>
      </c>
      <c r="W376" s="164">
        <v>2.4969999999999999E-2</v>
      </c>
      <c r="X376" s="4" t="s">
        <v>458</v>
      </c>
      <c r="Y376" s="4" t="s">
        <v>164</v>
      </c>
      <c r="Z376" s="150">
        <v>140000</v>
      </c>
      <c r="AA376" s="150">
        <v>1</v>
      </c>
      <c r="AB376" s="150">
        <v>114.94</v>
      </c>
      <c r="AD376" s="150">
        <v>160.916</v>
      </c>
      <c r="AG376" s="2" t="s">
        <v>37</v>
      </c>
      <c r="AH376" s="164">
        <v>5.5999999999999999E-5</v>
      </c>
      <c r="AI376" s="164">
        <v>2.5555604066543999E-2</v>
      </c>
      <c r="AJ376" s="164">
        <v>2.1817517925543299E-3</v>
      </c>
    </row>
    <row r="377" spans="1:36">
      <c r="A377" s="2" t="s">
        <v>144</v>
      </c>
      <c r="B377" s="2">
        <v>969</v>
      </c>
      <c r="C377" s="2" t="s">
        <v>2395</v>
      </c>
      <c r="D377" s="2" t="s">
        <v>2396</v>
      </c>
      <c r="E377" s="4" t="s">
        <v>1376</v>
      </c>
      <c r="F377" s="2" t="s">
        <v>2403</v>
      </c>
      <c r="G377" s="2" t="s">
        <v>2404</v>
      </c>
      <c r="H377" s="2" t="s">
        <v>367</v>
      </c>
      <c r="I377" s="2" t="s">
        <v>219</v>
      </c>
      <c r="J377" s="2" t="s">
        <v>31</v>
      </c>
      <c r="K377" s="2" t="s">
        <v>31</v>
      </c>
      <c r="L377" s="2" t="s">
        <v>373</v>
      </c>
      <c r="M377" s="2" t="s">
        <v>32</v>
      </c>
      <c r="N377" s="2" t="s">
        <v>491</v>
      </c>
      <c r="O377" s="2" t="s">
        <v>164</v>
      </c>
      <c r="P377" s="2" t="s">
        <v>97</v>
      </c>
      <c r="Q377" s="2" t="s">
        <v>98</v>
      </c>
      <c r="R377" s="2" t="s">
        <v>452</v>
      </c>
      <c r="S377" s="2" t="s">
        <v>35</v>
      </c>
      <c r="T377" s="150">
        <v>5.6340000000000003</v>
      </c>
      <c r="U377" s="2" t="s">
        <v>2405</v>
      </c>
      <c r="V377" s="162">
        <v>2.2013000000000001E-2</v>
      </c>
      <c r="W377" s="164">
        <v>2.7099999999999999E-2</v>
      </c>
      <c r="X377" s="4" t="s">
        <v>458</v>
      </c>
      <c r="Y377" s="4" t="s">
        <v>164</v>
      </c>
      <c r="Z377" s="150">
        <v>210000</v>
      </c>
      <c r="AA377" s="150">
        <v>1</v>
      </c>
      <c r="AB377" s="150">
        <v>113.5</v>
      </c>
      <c r="AD377" s="150">
        <v>238.35</v>
      </c>
      <c r="AG377" s="2" t="s">
        <v>37</v>
      </c>
      <c r="AH377" s="164">
        <v>2.99E-4</v>
      </c>
      <c r="AI377" s="164">
        <v>3.7853154622665003E-2</v>
      </c>
      <c r="AJ377" s="164">
        <v>3.23162730713742E-3</v>
      </c>
    </row>
    <row r="378" spans="1:36">
      <c r="A378" s="2" t="s">
        <v>144</v>
      </c>
      <c r="B378" s="2">
        <v>969</v>
      </c>
      <c r="C378" s="2" t="s">
        <v>1960</v>
      </c>
      <c r="D378" s="2" t="s">
        <v>1961</v>
      </c>
      <c r="E378" s="4" t="s">
        <v>1376</v>
      </c>
      <c r="F378" s="2" t="s">
        <v>2406</v>
      </c>
      <c r="G378" s="2" t="s">
        <v>2407</v>
      </c>
      <c r="H378" s="2" t="s">
        <v>367</v>
      </c>
      <c r="I378" s="2" t="s">
        <v>219</v>
      </c>
      <c r="J378" s="2" t="s">
        <v>31</v>
      </c>
      <c r="K378" s="2" t="s">
        <v>31</v>
      </c>
      <c r="L378" s="2" t="s">
        <v>373</v>
      </c>
      <c r="M378" s="2" t="s">
        <v>32</v>
      </c>
      <c r="N378" s="2" t="s">
        <v>507</v>
      </c>
      <c r="O378" s="2" t="s">
        <v>164</v>
      </c>
      <c r="P378" s="2" t="s">
        <v>2247</v>
      </c>
      <c r="Q378" s="2" t="s">
        <v>217</v>
      </c>
      <c r="R378" s="2" t="s">
        <v>452</v>
      </c>
      <c r="S378" s="2" t="s">
        <v>35</v>
      </c>
      <c r="T378" s="150">
        <v>6.2919999999999998</v>
      </c>
      <c r="U378" s="2" t="s">
        <v>2408</v>
      </c>
      <c r="V378" s="162">
        <v>3.61E-2</v>
      </c>
      <c r="W378" s="164">
        <v>3.6889999999999999E-2</v>
      </c>
      <c r="X378" s="4" t="s">
        <v>458</v>
      </c>
      <c r="Y378" s="4" t="s">
        <v>164</v>
      </c>
      <c r="Z378" s="150">
        <v>69292.929999999993</v>
      </c>
      <c r="AA378" s="150">
        <v>1</v>
      </c>
      <c r="AB378" s="150">
        <v>103.82</v>
      </c>
      <c r="AC378" s="150">
        <v>2.0529999999999999</v>
      </c>
      <c r="AD378" s="150">
        <v>73.992999999999995</v>
      </c>
      <c r="AG378" s="2" t="s">
        <v>37</v>
      </c>
      <c r="AH378" s="164">
        <v>6.3999999999999997E-5</v>
      </c>
      <c r="AI378" s="164">
        <v>1.1751061208061001E-2</v>
      </c>
      <c r="AJ378" s="164">
        <v>1.0032202247438401E-3</v>
      </c>
    </row>
    <row r="379" spans="1:36">
      <c r="A379" s="2" t="s">
        <v>144</v>
      </c>
      <c r="B379" s="2">
        <v>969</v>
      </c>
      <c r="C379" s="2" t="s">
        <v>1968</v>
      </c>
      <c r="D379" s="2" t="s">
        <v>1518</v>
      </c>
      <c r="E379" s="4" t="s">
        <v>1376</v>
      </c>
      <c r="F379" s="2" t="s">
        <v>2409</v>
      </c>
      <c r="G379" s="2" t="s">
        <v>2410</v>
      </c>
      <c r="H379" s="2" t="s">
        <v>367</v>
      </c>
      <c r="I379" s="2" t="s">
        <v>1010</v>
      </c>
      <c r="J379" s="2" t="s">
        <v>31</v>
      </c>
      <c r="K379" s="2" t="s">
        <v>31</v>
      </c>
      <c r="L379" s="2" t="s">
        <v>373</v>
      </c>
      <c r="M379" s="2" t="s">
        <v>32</v>
      </c>
      <c r="N379" s="2" t="s">
        <v>486</v>
      </c>
      <c r="O379" s="2" t="s">
        <v>164</v>
      </c>
      <c r="P379" s="2" t="s">
        <v>2287</v>
      </c>
      <c r="Q379" s="2" t="s">
        <v>98</v>
      </c>
      <c r="R379" s="2" t="s">
        <v>452</v>
      </c>
      <c r="S379" s="2" t="s">
        <v>35</v>
      </c>
      <c r="T379" s="150">
        <v>1.1870000000000001</v>
      </c>
      <c r="U379" s="2" t="s">
        <v>2411</v>
      </c>
      <c r="V379" s="162">
        <v>0.114</v>
      </c>
      <c r="W379" s="164">
        <v>6.7919999999999994E-2</v>
      </c>
      <c r="X379" s="4" t="s">
        <v>458</v>
      </c>
      <c r="Y379" s="4" t="s">
        <v>164</v>
      </c>
      <c r="Z379" s="150">
        <v>170185</v>
      </c>
      <c r="AA379" s="150">
        <v>1</v>
      </c>
      <c r="AB379" s="150">
        <v>101.87</v>
      </c>
      <c r="AD379" s="150">
        <v>173.36699999999999</v>
      </c>
      <c r="AG379" s="2" t="s">
        <v>37</v>
      </c>
      <c r="AH379" s="164">
        <v>4.7199999999999998E-4</v>
      </c>
      <c r="AI379" s="164">
        <v>2.7533061678171201E-2</v>
      </c>
      <c r="AJ379" s="164">
        <v>2.3505727555663599E-3</v>
      </c>
    </row>
    <row r="380" spans="1:36">
      <c r="A380" s="2" t="s">
        <v>144</v>
      </c>
      <c r="B380" s="2">
        <v>969</v>
      </c>
      <c r="C380" s="2" t="s">
        <v>2415</v>
      </c>
      <c r="D380" s="2" t="s">
        <v>2416</v>
      </c>
      <c r="E380" s="4" t="s">
        <v>1376</v>
      </c>
      <c r="F380" s="2" t="s">
        <v>2417</v>
      </c>
      <c r="G380" s="2" t="s">
        <v>2418</v>
      </c>
      <c r="H380" s="2" t="s">
        <v>367</v>
      </c>
      <c r="I380" s="2" t="s">
        <v>219</v>
      </c>
      <c r="J380" s="2" t="s">
        <v>31</v>
      </c>
      <c r="K380" s="2" t="s">
        <v>31</v>
      </c>
      <c r="L380" s="2" t="s">
        <v>373</v>
      </c>
      <c r="M380" s="2" t="s">
        <v>32</v>
      </c>
      <c r="N380" s="2" t="s">
        <v>490</v>
      </c>
      <c r="O380" s="2" t="s">
        <v>164</v>
      </c>
      <c r="P380" s="2" t="s">
        <v>1370</v>
      </c>
      <c r="Q380" s="2" t="s">
        <v>98</v>
      </c>
      <c r="R380" s="2" t="s">
        <v>452</v>
      </c>
      <c r="S380" s="2" t="s">
        <v>35</v>
      </c>
      <c r="T380" s="150">
        <v>3.911</v>
      </c>
      <c r="U380" s="2" t="s">
        <v>2419</v>
      </c>
      <c r="V380" s="162">
        <v>2.07E-2</v>
      </c>
      <c r="W380" s="164">
        <v>5.0009999999999999E-2</v>
      </c>
      <c r="X380" s="4" t="s">
        <v>458</v>
      </c>
      <c r="Y380" s="4" t="s">
        <v>164</v>
      </c>
      <c r="Z380" s="150">
        <v>123143.76</v>
      </c>
      <c r="AA380" s="150">
        <v>1</v>
      </c>
      <c r="AB380" s="150">
        <v>98.87</v>
      </c>
      <c r="AD380" s="150">
        <v>121.752</v>
      </c>
      <c r="AG380" s="2" t="s">
        <v>37</v>
      </c>
      <c r="AH380" s="164">
        <v>2.5799999999999998E-4</v>
      </c>
      <c r="AI380" s="164">
        <v>1.9335876637259702E-2</v>
      </c>
      <c r="AJ380" s="164">
        <v>1.6507566561174999E-3</v>
      </c>
    </row>
    <row r="381" spans="1:36">
      <c r="A381" s="2" t="s">
        <v>144</v>
      </c>
      <c r="B381" s="2">
        <v>969</v>
      </c>
      <c r="C381" s="2" t="s">
        <v>2420</v>
      </c>
      <c r="D381" s="2" t="s">
        <v>2421</v>
      </c>
      <c r="E381" s="4" t="s">
        <v>1376</v>
      </c>
      <c r="F381" s="2" t="s">
        <v>2422</v>
      </c>
      <c r="G381" s="2" t="s">
        <v>2423</v>
      </c>
      <c r="H381" s="2" t="s">
        <v>367</v>
      </c>
      <c r="I381" s="2" t="s">
        <v>219</v>
      </c>
      <c r="J381" s="2" t="s">
        <v>31</v>
      </c>
      <c r="K381" s="2" t="s">
        <v>31</v>
      </c>
      <c r="L381" s="2" t="s">
        <v>373</v>
      </c>
      <c r="M381" s="2" t="s">
        <v>32</v>
      </c>
      <c r="N381" s="2" t="s">
        <v>521</v>
      </c>
      <c r="O381" s="2" t="s">
        <v>164</v>
      </c>
      <c r="P381" s="2" t="s">
        <v>216</v>
      </c>
      <c r="Q381" s="2" t="s">
        <v>217</v>
      </c>
      <c r="R381" s="2" t="s">
        <v>452</v>
      </c>
      <c r="S381" s="2" t="s">
        <v>35</v>
      </c>
      <c r="T381" s="150">
        <v>11.7</v>
      </c>
      <c r="U381" s="2" t="s">
        <v>2424</v>
      </c>
      <c r="V381" s="162">
        <v>2.07E-2</v>
      </c>
      <c r="W381" s="164">
        <v>3.2730000000000002E-2</v>
      </c>
      <c r="X381" s="4" t="s">
        <v>458</v>
      </c>
      <c r="Y381" s="4" t="s">
        <v>164</v>
      </c>
      <c r="Z381" s="150">
        <v>65829.789999999994</v>
      </c>
      <c r="AA381" s="150">
        <v>1</v>
      </c>
      <c r="AB381" s="150">
        <v>97.32</v>
      </c>
      <c r="AD381" s="150">
        <v>64.066000000000003</v>
      </c>
      <c r="AG381" s="2" t="s">
        <v>37</v>
      </c>
      <c r="AH381" s="164">
        <v>1.4E-5</v>
      </c>
      <c r="AI381" s="164">
        <v>1.01744628980953E-2</v>
      </c>
      <c r="AJ381" s="164">
        <v>8.6862171633256496E-4</v>
      </c>
    </row>
    <row r="382" spans="1:36">
      <c r="A382" s="2" t="s">
        <v>144</v>
      </c>
      <c r="B382" s="2">
        <v>969</v>
      </c>
      <c r="C382" s="2" t="s">
        <v>2425</v>
      </c>
      <c r="D382" s="2" t="s">
        <v>2426</v>
      </c>
      <c r="E382" s="4" t="s">
        <v>1376</v>
      </c>
      <c r="F382" s="2" t="s">
        <v>2427</v>
      </c>
      <c r="G382" s="2" t="s">
        <v>2428</v>
      </c>
      <c r="H382" s="2" t="s">
        <v>367</v>
      </c>
      <c r="I382" s="2" t="s">
        <v>1010</v>
      </c>
      <c r="J382" s="2" t="s">
        <v>31</v>
      </c>
      <c r="K382" s="2" t="s">
        <v>31</v>
      </c>
      <c r="L382" s="2" t="s">
        <v>373</v>
      </c>
      <c r="M382" s="2" t="s">
        <v>118</v>
      </c>
      <c r="N382" s="2" t="s">
        <v>497</v>
      </c>
      <c r="O382" s="2" t="s">
        <v>164</v>
      </c>
      <c r="P382" s="2" t="s">
        <v>2228</v>
      </c>
      <c r="Q382" s="2" t="s">
        <v>217</v>
      </c>
      <c r="R382" s="2" t="s">
        <v>452</v>
      </c>
      <c r="S382" s="2" t="s">
        <v>35</v>
      </c>
      <c r="T382" s="150">
        <v>3.8690000000000002</v>
      </c>
      <c r="U382" s="2" t="s">
        <v>2429</v>
      </c>
      <c r="V382" s="162">
        <v>6.7000000000000004E-2</v>
      </c>
      <c r="W382" s="164">
        <v>6.6000000000000003E-2</v>
      </c>
      <c r="X382" s="4" t="s">
        <v>458</v>
      </c>
      <c r="Y382" s="4" t="s">
        <v>164</v>
      </c>
      <c r="Z382" s="150">
        <v>48000</v>
      </c>
      <c r="AA382" s="150">
        <v>1</v>
      </c>
      <c r="AB382" s="150">
        <v>102.81</v>
      </c>
      <c r="AD382" s="150">
        <v>49.348999999999997</v>
      </c>
      <c r="AG382" s="2" t="s">
        <v>37</v>
      </c>
      <c r="AH382" s="164">
        <v>5.3000000000000001E-5</v>
      </c>
      <c r="AI382" s="164">
        <v>7.8372467247449992E-3</v>
      </c>
      <c r="AJ382" s="164">
        <v>6.6908718126479198E-4</v>
      </c>
    </row>
    <row r="383" spans="1:36">
      <c r="A383" s="2" t="s">
        <v>144</v>
      </c>
      <c r="B383" s="2">
        <v>969</v>
      </c>
      <c r="C383" s="2" t="s">
        <v>2430</v>
      </c>
      <c r="D383" s="2" t="s">
        <v>2431</v>
      </c>
      <c r="E383" s="4" t="s">
        <v>1376</v>
      </c>
      <c r="F383" s="2" t="s">
        <v>2432</v>
      </c>
      <c r="G383" s="2" t="s">
        <v>2433</v>
      </c>
      <c r="H383" s="2" t="s">
        <v>367</v>
      </c>
      <c r="I383" s="2" t="s">
        <v>219</v>
      </c>
      <c r="J383" s="2" t="s">
        <v>31</v>
      </c>
      <c r="K383" s="2" t="s">
        <v>31</v>
      </c>
      <c r="L383" s="2" t="s">
        <v>373</v>
      </c>
      <c r="M383" s="2" t="s">
        <v>32</v>
      </c>
      <c r="N383" s="2" t="s">
        <v>484</v>
      </c>
      <c r="O383" s="2" t="s">
        <v>164</v>
      </c>
      <c r="P383" s="2" t="s">
        <v>1523</v>
      </c>
      <c r="Q383" s="2" t="s">
        <v>1523</v>
      </c>
      <c r="R383" s="2" t="s">
        <v>1523</v>
      </c>
      <c r="S383" s="2" t="s">
        <v>35</v>
      </c>
      <c r="T383" s="150">
        <v>2.7309999999999999</v>
      </c>
      <c r="U383" s="2" t="s">
        <v>1371</v>
      </c>
      <c r="V383" s="162">
        <v>1.4800000000000001E-2</v>
      </c>
      <c r="W383" s="164">
        <v>4.2779999999999999E-2</v>
      </c>
      <c r="X383" s="4" t="s">
        <v>458</v>
      </c>
      <c r="Y383" s="4" t="s">
        <v>164</v>
      </c>
      <c r="Z383" s="150">
        <v>52591.5</v>
      </c>
      <c r="AA383" s="150">
        <v>1</v>
      </c>
      <c r="AB383" s="150">
        <v>103.41</v>
      </c>
      <c r="AD383" s="150">
        <v>54.384999999999998</v>
      </c>
      <c r="AG383" s="2" t="s">
        <v>37</v>
      </c>
      <c r="AH383" s="164">
        <v>6.4999999999999994E-5</v>
      </c>
      <c r="AI383" s="164">
        <v>8.6370417408076702E-3</v>
      </c>
      <c r="AJ383" s="164">
        <v>7.3736786856246203E-4</v>
      </c>
    </row>
    <row r="384" spans="1:36">
      <c r="A384" s="2" t="s">
        <v>144</v>
      </c>
      <c r="B384" s="2">
        <v>969</v>
      </c>
      <c r="C384" s="2" t="s">
        <v>2430</v>
      </c>
      <c r="D384" s="2" t="s">
        <v>2431</v>
      </c>
      <c r="E384" s="4" t="s">
        <v>1376</v>
      </c>
      <c r="F384" s="2" t="s">
        <v>2434</v>
      </c>
      <c r="G384" s="2" t="s">
        <v>2435</v>
      </c>
      <c r="H384" s="2" t="s">
        <v>367</v>
      </c>
      <c r="I384" s="2" t="s">
        <v>1010</v>
      </c>
      <c r="J384" s="2" t="s">
        <v>31</v>
      </c>
      <c r="K384" s="2" t="s">
        <v>31</v>
      </c>
      <c r="L384" s="2" t="s">
        <v>373</v>
      </c>
      <c r="M384" s="2" t="s">
        <v>32</v>
      </c>
      <c r="N384" s="2" t="s">
        <v>484</v>
      </c>
      <c r="O384" s="2" t="s">
        <v>164</v>
      </c>
      <c r="P384" s="2" t="s">
        <v>1523</v>
      </c>
      <c r="Q384" s="2" t="s">
        <v>1523</v>
      </c>
      <c r="R384" s="2" t="s">
        <v>1523</v>
      </c>
      <c r="S384" s="2" t="s">
        <v>35</v>
      </c>
      <c r="T384" s="150">
        <v>3.85</v>
      </c>
      <c r="U384" s="2" t="s">
        <v>2436</v>
      </c>
      <c r="V384" s="162">
        <v>6.9500000000000006E-2</v>
      </c>
      <c r="W384" s="164">
        <v>6.7629999999999996E-2</v>
      </c>
      <c r="X384" s="4" t="s">
        <v>458</v>
      </c>
      <c r="Y384" s="4" t="s">
        <v>164</v>
      </c>
      <c r="Z384" s="150">
        <v>70000</v>
      </c>
      <c r="AA384" s="150">
        <v>1</v>
      </c>
      <c r="AB384" s="150">
        <v>101.13</v>
      </c>
      <c r="AD384" s="150">
        <v>70.790999999999997</v>
      </c>
      <c r="AG384" s="2" t="s">
        <v>37</v>
      </c>
      <c r="AH384" s="164">
        <v>1.25E-4</v>
      </c>
      <c r="AI384" s="164">
        <v>1.12425536769166E-2</v>
      </c>
      <c r="AJ384" s="164">
        <v>9.5980754646345795E-4</v>
      </c>
    </row>
    <row r="385" spans="1:36">
      <c r="A385" s="2" t="s">
        <v>144</v>
      </c>
      <c r="B385" s="2">
        <v>969</v>
      </c>
      <c r="C385" s="2" t="s">
        <v>2437</v>
      </c>
      <c r="D385" s="2" t="s">
        <v>2438</v>
      </c>
      <c r="E385" s="4" t="s">
        <v>360</v>
      </c>
      <c r="F385" s="2" t="s">
        <v>2439</v>
      </c>
      <c r="G385" s="2" t="s">
        <v>2440</v>
      </c>
      <c r="H385" s="2" t="s">
        <v>367</v>
      </c>
      <c r="I385" s="2" t="s">
        <v>1010</v>
      </c>
      <c r="J385" s="2" t="s">
        <v>31</v>
      </c>
      <c r="K385" s="2" t="s">
        <v>31</v>
      </c>
      <c r="L385" s="2" t="s">
        <v>373</v>
      </c>
      <c r="M385" s="2" t="s">
        <v>118</v>
      </c>
      <c r="N385" s="2" t="s">
        <v>508</v>
      </c>
      <c r="O385" s="2" t="s">
        <v>164</v>
      </c>
      <c r="P385" s="2" t="s">
        <v>2247</v>
      </c>
      <c r="Q385" s="2" t="s">
        <v>217</v>
      </c>
      <c r="R385" s="2" t="s">
        <v>452</v>
      </c>
      <c r="S385" s="2" t="s">
        <v>35</v>
      </c>
      <c r="T385" s="150">
        <v>4.1710000000000003</v>
      </c>
      <c r="U385" s="2" t="s">
        <v>2441</v>
      </c>
      <c r="V385" s="162">
        <v>6.25E-2</v>
      </c>
      <c r="W385" s="164">
        <v>6.5070000000000003E-2</v>
      </c>
      <c r="X385" s="4" t="s">
        <v>458</v>
      </c>
      <c r="Y385" s="4" t="s">
        <v>164</v>
      </c>
      <c r="Z385" s="150">
        <v>109942</v>
      </c>
      <c r="AA385" s="150">
        <v>1</v>
      </c>
      <c r="AB385" s="150">
        <v>100.1</v>
      </c>
      <c r="AD385" s="150">
        <v>110.05200000000001</v>
      </c>
      <c r="AG385" s="2" t="s">
        <v>37</v>
      </c>
      <c r="AH385" s="164">
        <v>2.0000000000000001E-4</v>
      </c>
      <c r="AI385" s="164">
        <v>1.7477714189429699E-2</v>
      </c>
      <c r="AJ385" s="164">
        <v>1.49212024741222E-3</v>
      </c>
    </row>
    <row r="386" spans="1:36">
      <c r="A386" s="2" t="s">
        <v>144</v>
      </c>
      <c r="B386" s="2">
        <v>969</v>
      </c>
      <c r="C386" s="2" t="s">
        <v>2442</v>
      </c>
      <c r="D386" s="2" t="s">
        <v>2443</v>
      </c>
      <c r="E386" s="4" t="s">
        <v>359</v>
      </c>
      <c r="F386" s="2" t="s">
        <v>2444</v>
      </c>
      <c r="G386" s="2" t="s">
        <v>2445</v>
      </c>
      <c r="H386" s="2" t="s">
        <v>367</v>
      </c>
      <c r="I386" s="2" t="s">
        <v>1010</v>
      </c>
      <c r="J386" s="2" t="s">
        <v>94</v>
      </c>
      <c r="K386" s="2" t="s">
        <v>95</v>
      </c>
      <c r="L386" s="2" t="s">
        <v>373</v>
      </c>
      <c r="M386" s="2" t="s">
        <v>32</v>
      </c>
      <c r="N386" s="2" t="s">
        <v>508</v>
      </c>
      <c r="O386" s="2" t="s">
        <v>164</v>
      </c>
      <c r="P386" s="2" t="s">
        <v>2247</v>
      </c>
      <c r="Q386" s="2" t="s">
        <v>217</v>
      </c>
      <c r="R386" s="2" t="s">
        <v>452</v>
      </c>
      <c r="S386" s="2" t="s">
        <v>35</v>
      </c>
      <c r="T386" s="150">
        <v>2.3809999999999998</v>
      </c>
      <c r="U386" s="2" t="s">
        <v>1371</v>
      </c>
      <c r="V386" s="162">
        <v>3.49E-2</v>
      </c>
      <c r="W386" s="164">
        <v>6.8019999999999997E-2</v>
      </c>
      <c r="X386" s="4" t="s">
        <v>458</v>
      </c>
      <c r="Y386" s="4" t="s">
        <v>164</v>
      </c>
      <c r="Z386" s="150">
        <v>87800</v>
      </c>
      <c r="AA386" s="150">
        <v>1</v>
      </c>
      <c r="AB386" s="150">
        <v>92.43</v>
      </c>
      <c r="AD386" s="150">
        <v>81.153999999999996</v>
      </c>
      <c r="AG386" s="2" t="s">
        <v>37</v>
      </c>
      <c r="AH386" s="164">
        <v>9.2999999999999997E-5</v>
      </c>
      <c r="AI386" s="164">
        <v>1.2888263049283101E-2</v>
      </c>
      <c r="AJ386" s="164">
        <v>1.10030625523335E-3</v>
      </c>
    </row>
    <row r="387" spans="1:36">
      <c r="A387" s="2" t="s">
        <v>144</v>
      </c>
      <c r="B387" s="2">
        <v>969</v>
      </c>
      <c r="C387" s="2" t="s">
        <v>1987</v>
      </c>
      <c r="D387" s="2" t="s">
        <v>1988</v>
      </c>
      <c r="E387" s="4" t="s">
        <v>1376</v>
      </c>
      <c r="F387" s="2" t="s">
        <v>2446</v>
      </c>
      <c r="G387" s="2" t="s">
        <v>2447</v>
      </c>
      <c r="H387" s="2" t="s">
        <v>367</v>
      </c>
      <c r="I387" s="2" t="s">
        <v>1010</v>
      </c>
      <c r="J387" s="2" t="s">
        <v>31</v>
      </c>
      <c r="K387" s="2" t="s">
        <v>31</v>
      </c>
      <c r="L387" s="2" t="s">
        <v>373</v>
      </c>
      <c r="M387" s="2" t="s">
        <v>32</v>
      </c>
      <c r="N387" s="2" t="s">
        <v>528</v>
      </c>
      <c r="O387" s="2" t="s">
        <v>164</v>
      </c>
      <c r="P387" s="2" t="s">
        <v>2258</v>
      </c>
      <c r="Q387" s="2" t="s">
        <v>217</v>
      </c>
      <c r="R387" s="2" t="s">
        <v>452</v>
      </c>
      <c r="S387" s="2" t="s">
        <v>35</v>
      </c>
      <c r="T387" s="150">
        <v>3.49</v>
      </c>
      <c r="U387" s="2" t="s">
        <v>2448</v>
      </c>
      <c r="V387" s="162">
        <v>4.7300000000000002E-2</v>
      </c>
      <c r="W387" s="164">
        <v>5.6939999999999998E-2</v>
      </c>
      <c r="X387" s="4" t="s">
        <v>458</v>
      </c>
      <c r="Y387" s="4" t="s">
        <v>164</v>
      </c>
      <c r="Z387" s="150">
        <v>70000</v>
      </c>
      <c r="AA387" s="150">
        <v>1</v>
      </c>
      <c r="AB387" s="150">
        <v>96.96</v>
      </c>
      <c r="AC387" s="150">
        <v>1.655</v>
      </c>
      <c r="AD387" s="150">
        <v>69.528000000000006</v>
      </c>
      <c r="AG387" s="2" t="s">
        <v>37</v>
      </c>
      <c r="AH387" s="164">
        <v>1.7699999999999999E-4</v>
      </c>
      <c r="AI387" s="164">
        <v>1.10418930481533E-2</v>
      </c>
      <c r="AJ387" s="164">
        <v>9.4267659994544601E-4</v>
      </c>
    </row>
    <row r="388" spans="1:36">
      <c r="A388" s="2" t="s">
        <v>144</v>
      </c>
      <c r="B388" s="2">
        <v>969</v>
      </c>
      <c r="C388" s="2" t="s">
        <v>1991</v>
      </c>
      <c r="D388" s="2" t="s">
        <v>1992</v>
      </c>
      <c r="E388" s="4" t="s">
        <v>1376</v>
      </c>
      <c r="F388" s="2" t="s">
        <v>2449</v>
      </c>
      <c r="G388" s="2" t="s">
        <v>2450</v>
      </c>
      <c r="H388" s="2" t="s">
        <v>367</v>
      </c>
      <c r="I388" s="2" t="s">
        <v>219</v>
      </c>
      <c r="J388" s="2" t="s">
        <v>31</v>
      </c>
      <c r="K388" s="2" t="s">
        <v>31</v>
      </c>
      <c r="L388" s="2" t="s">
        <v>373</v>
      </c>
      <c r="M388" s="2" t="s">
        <v>32</v>
      </c>
      <c r="N388" s="2" t="s">
        <v>507</v>
      </c>
      <c r="O388" s="2" t="s">
        <v>164</v>
      </c>
      <c r="P388" s="2" t="s">
        <v>2451</v>
      </c>
      <c r="Q388" s="2" t="s">
        <v>98</v>
      </c>
      <c r="R388" s="2" t="s">
        <v>452</v>
      </c>
      <c r="S388" s="2" t="s">
        <v>35</v>
      </c>
      <c r="T388" s="150">
        <v>2.7959999999999998</v>
      </c>
      <c r="U388" s="2" t="s">
        <v>1516</v>
      </c>
      <c r="V388" s="162">
        <v>1.77E-2</v>
      </c>
      <c r="W388" s="164">
        <v>2.615E-2</v>
      </c>
      <c r="X388" s="4" t="s">
        <v>458</v>
      </c>
      <c r="Y388" s="4" t="s">
        <v>164</v>
      </c>
      <c r="Z388" s="150">
        <v>112000</v>
      </c>
      <c r="AA388" s="150">
        <v>1</v>
      </c>
      <c r="AB388" s="150">
        <v>110.8</v>
      </c>
      <c r="AD388" s="150">
        <v>124.096</v>
      </c>
      <c r="AG388" s="2" t="s">
        <v>37</v>
      </c>
      <c r="AH388" s="164">
        <v>4.1E-5</v>
      </c>
      <c r="AI388" s="164">
        <v>1.9708097654937001E-2</v>
      </c>
      <c r="AJ388" s="164">
        <v>1.6825341821125499E-3</v>
      </c>
    </row>
    <row r="389" spans="1:36">
      <c r="A389" s="2" t="s">
        <v>144</v>
      </c>
      <c r="B389" s="2">
        <v>969</v>
      </c>
      <c r="C389" s="2" t="s">
        <v>1991</v>
      </c>
      <c r="D389" s="2" t="s">
        <v>1992</v>
      </c>
      <c r="E389" s="4" t="s">
        <v>1376</v>
      </c>
      <c r="F389" s="2" t="s">
        <v>2452</v>
      </c>
      <c r="G389" s="2" t="s">
        <v>2453</v>
      </c>
      <c r="H389" s="2" t="s">
        <v>367</v>
      </c>
      <c r="I389" s="2" t="s">
        <v>219</v>
      </c>
      <c r="J389" s="2" t="s">
        <v>31</v>
      </c>
      <c r="K389" s="2" t="s">
        <v>31</v>
      </c>
      <c r="L389" s="2" t="s">
        <v>373</v>
      </c>
      <c r="M389" s="2" t="s">
        <v>32</v>
      </c>
      <c r="N389" s="2" t="s">
        <v>507</v>
      </c>
      <c r="O389" s="2" t="s">
        <v>164</v>
      </c>
      <c r="P389" s="2" t="s">
        <v>1555</v>
      </c>
      <c r="Q389" s="2" t="s">
        <v>217</v>
      </c>
      <c r="R389" s="2" t="s">
        <v>452</v>
      </c>
      <c r="S389" s="2" t="s">
        <v>35</v>
      </c>
      <c r="T389" s="150">
        <v>10.566000000000001</v>
      </c>
      <c r="U389" s="2" t="s">
        <v>2454</v>
      </c>
      <c r="V389" s="162">
        <v>1.6899999999999998E-2</v>
      </c>
      <c r="W389" s="164">
        <v>3.8179999999999999E-2</v>
      </c>
      <c r="X389" s="4" t="s">
        <v>458</v>
      </c>
      <c r="Y389" s="4" t="s">
        <v>164</v>
      </c>
      <c r="Z389" s="150">
        <v>111422</v>
      </c>
      <c r="AA389" s="150">
        <v>1</v>
      </c>
      <c r="AB389" s="150">
        <v>89.8</v>
      </c>
      <c r="AC389" s="150">
        <v>1.0529999999999999</v>
      </c>
      <c r="AD389" s="150">
        <v>101.11</v>
      </c>
      <c r="AG389" s="2" t="s">
        <v>37</v>
      </c>
      <c r="AH389" s="164">
        <v>2.5999999999999998E-5</v>
      </c>
      <c r="AI389" s="164">
        <v>1.60576267704527E-2</v>
      </c>
      <c r="AJ389" s="164">
        <v>1.3708835016922199E-3</v>
      </c>
    </row>
    <row r="390" spans="1:36">
      <c r="A390" s="2" t="s">
        <v>144</v>
      </c>
      <c r="B390" s="2">
        <v>969</v>
      </c>
      <c r="C390" s="2" t="s">
        <v>1995</v>
      </c>
      <c r="D390" s="2" t="s">
        <v>1996</v>
      </c>
      <c r="E390" s="4" t="s">
        <v>1376</v>
      </c>
      <c r="F390" s="2" t="s">
        <v>2455</v>
      </c>
      <c r="G390" s="2" t="s">
        <v>2456</v>
      </c>
      <c r="H390" s="2" t="s">
        <v>367</v>
      </c>
      <c r="I390" s="2" t="s">
        <v>219</v>
      </c>
      <c r="J390" s="2" t="s">
        <v>31</v>
      </c>
      <c r="K390" s="2" t="s">
        <v>31</v>
      </c>
      <c r="L390" s="2" t="s">
        <v>373</v>
      </c>
      <c r="M390" s="2" t="s">
        <v>32</v>
      </c>
      <c r="N390" s="2" t="s">
        <v>491</v>
      </c>
      <c r="O390" s="2" t="s">
        <v>164</v>
      </c>
      <c r="P390" s="2" t="s">
        <v>1387</v>
      </c>
      <c r="Q390" s="2" t="s">
        <v>217</v>
      </c>
      <c r="R390" s="2" t="s">
        <v>452</v>
      </c>
      <c r="S390" s="2" t="s">
        <v>35</v>
      </c>
      <c r="T390" s="150">
        <v>4.9290000000000003</v>
      </c>
      <c r="U390" s="2" t="s">
        <v>2457</v>
      </c>
      <c r="V390" s="162">
        <v>3.7100000000000001E-2</v>
      </c>
      <c r="W390" s="164">
        <v>3.3709999999999997E-2</v>
      </c>
      <c r="X390" s="4" t="s">
        <v>458</v>
      </c>
      <c r="Y390" s="4" t="s">
        <v>164</v>
      </c>
      <c r="Z390" s="150">
        <v>100000</v>
      </c>
      <c r="AA390" s="150">
        <v>1</v>
      </c>
      <c r="AB390" s="150">
        <v>105.41</v>
      </c>
      <c r="AD390" s="150">
        <v>105.41</v>
      </c>
      <c r="AG390" s="2" t="s">
        <v>37</v>
      </c>
      <c r="AH390" s="164">
        <v>2.5999999999999998E-4</v>
      </c>
      <c r="AI390" s="164">
        <v>1.6740511973044301E-2</v>
      </c>
      <c r="AJ390" s="164">
        <v>1.42918327856243E-3</v>
      </c>
    </row>
    <row r="391" spans="1:36">
      <c r="A391" s="2" t="s">
        <v>144</v>
      </c>
      <c r="B391" s="2">
        <v>969</v>
      </c>
      <c r="C391" s="2" t="s">
        <v>2458</v>
      </c>
      <c r="D391" s="2" t="s">
        <v>2459</v>
      </c>
      <c r="E391" s="4" t="s">
        <v>1376</v>
      </c>
      <c r="F391" s="2" t="s">
        <v>2460</v>
      </c>
      <c r="G391" s="2" t="s">
        <v>2461</v>
      </c>
      <c r="H391" s="2" t="s">
        <v>367</v>
      </c>
      <c r="I391" s="2" t="s">
        <v>1010</v>
      </c>
      <c r="J391" s="2" t="s">
        <v>31</v>
      </c>
      <c r="K391" s="2" t="s">
        <v>31</v>
      </c>
      <c r="L391" s="2" t="s">
        <v>373</v>
      </c>
      <c r="M391" s="2" t="s">
        <v>118</v>
      </c>
      <c r="N391" s="2" t="s">
        <v>483</v>
      </c>
      <c r="O391" s="2" t="s">
        <v>164</v>
      </c>
      <c r="P391" s="2" t="s">
        <v>1387</v>
      </c>
      <c r="Q391" s="2" t="s">
        <v>217</v>
      </c>
      <c r="R391" s="2" t="s">
        <v>452</v>
      </c>
      <c r="S391" s="2" t="s">
        <v>35</v>
      </c>
      <c r="T391" s="150">
        <v>6.8010000000000002</v>
      </c>
      <c r="U391" s="2" t="s">
        <v>2462</v>
      </c>
      <c r="V391" s="162">
        <v>5.8599999999999999E-2</v>
      </c>
      <c r="W391" s="164">
        <v>6.148E-2</v>
      </c>
      <c r="X391" s="4" t="s">
        <v>458</v>
      </c>
      <c r="Y391" s="4" t="s">
        <v>164</v>
      </c>
      <c r="Z391" s="150">
        <v>109276</v>
      </c>
      <c r="AA391" s="150">
        <v>1</v>
      </c>
      <c r="AB391" s="150">
        <v>100.02</v>
      </c>
      <c r="AD391" s="150">
        <v>109.298</v>
      </c>
      <c r="AG391" s="2" t="s">
        <v>37</v>
      </c>
      <c r="AH391" s="164">
        <v>5.4799999999999998E-4</v>
      </c>
      <c r="AI391" s="164">
        <v>1.7357955161784101E-2</v>
      </c>
      <c r="AJ391" s="164">
        <v>1.4818960917804601E-3</v>
      </c>
    </row>
    <row r="392" spans="1:36">
      <c r="A392" s="2" t="s">
        <v>144</v>
      </c>
      <c r="B392" s="2">
        <v>969</v>
      </c>
      <c r="C392" s="2" t="s">
        <v>2463</v>
      </c>
      <c r="D392" s="2" t="s">
        <v>2464</v>
      </c>
      <c r="E392" s="4" t="s">
        <v>1376</v>
      </c>
      <c r="F392" s="2" t="s">
        <v>2465</v>
      </c>
      <c r="G392" s="2" t="s">
        <v>2466</v>
      </c>
      <c r="H392" s="2" t="s">
        <v>367</v>
      </c>
      <c r="I392" s="2" t="s">
        <v>1010</v>
      </c>
      <c r="J392" s="2" t="s">
        <v>31</v>
      </c>
      <c r="K392" s="2" t="s">
        <v>31</v>
      </c>
      <c r="L392" s="2" t="s">
        <v>373</v>
      </c>
      <c r="M392" s="2" t="s">
        <v>32</v>
      </c>
      <c r="N392" s="2" t="s">
        <v>488</v>
      </c>
      <c r="O392" s="2" t="s">
        <v>164</v>
      </c>
      <c r="P392" s="2" t="s">
        <v>1392</v>
      </c>
      <c r="Q392" s="2" t="s">
        <v>217</v>
      </c>
      <c r="R392" s="2" t="s">
        <v>452</v>
      </c>
      <c r="S392" s="2" t="s">
        <v>35</v>
      </c>
      <c r="T392" s="150">
        <v>5.2389999999999999</v>
      </c>
      <c r="U392" s="2" t="s">
        <v>2436</v>
      </c>
      <c r="V392" s="162">
        <v>4.6899999999999997E-2</v>
      </c>
      <c r="W392" s="164">
        <v>5.7200000000000001E-2</v>
      </c>
      <c r="X392" s="4" t="s">
        <v>458</v>
      </c>
      <c r="Y392" s="4" t="s">
        <v>164</v>
      </c>
      <c r="Z392" s="150">
        <v>100000</v>
      </c>
      <c r="AA392" s="150">
        <v>1</v>
      </c>
      <c r="AB392" s="150">
        <v>95.24</v>
      </c>
      <c r="AD392" s="150">
        <v>95.24</v>
      </c>
      <c r="AG392" s="2" t="s">
        <v>37</v>
      </c>
      <c r="AH392" s="164">
        <v>2.0000000000000001E-4</v>
      </c>
      <c r="AI392" s="164">
        <v>1.51253805171496E-2</v>
      </c>
      <c r="AJ392" s="164">
        <v>1.2912950901269901E-3</v>
      </c>
    </row>
    <row r="393" spans="1:36">
      <c r="A393" s="2" t="s">
        <v>144</v>
      </c>
      <c r="B393" s="2">
        <v>969</v>
      </c>
      <c r="C393" s="2" t="s">
        <v>2003</v>
      </c>
      <c r="D393" s="2" t="s">
        <v>2004</v>
      </c>
      <c r="E393" s="4" t="s">
        <v>1376</v>
      </c>
      <c r="F393" s="2" t="s">
        <v>2537</v>
      </c>
      <c r="G393" s="2" t="s">
        <v>2538</v>
      </c>
      <c r="H393" s="2" t="s">
        <v>367</v>
      </c>
      <c r="I393" s="2" t="s">
        <v>1010</v>
      </c>
      <c r="J393" s="2" t="s">
        <v>31</v>
      </c>
      <c r="K393" s="2" t="s">
        <v>31</v>
      </c>
      <c r="L393" s="2" t="s">
        <v>373</v>
      </c>
      <c r="M393" s="2" t="s">
        <v>32</v>
      </c>
      <c r="N393" s="2" t="s">
        <v>528</v>
      </c>
      <c r="O393" s="2" t="s">
        <v>164</v>
      </c>
      <c r="P393" s="2" t="s">
        <v>1387</v>
      </c>
      <c r="Q393" s="2" t="s">
        <v>217</v>
      </c>
      <c r="R393" s="2" t="s">
        <v>452</v>
      </c>
      <c r="S393" s="2" t="s">
        <v>35</v>
      </c>
      <c r="T393" s="150">
        <v>2.327</v>
      </c>
      <c r="U393" s="2" t="s">
        <v>2539</v>
      </c>
      <c r="V393" s="162">
        <v>0.04</v>
      </c>
      <c r="W393" s="164">
        <v>5.2909999999999999E-2</v>
      </c>
      <c r="X393" s="4" t="s">
        <v>458</v>
      </c>
      <c r="Y393" s="4" t="s">
        <v>164</v>
      </c>
      <c r="Z393" s="150">
        <v>25663.4</v>
      </c>
      <c r="AA393" s="150">
        <v>1</v>
      </c>
      <c r="AB393" s="150">
        <v>97.24</v>
      </c>
      <c r="AD393" s="150">
        <v>24.954999999999998</v>
      </c>
      <c r="AG393" s="2" t="s">
        <v>37</v>
      </c>
      <c r="AH393" s="164">
        <v>4.3000000000000002E-5</v>
      </c>
      <c r="AI393" s="164">
        <v>3.9632006983386899E-3</v>
      </c>
      <c r="AJ393" s="164">
        <v>3.3834927968589201E-4</v>
      </c>
    </row>
    <row r="394" spans="1:36">
      <c r="A394" s="2" t="s">
        <v>144</v>
      </c>
      <c r="B394" s="2">
        <v>969</v>
      </c>
      <c r="C394" s="2" t="s">
        <v>2467</v>
      </c>
      <c r="D394" s="2" t="s">
        <v>2468</v>
      </c>
      <c r="E394" s="4" t="s">
        <v>1376</v>
      </c>
      <c r="F394" s="2" t="s">
        <v>2469</v>
      </c>
      <c r="G394" s="2" t="s">
        <v>2470</v>
      </c>
      <c r="H394" s="2" t="s">
        <v>367</v>
      </c>
      <c r="I394" s="2" t="s">
        <v>1010</v>
      </c>
      <c r="J394" s="2" t="s">
        <v>31</v>
      </c>
      <c r="K394" s="2" t="s">
        <v>31</v>
      </c>
      <c r="L394" s="2" t="s">
        <v>373</v>
      </c>
      <c r="M394" s="2" t="s">
        <v>32</v>
      </c>
      <c r="N394" s="2" t="s">
        <v>508</v>
      </c>
      <c r="O394" s="2" t="s">
        <v>164</v>
      </c>
      <c r="P394" s="2" t="s">
        <v>2217</v>
      </c>
      <c r="Q394" s="2" t="s">
        <v>98</v>
      </c>
      <c r="R394" s="2" t="s">
        <v>452</v>
      </c>
      <c r="S394" s="2" t="s">
        <v>35</v>
      </c>
      <c r="T394" s="150">
        <v>1.8919999999999999</v>
      </c>
      <c r="U394" s="2" t="s">
        <v>2471</v>
      </c>
      <c r="V394" s="162">
        <v>2.6499999999999999E-2</v>
      </c>
      <c r="W394" s="164">
        <v>5.6939999999999998E-2</v>
      </c>
      <c r="X394" s="4" t="s">
        <v>458</v>
      </c>
      <c r="Y394" s="4" t="s">
        <v>164</v>
      </c>
      <c r="Z394" s="150">
        <v>64285.71</v>
      </c>
      <c r="AA394" s="150">
        <v>1</v>
      </c>
      <c r="AB394" s="150">
        <v>95.45</v>
      </c>
      <c r="AD394" s="150">
        <v>61.360999999999997</v>
      </c>
      <c r="AG394" s="2" t="s">
        <v>37</v>
      </c>
      <c r="AH394" s="164">
        <v>1.05E-4</v>
      </c>
      <c r="AI394" s="164">
        <v>9.7448980523090895E-3</v>
      </c>
      <c r="AJ394" s="164">
        <v>8.3194859094402201E-4</v>
      </c>
    </row>
    <row r="395" spans="1:36">
      <c r="A395" s="2" t="s">
        <v>144</v>
      </c>
      <c r="B395" s="2">
        <v>969</v>
      </c>
      <c r="C395" s="2" t="s">
        <v>2472</v>
      </c>
      <c r="D395" s="2" t="s">
        <v>2032</v>
      </c>
      <c r="E395" s="4" t="s">
        <v>361</v>
      </c>
      <c r="F395" s="2" t="s">
        <v>2473</v>
      </c>
      <c r="G395" s="2" t="s">
        <v>2474</v>
      </c>
      <c r="H395" s="2" t="s">
        <v>367</v>
      </c>
      <c r="I395" s="2" t="s">
        <v>214</v>
      </c>
      <c r="J395" s="2" t="s">
        <v>94</v>
      </c>
      <c r="K395" s="2" t="s">
        <v>95</v>
      </c>
      <c r="L395" s="2" t="s">
        <v>373</v>
      </c>
      <c r="M395" s="2" t="s">
        <v>203</v>
      </c>
      <c r="N395" s="2" t="s">
        <v>590</v>
      </c>
      <c r="O395" s="2" t="s">
        <v>164</v>
      </c>
      <c r="P395" s="2" t="s">
        <v>1555</v>
      </c>
      <c r="Q395" s="2" t="s">
        <v>104</v>
      </c>
      <c r="R395" s="2" t="s">
        <v>452</v>
      </c>
      <c r="S395" s="2" t="s">
        <v>99</v>
      </c>
      <c r="T395" s="150">
        <v>0.92</v>
      </c>
      <c r="U395" s="2" t="s">
        <v>2475</v>
      </c>
      <c r="V395" s="162">
        <v>3.2000000000000001E-2</v>
      </c>
      <c r="W395" s="164">
        <v>5.2900000000000003E-2</v>
      </c>
      <c r="X395" s="4" t="s">
        <v>458</v>
      </c>
      <c r="Y395" s="4" t="s">
        <v>164</v>
      </c>
      <c r="Z395" s="150">
        <v>10000</v>
      </c>
      <c r="AA395" s="150">
        <v>3.7589999999999999</v>
      </c>
      <c r="AB395" s="150">
        <v>98.709000000000003</v>
      </c>
      <c r="AD395" s="150">
        <v>37.104999999999997</v>
      </c>
      <c r="AG395" s="2" t="s">
        <v>37</v>
      </c>
      <c r="AH395" s="164">
        <v>5.0000000000000004E-6</v>
      </c>
      <c r="AI395" s="164">
        <v>5.8927047346493703E-3</v>
      </c>
      <c r="AJ395" s="164">
        <v>5.0307631485986201E-4</v>
      </c>
    </row>
    <row r="396" spans="1:36">
      <c r="A396" s="2" t="s">
        <v>144</v>
      </c>
      <c r="B396" s="2">
        <v>969</v>
      </c>
      <c r="C396" s="2" t="s">
        <v>2476</v>
      </c>
      <c r="D396" s="2" t="s">
        <v>2477</v>
      </c>
      <c r="E396" s="4" t="s">
        <v>361</v>
      </c>
      <c r="F396" s="2" t="s">
        <v>2478</v>
      </c>
      <c r="G396" s="2" t="s">
        <v>2479</v>
      </c>
      <c r="H396" s="2" t="s">
        <v>367</v>
      </c>
      <c r="I396" s="2" t="s">
        <v>214</v>
      </c>
      <c r="J396" s="2" t="s">
        <v>94</v>
      </c>
      <c r="K396" s="2" t="s">
        <v>95</v>
      </c>
      <c r="L396" s="2" t="s">
        <v>373</v>
      </c>
      <c r="M396" s="2" t="s">
        <v>203</v>
      </c>
      <c r="N396" s="2" t="s">
        <v>580</v>
      </c>
      <c r="O396" s="2" t="s">
        <v>164</v>
      </c>
      <c r="P396" s="2" t="s">
        <v>2480</v>
      </c>
      <c r="Q396" s="2" t="s">
        <v>104</v>
      </c>
      <c r="R396" s="2" t="s">
        <v>452</v>
      </c>
      <c r="S396" s="2" t="s">
        <v>99</v>
      </c>
      <c r="T396" s="150">
        <v>0.61</v>
      </c>
      <c r="U396" s="2" t="s">
        <v>2481</v>
      </c>
      <c r="V396" s="162">
        <v>0.04</v>
      </c>
      <c r="W396" s="164">
        <v>6.0069999999999998E-2</v>
      </c>
      <c r="X396" s="4" t="s">
        <v>458</v>
      </c>
      <c r="Y396" s="4" t="s">
        <v>164</v>
      </c>
      <c r="Z396" s="150">
        <v>20000</v>
      </c>
      <c r="AA396" s="150">
        <v>3.7589999999999999</v>
      </c>
      <c r="AB396" s="150">
        <v>100.77500000000001</v>
      </c>
      <c r="AD396" s="150">
        <v>75.762</v>
      </c>
      <c r="AG396" s="2" t="s">
        <v>37</v>
      </c>
      <c r="AH396" s="164">
        <v>7.9999999999999996E-6</v>
      </c>
      <c r="AI396" s="164">
        <v>1.2032078198022E-2</v>
      </c>
      <c r="AJ396" s="164">
        <v>1.02721141352533E-3</v>
      </c>
    </row>
    <row r="397" spans="1:36">
      <c r="A397" s="2" t="s">
        <v>144</v>
      </c>
      <c r="B397" s="2">
        <v>969</v>
      </c>
      <c r="C397" s="2" t="s">
        <v>2482</v>
      </c>
      <c r="D397" s="2" t="s">
        <v>2483</v>
      </c>
      <c r="E397" s="4" t="s">
        <v>361</v>
      </c>
      <c r="F397" s="2" t="s">
        <v>2484</v>
      </c>
      <c r="G397" s="2" t="s">
        <v>2485</v>
      </c>
      <c r="H397" s="2" t="s">
        <v>367</v>
      </c>
      <c r="I397" s="2" t="s">
        <v>214</v>
      </c>
      <c r="J397" s="2" t="s">
        <v>94</v>
      </c>
      <c r="K397" s="2" t="s">
        <v>95</v>
      </c>
      <c r="L397" s="2" t="s">
        <v>373</v>
      </c>
      <c r="M397" s="2" t="s">
        <v>203</v>
      </c>
      <c r="N397" s="2" t="s">
        <v>590</v>
      </c>
      <c r="O397" s="2" t="s">
        <v>164</v>
      </c>
      <c r="P397" s="2" t="s">
        <v>2330</v>
      </c>
      <c r="Q397" s="2" t="s">
        <v>476</v>
      </c>
      <c r="R397" s="2" t="s">
        <v>452</v>
      </c>
      <c r="S397" s="2" t="s">
        <v>99</v>
      </c>
      <c r="T397" s="150">
        <v>0.91</v>
      </c>
      <c r="U397" s="2" t="s">
        <v>2486</v>
      </c>
      <c r="V397" s="162">
        <v>7.4999999999999997E-2</v>
      </c>
      <c r="W397" s="164">
        <v>6.0630000000000003E-2</v>
      </c>
      <c r="X397" s="4" t="s">
        <v>458</v>
      </c>
      <c r="Y397" s="4" t="s">
        <v>164</v>
      </c>
      <c r="Z397" s="150">
        <v>20000</v>
      </c>
      <c r="AA397" s="150">
        <v>3.7589999999999999</v>
      </c>
      <c r="AB397" s="150">
        <v>102.27800000000001</v>
      </c>
      <c r="AD397" s="150">
        <v>76.893000000000001</v>
      </c>
      <c r="AG397" s="2" t="s">
        <v>37</v>
      </c>
      <c r="AH397" s="164">
        <v>5.0000000000000002E-5</v>
      </c>
      <c r="AI397" s="164">
        <v>1.22116049074071E-2</v>
      </c>
      <c r="AJ397" s="164">
        <v>1.0425380995622801E-3</v>
      </c>
    </row>
    <row r="398" spans="1:36">
      <c r="A398" s="2" t="s">
        <v>144</v>
      </c>
      <c r="B398" s="2">
        <v>969</v>
      </c>
      <c r="C398" s="2" t="s">
        <v>2491</v>
      </c>
      <c r="D398" s="2" t="s">
        <v>2492</v>
      </c>
      <c r="E398" s="4" t="s">
        <v>360</v>
      </c>
      <c r="F398" s="2" t="s">
        <v>2493</v>
      </c>
      <c r="G398" s="2" t="s">
        <v>2494</v>
      </c>
      <c r="H398" s="2" t="s">
        <v>367</v>
      </c>
      <c r="I398" s="2" t="s">
        <v>214</v>
      </c>
      <c r="J398" s="2" t="s">
        <v>94</v>
      </c>
      <c r="K398" s="2" t="s">
        <v>282</v>
      </c>
      <c r="L398" s="2" t="s">
        <v>373</v>
      </c>
      <c r="M398" s="2" t="s">
        <v>32</v>
      </c>
      <c r="N398" s="2" t="s">
        <v>508</v>
      </c>
      <c r="O398" s="2" t="s">
        <v>164</v>
      </c>
      <c r="P398" s="2" t="s">
        <v>1392</v>
      </c>
      <c r="Q398" s="2" t="s">
        <v>98</v>
      </c>
      <c r="R398" s="2" t="s">
        <v>452</v>
      </c>
      <c r="S398" s="2" t="s">
        <v>35</v>
      </c>
      <c r="T398" s="150">
        <v>3.13</v>
      </c>
      <c r="U398" s="2" t="s">
        <v>2495</v>
      </c>
      <c r="V398" s="162">
        <v>4.2999999999999997E-2</v>
      </c>
      <c r="W398" s="164">
        <v>7.8320000000000001E-2</v>
      </c>
      <c r="X398" s="4" t="s">
        <v>458</v>
      </c>
      <c r="Y398" s="4" t="s">
        <v>164</v>
      </c>
      <c r="Z398" s="150">
        <v>84415.01</v>
      </c>
      <c r="AA398" s="150">
        <v>1</v>
      </c>
      <c r="AB398" s="150">
        <v>90.67</v>
      </c>
      <c r="AD398" s="150">
        <v>76.539000000000001</v>
      </c>
      <c r="AG398" s="2" t="s">
        <v>37</v>
      </c>
      <c r="AH398" s="164">
        <v>7.4999999999999993E-5</v>
      </c>
      <c r="AI398" s="164">
        <v>1.21554268599021E-2</v>
      </c>
      <c r="AJ398" s="164">
        <v>1.03774202604638E-3</v>
      </c>
    </row>
  </sheetData>
  <sheetProtection formatColumns="0"/>
  <autoFilter ref="A1:AJ398" xr:uid="{51D05704-D2D8-45A1-A28C-512827EECCD7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90"/>
  <sheetViews>
    <sheetView rightToLeft="1" topLeftCell="F1" zoomScale="70" zoomScaleNormal="70" workbookViewId="0">
      <selection activeCell="L36" sqref="L36:W36"/>
    </sheetView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372</v>
      </c>
      <c r="M1" s="19" t="s">
        <v>8</v>
      </c>
      <c r="N1" s="19" t="s">
        <v>185</v>
      </c>
      <c r="O1" s="19" t="s">
        <v>150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16</v>
      </c>
      <c r="U1" s="19" t="s">
        <v>20</v>
      </c>
      <c r="V1" s="163" t="s">
        <v>23</v>
      </c>
      <c r="W1" s="163" t="s">
        <v>24</v>
      </c>
      <c r="X1" s="163" t="s">
        <v>25</v>
      </c>
    </row>
    <row r="2" spans="1:24">
      <c r="A2" s="18" t="s">
        <v>26</v>
      </c>
      <c r="B2" s="18">
        <v>1182</v>
      </c>
      <c r="C2" s="18" t="s">
        <v>1833</v>
      </c>
      <c r="D2" s="18" t="s">
        <v>1834</v>
      </c>
      <c r="E2" s="18" t="s">
        <v>361</v>
      </c>
      <c r="F2" s="18" t="s">
        <v>1835</v>
      </c>
      <c r="G2" s="18" t="s">
        <v>1836</v>
      </c>
      <c r="H2" s="18" t="s">
        <v>367</v>
      </c>
      <c r="I2" s="18" t="s">
        <v>975</v>
      </c>
      <c r="J2" s="18" t="s">
        <v>94</v>
      </c>
      <c r="K2" s="18" t="s">
        <v>95</v>
      </c>
      <c r="L2" s="20" t="s">
        <v>373</v>
      </c>
      <c r="M2" s="18" t="s">
        <v>32</v>
      </c>
      <c r="N2" s="20" t="s">
        <v>484</v>
      </c>
      <c r="O2" s="20" t="s">
        <v>164</v>
      </c>
      <c r="P2" s="18" t="s">
        <v>35</v>
      </c>
      <c r="Q2" s="154">
        <v>2795.5</v>
      </c>
      <c r="R2" s="154">
        <v>1</v>
      </c>
      <c r="S2" s="154">
        <v>26580</v>
      </c>
      <c r="T2" s="20"/>
      <c r="U2" s="154">
        <v>743.04399999999998</v>
      </c>
      <c r="V2" s="169">
        <v>5.0000000000000002E-5</v>
      </c>
      <c r="W2" s="169">
        <v>1.8264231850896501E-2</v>
      </c>
      <c r="X2" s="169">
        <v>1.8801609642541499E-3</v>
      </c>
    </row>
    <row r="3" spans="1:24">
      <c r="A3" s="18" t="s">
        <v>26</v>
      </c>
      <c r="B3" s="18">
        <v>1182</v>
      </c>
      <c r="C3" s="18" t="s">
        <v>1837</v>
      </c>
      <c r="D3" s="18" t="s">
        <v>1838</v>
      </c>
      <c r="E3" s="18" t="s">
        <v>1376</v>
      </c>
      <c r="F3" s="18" t="s">
        <v>1839</v>
      </c>
      <c r="G3" s="18" t="s">
        <v>1840</v>
      </c>
      <c r="H3" s="18" t="s">
        <v>367</v>
      </c>
      <c r="I3" s="18" t="s">
        <v>975</v>
      </c>
      <c r="J3" s="18" t="s">
        <v>31</v>
      </c>
      <c r="K3" s="18" t="s">
        <v>31</v>
      </c>
      <c r="L3" s="20" t="s">
        <v>373</v>
      </c>
      <c r="M3" s="18" t="s">
        <v>32</v>
      </c>
      <c r="N3" s="20" t="s">
        <v>499</v>
      </c>
      <c r="O3" s="20" t="s">
        <v>164</v>
      </c>
      <c r="P3" s="18" t="s">
        <v>35</v>
      </c>
      <c r="Q3" s="154">
        <v>36441</v>
      </c>
      <c r="R3" s="154">
        <v>1</v>
      </c>
      <c r="S3" s="154">
        <v>1612</v>
      </c>
      <c r="T3" s="20"/>
      <c r="U3" s="154">
        <v>587.42899999999997</v>
      </c>
      <c r="V3" s="169">
        <v>2.8E-5</v>
      </c>
      <c r="W3" s="169">
        <v>1.4439171078319501E-2</v>
      </c>
      <c r="X3" s="169">
        <v>1.4864006348184499E-3</v>
      </c>
    </row>
    <row r="4" spans="1:24">
      <c r="A4" s="18" t="s">
        <v>26</v>
      </c>
      <c r="B4" s="18">
        <v>1182</v>
      </c>
      <c r="C4" s="18" t="s">
        <v>1841</v>
      </c>
      <c r="D4" s="18" t="s">
        <v>1842</v>
      </c>
      <c r="E4" s="18" t="s">
        <v>1376</v>
      </c>
      <c r="F4" s="18" t="s">
        <v>1843</v>
      </c>
      <c r="G4" s="18" t="s">
        <v>1844</v>
      </c>
      <c r="H4" s="18" t="s">
        <v>367</v>
      </c>
      <c r="I4" s="18" t="s">
        <v>975</v>
      </c>
      <c r="J4" s="18" t="s">
        <v>31</v>
      </c>
      <c r="K4" s="18" t="s">
        <v>31</v>
      </c>
      <c r="L4" s="20" t="s">
        <v>373</v>
      </c>
      <c r="M4" s="18" t="s">
        <v>32</v>
      </c>
      <c r="N4" s="20" t="s">
        <v>488</v>
      </c>
      <c r="O4" s="20" t="s">
        <v>164</v>
      </c>
      <c r="P4" s="18" t="s">
        <v>35</v>
      </c>
      <c r="Q4" s="154">
        <v>2680</v>
      </c>
      <c r="R4" s="154">
        <v>1</v>
      </c>
      <c r="S4" s="154">
        <v>9863</v>
      </c>
      <c r="T4" s="20"/>
      <c r="U4" s="154">
        <v>264.32799999999997</v>
      </c>
      <c r="V4" s="169">
        <v>1.83E-4</v>
      </c>
      <c r="W4" s="169">
        <v>6.4972677689387097E-3</v>
      </c>
      <c r="X4" s="169">
        <v>6.6884330713670899E-4</v>
      </c>
    </row>
    <row r="5" spans="1:24">
      <c r="A5" s="18" t="s">
        <v>26</v>
      </c>
      <c r="B5" s="18">
        <v>1182</v>
      </c>
      <c r="C5" s="18" t="s">
        <v>1845</v>
      </c>
      <c r="D5" s="18" t="s">
        <v>1846</v>
      </c>
      <c r="E5" s="18" t="s">
        <v>1376</v>
      </c>
      <c r="F5" s="18" t="s">
        <v>1847</v>
      </c>
      <c r="G5" s="18" t="s">
        <v>1848</v>
      </c>
      <c r="H5" s="18" t="s">
        <v>367</v>
      </c>
      <c r="I5" s="18" t="s">
        <v>975</v>
      </c>
      <c r="J5" s="18" t="s">
        <v>31</v>
      </c>
      <c r="K5" s="18" t="s">
        <v>31</v>
      </c>
      <c r="L5" s="20" t="s">
        <v>373</v>
      </c>
      <c r="M5" s="18" t="s">
        <v>32</v>
      </c>
      <c r="N5" s="20" t="s">
        <v>506</v>
      </c>
      <c r="O5" s="20" t="s">
        <v>164</v>
      </c>
      <c r="P5" s="18" t="s">
        <v>35</v>
      </c>
      <c r="Q5" s="154">
        <v>15773</v>
      </c>
      <c r="R5" s="154">
        <v>1</v>
      </c>
      <c r="S5" s="154">
        <v>992.1</v>
      </c>
      <c r="T5" s="20"/>
      <c r="U5" s="154">
        <v>156.48400000000001</v>
      </c>
      <c r="V5" s="169">
        <v>1.26E-4</v>
      </c>
      <c r="W5" s="169">
        <v>3.8464198861630598E-3</v>
      </c>
      <c r="X5" s="169">
        <v>3.9595908446265799E-4</v>
      </c>
    </row>
    <row r="6" spans="1:24">
      <c r="A6" s="18" t="s">
        <v>26</v>
      </c>
      <c r="B6" s="18">
        <v>1182</v>
      </c>
      <c r="C6" s="18" t="s">
        <v>1849</v>
      </c>
      <c r="D6" s="18" t="s">
        <v>1850</v>
      </c>
      <c r="E6" s="18" t="s">
        <v>34</v>
      </c>
      <c r="F6" s="18" t="s">
        <v>1851</v>
      </c>
      <c r="G6" s="18" t="s">
        <v>1852</v>
      </c>
      <c r="H6" s="18" t="s">
        <v>367</v>
      </c>
      <c r="I6" s="18" t="s">
        <v>975</v>
      </c>
      <c r="J6" s="18" t="s">
        <v>31</v>
      </c>
      <c r="K6" s="18" t="s">
        <v>31</v>
      </c>
      <c r="L6" s="20" t="s">
        <v>373</v>
      </c>
      <c r="M6" s="18" t="s">
        <v>32</v>
      </c>
      <c r="N6" s="20" t="s">
        <v>521</v>
      </c>
      <c r="O6" s="20" t="s">
        <v>164</v>
      </c>
      <c r="P6" s="18" t="s">
        <v>35</v>
      </c>
      <c r="Q6" s="154">
        <v>0</v>
      </c>
      <c r="R6" s="154">
        <v>1</v>
      </c>
      <c r="S6" s="154">
        <v>0</v>
      </c>
      <c r="T6" s="153">
        <v>1E-3</v>
      </c>
      <c r="U6" s="154">
        <v>1E-3</v>
      </c>
      <c r="V6" s="18"/>
      <c r="W6" s="169">
        <v>1.27817489147898E-8</v>
      </c>
      <c r="X6" s="169">
        <v>1.3157818823519901E-9</v>
      </c>
    </row>
    <row r="7" spans="1:24">
      <c r="A7" s="18" t="s">
        <v>26</v>
      </c>
      <c r="B7" s="18">
        <v>1182</v>
      </c>
      <c r="C7" s="18" t="s">
        <v>1853</v>
      </c>
      <c r="D7" s="18" t="s">
        <v>1854</v>
      </c>
      <c r="E7" s="18" t="s">
        <v>1376</v>
      </c>
      <c r="F7" s="18" t="s">
        <v>1855</v>
      </c>
      <c r="G7" s="18" t="s">
        <v>1856</v>
      </c>
      <c r="H7" s="18" t="s">
        <v>367</v>
      </c>
      <c r="I7" s="18" t="s">
        <v>975</v>
      </c>
      <c r="J7" s="18" t="s">
        <v>31</v>
      </c>
      <c r="K7" s="18" t="s">
        <v>31</v>
      </c>
      <c r="L7" s="20" t="s">
        <v>373</v>
      </c>
      <c r="M7" s="18" t="s">
        <v>32</v>
      </c>
      <c r="N7" s="20" t="s">
        <v>489</v>
      </c>
      <c r="O7" s="20" t="s">
        <v>164</v>
      </c>
      <c r="P7" s="18" t="s">
        <v>35</v>
      </c>
      <c r="Q7" s="154">
        <v>1241</v>
      </c>
      <c r="R7" s="154">
        <v>1</v>
      </c>
      <c r="S7" s="154">
        <v>66410</v>
      </c>
      <c r="T7" s="153">
        <v>2.3319999999999999</v>
      </c>
      <c r="U7" s="154">
        <v>826.48099999999999</v>
      </c>
      <c r="V7" s="154">
        <v>2.8E-5</v>
      </c>
      <c r="W7" s="169">
        <v>2.0315128847836299E-2</v>
      </c>
      <c r="X7" s="169">
        <v>2.0912848980079298E-3</v>
      </c>
    </row>
    <row r="8" spans="1:24">
      <c r="A8" s="18" t="s">
        <v>26</v>
      </c>
      <c r="B8" s="18">
        <v>1182</v>
      </c>
      <c r="C8" s="18" t="s">
        <v>1857</v>
      </c>
      <c r="D8" s="18" t="s">
        <v>1858</v>
      </c>
      <c r="E8" s="18" t="s">
        <v>1376</v>
      </c>
      <c r="F8" s="18" t="s">
        <v>1859</v>
      </c>
      <c r="G8" s="18" t="s">
        <v>1860</v>
      </c>
      <c r="H8" s="18" t="s">
        <v>367</v>
      </c>
      <c r="I8" s="18" t="s">
        <v>975</v>
      </c>
      <c r="J8" s="18" t="s">
        <v>31</v>
      </c>
      <c r="K8" s="18" t="s">
        <v>31</v>
      </c>
      <c r="L8" s="20" t="s">
        <v>373</v>
      </c>
      <c r="M8" s="18" t="s">
        <v>32</v>
      </c>
      <c r="N8" s="20" t="s">
        <v>494</v>
      </c>
      <c r="O8" s="20" t="s">
        <v>164</v>
      </c>
      <c r="P8" s="18" t="s">
        <v>35</v>
      </c>
      <c r="Q8" s="154">
        <v>283</v>
      </c>
      <c r="R8" s="154">
        <v>1</v>
      </c>
      <c r="S8" s="154">
        <v>129690</v>
      </c>
      <c r="T8" s="20"/>
      <c r="U8" s="154">
        <v>367.02300000000002</v>
      </c>
      <c r="V8" s="154">
        <v>7.3999999999999996E-5</v>
      </c>
      <c r="W8" s="169">
        <v>9.0215230719773599E-3</v>
      </c>
      <c r="X8" s="169">
        <v>9.2869580590751498E-4</v>
      </c>
    </row>
    <row r="9" spans="1:24">
      <c r="A9" s="18" t="s">
        <v>26</v>
      </c>
      <c r="B9" s="18">
        <v>1182</v>
      </c>
      <c r="C9" s="18" t="s">
        <v>1861</v>
      </c>
      <c r="D9" s="18" t="s">
        <v>1862</v>
      </c>
      <c r="E9" s="18" t="s">
        <v>1376</v>
      </c>
      <c r="F9" s="18" t="s">
        <v>1863</v>
      </c>
      <c r="G9" s="18" t="s">
        <v>1864</v>
      </c>
      <c r="H9" s="18" t="s">
        <v>367</v>
      </c>
      <c r="I9" s="18" t="s">
        <v>975</v>
      </c>
      <c r="J9" s="18" t="s">
        <v>31</v>
      </c>
      <c r="K9" s="18" t="s">
        <v>95</v>
      </c>
      <c r="L9" s="20" t="s">
        <v>373</v>
      </c>
      <c r="M9" s="18" t="s">
        <v>32</v>
      </c>
      <c r="N9" s="20" t="s">
        <v>484</v>
      </c>
      <c r="O9" s="20" t="s">
        <v>164</v>
      </c>
      <c r="P9" s="18" t="s">
        <v>35</v>
      </c>
      <c r="Q9" s="154">
        <v>6025.5</v>
      </c>
      <c r="R9" s="154">
        <v>1</v>
      </c>
      <c r="S9" s="154">
        <v>5985</v>
      </c>
      <c r="T9" s="20"/>
      <c r="U9" s="154">
        <v>360.62599999999998</v>
      </c>
      <c r="V9" s="154">
        <v>5.1E-5</v>
      </c>
      <c r="W9" s="169">
        <v>8.8642946556750993E-3</v>
      </c>
      <c r="X9" s="169">
        <v>9.1251036032095499E-4</v>
      </c>
    </row>
    <row r="10" spans="1:24">
      <c r="A10" s="18" t="s">
        <v>26</v>
      </c>
      <c r="B10" s="18">
        <v>1182</v>
      </c>
      <c r="C10" s="18" t="s">
        <v>1865</v>
      </c>
      <c r="D10" s="18" t="s">
        <v>1866</v>
      </c>
      <c r="E10" s="18" t="s">
        <v>1376</v>
      </c>
      <c r="F10" s="18" t="s">
        <v>1867</v>
      </c>
      <c r="G10" s="18" t="s">
        <v>1868</v>
      </c>
      <c r="H10" s="18" t="s">
        <v>367</v>
      </c>
      <c r="I10" s="18" t="s">
        <v>975</v>
      </c>
      <c r="J10" s="18" t="s">
        <v>31</v>
      </c>
      <c r="K10" s="18" t="s">
        <v>31</v>
      </c>
      <c r="L10" s="20" t="s">
        <v>373</v>
      </c>
      <c r="M10" s="18" t="s">
        <v>32</v>
      </c>
      <c r="N10" s="20" t="s">
        <v>506</v>
      </c>
      <c r="O10" s="20" t="s">
        <v>164</v>
      </c>
      <c r="P10" s="18" t="s">
        <v>35</v>
      </c>
      <c r="Q10" s="154">
        <v>250</v>
      </c>
      <c r="R10" s="154">
        <v>1</v>
      </c>
      <c r="S10" s="154">
        <v>0</v>
      </c>
      <c r="T10" s="20"/>
      <c r="U10" s="154">
        <v>0</v>
      </c>
      <c r="V10" s="154">
        <v>0</v>
      </c>
      <c r="W10" s="169">
        <v>6.1450715936489496E-12</v>
      </c>
      <c r="X10" s="169">
        <v>6.3258744343845399E-13</v>
      </c>
    </row>
    <row r="11" spans="1:24">
      <c r="A11" s="18" t="s">
        <v>26</v>
      </c>
      <c r="B11" s="18">
        <v>1182</v>
      </c>
      <c r="C11" s="18" t="s">
        <v>1869</v>
      </c>
      <c r="D11" s="18" t="s">
        <v>1870</v>
      </c>
      <c r="E11" s="18" t="s">
        <v>1376</v>
      </c>
      <c r="F11" s="18" t="s">
        <v>1871</v>
      </c>
      <c r="G11" s="18" t="s">
        <v>1872</v>
      </c>
      <c r="H11" s="18" t="s">
        <v>367</v>
      </c>
      <c r="I11" s="18" t="s">
        <v>975</v>
      </c>
      <c r="J11" s="18" t="s">
        <v>31</v>
      </c>
      <c r="K11" s="18" t="s">
        <v>31</v>
      </c>
      <c r="L11" s="20" t="s">
        <v>373</v>
      </c>
      <c r="M11" s="18" t="s">
        <v>32</v>
      </c>
      <c r="N11" s="20" t="s">
        <v>490</v>
      </c>
      <c r="O11" s="20" t="s">
        <v>164</v>
      </c>
      <c r="P11" s="18" t="s">
        <v>35</v>
      </c>
      <c r="Q11" s="154">
        <v>12160</v>
      </c>
      <c r="R11" s="154">
        <v>1</v>
      </c>
      <c r="S11" s="154">
        <v>4328</v>
      </c>
      <c r="T11" s="20"/>
      <c r="U11" s="154">
        <v>526.28499999999997</v>
      </c>
      <c r="V11" s="154">
        <v>1.2E-4</v>
      </c>
      <c r="W11" s="169">
        <v>1.2936231098596899E-2</v>
      </c>
      <c r="X11" s="169">
        <v>1.3316846246100699E-3</v>
      </c>
    </row>
    <row r="12" spans="1:24">
      <c r="A12" s="18" t="s">
        <v>26</v>
      </c>
      <c r="B12" s="18">
        <v>1182</v>
      </c>
      <c r="C12" s="18" t="s">
        <v>1873</v>
      </c>
      <c r="D12" s="18" t="s">
        <v>1874</v>
      </c>
      <c r="E12" s="18" t="s">
        <v>1376</v>
      </c>
      <c r="F12" s="18" t="s">
        <v>1875</v>
      </c>
      <c r="G12" s="18" t="s">
        <v>1876</v>
      </c>
      <c r="H12" s="18" t="s">
        <v>367</v>
      </c>
      <c r="I12" s="18" t="s">
        <v>975</v>
      </c>
      <c r="J12" s="18" t="s">
        <v>31</v>
      </c>
      <c r="K12" s="18" t="s">
        <v>95</v>
      </c>
      <c r="L12" s="20" t="s">
        <v>373</v>
      </c>
      <c r="M12" s="18" t="s">
        <v>32</v>
      </c>
      <c r="N12" s="20" t="s">
        <v>508</v>
      </c>
      <c r="O12" s="20" t="s">
        <v>164</v>
      </c>
      <c r="P12" s="18" t="s">
        <v>35</v>
      </c>
      <c r="Q12" s="154">
        <v>9400</v>
      </c>
      <c r="R12" s="154">
        <v>1</v>
      </c>
      <c r="S12" s="154">
        <v>750.1</v>
      </c>
      <c r="T12" s="20"/>
      <c r="U12" s="154">
        <v>70.509</v>
      </c>
      <c r="V12" s="154">
        <v>1.7000000000000001E-4</v>
      </c>
      <c r="W12" s="169">
        <v>1.7331412441009199E-3</v>
      </c>
      <c r="X12" s="169">
        <v>1.7841344433751699E-4</v>
      </c>
    </row>
    <row r="13" spans="1:24">
      <c r="A13" s="18" t="s">
        <v>26</v>
      </c>
      <c r="B13" s="18">
        <v>1182</v>
      </c>
      <c r="C13" s="18" t="s">
        <v>1877</v>
      </c>
      <c r="D13" s="18" t="s">
        <v>1878</v>
      </c>
      <c r="E13" s="18" t="s">
        <v>1376</v>
      </c>
      <c r="F13" s="18" t="s">
        <v>1879</v>
      </c>
      <c r="G13" s="18" t="s">
        <v>1880</v>
      </c>
      <c r="H13" s="18" t="s">
        <v>367</v>
      </c>
      <c r="I13" s="18" t="s">
        <v>975</v>
      </c>
      <c r="J13" s="18" t="s">
        <v>31</v>
      </c>
      <c r="K13" s="18" t="s">
        <v>31</v>
      </c>
      <c r="L13" s="20" t="s">
        <v>373</v>
      </c>
      <c r="M13" s="18" t="s">
        <v>32</v>
      </c>
      <c r="N13" s="20" t="s">
        <v>483</v>
      </c>
      <c r="O13" s="20" t="s">
        <v>164</v>
      </c>
      <c r="P13" s="18" t="s">
        <v>35</v>
      </c>
      <c r="Q13" s="154">
        <v>136064</v>
      </c>
      <c r="R13" s="154">
        <v>1</v>
      </c>
      <c r="S13" s="154">
        <v>86.7</v>
      </c>
      <c r="T13" s="20"/>
      <c r="U13" s="154">
        <v>117.967</v>
      </c>
      <c r="V13" s="154">
        <v>4.3000000000000002E-5</v>
      </c>
      <c r="W13" s="169">
        <v>2.8996746379316902E-3</v>
      </c>
      <c r="X13" s="169">
        <v>2.9849900657110599E-4</v>
      </c>
    </row>
    <row r="14" spans="1:24">
      <c r="A14" s="18" t="s">
        <v>26</v>
      </c>
      <c r="B14" s="18">
        <v>1182</v>
      </c>
      <c r="C14" s="18" t="s">
        <v>1881</v>
      </c>
      <c r="D14" s="18" t="s">
        <v>1882</v>
      </c>
      <c r="E14" s="18" t="s">
        <v>1376</v>
      </c>
      <c r="F14" s="18" t="s">
        <v>1883</v>
      </c>
      <c r="G14" s="18" t="s">
        <v>1884</v>
      </c>
      <c r="H14" s="18" t="s">
        <v>367</v>
      </c>
      <c r="I14" s="18" t="s">
        <v>975</v>
      </c>
      <c r="J14" s="18" t="s">
        <v>31</v>
      </c>
      <c r="K14" s="18" t="s">
        <v>31</v>
      </c>
      <c r="L14" s="20" t="s">
        <v>373</v>
      </c>
      <c r="M14" s="18" t="s">
        <v>32</v>
      </c>
      <c r="N14" s="20" t="s">
        <v>528</v>
      </c>
      <c r="O14" s="20" t="s">
        <v>164</v>
      </c>
      <c r="P14" s="18" t="s">
        <v>35</v>
      </c>
      <c r="Q14" s="154">
        <v>156937</v>
      </c>
      <c r="R14" s="154">
        <v>1</v>
      </c>
      <c r="S14" s="154">
        <v>423.6</v>
      </c>
      <c r="T14" s="20"/>
      <c r="U14" s="154">
        <v>664.78499999999997</v>
      </c>
      <c r="V14" s="154">
        <v>5.7000000000000003E-5</v>
      </c>
      <c r="W14" s="169">
        <v>1.6340608922133501E-2</v>
      </c>
      <c r="X14" s="169">
        <v>1.6821389083511E-3</v>
      </c>
    </row>
    <row r="15" spans="1:24">
      <c r="A15" s="18" t="s">
        <v>26</v>
      </c>
      <c r="B15" s="18">
        <v>1182</v>
      </c>
      <c r="C15" s="18" t="s">
        <v>1885</v>
      </c>
      <c r="D15" s="18" t="s">
        <v>1886</v>
      </c>
      <c r="E15" s="18" t="s">
        <v>1376</v>
      </c>
      <c r="F15" s="18" t="s">
        <v>1887</v>
      </c>
      <c r="G15" s="18" t="s">
        <v>1888</v>
      </c>
      <c r="H15" s="18" t="s">
        <v>367</v>
      </c>
      <c r="I15" s="18" t="s">
        <v>975</v>
      </c>
      <c r="J15" s="18" t="s">
        <v>31</v>
      </c>
      <c r="K15" s="18" t="s">
        <v>31</v>
      </c>
      <c r="L15" s="20" t="s">
        <v>373</v>
      </c>
      <c r="M15" s="18" t="s">
        <v>32</v>
      </c>
      <c r="N15" s="20" t="s">
        <v>507</v>
      </c>
      <c r="O15" s="20" t="s">
        <v>164</v>
      </c>
      <c r="P15" s="18" t="s">
        <v>35</v>
      </c>
      <c r="Q15" s="154">
        <v>1178.76</v>
      </c>
      <c r="R15" s="154">
        <v>1</v>
      </c>
      <c r="S15" s="154">
        <v>35740</v>
      </c>
      <c r="T15" s="20"/>
      <c r="U15" s="154">
        <v>421.28899999999999</v>
      </c>
      <c r="V15" s="154">
        <v>4.8000000000000001E-5</v>
      </c>
      <c r="W15" s="169">
        <v>1.03553999403367E-2</v>
      </c>
      <c r="X15" s="169">
        <v>1.0660080804934099E-3</v>
      </c>
    </row>
    <row r="16" spans="1:24">
      <c r="A16" s="18" t="s">
        <v>26</v>
      </c>
      <c r="B16" s="18">
        <v>1182</v>
      </c>
      <c r="C16" s="18" t="s">
        <v>1889</v>
      </c>
      <c r="D16" s="18" t="s">
        <v>1890</v>
      </c>
      <c r="E16" s="18" t="s">
        <v>1376</v>
      </c>
      <c r="F16" s="18" t="s">
        <v>1891</v>
      </c>
      <c r="G16" s="18" t="s">
        <v>1892</v>
      </c>
      <c r="H16" s="18" t="s">
        <v>367</v>
      </c>
      <c r="I16" s="18" t="s">
        <v>975</v>
      </c>
      <c r="J16" s="18" t="s">
        <v>31</v>
      </c>
      <c r="K16" s="18" t="s">
        <v>31</v>
      </c>
      <c r="L16" s="20" t="s">
        <v>373</v>
      </c>
      <c r="M16" s="18" t="s">
        <v>32</v>
      </c>
      <c r="N16" s="20" t="s">
        <v>491</v>
      </c>
      <c r="O16" s="20" t="s">
        <v>164</v>
      </c>
      <c r="P16" s="18" t="s">
        <v>35</v>
      </c>
      <c r="Q16" s="154">
        <v>501</v>
      </c>
      <c r="R16" s="154">
        <v>1</v>
      </c>
      <c r="S16" s="154">
        <v>14410</v>
      </c>
      <c r="T16" s="20"/>
      <c r="U16" s="154">
        <v>72.194000000000003</v>
      </c>
      <c r="V16" s="154">
        <v>5.0000000000000004E-6</v>
      </c>
      <c r="W16" s="169">
        <v>1.7745516525562101E-3</v>
      </c>
      <c r="X16" s="169">
        <v>1.8267632460136101E-4</v>
      </c>
    </row>
    <row r="17" spans="1:24">
      <c r="A17" s="18" t="s">
        <v>26</v>
      </c>
      <c r="B17" s="18">
        <v>1182</v>
      </c>
      <c r="C17" s="18" t="s">
        <v>1893</v>
      </c>
      <c r="D17" s="18" t="s">
        <v>1894</v>
      </c>
      <c r="E17" s="18" t="s">
        <v>1376</v>
      </c>
      <c r="F17" s="18" t="s">
        <v>1895</v>
      </c>
      <c r="G17" s="18" t="s">
        <v>1896</v>
      </c>
      <c r="H17" s="18" t="s">
        <v>367</v>
      </c>
      <c r="I17" s="18" t="s">
        <v>975</v>
      </c>
      <c r="J17" s="18" t="s">
        <v>31</v>
      </c>
      <c r="K17" s="18" t="s">
        <v>31</v>
      </c>
      <c r="L17" s="20" t="s">
        <v>373</v>
      </c>
      <c r="M17" s="18" t="s">
        <v>32</v>
      </c>
      <c r="N17" s="20" t="s">
        <v>507</v>
      </c>
      <c r="O17" s="20" t="s">
        <v>164</v>
      </c>
      <c r="P17" s="18" t="s">
        <v>35</v>
      </c>
      <c r="Q17" s="154">
        <v>6000</v>
      </c>
      <c r="R17" s="154">
        <v>1</v>
      </c>
      <c r="S17" s="154">
        <v>1840</v>
      </c>
      <c r="T17" s="20"/>
      <c r="U17" s="154">
        <v>110.4</v>
      </c>
      <c r="V17" s="154">
        <v>3.3399999999999999E-4</v>
      </c>
      <c r="W17" s="169">
        <v>2.7136636157553801E-3</v>
      </c>
      <c r="X17" s="169">
        <v>2.7935061502242197E-4</v>
      </c>
    </row>
    <row r="18" spans="1:24">
      <c r="A18" s="18" t="s">
        <v>26</v>
      </c>
      <c r="B18" s="18">
        <v>1182</v>
      </c>
      <c r="C18" s="18" t="s">
        <v>1897</v>
      </c>
      <c r="D18" s="18" t="s">
        <v>1898</v>
      </c>
      <c r="E18" s="18" t="s">
        <v>1376</v>
      </c>
      <c r="F18" s="18" t="s">
        <v>1899</v>
      </c>
      <c r="G18" s="18" t="s">
        <v>1900</v>
      </c>
      <c r="H18" s="18" t="s">
        <v>367</v>
      </c>
      <c r="I18" s="18" t="s">
        <v>975</v>
      </c>
      <c r="J18" s="18" t="s">
        <v>31</v>
      </c>
      <c r="K18" s="18" t="s">
        <v>31</v>
      </c>
      <c r="L18" s="20" t="s">
        <v>373</v>
      </c>
      <c r="M18" s="18" t="s">
        <v>32</v>
      </c>
      <c r="N18" s="20" t="s">
        <v>491</v>
      </c>
      <c r="O18" s="20" t="s">
        <v>164</v>
      </c>
      <c r="P18" s="18" t="s">
        <v>35</v>
      </c>
      <c r="Q18" s="154">
        <v>52079</v>
      </c>
      <c r="R18" s="154">
        <v>1</v>
      </c>
      <c r="S18" s="154">
        <v>1909</v>
      </c>
      <c r="T18" s="20"/>
      <c r="U18" s="154">
        <v>994.18799999999999</v>
      </c>
      <c r="V18" s="154">
        <v>4.1999999999999998E-5</v>
      </c>
      <c r="W18" s="169">
        <v>2.4437428454018102E-2</v>
      </c>
      <c r="X18" s="169">
        <v>2.5156436592072401E-3</v>
      </c>
    </row>
    <row r="19" spans="1:24">
      <c r="A19" s="18" t="s">
        <v>26</v>
      </c>
      <c r="B19" s="18">
        <v>1182</v>
      </c>
      <c r="C19" s="18" t="s">
        <v>1901</v>
      </c>
      <c r="D19" s="18" t="s">
        <v>1902</v>
      </c>
      <c r="E19" s="18" t="s">
        <v>1376</v>
      </c>
      <c r="F19" s="18" t="s">
        <v>1903</v>
      </c>
      <c r="G19" s="18" t="s">
        <v>1904</v>
      </c>
      <c r="H19" s="18" t="s">
        <v>367</v>
      </c>
      <c r="I19" s="18" t="s">
        <v>975</v>
      </c>
      <c r="J19" s="18" t="s">
        <v>31</v>
      </c>
      <c r="K19" s="18" t="s">
        <v>31</v>
      </c>
      <c r="L19" s="20" t="s">
        <v>373</v>
      </c>
      <c r="M19" s="18" t="s">
        <v>32</v>
      </c>
      <c r="N19" s="20" t="s">
        <v>480</v>
      </c>
      <c r="O19" s="20" t="s">
        <v>164</v>
      </c>
      <c r="P19" s="18" t="s">
        <v>35</v>
      </c>
      <c r="Q19" s="154">
        <v>4338</v>
      </c>
      <c r="R19" s="154">
        <v>1</v>
      </c>
      <c r="S19" s="154">
        <v>15700</v>
      </c>
      <c r="T19" s="20"/>
      <c r="U19" s="154">
        <v>681.06600000000003</v>
      </c>
      <c r="V19" s="154">
        <v>1.6899999999999999E-4</v>
      </c>
      <c r="W19" s="169">
        <v>1.67407973200005E-2</v>
      </c>
      <c r="X19" s="169">
        <v>1.7233351990114201E-3</v>
      </c>
    </row>
    <row r="20" spans="1:24">
      <c r="A20" s="4" t="s">
        <v>26</v>
      </c>
      <c r="B20" s="4">
        <v>1182</v>
      </c>
      <c r="C20" s="4" t="s">
        <v>1905</v>
      </c>
      <c r="D20" s="4" t="s">
        <v>1906</v>
      </c>
      <c r="E20" s="18" t="s">
        <v>1376</v>
      </c>
      <c r="F20" s="4" t="s">
        <v>1907</v>
      </c>
      <c r="G20" s="4" t="s">
        <v>1908</v>
      </c>
      <c r="H20" s="18" t="s">
        <v>367</v>
      </c>
      <c r="I20" s="4" t="s">
        <v>975</v>
      </c>
      <c r="J20" s="4" t="s">
        <v>31</v>
      </c>
      <c r="K20" s="18" t="s">
        <v>31</v>
      </c>
      <c r="L20" s="20" t="s">
        <v>373</v>
      </c>
      <c r="M20" s="18" t="s">
        <v>32</v>
      </c>
      <c r="N20" s="20" t="s">
        <v>488</v>
      </c>
      <c r="O20" s="4" t="s">
        <v>164</v>
      </c>
      <c r="P20" s="4" t="s">
        <v>35</v>
      </c>
      <c r="Q20" s="152">
        <v>15658</v>
      </c>
      <c r="R20" s="152">
        <v>1</v>
      </c>
      <c r="S20" s="152">
        <v>3419</v>
      </c>
      <c r="U20" s="152">
        <v>535.34699999999998</v>
      </c>
      <c r="V20" s="152">
        <v>6.0000000000000002E-5</v>
      </c>
      <c r="W20" s="166">
        <v>1.3158983061386499E-2</v>
      </c>
      <c r="X20" s="166">
        <v>1.35461521093678E-3</v>
      </c>
    </row>
    <row r="21" spans="1:24">
      <c r="A21" s="4" t="s">
        <v>26</v>
      </c>
      <c r="B21" s="4">
        <v>1182</v>
      </c>
      <c r="C21" s="4" t="s">
        <v>1909</v>
      </c>
      <c r="D21" s="4" t="s">
        <v>1910</v>
      </c>
      <c r="E21" s="4" t="s">
        <v>1376</v>
      </c>
      <c r="F21" s="4" t="s">
        <v>1911</v>
      </c>
      <c r="G21" s="4" t="s">
        <v>1912</v>
      </c>
      <c r="H21" s="4" t="s">
        <v>367</v>
      </c>
      <c r="I21" s="4" t="s">
        <v>975</v>
      </c>
      <c r="J21" s="4" t="s">
        <v>31</v>
      </c>
      <c r="K21" s="4" t="s">
        <v>31</v>
      </c>
      <c r="L21" s="2" t="s">
        <v>373</v>
      </c>
      <c r="M21" s="4" t="s">
        <v>32</v>
      </c>
      <c r="N21" s="20" t="s">
        <v>488</v>
      </c>
      <c r="O21" s="4" t="s">
        <v>164</v>
      </c>
      <c r="P21" s="4" t="s">
        <v>35</v>
      </c>
      <c r="Q21" s="152">
        <v>18818</v>
      </c>
      <c r="R21" s="152">
        <v>1</v>
      </c>
      <c r="S21" s="152">
        <v>2997</v>
      </c>
      <c r="U21" s="152">
        <v>563.97500000000002</v>
      </c>
      <c r="V21" s="152">
        <v>9.0000000000000006E-5</v>
      </c>
      <c r="W21" s="166">
        <v>1.38626783150444E-2</v>
      </c>
      <c r="X21" s="166">
        <v>1.42705517761371E-3</v>
      </c>
    </row>
    <row r="22" spans="1:24">
      <c r="A22" s="4" t="s">
        <v>26</v>
      </c>
      <c r="B22" s="4">
        <v>1182</v>
      </c>
      <c r="C22" s="4" t="s">
        <v>1913</v>
      </c>
      <c r="D22" s="4" t="s">
        <v>1914</v>
      </c>
      <c r="E22" s="4" t="s">
        <v>1376</v>
      </c>
      <c r="F22" s="4" t="s">
        <v>1915</v>
      </c>
      <c r="G22" s="4" t="s">
        <v>1916</v>
      </c>
      <c r="H22" s="4" t="s">
        <v>367</v>
      </c>
      <c r="I22" s="4" t="s">
        <v>975</v>
      </c>
      <c r="J22" s="4" t="s">
        <v>31</v>
      </c>
      <c r="K22" s="4" t="s">
        <v>31</v>
      </c>
      <c r="L22" s="2" t="s">
        <v>373</v>
      </c>
      <c r="M22" s="4" t="s">
        <v>32</v>
      </c>
      <c r="N22" s="4" t="s">
        <v>494</v>
      </c>
      <c r="O22" s="4" t="s">
        <v>164</v>
      </c>
      <c r="P22" s="4" t="s">
        <v>35</v>
      </c>
      <c r="Q22" s="152">
        <v>190</v>
      </c>
      <c r="R22" s="152">
        <v>1</v>
      </c>
      <c r="S22" s="152">
        <v>83740</v>
      </c>
      <c r="U22" s="152">
        <v>159.10599999999999</v>
      </c>
      <c r="V22" s="152">
        <v>2.5000000000000001E-5</v>
      </c>
      <c r="W22" s="166">
        <v>3.9108710439164397E-3</v>
      </c>
      <c r="X22" s="166">
        <v>4.0259383110287502E-4</v>
      </c>
    </row>
    <row r="23" spans="1:24">
      <c r="A23" s="4" t="s">
        <v>26</v>
      </c>
      <c r="B23" s="4">
        <v>1182</v>
      </c>
      <c r="C23" s="4" t="s">
        <v>1917</v>
      </c>
      <c r="D23" s="4" t="s">
        <v>1918</v>
      </c>
      <c r="E23" s="4" t="s">
        <v>1376</v>
      </c>
      <c r="F23" s="4" t="s">
        <v>1919</v>
      </c>
      <c r="G23" s="4" t="s">
        <v>1920</v>
      </c>
      <c r="H23" s="4" t="s">
        <v>367</v>
      </c>
      <c r="I23" s="4" t="s">
        <v>975</v>
      </c>
      <c r="J23" s="4" t="s">
        <v>31</v>
      </c>
      <c r="K23" s="4" t="s">
        <v>31</v>
      </c>
      <c r="L23" s="2" t="s">
        <v>373</v>
      </c>
      <c r="M23" s="2" t="s">
        <v>32</v>
      </c>
      <c r="N23" s="4" t="s">
        <v>520</v>
      </c>
      <c r="O23" s="4" t="s">
        <v>164</v>
      </c>
      <c r="P23" s="4" t="s">
        <v>35</v>
      </c>
      <c r="Q23" s="152">
        <v>1406</v>
      </c>
      <c r="R23" s="152">
        <v>1</v>
      </c>
      <c r="S23" s="152">
        <v>19600</v>
      </c>
      <c r="U23" s="152">
        <v>275.57600000000002</v>
      </c>
      <c r="V23" s="152">
        <v>6.0000000000000002E-5</v>
      </c>
      <c r="W23" s="166">
        <v>6.7737369979656101E-3</v>
      </c>
      <c r="X23" s="166">
        <v>6.9730366925198199E-4</v>
      </c>
    </row>
    <row r="24" spans="1:24">
      <c r="A24" s="4" t="s">
        <v>26</v>
      </c>
      <c r="B24" s="4">
        <v>1182</v>
      </c>
      <c r="C24" s="4" t="s">
        <v>1921</v>
      </c>
      <c r="D24" s="4" t="s">
        <v>1922</v>
      </c>
      <c r="E24" s="4" t="s">
        <v>1376</v>
      </c>
      <c r="F24" s="4" t="s">
        <v>1923</v>
      </c>
      <c r="G24" s="4" t="s">
        <v>1924</v>
      </c>
      <c r="H24" s="4" t="s">
        <v>367</v>
      </c>
      <c r="I24" s="4" t="s">
        <v>975</v>
      </c>
      <c r="J24" s="4" t="s">
        <v>31</v>
      </c>
      <c r="K24" s="4" t="s">
        <v>31</v>
      </c>
      <c r="L24" s="2" t="s">
        <v>373</v>
      </c>
      <c r="M24" s="2" t="s">
        <v>32</v>
      </c>
      <c r="N24" s="4" t="s">
        <v>528</v>
      </c>
      <c r="O24" s="4" t="s">
        <v>164</v>
      </c>
      <c r="P24" s="4" t="s">
        <v>35</v>
      </c>
      <c r="Q24" s="152">
        <v>15254</v>
      </c>
      <c r="R24" s="152">
        <v>1</v>
      </c>
      <c r="S24" s="152">
        <v>39.1</v>
      </c>
      <c r="U24" s="152">
        <v>5.9640000000000004</v>
      </c>
      <c r="V24" s="152">
        <v>4.8099999999999998E-4</v>
      </c>
      <c r="W24" s="166">
        <v>1.4660454614801101E-4</v>
      </c>
      <c r="X24" s="166">
        <v>1.50918005804967E-5</v>
      </c>
    </row>
    <row r="25" spans="1:24">
      <c r="A25" s="4" t="s">
        <v>26</v>
      </c>
      <c r="B25" s="4">
        <v>1182</v>
      </c>
      <c r="C25" s="4" t="s">
        <v>1925</v>
      </c>
      <c r="D25" s="4" t="s">
        <v>1926</v>
      </c>
      <c r="E25" s="4" t="s">
        <v>1376</v>
      </c>
      <c r="F25" s="4" t="s">
        <v>1927</v>
      </c>
      <c r="G25" s="4" t="s">
        <v>1928</v>
      </c>
      <c r="H25" s="4" t="s">
        <v>367</v>
      </c>
      <c r="I25" s="4" t="s">
        <v>975</v>
      </c>
      <c r="J25" s="4" t="s">
        <v>31</v>
      </c>
      <c r="K25" s="4" t="s">
        <v>345</v>
      </c>
      <c r="L25" s="2" t="s">
        <v>373</v>
      </c>
      <c r="M25" s="2" t="s">
        <v>32</v>
      </c>
      <c r="N25" s="4" t="s">
        <v>501</v>
      </c>
      <c r="O25" s="4" t="s">
        <v>164</v>
      </c>
      <c r="P25" s="4" t="s">
        <v>35</v>
      </c>
      <c r="Q25" s="152">
        <v>2951</v>
      </c>
      <c r="R25" s="152">
        <v>1</v>
      </c>
      <c r="S25" s="152">
        <v>14820</v>
      </c>
      <c r="U25" s="152">
        <v>437.33800000000002</v>
      </c>
      <c r="V25" s="152">
        <v>2.6999999999999999E-5</v>
      </c>
      <c r="W25" s="166">
        <v>1.07498981985502E-2</v>
      </c>
      <c r="X25" s="166">
        <v>1.1066186154239E-3</v>
      </c>
    </row>
    <row r="26" spans="1:24">
      <c r="A26" s="4" t="s">
        <v>26</v>
      </c>
      <c r="B26" s="4">
        <v>1182</v>
      </c>
      <c r="C26" s="4" t="s">
        <v>1929</v>
      </c>
      <c r="D26" s="4" t="s">
        <v>1930</v>
      </c>
      <c r="E26" s="4" t="s">
        <v>1376</v>
      </c>
      <c r="F26" s="4" t="s">
        <v>1931</v>
      </c>
      <c r="G26" s="4" t="s">
        <v>1932</v>
      </c>
      <c r="H26" s="4" t="s">
        <v>367</v>
      </c>
      <c r="I26" s="4" t="s">
        <v>975</v>
      </c>
      <c r="J26" s="4" t="s">
        <v>31</v>
      </c>
      <c r="K26" s="4" t="s">
        <v>95</v>
      </c>
      <c r="L26" s="2" t="s">
        <v>373</v>
      </c>
      <c r="M26" s="2" t="s">
        <v>32</v>
      </c>
      <c r="N26" s="4" t="s">
        <v>510</v>
      </c>
      <c r="O26" s="4" t="s">
        <v>164</v>
      </c>
      <c r="P26" s="4" t="s">
        <v>35</v>
      </c>
      <c r="Q26" s="152">
        <v>15903</v>
      </c>
      <c r="R26" s="152">
        <v>1</v>
      </c>
      <c r="S26" s="152">
        <v>6120</v>
      </c>
      <c r="U26" s="152">
        <v>973.26400000000001</v>
      </c>
      <c r="V26" s="152">
        <v>1.4E-5</v>
      </c>
      <c r="W26" s="166">
        <v>2.3923098005969999E-2</v>
      </c>
      <c r="X26" s="166">
        <v>2.4626973300628302E-3</v>
      </c>
    </row>
    <row r="27" spans="1:24">
      <c r="A27" s="4" t="s">
        <v>26</v>
      </c>
      <c r="B27" s="4">
        <v>1182</v>
      </c>
      <c r="C27" s="4" t="s">
        <v>1933</v>
      </c>
      <c r="D27" s="4" t="s">
        <v>1934</v>
      </c>
      <c r="E27" s="4" t="s">
        <v>1376</v>
      </c>
      <c r="F27" s="4" t="s">
        <v>1935</v>
      </c>
      <c r="G27" s="4" t="s">
        <v>1936</v>
      </c>
      <c r="H27" s="4" t="s">
        <v>367</v>
      </c>
      <c r="I27" s="4" t="s">
        <v>975</v>
      </c>
      <c r="J27" s="4" t="s">
        <v>31</v>
      </c>
      <c r="K27" s="4" t="s">
        <v>31</v>
      </c>
      <c r="L27" s="2" t="s">
        <v>373</v>
      </c>
      <c r="M27" s="2" t="s">
        <v>32</v>
      </c>
      <c r="N27" s="4" t="s">
        <v>519</v>
      </c>
      <c r="O27" s="4" t="s">
        <v>164</v>
      </c>
      <c r="P27" s="4" t="s">
        <v>35</v>
      </c>
      <c r="Q27" s="152">
        <v>57152</v>
      </c>
      <c r="R27" s="152">
        <v>1</v>
      </c>
      <c r="S27" s="152">
        <v>488.5</v>
      </c>
      <c r="U27" s="152">
        <v>279.18799999999999</v>
      </c>
      <c r="V27" s="152">
        <v>5.3700000000000004E-4</v>
      </c>
      <c r="W27" s="166">
        <v>6.8625091938131896E-3</v>
      </c>
      <c r="X27" s="166">
        <v>7.0644207806689003E-4</v>
      </c>
    </row>
    <row r="28" spans="1:24">
      <c r="A28" s="4" t="s">
        <v>26</v>
      </c>
      <c r="B28" s="4">
        <v>1182</v>
      </c>
      <c r="C28" s="4" t="s">
        <v>1937</v>
      </c>
      <c r="D28" s="4" t="s">
        <v>1938</v>
      </c>
      <c r="E28" s="4" t="s">
        <v>1376</v>
      </c>
      <c r="F28" s="4" t="s">
        <v>1939</v>
      </c>
      <c r="G28" s="4" t="s">
        <v>1940</v>
      </c>
      <c r="H28" s="4" t="s">
        <v>367</v>
      </c>
      <c r="I28" s="4" t="s">
        <v>975</v>
      </c>
      <c r="J28" s="4" t="s">
        <v>31</v>
      </c>
      <c r="K28" s="4" t="s">
        <v>31</v>
      </c>
      <c r="L28" s="2" t="s">
        <v>373</v>
      </c>
      <c r="M28" s="2" t="s">
        <v>32</v>
      </c>
      <c r="N28" s="4" t="s">
        <v>522</v>
      </c>
      <c r="O28" s="4" t="s">
        <v>164</v>
      </c>
      <c r="P28" s="4" t="s">
        <v>35</v>
      </c>
      <c r="Q28" s="152">
        <v>99758</v>
      </c>
      <c r="R28" s="152">
        <v>1</v>
      </c>
      <c r="S28" s="152">
        <v>1257</v>
      </c>
      <c r="U28" s="152">
        <v>1253.9580000000001</v>
      </c>
      <c r="V28" s="152">
        <v>4.9799999999999996E-4</v>
      </c>
      <c r="W28" s="166">
        <v>3.0822648216532599E-2</v>
      </c>
      <c r="X28" s="166">
        <v>3.1729524934177799E-3</v>
      </c>
    </row>
    <row r="29" spans="1:24">
      <c r="A29" s="4" t="s">
        <v>26</v>
      </c>
      <c r="B29" s="4">
        <v>1182</v>
      </c>
      <c r="C29" s="4" t="s">
        <v>1941</v>
      </c>
      <c r="D29" s="4" t="s">
        <v>1942</v>
      </c>
      <c r="E29" s="4" t="s">
        <v>1376</v>
      </c>
      <c r="F29" s="4" t="s">
        <v>1943</v>
      </c>
      <c r="G29" s="4" t="s">
        <v>1944</v>
      </c>
      <c r="H29" s="4" t="s">
        <v>367</v>
      </c>
      <c r="I29" s="4" t="s">
        <v>975</v>
      </c>
      <c r="J29" s="4" t="s">
        <v>31</v>
      </c>
      <c r="K29" s="4" t="s">
        <v>31</v>
      </c>
      <c r="L29" s="2" t="s">
        <v>373</v>
      </c>
      <c r="M29" s="2" t="s">
        <v>32</v>
      </c>
      <c r="N29" s="4" t="s">
        <v>488</v>
      </c>
      <c r="O29" s="4" t="s">
        <v>164</v>
      </c>
      <c r="P29" s="4" t="s">
        <v>35</v>
      </c>
      <c r="Q29" s="152">
        <v>11533</v>
      </c>
      <c r="R29" s="152">
        <v>1</v>
      </c>
      <c r="S29" s="152">
        <v>5291</v>
      </c>
      <c r="U29" s="152">
        <v>610.21100000000001</v>
      </c>
      <c r="V29" s="152">
        <v>1.46E-4</v>
      </c>
      <c r="W29" s="166">
        <v>1.49991618663371E-2</v>
      </c>
      <c r="X29" s="166">
        <v>1.5440473417025801E-3</v>
      </c>
    </row>
    <row r="30" spans="1:24">
      <c r="A30" s="4" t="s">
        <v>26</v>
      </c>
      <c r="B30" s="4">
        <v>1182</v>
      </c>
      <c r="C30" s="4" t="s">
        <v>1222</v>
      </c>
      <c r="D30" s="4" t="s">
        <v>1945</v>
      </c>
      <c r="E30" s="4" t="s">
        <v>1376</v>
      </c>
      <c r="F30" s="4" t="s">
        <v>1946</v>
      </c>
      <c r="G30" s="4" t="s">
        <v>1947</v>
      </c>
      <c r="H30" s="4" t="s">
        <v>367</v>
      </c>
      <c r="I30" s="4" t="s">
        <v>975</v>
      </c>
      <c r="J30" s="4" t="s">
        <v>31</v>
      </c>
      <c r="K30" s="4" t="s">
        <v>31</v>
      </c>
      <c r="L30" s="2" t="s">
        <v>373</v>
      </c>
      <c r="M30" s="2" t="s">
        <v>32</v>
      </c>
      <c r="N30" s="4" t="s">
        <v>491</v>
      </c>
      <c r="O30" s="4" t="s">
        <v>164</v>
      </c>
      <c r="P30" s="4" t="s">
        <v>35</v>
      </c>
      <c r="Q30" s="152">
        <v>66405</v>
      </c>
      <c r="R30" s="152">
        <v>1</v>
      </c>
      <c r="S30" s="152">
        <v>3110</v>
      </c>
      <c r="U30" s="152">
        <v>2065.1950000000002</v>
      </c>
      <c r="V30" s="152">
        <v>4.1E-5</v>
      </c>
      <c r="W30" s="166">
        <v>5.0763096809526502E-2</v>
      </c>
      <c r="X30" s="166">
        <v>5.2256669661824001E-3</v>
      </c>
    </row>
    <row r="31" spans="1:24">
      <c r="A31" s="4" t="s">
        <v>26</v>
      </c>
      <c r="B31" s="4">
        <v>1182</v>
      </c>
      <c r="C31" s="4" t="s">
        <v>1948</v>
      </c>
      <c r="D31" s="4" t="s">
        <v>1949</v>
      </c>
      <c r="E31" s="4" t="s">
        <v>1376</v>
      </c>
      <c r="F31" s="4" t="s">
        <v>1950</v>
      </c>
      <c r="G31" s="4" t="s">
        <v>1951</v>
      </c>
      <c r="H31" s="4" t="s">
        <v>367</v>
      </c>
      <c r="I31" s="4" t="s">
        <v>975</v>
      </c>
      <c r="J31" s="4" t="s">
        <v>31</v>
      </c>
      <c r="K31" s="4" t="s">
        <v>31</v>
      </c>
      <c r="L31" s="2" t="s">
        <v>373</v>
      </c>
      <c r="M31" s="2" t="s">
        <v>32</v>
      </c>
      <c r="N31" s="4" t="s">
        <v>507</v>
      </c>
      <c r="O31" s="4" t="s">
        <v>164</v>
      </c>
      <c r="P31" s="4" t="s">
        <v>35</v>
      </c>
      <c r="Q31" s="152">
        <v>12893</v>
      </c>
      <c r="R31" s="152">
        <v>1</v>
      </c>
      <c r="S31" s="152">
        <v>729.3</v>
      </c>
      <c r="U31" s="152">
        <v>94.028999999999996</v>
      </c>
      <c r="V31" s="152">
        <v>8.6000000000000003E-5</v>
      </c>
      <c r="W31" s="166">
        <v>2.3112511198363499E-3</v>
      </c>
      <c r="X31" s="166">
        <v>2.3792537072352699E-4</v>
      </c>
    </row>
    <row r="32" spans="1:24">
      <c r="A32" s="4" t="s">
        <v>26</v>
      </c>
      <c r="B32" s="4">
        <v>1182</v>
      </c>
      <c r="C32" s="4" t="s">
        <v>1952</v>
      </c>
      <c r="D32" s="4" t="s">
        <v>1953</v>
      </c>
      <c r="E32" s="4" t="s">
        <v>1376</v>
      </c>
      <c r="F32" s="4" t="s">
        <v>1954</v>
      </c>
      <c r="G32" s="4" t="s">
        <v>1955</v>
      </c>
      <c r="H32" s="4" t="s">
        <v>367</v>
      </c>
      <c r="I32" s="4" t="s">
        <v>975</v>
      </c>
      <c r="J32" s="4" t="s">
        <v>31</v>
      </c>
      <c r="K32" s="4" t="s">
        <v>31</v>
      </c>
      <c r="L32" s="2" t="s">
        <v>373</v>
      </c>
      <c r="M32" s="2" t="s">
        <v>32</v>
      </c>
      <c r="N32" s="4" t="s">
        <v>502</v>
      </c>
      <c r="O32" s="4" t="s">
        <v>164</v>
      </c>
      <c r="P32" s="4" t="s">
        <v>35</v>
      </c>
      <c r="Q32" s="152">
        <v>1860</v>
      </c>
      <c r="R32" s="152">
        <v>1</v>
      </c>
      <c r="S32" s="152">
        <v>14490</v>
      </c>
      <c r="U32" s="152">
        <v>269.51400000000001</v>
      </c>
      <c r="V32" s="152">
        <v>5.5900000000000004E-4</v>
      </c>
      <c r="W32" s="166">
        <v>6.6247313019628098E-3</v>
      </c>
      <c r="X32" s="166">
        <v>6.8196468892348604E-4</v>
      </c>
    </row>
    <row r="33" spans="1:24">
      <c r="A33" s="4" t="s">
        <v>26</v>
      </c>
      <c r="B33" s="4">
        <v>1182</v>
      </c>
      <c r="C33" s="4" t="s">
        <v>1956</v>
      </c>
      <c r="D33" s="4" t="s">
        <v>1957</v>
      </c>
      <c r="E33" s="4" t="s">
        <v>1376</v>
      </c>
      <c r="F33" s="4" t="s">
        <v>1958</v>
      </c>
      <c r="G33" s="4" t="s">
        <v>1959</v>
      </c>
      <c r="H33" s="4" t="s">
        <v>367</v>
      </c>
      <c r="I33" s="4" t="s">
        <v>975</v>
      </c>
      <c r="J33" s="4" t="s">
        <v>31</v>
      </c>
      <c r="K33" s="4" t="s">
        <v>31</v>
      </c>
      <c r="L33" s="2" t="s">
        <v>373</v>
      </c>
      <c r="M33" s="2" t="s">
        <v>32</v>
      </c>
      <c r="N33" s="4" t="s">
        <v>520</v>
      </c>
      <c r="O33" s="4" t="s">
        <v>164</v>
      </c>
      <c r="P33" s="4" t="s">
        <v>35</v>
      </c>
      <c r="Q33" s="152">
        <v>3508</v>
      </c>
      <c r="R33" s="152">
        <v>1</v>
      </c>
      <c r="S33" s="152">
        <v>6901</v>
      </c>
      <c r="T33" s="150">
        <v>2.8410000000000002</v>
      </c>
      <c r="U33" s="152">
        <v>244.929</v>
      </c>
      <c r="V33" s="152">
        <v>5.5000000000000002E-5</v>
      </c>
      <c r="W33" s="166">
        <v>6.0204141461173699E-3</v>
      </c>
      <c r="X33" s="166">
        <v>6.19754926381848E-4</v>
      </c>
    </row>
    <row r="34" spans="1:24">
      <c r="A34" s="4" t="s">
        <v>26</v>
      </c>
      <c r="B34" s="4">
        <v>1182</v>
      </c>
      <c r="C34" s="4" t="s">
        <v>1960</v>
      </c>
      <c r="D34" s="4" t="s">
        <v>1961</v>
      </c>
      <c r="E34" s="4" t="s">
        <v>1376</v>
      </c>
      <c r="F34" s="4" t="s">
        <v>1962</v>
      </c>
      <c r="G34" s="4" t="s">
        <v>1963</v>
      </c>
      <c r="H34" s="4" t="s">
        <v>367</v>
      </c>
      <c r="I34" s="4" t="s">
        <v>975</v>
      </c>
      <c r="J34" s="4" t="s">
        <v>31</v>
      </c>
      <c r="K34" s="4" t="s">
        <v>31</v>
      </c>
      <c r="L34" s="2" t="s">
        <v>373</v>
      </c>
      <c r="M34" s="2" t="s">
        <v>32</v>
      </c>
      <c r="N34" s="4" t="s">
        <v>507</v>
      </c>
      <c r="O34" s="4" t="s">
        <v>164</v>
      </c>
      <c r="P34" s="4" t="s">
        <v>35</v>
      </c>
      <c r="Q34" s="152">
        <v>898.75</v>
      </c>
      <c r="R34" s="152">
        <v>1</v>
      </c>
      <c r="S34" s="152">
        <v>24710</v>
      </c>
      <c r="U34" s="152">
        <v>222.08099999999999</v>
      </c>
      <c r="V34" s="152">
        <v>1.9000000000000001E-5</v>
      </c>
      <c r="W34" s="166">
        <v>5.4588176508924002E-3</v>
      </c>
      <c r="X34" s="166">
        <v>5.6194292439874305E-4</v>
      </c>
    </row>
    <row r="35" spans="1:24">
      <c r="A35" s="4" t="s">
        <v>26</v>
      </c>
      <c r="B35" s="4">
        <v>1182</v>
      </c>
      <c r="C35" s="4" t="s">
        <v>1964</v>
      </c>
      <c r="D35" s="4" t="s">
        <v>1965</v>
      </c>
      <c r="E35" s="4" t="s">
        <v>1376</v>
      </c>
      <c r="F35" s="4" t="s">
        <v>1966</v>
      </c>
      <c r="G35" s="4" t="s">
        <v>1967</v>
      </c>
      <c r="H35" s="4" t="s">
        <v>367</v>
      </c>
      <c r="I35" s="4" t="s">
        <v>975</v>
      </c>
      <c r="J35" s="4" t="s">
        <v>31</v>
      </c>
      <c r="K35" s="4" t="s">
        <v>31</v>
      </c>
      <c r="L35" s="2" t="s">
        <v>373</v>
      </c>
      <c r="M35" s="2" t="s">
        <v>32</v>
      </c>
      <c r="N35" s="4" t="s">
        <v>488</v>
      </c>
      <c r="O35" s="4" t="s">
        <v>164</v>
      </c>
      <c r="P35" s="4" t="s">
        <v>35</v>
      </c>
      <c r="Q35" s="152">
        <v>8659</v>
      </c>
      <c r="R35" s="152">
        <v>1</v>
      </c>
      <c r="S35" s="152">
        <v>8960</v>
      </c>
      <c r="U35" s="152">
        <v>775.846</v>
      </c>
      <c r="V35" s="152">
        <v>1.3999999999999999E-4</v>
      </c>
      <c r="W35" s="166">
        <v>1.9070526694699198E-2</v>
      </c>
      <c r="X35" s="166">
        <v>1.96316276270771E-3</v>
      </c>
    </row>
    <row r="36" spans="1:24">
      <c r="A36" s="4" t="s">
        <v>26</v>
      </c>
      <c r="B36" s="4">
        <v>1182</v>
      </c>
      <c r="C36" s="4" t="s">
        <v>1968</v>
      </c>
      <c r="D36" s="4" t="s">
        <v>1518</v>
      </c>
      <c r="E36" s="4" t="s">
        <v>1376</v>
      </c>
      <c r="F36" s="4" t="s">
        <v>1969</v>
      </c>
      <c r="G36" s="4" t="s">
        <v>1970</v>
      </c>
      <c r="H36" s="4" t="s">
        <v>367</v>
      </c>
      <c r="I36" s="4" t="s">
        <v>975</v>
      </c>
      <c r="J36" s="4" t="s">
        <v>31</v>
      </c>
      <c r="K36" s="4" t="s">
        <v>31</v>
      </c>
      <c r="L36" s="2" t="s">
        <v>373</v>
      </c>
      <c r="M36" s="2" t="s">
        <v>32</v>
      </c>
      <c r="N36" s="4" t="s">
        <v>486</v>
      </c>
      <c r="O36" s="4" t="s">
        <v>164</v>
      </c>
      <c r="P36" s="4" t="s">
        <v>35</v>
      </c>
      <c r="Q36" s="152">
        <v>60804</v>
      </c>
      <c r="R36" s="152">
        <v>1</v>
      </c>
      <c r="S36" s="152">
        <v>1058</v>
      </c>
      <c r="U36" s="152">
        <v>643.30600000000004</v>
      </c>
      <c r="V36" s="152">
        <v>1.005E-3</v>
      </c>
      <c r="W36" s="166">
        <v>1.5812653572187401E-2</v>
      </c>
      <c r="X36" s="166">
        <v>1.6277900012664E-3</v>
      </c>
    </row>
    <row r="37" spans="1:24">
      <c r="A37" s="4" t="s">
        <v>26</v>
      </c>
      <c r="B37" s="4">
        <v>1182</v>
      </c>
      <c r="C37" s="4" t="s">
        <v>1971</v>
      </c>
      <c r="D37" s="4" t="s">
        <v>1972</v>
      </c>
      <c r="E37" s="4" t="s">
        <v>1376</v>
      </c>
      <c r="F37" s="4" t="s">
        <v>1973</v>
      </c>
      <c r="G37" s="4" t="s">
        <v>1974</v>
      </c>
      <c r="H37" s="4" t="s">
        <v>367</v>
      </c>
      <c r="I37" s="4" t="s">
        <v>975</v>
      </c>
      <c r="J37" s="4" t="s">
        <v>31</v>
      </c>
      <c r="K37" s="4" t="s">
        <v>31</v>
      </c>
      <c r="L37" s="2" t="s">
        <v>373</v>
      </c>
      <c r="M37" s="2" t="s">
        <v>32</v>
      </c>
      <c r="N37" s="4" t="s">
        <v>519</v>
      </c>
      <c r="O37" s="4" t="s">
        <v>164</v>
      </c>
      <c r="P37" s="4" t="s">
        <v>35</v>
      </c>
      <c r="Q37" s="152">
        <v>47143</v>
      </c>
      <c r="R37" s="152">
        <v>1</v>
      </c>
      <c r="S37" s="152">
        <v>871.5</v>
      </c>
      <c r="U37" s="152">
        <v>410.851</v>
      </c>
      <c r="V37" s="152">
        <v>3.39E-4</v>
      </c>
      <c r="W37" s="166">
        <v>1.00988412594592E-2</v>
      </c>
      <c r="X37" s="166">
        <v>1.03959735483222E-3</v>
      </c>
    </row>
    <row r="38" spans="1:24">
      <c r="A38" s="4" t="s">
        <v>26</v>
      </c>
      <c r="B38" s="4">
        <v>1182</v>
      </c>
      <c r="C38" s="4" t="s">
        <v>1975</v>
      </c>
      <c r="D38" s="4" t="s">
        <v>1976</v>
      </c>
      <c r="E38" s="4" t="s">
        <v>1376</v>
      </c>
      <c r="F38" s="4" t="s">
        <v>1977</v>
      </c>
      <c r="G38" s="4" t="s">
        <v>1978</v>
      </c>
      <c r="H38" s="4" t="s">
        <v>367</v>
      </c>
      <c r="I38" s="4" t="s">
        <v>975</v>
      </c>
      <c r="J38" s="4" t="s">
        <v>31</v>
      </c>
      <c r="K38" s="4" t="s">
        <v>31</v>
      </c>
      <c r="L38" s="2" t="s">
        <v>373</v>
      </c>
      <c r="M38" s="2" t="s">
        <v>32</v>
      </c>
      <c r="N38" s="4" t="s">
        <v>497</v>
      </c>
      <c r="O38" s="4" t="s">
        <v>164</v>
      </c>
      <c r="P38" s="4" t="s">
        <v>35</v>
      </c>
      <c r="Q38" s="152">
        <v>21816.21</v>
      </c>
      <c r="R38" s="152">
        <v>1</v>
      </c>
      <c r="S38" s="152">
        <v>895.6</v>
      </c>
      <c r="U38" s="152">
        <v>195.386</v>
      </c>
      <c r="V38" s="152">
        <v>1.9000000000000001E-5</v>
      </c>
      <c r="W38" s="166">
        <v>4.8026432623409204E-3</v>
      </c>
      <c r="X38" s="166">
        <v>4.9439486208933503E-4</v>
      </c>
    </row>
    <row r="39" spans="1:24">
      <c r="A39" s="4" t="s">
        <v>26</v>
      </c>
      <c r="B39" s="4">
        <v>1182</v>
      </c>
      <c r="C39" s="4" t="s">
        <v>1979</v>
      </c>
      <c r="D39" s="4" t="s">
        <v>1980</v>
      </c>
      <c r="E39" s="4" t="s">
        <v>1376</v>
      </c>
      <c r="F39" s="4" t="s">
        <v>1981</v>
      </c>
      <c r="G39" s="4" t="s">
        <v>1982</v>
      </c>
      <c r="H39" s="4" t="s">
        <v>367</v>
      </c>
      <c r="I39" s="4" t="s">
        <v>975</v>
      </c>
      <c r="J39" s="4" t="s">
        <v>31</v>
      </c>
      <c r="K39" s="4" t="s">
        <v>95</v>
      </c>
      <c r="L39" s="2" t="s">
        <v>373</v>
      </c>
      <c r="M39" s="2" t="s">
        <v>32</v>
      </c>
      <c r="N39" s="4" t="s">
        <v>524</v>
      </c>
      <c r="O39" s="4" t="s">
        <v>164</v>
      </c>
      <c r="P39" s="4" t="s">
        <v>35</v>
      </c>
      <c r="Q39" s="152">
        <v>1388</v>
      </c>
      <c r="R39" s="152">
        <v>1</v>
      </c>
      <c r="S39" s="152">
        <v>64400</v>
      </c>
      <c r="U39" s="152">
        <v>893.87199999999996</v>
      </c>
      <c r="V39" s="152">
        <v>2.1999999999999999E-5</v>
      </c>
      <c r="W39" s="166">
        <v>2.1971629742232698E-2</v>
      </c>
      <c r="X39" s="166">
        <v>2.26180881296487E-3</v>
      </c>
    </row>
    <row r="40" spans="1:24">
      <c r="A40" s="4" t="s">
        <v>26</v>
      </c>
      <c r="B40" s="4">
        <v>1182</v>
      </c>
      <c r="C40" s="4" t="s">
        <v>1983</v>
      </c>
      <c r="D40" s="4" t="s">
        <v>1984</v>
      </c>
      <c r="E40" s="4" t="s">
        <v>1376</v>
      </c>
      <c r="F40" s="4" t="s">
        <v>1985</v>
      </c>
      <c r="G40" s="4" t="s">
        <v>1986</v>
      </c>
      <c r="H40" s="4" t="s">
        <v>367</v>
      </c>
      <c r="I40" s="4" t="s">
        <v>975</v>
      </c>
      <c r="J40" s="4" t="s">
        <v>31</v>
      </c>
      <c r="K40" s="4" t="s">
        <v>31</v>
      </c>
      <c r="L40" s="2" t="s">
        <v>373</v>
      </c>
      <c r="M40" s="2" t="s">
        <v>32</v>
      </c>
      <c r="N40" s="4" t="s">
        <v>524</v>
      </c>
      <c r="O40" s="4" t="s">
        <v>164</v>
      </c>
      <c r="P40" s="4" t="s">
        <v>35</v>
      </c>
      <c r="Q40" s="152">
        <v>5600</v>
      </c>
      <c r="R40" s="152">
        <v>1</v>
      </c>
      <c r="S40" s="152">
        <v>45.3</v>
      </c>
      <c r="U40" s="152">
        <v>2.5369999999999999</v>
      </c>
      <c r="V40" s="152">
        <v>4.1E-5</v>
      </c>
      <c r="W40" s="166">
        <v>6.2355270475074597E-5</v>
      </c>
      <c r="X40" s="166">
        <v>6.4189913060586802E-6</v>
      </c>
    </row>
    <row r="41" spans="1:24">
      <c r="A41" s="4" t="s">
        <v>26</v>
      </c>
      <c r="B41" s="4">
        <v>1182</v>
      </c>
      <c r="C41" s="4" t="s">
        <v>1987</v>
      </c>
      <c r="D41" s="4" t="s">
        <v>1988</v>
      </c>
      <c r="E41" s="4" t="s">
        <v>1376</v>
      </c>
      <c r="F41" s="4" t="s">
        <v>1989</v>
      </c>
      <c r="G41" s="4" t="s">
        <v>1990</v>
      </c>
      <c r="H41" s="4" t="s">
        <v>367</v>
      </c>
      <c r="I41" s="4" t="s">
        <v>975</v>
      </c>
      <c r="J41" s="4" t="s">
        <v>31</v>
      </c>
      <c r="K41" s="4" t="s">
        <v>31</v>
      </c>
      <c r="L41" s="2" t="s">
        <v>373</v>
      </c>
      <c r="M41" s="2" t="s">
        <v>32</v>
      </c>
      <c r="N41" s="4" t="s">
        <v>528</v>
      </c>
      <c r="O41" s="4" t="s">
        <v>164</v>
      </c>
      <c r="P41" s="4" t="s">
        <v>35</v>
      </c>
      <c r="Q41" s="152">
        <v>17338</v>
      </c>
      <c r="R41" s="152">
        <v>1</v>
      </c>
      <c r="S41" s="152">
        <v>1320</v>
      </c>
      <c r="U41" s="152">
        <v>228.86199999999999</v>
      </c>
      <c r="V41" s="152">
        <v>1.05E-4</v>
      </c>
      <c r="W41" s="166">
        <v>5.6254836681481901E-3</v>
      </c>
      <c r="X41" s="166">
        <v>5.7909989778093696E-4</v>
      </c>
    </row>
    <row r="42" spans="1:24">
      <c r="A42" s="4" t="s">
        <v>26</v>
      </c>
      <c r="B42" s="4">
        <v>1182</v>
      </c>
      <c r="C42" s="4" t="s">
        <v>1991</v>
      </c>
      <c r="D42" s="4" t="s">
        <v>1992</v>
      </c>
      <c r="E42" s="4" t="s">
        <v>1376</v>
      </c>
      <c r="F42" s="4" t="s">
        <v>1993</v>
      </c>
      <c r="G42" s="4" t="s">
        <v>1994</v>
      </c>
      <c r="H42" s="4" t="s">
        <v>367</v>
      </c>
      <c r="I42" s="4" t="s">
        <v>975</v>
      </c>
      <c r="J42" s="4" t="s">
        <v>31</v>
      </c>
      <c r="K42" s="4" t="s">
        <v>31</v>
      </c>
      <c r="L42" s="2" t="s">
        <v>373</v>
      </c>
      <c r="M42" s="2" t="s">
        <v>32</v>
      </c>
      <c r="N42" s="4" t="s">
        <v>507</v>
      </c>
      <c r="O42" s="4" t="s">
        <v>164</v>
      </c>
      <c r="P42" s="4" t="s">
        <v>35</v>
      </c>
      <c r="Q42" s="152">
        <v>684</v>
      </c>
      <c r="R42" s="152">
        <v>1</v>
      </c>
      <c r="S42" s="152">
        <v>22000</v>
      </c>
      <c r="U42" s="152">
        <v>150.47999999999999</v>
      </c>
      <c r="V42" s="152">
        <v>6.0000000000000002E-6</v>
      </c>
      <c r="W42" s="166">
        <v>3.6988414936491702E-3</v>
      </c>
      <c r="X42" s="166">
        <v>3.8076703395447401E-4</v>
      </c>
    </row>
    <row r="43" spans="1:24">
      <c r="A43" s="4" t="s">
        <v>26</v>
      </c>
      <c r="B43" s="4">
        <v>1182</v>
      </c>
      <c r="C43" s="4" t="s">
        <v>1995</v>
      </c>
      <c r="D43" s="4" t="s">
        <v>1996</v>
      </c>
      <c r="E43" s="4" t="s">
        <v>1376</v>
      </c>
      <c r="F43" s="4" t="s">
        <v>1997</v>
      </c>
      <c r="G43" s="4" t="s">
        <v>1998</v>
      </c>
      <c r="H43" s="4" t="s">
        <v>367</v>
      </c>
      <c r="I43" s="4" t="s">
        <v>975</v>
      </c>
      <c r="J43" s="4" t="s">
        <v>31</v>
      </c>
      <c r="K43" s="4" t="s">
        <v>31</v>
      </c>
      <c r="L43" s="2" t="s">
        <v>373</v>
      </c>
      <c r="M43" s="2" t="s">
        <v>32</v>
      </c>
      <c r="N43" s="4" t="s">
        <v>491</v>
      </c>
      <c r="O43" s="4" t="s">
        <v>164</v>
      </c>
      <c r="P43" s="4" t="s">
        <v>35</v>
      </c>
      <c r="Q43" s="152">
        <v>40481</v>
      </c>
      <c r="R43" s="152">
        <v>1</v>
      </c>
      <c r="S43" s="152">
        <v>3365</v>
      </c>
      <c r="U43" s="152">
        <v>1362.1859999999999</v>
      </c>
      <c r="V43" s="152">
        <v>3.0000000000000001E-5</v>
      </c>
      <c r="W43" s="166">
        <v>3.3482913372364899E-2</v>
      </c>
      <c r="X43" s="166">
        <v>3.4468061512882E-3</v>
      </c>
    </row>
    <row r="44" spans="1:24">
      <c r="A44" s="4" t="s">
        <v>26</v>
      </c>
      <c r="B44" s="4">
        <v>1182</v>
      </c>
      <c r="C44" s="4" t="s">
        <v>1999</v>
      </c>
      <c r="D44" s="4" t="s">
        <v>2000</v>
      </c>
      <c r="E44" s="4" t="s">
        <v>1376</v>
      </c>
      <c r="F44" s="4" t="s">
        <v>2001</v>
      </c>
      <c r="G44" s="4" t="s">
        <v>2002</v>
      </c>
      <c r="H44" s="4" t="s">
        <v>367</v>
      </c>
      <c r="I44" s="4" t="s">
        <v>975</v>
      </c>
      <c r="J44" s="4" t="s">
        <v>31</v>
      </c>
      <c r="K44" s="4" t="s">
        <v>31</v>
      </c>
      <c r="L44" s="2" t="s">
        <v>373</v>
      </c>
      <c r="M44" s="2" t="s">
        <v>32</v>
      </c>
      <c r="N44" s="4" t="s">
        <v>503</v>
      </c>
      <c r="O44" s="4" t="s">
        <v>164</v>
      </c>
      <c r="P44" s="4" t="s">
        <v>35</v>
      </c>
      <c r="Q44" s="152">
        <v>5600</v>
      </c>
      <c r="R44" s="152">
        <v>1</v>
      </c>
      <c r="S44" s="152">
        <v>332.1</v>
      </c>
      <c r="U44" s="152">
        <v>18.597999999999999</v>
      </c>
      <c r="V44" s="152">
        <v>1.12E-4</v>
      </c>
      <c r="W44" s="166">
        <v>4.5713433388018299E-4</v>
      </c>
      <c r="X44" s="166">
        <v>4.7058432952363999E-5</v>
      </c>
    </row>
    <row r="45" spans="1:24">
      <c r="A45" s="4" t="s">
        <v>26</v>
      </c>
      <c r="B45" s="4">
        <v>1182</v>
      </c>
      <c r="C45" s="4" t="s">
        <v>2003</v>
      </c>
      <c r="D45" s="4" t="s">
        <v>2004</v>
      </c>
      <c r="E45" s="4" t="s">
        <v>1376</v>
      </c>
      <c r="F45" s="4" t="s">
        <v>2005</v>
      </c>
      <c r="G45" s="4" t="s">
        <v>2006</v>
      </c>
      <c r="H45" s="4" t="s">
        <v>367</v>
      </c>
      <c r="I45" s="4" t="s">
        <v>975</v>
      </c>
      <c r="J45" s="4" t="s">
        <v>31</v>
      </c>
      <c r="K45" s="4" t="s">
        <v>31</v>
      </c>
      <c r="L45" s="2" t="s">
        <v>373</v>
      </c>
      <c r="M45" s="2" t="s">
        <v>32</v>
      </c>
      <c r="N45" s="4" t="s">
        <v>528</v>
      </c>
      <c r="O45" s="4" t="s">
        <v>164</v>
      </c>
      <c r="P45" s="4" t="s">
        <v>35</v>
      </c>
      <c r="Q45" s="152">
        <v>34260</v>
      </c>
      <c r="R45" s="152">
        <v>1</v>
      </c>
      <c r="S45" s="152">
        <v>1535</v>
      </c>
      <c r="U45" s="152">
        <v>525.89099999999996</v>
      </c>
      <c r="V45" s="152">
        <v>1.84E-4</v>
      </c>
      <c r="W45" s="166">
        <v>1.2926551381822599E-2</v>
      </c>
      <c r="X45" s="166">
        <v>1.3306881728691699E-3</v>
      </c>
    </row>
    <row r="46" spans="1:24">
      <c r="A46" s="4" t="s">
        <v>26</v>
      </c>
      <c r="B46" s="4">
        <v>1182</v>
      </c>
      <c r="C46" s="4" t="s">
        <v>2007</v>
      </c>
      <c r="D46" s="4" t="s">
        <v>2008</v>
      </c>
      <c r="E46" s="4" t="s">
        <v>1376</v>
      </c>
      <c r="F46" s="4" t="s">
        <v>2009</v>
      </c>
      <c r="G46" s="4" t="s">
        <v>2010</v>
      </c>
      <c r="H46" s="4" t="s">
        <v>367</v>
      </c>
      <c r="I46" s="4" t="s">
        <v>975</v>
      </c>
      <c r="J46" s="4" t="s">
        <v>31</v>
      </c>
      <c r="K46" s="4" t="s">
        <v>31</v>
      </c>
      <c r="L46" s="2" t="s">
        <v>373</v>
      </c>
      <c r="M46" s="2" t="s">
        <v>32</v>
      </c>
      <c r="N46" s="4" t="s">
        <v>521</v>
      </c>
      <c r="O46" s="4" t="s">
        <v>164</v>
      </c>
      <c r="P46" s="4" t="s">
        <v>35</v>
      </c>
      <c r="Q46" s="152">
        <v>1068</v>
      </c>
      <c r="R46" s="152">
        <v>1</v>
      </c>
      <c r="S46" s="152">
        <v>5099</v>
      </c>
      <c r="U46" s="152">
        <v>54.457000000000001</v>
      </c>
      <c r="V46" s="152">
        <v>6.5399999999999996E-4</v>
      </c>
      <c r="W46" s="166">
        <v>1.338576520793E-3</v>
      </c>
      <c r="X46" s="166">
        <v>1.3779606734123901E-4</v>
      </c>
    </row>
    <row r="47" spans="1:24">
      <c r="A47" s="4" t="s">
        <v>26</v>
      </c>
      <c r="B47" s="4">
        <v>1182</v>
      </c>
      <c r="C47" s="4" t="s">
        <v>2011</v>
      </c>
      <c r="D47" s="4" t="s">
        <v>2012</v>
      </c>
      <c r="E47" s="4" t="s">
        <v>1376</v>
      </c>
      <c r="F47" s="4" t="s">
        <v>2013</v>
      </c>
      <c r="G47" s="4" t="s">
        <v>2014</v>
      </c>
      <c r="H47" s="4" t="s">
        <v>367</v>
      </c>
      <c r="I47" s="4" t="s">
        <v>975</v>
      </c>
      <c r="J47" s="4" t="s">
        <v>31</v>
      </c>
      <c r="K47" s="4" t="s">
        <v>31</v>
      </c>
      <c r="L47" s="2" t="s">
        <v>373</v>
      </c>
      <c r="M47" s="2" t="s">
        <v>32</v>
      </c>
      <c r="N47" s="4" t="s">
        <v>506</v>
      </c>
      <c r="O47" s="4" t="s">
        <v>164</v>
      </c>
      <c r="P47" s="4" t="s">
        <v>35</v>
      </c>
      <c r="Q47" s="152">
        <v>102313</v>
      </c>
      <c r="R47" s="152">
        <v>1</v>
      </c>
      <c r="S47" s="152">
        <v>488.3</v>
      </c>
      <c r="U47" s="152">
        <v>499.59399999999999</v>
      </c>
      <c r="V47" s="152">
        <v>3.5599999999999998E-4</v>
      </c>
      <c r="W47" s="166">
        <v>1.2280172906958301E-2</v>
      </c>
      <c r="X47" s="166">
        <v>1.2641485238713301E-3</v>
      </c>
    </row>
    <row r="48" spans="1:24">
      <c r="A48" s="4" t="s">
        <v>26</v>
      </c>
      <c r="B48" s="4">
        <v>1182</v>
      </c>
      <c r="C48" s="4" t="s">
        <v>2015</v>
      </c>
      <c r="D48" s="4" t="s">
        <v>2016</v>
      </c>
      <c r="E48" s="4" t="s">
        <v>1376</v>
      </c>
      <c r="F48" s="4" t="s">
        <v>2017</v>
      </c>
      <c r="G48" s="4" t="s">
        <v>2018</v>
      </c>
      <c r="H48" s="4" t="s">
        <v>367</v>
      </c>
      <c r="I48" s="4" t="s">
        <v>975</v>
      </c>
      <c r="J48" s="4" t="s">
        <v>31</v>
      </c>
      <c r="K48" s="4" t="s">
        <v>31</v>
      </c>
      <c r="L48" s="2" t="s">
        <v>373</v>
      </c>
      <c r="M48" s="2" t="s">
        <v>32</v>
      </c>
      <c r="N48" s="4" t="s">
        <v>507</v>
      </c>
      <c r="O48" s="4" t="s">
        <v>164</v>
      </c>
      <c r="P48" s="4" t="s">
        <v>35</v>
      </c>
      <c r="Q48" s="152">
        <v>23731</v>
      </c>
      <c r="R48" s="152">
        <v>1</v>
      </c>
      <c r="S48" s="152">
        <v>344.2</v>
      </c>
      <c r="U48" s="152">
        <v>81.682000000000002</v>
      </c>
      <c r="V48" s="152">
        <v>3.3399999999999999E-4</v>
      </c>
      <c r="W48" s="166">
        <v>2.0077694588389399E-3</v>
      </c>
      <c r="X48" s="166">
        <v>2.0668428831543601E-4</v>
      </c>
    </row>
    <row r="49" spans="1:24">
      <c r="A49" s="4" t="s">
        <v>26</v>
      </c>
      <c r="B49" s="4">
        <v>1182</v>
      </c>
      <c r="C49" s="4" t="s">
        <v>2019</v>
      </c>
      <c r="D49" s="4" t="s">
        <v>2020</v>
      </c>
      <c r="E49" s="4" t="s">
        <v>1376</v>
      </c>
      <c r="F49" s="4" t="s">
        <v>2021</v>
      </c>
      <c r="G49" s="4" t="s">
        <v>2022</v>
      </c>
      <c r="H49" s="4" t="s">
        <v>367</v>
      </c>
      <c r="I49" s="4" t="s">
        <v>975</v>
      </c>
      <c r="J49" s="4" t="s">
        <v>31</v>
      </c>
      <c r="K49" s="4" t="s">
        <v>31</v>
      </c>
      <c r="L49" s="2" t="s">
        <v>373</v>
      </c>
      <c r="M49" s="2" t="s">
        <v>32</v>
      </c>
      <c r="N49" s="4" t="s">
        <v>502</v>
      </c>
      <c r="O49" s="4" t="s">
        <v>164</v>
      </c>
      <c r="P49" s="4" t="s">
        <v>35</v>
      </c>
      <c r="Q49" s="152">
        <v>10024</v>
      </c>
      <c r="R49" s="152">
        <v>1</v>
      </c>
      <c r="S49" s="152">
        <v>5599</v>
      </c>
      <c r="U49" s="152">
        <v>561.24400000000003</v>
      </c>
      <c r="V49" s="152">
        <v>8.6000000000000003E-5</v>
      </c>
      <c r="W49" s="166">
        <v>1.37955323467549E-2</v>
      </c>
      <c r="X49" s="166">
        <v>1.4201430211367399E-3</v>
      </c>
    </row>
    <row r="50" spans="1:24">
      <c r="A50" s="4" t="s">
        <v>26</v>
      </c>
      <c r="B50" s="4">
        <v>1182</v>
      </c>
      <c r="C50" s="4" t="s">
        <v>2023</v>
      </c>
      <c r="D50" s="4" t="s">
        <v>2024</v>
      </c>
      <c r="E50" s="4" t="s">
        <v>1376</v>
      </c>
      <c r="F50" s="4" t="s">
        <v>2025</v>
      </c>
      <c r="G50" s="4" t="s">
        <v>2026</v>
      </c>
      <c r="H50" s="4" t="s">
        <v>367</v>
      </c>
      <c r="I50" s="4" t="s">
        <v>975</v>
      </c>
      <c r="J50" s="4" t="s">
        <v>31</v>
      </c>
      <c r="K50" s="4" t="s">
        <v>31</v>
      </c>
      <c r="L50" s="2" t="s">
        <v>373</v>
      </c>
      <c r="M50" s="2" t="s">
        <v>32</v>
      </c>
      <c r="N50" s="4" t="s">
        <v>506</v>
      </c>
      <c r="O50" s="4" t="s">
        <v>164</v>
      </c>
      <c r="P50" s="4" t="s">
        <v>35</v>
      </c>
      <c r="Q50" s="152">
        <v>23723</v>
      </c>
      <c r="R50" s="152">
        <v>1</v>
      </c>
      <c r="S50" s="152">
        <v>1920</v>
      </c>
      <c r="U50" s="152">
        <v>455.48200000000003</v>
      </c>
      <c r="V50" s="152">
        <v>6.6000000000000005E-5</v>
      </c>
      <c r="W50" s="166">
        <v>1.11958681663591E-2</v>
      </c>
      <c r="X50" s="166">
        <v>1.1525277635090301E-3</v>
      </c>
    </row>
    <row r="51" spans="1:24">
      <c r="A51" s="4" t="s">
        <v>26</v>
      </c>
      <c r="B51" s="4">
        <v>1182</v>
      </c>
      <c r="C51" s="4" t="s">
        <v>2027</v>
      </c>
      <c r="D51" s="4" t="s">
        <v>2028</v>
      </c>
      <c r="E51" s="4" t="s">
        <v>361</v>
      </c>
      <c r="F51" s="4" t="s">
        <v>2029</v>
      </c>
      <c r="G51" s="4" t="s">
        <v>2030</v>
      </c>
      <c r="H51" s="4" t="s">
        <v>367</v>
      </c>
      <c r="I51" s="4" t="s">
        <v>975</v>
      </c>
      <c r="J51" s="4" t="s">
        <v>94</v>
      </c>
      <c r="K51" s="4" t="s">
        <v>95</v>
      </c>
      <c r="L51" s="2" t="s">
        <v>373</v>
      </c>
      <c r="M51" s="2" t="s">
        <v>392</v>
      </c>
      <c r="N51" s="4" t="s">
        <v>559</v>
      </c>
      <c r="O51" s="4" t="s">
        <v>164</v>
      </c>
      <c r="P51" s="4" t="s">
        <v>99</v>
      </c>
      <c r="Q51" s="152">
        <v>902</v>
      </c>
      <c r="R51" s="152">
        <v>3.7589999999999999</v>
      </c>
      <c r="S51" s="152">
        <v>19325</v>
      </c>
      <c r="U51" s="152">
        <v>655.23699999999997</v>
      </c>
      <c r="V51" s="152">
        <v>0</v>
      </c>
      <c r="W51" s="166">
        <v>1.6105911345740499E-2</v>
      </c>
      <c r="X51" s="166">
        <v>1.65797861378512E-3</v>
      </c>
    </row>
    <row r="52" spans="1:24">
      <c r="A52" s="4" t="s">
        <v>26</v>
      </c>
      <c r="B52" s="4">
        <v>1182</v>
      </c>
      <c r="C52" s="4" t="s">
        <v>2031</v>
      </c>
      <c r="D52" s="4" t="s">
        <v>2032</v>
      </c>
      <c r="E52" s="4" t="s">
        <v>361</v>
      </c>
      <c r="F52" s="4" t="s">
        <v>2033</v>
      </c>
      <c r="G52" s="4" t="s">
        <v>2034</v>
      </c>
      <c r="H52" s="4" t="s">
        <v>367</v>
      </c>
      <c r="I52" s="4" t="s">
        <v>975</v>
      </c>
      <c r="J52" s="4" t="s">
        <v>94</v>
      </c>
      <c r="K52" s="4" t="s">
        <v>95</v>
      </c>
      <c r="L52" s="2" t="s">
        <v>373</v>
      </c>
      <c r="M52" s="2" t="s">
        <v>392</v>
      </c>
      <c r="N52" s="4" t="s">
        <v>590</v>
      </c>
      <c r="O52" s="4" t="s">
        <v>164</v>
      </c>
      <c r="P52" s="4" t="s">
        <v>99</v>
      </c>
      <c r="Q52" s="152">
        <v>1077</v>
      </c>
      <c r="R52" s="152">
        <v>3.7589999999999999</v>
      </c>
      <c r="S52" s="152">
        <v>21062</v>
      </c>
      <c r="U52" s="152">
        <v>852.68299999999999</v>
      </c>
      <c r="V52" s="152">
        <v>0</v>
      </c>
      <c r="W52" s="166">
        <v>2.0959193916110799E-2</v>
      </c>
      <c r="X52" s="166">
        <v>2.1575863997461398E-3</v>
      </c>
    </row>
    <row r="53" spans="1:24">
      <c r="A53" s="4" t="s">
        <v>26</v>
      </c>
      <c r="B53" s="4">
        <v>1182</v>
      </c>
      <c r="C53" s="4" t="s">
        <v>2035</v>
      </c>
      <c r="D53" s="4" t="s">
        <v>2036</v>
      </c>
      <c r="E53" s="4" t="s">
        <v>361</v>
      </c>
      <c r="F53" s="4" t="s">
        <v>2037</v>
      </c>
      <c r="G53" s="4" t="s">
        <v>2038</v>
      </c>
      <c r="H53" s="4" t="s">
        <v>367</v>
      </c>
      <c r="I53" s="4" t="s">
        <v>975</v>
      </c>
      <c r="J53" s="4" t="s">
        <v>94</v>
      </c>
      <c r="K53" s="4" t="s">
        <v>95</v>
      </c>
      <c r="L53" s="2" t="s">
        <v>373</v>
      </c>
      <c r="M53" s="2" t="s">
        <v>392</v>
      </c>
      <c r="N53" s="4" t="s">
        <v>578</v>
      </c>
      <c r="O53" s="4" t="s">
        <v>164</v>
      </c>
      <c r="P53" s="4" t="s">
        <v>99</v>
      </c>
      <c r="Q53" s="152">
        <v>592</v>
      </c>
      <c r="R53" s="152">
        <v>3.7589999999999999</v>
      </c>
      <c r="S53" s="152">
        <v>23182</v>
      </c>
      <c r="U53" s="152">
        <v>515.87599999999998</v>
      </c>
      <c r="V53" s="152">
        <v>3.9999999999999998E-6</v>
      </c>
      <c r="W53" s="166">
        <v>1.2680368432125199E-2</v>
      </c>
      <c r="X53" s="166">
        <v>1.3053455482318699E-3</v>
      </c>
    </row>
    <row r="54" spans="1:24">
      <c r="A54" s="4" t="s">
        <v>26</v>
      </c>
      <c r="B54" s="4">
        <v>1182</v>
      </c>
      <c r="C54" s="4" t="s">
        <v>2039</v>
      </c>
      <c r="D54" s="4" t="s">
        <v>2040</v>
      </c>
      <c r="E54" s="4" t="s">
        <v>361</v>
      </c>
      <c r="F54" s="4" t="s">
        <v>2041</v>
      </c>
      <c r="G54" s="4" t="s">
        <v>2042</v>
      </c>
      <c r="H54" s="4" t="s">
        <v>367</v>
      </c>
      <c r="I54" s="4" t="s">
        <v>975</v>
      </c>
      <c r="J54" s="4" t="s">
        <v>94</v>
      </c>
      <c r="K54" s="4" t="s">
        <v>95</v>
      </c>
      <c r="L54" s="2" t="s">
        <v>373</v>
      </c>
      <c r="M54" s="2" t="s">
        <v>390</v>
      </c>
      <c r="N54" s="4" t="s">
        <v>2043</v>
      </c>
      <c r="O54" s="4" t="s">
        <v>164</v>
      </c>
      <c r="P54" s="4" t="s">
        <v>99</v>
      </c>
      <c r="Q54" s="152">
        <v>430</v>
      </c>
      <c r="R54" s="152">
        <v>3.7589999999999999</v>
      </c>
      <c r="S54" s="152">
        <v>18201</v>
      </c>
      <c r="U54" s="152">
        <v>294.19600000000003</v>
      </c>
      <c r="V54" s="152">
        <v>9.9999999999999995E-7</v>
      </c>
      <c r="W54" s="166">
        <v>7.2314097310644601E-3</v>
      </c>
      <c r="X54" s="166">
        <v>7.4441752622668596E-4</v>
      </c>
    </row>
    <row r="55" spans="1:24">
      <c r="A55" s="4" t="s">
        <v>26</v>
      </c>
      <c r="B55" s="4">
        <v>1182</v>
      </c>
      <c r="C55" s="4" t="s">
        <v>2044</v>
      </c>
      <c r="D55" s="4" t="s">
        <v>2045</v>
      </c>
      <c r="E55" s="4" t="s">
        <v>1376</v>
      </c>
      <c r="F55" s="4" t="s">
        <v>2046</v>
      </c>
      <c r="G55" s="4" t="s">
        <v>2047</v>
      </c>
      <c r="H55" s="4" t="s">
        <v>367</v>
      </c>
      <c r="I55" s="4" t="s">
        <v>975</v>
      </c>
      <c r="J55" s="4" t="s">
        <v>94</v>
      </c>
      <c r="K55" s="4" t="s">
        <v>95</v>
      </c>
      <c r="L55" s="2" t="s">
        <v>373</v>
      </c>
      <c r="M55" s="2" t="s">
        <v>390</v>
      </c>
      <c r="N55" s="4" t="s">
        <v>578</v>
      </c>
      <c r="O55" s="4" t="s">
        <v>164</v>
      </c>
      <c r="P55" s="4" t="s">
        <v>99</v>
      </c>
      <c r="Q55" s="152">
        <v>10747</v>
      </c>
      <c r="R55" s="152">
        <v>3.7589999999999999</v>
      </c>
      <c r="S55" s="152">
        <v>100</v>
      </c>
      <c r="U55" s="152">
        <v>40.398000000000003</v>
      </c>
      <c r="V55" s="152">
        <v>0</v>
      </c>
      <c r="W55" s="166">
        <v>9.929937452931891E-4</v>
      </c>
      <c r="X55" s="166">
        <v>1.0222100184066299E-4</v>
      </c>
    </row>
    <row r="56" spans="1:24">
      <c r="A56" s="4" t="s">
        <v>26</v>
      </c>
      <c r="B56" s="4">
        <v>1182</v>
      </c>
      <c r="C56" s="4" t="s">
        <v>2048</v>
      </c>
      <c r="D56" s="4" t="s">
        <v>2049</v>
      </c>
      <c r="E56" s="4" t="s">
        <v>361</v>
      </c>
      <c r="F56" s="4" t="s">
        <v>2048</v>
      </c>
      <c r="G56" s="4" t="s">
        <v>2050</v>
      </c>
      <c r="H56" s="4" t="s">
        <v>367</v>
      </c>
      <c r="I56" s="4" t="s">
        <v>975</v>
      </c>
      <c r="J56" s="4" t="s">
        <v>94</v>
      </c>
      <c r="K56" s="4" t="s">
        <v>95</v>
      </c>
      <c r="L56" s="2" t="s">
        <v>373</v>
      </c>
      <c r="M56" s="2" t="s">
        <v>32</v>
      </c>
      <c r="N56" s="4" t="s">
        <v>574</v>
      </c>
      <c r="O56" s="4" t="s">
        <v>164</v>
      </c>
      <c r="P56" s="4" t="s">
        <v>99</v>
      </c>
      <c r="Q56" s="152">
        <v>600</v>
      </c>
      <c r="R56" s="152">
        <v>3.7589999999999999</v>
      </c>
      <c r="S56" s="152">
        <v>24985</v>
      </c>
      <c r="T56" s="150">
        <v>0.113</v>
      </c>
      <c r="U56" s="152">
        <v>563.93700000000001</v>
      </c>
      <c r="V56" s="152">
        <v>0</v>
      </c>
      <c r="W56" s="166">
        <v>1.3861739839710599E-2</v>
      </c>
      <c r="X56" s="166">
        <v>1.4269585688593399E-3</v>
      </c>
    </row>
    <row r="57" spans="1:24">
      <c r="A57" s="4" t="s">
        <v>26</v>
      </c>
      <c r="B57" s="4">
        <v>1182</v>
      </c>
      <c r="C57" s="4" t="s">
        <v>2051</v>
      </c>
      <c r="D57" s="4" t="s">
        <v>2052</v>
      </c>
      <c r="E57" s="4" t="s">
        <v>361</v>
      </c>
      <c r="F57" s="4" t="s">
        <v>2053</v>
      </c>
      <c r="G57" s="4" t="s">
        <v>2054</v>
      </c>
      <c r="H57" s="4" t="s">
        <v>367</v>
      </c>
      <c r="I57" s="4" t="s">
        <v>975</v>
      </c>
      <c r="J57" s="4" t="s">
        <v>94</v>
      </c>
      <c r="K57" s="4" t="s">
        <v>95</v>
      </c>
      <c r="L57" s="2" t="s">
        <v>373</v>
      </c>
      <c r="M57" s="2" t="s">
        <v>390</v>
      </c>
      <c r="N57" s="4" t="s">
        <v>2043</v>
      </c>
      <c r="O57" s="4" t="s">
        <v>164</v>
      </c>
      <c r="P57" s="4" t="s">
        <v>99</v>
      </c>
      <c r="Q57" s="152">
        <v>306</v>
      </c>
      <c r="R57" s="152">
        <v>3.7589999999999999</v>
      </c>
      <c r="S57" s="152">
        <v>37363</v>
      </c>
      <c r="U57" s="152">
        <v>429.76900000000001</v>
      </c>
      <c r="V57" s="152">
        <v>9.9999999999999995E-7</v>
      </c>
      <c r="W57" s="166">
        <v>1.05638549766904E-2</v>
      </c>
      <c r="X57" s="166">
        <v>1.0874669091676199E-3</v>
      </c>
    </row>
    <row r="58" spans="1:24">
      <c r="A58" s="4" t="s">
        <v>26</v>
      </c>
      <c r="B58" s="4">
        <v>1182</v>
      </c>
      <c r="C58" s="4" t="s">
        <v>2055</v>
      </c>
      <c r="D58" s="4" t="s">
        <v>2056</v>
      </c>
      <c r="E58" s="4" t="s">
        <v>361</v>
      </c>
      <c r="F58" s="4" t="s">
        <v>2055</v>
      </c>
      <c r="G58" s="4" t="s">
        <v>2057</v>
      </c>
      <c r="H58" s="4" t="s">
        <v>367</v>
      </c>
      <c r="I58" s="4" t="s">
        <v>975</v>
      </c>
      <c r="J58" s="4" t="s">
        <v>94</v>
      </c>
      <c r="K58" s="4" t="s">
        <v>95</v>
      </c>
      <c r="L58" s="2" t="s">
        <v>373</v>
      </c>
      <c r="M58" s="2" t="s">
        <v>392</v>
      </c>
      <c r="N58" s="4" t="s">
        <v>590</v>
      </c>
      <c r="O58" s="4" t="s">
        <v>164</v>
      </c>
      <c r="P58" s="4" t="s">
        <v>99</v>
      </c>
      <c r="Q58" s="152">
        <v>5000</v>
      </c>
      <c r="R58" s="152">
        <v>3.7589999999999999</v>
      </c>
      <c r="S58" s="152">
        <v>2949</v>
      </c>
      <c r="U58" s="152">
        <v>554.26499999999999</v>
      </c>
      <c r="V58" s="152">
        <v>1.2999999999999999E-5</v>
      </c>
      <c r="W58" s="166">
        <v>1.36239813662865E-2</v>
      </c>
      <c r="X58" s="166">
        <v>1.4024831786922599E-3</v>
      </c>
    </row>
    <row r="59" spans="1:24">
      <c r="A59" s="4" t="s">
        <v>26</v>
      </c>
      <c r="B59" s="4">
        <v>1182</v>
      </c>
      <c r="C59" s="4" t="s">
        <v>2058</v>
      </c>
      <c r="D59" s="4" t="s">
        <v>2059</v>
      </c>
      <c r="E59" s="4" t="s">
        <v>361</v>
      </c>
      <c r="F59" s="4" t="s">
        <v>2060</v>
      </c>
      <c r="G59" s="4" t="s">
        <v>2061</v>
      </c>
      <c r="H59" s="4" t="s">
        <v>367</v>
      </c>
      <c r="I59" s="4" t="s">
        <v>975</v>
      </c>
      <c r="J59" s="4" t="s">
        <v>94</v>
      </c>
      <c r="K59" s="4" t="s">
        <v>95</v>
      </c>
      <c r="L59" s="2" t="s">
        <v>373</v>
      </c>
      <c r="M59" s="2" t="s">
        <v>392</v>
      </c>
      <c r="N59" s="4" t="s">
        <v>593</v>
      </c>
      <c r="O59" s="4" t="s">
        <v>164</v>
      </c>
      <c r="P59" s="4" t="s">
        <v>99</v>
      </c>
      <c r="Q59" s="152">
        <v>805</v>
      </c>
      <c r="R59" s="152">
        <v>3.7589999999999999</v>
      </c>
      <c r="S59" s="152">
        <v>18342</v>
      </c>
      <c r="U59" s="152">
        <v>555.02800000000002</v>
      </c>
      <c r="V59" s="152">
        <v>0</v>
      </c>
      <c r="W59" s="166">
        <v>1.3642747257201999E-2</v>
      </c>
      <c r="X59" s="166">
        <v>1.40441498156505E-3</v>
      </c>
    </row>
    <row r="60" spans="1:24">
      <c r="A60" s="4" t="s">
        <v>26</v>
      </c>
      <c r="B60" s="4">
        <v>1182</v>
      </c>
      <c r="C60" s="4" t="s">
        <v>2062</v>
      </c>
      <c r="D60" s="4" t="s">
        <v>2063</v>
      </c>
      <c r="E60" s="4" t="s">
        <v>361</v>
      </c>
      <c r="F60" s="4" t="s">
        <v>2064</v>
      </c>
      <c r="G60" s="4" t="s">
        <v>2065</v>
      </c>
      <c r="H60" s="4" t="s">
        <v>367</v>
      </c>
      <c r="I60" s="4" t="s">
        <v>975</v>
      </c>
      <c r="J60" s="4" t="s">
        <v>94</v>
      </c>
      <c r="K60" s="4" t="s">
        <v>330</v>
      </c>
      <c r="L60" s="2" t="s">
        <v>373</v>
      </c>
      <c r="M60" s="2" t="s">
        <v>412</v>
      </c>
      <c r="N60" s="4" t="s">
        <v>2066</v>
      </c>
      <c r="O60" s="4" t="s">
        <v>164</v>
      </c>
      <c r="P60" s="4" t="s">
        <v>1219</v>
      </c>
      <c r="Q60" s="152">
        <v>225</v>
      </c>
      <c r="R60" s="152">
        <v>4.0199999999999996</v>
      </c>
      <c r="S60" s="152">
        <v>71360</v>
      </c>
      <c r="U60" s="152">
        <v>645.48299999999995</v>
      </c>
      <c r="V60" s="152">
        <v>9.9999999999999995E-7</v>
      </c>
      <c r="W60" s="166">
        <v>1.58661646589826E-2</v>
      </c>
      <c r="X60" s="166">
        <v>1.6332985524810601E-3</v>
      </c>
    </row>
    <row r="61" spans="1:24">
      <c r="A61" s="4" t="s">
        <v>26</v>
      </c>
      <c r="B61" s="4">
        <v>1182</v>
      </c>
      <c r="C61" s="4" t="s">
        <v>2067</v>
      </c>
      <c r="D61" s="4" t="s">
        <v>2068</v>
      </c>
      <c r="E61" s="4" t="s">
        <v>361</v>
      </c>
      <c r="F61" s="4" t="s">
        <v>2069</v>
      </c>
      <c r="G61" s="4" t="s">
        <v>2070</v>
      </c>
      <c r="H61" s="4" t="s">
        <v>367</v>
      </c>
      <c r="I61" s="4" t="s">
        <v>975</v>
      </c>
      <c r="J61" s="4" t="s">
        <v>94</v>
      </c>
      <c r="K61" s="4" t="s">
        <v>95</v>
      </c>
      <c r="L61" s="2" t="s">
        <v>373</v>
      </c>
      <c r="M61" s="2" t="s">
        <v>390</v>
      </c>
      <c r="N61" s="4" t="s">
        <v>2071</v>
      </c>
      <c r="O61" s="4" t="s">
        <v>164</v>
      </c>
      <c r="P61" s="4" t="s">
        <v>99</v>
      </c>
      <c r="Q61" s="152">
        <v>380</v>
      </c>
      <c r="R61" s="152">
        <v>3.7589999999999999</v>
      </c>
      <c r="S61" s="152">
        <v>44116</v>
      </c>
      <c r="U61" s="152">
        <v>630.16200000000003</v>
      </c>
      <c r="V61" s="152">
        <v>0</v>
      </c>
      <c r="W61" s="166">
        <v>1.54895567000974E-2</v>
      </c>
      <c r="X61" s="166">
        <v>1.5945296850628299E-3</v>
      </c>
    </row>
    <row r="62" spans="1:24">
      <c r="A62" s="4" t="s">
        <v>26</v>
      </c>
      <c r="B62" s="4">
        <v>1182</v>
      </c>
      <c r="C62" s="4" t="s">
        <v>2072</v>
      </c>
      <c r="D62" s="4" t="s">
        <v>2073</v>
      </c>
      <c r="E62" s="4" t="s">
        <v>361</v>
      </c>
      <c r="F62" s="4" t="s">
        <v>2074</v>
      </c>
      <c r="G62" s="4" t="s">
        <v>2075</v>
      </c>
      <c r="H62" s="4" t="s">
        <v>367</v>
      </c>
      <c r="I62" s="4" t="s">
        <v>975</v>
      </c>
      <c r="J62" s="4" t="s">
        <v>94</v>
      </c>
      <c r="K62" s="4" t="s">
        <v>95</v>
      </c>
      <c r="L62" s="2" t="s">
        <v>373</v>
      </c>
      <c r="M62" s="2" t="s">
        <v>390</v>
      </c>
      <c r="N62" s="4" t="s">
        <v>578</v>
      </c>
      <c r="O62" s="4" t="s">
        <v>164</v>
      </c>
      <c r="P62" s="4" t="s">
        <v>99</v>
      </c>
      <c r="Q62" s="152">
        <v>418</v>
      </c>
      <c r="R62" s="152">
        <v>3.7589999999999999</v>
      </c>
      <c r="S62" s="152">
        <v>12380</v>
      </c>
      <c r="T62" s="150">
        <v>0.22500000000000001</v>
      </c>
      <c r="U62" s="152">
        <v>195.36799999999999</v>
      </c>
      <c r="V62" s="152">
        <v>0</v>
      </c>
      <c r="W62" s="166">
        <v>4.8021961184186298E-3</v>
      </c>
      <c r="X62" s="166">
        <v>4.9434883209174395E-4</v>
      </c>
    </row>
    <row r="63" spans="1:24">
      <c r="A63" s="4" t="s">
        <v>26</v>
      </c>
      <c r="B63" s="4">
        <v>1182</v>
      </c>
      <c r="C63" s="4" t="s">
        <v>2076</v>
      </c>
      <c r="D63" s="4" t="s">
        <v>2077</v>
      </c>
      <c r="E63" s="4" t="s">
        <v>361</v>
      </c>
      <c r="F63" s="4" t="s">
        <v>2078</v>
      </c>
      <c r="G63" s="4" t="s">
        <v>2079</v>
      </c>
      <c r="H63" s="4" t="s">
        <v>367</v>
      </c>
      <c r="I63" s="4" t="s">
        <v>975</v>
      </c>
      <c r="J63" s="4" t="s">
        <v>94</v>
      </c>
      <c r="K63" s="4" t="s">
        <v>95</v>
      </c>
      <c r="L63" s="2" t="s">
        <v>373</v>
      </c>
      <c r="M63" s="2" t="s">
        <v>392</v>
      </c>
      <c r="N63" s="4" t="s">
        <v>588</v>
      </c>
      <c r="O63" s="4" t="s">
        <v>164</v>
      </c>
      <c r="P63" s="4" t="s">
        <v>99</v>
      </c>
      <c r="Q63" s="152">
        <v>1167</v>
      </c>
      <c r="R63" s="152">
        <v>3.7589999999999999</v>
      </c>
      <c r="S63" s="152">
        <v>44695</v>
      </c>
      <c r="U63" s="152">
        <v>1960.6590000000001</v>
      </c>
      <c r="V63" s="152">
        <v>0</v>
      </c>
      <c r="W63" s="166">
        <v>4.8193565930344198E-2</v>
      </c>
      <c r="X63" s="166">
        <v>4.9611536981225002E-3</v>
      </c>
    </row>
    <row r="64" spans="1:24">
      <c r="A64" s="4" t="s">
        <v>26</v>
      </c>
      <c r="B64" s="4">
        <v>1182</v>
      </c>
      <c r="C64" s="4" t="s">
        <v>2080</v>
      </c>
      <c r="D64" s="4" t="s">
        <v>2081</v>
      </c>
      <c r="E64" s="4" t="s">
        <v>361</v>
      </c>
      <c r="F64" s="4" t="s">
        <v>2080</v>
      </c>
      <c r="G64" s="4" t="s">
        <v>2082</v>
      </c>
      <c r="H64" s="4" t="s">
        <v>367</v>
      </c>
      <c r="I64" s="4" t="s">
        <v>975</v>
      </c>
      <c r="J64" s="4" t="s">
        <v>94</v>
      </c>
      <c r="K64" s="4" t="s">
        <v>95</v>
      </c>
      <c r="L64" s="2" t="s">
        <v>373</v>
      </c>
      <c r="M64" s="2" t="s">
        <v>392</v>
      </c>
      <c r="N64" s="4" t="s">
        <v>578</v>
      </c>
      <c r="O64" s="4" t="s">
        <v>164</v>
      </c>
      <c r="P64" s="4" t="s">
        <v>99</v>
      </c>
      <c r="Q64" s="152">
        <v>1607</v>
      </c>
      <c r="R64" s="152">
        <v>3.7589999999999999</v>
      </c>
      <c r="S64" s="152">
        <v>11875</v>
      </c>
      <c r="U64" s="152">
        <v>717.33500000000004</v>
      </c>
      <c r="V64" s="152">
        <v>5.0000000000000004E-6</v>
      </c>
      <c r="W64" s="166">
        <v>1.76322915843008E-2</v>
      </c>
      <c r="X64" s="166">
        <v>1.81510761677733E-3</v>
      </c>
    </row>
    <row r="65" spans="1:24">
      <c r="A65" s="4" t="s">
        <v>26</v>
      </c>
      <c r="B65" s="4">
        <v>1182</v>
      </c>
      <c r="C65" s="4" t="s">
        <v>2083</v>
      </c>
      <c r="D65" s="4" t="s">
        <v>2084</v>
      </c>
      <c r="E65" s="4" t="s">
        <v>361</v>
      </c>
      <c r="F65" s="4" t="s">
        <v>2085</v>
      </c>
      <c r="G65" s="4" t="s">
        <v>2086</v>
      </c>
      <c r="H65" s="4" t="s">
        <v>367</v>
      </c>
      <c r="I65" s="4" t="s">
        <v>975</v>
      </c>
      <c r="J65" s="4" t="s">
        <v>94</v>
      </c>
      <c r="K65" s="4" t="s">
        <v>95</v>
      </c>
      <c r="L65" s="2" t="s">
        <v>373</v>
      </c>
      <c r="M65" s="2" t="s">
        <v>392</v>
      </c>
      <c r="N65" s="4" t="s">
        <v>593</v>
      </c>
      <c r="O65" s="4" t="s">
        <v>164</v>
      </c>
      <c r="P65" s="4" t="s">
        <v>99</v>
      </c>
      <c r="Q65" s="152">
        <v>365</v>
      </c>
      <c r="R65" s="152">
        <v>3.7589999999999999</v>
      </c>
      <c r="S65" s="152">
        <v>67488</v>
      </c>
      <c r="U65" s="152">
        <v>925.95899999999995</v>
      </c>
      <c r="V65" s="152">
        <v>9.9999999999999995E-7</v>
      </c>
      <c r="W65" s="166">
        <v>2.2760336919192801E-2</v>
      </c>
      <c r="X65" s="166">
        <v>2.3430000975726002E-3</v>
      </c>
    </row>
    <row r="66" spans="1:24">
      <c r="A66" s="4" t="s">
        <v>26</v>
      </c>
      <c r="B66" s="4">
        <v>1182</v>
      </c>
      <c r="C66" s="4" t="s">
        <v>2087</v>
      </c>
      <c r="D66" s="4" t="s">
        <v>2088</v>
      </c>
      <c r="E66" s="4" t="s">
        <v>361</v>
      </c>
      <c r="F66" s="4" t="s">
        <v>2087</v>
      </c>
      <c r="G66" s="4" t="s">
        <v>2089</v>
      </c>
      <c r="H66" s="4" t="s">
        <v>367</v>
      </c>
      <c r="I66" s="4" t="s">
        <v>975</v>
      </c>
      <c r="J66" s="4" t="s">
        <v>94</v>
      </c>
      <c r="K66" s="4" t="s">
        <v>95</v>
      </c>
      <c r="L66" s="2" t="s">
        <v>373</v>
      </c>
      <c r="M66" s="2" t="s">
        <v>390</v>
      </c>
      <c r="N66" s="4" t="s">
        <v>559</v>
      </c>
      <c r="O66" s="4" t="s">
        <v>164</v>
      </c>
      <c r="P66" s="4" t="s">
        <v>99</v>
      </c>
      <c r="Q66" s="152">
        <v>1670</v>
      </c>
      <c r="R66" s="152">
        <v>3.7589999999999999</v>
      </c>
      <c r="S66" s="152">
        <v>7537</v>
      </c>
      <c r="T66" s="150">
        <v>0.61799999999999999</v>
      </c>
      <c r="U66" s="152">
        <v>475.46</v>
      </c>
      <c r="V66" s="152">
        <v>9.9999999999999995E-7</v>
      </c>
      <c r="W66" s="166">
        <v>1.16869459633763E-2</v>
      </c>
      <c r="X66" s="166">
        <v>1.20308041263773E-3</v>
      </c>
    </row>
    <row r="67" spans="1:24">
      <c r="A67" s="4" t="s">
        <v>26</v>
      </c>
      <c r="B67" s="4">
        <v>1182</v>
      </c>
      <c r="C67" s="4" t="s">
        <v>2090</v>
      </c>
      <c r="D67" s="4" t="s">
        <v>2091</v>
      </c>
      <c r="E67" s="4" t="s">
        <v>361</v>
      </c>
      <c r="F67" s="4" t="s">
        <v>2092</v>
      </c>
      <c r="G67" s="4" t="s">
        <v>2093</v>
      </c>
      <c r="H67" s="4" t="s">
        <v>367</v>
      </c>
      <c r="I67" s="4" t="s">
        <v>975</v>
      </c>
      <c r="J67" s="4" t="s">
        <v>94</v>
      </c>
      <c r="K67" s="4" t="s">
        <v>95</v>
      </c>
      <c r="L67" s="2" t="s">
        <v>373</v>
      </c>
      <c r="M67" s="2" t="s">
        <v>390</v>
      </c>
      <c r="N67" s="4" t="s">
        <v>2043</v>
      </c>
      <c r="O67" s="4" t="s">
        <v>164</v>
      </c>
      <c r="P67" s="4" t="s">
        <v>99</v>
      </c>
      <c r="Q67" s="152">
        <v>126</v>
      </c>
      <c r="R67" s="152">
        <v>3.7589999999999999</v>
      </c>
      <c r="S67" s="152">
        <v>43595</v>
      </c>
      <c r="U67" s="152">
        <v>206.48099999999999</v>
      </c>
      <c r="V67" s="152">
        <v>9.9999999999999995E-7</v>
      </c>
      <c r="W67" s="166">
        <v>5.0753557765731098E-3</v>
      </c>
      <c r="X67" s="166">
        <v>5.2246849956332495E-4</v>
      </c>
    </row>
    <row r="68" spans="1:24">
      <c r="A68" s="4" t="s">
        <v>26</v>
      </c>
      <c r="B68" s="4">
        <v>1182</v>
      </c>
      <c r="C68" s="4" t="s">
        <v>2094</v>
      </c>
      <c r="D68" s="4" t="s">
        <v>2095</v>
      </c>
      <c r="E68" s="4" t="s">
        <v>361</v>
      </c>
      <c r="F68" s="4" t="s">
        <v>2096</v>
      </c>
      <c r="G68" s="4" t="s">
        <v>2097</v>
      </c>
      <c r="H68" s="4" t="s">
        <v>367</v>
      </c>
      <c r="I68" s="4" t="s">
        <v>975</v>
      </c>
      <c r="J68" s="4" t="s">
        <v>94</v>
      </c>
      <c r="K68" s="4" t="s">
        <v>290</v>
      </c>
      <c r="L68" s="2" t="s">
        <v>373</v>
      </c>
      <c r="M68" s="2" t="s">
        <v>412</v>
      </c>
      <c r="N68" s="4" t="s">
        <v>578</v>
      </c>
      <c r="O68" s="4" t="s">
        <v>164</v>
      </c>
      <c r="P68" s="4" t="s">
        <v>99</v>
      </c>
      <c r="Q68" s="152">
        <v>2297</v>
      </c>
      <c r="R68" s="152">
        <v>3.7589999999999999</v>
      </c>
      <c r="S68" s="152">
        <v>14274</v>
      </c>
      <c r="U68" s="152">
        <v>1232.4780000000001</v>
      </c>
      <c r="V68" s="152">
        <v>0</v>
      </c>
      <c r="W68" s="166">
        <v>3.0294650859368701E-2</v>
      </c>
      <c r="X68" s="166">
        <v>3.1185992620159199E-3</v>
      </c>
    </row>
    <row r="69" spans="1:24">
      <c r="A69" s="4" t="s">
        <v>26</v>
      </c>
      <c r="B69" s="4">
        <v>1182</v>
      </c>
      <c r="C69" s="4" t="s">
        <v>2098</v>
      </c>
      <c r="D69" s="4" t="s">
        <v>2099</v>
      </c>
      <c r="E69" s="4" t="s">
        <v>361</v>
      </c>
      <c r="F69" s="4" t="s">
        <v>2100</v>
      </c>
      <c r="G69" s="4" t="s">
        <v>2101</v>
      </c>
      <c r="H69" s="4" t="s">
        <v>367</v>
      </c>
      <c r="I69" s="4" t="s">
        <v>975</v>
      </c>
      <c r="J69" s="4" t="s">
        <v>94</v>
      </c>
      <c r="K69" s="4" t="s">
        <v>95</v>
      </c>
      <c r="L69" s="2" t="s">
        <v>373</v>
      </c>
      <c r="M69" s="2" t="s">
        <v>392</v>
      </c>
      <c r="N69" s="4" t="s">
        <v>592</v>
      </c>
      <c r="O69" s="4" t="s">
        <v>164</v>
      </c>
      <c r="P69" s="4" t="s">
        <v>99</v>
      </c>
      <c r="Q69" s="152">
        <v>3070</v>
      </c>
      <c r="R69" s="152">
        <v>3.7589999999999999</v>
      </c>
      <c r="S69" s="152">
        <v>12354</v>
      </c>
      <c r="U69" s="152">
        <v>1425.6679999999999</v>
      </c>
      <c r="V69" s="152">
        <v>9.9999999999999995E-7</v>
      </c>
      <c r="W69" s="166">
        <v>3.5043319362715902E-2</v>
      </c>
      <c r="X69" s="166">
        <v>3.6074378414352E-3</v>
      </c>
    </row>
    <row r="70" spans="1:24">
      <c r="A70" s="4" t="s">
        <v>26</v>
      </c>
      <c r="B70" s="4">
        <v>1182</v>
      </c>
      <c r="C70" s="4" t="s">
        <v>2102</v>
      </c>
      <c r="D70" s="4" t="s">
        <v>2103</v>
      </c>
      <c r="E70" s="4" t="s">
        <v>361</v>
      </c>
      <c r="F70" s="4" t="s">
        <v>2104</v>
      </c>
      <c r="G70" s="4" t="s">
        <v>2105</v>
      </c>
      <c r="H70" s="4" t="s">
        <v>367</v>
      </c>
      <c r="I70" s="4" t="s">
        <v>975</v>
      </c>
      <c r="J70" s="4" t="s">
        <v>94</v>
      </c>
      <c r="K70" s="4" t="s">
        <v>95</v>
      </c>
      <c r="L70" s="2" t="s">
        <v>373</v>
      </c>
      <c r="M70" s="2" t="s">
        <v>392</v>
      </c>
      <c r="N70" s="4" t="s">
        <v>578</v>
      </c>
      <c r="O70" s="4" t="s">
        <v>164</v>
      </c>
      <c r="P70" s="4" t="s">
        <v>99</v>
      </c>
      <c r="Q70" s="152">
        <v>1001</v>
      </c>
      <c r="R70" s="152">
        <v>3.7589999999999999</v>
      </c>
      <c r="S70" s="152">
        <v>578</v>
      </c>
      <c r="U70" s="152">
        <v>21.748999999999999</v>
      </c>
      <c r="V70" s="152">
        <v>3.1999999999999999E-5</v>
      </c>
      <c r="W70" s="166">
        <v>5.3459043004023697E-4</v>
      </c>
      <c r="X70" s="166">
        <v>5.5031937101485998E-5</v>
      </c>
    </row>
    <row r="71" spans="1:24">
      <c r="A71" s="4" t="s">
        <v>26</v>
      </c>
      <c r="B71" s="4">
        <v>1182</v>
      </c>
      <c r="C71" s="4" t="s">
        <v>2106</v>
      </c>
      <c r="D71" s="4" t="s">
        <v>2107</v>
      </c>
      <c r="E71" s="4" t="s">
        <v>361</v>
      </c>
      <c r="F71" s="4" t="s">
        <v>2108</v>
      </c>
      <c r="G71" s="4" t="s">
        <v>2109</v>
      </c>
      <c r="H71" s="4" t="s">
        <v>367</v>
      </c>
      <c r="I71" s="4" t="s">
        <v>975</v>
      </c>
      <c r="J71" s="4" t="s">
        <v>94</v>
      </c>
      <c r="K71" s="4" t="s">
        <v>95</v>
      </c>
      <c r="L71" s="2" t="s">
        <v>373</v>
      </c>
      <c r="M71" s="2" t="s">
        <v>390</v>
      </c>
      <c r="N71" s="4" t="s">
        <v>612</v>
      </c>
      <c r="O71" s="4" t="s">
        <v>164</v>
      </c>
      <c r="P71" s="4" t="s">
        <v>99</v>
      </c>
      <c r="Q71" s="152">
        <v>1890</v>
      </c>
      <c r="R71" s="152">
        <v>3.7589999999999999</v>
      </c>
      <c r="S71" s="152">
        <v>11231</v>
      </c>
      <c r="U71" s="152">
        <v>797.90800000000002</v>
      </c>
      <c r="V71" s="152">
        <v>1.9999999999999999E-6</v>
      </c>
      <c r="W71" s="166">
        <v>1.9612795295341E-2</v>
      </c>
      <c r="X71" s="166">
        <v>2.0189851079007999E-3</v>
      </c>
    </row>
    <row r="72" spans="1:24">
      <c r="A72" s="4" t="s">
        <v>26</v>
      </c>
      <c r="B72" s="4">
        <v>1182</v>
      </c>
      <c r="C72" s="4" t="s">
        <v>2110</v>
      </c>
      <c r="D72" s="4" t="s">
        <v>2111</v>
      </c>
      <c r="E72" s="4" t="s">
        <v>361</v>
      </c>
      <c r="F72" s="4" t="s">
        <v>2112</v>
      </c>
      <c r="G72" s="4" t="s">
        <v>2113</v>
      </c>
      <c r="H72" s="4" t="s">
        <v>367</v>
      </c>
      <c r="I72" s="4" t="s">
        <v>975</v>
      </c>
      <c r="J72" s="4" t="s">
        <v>94</v>
      </c>
      <c r="K72" s="4" t="s">
        <v>95</v>
      </c>
      <c r="L72" s="2" t="s">
        <v>373</v>
      </c>
      <c r="M72" s="2" t="s">
        <v>390</v>
      </c>
      <c r="N72" s="4" t="s">
        <v>530</v>
      </c>
      <c r="O72" s="4" t="s">
        <v>164</v>
      </c>
      <c r="P72" s="4" t="s">
        <v>99</v>
      </c>
      <c r="Q72" s="152">
        <v>4975</v>
      </c>
      <c r="R72" s="152">
        <v>3.7589999999999999</v>
      </c>
      <c r="S72" s="152">
        <v>4718</v>
      </c>
      <c r="T72" s="150">
        <v>0.71899999999999997</v>
      </c>
      <c r="U72" s="152">
        <v>885.01499999999999</v>
      </c>
      <c r="V72" s="152">
        <v>3.0000000000000001E-6</v>
      </c>
      <c r="W72" s="166">
        <v>2.17539299992144E-2</v>
      </c>
      <c r="X72" s="166">
        <v>2.2393983134654902E-3</v>
      </c>
    </row>
    <row r="73" spans="1:24">
      <c r="A73" s="4" t="s">
        <v>26</v>
      </c>
      <c r="B73" s="4">
        <v>1182</v>
      </c>
      <c r="C73" s="4" t="s">
        <v>2114</v>
      </c>
      <c r="D73" s="4" t="s">
        <v>2115</v>
      </c>
      <c r="E73" s="4" t="s">
        <v>361</v>
      </c>
      <c r="F73" s="4" t="s">
        <v>2114</v>
      </c>
      <c r="G73" s="4" t="s">
        <v>2116</v>
      </c>
      <c r="H73" s="4" t="s">
        <v>367</v>
      </c>
      <c r="I73" s="4" t="s">
        <v>975</v>
      </c>
      <c r="J73" s="4" t="s">
        <v>94</v>
      </c>
      <c r="K73" s="4" t="s">
        <v>95</v>
      </c>
      <c r="L73" s="2" t="s">
        <v>373</v>
      </c>
      <c r="M73" s="2" t="s">
        <v>392</v>
      </c>
      <c r="N73" s="4" t="s">
        <v>559</v>
      </c>
      <c r="O73" s="4" t="s">
        <v>164</v>
      </c>
      <c r="P73" s="4" t="s">
        <v>99</v>
      </c>
      <c r="Q73" s="152">
        <v>6720</v>
      </c>
      <c r="R73" s="152">
        <v>3.7589999999999999</v>
      </c>
      <c r="S73" s="152">
        <v>1476</v>
      </c>
      <c r="U73" s="152">
        <v>372.84500000000003</v>
      </c>
      <c r="V73" s="152">
        <v>5.5999999999999999E-5</v>
      </c>
      <c r="W73" s="166">
        <v>9.1646291256298994E-3</v>
      </c>
      <c r="X73" s="166">
        <v>9.4342746382899403E-4</v>
      </c>
    </row>
    <row r="74" spans="1:24">
      <c r="A74" s="4" t="s">
        <v>26</v>
      </c>
      <c r="B74" s="4">
        <v>1182</v>
      </c>
      <c r="C74" s="4" t="s">
        <v>2117</v>
      </c>
      <c r="D74" s="4" t="s">
        <v>2118</v>
      </c>
      <c r="E74" s="4" t="s">
        <v>361</v>
      </c>
      <c r="F74" s="4" t="s">
        <v>2119</v>
      </c>
      <c r="G74" s="4" t="s">
        <v>2120</v>
      </c>
      <c r="H74" s="4" t="s">
        <v>367</v>
      </c>
      <c r="I74" s="4" t="s">
        <v>975</v>
      </c>
      <c r="J74" s="4" t="s">
        <v>94</v>
      </c>
      <c r="K74" s="4" t="s">
        <v>317</v>
      </c>
      <c r="L74" s="2" t="s">
        <v>373</v>
      </c>
      <c r="M74" s="2" t="s">
        <v>390</v>
      </c>
      <c r="N74" s="4" t="s">
        <v>592</v>
      </c>
      <c r="O74" s="4" t="s">
        <v>164</v>
      </c>
      <c r="P74" s="4" t="s">
        <v>99</v>
      </c>
      <c r="Q74" s="152">
        <v>2904</v>
      </c>
      <c r="R74" s="152">
        <v>3.7589999999999999</v>
      </c>
      <c r="S74" s="152">
        <v>17381</v>
      </c>
      <c r="T74" s="150">
        <v>1.2470000000000001</v>
      </c>
      <c r="U74" s="152">
        <v>1902.02</v>
      </c>
      <c r="V74" s="152">
        <v>9.9999999999999995E-7</v>
      </c>
      <c r="W74" s="166">
        <v>4.6752194524360899E-2</v>
      </c>
      <c r="X74" s="166">
        <v>4.8127756948949099E-3</v>
      </c>
    </row>
    <row r="75" spans="1:24">
      <c r="A75" s="4" t="s">
        <v>26</v>
      </c>
      <c r="B75" s="4">
        <v>1182</v>
      </c>
      <c r="C75" s="4" t="s">
        <v>2121</v>
      </c>
      <c r="D75" s="4" t="s">
        <v>2122</v>
      </c>
      <c r="E75" s="4" t="s">
        <v>361</v>
      </c>
      <c r="F75" s="4" t="s">
        <v>2121</v>
      </c>
      <c r="G75" s="4" t="s">
        <v>2123</v>
      </c>
      <c r="H75" s="4" t="s">
        <v>367</v>
      </c>
      <c r="I75" s="4" t="s">
        <v>975</v>
      </c>
      <c r="J75" s="4" t="s">
        <v>94</v>
      </c>
      <c r="K75" s="4" t="s">
        <v>95</v>
      </c>
      <c r="L75" s="2" t="s">
        <v>373</v>
      </c>
      <c r="M75" s="2" t="s">
        <v>392</v>
      </c>
      <c r="N75" s="4" t="s">
        <v>556</v>
      </c>
      <c r="O75" s="4" t="s">
        <v>164</v>
      </c>
      <c r="P75" s="4" t="s">
        <v>99</v>
      </c>
      <c r="Q75" s="152">
        <v>1084</v>
      </c>
      <c r="R75" s="152">
        <v>3.7589999999999999</v>
      </c>
      <c r="S75" s="152">
        <v>19788</v>
      </c>
      <c r="U75" s="152">
        <v>806.31299999999999</v>
      </c>
      <c r="V75" s="152">
        <v>0</v>
      </c>
      <c r="W75" s="166">
        <v>1.9819397498220901E-2</v>
      </c>
      <c r="X75" s="166">
        <v>2.0402532017442698E-3</v>
      </c>
    </row>
    <row r="76" spans="1:24">
      <c r="A76" s="4" t="s">
        <v>26</v>
      </c>
      <c r="B76" s="4">
        <v>1182</v>
      </c>
      <c r="C76" s="4" t="s">
        <v>2124</v>
      </c>
      <c r="D76" s="4" t="s">
        <v>2125</v>
      </c>
      <c r="E76" s="4" t="s">
        <v>361</v>
      </c>
      <c r="F76" s="4" t="s">
        <v>2126</v>
      </c>
      <c r="G76" s="4" t="s">
        <v>2127</v>
      </c>
      <c r="H76" s="4" t="s">
        <v>367</v>
      </c>
      <c r="I76" s="4" t="s">
        <v>975</v>
      </c>
      <c r="J76" s="4" t="s">
        <v>94</v>
      </c>
      <c r="K76" s="4" t="s">
        <v>321</v>
      </c>
      <c r="L76" s="2" t="s">
        <v>373</v>
      </c>
      <c r="M76" s="2" t="s">
        <v>440</v>
      </c>
      <c r="N76" s="4" t="s">
        <v>612</v>
      </c>
      <c r="O76" s="4" t="s">
        <v>164</v>
      </c>
      <c r="P76" s="4" t="s">
        <v>1219</v>
      </c>
      <c r="Q76" s="152">
        <v>2205</v>
      </c>
      <c r="R76" s="152">
        <v>4.0199999999999996</v>
      </c>
      <c r="S76" s="152">
        <v>560</v>
      </c>
      <c r="U76" s="152">
        <v>49.640999999999998</v>
      </c>
      <c r="V76" s="152">
        <v>1.248E-3</v>
      </c>
      <c r="W76" s="166">
        <v>1.2202005556123401E-3</v>
      </c>
      <c r="X76" s="166">
        <v>1.25610180157176E-4</v>
      </c>
    </row>
    <row r="77" spans="1:24">
      <c r="A77" s="4" t="s">
        <v>26</v>
      </c>
      <c r="B77" s="4">
        <v>1182</v>
      </c>
      <c r="C77" s="4" t="s">
        <v>2128</v>
      </c>
      <c r="D77" s="4" t="s">
        <v>2129</v>
      </c>
      <c r="E77" s="4" t="s">
        <v>361</v>
      </c>
      <c r="F77" s="4" t="s">
        <v>2130</v>
      </c>
      <c r="G77" s="4" t="s">
        <v>2131</v>
      </c>
      <c r="H77" s="4" t="s">
        <v>367</v>
      </c>
      <c r="I77" s="4" t="s">
        <v>975</v>
      </c>
      <c r="J77" s="4" t="s">
        <v>94</v>
      </c>
      <c r="K77" s="4" t="s">
        <v>95</v>
      </c>
      <c r="L77" s="2" t="s">
        <v>373</v>
      </c>
      <c r="M77" s="2" t="s">
        <v>390</v>
      </c>
      <c r="N77" s="4" t="s">
        <v>2071</v>
      </c>
      <c r="O77" s="4" t="s">
        <v>164</v>
      </c>
      <c r="P77" s="4" t="s">
        <v>99</v>
      </c>
      <c r="Q77" s="152">
        <v>645</v>
      </c>
      <c r="R77" s="152">
        <v>3.7589999999999999</v>
      </c>
      <c r="S77" s="152">
        <v>26247</v>
      </c>
      <c r="U77" s="152">
        <v>636.37300000000005</v>
      </c>
      <c r="V77" s="152">
        <v>0</v>
      </c>
      <c r="W77" s="166">
        <v>1.56422293729396E-2</v>
      </c>
      <c r="X77" s="166">
        <v>1.61024615220635E-3</v>
      </c>
    </row>
    <row r="78" spans="1:24">
      <c r="A78" s="4" t="s">
        <v>26</v>
      </c>
      <c r="B78" s="4">
        <v>1182</v>
      </c>
      <c r="C78" s="4" t="s">
        <v>2132</v>
      </c>
      <c r="D78" s="4" t="s">
        <v>2133</v>
      </c>
      <c r="E78" s="4" t="s">
        <v>361</v>
      </c>
      <c r="F78" s="4" t="s">
        <v>2134</v>
      </c>
      <c r="G78" s="4" t="s">
        <v>2135</v>
      </c>
      <c r="H78" s="4" t="s">
        <v>367</v>
      </c>
      <c r="I78" s="4" t="s">
        <v>975</v>
      </c>
      <c r="J78" s="4" t="s">
        <v>94</v>
      </c>
      <c r="K78" s="4" t="s">
        <v>95</v>
      </c>
      <c r="L78" s="2" t="s">
        <v>373</v>
      </c>
      <c r="M78" s="2" t="s">
        <v>390</v>
      </c>
      <c r="N78" s="4" t="s">
        <v>593</v>
      </c>
      <c r="O78" s="4" t="s">
        <v>164</v>
      </c>
      <c r="P78" s="4" t="s">
        <v>99</v>
      </c>
      <c r="Q78" s="152">
        <v>1395</v>
      </c>
      <c r="R78" s="152">
        <v>3.7589999999999999</v>
      </c>
      <c r="S78" s="152">
        <v>9929</v>
      </c>
      <c r="U78" s="152">
        <v>520.65700000000004</v>
      </c>
      <c r="V78" s="152">
        <v>9.9999999999999995E-7</v>
      </c>
      <c r="W78" s="166">
        <v>1.2797907956953E-2</v>
      </c>
      <c r="X78" s="166">
        <v>1.31744533037121E-3</v>
      </c>
    </row>
    <row r="79" spans="1:24">
      <c r="A79" s="4" t="s">
        <v>26</v>
      </c>
      <c r="B79" s="4">
        <v>14769</v>
      </c>
      <c r="C79" s="4" t="s">
        <v>1833</v>
      </c>
      <c r="D79" s="4" t="s">
        <v>1834</v>
      </c>
      <c r="E79" s="4" t="s">
        <v>361</v>
      </c>
      <c r="F79" s="4" t="s">
        <v>1835</v>
      </c>
      <c r="G79" s="4" t="s">
        <v>1836</v>
      </c>
      <c r="H79" s="4" t="s">
        <v>367</v>
      </c>
      <c r="I79" s="4" t="s">
        <v>975</v>
      </c>
      <c r="J79" s="4" t="s">
        <v>94</v>
      </c>
      <c r="K79" s="4" t="s">
        <v>95</v>
      </c>
      <c r="L79" s="2" t="s">
        <v>373</v>
      </c>
      <c r="M79" s="2" t="s">
        <v>32</v>
      </c>
      <c r="N79" s="4" t="s">
        <v>484</v>
      </c>
      <c r="O79" s="4" t="s">
        <v>164</v>
      </c>
      <c r="P79" s="4" t="s">
        <v>35</v>
      </c>
      <c r="Q79" s="152">
        <v>102</v>
      </c>
      <c r="R79" s="152">
        <v>1</v>
      </c>
      <c r="S79" s="152">
        <v>26580</v>
      </c>
      <c r="U79" s="152">
        <v>27.111999999999998</v>
      </c>
      <c r="V79" s="152">
        <v>1.9999999999999999E-6</v>
      </c>
      <c r="W79" s="166">
        <v>1.5884826180646499E-2</v>
      </c>
      <c r="X79" s="166">
        <v>2.4324627686530399E-3</v>
      </c>
    </row>
    <row r="80" spans="1:24">
      <c r="A80" s="4" t="s">
        <v>26</v>
      </c>
      <c r="B80" s="4">
        <v>14769</v>
      </c>
      <c r="C80" s="4" t="s">
        <v>1837</v>
      </c>
      <c r="D80" s="4" t="s">
        <v>1838</v>
      </c>
      <c r="E80" s="4" t="s">
        <v>1376</v>
      </c>
      <c r="F80" s="4" t="s">
        <v>1839</v>
      </c>
      <c r="G80" s="4" t="s">
        <v>1840</v>
      </c>
      <c r="H80" s="4" t="s">
        <v>367</v>
      </c>
      <c r="I80" s="4" t="s">
        <v>975</v>
      </c>
      <c r="J80" s="4" t="s">
        <v>31</v>
      </c>
      <c r="K80" s="4" t="s">
        <v>31</v>
      </c>
      <c r="L80" s="2" t="s">
        <v>373</v>
      </c>
      <c r="M80" s="2" t="s">
        <v>32</v>
      </c>
      <c r="N80" s="4" t="s">
        <v>499</v>
      </c>
      <c r="O80" s="4" t="s">
        <v>164</v>
      </c>
      <c r="P80" s="4" t="s">
        <v>35</v>
      </c>
      <c r="Q80" s="152">
        <v>1586</v>
      </c>
      <c r="R80" s="152">
        <v>1</v>
      </c>
      <c r="S80" s="152">
        <v>1612</v>
      </c>
      <c r="U80" s="152">
        <v>25.565999999999999</v>
      </c>
      <c r="V80" s="152">
        <v>9.9999999999999995E-7</v>
      </c>
      <c r="W80" s="166">
        <v>1.49794386638482E-2</v>
      </c>
      <c r="X80" s="166">
        <v>2.2938196761338198E-3</v>
      </c>
    </row>
    <row r="81" spans="1:24">
      <c r="A81" s="4" t="s">
        <v>26</v>
      </c>
      <c r="B81" s="4">
        <v>14769</v>
      </c>
      <c r="C81" s="4" t="s">
        <v>1841</v>
      </c>
      <c r="D81" s="4" t="s">
        <v>1842</v>
      </c>
      <c r="E81" s="4" t="s">
        <v>1376</v>
      </c>
      <c r="F81" s="4" t="s">
        <v>1843</v>
      </c>
      <c r="G81" s="4" t="s">
        <v>1844</v>
      </c>
      <c r="H81" s="4" t="s">
        <v>367</v>
      </c>
      <c r="I81" s="4" t="s">
        <v>975</v>
      </c>
      <c r="J81" s="4" t="s">
        <v>31</v>
      </c>
      <c r="K81" s="4" t="s">
        <v>31</v>
      </c>
      <c r="L81" s="2" t="s">
        <v>373</v>
      </c>
      <c r="M81" s="2" t="s">
        <v>32</v>
      </c>
      <c r="N81" s="4" t="s">
        <v>488</v>
      </c>
      <c r="O81" s="4" t="s">
        <v>164</v>
      </c>
      <c r="P81" s="4" t="s">
        <v>35</v>
      </c>
      <c r="Q81" s="152">
        <v>82</v>
      </c>
      <c r="R81" s="152">
        <v>1</v>
      </c>
      <c r="S81" s="152">
        <v>9863</v>
      </c>
      <c r="U81" s="152">
        <v>8.0879999999999992</v>
      </c>
      <c r="V81" s="152">
        <v>6.0000000000000002E-6</v>
      </c>
      <c r="W81" s="166">
        <v>4.73860168002506E-3</v>
      </c>
      <c r="X81" s="166">
        <v>7.2562784326725199E-4</v>
      </c>
    </row>
    <row r="82" spans="1:24">
      <c r="A82" s="4" t="s">
        <v>26</v>
      </c>
      <c r="B82" s="4">
        <v>14769</v>
      </c>
      <c r="C82" s="4" t="s">
        <v>1845</v>
      </c>
      <c r="D82" s="4" t="s">
        <v>1846</v>
      </c>
      <c r="E82" s="4" t="s">
        <v>1376</v>
      </c>
      <c r="F82" s="4" t="s">
        <v>1847</v>
      </c>
      <c r="G82" s="4" t="s">
        <v>1848</v>
      </c>
      <c r="H82" s="4" t="s">
        <v>367</v>
      </c>
      <c r="I82" s="4" t="s">
        <v>975</v>
      </c>
      <c r="J82" s="4" t="s">
        <v>31</v>
      </c>
      <c r="K82" s="4" t="s">
        <v>31</v>
      </c>
      <c r="L82" s="2" t="s">
        <v>373</v>
      </c>
      <c r="M82" s="2" t="s">
        <v>32</v>
      </c>
      <c r="N82" s="4" t="s">
        <v>506</v>
      </c>
      <c r="O82" s="4" t="s">
        <v>164</v>
      </c>
      <c r="P82" s="4" t="s">
        <v>35</v>
      </c>
      <c r="Q82" s="152">
        <v>111</v>
      </c>
      <c r="R82" s="152">
        <v>1</v>
      </c>
      <c r="S82" s="152">
        <v>992.1</v>
      </c>
      <c r="U82" s="152">
        <v>1.101</v>
      </c>
      <c r="V82" s="152">
        <v>9.9999999999999995E-7</v>
      </c>
      <c r="W82" s="166">
        <v>6.4521691894759195E-4</v>
      </c>
      <c r="X82" s="166">
        <v>9.8802852180858195E-5</v>
      </c>
    </row>
    <row r="83" spans="1:24">
      <c r="A83" s="4" t="s">
        <v>26</v>
      </c>
      <c r="B83" s="4">
        <v>14769</v>
      </c>
      <c r="C83" s="4" t="s">
        <v>1853</v>
      </c>
      <c r="D83" s="4" t="s">
        <v>1854</v>
      </c>
      <c r="E83" s="4" t="s">
        <v>1376</v>
      </c>
      <c r="F83" s="4" t="s">
        <v>1855</v>
      </c>
      <c r="G83" s="4" t="s">
        <v>1856</v>
      </c>
      <c r="H83" s="4" t="s">
        <v>367</v>
      </c>
      <c r="I83" s="4" t="s">
        <v>975</v>
      </c>
      <c r="J83" s="4" t="s">
        <v>31</v>
      </c>
      <c r="K83" s="4" t="s">
        <v>31</v>
      </c>
      <c r="L83" s="2" t="s">
        <v>373</v>
      </c>
      <c r="M83" s="2" t="s">
        <v>32</v>
      </c>
      <c r="N83" s="4" t="s">
        <v>489</v>
      </c>
      <c r="O83" s="4" t="s">
        <v>164</v>
      </c>
      <c r="P83" s="4" t="s">
        <v>35</v>
      </c>
      <c r="Q83" s="152">
        <v>55</v>
      </c>
      <c r="R83" s="152">
        <v>1</v>
      </c>
      <c r="S83" s="152">
        <v>66410</v>
      </c>
      <c r="T83" s="150">
        <v>0.10299999999999999</v>
      </c>
      <c r="U83" s="152">
        <v>36.628999999999998</v>
      </c>
      <c r="V83" s="152">
        <v>9.9999999999999995E-7</v>
      </c>
      <c r="W83" s="166">
        <v>2.1461043728274901E-2</v>
      </c>
      <c r="X83" s="166">
        <v>3.2863557493040701E-3</v>
      </c>
    </row>
    <row r="84" spans="1:24">
      <c r="A84" s="4" t="s">
        <v>26</v>
      </c>
      <c r="B84" s="4">
        <v>14769</v>
      </c>
      <c r="C84" s="4" t="s">
        <v>1857</v>
      </c>
      <c r="D84" s="4" t="s">
        <v>1858</v>
      </c>
      <c r="E84" s="4" t="s">
        <v>1376</v>
      </c>
      <c r="F84" s="4" t="s">
        <v>1859</v>
      </c>
      <c r="G84" s="4" t="s">
        <v>1860</v>
      </c>
      <c r="H84" s="4" t="s">
        <v>367</v>
      </c>
      <c r="I84" s="4" t="s">
        <v>975</v>
      </c>
      <c r="J84" s="4" t="s">
        <v>31</v>
      </c>
      <c r="K84" s="4" t="s">
        <v>31</v>
      </c>
      <c r="L84" s="2" t="s">
        <v>373</v>
      </c>
      <c r="M84" s="2" t="s">
        <v>32</v>
      </c>
      <c r="N84" s="4" t="s">
        <v>494</v>
      </c>
      <c r="O84" s="4" t="s">
        <v>164</v>
      </c>
      <c r="P84" s="4" t="s">
        <v>35</v>
      </c>
      <c r="Q84" s="152">
        <v>10</v>
      </c>
      <c r="R84" s="152">
        <v>1</v>
      </c>
      <c r="S84" s="152">
        <v>129690</v>
      </c>
      <c r="U84" s="152">
        <v>12.968999999999999</v>
      </c>
      <c r="V84" s="152">
        <v>3.0000000000000001E-6</v>
      </c>
      <c r="W84" s="166">
        <v>7.59860394579459E-3</v>
      </c>
      <c r="X84" s="166">
        <v>1.1635834715273601E-3</v>
      </c>
    </row>
    <row r="85" spans="1:24">
      <c r="A85" s="4" t="s">
        <v>26</v>
      </c>
      <c r="B85" s="4">
        <v>14769</v>
      </c>
      <c r="C85" s="4" t="s">
        <v>1861</v>
      </c>
      <c r="D85" s="4" t="s">
        <v>1862</v>
      </c>
      <c r="E85" s="4" t="s">
        <v>1376</v>
      </c>
      <c r="F85" s="4" t="s">
        <v>1863</v>
      </c>
      <c r="G85" s="4" t="s">
        <v>1864</v>
      </c>
      <c r="H85" s="4" t="s">
        <v>367</v>
      </c>
      <c r="I85" s="4" t="s">
        <v>975</v>
      </c>
      <c r="J85" s="4" t="s">
        <v>31</v>
      </c>
      <c r="K85" s="4" t="s">
        <v>95</v>
      </c>
      <c r="L85" s="2" t="s">
        <v>373</v>
      </c>
      <c r="M85" s="2" t="s">
        <v>32</v>
      </c>
      <c r="N85" s="4" t="s">
        <v>484</v>
      </c>
      <c r="O85" s="4" t="s">
        <v>164</v>
      </c>
      <c r="P85" s="4" t="s">
        <v>35</v>
      </c>
      <c r="Q85" s="152">
        <v>240</v>
      </c>
      <c r="R85" s="152">
        <v>1</v>
      </c>
      <c r="S85" s="152">
        <v>5985</v>
      </c>
      <c r="U85" s="152">
        <v>14.364000000000001</v>
      </c>
      <c r="V85" s="152">
        <v>1.9999999999999999E-6</v>
      </c>
      <c r="W85" s="166">
        <v>8.4159416360084401E-3</v>
      </c>
      <c r="X85" s="166">
        <v>1.2887433869241301E-3</v>
      </c>
    </row>
    <row r="86" spans="1:24">
      <c r="A86" s="4" t="s">
        <v>26</v>
      </c>
      <c r="B86" s="4">
        <v>14769</v>
      </c>
      <c r="C86" s="4" t="s">
        <v>1869</v>
      </c>
      <c r="D86" s="4" t="s">
        <v>1870</v>
      </c>
      <c r="E86" s="4" t="s">
        <v>1376</v>
      </c>
      <c r="F86" s="4" t="s">
        <v>1871</v>
      </c>
      <c r="G86" s="4" t="s">
        <v>1872</v>
      </c>
      <c r="H86" s="4" t="s">
        <v>367</v>
      </c>
      <c r="I86" s="4" t="s">
        <v>975</v>
      </c>
      <c r="J86" s="4" t="s">
        <v>31</v>
      </c>
      <c r="K86" s="4" t="s">
        <v>31</v>
      </c>
      <c r="L86" s="2" t="s">
        <v>373</v>
      </c>
      <c r="M86" s="2" t="s">
        <v>32</v>
      </c>
      <c r="N86" s="4" t="s">
        <v>490</v>
      </c>
      <c r="O86" s="4" t="s">
        <v>164</v>
      </c>
      <c r="P86" s="4" t="s">
        <v>35</v>
      </c>
      <c r="Q86" s="152">
        <v>411</v>
      </c>
      <c r="R86" s="152">
        <v>1</v>
      </c>
      <c r="S86" s="152">
        <v>4328</v>
      </c>
      <c r="U86" s="152">
        <v>17.788</v>
      </c>
      <c r="V86" s="152">
        <v>3.9999999999999998E-6</v>
      </c>
      <c r="W86" s="166">
        <v>1.04221277566589E-2</v>
      </c>
      <c r="X86" s="166">
        <v>1.59595310958489E-3</v>
      </c>
    </row>
    <row r="87" spans="1:24">
      <c r="A87" s="4" t="s">
        <v>26</v>
      </c>
      <c r="B87" s="4">
        <v>14769</v>
      </c>
      <c r="C87" s="4" t="s">
        <v>1877</v>
      </c>
      <c r="D87" s="4" t="s">
        <v>1878</v>
      </c>
      <c r="E87" s="4" t="s">
        <v>1376</v>
      </c>
      <c r="F87" s="4" t="s">
        <v>1879</v>
      </c>
      <c r="G87" s="4" t="s">
        <v>1880</v>
      </c>
      <c r="H87" s="4" t="s">
        <v>367</v>
      </c>
      <c r="I87" s="4" t="s">
        <v>975</v>
      </c>
      <c r="J87" s="4" t="s">
        <v>31</v>
      </c>
      <c r="K87" s="4" t="s">
        <v>31</v>
      </c>
      <c r="L87" s="2" t="s">
        <v>373</v>
      </c>
      <c r="M87" s="2" t="s">
        <v>32</v>
      </c>
      <c r="N87" s="4" t="s">
        <v>483</v>
      </c>
      <c r="O87" s="4" t="s">
        <v>164</v>
      </c>
      <c r="P87" s="4" t="s">
        <v>35</v>
      </c>
      <c r="Q87" s="152">
        <v>973</v>
      </c>
      <c r="R87" s="152">
        <v>1</v>
      </c>
      <c r="S87" s="152">
        <v>86.7</v>
      </c>
      <c r="U87" s="152">
        <v>0.84399999999999997</v>
      </c>
      <c r="V87" s="152">
        <v>0</v>
      </c>
      <c r="W87" s="166">
        <v>4.9426431500013905E-4</v>
      </c>
      <c r="X87" s="166">
        <v>7.5687296193171398E-5</v>
      </c>
    </row>
    <row r="88" spans="1:24">
      <c r="A88" s="4" t="s">
        <v>26</v>
      </c>
      <c r="B88" s="4">
        <v>14769</v>
      </c>
      <c r="C88" s="4" t="s">
        <v>1881</v>
      </c>
      <c r="D88" s="4" t="s">
        <v>1882</v>
      </c>
      <c r="E88" s="4" t="s">
        <v>1376</v>
      </c>
      <c r="F88" s="4" t="s">
        <v>1883</v>
      </c>
      <c r="G88" s="4" t="s">
        <v>1884</v>
      </c>
      <c r="H88" s="4" t="s">
        <v>367</v>
      </c>
      <c r="I88" s="4" t="s">
        <v>975</v>
      </c>
      <c r="J88" s="4" t="s">
        <v>31</v>
      </c>
      <c r="K88" s="4" t="s">
        <v>31</v>
      </c>
      <c r="L88" s="2" t="s">
        <v>373</v>
      </c>
      <c r="M88" s="2" t="s">
        <v>32</v>
      </c>
      <c r="N88" s="4" t="s">
        <v>528</v>
      </c>
      <c r="O88" s="4" t="s">
        <v>164</v>
      </c>
      <c r="P88" s="4" t="s">
        <v>35</v>
      </c>
      <c r="Q88" s="152">
        <v>13523</v>
      </c>
      <c r="R88" s="152">
        <v>1</v>
      </c>
      <c r="S88" s="152">
        <v>423.6</v>
      </c>
      <c r="U88" s="152">
        <v>57.283000000000001</v>
      </c>
      <c r="V88" s="152">
        <v>5.0000000000000004E-6</v>
      </c>
      <c r="W88" s="166">
        <v>3.3562655719750201E-2</v>
      </c>
      <c r="X88" s="166">
        <v>5.1394903240980601E-3</v>
      </c>
    </row>
    <row r="89" spans="1:24">
      <c r="A89" s="4" t="s">
        <v>26</v>
      </c>
      <c r="B89" s="4">
        <v>14769</v>
      </c>
      <c r="C89" s="4" t="s">
        <v>1885</v>
      </c>
      <c r="D89" s="4" t="s">
        <v>1886</v>
      </c>
      <c r="E89" s="4" t="s">
        <v>1376</v>
      </c>
      <c r="F89" s="4" t="s">
        <v>1887</v>
      </c>
      <c r="G89" s="4" t="s">
        <v>1888</v>
      </c>
      <c r="H89" s="4" t="s">
        <v>367</v>
      </c>
      <c r="I89" s="4" t="s">
        <v>975</v>
      </c>
      <c r="J89" s="4" t="s">
        <v>31</v>
      </c>
      <c r="K89" s="4" t="s">
        <v>31</v>
      </c>
      <c r="L89" s="2" t="s">
        <v>373</v>
      </c>
      <c r="M89" s="2" t="s">
        <v>32</v>
      </c>
      <c r="N89" s="4" t="s">
        <v>507</v>
      </c>
      <c r="O89" s="4" t="s">
        <v>164</v>
      </c>
      <c r="P89" s="4" t="s">
        <v>35</v>
      </c>
      <c r="Q89" s="152">
        <v>26</v>
      </c>
      <c r="R89" s="152">
        <v>1</v>
      </c>
      <c r="S89" s="152">
        <v>35740</v>
      </c>
      <c r="U89" s="152">
        <v>9.2919999999999998</v>
      </c>
      <c r="V89" s="152">
        <v>9.9999999999999995E-7</v>
      </c>
      <c r="W89" s="166">
        <v>5.4444650555865197E-3</v>
      </c>
      <c r="X89" s="166">
        <v>8.3371756117055001E-4</v>
      </c>
    </row>
    <row r="90" spans="1:24">
      <c r="A90" s="4" t="s">
        <v>26</v>
      </c>
      <c r="B90" s="4">
        <v>14769</v>
      </c>
      <c r="C90" s="4" t="s">
        <v>1889</v>
      </c>
      <c r="D90" s="4" t="s">
        <v>1890</v>
      </c>
      <c r="E90" s="4" t="s">
        <v>1376</v>
      </c>
      <c r="F90" s="4" t="s">
        <v>1891</v>
      </c>
      <c r="G90" s="4" t="s">
        <v>1892</v>
      </c>
      <c r="H90" s="4" t="s">
        <v>367</v>
      </c>
      <c r="I90" s="4" t="s">
        <v>975</v>
      </c>
      <c r="J90" s="4" t="s">
        <v>31</v>
      </c>
      <c r="K90" s="4" t="s">
        <v>31</v>
      </c>
      <c r="L90" s="2" t="s">
        <v>373</v>
      </c>
      <c r="M90" s="2" t="s">
        <v>32</v>
      </c>
      <c r="N90" s="4" t="s">
        <v>491</v>
      </c>
      <c r="O90" s="4" t="s">
        <v>164</v>
      </c>
      <c r="P90" s="4" t="s">
        <v>35</v>
      </c>
      <c r="Q90" s="152">
        <v>9</v>
      </c>
      <c r="R90" s="152">
        <v>1</v>
      </c>
      <c r="S90" s="152">
        <v>14410</v>
      </c>
      <c r="U90" s="152">
        <v>1.2969999999999999</v>
      </c>
      <c r="V90" s="152">
        <v>0</v>
      </c>
      <c r="W90" s="166">
        <v>7.5986039457945896E-4</v>
      </c>
      <c r="X90" s="166">
        <v>1.16358347152736E-4</v>
      </c>
    </row>
    <row r="91" spans="1:24">
      <c r="A91" s="4" t="s">
        <v>26</v>
      </c>
      <c r="B91" s="4">
        <v>14769</v>
      </c>
      <c r="C91" s="4" t="s">
        <v>1897</v>
      </c>
      <c r="D91" s="4" t="s">
        <v>1898</v>
      </c>
      <c r="E91" s="4" t="s">
        <v>1376</v>
      </c>
      <c r="F91" s="4" t="s">
        <v>1899</v>
      </c>
      <c r="G91" s="4" t="s">
        <v>1900</v>
      </c>
      <c r="H91" s="4" t="s">
        <v>367</v>
      </c>
      <c r="I91" s="4" t="s">
        <v>975</v>
      </c>
      <c r="J91" s="4" t="s">
        <v>31</v>
      </c>
      <c r="K91" s="4" t="s">
        <v>31</v>
      </c>
      <c r="L91" s="2" t="s">
        <v>373</v>
      </c>
      <c r="M91" s="2" t="s">
        <v>32</v>
      </c>
      <c r="N91" s="4" t="s">
        <v>491</v>
      </c>
      <c r="O91" s="4" t="s">
        <v>164</v>
      </c>
      <c r="P91" s="4" t="s">
        <v>35</v>
      </c>
      <c r="Q91" s="152">
        <v>4749</v>
      </c>
      <c r="R91" s="152">
        <v>1</v>
      </c>
      <c r="S91" s="152">
        <v>1909</v>
      </c>
      <c r="U91" s="152">
        <v>90.658000000000001</v>
      </c>
      <c r="V91" s="152">
        <v>3.9999999999999998E-6</v>
      </c>
      <c r="W91" s="166">
        <v>5.3117229697391001E-2</v>
      </c>
      <c r="X91" s="166">
        <v>8.1339060398605192E-3</v>
      </c>
    </row>
    <row r="92" spans="1:24">
      <c r="A92" s="4" t="s">
        <v>26</v>
      </c>
      <c r="B92" s="4">
        <v>14769</v>
      </c>
      <c r="C92" s="4" t="s">
        <v>2136</v>
      </c>
      <c r="D92" s="4" t="s">
        <v>2137</v>
      </c>
      <c r="E92" s="4" t="s">
        <v>1376</v>
      </c>
      <c r="F92" s="4" t="s">
        <v>2138</v>
      </c>
      <c r="G92" s="4" t="s">
        <v>2139</v>
      </c>
      <c r="H92" s="4" t="s">
        <v>367</v>
      </c>
      <c r="I92" s="4" t="s">
        <v>975</v>
      </c>
      <c r="J92" s="4" t="s">
        <v>31</v>
      </c>
      <c r="K92" s="4" t="s">
        <v>31</v>
      </c>
      <c r="L92" s="2" t="s">
        <v>373</v>
      </c>
      <c r="M92" s="2" t="s">
        <v>32</v>
      </c>
      <c r="N92" s="4" t="s">
        <v>497</v>
      </c>
      <c r="O92" s="4" t="s">
        <v>164</v>
      </c>
      <c r="P92" s="4" t="s">
        <v>35</v>
      </c>
      <c r="Q92" s="152">
        <v>69</v>
      </c>
      <c r="R92" s="152">
        <v>1</v>
      </c>
      <c r="S92" s="152">
        <v>39520</v>
      </c>
      <c r="U92" s="152">
        <v>27.268999999999998</v>
      </c>
      <c r="V92" s="152">
        <v>3.9999999999999998E-6</v>
      </c>
      <c r="W92" s="166">
        <v>1.5976930470898602E-2</v>
      </c>
      <c r="X92" s="166">
        <v>2.4465668107321601E-3</v>
      </c>
    </row>
    <row r="93" spans="1:24">
      <c r="A93" s="4" t="s">
        <v>26</v>
      </c>
      <c r="B93" s="4">
        <v>14769</v>
      </c>
      <c r="C93" s="4" t="s">
        <v>1901</v>
      </c>
      <c r="D93" s="4" t="s">
        <v>1902</v>
      </c>
      <c r="E93" s="4" t="s">
        <v>1376</v>
      </c>
      <c r="F93" s="4" t="s">
        <v>1903</v>
      </c>
      <c r="G93" s="4" t="s">
        <v>1904</v>
      </c>
      <c r="H93" s="4" t="s">
        <v>367</v>
      </c>
      <c r="I93" s="4" t="s">
        <v>975</v>
      </c>
      <c r="J93" s="4" t="s">
        <v>31</v>
      </c>
      <c r="K93" s="4" t="s">
        <v>31</v>
      </c>
      <c r="L93" s="2" t="s">
        <v>373</v>
      </c>
      <c r="M93" s="2" t="s">
        <v>32</v>
      </c>
      <c r="N93" s="4" t="s">
        <v>480</v>
      </c>
      <c r="O93" s="4" t="s">
        <v>164</v>
      </c>
      <c r="P93" s="4" t="s">
        <v>35</v>
      </c>
      <c r="Q93" s="152">
        <v>158</v>
      </c>
      <c r="R93" s="152">
        <v>1</v>
      </c>
      <c r="S93" s="152">
        <v>15700</v>
      </c>
      <c r="U93" s="152">
        <v>24.806000000000001</v>
      </c>
      <c r="V93" s="152">
        <v>6.0000000000000002E-6</v>
      </c>
      <c r="W93" s="166">
        <v>1.45339632569497E-2</v>
      </c>
      <c r="X93" s="166">
        <v>2.2256034848259498E-3</v>
      </c>
    </row>
    <row r="94" spans="1:24">
      <c r="A94" s="4" t="s">
        <v>26</v>
      </c>
      <c r="B94" s="4">
        <v>14769</v>
      </c>
      <c r="C94" s="4" t="s">
        <v>1905</v>
      </c>
      <c r="D94" s="4" t="s">
        <v>1906</v>
      </c>
      <c r="E94" s="4" t="s">
        <v>1376</v>
      </c>
      <c r="F94" s="4" t="s">
        <v>1907</v>
      </c>
      <c r="G94" s="4" t="s">
        <v>1908</v>
      </c>
      <c r="H94" s="4" t="s">
        <v>367</v>
      </c>
      <c r="I94" s="4" t="s">
        <v>975</v>
      </c>
      <c r="J94" s="4" t="s">
        <v>31</v>
      </c>
      <c r="K94" s="4" t="s">
        <v>31</v>
      </c>
      <c r="L94" s="2" t="s">
        <v>373</v>
      </c>
      <c r="M94" s="2" t="s">
        <v>32</v>
      </c>
      <c r="N94" s="4" t="s">
        <v>488</v>
      </c>
      <c r="O94" s="4" t="s">
        <v>164</v>
      </c>
      <c r="P94" s="4" t="s">
        <v>35</v>
      </c>
      <c r="Q94" s="152">
        <v>347</v>
      </c>
      <c r="R94" s="152">
        <v>1</v>
      </c>
      <c r="S94" s="152">
        <v>3419</v>
      </c>
      <c r="U94" s="152">
        <v>11.864000000000001</v>
      </c>
      <c r="V94" s="152">
        <v>9.9999999999999995E-7</v>
      </c>
      <c r="W94" s="166">
        <v>6.9511377369597298E-3</v>
      </c>
      <c r="X94" s="166">
        <v>1.06443618284815E-3</v>
      </c>
    </row>
    <row r="95" spans="1:24">
      <c r="A95" s="4" t="s">
        <v>26</v>
      </c>
      <c r="B95" s="4">
        <v>14769</v>
      </c>
      <c r="C95" s="4" t="s">
        <v>1909</v>
      </c>
      <c r="D95" s="4" t="s">
        <v>1910</v>
      </c>
      <c r="E95" s="4" t="s">
        <v>1376</v>
      </c>
      <c r="F95" s="4" t="s">
        <v>1911</v>
      </c>
      <c r="G95" s="4" t="s">
        <v>1912</v>
      </c>
      <c r="H95" s="4" t="s">
        <v>367</v>
      </c>
      <c r="I95" s="4" t="s">
        <v>975</v>
      </c>
      <c r="J95" s="4" t="s">
        <v>31</v>
      </c>
      <c r="K95" s="4" t="s">
        <v>31</v>
      </c>
      <c r="L95" s="2" t="s">
        <v>373</v>
      </c>
      <c r="M95" s="2" t="s">
        <v>32</v>
      </c>
      <c r="N95" s="4" t="s">
        <v>488</v>
      </c>
      <c r="O95" s="4" t="s">
        <v>164</v>
      </c>
      <c r="P95" s="4" t="s">
        <v>35</v>
      </c>
      <c r="Q95" s="152">
        <v>1755</v>
      </c>
      <c r="R95" s="152">
        <v>1</v>
      </c>
      <c r="S95" s="152">
        <v>2997</v>
      </c>
      <c r="U95" s="152">
        <v>52.597000000000001</v>
      </c>
      <c r="V95" s="152">
        <v>7.9999999999999996E-6</v>
      </c>
      <c r="W95" s="166">
        <v>3.08170584662147E-2</v>
      </c>
      <c r="X95" s="166">
        <v>4.7190536746194601E-3</v>
      </c>
    </row>
    <row r="96" spans="1:24">
      <c r="A96" s="4" t="s">
        <v>26</v>
      </c>
      <c r="B96" s="4">
        <v>14769</v>
      </c>
      <c r="C96" s="4" t="s">
        <v>1917</v>
      </c>
      <c r="D96" s="4" t="s">
        <v>1918</v>
      </c>
      <c r="E96" s="4" t="s">
        <v>1376</v>
      </c>
      <c r="F96" s="4" t="s">
        <v>1919</v>
      </c>
      <c r="G96" s="4" t="s">
        <v>1920</v>
      </c>
      <c r="H96" s="4" t="s">
        <v>367</v>
      </c>
      <c r="I96" s="4" t="s">
        <v>975</v>
      </c>
      <c r="J96" s="4" t="s">
        <v>31</v>
      </c>
      <c r="K96" s="4" t="s">
        <v>31</v>
      </c>
      <c r="L96" s="2" t="s">
        <v>373</v>
      </c>
      <c r="M96" s="2" t="s">
        <v>32</v>
      </c>
      <c r="N96" s="4" t="s">
        <v>520</v>
      </c>
      <c r="O96" s="4" t="s">
        <v>164</v>
      </c>
      <c r="P96" s="4" t="s">
        <v>35</v>
      </c>
      <c r="Q96" s="152">
        <v>65</v>
      </c>
      <c r="R96" s="152">
        <v>1</v>
      </c>
      <c r="S96" s="152">
        <v>19600</v>
      </c>
      <c r="U96" s="152">
        <v>12.74</v>
      </c>
      <c r="V96" s="152">
        <v>3.0000000000000001E-6</v>
      </c>
      <c r="W96" s="166">
        <v>7.4644316654655799E-3</v>
      </c>
      <c r="X96" s="166">
        <v>1.1430375069210099E-3</v>
      </c>
    </row>
    <row r="97" spans="1:24">
      <c r="A97" s="4" t="s">
        <v>26</v>
      </c>
      <c r="B97" s="4">
        <v>14769</v>
      </c>
      <c r="C97" s="4" t="s">
        <v>1925</v>
      </c>
      <c r="D97" s="4" t="s">
        <v>1926</v>
      </c>
      <c r="E97" s="4" t="s">
        <v>1376</v>
      </c>
      <c r="F97" s="4" t="s">
        <v>1927</v>
      </c>
      <c r="G97" s="4" t="s">
        <v>1928</v>
      </c>
      <c r="H97" s="4" t="s">
        <v>367</v>
      </c>
      <c r="I97" s="4" t="s">
        <v>975</v>
      </c>
      <c r="J97" s="4" t="s">
        <v>31</v>
      </c>
      <c r="K97" s="4" t="s">
        <v>345</v>
      </c>
      <c r="L97" s="2" t="s">
        <v>373</v>
      </c>
      <c r="M97" s="2" t="s">
        <v>32</v>
      </c>
      <c r="N97" s="4" t="s">
        <v>501</v>
      </c>
      <c r="O97" s="4" t="s">
        <v>164</v>
      </c>
      <c r="P97" s="4" t="s">
        <v>35</v>
      </c>
      <c r="Q97" s="152">
        <v>206</v>
      </c>
      <c r="R97" s="152">
        <v>1</v>
      </c>
      <c r="S97" s="152">
        <v>14820</v>
      </c>
      <c r="U97" s="152">
        <v>30.529</v>
      </c>
      <c r="V97" s="152">
        <v>1.9999999999999999E-6</v>
      </c>
      <c r="W97" s="166">
        <v>1.7887215635897302E-2</v>
      </c>
      <c r="X97" s="166">
        <v>2.7390911033196999E-3</v>
      </c>
    </row>
    <row r="98" spans="1:24">
      <c r="A98" s="4" t="s">
        <v>26</v>
      </c>
      <c r="B98" s="4">
        <v>14769</v>
      </c>
      <c r="C98" s="4" t="s">
        <v>1929</v>
      </c>
      <c r="D98" s="4" t="s">
        <v>1930</v>
      </c>
      <c r="E98" s="4" t="s">
        <v>1376</v>
      </c>
      <c r="F98" s="4" t="s">
        <v>1931</v>
      </c>
      <c r="G98" s="4" t="s">
        <v>1932</v>
      </c>
      <c r="H98" s="4" t="s">
        <v>367</v>
      </c>
      <c r="I98" s="4" t="s">
        <v>975</v>
      </c>
      <c r="J98" s="4" t="s">
        <v>31</v>
      </c>
      <c r="K98" s="4" t="s">
        <v>95</v>
      </c>
      <c r="L98" s="2" t="s">
        <v>373</v>
      </c>
      <c r="M98" s="2" t="s">
        <v>32</v>
      </c>
      <c r="N98" s="4" t="s">
        <v>510</v>
      </c>
      <c r="O98" s="4" t="s">
        <v>164</v>
      </c>
      <c r="P98" s="4" t="s">
        <v>35</v>
      </c>
      <c r="Q98" s="152">
        <v>1431</v>
      </c>
      <c r="R98" s="152">
        <v>1</v>
      </c>
      <c r="S98" s="152">
        <v>6120</v>
      </c>
      <c r="U98" s="152">
        <v>87.576999999999998</v>
      </c>
      <c r="V98" s="152">
        <v>9.9999999999999995E-7</v>
      </c>
      <c r="W98" s="166">
        <v>5.13119328769868E-2</v>
      </c>
      <c r="X98" s="166">
        <v>7.8574587402765201E-3</v>
      </c>
    </row>
    <row r="99" spans="1:24">
      <c r="A99" s="4" t="s">
        <v>26</v>
      </c>
      <c r="B99" s="4">
        <v>14769</v>
      </c>
      <c r="C99" s="4" t="s">
        <v>1933</v>
      </c>
      <c r="D99" s="4" t="s">
        <v>1934</v>
      </c>
      <c r="E99" s="4" t="s">
        <v>1376</v>
      </c>
      <c r="F99" s="4" t="s">
        <v>1935</v>
      </c>
      <c r="G99" s="4" t="s">
        <v>1936</v>
      </c>
      <c r="H99" s="4" t="s">
        <v>367</v>
      </c>
      <c r="I99" s="4" t="s">
        <v>975</v>
      </c>
      <c r="J99" s="4" t="s">
        <v>31</v>
      </c>
      <c r="K99" s="4" t="s">
        <v>31</v>
      </c>
      <c r="L99" s="2" t="s">
        <v>373</v>
      </c>
      <c r="M99" s="2" t="s">
        <v>32</v>
      </c>
      <c r="N99" s="4" t="s">
        <v>519</v>
      </c>
      <c r="O99" s="4" t="s">
        <v>164</v>
      </c>
      <c r="P99" s="4" t="s">
        <v>35</v>
      </c>
      <c r="Q99" s="152">
        <v>5251</v>
      </c>
      <c r="R99" s="152">
        <v>1</v>
      </c>
      <c r="S99" s="152">
        <v>488.5</v>
      </c>
      <c r="U99" s="152">
        <v>25.651</v>
      </c>
      <c r="V99" s="152">
        <v>4.8999999999999998E-5</v>
      </c>
      <c r="W99" s="166">
        <v>1.5029132209508E-2</v>
      </c>
      <c r="X99" s="166">
        <v>2.3014293092695698E-3</v>
      </c>
    </row>
    <row r="100" spans="1:24">
      <c r="A100" s="4" t="s">
        <v>26</v>
      </c>
      <c r="B100" s="4">
        <v>14769</v>
      </c>
      <c r="C100" s="4" t="s">
        <v>1937</v>
      </c>
      <c r="D100" s="4" t="s">
        <v>1938</v>
      </c>
      <c r="E100" s="4" t="s">
        <v>1376</v>
      </c>
      <c r="F100" s="4" t="s">
        <v>1939</v>
      </c>
      <c r="G100" s="4" t="s">
        <v>1940</v>
      </c>
      <c r="H100" s="4" t="s">
        <v>367</v>
      </c>
      <c r="I100" s="4" t="s">
        <v>975</v>
      </c>
      <c r="J100" s="4" t="s">
        <v>31</v>
      </c>
      <c r="K100" s="4" t="s">
        <v>31</v>
      </c>
      <c r="L100" s="2" t="s">
        <v>373</v>
      </c>
      <c r="M100" s="2" t="s">
        <v>32</v>
      </c>
      <c r="N100" s="4" t="s">
        <v>522</v>
      </c>
      <c r="O100" s="4" t="s">
        <v>164</v>
      </c>
      <c r="P100" s="4" t="s">
        <v>35</v>
      </c>
      <c r="Q100" s="152">
        <v>4419</v>
      </c>
      <c r="R100" s="152">
        <v>1</v>
      </c>
      <c r="S100" s="152">
        <v>1257</v>
      </c>
      <c r="U100" s="152">
        <v>55.546999999999997</v>
      </c>
      <c r="V100" s="152">
        <v>2.1999999999999999E-5</v>
      </c>
      <c r="W100" s="166">
        <v>3.2545174000646201E-2</v>
      </c>
      <c r="X100" s="166">
        <v>4.9836821099344796E-3</v>
      </c>
    </row>
    <row r="101" spans="1:24">
      <c r="A101" s="4" t="s">
        <v>26</v>
      </c>
      <c r="B101" s="4">
        <v>14769</v>
      </c>
      <c r="C101" s="4" t="s">
        <v>1941</v>
      </c>
      <c r="D101" s="4" t="s">
        <v>1942</v>
      </c>
      <c r="E101" s="4" t="s">
        <v>1376</v>
      </c>
      <c r="F101" s="4" t="s">
        <v>1943</v>
      </c>
      <c r="G101" s="4" t="s">
        <v>1944</v>
      </c>
      <c r="H101" s="4" t="s">
        <v>367</v>
      </c>
      <c r="I101" s="4" t="s">
        <v>975</v>
      </c>
      <c r="J101" s="4" t="s">
        <v>31</v>
      </c>
      <c r="K101" s="4" t="s">
        <v>31</v>
      </c>
      <c r="L101" s="2" t="s">
        <v>373</v>
      </c>
      <c r="M101" s="2" t="s">
        <v>32</v>
      </c>
      <c r="N101" s="4" t="s">
        <v>488</v>
      </c>
      <c r="O101" s="4" t="s">
        <v>164</v>
      </c>
      <c r="P101" s="4" t="s">
        <v>35</v>
      </c>
      <c r="Q101" s="152">
        <v>311</v>
      </c>
      <c r="R101" s="152">
        <v>1</v>
      </c>
      <c r="S101" s="152">
        <v>5291</v>
      </c>
      <c r="U101" s="152">
        <v>16.454999999999998</v>
      </c>
      <c r="V101" s="152">
        <v>3.9999999999999998E-6</v>
      </c>
      <c r="W101" s="166">
        <v>9.6410751726493504E-3</v>
      </c>
      <c r="X101" s="166">
        <v>1.47634957666879E-3</v>
      </c>
    </row>
    <row r="102" spans="1:24">
      <c r="A102" s="4" t="s">
        <v>26</v>
      </c>
      <c r="B102" s="4">
        <v>14769</v>
      </c>
      <c r="C102" s="4" t="s">
        <v>1222</v>
      </c>
      <c r="D102" s="4" t="s">
        <v>1945</v>
      </c>
      <c r="E102" s="4" t="s">
        <v>1376</v>
      </c>
      <c r="F102" s="4" t="s">
        <v>1946</v>
      </c>
      <c r="G102" s="4" t="s">
        <v>1947</v>
      </c>
      <c r="H102" s="4" t="s">
        <v>367</v>
      </c>
      <c r="I102" s="4" t="s">
        <v>975</v>
      </c>
      <c r="J102" s="4" t="s">
        <v>31</v>
      </c>
      <c r="K102" s="4" t="s">
        <v>31</v>
      </c>
      <c r="L102" s="2" t="s">
        <v>373</v>
      </c>
      <c r="M102" s="2" t="s">
        <v>32</v>
      </c>
      <c r="N102" s="4" t="s">
        <v>491</v>
      </c>
      <c r="O102" s="4" t="s">
        <v>164</v>
      </c>
      <c r="P102" s="4" t="s">
        <v>35</v>
      </c>
      <c r="Q102" s="152">
        <v>3857</v>
      </c>
      <c r="R102" s="152">
        <v>1</v>
      </c>
      <c r="S102" s="152">
        <v>3110</v>
      </c>
      <c r="U102" s="152">
        <v>119.953</v>
      </c>
      <c r="V102" s="152">
        <v>1.9999999999999999E-6</v>
      </c>
      <c r="W102" s="166">
        <v>7.0280905199222296E-2</v>
      </c>
      <c r="X102" s="166">
        <v>1.0762200561730301E-2</v>
      </c>
    </row>
    <row r="103" spans="1:24">
      <c r="A103" s="4" t="s">
        <v>26</v>
      </c>
      <c r="B103" s="4">
        <v>14769</v>
      </c>
      <c r="C103" s="4" t="s">
        <v>2140</v>
      </c>
      <c r="D103" s="4" t="s">
        <v>2141</v>
      </c>
      <c r="E103" s="4" t="s">
        <v>1376</v>
      </c>
      <c r="F103" s="4" t="s">
        <v>2142</v>
      </c>
      <c r="G103" s="4" t="s">
        <v>2143</v>
      </c>
      <c r="H103" s="4" t="s">
        <v>367</v>
      </c>
      <c r="I103" s="4" t="s">
        <v>975</v>
      </c>
      <c r="J103" s="4" t="s">
        <v>31</v>
      </c>
      <c r="K103" s="4" t="s">
        <v>31</v>
      </c>
      <c r="L103" s="2" t="s">
        <v>373</v>
      </c>
      <c r="M103" s="2" t="s">
        <v>32</v>
      </c>
      <c r="N103" s="4" t="s">
        <v>519</v>
      </c>
      <c r="O103" s="4" t="s">
        <v>164</v>
      </c>
      <c r="P103" s="4" t="s">
        <v>35</v>
      </c>
      <c r="Q103" s="152">
        <v>49</v>
      </c>
      <c r="R103" s="152">
        <v>1</v>
      </c>
      <c r="S103" s="152">
        <v>17990</v>
      </c>
      <c r="U103" s="152">
        <v>8.8149999999999995</v>
      </c>
      <c r="V103" s="152">
        <v>3.0000000000000001E-6</v>
      </c>
      <c r="W103" s="166">
        <v>5.1648125254509904E-3</v>
      </c>
      <c r="X103" s="166">
        <v>7.9089402882726999E-4</v>
      </c>
    </row>
    <row r="104" spans="1:24">
      <c r="A104" s="4" t="s">
        <v>26</v>
      </c>
      <c r="B104" s="4">
        <v>14769</v>
      </c>
      <c r="C104" s="4" t="s">
        <v>2144</v>
      </c>
      <c r="D104" s="4" t="s">
        <v>2145</v>
      </c>
      <c r="E104" s="4" t="s">
        <v>1376</v>
      </c>
      <c r="F104" s="4" t="s">
        <v>2146</v>
      </c>
      <c r="G104" s="4" t="s">
        <v>2147</v>
      </c>
      <c r="H104" s="4" t="s">
        <v>367</v>
      </c>
      <c r="I104" s="4" t="s">
        <v>975</v>
      </c>
      <c r="J104" s="4" t="s">
        <v>31</v>
      </c>
      <c r="K104" s="4" t="s">
        <v>31</v>
      </c>
      <c r="L104" s="2" t="s">
        <v>373</v>
      </c>
      <c r="M104" s="2" t="s">
        <v>32</v>
      </c>
      <c r="N104" s="4" t="s">
        <v>507</v>
      </c>
      <c r="O104" s="4" t="s">
        <v>164</v>
      </c>
      <c r="P104" s="4" t="s">
        <v>35</v>
      </c>
      <c r="Q104" s="152">
        <v>3173</v>
      </c>
      <c r="R104" s="152">
        <v>1</v>
      </c>
      <c r="S104" s="152">
        <v>881</v>
      </c>
      <c r="U104" s="152">
        <v>27.954000000000001</v>
      </c>
      <c r="V104" s="152">
        <v>3.9999999999999998E-6</v>
      </c>
      <c r="W104" s="166">
        <v>1.6378468850278001E-2</v>
      </c>
      <c r="X104" s="166">
        <v>2.5080548715342098E-3</v>
      </c>
    </row>
    <row r="105" spans="1:24">
      <c r="A105" s="4" t="s">
        <v>26</v>
      </c>
      <c r="B105" s="4">
        <v>14769</v>
      </c>
      <c r="C105" s="4" t="s">
        <v>1960</v>
      </c>
      <c r="D105" s="4" t="s">
        <v>1961</v>
      </c>
      <c r="E105" s="4" t="s">
        <v>1376</v>
      </c>
      <c r="F105" s="4" t="s">
        <v>1962</v>
      </c>
      <c r="G105" s="4" t="s">
        <v>1963</v>
      </c>
      <c r="H105" s="4" t="s">
        <v>367</v>
      </c>
      <c r="I105" s="4" t="s">
        <v>975</v>
      </c>
      <c r="J105" s="4" t="s">
        <v>31</v>
      </c>
      <c r="K105" s="4" t="s">
        <v>31</v>
      </c>
      <c r="L105" s="2" t="s">
        <v>373</v>
      </c>
      <c r="M105" s="2" t="s">
        <v>32</v>
      </c>
      <c r="N105" s="4" t="s">
        <v>507</v>
      </c>
      <c r="O105" s="4" t="s">
        <v>164</v>
      </c>
      <c r="P105" s="4" t="s">
        <v>35</v>
      </c>
      <c r="Q105" s="152">
        <v>57</v>
      </c>
      <c r="R105" s="152">
        <v>1</v>
      </c>
      <c r="S105" s="152">
        <v>24710</v>
      </c>
      <c r="U105" s="152">
        <v>14.085000000000001</v>
      </c>
      <c r="V105" s="152">
        <v>9.9999999999999995E-7</v>
      </c>
      <c r="W105" s="166">
        <v>8.2522983264193897E-3</v>
      </c>
      <c r="X105" s="166">
        <v>1.26368448773394E-3</v>
      </c>
    </row>
    <row r="106" spans="1:24">
      <c r="A106" s="4" t="s">
        <v>26</v>
      </c>
      <c r="B106" s="4">
        <v>14769</v>
      </c>
      <c r="C106" s="4" t="s">
        <v>1964</v>
      </c>
      <c r="D106" s="4" t="s">
        <v>1965</v>
      </c>
      <c r="E106" s="4" t="s">
        <v>1376</v>
      </c>
      <c r="F106" s="4" t="s">
        <v>1966</v>
      </c>
      <c r="G106" s="4" t="s">
        <v>1967</v>
      </c>
      <c r="H106" s="4" t="s">
        <v>367</v>
      </c>
      <c r="I106" s="4" t="s">
        <v>975</v>
      </c>
      <c r="J106" s="4" t="s">
        <v>31</v>
      </c>
      <c r="K106" s="4" t="s">
        <v>31</v>
      </c>
      <c r="L106" s="2" t="s">
        <v>373</v>
      </c>
      <c r="M106" s="2" t="s">
        <v>32</v>
      </c>
      <c r="N106" s="4" t="s">
        <v>488</v>
      </c>
      <c r="O106" s="4" t="s">
        <v>164</v>
      </c>
      <c r="P106" s="4" t="s">
        <v>35</v>
      </c>
      <c r="Q106" s="152">
        <v>433</v>
      </c>
      <c r="R106" s="152">
        <v>1</v>
      </c>
      <c r="S106" s="152">
        <v>8960</v>
      </c>
      <c r="U106" s="152">
        <v>38.796999999999997</v>
      </c>
      <c r="V106" s="152">
        <v>6.9999999999999999E-6</v>
      </c>
      <c r="W106" s="166">
        <v>2.2731245089382599E-2</v>
      </c>
      <c r="X106" s="166">
        <v>3.4808632298675901E-3</v>
      </c>
    </row>
    <row r="107" spans="1:24">
      <c r="A107" s="4" t="s">
        <v>26</v>
      </c>
      <c r="B107" s="4">
        <v>14769</v>
      </c>
      <c r="C107" s="4" t="s">
        <v>1968</v>
      </c>
      <c r="D107" s="4" t="s">
        <v>1518</v>
      </c>
      <c r="E107" s="4" t="s">
        <v>1376</v>
      </c>
      <c r="F107" s="4" t="s">
        <v>1969</v>
      </c>
      <c r="G107" s="4" t="s">
        <v>1970</v>
      </c>
      <c r="H107" s="4" t="s">
        <v>367</v>
      </c>
      <c r="I107" s="4" t="s">
        <v>975</v>
      </c>
      <c r="J107" s="4" t="s">
        <v>31</v>
      </c>
      <c r="K107" s="4" t="s">
        <v>31</v>
      </c>
      <c r="L107" s="2" t="s">
        <v>373</v>
      </c>
      <c r="M107" s="2" t="s">
        <v>32</v>
      </c>
      <c r="N107" s="4" t="s">
        <v>486</v>
      </c>
      <c r="O107" s="4" t="s">
        <v>164</v>
      </c>
      <c r="P107" s="4" t="s">
        <v>35</v>
      </c>
      <c r="Q107" s="152">
        <v>198</v>
      </c>
      <c r="R107" s="152">
        <v>1</v>
      </c>
      <c r="S107" s="152">
        <v>1058</v>
      </c>
      <c r="U107" s="152">
        <v>2.0950000000000002</v>
      </c>
      <c r="V107" s="152">
        <v>3.0000000000000001E-6</v>
      </c>
      <c r="W107" s="166">
        <v>1.2273775533817801E-3</v>
      </c>
      <c r="X107" s="166">
        <v>1.87949818759687E-4</v>
      </c>
    </row>
    <row r="108" spans="1:24">
      <c r="A108" s="4" t="s">
        <v>26</v>
      </c>
      <c r="B108" s="4">
        <v>14769</v>
      </c>
      <c r="C108" s="4" t="s">
        <v>1971</v>
      </c>
      <c r="D108" s="4" t="s">
        <v>1972</v>
      </c>
      <c r="E108" s="4" t="s">
        <v>1376</v>
      </c>
      <c r="F108" s="4" t="s">
        <v>1973</v>
      </c>
      <c r="G108" s="4" t="s">
        <v>1974</v>
      </c>
      <c r="H108" s="4" t="s">
        <v>367</v>
      </c>
      <c r="I108" s="4" t="s">
        <v>975</v>
      </c>
      <c r="J108" s="4" t="s">
        <v>31</v>
      </c>
      <c r="K108" s="4" t="s">
        <v>31</v>
      </c>
      <c r="L108" s="2" t="s">
        <v>373</v>
      </c>
      <c r="M108" s="2" t="s">
        <v>32</v>
      </c>
      <c r="N108" s="4" t="s">
        <v>519</v>
      </c>
      <c r="O108" s="4" t="s">
        <v>164</v>
      </c>
      <c r="P108" s="4" t="s">
        <v>35</v>
      </c>
      <c r="Q108" s="152">
        <v>950</v>
      </c>
      <c r="R108" s="152">
        <v>1</v>
      </c>
      <c r="S108" s="152">
        <v>871.5</v>
      </c>
      <c r="U108" s="152">
        <v>8.2789999999999999</v>
      </c>
      <c r="V108" s="152">
        <v>6.9999999999999999E-6</v>
      </c>
      <c r="W108" s="166">
        <v>4.8508552485326401E-3</v>
      </c>
      <c r="X108" s="166">
        <v>7.4281736885210305E-4</v>
      </c>
    </row>
    <row r="109" spans="1:24">
      <c r="A109" s="4" t="s">
        <v>26</v>
      </c>
      <c r="B109" s="4">
        <v>14769</v>
      </c>
      <c r="C109" s="4" t="s">
        <v>1975</v>
      </c>
      <c r="D109" s="4" t="s">
        <v>1976</v>
      </c>
      <c r="E109" s="4" t="s">
        <v>1376</v>
      </c>
      <c r="F109" s="4" t="s">
        <v>1977</v>
      </c>
      <c r="G109" s="4" t="s">
        <v>1978</v>
      </c>
      <c r="H109" s="4" t="s">
        <v>367</v>
      </c>
      <c r="I109" s="4" t="s">
        <v>975</v>
      </c>
      <c r="J109" s="4" t="s">
        <v>31</v>
      </c>
      <c r="K109" s="4" t="s">
        <v>31</v>
      </c>
      <c r="L109" s="2" t="s">
        <v>373</v>
      </c>
      <c r="M109" s="2" t="s">
        <v>32</v>
      </c>
      <c r="N109" s="4" t="s">
        <v>497</v>
      </c>
      <c r="O109" s="4" t="s">
        <v>164</v>
      </c>
      <c r="P109" s="4" t="s">
        <v>35</v>
      </c>
      <c r="Q109" s="152">
        <v>2581</v>
      </c>
      <c r="R109" s="152">
        <v>1</v>
      </c>
      <c r="S109" s="152">
        <v>895.6</v>
      </c>
      <c r="U109" s="152">
        <v>23.114999999999998</v>
      </c>
      <c r="V109" s="152">
        <v>1.9999999999999999E-6</v>
      </c>
      <c r="W109" s="166">
        <v>1.35434530957177E-2</v>
      </c>
      <c r="X109" s="166">
        <v>2.0739254581500998E-3</v>
      </c>
    </row>
    <row r="110" spans="1:24">
      <c r="A110" s="4" t="s">
        <v>26</v>
      </c>
      <c r="B110" s="4">
        <v>14769</v>
      </c>
      <c r="C110" s="4" t="s">
        <v>1979</v>
      </c>
      <c r="D110" s="4" t="s">
        <v>1980</v>
      </c>
      <c r="E110" s="4" t="s">
        <v>1376</v>
      </c>
      <c r="F110" s="4" t="s">
        <v>1981</v>
      </c>
      <c r="G110" s="4" t="s">
        <v>1982</v>
      </c>
      <c r="H110" s="4" t="s">
        <v>367</v>
      </c>
      <c r="I110" s="4" t="s">
        <v>975</v>
      </c>
      <c r="J110" s="4" t="s">
        <v>31</v>
      </c>
      <c r="K110" s="4" t="s">
        <v>95</v>
      </c>
      <c r="L110" s="2" t="s">
        <v>373</v>
      </c>
      <c r="M110" s="2" t="s">
        <v>32</v>
      </c>
      <c r="N110" s="4" t="s">
        <v>524</v>
      </c>
      <c r="O110" s="4" t="s">
        <v>164</v>
      </c>
      <c r="P110" s="4" t="s">
        <v>35</v>
      </c>
      <c r="Q110" s="152">
        <v>29</v>
      </c>
      <c r="R110" s="152">
        <v>1</v>
      </c>
      <c r="S110" s="152">
        <v>64400</v>
      </c>
      <c r="U110" s="152">
        <v>18.675999999999998</v>
      </c>
      <c r="V110" s="152">
        <v>0</v>
      </c>
      <c r="W110" s="166">
        <v>1.09423646612429E-2</v>
      </c>
      <c r="X110" s="166">
        <v>1.67561762003586E-3</v>
      </c>
    </row>
    <row r="111" spans="1:24">
      <c r="A111" s="4" t="s">
        <v>26</v>
      </c>
      <c r="B111" s="4">
        <v>14769</v>
      </c>
      <c r="C111" s="4" t="s">
        <v>2148</v>
      </c>
      <c r="D111" s="4" t="s">
        <v>2149</v>
      </c>
      <c r="E111" s="4" t="s">
        <v>1376</v>
      </c>
      <c r="F111" s="4" t="s">
        <v>2148</v>
      </c>
      <c r="G111" s="4" t="s">
        <v>2150</v>
      </c>
      <c r="H111" s="4" t="s">
        <v>367</v>
      </c>
      <c r="I111" s="4" t="s">
        <v>975</v>
      </c>
      <c r="J111" s="4" t="s">
        <v>31</v>
      </c>
      <c r="K111" s="4" t="s">
        <v>31</v>
      </c>
      <c r="L111" s="2" t="s">
        <v>373</v>
      </c>
      <c r="M111" s="2" t="s">
        <v>32</v>
      </c>
      <c r="N111" s="4" t="s">
        <v>482</v>
      </c>
      <c r="O111" s="4" t="s">
        <v>164</v>
      </c>
      <c r="P111" s="4" t="s">
        <v>35</v>
      </c>
      <c r="Q111" s="152">
        <v>51</v>
      </c>
      <c r="R111" s="152">
        <v>1</v>
      </c>
      <c r="S111" s="152">
        <v>5368</v>
      </c>
      <c r="U111" s="152">
        <v>2.738</v>
      </c>
      <c r="V111" s="152">
        <v>9.9999999999999995E-7</v>
      </c>
      <c r="W111" s="166">
        <v>1.60402082275603E-3</v>
      </c>
      <c r="X111" s="166">
        <v>2.4562566106338401E-4</v>
      </c>
    </row>
    <row r="112" spans="1:24">
      <c r="A112" s="4" t="s">
        <v>26</v>
      </c>
      <c r="B112" s="4">
        <v>14769</v>
      </c>
      <c r="C112" s="4" t="s">
        <v>1987</v>
      </c>
      <c r="D112" s="4" t="s">
        <v>1988</v>
      </c>
      <c r="E112" s="4" t="s">
        <v>1376</v>
      </c>
      <c r="F112" s="4" t="s">
        <v>1989</v>
      </c>
      <c r="G112" s="4" t="s">
        <v>1990</v>
      </c>
      <c r="H112" s="4" t="s">
        <v>367</v>
      </c>
      <c r="I112" s="4" t="s">
        <v>975</v>
      </c>
      <c r="J112" s="4" t="s">
        <v>31</v>
      </c>
      <c r="K112" s="4" t="s">
        <v>31</v>
      </c>
      <c r="L112" s="2" t="s">
        <v>373</v>
      </c>
      <c r="M112" s="2" t="s">
        <v>32</v>
      </c>
      <c r="N112" s="4" t="s">
        <v>528</v>
      </c>
      <c r="O112" s="4" t="s">
        <v>164</v>
      </c>
      <c r="P112" s="4" t="s">
        <v>35</v>
      </c>
      <c r="Q112" s="152">
        <v>851</v>
      </c>
      <c r="R112" s="152">
        <v>1</v>
      </c>
      <c r="S112" s="152">
        <v>1320</v>
      </c>
      <c r="U112" s="152">
        <v>11.233000000000001</v>
      </c>
      <c r="V112" s="152">
        <v>5.0000000000000004E-6</v>
      </c>
      <c r="W112" s="166">
        <v>6.5815897790037596E-3</v>
      </c>
      <c r="X112" s="166">
        <v>1.0078468542186101E-3</v>
      </c>
    </row>
    <row r="113" spans="1:24">
      <c r="A113" s="4" t="s">
        <v>26</v>
      </c>
      <c r="B113" s="4">
        <v>14769</v>
      </c>
      <c r="C113" s="4" t="s">
        <v>1991</v>
      </c>
      <c r="D113" s="4" t="s">
        <v>1992</v>
      </c>
      <c r="E113" s="4" t="s">
        <v>1376</v>
      </c>
      <c r="F113" s="4" t="s">
        <v>1993</v>
      </c>
      <c r="G113" s="4" t="s">
        <v>1994</v>
      </c>
      <c r="H113" s="4" t="s">
        <v>367</v>
      </c>
      <c r="I113" s="4" t="s">
        <v>975</v>
      </c>
      <c r="J113" s="4" t="s">
        <v>31</v>
      </c>
      <c r="K113" s="4" t="s">
        <v>31</v>
      </c>
      <c r="L113" s="2" t="s">
        <v>373</v>
      </c>
      <c r="M113" s="2" t="s">
        <v>32</v>
      </c>
      <c r="N113" s="4" t="s">
        <v>507</v>
      </c>
      <c r="O113" s="4" t="s">
        <v>164</v>
      </c>
      <c r="P113" s="4" t="s">
        <v>35</v>
      </c>
      <c r="Q113" s="152">
        <v>56</v>
      </c>
      <c r="R113" s="152">
        <v>1</v>
      </c>
      <c r="S113" s="152">
        <v>22000</v>
      </c>
      <c r="U113" s="152">
        <v>12.32</v>
      </c>
      <c r="V113" s="152">
        <v>0</v>
      </c>
      <c r="W113" s="166">
        <v>7.2183515006700102E-3</v>
      </c>
      <c r="X113" s="166">
        <v>1.10535495174779E-3</v>
      </c>
    </row>
    <row r="114" spans="1:24">
      <c r="A114" s="4" t="s">
        <v>26</v>
      </c>
      <c r="B114" s="4">
        <v>14769</v>
      </c>
      <c r="C114" s="4" t="s">
        <v>1995</v>
      </c>
      <c r="D114" s="4" t="s">
        <v>1996</v>
      </c>
      <c r="E114" s="4" t="s">
        <v>1376</v>
      </c>
      <c r="F114" s="4" t="s">
        <v>1997</v>
      </c>
      <c r="G114" s="4" t="s">
        <v>1998</v>
      </c>
      <c r="H114" s="4" t="s">
        <v>367</v>
      </c>
      <c r="I114" s="4" t="s">
        <v>975</v>
      </c>
      <c r="J114" s="4" t="s">
        <v>31</v>
      </c>
      <c r="K114" s="4" t="s">
        <v>31</v>
      </c>
      <c r="L114" s="2" t="s">
        <v>373</v>
      </c>
      <c r="M114" s="2" t="s">
        <v>32</v>
      </c>
      <c r="N114" s="4" t="s">
        <v>491</v>
      </c>
      <c r="O114" s="4" t="s">
        <v>164</v>
      </c>
      <c r="P114" s="4" t="s">
        <v>35</v>
      </c>
      <c r="Q114" s="152">
        <v>3256</v>
      </c>
      <c r="R114" s="152">
        <v>1</v>
      </c>
      <c r="S114" s="152">
        <v>3365</v>
      </c>
      <c r="U114" s="152">
        <v>109.56399999999999</v>
      </c>
      <c r="V114" s="152">
        <v>1.9999999999999999E-6</v>
      </c>
      <c r="W114" s="166">
        <v>6.4194346685065601E-2</v>
      </c>
      <c r="X114" s="166">
        <v>9.8301584476684894E-3</v>
      </c>
    </row>
    <row r="115" spans="1:24">
      <c r="A115" s="4" t="s">
        <v>26</v>
      </c>
      <c r="B115" s="4">
        <v>14769</v>
      </c>
      <c r="C115" s="4" t="s">
        <v>2003</v>
      </c>
      <c r="D115" s="4" t="s">
        <v>2004</v>
      </c>
      <c r="E115" s="4" t="s">
        <v>1376</v>
      </c>
      <c r="F115" s="4" t="s">
        <v>2005</v>
      </c>
      <c r="G115" s="4" t="s">
        <v>2006</v>
      </c>
      <c r="H115" s="4" t="s">
        <v>367</v>
      </c>
      <c r="I115" s="4" t="s">
        <v>975</v>
      </c>
      <c r="J115" s="4" t="s">
        <v>31</v>
      </c>
      <c r="K115" s="4" t="s">
        <v>31</v>
      </c>
      <c r="L115" s="2" t="s">
        <v>373</v>
      </c>
      <c r="M115" s="2" t="s">
        <v>32</v>
      </c>
      <c r="N115" s="4" t="s">
        <v>528</v>
      </c>
      <c r="O115" s="4" t="s">
        <v>164</v>
      </c>
      <c r="P115" s="4" t="s">
        <v>35</v>
      </c>
      <c r="Q115" s="152">
        <v>849</v>
      </c>
      <c r="R115" s="152">
        <v>1</v>
      </c>
      <c r="S115" s="152">
        <v>1535</v>
      </c>
      <c r="U115" s="152">
        <v>13.032</v>
      </c>
      <c r="V115" s="152">
        <v>5.0000000000000004E-6</v>
      </c>
      <c r="W115" s="166">
        <v>7.6356038562870598E-3</v>
      </c>
      <c r="X115" s="166">
        <v>1.1692493128587699E-3</v>
      </c>
    </row>
    <row r="116" spans="1:24">
      <c r="A116" s="4" t="s">
        <v>26</v>
      </c>
      <c r="B116" s="4">
        <v>14769</v>
      </c>
      <c r="C116" s="4" t="s">
        <v>2151</v>
      </c>
      <c r="D116" s="4" t="s">
        <v>2152</v>
      </c>
      <c r="E116" s="4" t="s">
        <v>1376</v>
      </c>
      <c r="F116" s="4" t="s">
        <v>2153</v>
      </c>
      <c r="G116" s="4" t="s">
        <v>2154</v>
      </c>
      <c r="H116" s="4" t="s">
        <v>367</v>
      </c>
      <c r="I116" s="4" t="s">
        <v>975</v>
      </c>
      <c r="J116" s="4" t="s">
        <v>31</v>
      </c>
      <c r="K116" s="4" t="s">
        <v>31</v>
      </c>
      <c r="L116" s="2" t="s">
        <v>373</v>
      </c>
      <c r="M116" s="2" t="s">
        <v>32</v>
      </c>
      <c r="N116" s="4" t="s">
        <v>504</v>
      </c>
      <c r="O116" s="4" t="s">
        <v>164</v>
      </c>
      <c r="P116" s="4" t="s">
        <v>35</v>
      </c>
      <c r="Q116" s="152">
        <v>8</v>
      </c>
      <c r="R116" s="152">
        <v>1</v>
      </c>
      <c r="S116" s="152">
        <v>38750</v>
      </c>
      <c r="U116" s="152">
        <v>3.1</v>
      </c>
      <c r="V116" s="152">
        <v>0</v>
      </c>
      <c r="W116" s="166">
        <v>1.8163059782530099E-3</v>
      </c>
      <c r="X116" s="166">
        <v>2.7813314532614902E-4</v>
      </c>
    </row>
    <row r="117" spans="1:24">
      <c r="A117" s="4" t="s">
        <v>26</v>
      </c>
      <c r="B117" s="4">
        <v>14769</v>
      </c>
      <c r="C117" s="4" t="s">
        <v>2011</v>
      </c>
      <c r="D117" s="4" t="s">
        <v>2012</v>
      </c>
      <c r="E117" s="4" t="s">
        <v>1376</v>
      </c>
      <c r="F117" s="4" t="s">
        <v>2013</v>
      </c>
      <c r="G117" s="4" t="s">
        <v>2014</v>
      </c>
      <c r="H117" s="4" t="s">
        <v>367</v>
      </c>
      <c r="I117" s="4" t="s">
        <v>975</v>
      </c>
      <c r="J117" s="4" t="s">
        <v>31</v>
      </c>
      <c r="K117" s="4" t="s">
        <v>31</v>
      </c>
      <c r="L117" s="2" t="s">
        <v>373</v>
      </c>
      <c r="M117" s="2" t="s">
        <v>32</v>
      </c>
      <c r="N117" s="4" t="s">
        <v>506</v>
      </c>
      <c r="O117" s="4" t="s">
        <v>164</v>
      </c>
      <c r="P117" s="4" t="s">
        <v>35</v>
      </c>
      <c r="Q117" s="152">
        <v>291</v>
      </c>
      <c r="R117" s="152">
        <v>1</v>
      </c>
      <c r="S117" s="152">
        <v>488.3</v>
      </c>
      <c r="U117" s="152">
        <v>1.421</v>
      </c>
      <c r="V117" s="152">
        <v>9.9999999999999995E-7</v>
      </c>
      <c r="W117" s="166">
        <v>8.3254368668275595E-4</v>
      </c>
      <c r="X117" s="166">
        <v>1.2748842814536401E-4</v>
      </c>
    </row>
    <row r="118" spans="1:24">
      <c r="A118" s="4" t="s">
        <v>26</v>
      </c>
      <c r="B118" s="4">
        <v>14769</v>
      </c>
      <c r="C118" s="4" t="s">
        <v>2155</v>
      </c>
      <c r="D118" s="4" t="s">
        <v>2156</v>
      </c>
      <c r="E118" s="4" t="s">
        <v>1376</v>
      </c>
      <c r="F118" s="4" t="s">
        <v>2157</v>
      </c>
      <c r="G118" s="4" t="s">
        <v>2158</v>
      </c>
      <c r="H118" s="4" t="s">
        <v>367</v>
      </c>
      <c r="I118" s="4" t="s">
        <v>975</v>
      </c>
      <c r="J118" s="4" t="s">
        <v>31</v>
      </c>
      <c r="K118" s="4" t="s">
        <v>31</v>
      </c>
      <c r="L118" s="2" t="s">
        <v>373</v>
      </c>
      <c r="M118" s="2" t="s">
        <v>32</v>
      </c>
      <c r="N118" s="4" t="s">
        <v>519</v>
      </c>
      <c r="O118" s="4" t="s">
        <v>164</v>
      </c>
      <c r="P118" s="4" t="s">
        <v>35</v>
      </c>
      <c r="Q118" s="152">
        <v>4</v>
      </c>
      <c r="R118" s="152">
        <v>1</v>
      </c>
      <c r="S118" s="152">
        <v>19750</v>
      </c>
      <c r="U118" s="152">
        <v>0.79</v>
      </c>
      <c r="V118" s="152">
        <v>0</v>
      </c>
      <c r="W118" s="166">
        <v>4.6286507187737902E-4</v>
      </c>
      <c r="X118" s="166">
        <v>7.0879091873437999E-5</v>
      </c>
    </row>
    <row r="119" spans="1:24">
      <c r="A119" s="4" t="s">
        <v>26</v>
      </c>
      <c r="B119" s="4">
        <v>14769</v>
      </c>
      <c r="C119" s="4" t="s">
        <v>2019</v>
      </c>
      <c r="D119" s="4" t="s">
        <v>2020</v>
      </c>
      <c r="E119" s="4" t="s">
        <v>1376</v>
      </c>
      <c r="F119" s="4" t="s">
        <v>2021</v>
      </c>
      <c r="G119" s="4" t="s">
        <v>2022</v>
      </c>
      <c r="H119" s="4" t="s">
        <v>367</v>
      </c>
      <c r="I119" s="4" t="s">
        <v>975</v>
      </c>
      <c r="J119" s="4" t="s">
        <v>31</v>
      </c>
      <c r="K119" s="4" t="s">
        <v>31</v>
      </c>
      <c r="L119" s="2" t="s">
        <v>373</v>
      </c>
      <c r="M119" s="2" t="s">
        <v>32</v>
      </c>
      <c r="N119" s="4" t="s">
        <v>502</v>
      </c>
      <c r="O119" s="4" t="s">
        <v>164</v>
      </c>
      <c r="P119" s="4" t="s">
        <v>35</v>
      </c>
      <c r="Q119" s="152">
        <v>283</v>
      </c>
      <c r="R119" s="152">
        <v>1</v>
      </c>
      <c r="S119" s="152">
        <v>5599</v>
      </c>
      <c r="U119" s="152">
        <v>15.845000000000001</v>
      </c>
      <c r="V119" s="152">
        <v>1.9999999999999999E-6</v>
      </c>
      <c r="W119" s="166">
        <v>9.2837667733661807E-3</v>
      </c>
      <c r="X119" s="166">
        <v>1.4216345065572701E-3</v>
      </c>
    </row>
    <row r="120" spans="1:24">
      <c r="A120" s="4" t="s">
        <v>26</v>
      </c>
      <c r="B120" s="4">
        <v>14769</v>
      </c>
      <c r="C120" s="4" t="s">
        <v>2023</v>
      </c>
      <c r="D120" s="4" t="s">
        <v>2024</v>
      </c>
      <c r="E120" s="4" t="s">
        <v>1376</v>
      </c>
      <c r="F120" s="4" t="s">
        <v>2025</v>
      </c>
      <c r="G120" s="4" t="s">
        <v>2026</v>
      </c>
      <c r="H120" s="4" t="s">
        <v>367</v>
      </c>
      <c r="I120" s="4" t="s">
        <v>975</v>
      </c>
      <c r="J120" s="4" t="s">
        <v>31</v>
      </c>
      <c r="K120" s="4" t="s">
        <v>31</v>
      </c>
      <c r="L120" s="2" t="s">
        <v>373</v>
      </c>
      <c r="M120" s="2" t="s">
        <v>32</v>
      </c>
      <c r="N120" s="4" t="s">
        <v>506</v>
      </c>
      <c r="O120" s="4" t="s">
        <v>164</v>
      </c>
      <c r="P120" s="4" t="s">
        <v>35</v>
      </c>
      <c r="Q120" s="152">
        <v>1649</v>
      </c>
      <c r="R120" s="152">
        <v>1</v>
      </c>
      <c r="S120" s="152">
        <v>1920</v>
      </c>
      <c r="U120" s="152">
        <v>31.661000000000001</v>
      </c>
      <c r="V120" s="152">
        <v>5.0000000000000004E-6</v>
      </c>
      <c r="W120" s="166">
        <v>1.8550225908475101E-2</v>
      </c>
      <c r="X120" s="166">
        <v>2.8406186734006899E-3</v>
      </c>
    </row>
    <row r="121" spans="1:24">
      <c r="A121" s="4" t="s">
        <v>26</v>
      </c>
      <c r="B121" s="4">
        <v>14769</v>
      </c>
      <c r="C121" s="4" t="s">
        <v>2027</v>
      </c>
      <c r="D121" s="4" t="s">
        <v>2028</v>
      </c>
      <c r="E121" s="4" t="s">
        <v>361</v>
      </c>
      <c r="F121" s="4" t="s">
        <v>2029</v>
      </c>
      <c r="G121" s="4" t="s">
        <v>2030</v>
      </c>
      <c r="H121" s="4" t="s">
        <v>367</v>
      </c>
      <c r="I121" s="4" t="s">
        <v>975</v>
      </c>
      <c r="J121" s="4" t="s">
        <v>94</v>
      </c>
      <c r="K121" s="4" t="s">
        <v>95</v>
      </c>
      <c r="L121" s="2" t="s">
        <v>373</v>
      </c>
      <c r="M121" s="2" t="s">
        <v>392</v>
      </c>
      <c r="N121" s="4" t="s">
        <v>559</v>
      </c>
      <c r="O121" s="4" t="s">
        <v>164</v>
      </c>
      <c r="P121" s="4" t="s">
        <v>99</v>
      </c>
      <c r="Q121" s="152">
        <v>28</v>
      </c>
      <c r="R121" s="152">
        <v>3.7589999999999999</v>
      </c>
      <c r="S121" s="152">
        <v>19325</v>
      </c>
      <c r="U121" s="152">
        <v>20.34</v>
      </c>
      <c r="V121" s="152">
        <v>0</v>
      </c>
      <c r="W121" s="166">
        <v>1.19172809567939E-2</v>
      </c>
      <c r="X121" s="166">
        <v>1.8249077390785401E-3</v>
      </c>
    </row>
    <row r="122" spans="1:24">
      <c r="A122" s="4" t="s">
        <v>26</v>
      </c>
      <c r="B122" s="4">
        <v>14769</v>
      </c>
      <c r="C122" s="4" t="s">
        <v>2031</v>
      </c>
      <c r="D122" s="4" t="s">
        <v>2032</v>
      </c>
      <c r="E122" s="4" t="s">
        <v>361</v>
      </c>
      <c r="F122" s="4" t="s">
        <v>2033</v>
      </c>
      <c r="G122" s="4" t="s">
        <v>2034</v>
      </c>
      <c r="H122" s="4" t="s">
        <v>367</v>
      </c>
      <c r="I122" s="4" t="s">
        <v>975</v>
      </c>
      <c r="J122" s="4" t="s">
        <v>94</v>
      </c>
      <c r="K122" s="4" t="s">
        <v>95</v>
      </c>
      <c r="L122" s="2" t="s">
        <v>373</v>
      </c>
      <c r="M122" s="2" t="s">
        <v>392</v>
      </c>
      <c r="N122" s="4" t="s">
        <v>590</v>
      </c>
      <c r="O122" s="4" t="s">
        <v>164</v>
      </c>
      <c r="P122" s="4" t="s">
        <v>99</v>
      </c>
      <c r="Q122" s="152">
        <v>59</v>
      </c>
      <c r="R122" s="152">
        <v>3.7589999999999999</v>
      </c>
      <c r="S122" s="152">
        <v>21062</v>
      </c>
      <c r="U122" s="152">
        <v>46.712000000000003</v>
      </c>
      <c r="V122" s="152">
        <v>0</v>
      </c>
      <c r="W122" s="166">
        <v>2.7368516945495601E-2</v>
      </c>
      <c r="X122" s="166">
        <v>4.1909743138566899E-3</v>
      </c>
    </row>
    <row r="123" spans="1:24">
      <c r="A123" s="4" t="s">
        <v>26</v>
      </c>
      <c r="B123" s="4">
        <v>14769</v>
      </c>
      <c r="C123" s="4" t="s">
        <v>2035</v>
      </c>
      <c r="D123" s="4" t="s">
        <v>2036</v>
      </c>
      <c r="E123" s="4" t="s">
        <v>361</v>
      </c>
      <c r="F123" s="4" t="s">
        <v>2037</v>
      </c>
      <c r="G123" s="4" t="s">
        <v>2038</v>
      </c>
      <c r="H123" s="4" t="s">
        <v>367</v>
      </c>
      <c r="I123" s="4" t="s">
        <v>975</v>
      </c>
      <c r="J123" s="4" t="s">
        <v>94</v>
      </c>
      <c r="K123" s="4" t="s">
        <v>95</v>
      </c>
      <c r="L123" s="2" t="s">
        <v>373</v>
      </c>
      <c r="M123" s="2" t="s">
        <v>392</v>
      </c>
      <c r="N123" s="4" t="s">
        <v>578</v>
      </c>
      <c r="O123" s="4" t="s">
        <v>164</v>
      </c>
      <c r="P123" s="4" t="s">
        <v>99</v>
      </c>
      <c r="Q123" s="152">
        <v>29</v>
      </c>
      <c r="R123" s="152">
        <v>3.7589999999999999</v>
      </c>
      <c r="S123" s="152">
        <v>23182</v>
      </c>
      <c r="U123" s="152">
        <v>25.271000000000001</v>
      </c>
      <c r="V123" s="152">
        <v>0</v>
      </c>
      <c r="W123" s="166">
        <v>1.48063681520449E-2</v>
      </c>
      <c r="X123" s="166">
        <v>2.2673171779934199E-3</v>
      </c>
    </row>
    <row r="124" spans="1:24">
      <c r="A124" s="4" t="s">
        <v>26</v>
      </c>
      <c r="B124" s="4">
        <v>14769</v>
      </c>
      <c r="C124" s="4" t="s">
        <v>2039</v>
      </c>
      <c r="D124" s="4" t="s">
        <v>2040</v>
      </c>
      <c r="E124" s="4" t="s">
        <v>361</v>
      </c>
      <c r="F124" s="4" t="s">
        <v>2041</v>
      </c>
      <c r="G124" s="4" t="s">
        <v>2042</v>
      </c>
      <c r="H124" s="4" t="s">
        <v>367</v>
      </c>
      <c r="I124" s="4" t="s">
        <v>975</v>
      </c>
      <c r="J124" s="4" t="s">
        <v>94</v>
      </c>
      <c r="K124" s="4" t="s">
        <v>95</v>
      </c>
      <c r="L124" s="2" t="s">
        <v>373</v>
      </c>
      <c r="M124" s="2" t="s">
        <v>390</v>
      </c>
      <c r="N124" s="4" t="s">
        <v>2043</v>
      </c>
      <c r="O124" s="4" t="s">
        <v>164</v>
      </c>
      <c r="P124" s="4" t="s">
        <v>99</v>
      </c>
      <c r="Q124" s="152">
        <v>12</v>
      </c>
      <c r="R124" s="152">
        <v>3.7589999999999999</v>
      </c>
      <c r="S124" s="152">
        <v>18201</v>
      </c>
      <c r="U124" s="152">
        <v>8.2100000000000009</v>
      </c>
      <c r="V124" s="152">
        <v>0</v>
      </c>
      <c r="W124" s="166">
        <v>4.8103440553230103E-3</v>
      </c>
      <c r="X124" s="166">
        <v>7.3661384052415603E-4</v>
      </c>
    </row>
    <row r="125" spans="1:24">
      <c r="A125" s="4" t="s">
        <v>26</v>
      </c>
      <c r="B125" s="4">
        <v>14769</v>
      </c>
      <c r="C125" s="4" t="s">
        <v>2048</v>
      </c>
      <c r="D125" s="4" t="s">
        <v>2049</v>
      </c>
      <c r="E125" s="4" t="s">
        <v>361</v>
      </c>
      <c r="F125" s="4" t="s">
        <v>2048</v>
      </c>
      <c r="G125" s="4" t="s">
        <v>2050</v>
      </c>
      <c r="H125" s="4" t="s">
        <v>367</v>
      </c>
      <c r="I125" s="4" t="s">
        <v>975</v>
      </c>
      <c r="J125" s="4" t="s">
        <v>94</v>
      </c>
      <c r="K125" s="4" t="s">
        <v>95</v>
      </c>
      <c r="L125" s="2" t="s">
        <v>373</v>
      </c>
      <c r="M125" s="2" t="s">
        <v>32</v>
      </c>
      <c r="N125" s="4" t="s">
        <v>574</v>
      </c>
      <c r="O125" s="4" t="s">
        <v>164</v>
      </c>
      <c r="P125" s="4" t="s">
        <v>99</v>
      </c>
      <c r="Q125" s="152">
        <v>25</v>
      </c>
      <c r="R125" s="152">
        <v>3.7589999999999999</v>
      </c>
      <c r="S125" s="152">
        <v>24985</v>
      </c>
      <c r="T125" s="150">
        <v>5.0000000000000001E-3</v>
      </c>
      <c r="U125" s="152">
        <v>23.498999999999999</v>
      </c>
      <c r="V125" s="152">
        <v>0</v>
      </c>
      <c r="W125" s="166">
        <v>1.3767976491600799E-2</v>
      </c>
      <c r="X125" s="166">
        <v>2.1083069990600499E-3</v>
      </c>
    </row>
    <row r="126" spans="1:24">
      <c r="A126" s="4" t="s">
        <v>26</v>
      </c>
      <c r="B126" s="4">
        <v>14769</v>
      </c>
      <c r="C126" s="4" t="s">
        <v>2051</v>
      </c>
      <c r="D126" s="4" t="s">
        <v>2052</v>
      </c>
      <c r="E126" s="4" t="s">
        <v>361</v>
      </c>
      <c r="F126" s="4" t="s">
        <v>2053</v>
      </c>
      <c r="G126" s="4" t="s">
        <v>2054</v>
      </c>
      <c r="H126" s="4" t="s">
        <v>367</v>
      </c>
      <c r="I126" s="4" t="s">
        <v>975</v>
      </c>
      <c r="J126" s="4" t="s">
        <v>94</v>
      </c>
      <c r="K126" s="4" t="s">
        <v>95</v>
      </c>
      <c r="L126" s="2" t="s">
        <v>373</v>
      </c>
      <c r="M126" s="2" t="s">
        <v>390</v>
      </c>
      <c r="N126" s="4" t="s">
        <v>2043</v>
      </c>
      <c r="O126" s="4" t="s">
        <v>164</v>
      </c>
      <c r="P126" s="4" t="s">
        <v>99</v>
      </c>
      <c r="Q126" s="152">
        <v>13</v>
      </c>
      <c r="R126" s="152">
        <v>3.7589999999999999</v>
      </c>
      <c r="S126" s="152">
        <v>37363</v>
      </c>
      <c r="U126" s="152">
        <v>18.257999999999999</v>
      </c>
      <c r="V126" s="152">
        <v>0</v>
      </c>
      <c r="W126" s="166">
        <v>1.06975601350083E-2</v>
      </c>
      <c r="X126" s="166">
        <v>1.6381304049482299E-3</v>
      </c>
    </row>
    <row r="127" spans="1:24">
      <c r="A127" s="4" t="s">
        <v>26</v>
      </c>
      <c r="B127" s="4">
        <v>14769</v>
      </c>
      <c r="C127" s="4" t="s">
        <v>2055</v>
      </c>
      <c r="D127" s="4" t="s">
        <v>2056</v>
      </c>
      <c r="E127" s="4" t="s">
        <v>361</v>
      </c>
      <c r="F127" s="4" t="s">
        <v>2055</v>
      </c>
      <c r="G127" s="4" t="s">
        <v>2057</v>
      </c>
      <c r="H127" s="4" t="s">
        <v>367</v>
      </c>
      <c r="I127" s="4" t="s">
        <v>975</v>
      </c>
      <c r="J127" s="4" t="s">
        <v>94</v>
      </c>
      <c r="K127" s="4" t="s">
        <v>95</v>
      </c>
      <c r="L127" s="2" t="s">
        <v>373</v>
      </c>
      <c r="M127" s="2" t="s">
        <v>392</v>
      </c>
      <c r="N127" s="4" t="s">
        <v>590</v>
      </c>
      <c r="O127" s="4" t="s">
        <v>164</v>
      </c>
      <c r="P127" s="4" t="s">
        <v>99</v>
      </c>
      <c r="Q127" s="152">
        <v>114</v>
      </c>
      <c r="R127" s="152">
        <v>3.7589999999999999</v>
      </c>
      <c r="S127" s="152">
        <v>2949</v>
      </c>
      <c r="U127" s="152">
        <v>12.637</v>
      </c>
      <c r="V127" s="152">
        <v>0</v>
      </c>
      <c r="W127" s="166">
        <v>7.40421921223569E-3</v>
      </c>
      <c r="X127" s="166">
        <v>1.1338171006650499E-3</v>
      </c>
    </row>
    <row r="128" spans="1:24">
      <c r="A128" s="4" t="s">
        <v>26</v>
      </c>
      <c r="B128" s="4">
        <v>14769</v>
      </c>
      <c r="C128" s="4" t="s">
        <v>2058</v>
      </c>
      <c r="D128" s="4" t="s">
        <v>2059</v>
      </c>
      <c r="E128" s="4" t="s">
        <v>361</v>
      </c>
      <c r="F128" s="4" t="s">
        <v>2060</v>
      </c>
      <c r="G128" s="4" t="s">
        <v>2061</v>
      </c>
      <c r="H128" s="4" t="s">
        <v>367</v>
      </c>
      <c r="I128" s="4" t="s">
        <v>975</v>
      </c>
      <c r="J128" s="4" t="s">
        <v>94</v>
      </c>
      <c r="K128" s="4" t="s">
        <v>95</v>
      </c>
      <c r="L128" s="2" t="s">
        <v>373</v>
      </c>
      <c r="M128" s="2" t="s">
        <v>392</v>
      </c>
      <c r="N128" s="4" t="s">
        <v>593</v>
      </c>
      <c r="O128" s="4" t="s">
        <v>164</v>
      </c>
      <c r="P128" s="4" t="s">
        <v>99</v>
      </c>
      <c r="Q128" s="152">
        <v>12</v>
      </c>
      <c r="R128" s="152">
        <v>3.7589999999999999</v>
      </c>
      <c r="S128" s="152">
        <v>18342</v>
      </c>
      <c r="U128" s="152">
        <v>8.2739999999999991</v>
      </c>
      <c r="V128" s="152">
        <v>0</v>
      </c>
      <c r="W128" s="166">
        <v>4.8476089589986598E-3</v>
      </c>
      <c r="X128" s="166">
        <v>7.4232026058425804E-4</v>
      </c>
    </row>
    <row r="129" spans="1:24">
      <c r="A129" s="4" t="s">
        <v>26</v>
      </c>
      <c r="B129" s="4">
        <v>14769</v>
      </c>
      <c r="C129" s="4" t="s">
        <v>2062</v>
      </c>
      <c r="D129" s="4" t="s">
        <v>2063</v>
      </c>
      <c r="E129" s="4" t="s">
        <v>361</v>
      </c>
      <c r="F129" s="4" t="s">
        <v>2064</v>
      </c>
      <c r="G129" s="4" t="s">
        <v>2065</v>
      </c>
      <c r="H129" s="4" t="s">
        <v>367</v>
      </c>
      <c r="I129" s="4" t="s">
        <v>975</v>
      </c>
      <c r="J129" s="4" t="s">
        <v>94</v>
      </c>
      <c r="K129" s="4" t="s">
        <v>330</v>
      </c>
      <c r="L129" s="2" t="s">
        <v>373</v>
      </c>
      <c r="M129" s="2" t="s">
        <v>412</v>
      </c>
      <c r="N129" s="4" t="s">
        <v>2066</v>
      </c>
      <c r="O129" s="4" t="s">
        <v>164</v>
      </c>
      <c r="P129" s="4" t="s">
        <v>1219</v>
      </c>
      <c r="Q129" s="152">
        <v>8</v>
      </c>
      <c r="R129" s="152">
        <v>4.0199999999999996</v>
      </c>
      <c r="S129" s="152">
        <v>71360</v>
      </c>
      <c r="U129" s="152">
        <v>22.951000000000001</v>
      </c>
      <c r="V129" s="152">
        <v>0</v>
      </c>
      <c r="W129" s="166">
        <v>1.3446826648867699E-2</v>
      </c>
      <c r="X129" s="166">
        <v>2.0591289327265899E-3</v>
      </c>
    </row>
    <row r="130" spans="1:24">
      <c r="A130" s="4" t="s">
        <v>26</v>
      </c>
      <c r="B130" s="4">
        <v>14769</v>
      </c>
      <c r="C130" s="4" t="s">
        <v>2067</v>
      </c>
      <c r="D130" s="4" t="s">
        <v>2068</v>
      </c>
      <c r="E130" s="4" t="s">
        <v>361</v>
      </c>
      <c r="F130" s="4" t="s">
        <v>2069</v>
      </c>
      <c r="G130" s="4" t="s">
        <v>2070</v>
      </c>
      <c r="H130" s="4" t="s">
        <v>367</v>
      </c>
      <c r="I130" s="4" t="s">
        <v>975</v>
      </c>
      <c r="J130" s="4" t="s">
        <v>94</v>
      </c>
      <c r="K130" s="4" t="s">
        <v>95</v>
      </c>
      <c r="L130" s="2" t="s">
        <v>373</v>
      </c>
      <c r="M130" s="2" t="s">
        <v>390</v>
      </c>
      <c r="N130" s="4" t="s">
        <v>2071</v>
      </c>
      <c r="O130" s="4" t="s">
        <v>164</v>
      </c>
      <c r="P130" s="4" t="s">
        <v>99</v>
      </c>
      <c r="Q130" s="152">
        <v>12</v>
      </c>
      <c r="R130" s="152">
        <v>3.7589999999999999</v>
      </c>
      <c r="S130" s="152">
        <v>44116</v>
      </c>
      <c r="U130" s="152">
        <v>19.899999999999999</v>
      </c>
      <c r="V130" s="152">
        <v>0</v>
      </c>
      <c r="W130" s="166">
        <v>1.16594219188303E-2</v>
      </c>
      <c r="X130" s="166">
        <v>1.78542147071939E-3</v>
      </c>
    </row>
    <row r="131" spans="1:24">
      <c r="A131" s="4" t="s">
        <v>26</v>
      </c>
      <c r="B131" s="4">
        <v>14769</v>
      </c>
      <c r="C131" s="4" t="s">
        <v>2072</v>
      </c>
      <c r="D131" s="4" t="s">
        <v>2073</v>
      </c>
      <c r="E131" s="4" t="s">
        <v>361</v>
      </c>
      <c r="F131" s="4" t="s">
        <v>2074</v>
      </c>
      <c r="G131" s="4" t="s">
        <v>2075</v>
      </c>
      <c r="H131" s="4" t="s">
        <v>367</v>
      </c>
      <c r="I131" s="4" t="s">
        <v>975</v>
      </c>
      <c r="J131" s="4" t="s">
        <v>94</v>
      </c>
      <c r="K131" s="4" t="s">
        <v>95</v>
      </c>
      <c r="L131" s="2" t="s">
        <v>373</v>
      </c>
      <c r="M131" s="2" t="s">
        <v>390</v>
      </c>
      <c r="N131" s="4" t="s">
        <v>578</v>
      </c>
      <c r="O131" s="4" t="s">
        <v>164</v>
      </c>
      <c r="P131" s="4" t="s">
        <v>99</v>
      </c>
      <c r="Q131" s="152">
        <v>14</v>
      </c>
      <c r="R131" s="152">
        <v>3.7589999999999999</v>
      </c>
      <c r="S131" s="152">
        <v>12380</v>
      </c>
      <c r="T131" s="150">
        <v>8.0000000000000002E-3</v>
      </c>
      <c r="U131" s="152">
        <v>6.5449999999999999</v>
      </c>
      <c r="V131" s="152">
        <v>0</v>
      </c>
      <c r="W131" s="166">
        <v>3.8349946118095501E-3</v>
      </c>
      <c r="X131" s="166">
        <v>5.87257393006744E-4</v>
      </c>
    </row>
    <row r="132" spans="1:24">
      <c r="A132" s="4" t="s">
        <v>26</v>
      </c>
      <c r="B132" s="4">
        <v>14769</v>
      </c>
      <c r="C132" s="4" t="s">
        <v>2076</v>
      </c>
      <c r="D132" s="4" t="s">
        <v>2077</v>
      </c>
      <c r="E132" s="4" t="s">
        <v>361</v>
      </c>
      <c r="F132" s="4" t="s">
        <v>2078</v>
      </c>
      <c r="G132" s="4" t="s">
        <v>2079</v>
      </c>
      <c r="H132" s="4" t="s">
        <v>367</v>
      </c>
      <c r="I132" s="4" t="s">
        <v>975</v>
      </c>
      <c r="J132" s="4" t="s">
        <v>94</v>
      </c>
      <c r="K132" s="4" t="s">
        <v>95</v>
      </c>
      <c r="L132" s="2" t="s">
        <v>373</v>
      </c>
      <c r="M132" s="2" t="s">
        <v>392</v>
      </c>
      <c r="N132" s="4" t="s">
        <v>588</v>
      </c>
      <c r="O132" s="4" t="s">
        <v>164</v>
      </c>
      <c r="P132" s="4" t="s">
        <v>99</v>
      </c>
      <c r="Q132" s="152">
        <v>22</v>
      </c>
      <c r="R132" s="152">
        <v>3.7589999999999999</v>
      </c>
      <c r="S132" s="152">
        <v>44695</v>
      </c>
      <c r="U132" s="152">
        <v>36.962000000000003</v>
      </c>
      <c r="V132" s="152">
        <v>0</v>
      </c>
      <c r="W132" s="166">
        <v>2.16561507891442E-2</v>
      </c>
      <c r="X132" s="166">
        <v>3.3162327310266699E-3</v>
      </c>
    </row>
    <row r="133" spans="1:24">
      <c r="A133" s="4" t="s">
        <v>26</v>
      </c>
      <c r="B133" s="4">
        <v>14769</v>
      </c>
      <c r="C133" s="4" t="s">
        <v>2080</v>
      </c>
      <c r="D133" s="4" t="s">
        <v>2081</v>
      </c>
      <c r="E133" s="4" t="s">
        <v>361</v>
      </c>
      <c r="F133" s="4" t="s">
        <v>2080</v>
      </c>
      <c r="G133" s="4" t="s">
        <v>2082</v>
      </c>
      <c r="H133" s="4" t="s">
        <v>367</v>
      </c>
      <c r="I133" s="4" t="s">
        <v>975</v>
      </c>
      <c r="J133" s="4" t="s">
        <v>94</v>
      </c>
      <c r="K133" s="4" t="s">
        <v>95</v>
      </c>
      <c r="L133" s="2" t="s">
        <v>373</v>
      </c>
      <c r="M133" s="2" t="s">
        <v>392</v>
      </c>
      <c r="N133" s="4" t="s">
        <v>578</v>
      </c>
      <c r="O133" s="4" t="s">
        <v>164</v>
      </c>
      <c r="P133" s="4" t="s">
        <v>99</v>
      </c>
      <c r="Q133" s="152">
        <v>59</v>
      </c>
      <c r="R133" s="152">
        <v>3.7589999999999999</v>
      </c>
      <c r="S133" s="152">
        <v>11875</v>
      </c>
      <c r="U133" s="152">
        <v>26.335999999999999</v>
      </c>
      <c r="V133" s="152">
        <v>0</v>
      </c>
      <c r="W133" s="166">
        <v>1.5430687433660601E-2</v>
      </c>
      <c r="X133" s="166">
        <v>2.3629199495322499E-3</v>
      </c>
    </row>
    <row r="134" spans="1:24">
      <c r="A134" s="4" t="s">
        <v>26</v>
      </c>
      <c r="B134" s="4">
        <v>14769</v>
      </c>
      <c r="C134" s="4" t="s">
        <v>2083</v>
      </c>
      <c r="D134" s="4" t="s">
        <v>2084</v>
      </c>
      <c r="E134" s="4" t="s">
        <v>361</v>
      </c>
      <c r="F134" s="4" t="s">
        <v>2085</v>
      </c>
      <c r="G134" s="4" t="s">
        <v>2086</v>
      </c>
      <c r="H134" s="4" t="s">
        <v>367</v>
      </c>
      <c r="I134" s="4" t="s">
        <v>975</v>
      </c>
      <c r="J134" s="4" t="s">
        <v>94</v>
      </c>
      <c r="K134" s="4" t="s">
        <v>95</v>
      </c>
      <c r="L134" s="2" t="s">
        <v>373</v>
      </c>
      <c r="M134" s="2" t="s">
        <v>392</v>
      </c>
      <c r="N134" s="4" t="s">
        <v>593</v>
      </c>
      <c r="O134" s="4" t="s">
        <v>164</v>
      </c>
      <c r="P134" s="4" t="s">
        <v>99</v>
      </c>
      <c r="Q134" s="152">
        <v>7</v>
      </c>
      <c r="R134" s="152">
        <v>3.7589999999999999</v>
      </c>
      <c r="S134" s="152">
        <v>67488</v>
      </c>
      <c r="U134" s="152">
        <v>17.757999999999999</v>
      </c>
      <c r="V134" s="152">
        <v>0</v>
      </c>
      <c r="W134" s="166">
        <v>1.04045725383197E-2</v>
      </c>
      <c r="X134" s="166">
        <v>1.59326485763172E-3</v>
      </c>
    </row>
    <row r="135" spans="1:24">
      <c r="A135" s="4" t="s">
        <v>26</v>
      </c>
      <c r="B135" s="4">
        <v>14769</v>
      </c>
      <c r="C135" s="4" t="s">
        <v>2087</v>
      </c>
      <c r="D135" s="4" t="s">
        <v>2088</v>
      </c>
      <c r="E135" s="4" t="s">
        <v>361</v>
      </c>
      <c r="F135" s="4" t="s">
        <v>2087</v>
      </c>
      <c r="G135" s="4" t="s">
        <v>2089</v>
      </c>
      <c r="H135" s="4" t="s">
        <v>367</v>
      </c>
      <c r="I135" s="4" t="s">
        <v>975</v>
      </c>
      <c r="J135" s="4" t="s">
        <v>94</v>
      </c>
      <c r="K135" s="4" t="s">
        <v>95</v>
      </c>
      <c r="L135" s="2" t="s">
        <v>373</v>
      </c>
      <c r="M135" s="2" t="s">
        <v>390</v>
      </c>
      <c r="N135" s="4" t="s">
        <v>559</v>
      </c>
      <c r="O135" s="4" t="s">
        <v>164</v>
      </c>
      <c r="P135" s="4" t="s">
        <v>99</v>
      </c>
      <c r="Q135" s="152">
        <v>80</v>
      </c>
      <c r="R135" s="152">
        <v>3.7589999999999999</v>
      </c>
      <c r="S135" s="152">
        <v>7537</v>
      </c>
      <c r="T135" s="150">
        <v>0.03</v>
      </c>
      <c r="U135" s="152">
        <v>22.777000000000001</v>
      </c>
      <c r="V135" s="152">
        <v>0</v>
      </c>
      <c r="W135" s="166">
        <v>1.3344887964037299E-2</v>
      </c>
      <c r="X135" s="166">
        <v>2.0435189378348998E-3</v>
      </c>
    </row>
    <row r="136" spans="1:24">
      <c r="A136" s="4" t="s">
        <v>26</v>
      </c>
      <c r="B136" s="4">
        <v>14769</v>
      </c>
      <c r="C136" s="4" t="s">
        <v>2094</v>
      </c>
      <c r="D136" s="4" t="s">
        <v>2095</v>
      </c>
      <c r="E136" s="4" t="s">
        <v>361</v>
      </c>
      <c r="F136" s="4" t="s">
        <v>2096</v>
      </c>
      <c r="G136" s="4" t="s">
        <v>2097</v>
      </c>
      <c r="H136" s="4" t="s">
        <v>367</v>
      </c>
      <c r="I136" s="4" t="s">
        <v>975</v>
      </c>
      <c r="J136" s="4" t="s">
        <v>94</v>
      </c>
      <c r="K136" s="4" t="s">
        <v>290</v>
      </c>
      <c r="L136" s="2" t="s">
        <v>373</v>
      </c>
      <c r="M136" s="2" t="s">
        <v>412</v>
      </c>
      <c r="N136" s="4" t="s">
        <v>578</v>
      </c>
      <c r="O136" s="4" t="s">
        <v>164</v>
      </c>
      <c r="P136" s="4" t="s">
        <v>99</v>
      </c>
      <c r="Q136" s="152">
        <v>82</v>
      </c>
      <c r="R136" s="152">
        <v>3.7589999999999999</v>
      </c>
      <c r="S136" s="152">
        <v>14274</v>
      </c>
      <c r="U136" s="152">
        <v>43.997999999999998</v>
      </c>
      <c r="V136" s="152">
        <v>0</v>
      </c>
      <c r="W136" s="166">
        <v>2.5778591770350599E-2</v>
      </c>
      <c r="X136" s="166">
        <v>3.9475071364697403E-3</v>
      </c>
    </row>
    <row r="137" spans="1:24">
      <c r="A137" s="4" t="s">
        <v>26</v>
      </c>
      <c r="B137" s="4">
        <v>14769</v>
      </c>
      <c r="C137" s="4" t="s">
        <v>2098</v>
      </c>
      <c r="D137" s="4" t="s">
        <v>2099</v>
      </c>
      <c r="E137" s="4" t="s">
        <v>361</v>
      </c>
      <c r="F137" s="4" t="s">
        <v>2100</v>
      </c>
      <c r="G137" s="4" t="s">
        <v>2101</v>
      </c>
      <c r="H137" s="4" t="s">
        <v>367</v>
      </c>
      <c r="I137" s="4" t="s">
        <v>975</v>
      </c>
      <c r="J137" s="4" t="s">
        <v>94</v>
      </c>
      <c r="K137" s="4" t="s">
        <v>95</v>
      </c>
      <c r="L137" s="2" t="s">
        <v>373</v>
      </c>
      <c r="M137" s="2" t="s">
        <v>392</v>
      </c>
      <c r="N137" s="4" t="s">
        <v>592</v>
      </c>
      <c r="O137" s="4" t="s">
        <v>164</v>
      </c>
      <c r="P137" s="4" t="s">
        <v>99</v>
      </c>
      <c r="Q137" s="152">
        <v>70</v>
      </c>
      <c r="R137" s="152">
        <v>3.7589999999999999</v>
      </c>
      <c r="S137" s="152">
        <v>12354</v>
      </c>
      <c r="U137" s="152">
        <v>32.506999999999998</v>
      </c>
      <c r="V137" s="152">
        <v>0</v>
      </c>
      <c r="W137" s="166">
        <v>1.90460658396161E-2</v>
      </c>
      <c r="X137" s="166">
        <v>2.9165472456114099E-3</v>
      </c>
    </row>
    <row r="138" spans="1:24">
      <c r="A138" s="4" t="s">
        <v>26</v>
      </c>
      <c r="B138" s="4">
        <v>14769</v>
      </c>
      <c r="C138" s="4" t="s">
        <v>2106</v>
      </c>
      <c r="D138" s="4" t="s">
        <v>2107</v>
      </c>
      <c r="E138" s="4" t="s">
        <v>361</v>
      </c>
      <c r="F138" s="4" t="s">
        <v>2108</v>
      </c>
      <c r="G138" s="4" t="s">
        <v>2109</v>
      </c>
      <c r="H138" s="4" t="s">
        <v>367</v>
      </c>
      <c r="I138" s="4" t="s">
        <v>975</v>
      </c>
      <c r="J138" s="4" t="s">
        <v>94</v>
      </c>
      <c r="K138" s="4" t="s">
        <v>95</v>
      </c>
      <c r="L138" s="2" t="s">
        <v>373</v>
      </c>
      <c r="M138" s="2" t="s">
        <v>390</v>
      </c>
      <c r="N138" s="4" t="s">
        <v>612</v>
      </c>
      <c r="O138" s="4" t="s">
        <v>164</v>
      </c>
      <c r="P138" s="4" t="s">
        <v>99</v>
      </c>
      <c r="Q138" s="152">
        <v>70</v>
      </c>
      <c r="R138" s="152">
        <v>3.7589999999999999</v>
      </c>
      <c r="S138" s="152">
        <v>11231</v>
      </c>
      <c r="U138" s="152">
        <v>29.552</v>
      </c>
      <c r="V138" s="152">
        <v>0</v>
      </c>
      <c r="W138" s="166">
        <v>1.7314745462581198E-2</v>
      </c>
      <c r="X138" s="166">
        <v>2.6514280488474798E-3</v>
      </c>
    </row>
    <row r="139" spans="1:24">
      <c r="A139" s="4" t="s">
        <v>26</v>
      </c>
      <c r="B139" s="4">
        <v>14769</v>
      </c>
      <c r="C139" s="4" t="s">
        <v>2110</v>
      </c>
      <c r="D139" s="4" t="s">
        <v>2111</v>
      </c>
      <c r="E139" s="4" t="s">
        <v>361</v>
      </c>
      <c r="F139" s="4" t="s">
        <v>2112</v>
      </c>
      <c r="G139" s="4" t="s">
        <v>2113</v>
      </c>
      <c r="H139" s="4" t="s">
        <v>367</v>
      </c>
      <c r="I139" s="4" t="s">
        <v>975</v>
      </c>
      <c r="J139" s="4" t="s">
        <v>94</v>
      </c>
      <c r="K139" s="4" t="s">
        <v>95</v>
      </c>
      <c r="L139" s="2" t="s">
        <v>373</v>
      </c>
      <c r="M139" s="2" t="s">
        <v>390</v>
      </c>
      <c r="N139" s="4" t="s">
        <v>530</v>
      </c>
      <c r="O139" s="4" t="s">
        <v>164</v>
      </c>
      <c r="P139" s="4" t="s">
        <v>99</v>
      </c>
      <c r="Q139" s="152">
        <v>272</v>
      </c>
      <c r="R139" s="152">
        <v>3.7589999999999999</v>
      </c>
      <c r="S139" s="152">
        <v>4718</v>
      </c>
      <c r="T139" s="150">
        <v>3.3000000000000002E-2</v>
      </c>
      <c r="U139" s="152">
        <v>48.365000000000002</v>
      </c>
      <c r="V139" s="152">
        <v>0</v>
      </c>
      <c r="W139" s="166">
        <v>2.8337306676928499E-2</v>
      </c>
      <c r="X139" s="166">
        <v>4.3393262646784798E-3</v>
      </c>
    </row>
    <row r="140" spans="1:24">
      <c r="A140" s="4" t="s">
        <v>26</v>
      </c>
      <c r="B140" s="4">
        <v>14769</v>
      </c>
      <c r="C140" s="4" t="s">
        <v>2114</v>
      </c>
      <c r="D140" s="4" t="s">
        <v>2115</v>
      </c>
      <c r="E140" s="4" t="s">
        <v>361</v>
      </c>
      <c r="F140" s="4" t="s">
        <v>2114</v>
      </c>
      <c r="G140" s="4" t="s">
        <v>2116</v>
      </c>
      <c r="H140" s="4" t="s">
        <v>367</v>
      </c>
      <c r="I140" s="4" t="s">
        <v>975</v>
      </c>
      <c r="J140" s="4" t="s">
        <v>94</v>
      </c>
      <c r="K140" s="4" t="s">
        <v>95</v>
      </c>
      <c r="L140" s="2" t="s">
        <v>373</v>
      </c>
      <c r="M140" s="2" t="s">
        <v>392</v>
      </c>
      <c r="N140" s="4" t="s">
        <v>559</v>
      </c>
      <c r="O140" s="4" t="s">
        <v>164</v>
      </c>
      <c r="P140" s="4" t="s">
        <v>99</v>
      </c>
      <c r="Q140" s="152">
        <v>252</v>
      </c>
      <c r="R140" s="152">
        <v>3.7589999999999999</v>
      </c>
      <c r="S140" s="152">
        <v>1476</v>
      </c>
      <c r="U140" s="152">
        <v>13.981999999999999</v>
      </c>
      <c r="V140" s="152">
        <v>1.9999999999999999E-6</v>
      </c>
      <c r="W140" s="166">
        <v>8.1919358463156903E-3</v>
      </c>
      <c r="X140" s="166">
        <v>1.2544411076801699E-3</v>
      </c>
    </row>
    <row r="141" spans="1:24">
      <c r="A141" s="4" t="s">
        <v>26</v>
      </c>
      <c r="B141" s="4">
        <v>14769</v>
      </c>
      <c r="C141" s="4" t="s">
        <v>2117</v>
      </c>
      <c r="D141" s="4" t="s">
        <v>2118</v>
      </c>
      <c r="E141" s="4" t="s">
        <v>361</v>
      </c>
      <c r="F141" s="4" t="s">
        <v>2119</v>
      </c>
      <c r="G141" s="4" t="s">
        <v>2120</v>
      </c>
      <c r="H141" s="4" t="s">
        <v>367</v>
      </c>
      <c r="I141" s="4" t="s">
        <v>975</v>
      </c>
      <c r="J141" s="4" t="s">
        <v>94</v>
      </c>
      <c r="K141" s="4" t="s">
        <v>317</v>
      </c>
      <c r="L141" s="2" t="s">
        <v>373</v>
      </c>
      <c r="M141" s="2" t="s">
        <v>390</v>
      </c>
      <c r="N141" s="4" t="s">
        <v>592</v>
      </c>
      <c r="O141" s="4" t="s">
        <v>164</v>
      </c>
      <c r="P141" s="4" t="s">
        <v>99</v>
      </c>
      <c r="Q141" s="152">
        <v>64</v>
      </c>
      <c r="R141" s="152">
        <v>3.7589999999999999</v>
      </c>
      <c r="S141" s="152">
        <v>17381</v>
      </c>
      <c r="T141" s="150">
        <v>2.7E-2</v>
      </c>
      <c r="U141" s="152">
        <v>41.917999999999999</v>
      </c>
      <c r="V141" s="152">
        <v>0</v>
      </c>
      <c r="W141" s="166">
        <v>2.45598518885514E-2</v>
      </c>
      <c r="X141" s="166">
        <v>3.7608800148735901E-3</v>
      </c>
    </row>
    <row r="142" spans="1:24">
      <c r="A142" s="4" t="s">
        <v>26</v>
      </c>
      <c r="B142" s="4">
        <v>14769</v>
      </c>
      <c r="C142" s="4" t="s">
        <v>2121</v>
      </c>
      <c r="D142" s="4" t="s">
        <v>2122</v>
      </c>
      <c r="E142" s="4" t="s">
        <v>361</v>
      </c>
      <c r="F142" s="4" t="s">
        <v>2121</v>
      </c>
      <c r="G142" s="4" t="s">
        <v>2123</v>
      </c>
      <c r="H142" s="4" t="s">
        <v>367</v>
      </c>
      <c r="I142" s="4" t="s">
        <v>975</v>
      </c>
      <c r="J142" s="4" t="s">
        <v>94</v>
      </c>
      <c r="K142" s="4" t="s">
        <v>95</v>
      </c>
      <c r="L142" s="2" t="s">
        <v>373</v>
      </c>
      <c r="M142" s="2" t="s">
        <v>392</v>
      </c>
      <c r="N142" s="4" t="s">
        <v>556</v>
      </c>
      <c r="O142" s="4" t="s">
        <v>164</v>
      </c>
      <c r="P142" s="4" t="s">
        <v>99</v>
      </c>
      <c r="Q142" s="152">
        <v>44</v>
      </c>
      <c r="R142" s="152">
        <v>3.7589999999999999</v>
      </c>
      <c r="S142" s="152">
        <v>19788</v>
      </c>
      <c r="U142" s="152">
        <v>32.728999999999999</v>
      </c>
      <c r="V142" s="152">
        <v>0</v>
      </c>
      <c r="W142" s="166">
        <v>1.9175832277238399E-2</v>
      </c>
      <c r="X142" s="166">
        <v>2.9364185381611299E-3</v>
      </c>
    </row>
    <row r="143" spans="1:24">
      <c r="A143" s="4" t="s">
        <v>26</v>
      </c>
      <c r="B143" s="4">
        <v>14769</v>
      </c>
      <c r="C143" s="4" t="s">
        <v>2128</v>
      </c>
      <c r="D143" s="4" t="s">
        <v>2129</v>
      </c>
      <c r="E143" s="4" t="s">
        <v>361</v>
      </c>
      <c r="F143" s="4" t="s">
        <v>2130</v>
      </c>
      <c r="G143" s="4" t="s">
        <v>2131</v>
      </c>
      <c r="H143" s="4" t="s">
        <v>367</v>
      </c>
      <c r="I143" s="4" t="s">
        <v>975</v>
      </c>
      <c r="J143" s="4" t="s">
        <v>94</v>
      </c>
      <c r="K143" s="4" t="s">
        <v>95</v>
      </c>
      <c r="L143" s="2" t="s">
        <v>373</v>
      </c>
      <c r="M143" s="2" t="s">
        <v>390</v>
      </c>
      <c r="N143" s="4" t="s">
        <v>2071</v>
      </c>
      <c r="O143" s="4" t="s">
        <v>164</v>
      </c>
      <c r="P143" s="4" t="s">
        <v>99</v>
      </c>
      <c r="Q143" s="152">
        <v>20</v>
      </c>
      <c r="R143" s="152">
        <v>3.7589999999999999</v>
      </c>
      <c r="S143" s="152">
        <v>26247</v>
      </c>
      <c r="U143" s="152">
        <v>19.731999999999999</v>
      </c>
      <c r="V143" s="152">
        <v>0</v>
      </c>
      <c r="W143" s="166">
        <v>1.15613702928468E-2</v>
      </c>
      <c r="X143" s="166">
        <v>1.7704067058803999E-3</v>
      </c>
    </row>
    <row r="144" spans="1:24">
      <c r="A144" s="4" t="s">
        <v>26</v>
      </c>
      <c r="B144" s="4">
        <v>14769</v>
      </c>
      <c r="C144" s="4" t="s">
        <v>2132</v>
      </c>
      <c r="D144" s="4" t="s">
        <v>2133</v>
      </c>
      <c r="E144" s="4" t="s">
        <v>361</v>
      </c>
      <c r="F144" s="4" t="s">
        <v>2134</v>
      </c>
      <c r="G144" s="4" t="s">
        <v>2135</v>
      </c>
      <c r="H144" s="4" t="s">
        <v>367</v>
      </c>
      <c r="I144" s="4" t="s">
        <v>975</v>
      </c>
      <c r="J144" s="4" t="s">
        <v>94</v>
      </c>
      <c r="K144" s="4" t="s">
        <v>95</v>
      </c>
      <c r="L144" s="2" t="s">
        <v>373</v>
      </c>
      <c r="M144" s="2" t="s">
        <v>390</v>
      </c>
      <c r="N144" s="4" t="s">
        <v>593</v>
      </c>
      <c r="O144" s="4" t="s">
        <v>164</v>
      </c>
      <c r="P144" s="4" t="s">
        <v>99</v>
      </c>
      <c r="Q144" s="152">
        <v>43</v>
      </c>
      <c r="R144" s="152">
        <v>3.7589999999999999</v>
      </c>
      <c r="S144" s="152">
        <v>9929</v>
      </c>
      <c r="U144" s="152">
        <v>16.048999999999999</v>
      </c>
      <c r="V144" s="152">
        <v>0</v>
      </c>
      <c r="W144" s="166">
        <v>9.4031553366481294E-3</v>
      </c>
      <c r="X144" s="166">
        <v>1.4399166225769E-3</v>
      </c>
    </row>
    <row r="145" spans="1:24">
      <c r="A145" s="4" t="s">
        <v>112</v>
      </c>
      <c r="B145" s="4">
        <v>12905</v>
      </c>
      <c r="C145" s="4" t="s">
        <v>1833</v>
      </c>
      <c r="D145" s="4" t="s">
        <v>1834</v>
      </c>
      <c r="E145" s="4" t="s">
        <v>361</v>
      </c>
      <c r="F145" s="4" t="s">
        <v>1835</v>
      </c>
      <c r="G145" s="4" t="s">
        <v>1836</v>
      </c>
      <c r="H145" s="4" t="s">
        <v>367</v>
      </c>
      <c r="I145" s="4" t="s">
        <v>975</v>
      </c>
      <c r="J145" s="4" t="s">
        <v>94</v>
      </c>
      <c r="K145" s="4" t="s">
        <v>95</v>
      </c>
      <c r="L145" s="2" t="s">
        <v>373</v>
      </c>
      <c r="M145" s="2" t="s">
        <v>32</v>
      </c>
      <c r="N145" s="4" t="s">
        <v>484</v>
      </c>
      <c r="O145" s="4" t="s">
        <v>164</v>
      </c>
      <c r="P145" s="4" t="s">
        <v>35</v>
      </c>
      <c r="Q145" s="152">
        <v>186</v>
      </c>
      <c r="R145" s="152">
        <v>1</v>
      </c>
      <c r="S145" s="152">
        <v>26580</v>
      </c>
      <c r="U145" s="152">
        <v>49.439</v>
      </c>
      <c r="V145" s="152">
        <v>3.0000000000000001E-6</v>
      </c>
      <c r="W145" s="166">
        <v>1.47438799825385E-2</v>
      </c>
      <c r="X145" s="166">
        <v>1.5889922266394199E-3</v>
      </c>
    </row>
    <row r="146" spans="1:24">
      <c r="A146" s="4" t="s">
        <v>112</v>
      </c>
      <c r="B146" s="4">
        <v>12905</v>
      </c>
      <c r="C146" s="4" t="s">
        <v>1837</v>
      </c>
      <c r="D146" s="4" t="s">
        <v>1838</v>
      </c>
      <c r="E146" s="4" t="s">
        <v>1376</v>
      </c>
      <c r="F146" s="4" t="s">
        <v>1839</v>
      </c>
      <c r="G146" s="4" t="s">
        <v>1840</v>
      </c>
      <c r="H146" s="4" t="s">
        <v>367</v>
      </c>
      <c r="I146" s="4" t="s">
        <v>975</v>
      </c>
      <c r="J146" s="4" t="s">
        <v>31</v>
      </c>
      <c r="K146" s="4" t="s">
        <v>31</v>
      </c>
      <c r="L146" s="2" t="s">
        <v>373</v>
      </c>
      <c r="M146" s="2" t="s">
        <v>32</v>
      </c>
      <c r="N146" s="4" t="s">
        <v>499</v>
      </c>
      <c r="O146" s="4" t="s">
        <v>164</v>
      </c>
      <c r="P146" s="4" t="s">
        <v>35</v>
      </c>
      <c r="Q146" s="152">
        <v>5941</v>
      </c>
      <c r="R146" s="152">
        <v>1</v>
      </c>
      <c r="S146" s="152">
        <v>1612</v>
      </c>
      <c r="U146" s="152">
        <v>95.769000000000005</v>
      </c>
      <c r="V146" s="152">
        <v>5.0000000000000004E-6</v>
      </c>
      <c r="W146" s="166">
        <v>2.85606742586254E-2</v>
      </c>
      <c r="X146" s="166">
        <v>3.0780696423386598E-3</v>
      </c>
    </row>
    <row r="147" spans="1:24">
      <c r="A147" s="4" t="s">
        <v>112</v>
      </c>
      <c r="B147" s="4">
        <v>12905</v>
      </c>
      <c r="C147" s="4" t="s">
        <v>1841</v>
      </c>
      <c r="D147" s="4" t="s">
        <v>1842</v>
      </c>
      <c r="E147" s="4" t="s">
        <v>1376</v>
      </c>
      <c r="F147" s="4" t="s">
        <v>1843</v>
      </c>
      <c r="G147" s="4" t="s">
        <v>1844</v>
      </c>
      <c r="H147" s="4" t="s">
        <v>367</v>
      </c>
      <c r="I147" s="4" t="s">
        <v>975</v>
      </c>
      <c r="J147" s="4" t="s">
        <v>31</v>
      </c>
      <c r="K147" s="4" t="s">
        <v>31</v>
      </c>
      <c r="L147" s="2" t="s">
        <v>373</v>
      </c>
      <c r="M147" s="2" t="s">
        <v>32</v>
      </c>
      <c r="N147" s="4" t="s">
        <v>488</v>
      </c>
      <c r="O147" s="4" t="s">
        <v>164</v>
      </c>
      <c r="P147" s="4" t="s">
        <v>35</v>
      </c>
      <c r="Q147" s="152">
        <v>298</v>
      </c>
      <c r="R147" s="152">
        <v>1</v>
      </c>
      <c r="S147" s="152">
        <v>9863</v>
      </c>
      <c r="U147" s="152">
        <v>29.391999999999999</v>
      </c>
      <c r="V147" s="152">
        <v>2.0000000000000002E-5</v>
      </c>
      <c r="W147" s="166">
        <v>8.7653480067877206E-3</v>
      </c>
      <c r="X147" s="166">
        <v>9.4466788003363499E-4</v>
      </c>
    </row>
    <row r="148" spans="1:24">
      <c r="A148" s="4" t="s">
        <v>112</v>
      </c>
      <c r="B148" s="4">
        <v>12905</v>
      </c>
      <c r="C148" s="4" t="s">
        <v>1845</v>
      </c>
      <c r="D148" s="4" t="s">
        <v>1846</v>
      </c>
      <c r="E148" s="4" t="s">
        <v>1376</v>
      </c>
      <c r="F148" s="4" t="s">
        <v>1847</v>
      </c>
      <c r="G148" s="4" t="s">
        <v>1848</v>
      </c>
      <c r="H148" s="4" t="s">
        <v>367</v>
      </c>
      <c r="I148" s="4" t="s">
        <v>975</v>
      </c>
      <c r="J148" s="4" t="s">
        <v>31</v>
      </c>
      <c r="K148" s="4" t="s">
        <v>31</v>
      </c>
      <c r="L148" s="2" t="s">
        <v>373</v>
      </c>
      <c r="M148" s="2" t="s">
        <v>32</v>
      </c>
      <c r="N148" s="4" t="s">
        <v>506</v>
      </c>
      <c r="O148" s="4" t="s">
        <v>164</v>
      </c>
      <c r="P148" s="4" t="s">
        <v>35</v>
      </c>
      <c r="Q148" s="152">
        <v>600</v>
      </c>
      <c r="R148" s="152">
        <v>1</v>
      </c>
      <c r="S148" s="152">
        <v>992.1</v>
      </c>
      <c r="U148" s="152">
        <v>5.9530000000000003</v>
      </c>
      <c r="V148" s="152">
        <v>5.0000000000000004E-6</v>
      </c>
      <c r="W148" s="166">
        <v>1.77521339482469E-3</v>
      </c>
      <c r="X148" s="166">
        <v>1.9132007913407701E-4</v>
      </c>
    </row>
    <row r="149" spans="1:24">
      <c r="A149" s="4" t="s">
        <v>112</v>
      </c>
      <c r="B149" s="4">
        <v>12905</v>
      </c>
      <c r="C149" s="4" t="s">
        <v>1853</v>
      </c>
      <c r="D149" s="4" t="s">
        <v>1854</v>
      </c>
      <c r="E149" s="4" t="s">
        <v>1376</v>
      </c>
      <c r="F149" s="4" t="s">
        <v>1855</v>
      </c>
      <c r="G149" s="4" t="s">
        <v>1856</v>
      </c>
      <c r="H149" s="4" t="s">
        <v>367</v>
      </c>
      <c r="I149" s="4" t="s">
        <v>975</v>
      </c>
      <c r="J149" s="4" t="s">
        <v>31</v>
      </c>
      <c r="K149" s="4" t="s">
        <v>31</v>
      </c>
      <c r="L149" s="2" t="s">
        <v>373</v>
      </c>
      <c r="M149" s="2" t="s">
        <v>32</v>
      </c>
      <c r="N149" s="4" t="s">
        <v>489</v>
      </c>
      <c r="O149" s="4" t="s">
        <v>164</v>
      </c>
      <c r="P149" s="4" t="s">
        <v>35</v>
      </c>
      <c r="Q149" s="152">
        <v>85</v>
      </c>
      <c r="R149" s="152">
        <v>1</v>
      </c>
      <c r="S149" s="152">
        <v>66410</v>
      </c>
      <c r="T149" s="150">
        <v>0.16</v>
      </c>
      <c r="U149" s="152">
        <v>56.607999999999997</v>
      </c>
      <c r="V149" s="152">
        <v>1.9999999999999999E-6</v>
      </c>
      <c r="W149" s="166">
        <v>1.6881991299552899E-2</v>
      </c>
      <c r="X149" s="166">
        <v>1.8194229047546299E-3</v>
      </c>
    </row>
    <row r="150" spans="1:24">
      <c r="A150" s="4" t="s">
        <v>112</v>
      </c>
      <c r="B150" s="4">
        <v>12905</v>
      </c>
      <c r="C150" s="4" t="s">
        <v>1857</v>
      </c>
      <c r="D150" s="4" t="s">
        <v>1858</v>
      </c>
      <c r="E150" s="4" t="s">
        <v>1376</v>
      </c>
      <c r="F150" s="4" t="s">
        <v>1859</v>
      </c>
      <c r="G150" s="4" t="s">
        <v>1860</v>
      </c>
      <c r="H150" s="4" t="s">
        <v>367</v>
      </c>
      <c r="I150" s="4" t="s">
        <v>975</v>
      </c>
      <c r="J150" s="4" t="s">
        <v>31</v>
      </c>
      <c r="K150" s="4" t="s">
        <v>31</v>
      </c>
      <c r="L150" s="2" t="s">
        <v>373</v>
      </c>
      <c r="M150" s="2" t="s">
        <v>32</v>
      </c>
      <c r="N150" s="4" t="s">
        <v>494</v>
      </c>
      <c r="O150" s="4" t="s">
        <v>164</v>
      </c>
      <c r="P150" s="4" t="s">
        <v>35</v>
      </c>
      <c r="Q150" s="152">
        <v>23</v>
      </c>
      <c r="R150" s="152">
        <v>1</v>
      </c>
      <c r="S150" s="152">
        <v>129690</v>
      </c>
      <c r="U150" s="152">
        <v>29.829000000000001</v>
      </c>
      <c r="V150" s="152">
        <v>6.0000000000000002E-6</v>
      </c>
      <c r="W150" s="166">
        <v>8.8956603484539806E-3</v>
      </c>
      <c r="X150" s="166">
        <v>9.58712032467601E-4</v>
      </c>
    </row>
    <row r="151" spans="1:24">
      <c r="A151" s="4" t="s">
        <v>112</v>
      </c>
      <c r="B151" s="4">
        <v>12905</v>
      </c>
      <c r="C151" s="4" t="s">
        <v>1861</v>
      </c>
      <c r="D151" s="4" t="s">
        <v>1862</v>
      </c>
      <c r="E151" s="4" t="s">
        <v>1376</v>
      </c>
      <c r="F151" s="4" t="s">
        <v>1863</v>
      </c>
      <c r="G151" s="4" t="s">
        <v>1864</v>
      </c>
      <c r="H151" s="4" t="s">
        <v>367</v>
      </c>
      <c r="I151" s="4" t="s">
        <v>975</v>
      </c>
      <c r="J151" s="4" t="s">
        <v>31</v>
      </c>
      <c r="K151" s="4" t="s">
        <v>95</v>
      </c>
      <c r="L151" s="2" t="s">
        <v>373</v>
      </c>
      <c r="M151" s="2" t="s">
        <v>32</v>
      </c>
      <c r="N151" s="4" t="s">
        <v>484</v>
      </c>
      <c r="O151" s="4" t="s">
        <v>164</v>
      </c>
      <c r="P151" s="4" t="s">
        <v>35</v>
      </c>
      <c r="Q151" s="152">
        <v>506.9</v>
      </c>
      <c r="R151" s="152">
        <v>1</v>
      </c>
      <c r="S151" s="152">
        <v>5985</v>
      </c>
      <c r="U151" s="152">
        <v>30.338000000000001</v>
      </c>
      <c r="V151" s="152">
        <v>3.9999999999999998E-6</v>
      </c>
      <c r="W151" s="166">
        <v>9.0475358397544801E-3</v>
      </c>
      <c r="X151" s="166">
        <v>9.7508011029917303E-4</v>
      </c>
    </row>
    <row r="152" spans="1:24">
      <c r="A152" s="4" t="s">
        <v>112</v>
      </c>
      <c r="B152" s="4">
        <v>12905</v>
      </c>
      <c r="C152" s="4" t="s">
        <v>1869</v>
      </c>
      <c r="D152" s="4" t="s">
        <v>1870</v>
      </c>
      <c r="E152" s="4" t="s">
        <v>1376</v>
      </c>
      <c r="F152" s="4" t="s">
        <v>1871</v>
      </c>
      <c r="G152" s="4" t="s">
        <v>1872</v>
      </c>
      <c r="H152" s="4" t="s">
        <v>367</v>
      </c>
      <c r="I152" s="4" t="s">
        <v>975</v>
      </c>
      <c r="J152" s="4" t="s">
        <v>31</v>
      </c>
      <c r="K152" s="4" t="s">
        <v>31</v>
      </c>
      <c r="L152" s="2" t="s">
        <v>373</v>
      </c>
      <c r="M152" s="2" t="s">
        <v>32</v>
      </c>
      <c r="N152" s="4" t="s">
        <v>490</v>
      </c>
      <c r="O152" s="4" t="s">
        <v>164</v>
      </c>
      <c r="P152" s="4" t="s">
        <v>35</v>
      </c>
      <c r="Q152" s="152">
        <v>795</v>
      </c>
      <c r="R152" s="152">
        <v>1</v>
      </c>
      <c r="S152" s="152">
        <v>4328</v>
      </c>
      <c r="U152" s="152">
        <v>34.408000000000001</v>
      </c>
      <c r="V152" s="152">
        <v>7.9999999999999996E-6</v>
      </c>
      <c r="W152" s="166">
        <v>1.02612022315912E-2</v>
      </c>
      <c r="X152" s="166">
        <v>1.10588058240326E-3</v>
      </c>
    </row>
    <row r="153" spans="1:24">
      <c r="A153" s="4" t="s">
        <v>112</v>
      </c>
      <c r="B153" s="4">
        <v>12905</v>
      </c>
      <c r="C153" s="4" t="s">
        <v>1881</v>
      </c>
      <c r="D153" s="4" t="s">
        <v>1882</v>
      </c>
      <c r="E153" s="4" t="s">
        <v>1376</v>
      </c>
      <c r="F153" s="4" t="s">
        <v>1883</v>
      </c>
      <c r="G153" s="4" t="s">
        <v>1884</v>
      </c>
      <c r="H153" s="4" t="s">
        <v>367</v>
      </c>
      <c r="I153" s="4" t="s">
        <v>975</v>
      </c>
      <c r="J153" s="4" t="s">
        <v>31</v>
      </c>
      <c r="K153" s="4" t="s">
        <v>31</v>
      </c>
      <c r="L153" s="2" t="s">
        <v>373</v>
      </c>
      <c r="M153" s="2" t="s">
        <v>32</v>
      </c>
      <c r="N153" s="4" t="s">
        <v>528</v>
      </c>
      <c r="O153" s="4" t="s">
        <v>164</v>
      </c>
      <c r="P153" s="4" t="s">
        <v>35</v>
      </c>
      <c r="Q153" s="152">
        <v>10180</v>
      </c>
      <c r="R153" s="152">
        <v>1</v>
      </c>
      <c r="S153" s="152">
        <v>423.6</v>
      </c>
      <c r="U153" s="152">
        <v>43.122</v>
      </c>
      <c r="V153" s="152">
        <v>3.9999999999999998E-6</v>
      </c>
      <c r="W153" s="166">
        <v>1.2860196235940501E-2</v>
      </c>
      <c r="X153" s="166">
        <v>1.3859819719211201E-3</v>
      </c>
    </row>
    <row r="154" spans="1:24">
      <c r="A154" s="4" t="s">
        <v>112</v>
      </c>
      <c r="B154" s="4">
        <v>12905</v>
      </c>
      <c r="C154" s="4" t="s">
        <v>1885</v>
      </c>
      <c r="D154" s="4" t="s">
        <v>1886</v>
      </c>
      <c r="E154" s="4" t="s">
        <v>1376</v>
      </c>
      <c r="F154" s="4" t="s">
        <v>1887</v>
      </c>
      <c r="G154" s="4" t="s">
        <v>1888</v>
      </c>
      <c r="H154" s="4" t="s">
        <v>367</v>
      </c>
      <c r="I154" s="4" t="s">
        <v>975</v>
      </c>
      <c r="J154" s="4" t="s">
        <v>31</v>
      </c>
      <c r="K154" s="4" t="s">
        <v>31</v>
      </c>
      <c r="L154" s="2" t="s">
        <v>373</v>
      </c>
      <c r="M154" s="2" t="s">
        <v>32</v>
      </c>
      <c r="N154" s="4" t="s">
        <v>507</v>
      </c>
      <c r="O154" s="4" t="s">
        <v>164</v>
      </c>
      <c r="P154" s="4" t="s">
        <v>35</v>
      </c>
      <c r="Q154" s="152">
        <v>81</v>
      </c>
      <c r="R154" s="152">
        <v>1</v>
      </c>
      <c r="S154" s="152">
        <v>35740</v>
      </c>
      <c r="U154" s="152">
        <v>28.949000000000002</v>
      </c>
      <c r="V154" s="152">
        <v>3.0000000000000001E-6</v>
      </c>
      <c r="W154" s="166">
        <v>8.63343121529043E-3</v>
      </c>
      <c r="X154" s="166">
        <v>9.3045081122266704E-4</v>
      </c>
    </row>
    <row r="155" spans="1:24">
      <c r="A155" s="4" t="s">
        <v>112</v>
      </c>
      <c r="B155" s="4">
        <v>12905</v>
      </c>
      <c r="C155" s="4" t="s">
        <v>1889</v>
      </c>
      <c r="D155" s="4" t="s">
        <v>1890</v>
      </c>
      <c r="E155" s="4" t="s">
        <v>1376</v>
      </c>
      <c r="F155" s="4" t="s">
        <v>1891</v>
      </c>
      <c r="G155" s="4" t="s">
        <v>1892</v>
      </c>
      <c r="H155" s="4" t="s">
        <v>367</v>
      </c>
      <c r="I155" s="4" t="s">
        <v>975</v>
      </c>
      <c r="J155" s="4" t="s">
        <v>31</v>
      </c>
      <c r="K155" s="4" t="s">
        <v>31</v>
      </c>
      <c r="L155" s="2" t="s">
        <v>373</v>
      </c>
      <c r="M155" s="2" t="s">
        <v>32</v>
      </c>
      <c r="N155" s="4" t="s">
        <v>491</v>
      </c>
      <c r="O155" s="4" t="s">
        <v>164</v>
      </c>
      <c r="P155" s="4" t="s">
        <v>35</v>
      </c>
      <c r="Q155" s="152">
        <v>39</v>
      </c>
      <c r="R155" s="152">
        <v>1</v>
      </c>
      <c r="S155" s="152">
        <v>14410</v>
      </c>
      <c r="U155" s="152">
        <v>5.62</v>
      </c>
      <c r="V155" s="152">
        <v>0</v>
      </c>
      <c r="W155" s="166">
        <v>1.67599397869423E-3</v>
      </c>
      <c r="X155" s="166">
        <v>1.8062690466780901E-4</v>
      </c>
    </row>
    <row r="156" spans="1:24">
      <c r="A156" s="4" t="s">
        <v>112</v>
      </c>
      <c r="B156" s="4">
        <v>12905</v>
      </c>
      <c r="C156" s="4" t="s">
        <v>1897</v>
      </c>
      <c r="D156" s="4" t="s">
        <v>1898</v>
      </c>
      <c r="E156" s="4" t="s">
        <v>1376</v>
      </c>
      <c r="F156" s="4" t="s">
        <v>1899</v>
      </c>
      <c r="G156" s="4" t="s">
        <v>1900</v>
      </c>
      <c r="H156" s="4" t="s">
        <v>367</v>
      </c>
      <c r="I156" s="4" t="s">
        <v>975</v>
      </c>
      <c r="J156" s="4" t="s">
        <v>31</v>
      </c>
      <c r="K156" s="4" t="s">
        <v>31</v>
      </c>
      <c r="L156" s="2" t="s">
        <v>373</v>
      </c>
      <c r="M156" s="2" t="s">
        <v>32</v>
      </c>
      <c r="N156" s="4" t="s">
        <v>491</v>
      </c>
      <c r="O156" s="4" t="s">
        <v>164</v>
      </c>
      <c r="P156" s="4" t="s">
        <v>35</v>
      </c>
      <c r="Q156" s="152">
        <v>7041</v>
      </c>
      <c r="R156" s="152">
        <v>1</v>
      </c>
      <c r="S156" s="152">
        <v>1909</v>
      </c>
      <c r="U156" s="152">
        <v>134.41300000000001</v>
      </c>
      <c r="V156" s="152">
        <v>6.0000000000000002E-6</v>
      </c>
      <c r="W156" s="166">
        <v>4.0085207761720601E-2</v>
      </c>
      <c r="X156" s="166">
        <v>4.3201032300883898E-3</v>
      </c>
    </row>
    <row r="157" spans="1:24">
      <c r="A157" s="4" t="s">
        <v>112</v>
      </c>
      <c r="B157" s="4">
        <v>12905</v>
      </c>
      <c r="C157" s="4" t="s">
        <v>1901</v>
      </c>
      <c r="D157" s="4" t="s">
        <v>1902</v>
      </c>
      <c r="E157" s="4" t="s">
        <v>1376</v>
      </c>
      <c r="F157" s="4" t="s">
        <v>1903</v>
      </c>
      <c r="G157" s="4" t="s">
        <v>1904</v>
      </c>
      <c r="H157" s="4" t="s">
        <v>367</v>
      </c>
      <c r="I157" s="4" t="s">
        <v>975</v>
      </c>
      <c r="J157" s="4" t="s">
        <v>31</v>
      </c>
      <c r="K157" s="4" t="s">
        <v>31</v>
      </c>
      <c r="L157" s="2" t="s">
        <v>373</v>
      </c>
      <c r="M157" s="2" t="s">
        <v>32</v>
      </c>
      <c r="N157" s="4" t="s">
        <v>480</v>
      </c>
      <c r="O157" s="4" t="s">
        <v>164</v>
      </c>
      <c r="P157" s="4" t="s">
        <v>35</v>
      </c>
      <c r="Q157" s="152">
        <v>470</v>
      </c>
      <c r="R157" s="152">
        <v>1</v>
      </c>
      <c r="S157" s="152">
        <v>15700</v>
      </c>
      <c r="U157" s="152">
        <v>73.790000000000006</v>
      </c>
      <c r="V157" s="152">
        <v>1.8E-5</v>
      </c>
      <c r="W157" s="166">
        <v>2.2006013574591601E-2</v>
      </c>
      <c r="X157" s="166">
        <v>2.3716541745293701E-3</v>
      </c>
    </row>
    <row r="158" spans="1:24">
      <c r="A158" s="4" t="s">
        <v>112</v>
      </c>
      <c r="B158" s="4">
        <v>12905</v>
      </c>
      <c r="C158" s="4" t="s">
        <v>2159</v>
      </c>
      <c r="D158" s="4" t="s">
        <v>2160</v>
      </c>
      <c r="E158" s="4" t="s">
        <v>1376</v>
      </c>
      <c r="F158" s="4" t="s">
        <v>2161</v>
      </c>
      <c r="G158" s="4" t="s">
        <v>2162</v>
      </c>
      <c r="H158" s="4" t="s">
        <v>367</v>
      </c>
      <c r="I158" s="4" t="s">
        <v>975</v>
      </c>
      <c r="J158" s="4" t="s">
        <v>31</v>
      </c>
      <c r="K158" s="4" t="s">
        <v>31</v>
      </c>
      <c r="L158" s="2" t="s">
        <v>373</v>
      </c>
      <c r="M158" s="2" t="s">
        <v>32</v>
      </c>
      <c r="N158" s="4" t="s">
        <v>507</v>
      </c>
      <c r="O158" s="4" t="s">
        <v>164</v>
      </c>
      <c r="P158" s="4" t="s">
        <v>35</v>
      </c>
      <c r="Q158" s="152">
        <v>96</v>
      </c>
      <c r="R158" s="152">
        <v>1</v>
      </c>
      <c r="S158" s="152">
        <v>2837</v>
      </c>
      <c r="U158" s="152">
        <v>2.7240000000000002</v>
      </c>
      <c r="V158" s="152">
        <v>3.0000000000000001E-6</v>
      </c>
      <c r="W158" s="166">
        <v>8.1222141334424199E-4</v>
      </c>
      <c r="X158" s="166">
        <v>8.7535541095192301E-5</v>
      </c>
    </row>
    <row r="159" spans="1:24">
      <c r="A159" s="4" t="s">
        <v>112</v>
      </c>
      <c r="B159" s="4">
        <v>12905</v>
      </c>
      <c r="C159" s="4" t="s">
        <v>1905</v>
      </c>
      <c r="D159" s="4" t="s">
        <v>1906</v>
      </c>
      <c r="E159" s="4" t="s">
        <v>1376</v>
      </c>
      <c r="F159" s="4" t="s">
        <v>1907</v>
      </c>
      <c r="G159" s="4" t="s">
        <v>1908</v>
      </c>
      <c r="H159" s="4" t="s">
        <v>367</v>
      </c>
      <c r="I159" s="4" t="s">
        <v>975</v>
      </c>
      <c r="J159" s="4" t="s">
        <v>31</v>
      </c>
      <c r="K159" s="4" t="s">
        <v>31</v>
      </c>
      <c r="L159" s="2" t="s">
        <v>373</v>
      </c>
      <c r="M159" s="2" t="s">
        <v>32</v>
      </c>
      <c r="N159" s="4" t="s">
        <v>488</v>
      </c>
      <c r="O159" s="4" t="s">
        <v>164</v>
      </c>
      <c r="P159" s="4" t="s">
        <v>35</v>
      </c>
      <c r="Q159" s="152">
        <v>1053</v>
      </c>
      <c r="R159" s="152">
        <v>1</v>
      </c>
      <c r="S159" s="152">
        <v>3419</v>
      </c>
      <c r="U159" s="152">
        <v>36.002000000000002</v>
      </c>
      <c r="V159" s="152">
        <v>3.9999999999999998E-6</v>
      </c>
      <c r="W159" s="166">
        <v>1.0736712849077E-2</v>
      </c>
      <c r="X159" s="166">
        <v>1.15712778977095E-3</v>
      </c>
    </row>
    <row r="160" spans="1:24">
      <c r="A160" s="4" t="s">
        <v>112</v>
      </c>
      <c r="B160" s="4">
        <v>12905</v>
      </c>
      <c r="C160" s="4" t="s">
        <v>1909</v>
      </c>
      <c r="D160" s="4" t="s">
        <v>1910</v>
      </c>
      <c r="E160" s="4" t="s">
        <v>1376</v>
      </c>
      <c r="F160" s="4" t="s">
        <v>1911</v>
      </c>
      <c r="G160" s="4" t="s">
        <v>1912</v>
      </c>
      <c r="H160" s="4" t="s">
        <v>367</v>
      </c>
      <c r="I160" s="4" t="s">
        <v>975</v>
      </c>
      <c r="J160" s="4" t="s">
        <v>31</v>
      </c>
      <c r="K160" s="4" t="s">
        <v>31</v>
      </c>
      <c r="L160" s="2" t="s">
        <v>373</v>
      </c>
      <c r="M160" s="2" t="s">
        <v>32</v>
      </c>
      <c r="N160" s="4" t="s">
        <v>488</v>
      </c>
      <c r="O160" s="4" t="s">
        <v>164</v>
      </c>
      <c r="P160" s="4" t="s">
        <v>35</v>
      </c>
      <c r="Q160" s="152">
        <v>1432</v>
      </c>
      <c r="R160" s="152">
        <v>1</v>
      </c>
      <c r="S160" s="152">
        <v>2997</v>
      </c>
      <c r="U160" s="152">
        <v>42.917000000000002</v>
      </c>
      <c r="V160" s="152">
        <v>6.9999999999999999E-6</v>
      </c>
      <c r="W160" s="166">
        <v>1.2798928917486E-2</v>
      </c>
      <c r="X160" s="166">
        <v>1.37937900900453E-3</v>
      </c>
    </row>
    <row r="161" spans="1:24">
      <c r="A161" s="4" t="s">
        <v>112</v>
      </c>
      <c r="B161" s="4">
        <v>12905</v>
      </c>
      <c r="C161" s="4" t="s">
        <v>1913</v>
      </c>
      <c r="D161" s="4" t="s">
        <v>1914</v>
      </c>
      <c r="E161" s="4" t="s">
        <v>1376</v>
      </c>
      <c r="F161" s="4" t="s">
        <v>1915</v>
      </c>
      <c r="G161" s="4" t="s">
        <v>1916</v>
      </c>
      <c r="H161" s="4" t="s">
        <v>367</v>
      </c>
      <c r="I161" s="4" t="s">
        <v>975</v>
      </c>
      <c r="J161" s="4" t="s">
        <v>31</v>
      </c>
      <c r="K161" s="4" t="s">
        <v>31</v>
      </c>
      <c r="L161" s="2" t="s">
        <v>373</v>
      </c>
      <c r="M161" s="2" t="s">
        <v>32</v>
      </c>
      <c r="N161" s="4" t="s">
        <v>494</v>
      </c>
      <c r="O161" s="4" t="s">
        <v>164</v>
      </c>
      <c r="P161" s="4" t="s">
        <v>35</v>
      </c>
      <c r="Q161" s="152">
        <v>11</v>
      </c>
      <c r="R161" s="152">
        <v>1</v>
      </c>
      <c r="S161" s="152">
        <v>83740</v>
      </c>
      <c r="U161" s="152">
        <v>9.2110000000000003</v>
      </c>
      <c r="V161" s="152">
        <v>9.9999999999999995E-7</v>
      </c>
      <c r="W161" s="166">
        <v>2.7470686196095998E-3</v>
      </c>
      <c r="X161" s="166">
        <v>2.9605983552324E-4</v>
      </c>
    </row>
    <row r="162" spans="1:24">
      <c r="A162" s="4" t="s">
        <v>112</v>
      </c>
      <c r="B162" s="4">
        <v>12905</v>
      </c>
      <c r="C162" s="4" t="s">
        <v>1917</v>
      </c>
      <c r="D162" s="4" t="s">
        <v>1918</v>
      </c>
      <c r="E162" s="4" t="s">
        <v>1376</v>
      </c>
      <c r="F162" s="4" t="s">
        <v>1919</v>
      </c>
      <c r="G162" s="4" t="s">
        <v>1920</v>
      </c>
      <c r="H162" s="4" t="s">
        <v>367</v>
      </c>
      <c r="I162" s="4" t="s">
        <v>975</v>
      </c>
      <c r="J162" s="4" t="s">
        <v>31</v>
      </c>
      <c r="K162" s="4" t="s">
        <v>31</v>
      </c>
      <c r="L162" s="2" t="s">
        <v>373</v>
      </c>
      <c r="M162" s="2" t="s">
        <v>32</v>
      </c>
      <c r="N162" s="4" t="s">
        <v>520</v>
      </c>
      <c r="O162" s="4" t="s">
        <v>164</v>
      </c>
      <c r="P162" s="4" t="s">
        <v>35</v>
      </c>
      <c r="Q162" s="152">
        <v>121</v>
      </c>
      <c r="R162" s="152">
        <v>1</v>
      </c>
      <c r="S162" s="152">
        <v>19600</v>
      </c>
      <c r="U162" s="152">
        <v>23.716000000000001</v>
      </c>
      <c r="V162" s="152">
        <v>5.0000000000000004E-6</v>
      </c>
      <c r="W162" s="166">
        <v>7.0727011510368998E-3</v>
      </c>
      <c r="X162" s="166">
        <v>7.6224624479114499E-4</v>
      </c>
    </row>
    <row r="163" spans="1:24">
      <c r="A163" s="4" t="s">
        <v>112</v>
      </c>
      <c r="B163" s="4">
        <v>12905</v>
      </c>
      <c r="C163" s="4" t="s">
        <v>1925</v>
      </c>
      <c r="D163" s="4" t="s">
        <v>1926</v>
      </c>
      <c r="E163" s="4" t="s">
        <v>1376</v>
      </c>
      <c r="F163" s="4" t="s">
        <v>1927</v>
      </c>
      <c r="G163" s="4" t="s">
        <v>1928</v>
      </c>
      <c r="H163" s="4" t="s">
        <v>367</v>
      </c>
      <c r="I163" s="4" t="s">
        <v>975</v>
      </c>
      <c r="J163" s="4" t="s">
        <v>31</v>
      </c>
      <c r="K163" s="4" t="s">
        <v>345</v>
      </c>
      <c r="L163" s="2" t="s">
        <v>373</v>
      </c>
      <c r="M163" s="2" t="s">
        <v>32</v>
      </c>
      <c r="N163" s="4" t="s">
        <v>501</v>
      </c>
      <c r="O163" s="4" t="s">
        <v>164</v>
      </c>
      <c r="P163" s="4" t="s">
        <v>35</v>
      </c>
      <c r="Q163" s="152">
        <v>436</v>
      </c>
      <c r="R163" s="152">
        <v>1</v>
      </c>
      <c r="S163" s="152">
        <v>14820</v>
      </c>
      <c r="U163" s="152">
        <v>64.614999999999995</v>
      </c>
      <c r="V163" s="152">
        <v>3.9999999999999998E-6</v>
      </c>
      <c r="W163" s="166">
        <v>1.92698599854309E-2</v>
      </c>
      <c r="X163" s="166">
        <v>2.0767706846191898E-3</v>
      </c>
    </row>
    <row r="164" spans="1:24">
      <c r="A164" s="4" t="s">
        <v>112</v>
      </c>
      <c r="B164" s="4">
        <v>12905</v>
      </c>
      <c r="C164" s="4" t="s">
        <v>1929</v>
      </c>
      <c r="D164" s="4" t="s">
        <v>1930</v>
      </c>
      <c r="E164" s="4" t="s">
        <v>1376</v>
      </c>
      <c r="F164" s="4" t="s">
        <v>1931</v>
      </c>
      <c r="G164" s="4" t="s">
        <v>1932</v>
      </c>
      <c r="H164" s="4" t="s">
        <v>367</v>
      </c>
      <c r="I164" s="4" t="s">
        <v>975</v>
      </c>
      <c r="J164" s="4" t="s">
        <v>31</v>
      </c>
      <c r="K164" s="4" t="s">
        <v>95</v>
      </c>
      <c r="L164" s="2" t="s">
        <v>373</v>
      </c>
      <c r="M164" s="2" t="s">
        <v>32</v>
      </c>
      <c r="N164" s="4" t="s">
        <v>510</v>
      </c>
      <c r="O164" s="4" t="s">
        <v>164</v>
      </c>
      <c r="P164" s="4" t="s">
        <v>35</v>
      </c>
      <c r="Q164" s="152">
        <v>2252</v>
      </c>
      <c r="R164" s="152">
        <v>1</v>
      </c>
      <c r="S164" s="152">
        <v>6120</v>
      </c>
      <c r="U164" s="152">
        <v>137.822</v>
      </c>
      <c r="V164" s="152">
        <v>1.9999999999999999E-6</v>
      </c>
      <c r="W164" s="166">
        <v>4.1102068102490702E-2</v>
      </c>
      <c r="X164" s="166">
        <v>4.42969332299305E-3</v>
      </c>
    </row>
    <row r="165" spans="1:24">
      <c r="A165" s="4" t="s">
        <v>112</v>
      </c>
      <c r="B165" s="4">
        <v>12905</v>
      </c>
      <c r="C165" s="4" t="s">
        <v>1933</v>
      </c>
      <c r="D165" s="4" t="s">
        <v>1934</v>
      </c>
      <c r="E165" s="4" t="s">
        <v>1376</v>
      </c>
      <c r="F165" s="4" t="s">
        <v>1935</v>
      </c>
      <c r="G165" s="4" t="s">
        <v>1936</v>
      </c>
      <c r="H165" s="4" t="s">
        <v>367</v>
      </c>
      <c r="I165" s="4" t="s">
        <v>975</v>
      </c>
      <c r="J165" s="4" t="s">
        <v>31</v>
      </c>
      <c r="K165" s="4" t="s">
        <v>31</v>
      </c>
      <c r="L165" s="2" t="s">
        <v>373</v>
      </c>
      <c r="M165" s="2" t="s">
        <v>32</v>
      </c>
      <c r="N165" s="4" t="s">
        <v>519</v>
      </c>
      <c r="O165" s="4" t="s">
        <v>164</v>
      </c>
      <c r="P165" s="4" t="s">
        <v>35</v>
      </c>
      <c r="Q165" s="152">
        <v>5000</v>
      </c>
      <c r="R165" s="152">
        <v>1</v>
      </c>
      <c r="S165" s="152">
        <v>488.5</v>
      </c>
      <c r="U165" s="152">
        <v>24.425000000000001</v>
      </c>
      <c r="V165" s="152">
        <v>4.6999999999999997E-5</v>
      </c>
      <c r="W165" s="166">
        <v>7.2841425878763903E-3</v>
      </c>
      <c r="X165" s="166">
        <v>7.8503392347038803E-4</v>
      </c>
    </row>
    <row r="166" spans="1:24">
      <c r="A166" s="4" t="s">
        <v>112</v>
      </c>
      <c r="B166" s="4">
        <v>12905</v>
      </c>
      <c r="C166" s="4" t="s">
        <v>1937</v>
      </c>
      <c r="D166" s="4" t="s">
        <v>1938</v>
      </c>
      <c r="E166" s="4" t="s">
        <v>1376</v>
      </c>
      <c r="F166" s="4" t="s">
        <v>1939</v>
      </c>
      <c r="G166" s="4" t="s">
        <v>1940</v>
      </c>
      <c r="H166" s="4" t="s">
        <v>367</v>
      </c>
      <c r="I166" s="4" t="s">
        <v>975</v>
      </c>
      <c r="J166" s="4" t="s">
        <v>31</v>
      </c>
      <c r="K166" s="4" t="s">
        <v>31</v>
      </c>
      <c r="L166" s="2" t="s">
        <v>373</v>
      </c>
      <c r="M166" s="2" t="s">
        <v>32</v>
      </c>
      <c r="N166" s="4" t="s">
        <v>522</v>
      </c>
      <c r="O166" s="4" t="s">
        <v>164</v>
      </c>
      <c r="P166" s="4" t="s">
        <v>35</v>
      </c>
      <c r="Q166" s="152">
        <v>7862</v>
      </c>
      <c r="R166" s="152">
        <v>1</v>
      </c>
      <c r="S166" s="152">
        <v>1257</v>
      </c>
      <c r="U166" s="152">
        <v>98.825000000000003</v>
      </c>
      <c r="V166" s="152">
        <v>3.8999999999999999E-5</v>
      </c>
      <c r="W166" s="166">
        <v>2.9472174733075299E-2</v>
      </c>
      <c r="X166" s="166">
        <v>3.1763047860182201E-3</v>
      </c>
    </row>
    <row r="167" spans="1:24">
      <c r="A167" s="4" t="s">
        <v>112</v>
      </c>
      <c r="B167" s="4">
        <v>12905</v>
      </c>
      <c r="C167" s="4" t="s">
        <v>1941</v>
      </c>
      <c r="D167" s="4" t="s">
        <v>1942</v>
      </c>
      <c r="E167" s="4" t="s">
        <v>1376</v>
      </c>
      <c r="F167" s="4" t="s">
        <v>1943</v>
      </c>
      <c r="G167" s="4" t="s">
        <v>1944</v>
      </c>
      <c r="H167" s="4" t="s">
        <v>367</v>
      </c>
      <c r="I167" s="4" t="s">
        <v>975</v>
      </c>
      <c r="J167" s="4" t="s">
        <v>31</v>
      </c>
      <c r="K167" s="4" t="s">
        <v>31</v>
      </c>
      <c r="L167" s="2" t="s">
        <v>373</v>
      </c>
      <c r="M167" s="2" t="s">
        <v>32</v>
      </c>
      <c r="N167" s="4" t="s">
        <v>488</v>
      </c>
      <c r="O167" s="4" t="s">
        <v>164</v>
      </c>
      <c r="P167" s="4" t="s">
        <v>35</v>
      </c>
      <c r="Q167" s="152">
        <v>460</v>
      </c>
      <c r="R167" s="152">
        <v>1</v>
      </c>
      <c r="S167" s="152">
        <v>5291</v>
      </c>
      <c r="U167" s="152">
        <v>24.338999999999999</v>
      </c>
      <c r="V167" s="152">
        <v>6.0000000000000002E-6</v>
      </c>
      <c r="W167" s="166">
        <v>7.25837595861978E-3</v>
      </c>
      <c r="X167" s="166">
        <v>7.8225697644939102E-4</v>
      </c>
    </row>
    <row r="168" spans="1:24">
      <c r="A168" s="4" t="s">
        <v>112</v>
      </c>
      <c r="B168" s="4">
        <v>12905</v>
      </c>
      <c r="C168" s="4" t="s">
        <v>1222</v>
      </c>
      <c r="D168" s="4" t="s">
        <v>1945</v>
      </c>
      <c r="E168" s="4" t="s">
        <v>1376</v>
      </c>
      <c r="F168" s="4" t="s">
        <v>1946</v>
      </c>
      <c r="G168" s="4" t="s">
        <v>1947</v>
      </c>
      <c r="H168" s="4" t="s">
        <v>367</v>
      </c>
      <c r="I168" s="4" t="s">
        <v>975</v>
      </c>
      <c r="J168" s="4" t="s">
        <v>31</v>
      </c>
      <c r="K168" s="4" t="s">
        <v>31</v>
      </c>
      <c r="L168" s="2" t="s">
        <v>373</v>
      </c>
      <c r="M168" s="2" t="s">
        <v>32</v>
      </c>
      <c r="N168" s="4" t="s">
        <v>491</v>
      </c>
      <c r="O168" s="4" t="s">
        <v>164</v>
      </c>
      <c r="P168" s="4" t="s">
        <v>35</v>
      </c>
      <c r="Q168" s="152">
        <v>8157</v>
      </c>
      <c r="R168" s="152">
        <v>1</v>
      </c>
      <c r="S168" s="152">
        <v>3110</v>
      </c>
      <c r="U168" s="152">
        <v>253.68299999999999</v>
      </c>
      <c r="V168" s="152">
        <v>5.0000000000000004E-6</v>
      </c>
      <c r="W168" s="166">
        <v>7.5654491663355999E-2</v>
      </c>
      <c r="X168" s="166">
        <v>8.1535117829093697E-3</v>
      </c>
    </row>
    <row r="169" spans="1:24">
      <c r="A169" s="4" t="s">
        <v>112</v>
      </c>
      <c r="B169" s="4">
        <v>12905</v>
      </c>
      <c r="C169" s="4" t="s">
        <v>2144</v>
      </c>
      <c r="D169" s="4" t="s">
        <v>2145</v>
      </c>
      <c r="E169" s="4" t="s">
        <v>1376</v>
      </c>
      <c r="F169" s="4" t="s">
        <v>2146</v>
      </c>
      <c r="G169" s="4" t="s">
        <v>2147</v>
      </c>
      <c r="H169" s="4" t="s">
        <v>367</v>
      </c>
      <c r="I169" s="4" t="s">
        <v>975</v>
      </c>
      <c r="J169" s="4" t="s">
        <v>31</v>
      </c>
      <c r="K169" s="4" t="s">
        <v>31</v>
      </c>
      <c r="L169" s="2" t="s">
        <v>373</v>
      </c>
      <c r="M169" s="2" t="s">
        <v>32</v>
      </c>
      <c r="N169" s="4" t="s">
        <v>507</v>
      </c>
      <c r="O169" s="4" t="s">
        <v>164</v>
      </c>
      <c r="P169" s="4" t="s">
        <v>35</v>
      </c>
      <c r="Q169" s="152">
        <v>4274</v>
      </c>
      <c r="R169" s="152">
        <v>1</v>
      </c>
      <c r="S169" s="152">
        <v>881</v>
      </c>
      <c r="U169" s="152">
        <v>37.654000000000003</v>
      </c>
      <c r="V169" s="152">
        <v>6.0000000000000002E-6</v>
      </c>
      <c r="W169" s="166">
        <v>1.1229341574425501E-2</v>
      </c>
      <c r="X169" s="166">
        <v>1.2102198670345401E-3</v>
      </c>
    </row>
    <row r="170" spans="1:24">
      <c r="A170" s="4" t="s">
        <v>112</v>
      </c>
      <c r="B170" s="4">
        <v>12905</v>
      </c>
      <c r="C170" s="4" t="s">
        <v>1952</v>
      </c>
      <c r="D170" s="4" t="s">
        <v>1953</v>
      </c>
      <c r="E170" s="4" t="s">
        <v>1376</v>
      </c>
      <c r="F170" s="4" t="s">
        <v>1954</v>
      </c>
      <c r="G170" s="4" t="s">
        <v>1955</v>
      </c>
      <c r="H170" s="4" t="s">
        <v>367</v>
      </c>
      <c r="I170" s="4" t="s">
        <v>975</v>
      </c>
      <c r="J170" s="4" t="s">
        <v>31</v>
      </c>
      <c r="K170" s="4" t="s">
        <v>31</v>
      </c>
      <c r="L170" s="2" t="s">
        <v>373</v>
      </c>
      <c r="M170" s="2" t="s">
        <v>32</v>
      </c>
      <c r="N170" s="4" t="s">
        <v>502</v>
      </c>
      <c r="O170" s="4" t="s">
        <v>164</v>
      </c>
      <c r="P170" s="4" t="s">
        <v>35</v>
      </c>
      <c r="Q170" s="152">
        <v>116</v>
      </c>
      <c r="R170" s="152">
        <v>1</v>
      </c>
      <c r="S170" s="152">
        <v>14490</v>
      </c>
      <c r="U170" s="152">
        <v>16.808</v>
      </c>
      <c r="V170" s="152">
        <v>3.4999999999999997E-5</v>
      </c>
      <c r="W170" s="166">
        <v>5.0126829999615798E-3</v>
      </c>
      <c r="X170" s="166">
        <v>5.4023190170971E-4</v>
      </c>
    </row>
    <row r="171" spans="1:24">
      <c r="A171" s="4" t="s">
        <v>112</v>
      </c>
      <c r="B171" s="4">
        <v>12905</v>
      </c>
      <c r="C171" s="4" t="s">
        <v>1956</v>
      </c>
      <c r="D171" s="4" t="s">
        <v>1957</v>
      </c>
      <c r="E171" s="4" t="s">
        <v>1376</v>
      </c>
      <c r="F171" s="4" t="s">
        <v>1958</v>
      </c>
      <c r="G171" s="4" t="s">
        <v>1959</v>
      </c>
      <c r="H171" s="4" t="s">
        <v>367</v>
      </c>
      <c r="I171" s="4" t="s">
        <v>975</v>
      </c>
      <c r="J171" s="4" t="s">
        <v>31</v>
      </c>
      <c r="K171" s="4" t="s">
        <v>31</v>
      </c>
      <c r="L171" s="2" t="s">
        <v>373</v>
      </c>
      <c r="M171" s="2" t="s">
        <v>32</v>
      </c>
      <c r="N171" s="4" t="s">
        <v>520</v>
      </c>
      <c r="O171" s="4" t="s">
        <v>164</v>
      </c>
      <c r="P171" s="4" t="s">
        <v>35</v>
      </c>
      <c r="Q171" s="152">
        <v>60</v>
      </c>
      <c r="R171" s="152">
        <v>1</v>
      </c>
      <c r="S171" s="152">
        <v>6901</v>
      </c>
      <c r="T171" s="150">
        <v>4.9000000000000002E-2</v>
      </c>
      <c r="U171" s="152">
        <v>4.1890000000000001</v>
      </c>
      <c r="V171" s="152">
        <v>9.9999999999999995E-7</v>
      </c>
      <c r="W171" s="166">
        <v>1.24932364909444E-3</v>
      </c>
      <c r="X171" s="166">
        <v>1.34643361809709E-4</v>
      </c>
    </row>
    <row r="172" spans="1:24">
      <c r="A172" s="4" t="s">
        <v>112</v>
      </c>
      <c r="B172" s="4">
        <v>12905</v>
      </c>
      <c r="C172" s="4" t="s">
        <v>1960</v>
      </c>
      <c r="D172" s="4" t="s">
        <v>1961</v>
      </c>
      <c r="E172" s="4" t="s">
        <v>1376</v>
      </c>
      <c r="F172" s="4" t="s">
        <v>1962</v>
      </c>
      <c r="G172" s="4" t="s">
        <v>1963</v>
      </c>
      <c r="H172" s="4" t="s">
        <v>367</v>
      </c>
      <c r="I172" s="4" t="s">
        <v>975</v>
      </c>
      <c r="J172" s="4" t="s">
        <v>31</v>
      </c>
      <c r="K172" s="4" t="s">
        <v>31</v>
      </c>
      <c r="L172" s="2" t="s">
        <v>373</v>
      </c>
      <c r="M172" s="2" t="s">
        <v>32</v>
      </c>
      <c r="N172" s="4" t="s">
        <v>507</v>
      </c>
      <c r="O172" s="4" t="s">
        <v>164</v>
      </c>
      <c r="P172" s="4" t="s">
        <v>35</v>
      </c>
      <c r="Q172" s="152">
        <v>84</v>
      </c>
      <c r="R172" s="152">
        <v>1</v>
      </c>
      <c r="S172" s="152">
        <v>24710</v>
      </c>
      <c r="U172" s="152">
        <v>20.756</v>
      </c>
      <c r="V172" s="152">
        <v>1.9999999999999999E-6</v>
      </c>
      <c r="W172" s="166">
        <v>6.1900748090479999E-3</v>
      </c>
      <c r="X172" s="166">
        <v>6.6712295308580399E-4</v>
      </c>
    </row>
    <row r="173" spans="1:24">
      <c r="A173" s="4" t="s">
        <v>112</v>
      </c>
      <c r="B173" s="4">
        <v>12905</v>
      </c>
      <c r="C173" s="4" t="s">
        <v>1964</v>
      </c>
      <c r="D173" s="4" t="s">
        <v>1965</v>
      </c>
      <c r="E173" s="4" t="s">
        <v>1376</v>
      </c>
      <c r="F173" s="4" t="s">
        <v>1966</v>
      </c>
      <c r="G173" s="4" t="s">
        <v>1967</v>
      </c>
      <c r="H173" s="4" t="s">
        <v>367</v>
      </c>
      <c r="I173" s="4" t="s">
        <v>975</v>
      </c>
      <c r="J173" s="4" t="s">
        <v>31</v>
      </c>
      <c r="K173" s="4" t="s">
        <v>31</v>
      </c>
      <c r="L173" s="2" t="s">
        <v>373</v>
      </c>
      <c r="M173" s="2" t="s">
        <v>32</v>
      </c>
      <c r="N173" s="4" t="s">
        <v>488</v>
      </c>
      <c r="O173" s="4" t="s">
        <v>164</v>
      </c>
      <c r="P173" s="4" t="s">
        <v>35</v>
      </c>
      <c r="Q173" s="152">
        <v>540</v>
      </c>
      <c r="R173" s="152">
        <v>1</v>
      </c>
      <c r="S173" s="152">
        <v>8960</v>
      </c>
      <c r="U173" s="152">
        <v>48.384</v>
      </c>
      <c r="V173" s="152">
        <v>9.0000000000000002E-6</v>
      </c>
      <c r="W173" s="166">
        <v>1.4429312383697501E-2</v>
      </c>
      <c r="X173" s="166">
        <v>1.55509033175809E-3</v>
      </c>
    </row>
    <row r="174" spans="1:24">
      <c r="A174" s="4" t="s">
        <v>112</v>
      </c>
      <c r="B174" s="4">
        <v>12905</v>
      </c>
      <c r="C174" s="4" t="s">
        <v>1968</v>
      </c>
      <c r="D174" s="4" t="s">
        <v>1518</v>
      </c>
      <c r="E174" s="4" t="s">
        <v>1376</v>
      </c>
      <c r="F174" s="4" t="s">
        <v>1969</v>
      </c>
      <c r="G174" s="4" t="s">
        <v>1970</v>
      </c>
      <c r="H174" s="4" t="s">
        <v>367</v>
      </c>
      <c r="I174" s="4" t="s">
        <v>975</v>
      </c>
      <c r="J174" s="4" t="s">
        <v>31</v>
      </c>
      <c r="K174" s="4" t="s">
        <v>31</v>
      </c>
      <c r="L174" s="2" t="s">
        <v>373</v>
      </c>
      <c r="M174" s="2" t="s">
        <v>32</v>
      </c>
      <c r="N174" s="4" t="s">
        <v>486</v>
      </c>
      <c r="O174" s="4" t="s">
        <v>164</v>
      </c>
      <c r="P174" s="4" t="s">
        <v>35</v>
      </c>
      <c r="Q174" s="152">
        <v>3732</v>
      </c>
      <c r="R174" s="152">
        <v>1</v>
      </c>
      <c r="S174" s="152">
        <v>1058</v>
      </c>
      <c r="U174" s="152">
        <v>39.484999999999999</v>
      </c>
      <c r="V174" s="152">
        <v>6.2000000000000003E-5</v>
      </c>
      <c r="W174" s="166">
        <v>1.1775277996297301E-2</v>
      </c>
      <c r="X174" s="166">
        <v>1.2690570748537099E-3</v>
      </c>
    </row>
    <row r="175" spans="1:24">
      <c r="A175" s="4" t="s">
        <v>112</v>
      </c>
      <c r="B175" s="4">
        <v>12905</v>
      </c>
      <c r="C175" s="4" t="s">
        <v>1971</v>
      </c>
      <c r="D175" s="4" t="s">
        <v>1972</v>
      </c>
      <c r="E175" s="4" t="s">
        <v>1376</v>
      </c>
      <c r="F175" s="4" t="s">
        <v>1973</v>
      </c>
      <c r="G175" s="4" t="s">
        <v>1974</v>
      </c>
      <c r="H175" s="4" t="s">
        <v>367</v>
      </c>
      <c r="I175" s="4" t="s">
        <v>975</v>
      </c>
      <c r="J175" s="4" t="s">
        <v>31</v>
      </c>
      <c r="K175" s="4" t="s">
        <v>31</v>
      </c>
      <c r="L175" s="2" t="s">
        <v>373</v>
      </c>
      <c r="M175" s="2" t="s">
        <v>32</v>
      </c>
      <c r="N175" s="4" t="s">
        <v>519</v>
      </c>
      <c r="O175" s="4" t="s">
        <v>164</v>
      </c>
      <c r="P175" s="4" t="s">
        <v>35</v>
      </c>
      <c r="Q175" s="152">
        <v>3000</v>
      </c>
      <c r="R175" s="152">
        <v>1</v>
      </c>
      <c r="S175" s="152">
        <v>871.5</v>
      </c>
      <c r="U175" s="152">
        <v>26.145</v>
      </c>
      <c r="V175" s="152">
        <v>2.1999999999999999E-5</v>
      </c>
      <c r="W175" s="166">
        <v>7.7970893740032E-3</v>
      </c>
      <c r="X175" s="166">
        <v>8.4031573916615299E-4</v>
      </c>
    </row>
    <row r="176" spans="1:24">
      <c r="A176" s="4" t="s">
        <v>112</v>
      </c>
      <c r="B176" s="4">
        <v>12905</v>
      </c>
      <c r="C176" s="4" t="s">
        <v>1975</v>
      </c>
      <c r="D176" s="4" t="s">
        <v>1976</v>
      </c>
      <c r="E176" s="4" t="s">
        <v>1376</v>
      </c>
      <c r="F176" s="4" t="s">
        <v>1977</v>
      </c>
      <c r="G176" s="4" t="s">
        <v>1978</v>
      </c>
      <c r="H176" s="4" t="s">
        <v>367</v>
      </c>
      <c r="I176" s="4" t="s">
        <v>975</v>
      </c>
      <c r="J176" s="4" t="s">
        <v>31</v>
      </c>
      <c r="K176" s="4" t="s">
        <v>31</v>
      </c>
      <c r="L176" s="2" t="s">
        <v>373</v>
      </c>
      <c r="M176" s="2" t="s">
        <v>32</v>
      </c>
      <c r="N176" s="4" t="s">
        <v>497</v>
      </c>
      <c r="O176" s="4" t="s">
        <v>164</v>
      </c>
      <c r="P176" s="4" t="s">
        <v>35</v>
      </c>
      <c r="Q176" s="152">
        <v>4489</v>
      </c>
      <c r="R176" s="152">
        <v>1</v>
      </c>
      <c r="S176" s="152">
        <v>895.6</v>
      </c>
      <c r="U176" s="152">
        <v>40.203000000000003</v>
      </c>
      <c r="V176" s="152">
        <v>3.9999999999999998E-6</v>
      </c>
      <c r="W176" s="166">
        <v>1.1989679016802699E-2</v>
      </c>
      <c r="X176" s="166">
        <v>1.29216371675328E-3</v>
      </c>
    </row>
    <row r="177" spans="1:24">
      <c r="A177" s="4" t="s">
        <v>112</v>
      </c>
      <c r="B177" s="4">
        <v>12905</v>
      </c>
      <c r="C177" s="4" t="s">
        <v>1979</v>
      </c>
      <c r="D177" s="4" t="s">
        <v>1980</v>
      </c>
      <c r="E177" s="4" t="s">
        <v>1376</v>
      </c>
      <c r="F177" s="4" t="s">
        <v>1981</v>
      </c>
      <c r="G177" s="4" t="s">
        <v>1982</v>
      </c>
      <c r="H177" s="4" t="s">
        <v>367</v>
      </c>
      <c r="I177" s="4" t="s">
        <v>975</v>
      </c>
      <c r="J177" s="4" t="s">
        <v>31</v>
      </c>
      <c r="K177" s="4" t="s">
        <v>95</v>
      </c>
      <c r="L177" s="2" t="s">
        <v>373</v>
      </c>
      <c r="M177" s="2" t="s">
        <v>32</v>
      </c>
      <c r="N177" s="4" t="s">
        <v>524</v>
      </c>
      <c r="O177" s="4" t="s">
        <v>164</v>
      </c>
      <c r="P177" s="4" t="s">
        <v>35</v>
      </c>
      <c r="Q177" s="152">
        <v>74</v>
      </c>
      <c r="R177" s="152">
        <v>1</v>
      </c>
      <c r="S177" s="152">
        <v>64400</v>
      </c>
      <c r="U177" s="152">
        <v>47.655999999999999</v>
      </c>
      <c r="V177" s="152">
        <v>9.9999999999999995E-7</v>
      </c>
      <c r="W177" s="166">
        <v>1.42122046742206E-2</v>
      </c>
      <c r="X177" s="166">
        <v>1.53169198185895E-3</v>
      </c>
    </row>
    <row r="178" spans="1:24">
      <c r="A178" s="4" t="s">
        <v>112</v>
      </c>
      <c r="B178" s="4">
        <v>12905</v>
      </c>
      <c r="C178" s="4" t="s">
        <v>1987</v>
      </c>
      <c r="D178" s="4" t="s">
        <v>1988</v>
      </c>
      <c r="E178" s="4" t="s">
        <v>1376</v>
      </c>
      <c r="F178" s="4" t="s">
        <v>1989</v>
      </c>
      <c r="G178" s="4" t="s">
        <v>1990</v>
      </c>
      <c r="H178" s="4" t="s">
        <v>367</v>
      </c>
      <c r="I178" s="4" t="s">
        <v>975</v>
      </c>
      <c r="J178" s="4" t="s">
        <v>31</v>
      </c>
      <c r="K178" s="4" t="s">
        <v>31</v>
      </c>
      <c r="L178" s="2" t="s">
        <v>373</v>
      </c>
      <c r="M178" s="2" t="s">
        <v>32</v>
      </c>
      <c r="N178" s="4" t="s">
        <v>528</v>
      </c>
      <c r="O178" s="4" t="s">
        <v>164</v>
      </c>
      <c r="P178" s="4" t="s">
        <v>35</v>
      </c>
      <c r="Q178" s="152">
        <v>1127</v>
      </c>
      <c r="R178" s="152">
        <v>1</v>
      </c>
      <c r="S178" s="152">
        <v>1320</v>
      </c>
      <c r="U178" s="152">
        <v>14.875999999999999</v>
      </c>
      <c r="V178" s="152">
        <v>6.9999999999999999E-6</v>
      </c>
      <c r="W178" s="166">
        <v>4.4365125401958803E-3</v>
      </c>
      <c r="X178" s="166">
        <v>4.7813628082353602E-4</v>
      </c>
    </row>
    <row r="179" spans="1:24">
      <c r="A179" s="4" t="s">
        <v>112</v>
      </c>
      <c r="B179" s="4">
        <v>12905</v>
      </c>
      <c r="C179" s="4" t="s">
        <v>1991</v>
      </c>
      <c r="D179" s="4" t="s">
        <v>1992</v>
      </c>
      <c r="E179" s="4" t="s">
        <v>1376</v>
      </c>
      <c r="F179" s="4" t="s">
        <v>1993</v>
      </c>
      <c r="G179" s="4" t="s">
        <v>1994</v>
      </c>
      <c r="H179" s="4" t="s">
        <v>367</v>
      </c>
      <c r="I179" s="4" t="s">
        <v>975</v>
      </c>
      <c r="J179" s="4" t="s">
        <v>31</v>
      </c>
      <c r="K179" s="4" t="s">
        <v>31</v>
      </c>
      <c r="L179" s="2" t="s">
        <v>373</v>
      </c>
      <c r="M179" s="2" t="s">
        <v>32</v>
      </c>
      <c r="N179" s="4" t="s">
        <v>507</v>
      </c>
      <c r="O179" s="4" t="s">
        <v>164</v>
      </c>
      <c r="P179" s="4" t="s">
        <v>35</v>
      </c>
      <c r="Q179" s="152">
        <v>149</v>
      </c>
      <c r="R179" s="152">
        <v>1</v>
      </c>
      <c r="S179" s="152">
        <v>22000</v>
      </c>
      <c r="U179" s="152">
        <v>32.78</v>
      </c>
      <c r="V179" s="152">
        <v>9.9999999999999995E-7</v>
      </c>
      <c r="W179" s="166">
        <v>9.7758114239749408E-3</v>
      </c>
      <c r="X179" s="166">
        <v>1.0535685572716201E-3</v>
      </c>
    </row>
    <row r="180" spans="1:24">
      <c r="A180" s="4" t="s">
        <v>112</v>
      </c>
      <c r="B180" s="4">
        <v>12905</v>
      </c>
      <c r="C180" s="4" t="s">
        <v>1995</v>
      </c>
      <c r="D180" s="4" t="s">
        <v>1996</v>
      </c>
      <c r="E180" s="4" t="s">
        <v>1376</v>
      </c>
      <c r="F180" s="4" t="s">
        <v>1997</v>
      </c>
      <c r="G180" s="4" t="s">
        <v>1998</v>
      </c>
      <c r="H180" s="4" t="s">
        <v>367</v>
      </c>
      <c r="I180" s="4" t="s">
        <v>975</v>
      </c>
      <c r="J180" s="4" t="s">
        <v>31</v>
      </c>
      <c r="K180" s="4" t="s">
        <v>31</v>
      </c>
      <c r="L180" s="2" t="s">
        <v>373</v>
      </c>
      <c r="M180" s="2" t="s">
        <v>32</v>
      </c>
      <c r="N180" s="4" t="s">
        <v>491</v>
      </c>
      <c r="O180" s="4" t="s">
        <v>164</v>
      </c>
      <c r="P180" s="4" t="s">
        <v>35</v>
      </c>
      <c r="Q180" s="152">
        <v>4814</v>
      </c>
      <c r="R180" s="152">
        <v>1</v>
      </c>
      <c r="S180" s="152">
        <v>3365</v>
      </c>
      <c r="U180" s="152">
        <v>161.99100000000001</v>
      </c>
      <c r="V180" s="152">
        <v>3.9999999999999998E-6</v>
      </c>
      <c r="W180" s="166">
        <v>4.8309775654736598E-2</v>
      </c>
      <c r="X180" s="166">
        <v>5.2064896131129596E-3</v>
      </c>
    </row>
    <row r="181" spans="1:24">
      <c r="A181" s="4" t="s">
        <v>112</v>
      </c>
      <c r="B181" s="4">
        <v>12905</v>
      </c>
      <c r="C181" s="4" t="s">
        <v>2003</v>
      </c>
      <c r="D181" s="4" t="s">
        <v>2004</v>
      </c>
      <c r="E181" s="4" t="s">
        <v>1376</v>
      </c>
      <c r="F181" s="4" t="s">
        <v>2005</v>
      </c>
      <c r="G181" s="4" t="s">
        <v>2006</v>
      </c>
      <c r="H181" s="4" t="s">
        <v>367</v>
      </c>
      <c r="I181" s="4" t="s">
        <v>975</v>
      </c>
      <c r="J181" s="4" t="s">
        <v>31</v>
      </c>
      <c r="K181" s="4" t="s">
        <v>31</v>
      </c>
      <c r="L181" s="2" t="s">
        <v>373</v>
      </c>
      <c r="M181" s="2" t="s">
        <v>32</v>
      </c>
      <c r="N181" s="4" t="s">
        <v>528</v>
      </c>
      <c r="O181" s="4" t="s">
        <v>164</v>
      </c>
      <c r="P181" s="4" t="s">
        <v>35</v>
      </c>
      <c r="Q181" s="152">
        <v>2574</v>
      </c>
      <c r="R181" s="152">
        <v>1</v>
      </c>
      <c r="S181" s="152">
        <v>1535</v>
      </c>
      <c r="U181" s="152">
        <v>39.511000000000003</v>
      </c>
      <c r="V181" s="152">
        <v>1.4E-5</v>
      </c>
      <c r="W181" s="166">
        <v>1.1783133239522001E-2</v>
      </c>
      <c r="X181" s="166">
        <v>1.26990365800803E-3</v>
      </c>
    </row>
    <row r="182" spans="1:24">
      <c r="A182" s="4" t="s">
        <v>112</v>
      </c>
      <c r="B182" s="4">
        <v>12905</v>
      </c>
      <c r="C182" s="4" t="s">
        <v>2011</v>
      </c>
      <c r="D182" s="4" t="s">
        <v>2012</v>
      </c>
      <c r="E182" s="4" t="s">
        <v>1376</v>
      </c>
      <c r="F182" s="4" t="s">
        <v>2013</v>
      </c>
      <c r="G182" s="4" t="s">
        <v>2014</v>
      </c>
      <c r="H182" s="4" t="s">
        <v>367</v>
      </c>
      <c r="I182" s="4" t="s">
        <v>975</v>
      </c>
      <c r="J182" s="4" t="s">
        <v>31</v>
      </c>
      <c r="K182" s="4" t="s">
        <v>31</v>
      </c>
      <c r="L182" s="2" t="s">
        <v>373</v>
      </c>
      <c r="M182" s="2" t="s">
        <v>32</v>
      </c>
      <c r="N182" s="4" t="s">
        <v>506</v>
      </c>
      <c r="O182" s="4" t="s">
        <v>164</v>
      </c>
      <c r="P182" s="4" t="s">
        <v>35</v>
      </c>
      <c r="Q182" s="152">
        <v>6521</v>
      </c>
      <c r="R182" s="152">
        <v>1</v>
      </c>
      <c r="S182" s="152">
        <v>488.3</v>
      </c>
      <c r="U182" s="152">
        <v>31.841999999999999</v>
      </c>
      <c r="V182" s="152">
        <v>2.3E-5</v>
      </c>
      <c r="W182" s="166">
        <v>9.4960893142800908E-3</v>
      </c>
      <c r="X182" s="166">
        <v>1.0234220654085099E-3</v>
      </c>
    </row>
    <row r="183" spans="1:24">
      <c r="A183" s="4" t="s">
        <v>112</v>
      </c>
      <c r="B183" s="4">
        <v>12905</v>
      </c>
      <c r="C183" s="4" t="s">
        <v>2019</v>
      </c>
      <c r="D183" s="4" t="s">
        <v>2020</v>
      </c>
      <c r="E183" s="4" t="s">
        <v>1376</v>
      </c>
      <c r="F183" s="4" t="s">
        <v>2021</v>
      </c>
      <c r="G183" s="4" t="s">
        <v>2022</v>
      </c>
      <c r="H183" s="4" t="s">
        <v>367</v>
      </c>
      <c r="I183" s="4" t="s">
        <v>975</v>
      </c>
      <c r="J183" s="4" t="s">
        <v>31</v>
      </c>
      <c r="K183" s="4" t="s">
        <v>31</v>
      </c>
      <c r="L183" s="2" t="s">
        <v>373</v>
      </c>
      <c r="M183" s="2" t="s">
        <v>32</v>
      </c>
      <c r="N183" s="4" t="s">
        <v>502</v>
      </c>
      <c r="O183" s="4" t="s">
        <v>164</v>
      </c>
      <c r="P183" s="4" t="s">
        <v>35</v>
      </c>
      <c r="Q183" s="152">
        <v>1552</v>
      </c>
      <c r="R183" s="152">
        <v>1</v>
      </c>
      <c r="S183" s="152">
        <v>5599</v>
      </c>
      <c r="U183" s="152">
        <v>86.896000000000001</v>
      </c>
      <c r="V183" s="152">
        <v>1.2999999999999999E-5</v>
      </c>
      <c r="W183" s="166">
        <v>2.5914691942867898E-2</v>
      </c>
      <c r="X183" s="166">
        <v>2.79290418137835E-3</v>
      </c>
    </row>
    <row r="184" spans="1:24">
      <c r="A184" s="4" t="s">
        <v>112</v>
      </c>
      <c r="B184" s="4">
        <v>12905</v>
      </c>
      <c r="C184" s="4" t="s">
        <v>2023</v>
      </c>
      <c r="D184" s="4" t="s">
        <v>2024</v>
      </c>
      <c r="E184" s="4" t="s">
        <v>1376</v>
      </c>
      <c r="F184" s="4" t="s">
        <v>2025</v>
      </c>
      <c r="G184" s="4" t="s">
        <v>2026</v>
      </c>
      <c r="H184" s="4" t="s">
        <v>367</v>
      </c>
      <c r="I184" s="4" t="s">
        <v>975</v>
      </c>
      <c r="J184" s="4" t="s">
        <v>31</v>
      </c>
      <c r="K184" s="4" t="s">
        <v>31</v>
      </c>
      <c r="L184" s="2" t="s">
        <v>373</v>
      </c>
      <c r="M184" s="2" t="s">
        <v>32</v>
      </c>
      <c r="N184" s="4" t="s">
        <v>506</v>
      </c>
      <c r="O184" s="4" t="s">
        <v>164</v>
      </c>
      <c r="P184" s="4" t="s">
        <v>35</v>
      </c>
      <c r="Q184" s="152">
        <v>2013</v>
      </c>
      <c r="R184" s="152">
        <v>1</v>
      </c>
      <c r="S184" s="152">
        <v>1920</v>
      </c>
      <c r="U184" s="152">
        <v>38.65</v>
      </c>
      <c r="V184" s="152">
        <v>6.0000000000000002E-6</v>
      </c>
      <c r="W184" s="166">
        <v>1.15262721541203E-2</v>
      </c>
      <c r="X184" s="166">
        <v>1.24222096739247E-3</v>
      </c>
    </row>
    <row r="185" spans="1:24">
      <c r="A185" s="4" t="s">
        <v>112</v>
      </c>
      <c r="B185" s="4">
        <v>12905</v>
      </c>
      <c r="C185" s="4" t="s">
        <v>2027</v>
      </c>
      <c r="D185" s="4" t="s">
        <v>2028</v>
      </c>
      <c r="E185" s="4" t="s">
        <v>361</v>
      </c>
      <c r="F185" s="4" t="s">
        <v>2029</v>
      </c>
      <c r="G185" s="4" t="s">
        <v>2030</v>
      </c>
      <c r="H185" s="4" t="s">
        <v>367</v>
      </c>
      <c r="I185" s="4" t="s">
        <v>975</v>
      </c>
      <c r="J185" s="4" t="s">
        <v>94</v>
      </c>
      <c r="K185" s="4" t="s">
        <v>95</v>
      </c>
      <c r="L185" s="2" t="s">
        <v>373</v>
      </c>
      <c r="M185" s="2" t="s">
        <v>392</v>
      </c>
      <c r="N185" s="4" t="s">
        <v>559</v>
      </c>
      <c r="O185" s="4" t="s">
        <v>164</v>
      </c>
      <c r="P185" s="4" t="s">
        <v>99</v>
      </c>
      <c r="Q185" s="152">
        <v>56</v>
      </c>
      <c r="R185" s="152">
        <v>3.7589999999999999</v>
      </c>
      <c r="S185" s="152">
        <v>19325</v>
      </c>
      <c r="U185" s="152">
        <v>40.68</v>
      </c>
      <c r="V185" s="152">
        <v>0</v>
      </c>
      <c r="W185" s="166">
        <v>1.21317575227131E-2</v>
      </c>
      <c r="X185" s="166">
        <v>1.30747594404566E-3</v>
      </c>
    </row>
    <row r="186" spans="1:24">
      <c r="A186" s="4" t="s">
        <v>112</v>
      </c>
      <c r="B186" s="4">
        <v>12905</v>
      </c>
      <c r="C186" s="4" t="s">
        <v>2031</v>
      </c>
      <c r="D186" s="4" t="s">
        <v>2032</v>
      </c>
      <c r="E186" s="4" t="s">
        <v>361</v>
      </c>
      <c r="F186" s="4" t="s">
        <v>2033</v>
      </c>
      <c r="G186" s="4" t="s">
        <v>2034</v>
      </c>
      <c r="H186" s="4" t="s">
        <v>367</v>
      </c>
      <c r="I186" s="4" t="s">
        <v>975</v>
      </c>
      <c r="J186" s="4" t="s">
        <v>94</v>
      </c>
      <c r="K186" s="4" t="s">
        <v>95</v>
      </c>
      <c r="L186" s="2" t="s">
        <v>373</v>
      </c>
      <c r="M186" s="2" t="s">
        <v>392</v>
      </c>
      <c r="N186" s="4" t="s">
        <v>590</v>
      </c>
      <c r="O186" s="4" t="s">
        <v>164</v>
      </c>
      <c r="P186" s="4" t="s">
        <v>99</v>
      </c>
      <c r="Q186" s="152">
        <v>85</v>
      </c>
      <c r="R186" s="152">
        <v>3.7589999999999999</v>
      </c>
      <c r="S186" s="152">
        <v>21062</v>
      </c>
      <c r="U186" s="152">
        <v>67.296000000000006</v>
      </c>
      <c r="V186" s="152">
        <v>0</v>
      </c>
      <c r="W186" s="166">
        <v>2.0069415579548701E-2</v>
      </c>
      <c r="X186" s="166">
        <v>2.1629411923365502E-3</v>
      </c>
    </row>
    <row r="187" spans="1:24">
      <c r="A187" s="4" t="s">
        <v>112</v>
      </c>
      <c r="B187" s="4">
        <v>12905</v>
      </c>
      <c r="C187" s="4" t="s">
        <v>2035</v>
      </c>
      <c r="D187" s="4" t="s">
        <v>2036</v>
      </c>
      <c r="E187" s="4" t="s">
        <v>361</v>
      </c>
      <c r="F187" s="4" t="s">
        <v>2037</v>
      </c>
      <c r="G187" s="4" t="s">
        <v>2038</v>
      </c>
      <c r="H187" s="4" t="s">
        <v>367</v>
      </c>
      <c r="I187" s="4" t="s">
        <v>975</v>
      </c>
      <c r="J187" s="4" t="s">
        <v>94</v>
      </c>
      <c r="K187" s="4" t="s">
        <v>95</v>
      </c>
      <c r="L187" s="2" t="s">
        <v>373</v>
      </c>
      <c r="M187" s="2" t="s">
        <v>392</v>
      </c>
      <c r="N187" s="4" t="s">
        <v>578</v>
      </c>
      <c r="O187" s="4" t="s">
        <v>164</v>
      </c>
      <c r="P187" s="4" t="s">
        <v>99</v>
      </c>
      <c r="Q187" s="152">
        <v>35</v>
      </c>
      <c r="R187" s="152">
        <v>3.7589999999999999</v>
      </c>
      <c r="S187" s="152">
        <v>23182</v>
      </c>
      <c r="U187" s="152">
        <v>30.498999999999999</v>
      </c>
      <c r="V187" s="152">
        <v>0</v>
      </c>
      <c r="W187" s="166">
        <v>9.0956792655735794E-3</v>
      </c>
      <c r="X187" s="166">
        <v>9.802686718908939E-4</v>
      </c>
    </row>
    <row r="188" spans="1:24">
      <c r="A188" s="4" t="s">
        <v>112</v>
      </c>
      <c r="B188" s="4">
        <v>12905</v>
      </c>
      <c r="C188" s="4" t="s">
        <v>2039</v>
      </c>
      <c r="D188" s="4" t="s">
        <v>2040</v>
      </c>
      <c r="E188" s="4" t="s">
        <v>361</v>
      </c>
      <c r="F188" s="4" t="s">
        <v>2041</v>
      </c>
      <c r="G188" s="4" t="s">
        <v>2042</v>
      </c>
      <c r="H188" s="4" t="s">
        <v>367</v>
      </c>
      <c r="I188" s="4" t="s">
        <v>975</v>
      </c>
      <c r="J188" s="4" t="s">
        <v>94</v>
      </c>
      <c r="K188" s="4" t="s">
        <v>95</v>
      </c>
      <c r="L188" s="2" t="s">
        <v>373</v>
      </c>
      <c r="M188" s="2" t="s">
        <v>390</v>
      </c>
      <c r="N188" s="4" t="s">
        <v>2043</v>
      </c>
      <c r="O188" s="4" t="s">
        <v>164</v>
      </c>
      <c r="P188" s="4" t="s">
        <v>99</v>
      </c>
      <c r="Q188" s="152">
        <v>47</v>
      </c>
      <c r="R188" s="152">
        <v>3.7589999999999999</v>
      </c>
      <c r="S188" s="152">
        <v>18201</v>
      </c>
      <c r="U188" s="152">
        <v>32.155999999999999</v>
      </c>
      <c r="V188" s="152">
        <v>0</v>
      </c>
      <c r="W188" s="166">
        <v>9.5897944719389693E-3</v>
      </c>
      <c r="X188" s="166">
        <v>1.0335209516780901E-3</v>
      </c>
    </row>
    <row r="189" spans="1:24">
      <c r="A189" s="4" t="s">
        <v>112</v>
      </c>
      <c r="B189" s="4">
        <v>12905</v>
      </c>
      <c r="C189" s="4" t="s">
        <v>2048</v>
      </c>
      <c r="D189" s="4" t="s">
        <v>2049</v>
      </c>
      <c r="E189" s="4" t="s">
        <v>361</v>
      </c>
      <c r="F189" s="4" t="s">
        <v>2048</v>
      </c>
      <c r="G189" s="4" t="s">
        <v>2050</v>
      </c>
      <c r="H189" s="4" t="s">
        <v>367</v>
      </c>
      <c r="I189" s="4" t="s">
        <v>975</v>
      </c>
      <c r="J189" s="4" t="s">
        <v>94</v>
      </c>
      <c r="K189" s="4" t="s">
        <v>95</v>
      </c>
      <c r="L189" s="2" t="s">
        <v>373</v>
      </c>
      <c r="M189" s="2" t="s">
        <v>32</v>
      </c>
      <c r="N189" s="4" t="s">
        <v>574</v>
      </c>
      <c r="O189" s="4" t="s">
        <v>164</v>
      </c>
      <c r="P189" s="4" t="s">
        <v>99</v>
      </c>
      <c r="Q189" s="152">
        <v>44</v>
      </c>
      <c r="R189" s="152">
        <v>3.7589999999999999</v>
      </c>
      <c r="S189" s="152">
        <v>24985</v>
      </c>
      <c r="T189" s="150">
        <v>8.9999999999999993E-3</v>
      </c>
      <c r="U189" s="152">
        <v>41.357999999999997</v>
      </c>
      <c r="V189" s="152">
        <v>0</v>
      </c>
      <c r="W189" s="166">
        <v>1.2333874243075501E-2</v>
      </c>
      <c r="X189" s="166">
        <v>1.3292586700248501E-3</v>
      </c>
    </row>
    <row r="190" spans="1:24">
      <c r="A190" s="4" t="s">
        <v>112</v>
      </c>
      <c r="B190" s="4">
        <v>12905</v>
      </c>
      <c r="C190" s="4" t="s">
        <v>2051</v>
      </c>
      <c r="D190" s="4" t="s">
        <v>2052</v>
      </c>
      <c r="E190" s="4" t="s">
        <v>361</v>
      </c>
      <c r="F190" s="4" t="s">
        <v>2053</v>
      </c>
      <c r="G190" s="4" t="s">
        <v>2054</v>
      </c>
      <c r="H190" s="4" t="s">
        <v>367</v>
      </c>
      <c r="I190" s="4" t="s">
        <v>975</v>
      </c>
      <c r="J190" s="4" t="s">
        <v>94</v>
      </c>
      <c r="K190" s="4" t="s">
        <v>95</v>
      </c>
      <c r="L190" s="2" t="s">
        <v>373</v>
      </c>
      <c r="M190" s="2" t="s">
        <v>390</v>
      </c>
      <c r="N190" s="4" t="s">
        <v>2043</v>
      </c>
      <c r="O190" s="4" t="s">
        <v>164</v>
      </c>
      <c r="P190" s="4" t="s">
        <v>99</v>
      </c>
      <c r="Q190" s="152">
        <v>33</v>
      </c>
      <c r="R190" s="152">
        <v>3.7589999999999999</v>
      </c>
      <c r="S190" s="152">
        <v>37363</v>
      </c>
      <c r="U190" s="152">
        <v>46.347999999999999</v>
      </c>
      <c r="V190" s="152">
        <v>0</v>
      </c>
      <c r="W190" s="166">
        <v>1.3822031286820601E-2</v>
      </c>
      <c r="X190" s="166">
        <v>1.48964182407454E-3</v>
      </c>
    </row>
    <row r="191" spans="1:24">
      <c r="A191" s="4" t="s">
        <v>112</v>
      </c>
      <c r="B191" s="4">
        <v>12905</v>
      </c>
      <c r="C191" s="4" t="s">
        <v>2055</v>
      </c>
      <c r="D191" s="4" t="s">
        <v>2056</v>
      </c>
      <c r="E191" s="4" t="s">
        <v>361</v>
      </c>
      <c r="F191" s="4" t="s">
        <v>2055</v>
      </c>
      <c r="G191" s="4" t="s">
        <v>2057</v>
      </c>
      <c r="H191" s="4" t="s">
        <v>367</v>
      </c>
      <c r="I191" s="4" t="s">
        <v>975</v>
      </c>
      <c r="J191" s="4" t="s">
        <v>94</v>
      </c>
      <c r="K191" s="4" t="s">
        <v>95</v>
      </c>
      <c r="L191" s="2" t="s">
        <v>373</v>
      </c>
      <c r="M191" s="2" t="s">
        <v>392</v>
      </c>
      <c r="N191" s="4" t="s">
        <v>590</v>
      </c>
      <c r="O191" s="4" t="s">
        <v>164</v>
      </c>
      <c r="P191" s="4" t="s">
        <v>99</v>
      </c>
      <c r="Q191" s="152">
        <v>280</v>
      </c>
      <c r="R191" s="152">
        <v>3.7589999999999999</v>
      </c>
      <c r="S191" s="152">
        <v>2949</v>
      </c>
      <c r="U191" s="152">
        <v>31.039000000000001</v>
      </c>
      <c r="V191" s="152">
        <v>9.9999999999999995E-7</v>
      </c>
      <c r="W191" s="166">
        <v>9.2565466842123995E-3</v>
      </c>
      <c r="X191" s="166">
        <v>9.9760583673755309E-4</v>
      </c>
    </row>
    <row r="192" spans="1:24">
      <c r="A192" s="4" t="s">
        <v>112</v>
      </c>
      <c r="B192" s="4">
        <v>12905</v>
      </c>
      <c r="C192" s="4" t="s">
        <v>2058</v>
      </c>
      <c r="D192" s="4" t="s">
        <v>2059</v>
      </c>
      <c r="E192" s="4" t="s">
        <v>361</v>
      </c>
      <c r="F192" s="4" t="s">
        <v>2060</v>
      </c>
      <c r="G192" s="4" t="s">
        <v>2061</v>
      </c>
      <c r="H192" s="4" t="s">
        <v>367</v>
      </c>
      <c r="I192" s="4" t="s">
        <v>975</v>
      </c>
      <c r="J192" s="4" t="s">
        <v>94</v>
      </c>
      <c r="K192" s="4" t="s">
        <v>95</v>
      </c>
      <c r="L192" s="2" t="s">
        <v>373</v>
      </c>
      <c r="M192" s="2" t="s">
        <v>392</v>
      </c>
      <c r="N192" s="4" t="s">
        <v>593</v>
      </c>
      <c r="O192" s="4" t="s">
        <v>164</v>
      </c>
      <c r="P192" s="4" t="s">
        <v>99</v>
      </c>
      <c r="Q192" s="152">
        <v>80</v>
      </c>
      <c r="R192" s="152">
        <v>3.7589999999999999</v>
      </c>
      <c r="S192" s="152">
        <v>18342</v>
      </c>
      <c r="U192" s="152">
        <v>55.158000000000001</v>
      </c>
      <c r="V192" s="152">
        <v>0</v>
      </c>
      <c r="W192" s="166">
        <v>1.6449506300617499E-2</v>
      </c>
      <c r="X192" s="166">
        <v>1.77281269751879E-3</v>
      </c>
    </row>
    <row r="193" spans="1:24">
      <c r="A193" s="4" t="s">
        <v>112</v>
      </c>
      <c r="B193" s="4">
        <v>12905</v>
      </c>
      <c r="C193" s="4" t="s">
        <v>2062</v>
      </c>
      <c r="D193" s="4" t="s">
        <v>2063</v>
      </c>
      <c r="E193" s="4" t="s">
        <v>361</v>
      </c>
      <c r="F193" s="4" t="s">
        <v>2064</v>
      </c>
      <c r="G193" s="4" t="s">
        <v>2065</v>
      </c>
      <c r="H193" s="4" t="s">
        <v>367</v>
      </c>
      <c r="I193" s="4" t="s">
        <v>975</v>
      </c>
      <c r="J193" s="4" t="s">
        <v>94</v>
      </c>
      <c r="K193" s="4" t="s">
        <v>330</v>
      </c>
      <c r="L193" s="2" t="s">
        <v>373</v>
      </c>
      <c r="M193" s="2" t="s">
        <v>412</v>
      </c>
      <c r="N193" s="4" t="s">
        <v>2066</v>
      </c>
      <c r="O193" s="4" t="s">
        <v>164</v>
      </c>
      <c r="P193" s="4" t="s">
        <v>1219</v>
      </c>
      <c r="Q193" s="152">
        <v>16</v>
      </c>
      <c r="R193" s="152">
        <v>4.0199999999999996</v>
      </c>
      <c r="S193" s="152">
        <v>71360</v>
      </c>
      <c r="U193" s="152">
        <v>45.901000000000003</v>
      </c>
      <c r="V193" s="152">
        <v>0</v>
      </c>
      <c r="W193" s="166">
        <v>1.36888306103934E-2</v>
      </c>
      <c r="X193" s="166">
        <v>1.47528638712873E-3</v>
      </c>
    </row>
    <row r="194" spans="1:24">
      <c r="A194" s="4" t="s">
        <v>112</v>
      </c>
      <c r="B194" s="4">
        <v>12905</v>
      </c>
      <c r="C194" s="4" t="s">
        <v>2067</v>
      </c>
      <c r="D194" s="4" t="s">
        <v>2068</v>
      </c>
      <c r="E194" s="4" t="s">
        <v>361</v>
      </c>
      <c r="F194" s="4" t="s">
        <v>2069</v>
      </c>
      <c r="G194" s="4" t="s">
        <v>2070</v>
      </c>
      <c r="H194" s="4" t="s">
        <v>367</v>
      </c>
      <c r="I194" s="4" t="s">
        <v>975</v>
      </c>
      <c r="J194" s="4" t="s">
        <v>94</v>
      </c>
      <c r="K194" s="4" t="s">
        <v>95</v>
      </c>
      <c r="L194" s="2" t="s">
        <v>373</v>
      </c>
      <c r="M194" s="2" t="s">
        <v>390</v>
      </c>
      <c r="N194" s="4" t="s">
        <v>2071</v>
      </c>
      <c r="O194" s="4" t="s">
        <v>164</v>
      </c>
      <c r="P194" s="4" t="s">
        <v>99</v>
      </c>
      <c r="Q194" s="152">
        <v>28</v>
      </c>
      <c r="R194" s="152">
        <v>3.7589999999999999</v>
      </c>
      <c r="S194" s="152">
        <v>44116</v>
      </c>
      <c r="U194" s="152">
        <v>46.433</v>
      </c>
      <c r="V194" s="152">
        <v>0</v>
      </c>
      <c r="W194" s="166">
        <v>1.3847467396429799E-2</v>
      </c>
      <c r="X194" s="166">
        <v>1.4923831500004701E-3</v>
      </c>
    </row>
    <row r="195" spans="1:24">
      <c r="A195" s="4" t="s">
        <v>112</v>
      </c>
      <c r="B195" s="4">
        <v>12905</v>
      </c>
      <c r="C195" s="4" t="s">
        <v>2072</v>
      </c>
      <c r="D195" s="4" t="s">
        <v>2073</v>
      </c>
      <c r="E195" s="4" t="s">
        <v>361</v>
      </c>
      <c r="F195" s="4" t="s">
        <v>2074</v>
      </c>
      <c r="G195" s="4" t="s">
        <v>2075</v>
      </c>
      <c r="H195" s="4" t="s">
        <v>367</v>
      </c>
      <c r="I195" s="4" t="s">
        <v>975</v>
      </c>
      <c r="J195" s="4" t="s">
        <v>94</v>
      </c>
      <c r="K195" s="4" t="s">
        <v>95</v>
      </c>
      <c r="L195" s="2" t="s">
        <v>373</v>
      </c>
      <c r="M195" s="2" t="s">
        <v>390</v>
      </c>
      <c r="N195" s="4" t="s">
        <v>578</v>
      </c>
      <c r="O195" s="4" t="s">
        <v>164</v>
      </c>
      <c r="P195" s="4" t="s">
        <v>99</v>
      </c>
      <c r="Q195" s="152">
        <v>84</v>
      </c>
      <c r="R195" s="152">
        <v>3.7589999999999999</v>
      </c>
      <c r="S195" s="152">
        <v>12380</v>
      </c>
      <c r="T195" s="150">
        <v>4.8000000000000001E-2</v>
      </c>
      <c r="U195" s="152">
        <v>39.273000000000003</v>
      </c>
      <c r="V195" s="152">
        <v>0</v>
      </c>
      <c r="W195" s="166">
        <v>1.1712081997926799E-2</v>
      </c>
      <c r="X195" s="166">
        <v>1.2622462523101E-3</v>
      </c>
    </row>
    <row r="196" spans="1:24">
      <c r="A196" s="4" t="s">
        <v>112</v>
      </c>
      <c r="B196" s="4">
        <v>12905</v>
      </c>
      <c r="C196" s="4" t="s">
        <v>2076</v>
      </c>
      <c r="D196" s="4" t="s">
        <v>2077</v>
      </c>
      <c r="E196" s="4" t="s">
        <v>361</v>
      </c>
      <c r="F196" s="4" t="s">
        <v>2078</v>
      </c>
      <c r="G196" s="4" t="s">
        <v>2079</v>
      </c>
      <c r="H196" s="4" t="s">
        <v>367</v>
      </c>
      <c r="I196" s="4" t="s">
        <v>975</v>
      </c>
      <c r="J196" s="4" t="s">
        <v>94</v>
      </c>
      <c r="K196" s="4" t="s">
        <v>95</v>
      </c>
      <c r="L196" s="2" t="s">
        <v>373</v>
      </c>
      <c r="M196" s="2" t="s">
        <v>392</v>
      </c>
      <c r="N196" s="4" t="s">
        <v>588</v>
      </c>
      <c r="O196" s="4" t="s">
        <v>164</v>
      </c>
      <c r="P196" s="4" t="s">
        <v>99</v>
      </c>
      <c r="Q196" s="152">
        <v>60</v>
      </c>
      <c r="R196" s="152">
        <v>3.7589999999999999</v>
      </c>
      <c r="S196" s="152">
        <v>44695</v>
      </c>
      <c r="U196" s="152">
        <v>100.80500000000001</v>
      </c>
      <c r="V196" s="152">
        <v>0</v>
      </c>
      <c r="W196" s="166">
        <v>3.0062589307576899E-2</v>
      </c>
      <c r="X196" s="166">
        <v>3.2399355379294399E-3</v>
      </c>
    </row>
    <row r="197" spans="1:24">
      <c r="A197" s="4" t="s">
        <v>112</v>
      </c>
      <c r="B197" s="4">
        <v>12905</v>
      </c>
      <c r="C197" s="4" t="s">
        <v>2080</v>
      </c>
      <c r="D197" s="4" t="s">
        <v>2081</v>
      </c>
      <c r="E197" s="4" t="s">
        <v>361</v>
      </c>
      <c r="F197" s="4" t="s">
        <v>2080</v>
      </c>
      <c r="G197" s="4" t="s">
        <v>2082</v>
      </c>
      <c r="H197" s="4" t="s">
        <v>367</v>
      </c>
      <c r="I197" s="4" t="s">
        <v>975</v>
      </c>
      <c r="J197" s="4" t="s">
        <v>94</v>
      </c>
      <c r="K197" s="4" t="s">
        <v>95</v>
      </c>
      <c r="L197" s="2" t="s">
        <v>373</v>
      </c>
      <c r="M197" s="2" t="s">
        <v>392</v>
      </c>
      <c r="N197" s="4" t="s">
        <v>578</v>
      </c>
      <c r="O197" s="4" t="s">
        <v>164</v>
      </c>
      <c r="P197" s="4" t="s">
        <v>99</v>
      </c>
      <c r="Q197" s="152">
        <v>103</v>
      </c>
      <c r="R197" s="152">
        <v>3.7589999999999999</v>
      </c>
      <c r="S197" s="152">
        <v>11875</v>
      </c>
      <c r="U197" s="152">
        <v>45.976999999999997</v>
      </c>
      <c r="V197" s="152">
        <v>0</v>
      </c>
      <c r="W197" s="166">
        <v>1.37115652559309E-2</v>
      </c>
      <c r="X197" s="166">
        <v>1.47773656815824E-3</v>
      </c>
    </row>
    <row r="198" spans="1:24">
      <c r="A198" s="4" t="s">
        <v>112</v>
      </c>
      <c r="B198" s="4">
        <v>12905</v>
      </c>
      <c r="C198" s="4" t="s">
        <v>2083</v>
      </c>
      <c r="D198" s="4" t="s">
        <v>2084</v>
      </c>
      <c r="E198" s="4" t="s">
        <v>361</v>
      </c>
      <c r="F198" s="4" t="s">
        <v>2085</v>
      </c>
      <c r="G198" s="4" t="s">
        <v>2086</v>
      </c>
      <c r="H198" s="4" t="s">
        <v>367</v>
      </c>
      <c r="I198" s="4" t="s">
        <v>975</v>
      </c>
      <c r="J198" s="4" t="s">
        <v>94</v>
      </c>
      <c r="K198" s="4" t="s">
        <v>95</v>
      </c>
      <c r="L198" s="2" t="s">
        <v>373</v>
      </c>
      <c r="M198" s="2" t="s">
        <v>392</v>
      </c>
      <c r="N198" s="4" t="s">
        <v>593</v>
      </c>
      <c r="O198" s="4" t="s">
        <v>164</v>
      </c>
      <c r="P198" s="4" t="s">
        <v>99</v>
      </c>
      <c r="Q198" s="152">
        <v>17</v>
      </c>
      <c r="R198" s="152">
        <v>3.7589999999999999</v>
      </c>
      <c r="S198" s="152">
        <v>67488</v>
      </c>
      <c r="U198" s="152">
        <v>43.127000000000002</v>
      </c>
      <c r="V198" s="152">
        <v>0</v>
      </c>
      <c r="W198" s="166">
        <v>1.28615014588603E-2</v>
      </c>
      <c r="X198" s="166">
        <v>1.3861226397152201E-3</v>
      </c>
    </row>
    <row r="199" spans="1:24">
      <c r="A199" s="4" t="s">
        <v>112</v>
      </c>
      <c r="B199" s="4">
        <v>12905</v>
      </c>
      <c r="C199" s="4" t="s">
        <v>2087</v>
      </c>
      <c r="D199" s="4" t="s">
        <v>2088</v>
      </c>
      <c r="E199" s="4" t="s">
        <v>361</v>
      </c>
      <c r="F199" s="4" t="s">
        <v>2087</v>
      </c>
      <c r="G199" s="4" t="s">
        <v>2089</v>
      </c>
      <c r="H199" s="4" t="s">
        <v>367</v>
      </c>
      <c r="I199" s="4" t="s">
        <v>975</v>
      </c>
      <c r="J199" s="4" t="s">
        <v>94</v>
      </c>
      <c r="K199" s="4" t="s">
        <v>95</v>
      </c>
      <c r="L199" s="2" t="s">
        <v>373</v>
      </c>
      <c r="M199" s="2" t="s">
        <v>390</v>
      </c>
      <c r="N199" s="4" t="s">
        <v>559</v>
      </c>
      <c r="O199" s="4" t="s">
        <v>164</v>
      </c>
      <c r="P199" s="4" t="s">
        <v>99</v>
      </c>
      <c r="Q199" s="152">
        <v>128</v>
      </c>
      <c r="R199" s="152">
        <v>3.7589999999999999</v>
      </c>
      <c r="S199" s="152">
        <v>7537</v>
      </c>
      <c r="T199" s="150">
        <v>4.7E-2</v>
      </c>
      <c r="U199" s="152">
        <v>36.442</v>
      </c>
      <c r="V199" s="152">
        <v>0</v>
      </c>
      <c r="W199" s="166">
        <v>1.08680458594157E-2</v>
      </c>
      <c r="X199" s="166">
        <v>1.1712819427331701E-3</v>
      </c>
    </row>
    <row r="200" spans="1:24">
      <c r="A200" s="4" t="s">
        <v>112</v>
      </c>
      <c r="B200" s="4">
        <v>12905</v>
      </c>
      <c r="C200" s="4" t="s">
        <v>2094</v>
      </c>
      <c r="D200" s="4" t="s">
        <v>2095</v>
      </c>
      <c r="E200" s="4" t="s">
        <v>361</v>
      </c>
      <c r="F200" s="4" t="s">
        <v>2096</v>
      </c>
      <c r="G200" s="4" t="s">
        <v>2097</v>
      </c>
      <c r="H200" s="4" t="s">
        <v>367</v>
      </c>
      <c r="I200" s="4" t="s">
        <v>975</v>
      </c>
      <c r="J200" s="4" t="s">
        <v>94</v>
      </c>
      <c r="K200" s="4" t="s">
        <v>290</v>
      </c>
      <c r="L200" s="2" t="s">
        <v>373</v>
      </c>
      <c r="M200" s="2" t="s">
        <v>412</v>
      </c>
      <c r="N200" s="4" t="s">
        <v>578</v>
      </c>
      <c r="O200" s="4" t="s">
        <v>164</v>
      </c>
      <c r="P200" s="4" t="s">
        <v>99</v>
      </c>
      <c r="Q200" s="152">
        <v>215</v>
      </c>
      <c r="R200" s="152">
        <v>3.7589999999999999</v>
      </c>
      <c r="S200" s="152">
        <v>14274</v>
      </c>
      <c r="U200" s="152">
        <v>115.36</v>
      </c>
      <c r="V200" s="152">
        <v>0</v>
      </c>
      <c r="W200" s="166">
        <v>3.4403319145286902E-2</v>
      </c>
      <c r="X200" s="166">
        <v>3.7077490292378099E-3</v>
      </c>
    </row>
    <row r="201" spans="1:24">
      <c r="A201" s="4" t="s">
        <v>112</v>
      </c>
      <c r="B201" s="4">
        <v>12905</v>
      </c>
      <c r="C201" s="4" t="s">
        <v>2098</v>
      </c>
      <c r="D201" s="4" t="s">
        <v>2099</v>
      </c>
      <c r="E201" s="4" t="s">
        <v>361</v>
      </c>
      <c r="F201" s="4" t="s">
        <v>2100</v>
      </c>
      <c r="G201" s="4" t="s">
        <v>2101</v>
      </c>
      <c r="H201" s="4" t="s">
        <v>367</v>
      </c>
      <c r="I201" s="4" t="s">
        <v>975</v>
      </c>
      <c r="J201" s="4" t="s">
        <v>94</v>
      </c>
      <c r="K201" s="4" t="s">
        <v>95</v>
      </c>
      <c r="L201" s="2" t="s">
        <v>373</v>
      </c>
      <c r="M201" s="2" t="s">
        <v>392</v>
      </c>
      <c r="N201" s="4" t="s">
        <v>592</v>
      </c>
      <c r="O201" s="4" t="s">
        <v>164</v>
      </c>
      <c r="P201" s="4" t="s">
        <v>99</v>
      </c>
      <c r="Q201" s="152">
        <v>200</v>
      </c>
      <c r="R201" s="152">
        <v>3.7589999999999999</v>
      </c>
      <c r="S201" s="152">
        <v>12354</v>
      </c>
      <c r="U201" s="152">
        <v>92.876999999999995</v>
      </c>
      <c r="V201" s="152">
        <v>0</v>
      </c>
      <c r="W201" s="166">
        <v>2.76983427158746E-2</v>
      </c>
      <c r="X201" s="166">
        <v>2.9851335820994399E-3</v>
      </c>
    </row>
    <row r="202" spans="1:24">
      <c r="A202" s="4" t="s">
        <v>112</v>
      </c>
      <c r="B202" s="4">
        <v>12905</v>
      </c>
      <c r="C202" s="4" t="s">
        <v>2106</v>
      </c>
      <c r="D202" s="4" t="s">
        <v>2107</v>
      </c>
      <c r="E202" s="4" t="s">
        <v>361</v>
      </c>
      <c r="F202" s="4" t="s">
        <v>2108</v>
      </c>
      <c r="G202" s="4" t="s">
        <v>2109</v>
      </c>
      <c r="H202" s="4" t="s">
        <v>367</v>
      </c>
      <c r="I202" s="4" t="s">
        <v>975</v>
      </c>
      <c r="J202" s="4" t="s">
        <v>94</v>
      </c>
      <c r="K202" s="4" t="s">
        <v>95</v>
      </c>
      <c r="L202" s="2" t="s">
        <v>373</v>
      </c>
      <c r="M202" s="2" t="s">
        <v>390</v>
      </c>
      <c r="N202" s="4" t="s">
        <v>612</v>
      </c>
      <c r="O202" s="4" t="s">
        <v>164</v>
      </c>
      <c r="P202" s="4" t="s">
        <v>99</v>
      </c>
      <c r="Q202" s="152">
        <v>150</v>
      </c>
      <c r="R202" s="152">
        <v>3.7589999999999999</v>
      </c>
      <c r="S202" s="152">
        <v>11231</v>
      </c>
      <c r="U202" s="152">
        <v>63.326000000000001</v>
      </c>
      <c r="V202" s="152">
        <v>0</v>
      </c>
      <c r="W202" s="166">
        <v>1.88853865372746E-2</v>
      </c>
      <c r="X202" s="166">
        <v>2.0353348264059499E-3</v>
      </c>
    </row>
    <row r="203" spans="1:24">
      <c r="A203" s="4" t="s">
        <v>112</v>
      </c>
      <c r="B203" s="4">
        <v>12905</v>
      </c>
      <c r="C203" s="4" t="s">
        <v>2110</v>
      </c>
      <c r="D203" s="4" t="s">
        <v>2111</v>
      </c>
      <c r="E203" s="4" t="s">
        <v>361</v>
      </c>
      <c r="F203" s="4" t="s">
        <v>2112</v>
      </c>
      <c r="G203" s="4" t="s">
        <v>2113</v>
      </c>
      <c r="H203" s="4" t="s">
        <v>367</v>
      </c>
      <c r="I203" s="4" t="s">
        <v>975</v>
      </c>
      <c r="J203" s="4" t="s">
        <v>94</v>
      </c>
      <c r="K203" s="4" t="s">
        <v>95</v>
      </c>
      <c r="L203" s="2" t="s">
        <v>373</v>
      </c>
      <c r="M203" s="2" t="s">
        <v>390</v>
      </c>
      <c r="N203" s="4" t="s">
        <v>530</v>
      </c>
      <c r="O203" s="4" t="s">
        <v>164</v>
      </c>
      <c r="P203" s="4" t="s">
        <v>99</v>
      </c>
      <c r="Q203" s="152">
        <v>431</v>
      </c>
      <c r="R203" s="152">
        <v>3.7589999999999999</v>
      </c>
      <c r="S203" s="152">
        <v>4718</v>
      </c>
      <c r="T203" s="150">
        <v>0.06</v>
      </c>
      <c r="U203" s="152">
        <v>76.662000000000006</v>
      </c>
      <c r="V203" s="152">
        <v>0</v>
      </c>
      <c r="W203" s="166">
        <v>2.2862415875974099E-2</v>
      </c>
      <c r="X203" s="166">
        <v>2.46395122261879E-3</v>
      </c>
    </row>
    <row r="204" spans="1:24">
      <c r="A204" s="4" t="s">
        <v>112</v>
      </c>
      <c r="B204" s="4">
        <v>12905</v>
      </c>
      <c r="C204" s="4" t="s">
        <v>2114</v>
      </c>
      <c r="D204" s="4" t="s">
        <v>2115</v>
      </c>
      <c r="E204" s="4" t="s">
        <v>361</v>
      </c>
      <c r="F204" s="4" t="s">
        <v>2114</v>
      </c>
      <c r="G204" s="4" t="s">
        <v>2116</v>
      </c>
      <c r="H204" s="4" t="s">
        <v>367</v>
      </c>
      <c r="I204" s="4" t="s">
        <v>975</v>
      </c>
      <c r="J204" s="4" t="s">
        <v>94</v>
      </c>
      <c r="K204" s="4" t="s">
        <v>95</v>
      </c>
      <c r="L204" s="2" t="s">
        <v>373</v>
      </c>
      <c r="M204" s="2" t="s">
        <v>392</v>
      </c>
      <c r="N204" s="4" t="s">
        <v>559</v>
      </c>
      <c r="O204" s="4" t="s">
        <v>164</v>
      </c>
      <c r="P204" s="4" t="s">
        <v>99</v>
      </c>
      <c r="Q204" s="152">
        <v>432</v>
      </c>
      <c r="R204" s="152">
        <v>3.7589999999999999</v>
      </c>
      <c r="S204" s="152">
        <v>1476</v>
      </c>
      <c r="U204" s="152">
        <v>23.969000000000001</v>
      </c>
      <c r="V204" s="152">
        <v>3.9999999999999998E-6</v>
      </c>
      <c r="W204" s="166">
        <v>7.1480288419170203E-3</v>
      </c>
      <c r="X204" s="166">
        <v>7.7036453627215E-4</v>
      </c>
    </row>
    <row r="205" spans="1:24">
      <c r="A205" s="4" t="s">
        <v>112</v>
      </c>
      <c r="B205" s="4">
        <v>12905</v>
      </c>
      <c r="C205" s="4" t="s">
        <v>2117</v>
      </c>
      <c r="D205" s="4" t="s">
        <v>2118</v>
      </c>
      <c r="E205" s="4" t="s">
        <v>361</v>
      </c>
      <c r="F205" s="4" t="s">
        <v>2119</v>
      </c>
      <c r="G205" s="4" t="s">
        <v>2120</v>
      </c>
      <c r="H205" s="4" t="s">
        <v>367</v>
      </c>
      <c r="I205" s="4" t="s">
        <v>975</v>
      </c>
      <c r="J205" s="4" t="s">
        <v>94</v>
      </c>
      <c r="K205" s="4" t="s">
        <v>317</v>
      </c>
      <c r="L205" s="2" t="s">
        <v>373</v>
      </c>
      <c r="M205" s="2" t="s">
        <v>390</v>
      </c>
      <c r="N205" s="4" t="s">
        <v>592</v>
      </c>
      <c r="O205" s="4" t="s">
        <v>164</v>
      </c>
      <c r="P205" s="4" t="s">
        <v>99</v>
      </c>
      <c r="Q205" s="152">
        <v>148</v>
      </c>
      <c r="R205" s="152">
        <v>3.7589999999999999</v>
      </c>
      <c r="S205" s="152">
        <v>17381</v>
      </c>
      <c r="T205" s="150">
        <v>6.4000000000000001E-2</v>
      </c>
      <c r="U205" s="152">
        <v>96.935000000000002</v>
      </c>
      <c r="V205" s="152">
        <v>0</v>
      </c>
      <c r="W205" s="166">
        <v>2.8908388037413201E-2</v>
      </c>
      <c r="X205" s="166">
        <v>3.1155438005821801E-3</v>
      </c>
    </row>
    <row r="206" spans="1:24">
      <c r="A206" s="4" t="s">
        <v>112</v>
      </c>
      <c r="B206" s="4">
        <v>12905</v>
      </c>
      <c r="C206" s="4" t="s">
        <v>2121</v>
      </c>
      <c r="D206" s="4" t="s">
        <v>2122</v>
      </c>
      <c r="E206" s="4" t="s">
        <v>361</v>
      </c>
      <c r="F206" s="4" t="s">
        <v>2121</v>
      </c>
      <c r="G206" s="4" t="s">
        <v>2123</v>
      </c>
      <c r="H206" s="4" t="s">
        <v>367</v>
      </c>
      <c r="I206" s="4" t="s">
        <v>975</v>
      </c>
      <c r="J206" s="4" t="s">
        <v>94</v>
      </c>
      <c r="K206" s="4" t="s">
        <v>95</v>
      </c>
      <c r="L206" s="2" t="s">
        <v>373</v>
      </c>
      <c r="M206" s="2" t="s">
        <v>392</v>
      </c>
      <c r="N206" s="4" t="s">
        <v>556</v>
      </c>
      <c r="O206" s="4" t="s">
        <v>164</v>
      </c>
      <c r="P206" s="4" t="s">
        <v>99</v>
      </c>
      <c r="Q206" s="152">
        <v>78</v>
      </c>
      <c r="R206" s="152">
        <v>3.7589999999999999</v>
      </c>
      <c r="S206" s="152">
        <v>19788</v>
      </c>
      <c r="U206" s="152">
        <v>58.018999999999998</v>
      </c>
      <c r="V206" s="152">
        <v>0</v>
      </c>
      <c r="W206" s="166">
        <v>1.7302652922784E-2</v>
      </c>
      <c r="X206" s="166">
        <v>1.86475887128117E-3</v>
      </c>
    </row>
    <row r="207" spans="1:24">
      <c r="A207" s="4" t="s">
        <v>112</v>
      </c>
      <c r="B207" s="4">
        <v>12905</v>
      </c>
      <c r="C207" s="4" t="s">
        <v>2128</v>
      </c>
      <c r="D207" s="4" t="s">
        <v>2129</v>
      </c>
      <c r="E207" s="4" t="s">
        <v>361</v>
      </c>
      <c r="F207" s="4" t="s">
        <v>2130</v>
      </c>
      <c r="G207" s="4" t="s">
        <v>2131</v>
      </c>
      <c r="H207" s="4" t="s">
        <v>367</v>
      </c>
      <c r="I207" s="4" t="s">
        <v>975</v>
      </c>
      <c r="J207" s="4" t="s">
        <v>94</v>
      </c>
      <c r="K207" s="4" t="s">
        <v>95</v>
      </c>
      <c r="L207" s="2" t="s">
        <v>373</v>
      </c>
      <c r="M207" s="2" t="s">
        <v>390</v>
      </c>
      <c r="N207" s="4" t="s">
        <v>2071</v>
      </c>
      <c r="O207" s="4" t="s">
        <v>164</v>
      </c>
      <c r="P207" s="4" t="s">
        <v>99</v>
      </c>
      <c r="Q207" s="152">
        <v>55</v>
      </c>
      <c r="R207" s="152">
        <v>3.7589999999999999</v>
      </c>
      <c r="S207" s="152">
        <v>26247</v>
      </c>
      <c r="U207" s="152">
        <v>54.264000000000003</v>
      </c>
      <c r="V207" s="152">
        <v>0</v>
      </c>
      <c r="W207" s="166">
        <v>1.61829820582386E-2</v>
      </c>
      <c r="X207" s="166">
        <v>1.7440885794540301E-3</v>
      </c>
    </row>
    <row r="208" spans="1:24">
      <c r="A208" s="4" t="s">
        <v>112</v>
      </c>
      <c r="B208" s="4">
        <v>12905</v>
      </c>
      <c r="C208" s="4" t="s">
        <v>2132</v>
      </c>
      <c r="D208" s="4" t="s">
        <v>2133</v>
      </c>
      <c r="E208" s="4" t="s">
        <v>361</v>
      </c>
      <c r="F208" s="4" t="s">
        <v>2134</v>
      </c>
      <c r="G208" s="4" t="s">
        <v>2135</v>
      </c>
      <c r="H208" s="4" t="s">
        <v>367</v>
      </c>
      <c r="I208" s="4" t="s">
        <v>975</v>
      </c>
      <c r="J208" s="4" t="s">
        <v>94</v>
      </c>
      <c r="K208" s="4" t="s">
        <v>95</v>
      </c>
      <c r="L208" s="2" t="s">
        <v>373</v>
      </c>
      <c r="M208" s="2" t="s">
        <v>390</v>
      </c>
      <c r="N208" s="4" t="s">
        <v>593</v>
      </c>
      <c r="O208" s="4" t="s">
        <v>164</v>
      </c>
      <c r="P208" s="4" t="s">
        <v>99</v>
      </c>
      <c r="Q208" s="152">
        <v>122</v>
      </c>
      <c r="R208" s="152">
        <v>3.7589999999999999</v>
      </c>
      <c r="S208" s="152">
        <v>9929</v>
      </c>
      <c r="U208" s="152">
        <v>45.533999999999999</v>
      </c>
      <c r="V208" s="152">
        <v>0</v>
      </c>
      <c r="W208" s="166">
        <v>1.35794297671856E-2</v>
      </c>
      <c r="X208" s="166">
        <v>1.4634959296880199E-3</v>
      </c>
    </row>
    <row r="209" spans="1:24">
      <c r="A209" s="4" t="s">
        <v>112</v>
      </c>
      <c r="B209" s="4">
        <v>13680</v>
      </c>
      <c r="C209" s="4" t="s">
        <v>1833</v>
      </c>
      <c r="D209" s="4" t="s">
        <v>1834</v>
      </c>
      <c r="E209" s="4" t="s">
        <v>361</v>
      </c>
      <c r="F209" s="4" t="s">
        <v>1835</v>
      </c>
      <c r="G209" s="4" t="s">
        <v>1836</v>
      </c>
      <c r="H209" s="4" t="s">
        <v>367</v>
      </c>
      <c r="I209" s="4" t="s">
        <v>975</v>
      </c>
      <c r="J209" s="4" t="s">
        <v>94</v>
      </c>
      <c r="K209" s="4" t="s">
        <v>95</v>
      </c>
      <c r="L209" s="2" t="s">
        <v>373</v>
      </c>
      <c r="M209" s="2" t="s">
        <v>32</v>
      </c>
      <c r="N209" s="4" t="s">
        <v>484</v>
      </c>
      <c r="O209" s="4" t="s">
        <v>164</v>
      </c>
      <c r="P209" s="4" t="s">
        <v>35</v>
      </c>
      <c r="Q209" s="152">
        <v>581</v>
      </c>
      <c r="R209" s="152">
        <v>1</v>
      </c>
      <c r="S209" s="152">
        <v>26580</v>
      </c>
      <c r="U209" s="152">
        <v>154.43</v>
      </c>
      <c r="V209" s="152">
        <v>1.0000000000000001E-5</v>
      </c>
      <c r="W209" s="166">
        <v>2.60710542394973E-2</v>
      </c>
      <c r="X209" s="166">
        <v>4.8093507230077799E-3</v>
      </c>
    </row>
    <row r="210" spans="1:24">
      <c r="A210" s="4" t="s">
        <v>112</v>
      </c>
      <c r="B210" s="4">
        <v>13680</v>
      </c>
      <c r="C210" s="4" t="s">
        <v>1837</v>
      </c>
      <c r="D210" s="4" t="s">
        <v>1838</v>
      </c>
      <c r="E210" s="4" t="s">
        <v>1376</v>
      </c>
      <c r="F210" s="4" t="s">
        <v>1839</v>
      </c>
      <c r="G210" s="4" t="s">
        <v>1840</v>
      </c>
      <c r="H210" s="4" t="s">
        <v>367</v>
      </c>
      <c r="I210" s="4" t="s">
        <v>975</v>
      </c>
      <c r="J210" s="4" t="s">
        <v>31</v>
      </c>
      <c r="K210" s="4" t="s">
        <v>31</v>
      </c>
      <c r="L210" s="2" t="s">
        <v>373</v>
      </c>
      <c r="M210" s="2" t="s">
        <v>32</v>
      </c>
      <c r="N210" s="4" t="s">
        <v>499</v>
      </c>
      <c r="O210" s="4" t="s">
        <v>164</v>
      </c>
      <c r="P210" s="4" t="s">
        <v>35</v>
      </c>
      <c r="Q210" s="152">
        <v>6500</v>
      </c>
      <c r="R210" s="152">
        <v>1</v>
      </c>
      <c r="S210" s="152">
        <v>1612</v>
      </c>
      <c r="U210" s="152">
        <v>104.78</v>
      </c>
      <c r="V210" s="152">
        <v>5.0000000000000004E-6</v>
      </c>
      <c r="W210" s="166">
        <v>1.76891057504091E-2</v>
      </c>
      <c r="X210" s="166">
        <v>3.2631251789276101E-3</v>
      </c>
    </row>
    <row r="211" spans="1:24">
      <c r="A211" s="4" t="s">
        <v>112</v>
      </c>
      <c r="B211" s="4">
        <v>13680</v>
      </c>
      <c r="C211" s="4" t="s">
        <v>1841</v>
      </c>
      <c r="D211" s="4" t="s">
        <v>1842</v>
      </c>
      <c r="E211" s="4" t="s">
        <v>1376</v>
      </c>
      <c r="F211" s="4" t="s">
        <v>1843</v>
      </c>
      <c r="G211" s="4" t="s">
        <v>1844</v>
      </c>
      <c r="H211" s="4" t="s">
        <v>367</v>
      </c>
      <c r="I211" s="4" t="s">
        <v>975</v>
      </c>
      <c r="J211" s="4" t="s">
        <v>31</v>
      </c>
      <c r="K211" s="4" t="s">
        <v>31</v>
      </c>
      <c r="L211" s="2" t="s">
        <v>373</v>
      </c>
      <c r="M211" s="2" t="s">
        <v>32</v>
      </c>
      <c r="N211" s="4" t="s">
        <v>488</v>
      </c>
      <c r="O211" s="4" t="s">
        <v>164</v>
      </c>
      <c r="P211" s="4" t="s">
        <v>35</v>
      </c>
      <c r="Q211" s="152">
        <v>629</v>
      </c>
      <c r="R211" s="152">
        <v>1</v>
      </c>
      <c r="S211" s="152">
        <v>9863</v>
      </c>
      <c r="U211" s="152">
        <v>62.037999999999997</v>
      </c>
      <c r="V211" s="152">
        <v>4.3000000000000002E-5</v>
      </c>
      <c r="W211" s="166">
        <v>1.04733872743122E-2</v>
      </c>
      <c r="X211" s="166">
        <v>1.93203512973955E-3</v>
      </c>
    </row>
    <row r="212" spans="1:24">
      <c r="A212" s="4" t="s">
        <v>112</v>
      </c>
      <c r="B212" s="4">
        <v>13680</v>
      </c>
      <c r="C212" s="4" t="s">
        <v>1845</v>
      </c>
      <c r="D212" s="4" t="s">
        <v>1846</v>
      </c>
      <c r="E212" s="4" t="s">
        <v>1376</v>
      </c>
      <c r="F212" s="4" t="s">
        <v>1847</v>
      </c>
      <c r="G212" s="4" t="s">
        <v>1848</v>
      </c>
      <c r="H212" s="4" t="s">
        <v>367</v>
      </c>
      <c r="I212" s="4" t="s">
        <v>975</v>
      </c>
      <c r="J212" s="4" t="s">
        <v>31</v>
      </c>
      <c r="K212" s="4" t="s">
        <v>31</v>
      </c>
      <c r="L212" s="2" t="s">
        <v>373</v>
      </c>
      <c r="M212" s="2" t="s">
        <v>32</v>
      </c>
      <c r="N212" s="4" t="s">
        <v>506</v>
      </c>
      <c r="O212" s="4" t="s">
        <v>164</v>
      </c>
      <c r="P212" s="4" t="s">
        <v>35</v>
      </c>
      <c r="Q212" s="152">
        <v>791</v>
      </c>
      <c r="R212" s="152">
        <v>1</v>
      </c>
      <c r="S212" s="152">
        <v>992.1</v>
      </c>
      <c r="U212" s="152">
        <v>7.8479999999999999</v>
      </c>
      <c r="V212" s="152">
        <v>6.0000000000000002E-6</v>
      </c>
      <c r="W212" s="166">
        <v>1.32482775297288E-3</v>
      </c>
      <c r="X212" s="166">
        <v>2.4439216201576101E-4</v>
      </c>
    </row>
    <row r="213" spans="1:24">
      <c r="A213" s="4" t="s">
        <v>112</v>
      </c>
      <c r="B213" s="4">
        <v>13680</v>
      </c>
      <c r="C213" s="4" t="s">
        <v>1853</v>
      </c>
      <c r="D213" s="4" t="s">
        <v>1854</v>
      </c>
      <c r="E213" s="4" t="s">
        <v>1376</v>
      </c>
      <c r="F213" s="4" t="s">
        <v>1855</v>
      </c>
      <c r="G213" s="4" t="s">
        <v>1856</v>
      </c>
      <c r="H213" s="4" t="s">
        <v>367</v>
      </c>
      <c r="I213" s="4" t="s">
        <v>975</v>
      </c>
      <c r="J213" s="4" t="s">
        <v>31</v>
      </c>
      <c r="K213" s="4" t="s">
        <v>31</v>
      </c>
      <c r="L213" s="2" t="s">
        <v>373</v>
      </c>
      <c r="M213" s="2" t="s">
        <v>32</v>
      </c>
      <c r="N213" s="4" t="s">
        <v>489</v>
      </c>
      <c r="O213" s="4" t="s">
        <v>164</v>
      </c>
      <c r="P213" s="4" t="s">
        <v>35</v>
      </c>
      <c r="Q213" s="152">
        <v>213</v>
      </c>
      <c r="R213" s="152">
        <v>1</v>
      </c>
      <c r="S213" s="152">
        <v>66410</v>
      </c>
      <c r="T213" s="150">
        <v>0.4</v>
      </c>
      <c r="U213" s="152">
        <v>141.85400000000001</v>
      </c>
      <c r="V213" s="152">
        <v>5.0000000000000004E-6</v>
      </c>
      <c r="W213" s="166">
        <v>2.3947927678463501E-2</v>
      </c>
      <c r="X213" s="166">
        <v>4.4176956649673799E-3</v>
      </c>
    </row>
    <row r="214" spans="1:24">
      <c r="A214" s="4" t="s">
        <v>112</v>
      </c>
      <c r="B214" s="4">
        <v>13680</v>
      </c>
      <c r="C214" s="4" t="s">
        <v>1857</v>
      </c>
      <c r="D214" s="4" t="s">
        <v>1858</v>
      </c>
      <c r="E214" s="4" t="s">
        <v>1376</v>
      </c>
      <c r="F214" s="4" t="s">
        <v>1859</v>
      </c>
      <c r="G214" s="4" t="s">
        <v>1860</v>
      </c>
      <c r="H214" s="4" t="s">
        <v>367</v>
      </c>
      <c r="I214" s="4" t="s">
        <v>975</v>
      </c>
      <c r="J214" s="4" t="s">
        <v>31</v>
      </c>
      <c r="K214" s="4" t="s">
        <v>31</v>
      </c>
      <c r="L214" s="2" t="s">
        <v>373</v>
      </c>
      <c r="M214" s="2" t="s">
        <v>32</v>
      </c>
      <c r="N214" s="4" t="s">
        <v>494</v>
      </c>
      <c r="O214" s="4" t="s">
        <v>164</v>
      </c>
      <c r="P214" s="4" t="s">
        <v>35</v>
      </c>
      <c r="Q214" s="152">
        <v>55</v>
      </c>
      <c r="R214" s="152">
        <v>1</v>
      </c>
      <c r="S214" s="152">
        <v>129690</v>
      </c>
      <c r="U214" s="152">
        <v>71.328999999999994</v>
      </c>
      <c r="V214" s="152">
        <v>1.4E-5</v>
      </c>
      <c r="W214" s="166">
        <v>1.2041945682609301E-2</v>
      </c>
      <c r="X214" s="166">
        <v>2.2213885040114302E-3</v>
      </c>
    </row>
    <row r="215" spans="1:24">
      <c r="A215" s="4" t="s">
        <v>112</v>
      </c>
      <c r="B215" s="4">
        <v>13680</v>
      </c>
      <c r="C215" s="4" t="s">
        <v>1861</v>
      </c>
      <c r="D215" s="4" t="s">
        <v>1862</v>
      </c>
      <c r="E215" s="4" t="s">
        <v>1376</v>
      </c>
      <c r="F215" s="4" t="s">
        <v>1863</v>
      </c>
      <c r="G215" s="4" t="s">
        <v>1864</v>
      </c>
      <c r="H215" s="4" t="s">
        <v>367</v>
      </c>
      <c r="I215" s="4" t="s">
        <v>975</v>
      </c>
      <c r="J215" s="4" t="s">
        <v>31</v>
      </c>
      <c r="K215" s="4" t="s">
        <v>95</v>
      </c>
      <c r="L215" s="2" t="s">
        <v>373</v>
      </c>
      <c r="M215" s="2" t="s">
        <v>32</v>
      </c>
      <c r="N215" s="4" t="s">
        <v>484</v>
      </c>
      <c r="O215" s="4" t="s">
        <v>164</v>
      </c>
      <c r="P215" s="4" t="s">
        <v>35</v>
      </c>
      <c r="Q215" s="152">
        <v>638.9</v>
      </c>
      <c r="R215" s="152">
        <v>1</v>
      </c>
      <c r="S215" s="152">
        <v>5985</v>
      </c>
      <c r="U215" s="152">
        <v>38.238</v>
      </c>
      <c r="V215" s="152">
        <v>5.0000000000000004E-6</v>
      </c>
      <c r="W215" s="166">
        <v>6.4554203510841096E-3</v>
      </c>
      <c r="X215" s="166">
        <v>1.1908371731961099E-3</v>
      </c>
    </row>
    <row r="216" spans="1:24">
      <c r="A216" s="4" t="s">
        <v>112</v>
      </c>
      <c r="B216" s="4">
        <v>13680</v>
      </c>
      <c r="C216" s="4" t="s">
        <v>1869</v>
      </c>
      <c r="D216" s="4" t="s">
        <v>1870</v>
      </c>
      <c r="E216" s="4" t="s">
        <v>1376</v>
      </c>
      <c r="F216" s="4" t="s">
        <v>1871</v>
      </c>
      <c r="G216" s="4" t="s">
        <v>1872</v>
      </c>
      <c r="H216" s="4" t="s">
        <v>367</v>
      </c>
      <c r="I216" s="4" t="s">
        <v>975</v>
      </c>
      <c r="J216" s="4" t="s">
        <v>31</v>
      </c>
      <c r="K216" s="4" t="s">
        <v>31</v>
      </c>
      <c r="L216" s="2" t="s">
        <v>373</v>
      </c>
      <c r="M216" s="2" t="s">
        <v>32</v>
      </c>
      <c r="N216" s="4" t="s">
        <v>490</v>
      </c>
      <c r="O216" s="4" t="s">
        <v>164</v>
      </c>
      <c r="P216" s="4" t="s">
        <v>35</v>
      </c>
      <c r="Q216" s="152">
        <v>1328</v>
      </c>
      <c r="R216" s="152">
        <v>1</v>
      </c>
      <c r="S216" s="152">
        <v>4328</v>
      </c>
      <c r="U216" s="152">
        <v>57.475999999999999</v>
      </c>
      <c r="V216" s="152">
        <v>1.2999999999999999E-5</v>
      </c>
      <c r="W216" s="166">
        <v>9.7031514778926804E-3</v>
      </c>
      <c r="X216" s="166">
        <v>1.78994904260369E-3</v>
      </c>
    </row>
    <row r="217" spans="1:24">
      <c r="A217" s="4" t="s">
        <v>112</v>
      </c>
      <c r="B217" s="4">
        <v>13680</v>
      </c>
      <c r="C217" s="4" t="s">
        <v>1877</v>
      </c>
      <c r="D217" s="4" t="s">
        <v>1878</v>
      </c>
      <c r="E217" s="4" t="s">
        <v>1376</v>
      </c>
      <c r="F217" s="4" t="s">
        <v>1879</v>
      </c>
      <c r="G217" s="4" t="s">
        <v>1880</v>
      </c>
      <c r="H217" s="4" t="s">
        <v>367</v>
      </c>
      <c r="I217" s="4" t="s">
        <v>975</v>
      </c>
      <c r="J217" s="4" t="s">
        <v>31</v>
      </c>
      <c r="K217" s="4" t="s">
        <v>31</v>
      </c>
      <c r="L217" s="2" t="s">
        <v>373</v>
      </c>
      <c r="M217" s="2" t="s">
        <v>32</v>
      </c>
      <c r="N217" s="4" t="s">
        <v>483</v>
      </c>
      <c r="O217" s="4" t="s">
        <v>164</v>
      </c>
      <c r="P217" s="4" t="s">
        <v>35</v>
      </c>
      <c r="Q217" s="152">
        <v>21035</v>
      </c>
      <c r="R217" s="152">
        <v>1</v>
      </c>
      <c r="S217" s="152">
        <v>86.7</v>
      </c>
      <c r="U217" s="152">
        <v>18.236999999999998</v>
      </c>
      <c r="V217" s="152">
        <v>6.9999999999999999E-6</v>
      </c>
      <c r="W217" s="166">
        <v>3.0788540209171099E-3</v>
      </c>
      <c r="X217" s="166">
        <v>5.6795895844903197E-4</v>
      </c>
    </row>
    <row r="218" spans="1:24">
      <c r="A218" s="4" t="s">
        <v>112</v>
      </c>
      <c r="B218" s="4">
        <v>13680</v>
      </c>
      <c r="C218" s="4" t="s">
        <v>1881</v>
      </c>
      <c r="D218" s="4" t="s">
        <v>1882</v>
      </c>
      <c r="E218" s="4" t="s">
        <v>1376</v>
      </c>
      <c r="F218" s="4" t="s">
        <v>1883</v>
      </c>
      <c r="G218" s="4" t="s">
        <v>1884</v>
      </c>
      <c r="H218" s="4" t="s">
        <v>367</v>
      </c>
      <c r="I218" s="4" t="s">
        <v>975</v>
      </c>
      <c r="J218" s="4" t="s">
        <v>31</v>
      </c>
      <c r="K218" s="4" t="s">
        <v>31</v>
      </c>
      <c r="L218" s="2" t="s">
        <v>373</v>
      </c>
      <c r="M218" s="2" t="s">
        <v>32</v>
      </c>
      <c r="N218" s="4" t="s">
        <v>528</v>
      </c>
      <c r="O218" s="4" t="s">
        <v>164</v>
      </c>
      <c r="P218" s="4" t="s">
        <v>35</v>
      </c>
      <c r="Q218" s="152">
        <v>33892</v>
      </c>
      <c r="R218" s="152">
        <v>1</v>
      </c>
      <c r="S218" s="152">
        <v>423.6</v>
      </c>
      <c r="U218" s="152">
        <v>143.56700000000001</v>
      </c>
      <c r="V218" s="152">
        <v>1.2E-5</v>
      </c>
      <c r="W218" s="166">
        <v>2.42370988068847E-2</v>
      </c>
      <c r="X218" s="166">
        <v>4.47103932198906E-3</v>
      </c>
    </row>
    <row r="219" spans="1:24">
      <c r="A219" s="4" t="s">
        <v>112</v>
      </c>
      <c r="B219" s="4">
        <v>13680</v>
      </c>
      <c r="C219" s="4" t="s">
        <v>1885</v>
      </c>
      <c r="D219" s="4" t="s">
        <v>1886</v>
      </c>
      <c r="E219" s="4" t="s">
        <v>1376</v>
      </c>
      <c r="F219" s="4" t="s">
        <v>1887</v>
      </c>
      <c r="G219" s="4" t="s">
        <v>1888</v>
      </c>
      <c r="H219" s="4" t="s">
        <v>367</v>
      </c>
      <c r="I219" s="4" t="s">
        <v>975</v>
      </c>
      <c r="J219" s="4" t="s">
        <v>31</v>
      </c>
      <c r="K219" s="4" t="s">
        <v>31</v>
      </c>
      <c r="L219" s="2" t="s">
        <v>373</v>
      </c>
      <c r="M219" s="2" t="s">
        <v>32</v>
      </c>
      <c r="N219" s="4" t="s">
        <v>507</v>
      </c>
      <c r="O219" s="4" t="s">
        <v>164</v>
      </c>
      <c r="P219" s="4" t="s">
        <v>35</v>
      </c>
      <c r="Q219" s="152">
        <v>144</v>
      </c>
      <c r="R219" s="152">
        <v>1</v>
      </c>
      <c r="S219" s="152">
        <v>35740</v>
      </c>
      <c r="U219" s="152">
        <v>51.466000000000001</v>
      </c>
      <c r="V219" s="152">
        <v>6.0000000000000002E-6</v>
      </c>
      <c r="W219" s="166">
        <v>8.6884943778226392E-3</v>
      </c>
      <c r="X219" s="166">
        <v>1.6027743386964801E-3</v>
      </c>
    </row>
    <row r="220" spans="1:24">
      <c r="A220" s="4" t="s">
        <v>112</v>
      </c>
      <c r="B220" s="4">
        <v>13680</v>
      </c>
      <c r="C220" s="4" t="s">
        <v>1889</v>
      </c>
      <c r="D220" s="4" t="s">
        <v>1890</v>
      </c>
      <c r="E220" s="4" t="s">
        <v>1376</v>
      </c>
      <c r="F220" s="4" t="s">
        <v>1891</v>
      </c>
      <c r="G220" s="4" t="s">
        <v>1892</v>
      </c>
      <c r="H220" s="4" t="s">
        <v>367</v>
      </c>
      <c r="I220" s="4" t="s">
        <v>975</v>
      </c>
      <c r="J220" s="4" t="s">
        <v>31</v>
      </c>
      <c r="K220" s="4" t="s">
        <v>31</v>
      </c>
      <c r="L220" s="2" t="s">
        <v>373</v>
      </c>
      <c r="M220" s="2" t="s">
        <v>32</v>
      </c>
      <c r="N220" s="4" t="s">
        <v>491</v>
      </c>
      <c r="O220" s="4" t="s">
        <v>164</v>
      </c>
      <c r="P220" s="4" t="s">
        <v>35</v>
      </c>
      <c r="Q220" s="152">
        <v>85</v>
      </c>
      <c r="R220" s="152">
        <v>1</v>
      </c>
      <c r="S220" s="152">
        <v>14410</v>
      </c>
      <c r="U220" s="152">
        <v>12.247999999999999</v>
      </c>
      <c r="V220" s="152">
        <v>9.9999999999999995E-7</v>
      </c>
      <c r="W220" s="166">
        <v>2.0678088545894799E-3</v>
      </c>
      <c r="X220" s="166">
        <v>3.8145055119388099E-4</v>
      </c>
    </row>
    <row r="221" spans="1:24">
      <c r="A221" s="4" t="s">
        <v>112</v>
      </c>
      <c r="B221" s="4">
        <v>13680</v>
      </c>
      <c r="C221" s="4" t="s">
        <v>1897</v>
      </c>
      <c r="D221" s="4" t="s">
        <v>1898</v>
      </c>
      <c r="E221" s="4" t="s">
        <v>1376</v>
      </c>
      <c r="F221" s="4" t="s">
        <v>1899</v>
      </c>
      <c r="G221" s="4" t="s">
        <v>1900</v>
      </c>
      <c r="H221" s="4" t="s">
        <v>367</v>
      </c>
      <c r="I221" s="4" t="s">
        <v>975</v>
      </c>
      <c r="J221" s="4" t="s">
        <v>31</v>
      </c>
      <c r="K221" s="4" t="s">
        <v>31</v>
      </c>
      <c r="L221" s="2" t="s">
        <v>373</v>
      </c>
      <c r="M221" s="2" t="s">
        <v>32</v>
      </c>
      <c r="N221" s="4" t="s">
        <v>491</v>
      </c>
      <c r="O221" s="4" t="s">
        <v>164</v>
      </c>
      <c r="P221" s="4" t="s">
        <v>35</v>
      </c>
      <c r="Q221" s="152">
        <v>15021</v>
      </c>
      <c r="R221" s="152">
        <v>1</v>
      </c>
      <c r="S221" s="152">
        <v>1909</v>
      </c>
      <c r="U221" s="152">
        <v>286.75099999999998</v>
      </c>
      <c r="V221" s="152">
        <v>1.2E-5</v>
      </c>
      <c r="W221" s="166">
        <v>4.8409685218877001E-2</v>
      </c>
      <c r="X221" s="166">
        <v>8.9301779847194406E-3</v>
      </c>
    </row>
    <row r="222" spans="1:24">
      <c r="A222" s="4" t="s">
        <v>112</v>
      </c>
      <c r="B222" s="4">
        <v>13680</v>
      </c>
      <c r="C222" s="4" t="s">
        <v>2136</v>
      </c>
      <c r="D222" s="4" t="s">
        <v>2137</v>
      </c>
      <c r="E222" s="4" t="s">
        <v>1376</v>
      </c>
      <c r="F222" s="4" t="s">
        <v>2138</v>
      </c>
      <c r="G222" s="4" t="s">
        <v>2139</v>
      </c>
      <c r="H222" s="4" t="s">
        <v>367</v>
      </c>
      <c r="I222" s="4" t="s">
        <v>975</v>
      </c>
      <c r="J222" s="4" t="s">
        <v>31</v>
      </c>
      <c r="K222" s="4" t="s">
        <v>31</v>
      </c>
      <c r="L222" s="2" t="s">
        <v>373</v>
      </c>
      <c r="M222" s="2" t="s">
        <v>32</v>
      </c>
      <c r="N222" s="4" t="s">
        <v>497</v>
      </c>
      <c r="O222" s="4" t="s">
        <v>164</v>
      </c>
      <c r="P222" s="4" t="s">
        <v>35</v>
      </c>
      <c r="Q222" s="152">
        <v>81</v>
      </c>
      <c r="R222" s="152">
        <v>1</v>
      </c>
      <c r="S222" s="152">
        <v>39520</v>
      </c>
      <c r="U222" s="152">
        <v>32.011000000000003</v>
      </c>
      <c r="V222" s="152">
        <v>3.9999999999999998E-6</v>
      </c>
      <c r="W222" s="166">
        <v>5.4041754342192801E-3</v>
      </c>
      <c r="X222" s="166">
        <v>9.9691308195922596E-4</v>
      </c>
    </row>
    <row r="223" spans="1:24">
      <c r="A223" s="4" t="s">
        <v>112</v>
      </c>
      <c r="B223" s="4">
        <v>13680</v>
      </c>
      <c r="C223" s="4" t="s">
        <v>1901</v>
      </c>
      <c r="D223" s="4" t="s">
        <v>1902</v>
      </c>
      <c r="E223" s="4" t="s">
        <v>1376</v>
      </c>
      <c r="F223" s="4" t="s">
        <v>1903</v>
      </c>
      <c r="G223" s="4" t="s">
        <v>1904</v>
      </c>
      <c r="H223" s="4" t="s">
        <v>367</v>
      </c>
      <c r="I223" s="4" t="s">
        <v>975</v>
      </c>
      <c r="J223" s="4" t="s">
        <v>31</v>
      </c>
      <c r="K223" s="4" t="s">
        <v>31</v>
      </c>
      <c r="L223" s="2" t="s">
        <v>373</v>
      </c>
      <c r="M223" s="2" t="s">
        <v>32</v>
      </c>
      <c r="N223" s="4" t="s">
        <v>480</v>
      </c>
      <c r="O223" s="4" t="s">
        <v>164</v>
      </c>
      <c r="P223" s="4" t="s">
        <v>35</v>
      </c>
      <c r="Q223" s="152">
        <v>645</v>
      </c>
      <c r="R223" s="152">
        <v>1</v>
      </c>
      <c r="S223" s="152">
        <v>15700</v>
      </c>
      <c r="U223" s="152">
        <v>101.265</v>
      </c>
      <c r="V223" s="152">
        <v>2.5000000000000001E-5</v>
      </c>
      <c r="W223" s="166">
        <v>1.7095698547577601E-2</v>
      </c>
      <c r="X223" s="166">
        <v>3.1536588208065002E-3</v>
      </c>
    </row>
    <row r="224" spans="1:24">
      <c r="A224" s="4" t="s">
        <v>112</v>
      </c>
      <c r="B224" s="4">
        <v>13680</v>
      </c>
      <c r="C224" s="4" t="s">
        <v>2159</v>
      </c>
      <c r="D224" s="4" t="s">
        <v>2160</v>
      </c>
      <c r="E224" s="4" t="s">
        <v>1376</v>
      </c>
      <c r="F224" s="4" t="s">
        <v>2161</v>
      </c>
      <c r="G224" s="4" t="s">
        <v>2162</v>
      </c>
      <c r="H224" s="4" t="s">
        <v>367</v>
      </c>
      <c r="I224" s="4" t="s">
        <v>975</v>
      </c>
      <c r="J224" s="4" t="s">
        <v>31</v>
      </c>
      <c r="K224" s="4" t="s">
        <v>31</v>
      </c>
      <c r="L224" s="2" t="s">
        <v>373</v>
      </c>
      <c r="M224" s="2" t="s">
        <v>32</v>
      </c>
      <c r="N224" s="4" t="s">
        <v>507</v>
      </c>
      <c r="O224" s="4" t="s">
        <v>164</v>
      </c>
      <c r="P224" s="4" t="s">
        <v>35</v>
      </c>
      <c r="Q224" s="152">
        <v>237</v>
      </c>
      <c r="R224" s="152">
        <v>1</v>
      </c>
      <c r="S224" s="152">
        <v>2837</v>
      </c>
      <c r="U224" s="152">
        <v>6.7240000000000002</v>
      </c>
      <c r="V224" s="152">
        <v>6.0000000000000002E-6</v>
      </c>
      <c r="W224" s="166">
        <v>1.1351027242123299E-3</v>
      </c>
      <c r="X224" s="166">
        <v>2.0939341605558101E-4</v>
      </c>
    </row>
    <row r="225" spans="1:24">
      <c r="A225" s="4" t="s">
        <v>112</v>
      </c>
      <c r="B225" s="4">
        <v>13680</v>
      </c>
      <c r="C225" s="4" t="s">
        <v>1905</v>
      </c>
      <c r="D225" s="4" t="s">
        <v>1906</v>
      </c>
      <c r="E225" s="4" t="s">
        <v>1376</v>
      </c>
      <c r="F225" s="4" t="s">
        <v>1907</v>
      </c>
      <c r="G225" s="4" t="s">
        <v>1908</v>
      </c>
      <c r="H225" s="4" t="s">
        <v>367</v>
      </c>
      <c r="I225" s="4" t="s">
        <v>975</v>
      </c>
      <c r="J225" s="4" t="s">
        <v>31</v>
      </c>
      <c r="K225" s="4" t="s">
        <v>31</v>
      </c>
      <c r="L225" s="2" t="s">
        <v>373</v>
      </c>
      <c r="M225" s="2" t="s">
        <v>32</v>
      </c>
      <c r="N225" s="4" t="s">
        <v>488</v>
      </c>
      <c r="O225" s="4" t="s">
        <v>164</v>
      </c>
      <c r="P225" s="4" t="s">
        <v>35</v>
      </c>
      <c r="Q225" s="152">
        <v>1238</v>
      </c>
      <c r="R225" s="152">
        <v>1</v>
      </c>
      <c r="S225" s="152">
        <v>3419</v>
      </c>
      <c r="U225" s="152">
        <v>42.326999999999998</v>
      </c>
      <c r="V225" s="152">
        <v>5.0000000000000004E-6</v>
      </c>
      <c r="W225" s="166">
        <v>7.14574031972544E-3</v>
      </c>
      <c r="X225" s="166">
        <v>1.3181811160145899E-3</v>
      </c>
    </row>
    <row r="226" spans="1:24">
      <c r="A226" s="4" t="s">
        <v>112</v>
      </c>
      <c r="B226" s="4">
        <v>13680</v>
      </c>
      <c r="C226" s="4" t="s">
        <v>1909</v>
      </c>
      <c r="D226" s="4" t="s">
        <v>1910</v>
      </c>
      <c r="E226" s="4" t="s">
        <v>1376</v>
      </c>
      <c r="F226" s="4" t="s">
        <v>1911</v>
      </c>
      <c r="G226" s="4" t="s">
        <v>1912</v>
      </c>
      <c r="H226" s="4" t="s">
        <v>367</v>
      </c>
      <c r="I226" s="4" t="s">
        <v>975</v>
      </c>
      <c r="J226" s="4" t="s">
        <v>31</v>
      </c>
      <c r="K226" s="4" t="s">
        <v>31</v>
      </c>
      <c r="L226" s="2" t="s">
        <v>373</v>
      </c>
      <c r="M226" s="2" t="s">
        <v>32</v>
      </c>
      <c r="N226" s="4" t="s">
        <v>488</v>
      </c>
      <c r="O226" s="4" t="s">
        <v>164</v>
      </c>
      <c r="P226" s="4" t="s">
        <v>35</v>
      </c>
      <c r="Q226" s="152">
        <v>2755</v>
      </c>
      <c r="R226" s="152">
        <v>1</v>
      </c>
      <c r="S226" s="152">
        <v>2997</v>
      </c>
      <c r="U226" s="152">
        <v>82.566999999999993</v>
      </c>
      <c r="V226" s="152">
        <v>1.2999999999999999E-5</v>
      </c>
      <c r="W226" s="166">
        <v>1.3939135194512699E-2</v>
      </c>
      <c r="X226" s="166">
        <v>2.5713647522650198E-3</v>
      </c>
    </row>
    <row r="227" spans="1:24">
      <c r="A227" s="4" t="s">
        <v>112</v>
      </c>
      <c r="B227" s="4">
        <v>13680</v>
      </c>
      <c r="C227" s="4" t="s">
        <v>1913</v>
      </c>
      <c r="D227" s="4" t="s">
        <v>1914</v>
      </c>
      <c r="E227" s="4" t="s">
        <v>1376</v>
      </c>
      <c r="F227" s="4" t="s">
        <v>1915</v>
      </c>
      <c r="G227" s="4" t="s">
        <v>1916</v>
      </c>
      <c r="H227" s="4" t="s">
        <v>367</v>
      </c>
      <c r="I227" s="4" t="s">
        <v>975</v>
      </c>
      <c r="J227" s="4" t="s">
        <v>31</v>
      </c>
      <c r="K227" s="4" t="s">
        <v>31</v>
      </c>
      <c r="L227" s="2" t="s">
        <v>373</v>
      </c>
      <c r="M227" s="2" t="s">
        <v>32</v>
      </c>
      <c r="N227" s="4" t="s">
        <v>494</v>
      </c>
      <c r="O227" s="4" t="s">
        <v>164</v>
      </c>
      <c r="P227" s="4" t="s">
        <v>35</v>
      </c>
      <c r="Q227" s="152">
        <v>12</v>
      </c>
      <c r="R227" s="152">
        <v>1</v>
      </c>
      <c r="S227" s="152">
        <v>83740</v>
      </c>
      <c r="U227" s="152">
        <v>10.048999999999999</v>
      </c>
      <c r="V227" s="152">
        <v>1.9999999999999999E-6</v>
      </c>
      <c r="W227" s="166">
        <v>1.6964524323793799E-3</v>
      </c>
      <c r="X227" s="166">
        <v>3.1294609942744602E-4</v>
      </c>
    </row>
    <row r="228" spans="1:24">
      <c r="A228" s="4" t="s">
        <v>112</v>
      </c>
      <c r="B228" s="4">
        <v>13680</v>
      </c>
      <c r="C228" s="4" t="s">
        <v>1917</v>
      </c>
      <c r="D228" s="4" t="s">
        <v>1918</v>
      </c>
      <c r="E228" s="4" t="s">
        <v>1376</v>
      </c>
      <c r="F228" s="4" t="s">
        <v>1919</v>
      </c>
      <c r="G228" s="4" t="s">
        <v>1920</v>
      </c>
      <c r="H228" s="4" t="s">
        <v>367</v>
      </c>
      <c r="I228" s="4" t="s">
        <v>975</v>
      </c>
      <c r="J228" s="4" t="s">
        <v>31</v>
      </c>
      <c r="K228" s="4" t="s">
        <v>31</v>
      </c>
      <c r="L228" s="2" t="s">
        <v>373</v>
      </c>
      <c r="M228" s="2" t="s">
        <v>32</v>
      </c>
      <c r="N228" s="4" t="s">
        <v>520</v>
      </c>
      <c r="O228" s="4" t="s">
        <v>164</v>
      </c>
      <c r="P228" s="4" t="s">
        <v>35</v>
      </c>
      <c r="Q228" s="152">
        <v>131</v>
      </c>
      <c r="R228" s="152">
        <v>1</v>
      </c>
      <c r="S228" s="152">
        <v>19600</v>
      </c>
      <c r="U228" s="152">
        <v>25.675999999999998</v>
      </c>
      <c r="V228" s="152">
        <v>6.0000000000000002E-6</v>
      </c>
      <c r="W228" s="166">
        <v>4.3346581336849103E-3</v>
      </c>
      <c r="X228" s="166">
        <v>7.9961826774332305E-4</v>
      </c>
    </row>
    <row r="229" spans="1:24">
      <c r="A229" s="4" t="s">
        <v>112</v>
      </c>
      <c r="B229" s="4">
        <v>13680</v>
      </c>
      <c r="C229" s="4" t="s">
        <v>1925</v>
      </c>
      <c r="D229" s="4" t="s">
        <v>1926</v>
      </c>
      <c r="E229" s="4" t="s">
        <v>1376</v>
      </c>
      <c r="F229" s="4" t="s">
        <v>1927</v>
      </c>
      <c r="G229" s="4" t="s">
        <v>1928</v>
      </c>
      <c r="H229" s="4" t="s">
        <v>367</v>
      </c>
      <c r="I229" s="4" t="s">
        <v>975</v>
      </c>
      <c r="J229" s="4" t="s">
        <v>31</v>
      </c>
      <c r="K229" s="4" t="s">
        <v>345</v>
      </c>
      <c r="L229" s="2" t="s">
        <v>373</v>
      </c>
      <c r="M229" s="2" t="s">
        <v>32</v>
      </c>
      <c r="N229" s="4" t="s">
        <v>501</v>
      </c>
      <c r="O229" s="4" t="s">
        <v>164</v>
      </c>
      <c r="P229" s="4" t="s">
        <v>35</v>
      </c>
      <c r="Q229" s="152">
        <v>954</v>
      </c>
      <c r="R229" s="152">
        <v>1</v>
      </c>
      <c r="S229" s="152">
        <v>14820</v>
      </c>
      <c r="U229" s="152">
        <v>141.38300000000001</v>
      </c>
      <c r="V229" s="152">
        <v>9.0000000000000002E-6</v>
      </c>
      <c r="W229" s="166">
        <v>2.38684415011352E-2</v>
      </c>
      <c r="X229" s="166">
        <v>4.4030327786532403E-3</v>
      </c>
    </row>
    <row r="230" spans="1:24">
      <c r="A230" s="4" t="s">
        <v>112</v>
      </c>
      <c r="B230" s="4">
        <v>13680</v>
      </c>
      <c r="C230" s="4" t="s">
        <v>1929</v>
      </c>
      <c r="D230" s="4" t="s">
        <v>1930</v>
      </c>
      <c r="E230" s="4" t="s">
        <v>1376</v>
      </c>
      <c r="F230" s="4" t="s">
        <v>1931</v>
      </c>
      <c r="G230" s="4" t="s">
        <v>1932</v>
      </c>
      <c r="H230" s="4" t="s">
        <v>367</v>
      </c>
      <c r="I230" s="4" t="s">
        <v>975</v>
      </c>
      <c r="J230" s="4" t="s">
        <v>31</v>
      </c>
      <c r="K230" s="4" t="s">
        <v>95</v>
      </c>
      <c r="L230" s="2" t="s">
        <v>373</v>
      </c>
      <c r="M230" s="2" t="s">
        <v>32</v>
      </c>
      <c r="N230" s="4" t="s">
        <v>510</v>
      </c>
      <c r="O230" s="4" t="s">
        <v>164</v>
      </c>
      <c r="P230" s="4" t="s">
        <v>35</v>
      </c>
      <c r="Q230" s="152">
        <v>4004</v>
      </c>
      <c r="R230" s="152">
        <v>1</v>
      </c>
      <c r="S230" s="152">
        <v>6120</v>
      </c>
      <c r="U230" s="152">
        <v>245.04499999999999</v>
      </c>
      <c r="V230" s="152">
        <v>3.9999999999999998E-6</v>
      </c>
      <c r="W230" s="166">
        <v>4.1368804932122999E-2</v>
      </c>
      <c r="X230" s="166">
        <v>7.63134049289255E-3</v>
      </c>
    </row>
    <row r="231" spans="1:24">
      <c r="A231" s="4" t="s">
        <v>112</v>
      </c>
      <c r="B231" s="4">
        <v>13680</v>
      </c>
      <c r="C231" s="4" t="s">
        <v>1933</v>
      </c>
      <c r="D231" s="4" t="s">
        <v>1934</v>
      </c>
      <c r="E231" s="4" t="s">
        <v>1376</v>
      </c>
      <c r="F231" s="4" t="s">
        <v>1935</v>
      </c>
      <c r="G231" s="4" t="s">
        <v>1936</v>
      </c>
      <c r="H231" s="4" t="s">
        <v>367</v>
      </c>
      <c r="I231" s="4" t="s">
        <v>975</v>
      </c>
      <c r="J231" s="4" t="s">
        <v>31</v>
      </c>
      <c r="K231" s="4" t="s">
        <v>31</v>
      </c>
      <c r="L231" s="2" t="s">
        <v>373</v>
      </c>
      <c r="M231" s="2" t="s">
        <v>32</v>
      </c>
      <c r="N231" s="4" t="s">
        <v>519</v>
      </c>
      <c r="O231" s="4" t="s">
        <v>164</v>
      </c>
      <c r="P231" s="4" t="s">
        <v>35</v>
      </c>
      <c r="Q231" s="152">
        <v>7126</v>
      </c>
      <c r="R231" s="152">
        <v>1</v>
      </c>
      <c r="S231" s="152">
        <v>488.5</v>
      </c>
      <c r="U231" s="152">
        <v>34.811</v>
      </c>
      <c r="V231" s="152">
        <v>6.7000000000000002E-5</v>
      </c>
      <c r="W231" s="166">
        <v>5.8767588529841002E-3</v>
      </c>
      <c r="X231" s="166">
        <v>1.08409096843206E-3</v>
      </c>
    </row>
    <row r="232" spans="1:24">
      <c r="A232" s="4" t="s">
        <v>112</v>
      </c>
      <c r="B232" s="4">
        <v>13680</v>
      </c>
      <c r="C232" s="4" t="s">
        <v>1937</v>
      </c>
      <c r="D232" s="4" t="s">
        <v>1938</v>
      </c>
      <c r="E232" s="4" t="s">
        <v>1376</v>
      </c>
      <c r="F232" s="4" t="s">
        <v>1939</v>
      </c>
      <c r="G232" s="4" t="s">
        <v>1940</v>
      </c>
      <c r="H232" s="4" t="s">
        <v>367</v>
      </c>
      <c r="I232" s="4" t="s">
        <v>975</v>
      </c>
      <c r="J232" s="4" t="s">
        <v>31</v>
      </c>
      <c r="K232" s="4" t="s">
        <v>31</v>
      </c>
      <c r="L232" s="2" t="s">
        <v>373</v>
      </c>
      <c r="M232" s="2" t="s">
        <v>32</v>
      </c>
      <c r="N232" s="4" t="s">
        <v>522</v>
      </c>
      <c r="O232" s="4" t="s">
        <v>164</v>
      </c>
      <c r="P232" s="4" t="s">
        <v>35</v>
      </c>
      <c r="Q232" s="152">
        <v>13551</v>
      </c>
      <c r="R232" s="152">
        <v>1</v>
      </c>
      <c r="S232" s="152">
        <v>1257</v>
      </c>
      <c r="U232" s="152">
        <v>170.33600000000001</v>
      </c>
      <c r="V232" s="152">
        <v>6.7999999999999999E-5</v>
      </c>
      <c r="W232" s="166">
        <v>2.8756372927458401E-2</v>
      </c>
      <c r="X232" s="166">
        <v>5.3047138661631698E-3</v>
      </c>
    </row>
    <row r="233" spans="1:24">
      <c r="A233" s="4" t="s">
        <v>112</v>
      </c>
      <c r="B233" s="4">
        <v>13680</v>
      </c>
      <c r="C233" s="4" t="s">
        <v>1941</v>
      </c>
      <c r="D233" s="4" t="s">
        <v>1942</v>
      </c>
      <c r="E233" s="4" t="s">
        <v>1376</v>
      </c>
      <c r="F233" s="4" t="s">
        <v>1943</v>
      </c>
      <c r="G233" s="4" t="s">
        <v>1944</v>
      </c>
      <c r="H233" s="4" t="s">
        <v>367</v>
      </c>
      <c r="I233" s="4" t="s">
        <v>975</v>
      </c>
      <c r="J233" s="4" t="s">
        <v>31</v>
      </c>
      <c r="K233" s="4" t="s">
        <v>31</v>
      </c>
      <c r="L233" s="2" t="s">
        <v>373</v>
      </c>
      <c r="M233" s="2" t="s">
        <v>32</v>
      </c>
      <c r="N233" s="4" t="s">
        <v>488</v>
      </c>
      <c r="O233" s="4" t="s">
        <v>164</v>
      </c>
      <c r="P233" s="4" t="s">
        <v>35</v>
      </c>
      <c r="Q233" s="152">
        <v>552</v>
      </c>
      <c r="R233" s="152">
        <v>1</v>
      </c>
      <c r="S233" s="152">
        <v>5291</v>
      </c>
      <c r="U233" s="152">
        <v>29.206</v>
      </c>
      <c r="V233" s="152">
        <v>6.9999999999999999E-6</v>
      </c>
      <c r="W233" s="166">
        <v>4.9306516802852503E-3</v>
      </c>
      <c r="X233" s="166">
        <v>9.0956173101562501E-4</v>
      </c>
    </row>
    <row r="234" spans="1:24">
      <c r="A234" s="4" t="s">
        <v>112</v>
      </c>
      <c r="B234" s="4">
        <v>13680</v>
      </c>
      <c r="C234" s="4" t="s">
        <v>1222</v>
      </c>
      <c r="D234" s="4" t="s">
        <v>1945</v>
      </c>
      <c r="E234" s="4" t="s">
        <v>1376</v>
      </c>
      <c r="F234" s="4" t="s">
        <v>1946</v>
      </c>
      <c r="G234" s="4" t="s">
        <v>1947</v>
      </c>
      <c r="H234" s="4" t="s">
        <v>367</v>
      </c>
      <c r="I234" s="4" t="s">
        <v>975</v>
      </c>
      <c r="J234" s="4" t="s">
        <v>31</v>
      </c>
      <c r="K234" s="4" t="s">
        <v>31</v>
      </c>
      <c r="L234" s="2" t="s">
        <v>373</v>
      </c>
      <c r="M234" s="2" t="s">
        <v>32</v>
      </c>
      <c r="N234" s="4" t="s">
        <v>491</v>
      </c>
      <c r="O234" s="4" t="s">
        <v>164</v>
      </c>
      <c r="P234" s="4" t="s">
        <v>35</v>
      </c>
      <c r="Q234" s="152">
        <v>15028</v>
      </c>
      <c r="R234" s="152">
        <v>1</v>
      </c>
      <c r="S234" s="152">
        <v>3110</v>
      </c>
      <c r="U234" s="152">
        <v>467.37099999999998</v>
      </c>
      <c r="V234" s="152">
        <v>9.0000000000000002E-6</v>
      </c>
      <c r="W234" s="166">
        <v>7.8902190359355903E-2</v>
      </c>
      <c r="X234" s="166">
        <v>1.4555157714979399E-2</v>
      </c>
    </row>
    <row r="235" spans="1:24">
      <c r="A235" s="4" t="s">
        <v>112</v>
      </c>
      <c r="B235" s="4">
        <v>13680</v>
      </c>
      <c r="C235" s="4" t="s">
        <v>2140</v>
      </c>
      <c r="D235" s="4" t="s">
        <v>2141</v>
      </c>
      <c r="E235" s="4" t="s">
        <v>1376</v>
      </c>
      <c r="F235" s="4" t="s">
        <v>2142</v>
      </c>
      <c r="G235" s="4" t="s">
        <v>2143</v>
      </c>
      <c r="H235" s="4" t="s">
        <v>367</v>
      </c>
      <c r="I235" s="4" t="s">
        <v>975</v>
      </c>
      <c r="J235" s="4" t="s">
        <v>31</v>
      </c>
      <c r="K235" s="4" t="s">
        <v>31</v>
      </c>
      <c r="L235" s="2" t="s">
        <v>373</v>
      </c>
      <c r="M235" s="2" t="s">
        <v>32</v>
      </c>
      <c r="N235" s="4" t="s">
        <v>519</v>
      </c>
      <c r="O235" s="4" t="s">
        <v>164</v>
      </c>
      <c r="P235" s="4" t="s">
        <v>35</v>
      </c>
      <c r="Q235" s="152">
        <v>220</v>
      </c>
      <c r="R235" s="152">
        <v>1</v>
      </c>
      <c r="S235" s="152">
        <v>17990</v>
      </c>
      <c r="U235" s="152">
        <v>39.578000000000003</v>
      </c>
      <c r="V235" s="152">
        <v>1.5E-5</v>
      </c>
      <c r="W235" s="166">
        <v>6.6816131646277198E-3</v>
      </c>
      <c r="X235" s="166">
        <v>1.23256316407327E-3</v>
      </c>
    </row>
    <row r="236" spans="1:24">
      <c r="A236" s="4" t="s">
        <v>112</v>
      </c>
      <c r="B236" s="4">
        <v>13680</v>
      </c>
      <c r="C236" s="4" t="s">
        <v>2144</v>
      </c>
      <c r="D236" s="4" t="s">
        <v>2145</v>
      </c>
      <c r="E236" s="4" t="s">
        <v>1376</v>
      </c>
      <c r="F236" s="4" t="s">
        <v>2146</v>
      </c>
      <c r="G236" s="4" t="s">
        <v>2147</v>
      </c>
      <c r="H236" s="4" t="s">
        <v>367</v>
      </c>
      <c r="I236" s="4" t="s">
        <v>975</v>
      </c>
      <c r="J236" s="4" t="s">
        <v>31</v>
      </c>
      <c r="K236" s="4" t="s">
        <v>31</v>
      </c>
      <c r="L236" s="2" t="s">
        <v>373</v>
      </c>
      <c r="M236" s="2" t="s">
        <v>32</v>
      </c>
      <c r="N236" s="4" t="s">
        <v>507</v>
      </c>
      <c r="O236" s="4" t="s">
        <v>164</v>
      </c>
      <c r="P236" s="4" t="s">
        <v>35</v>
      </c>
      <c r="Q236" s="152">
        <v>8869</v>
      </c>
      <c r="R236" s="152">
        <v>1</v>
      </c>
      <c r="S236" s="152">
        <v>881</v>
      </c>
      <c r="U236" s="152">
        <v>78.135999999999996</v>
      </c>
      <c r="V236" s="152">
        <v>1.2E-5</v>
      </c>
      <c r="W236" s="166">
        <v>1.3191009936174201E-2</v>
      </c>
      <c r="X236" s="166">
        <v>2.4333574158896601E-3</v>
      </c>
    </row>
    <row r="237" spans="1:24">
      <c r="A237" s="4" t="s">
        <v>112</v>
      </c>
      <c r="B237" s="4">
        <v>13680</v>
      </c>
      <c r="C237" s="4" t="s">
        <v>1952</v>
      </c>
      <c r="D237" s="4" t="s">
        <v>1953</v>
      </c>
      <c r="E237" s="4" t="s">
        <v>1376</v>
      </c>
      <c r="F237" s="4" t="s">
        <v>1954</v>
      </c>
      <c r="G237" s="4" t="s">
        <v>1955</v>
      </c>
      <c r="H237" s="4" t="s">
        <v>367</v>
      </c>
      <c r="I237" s="4" t="s">
        <v>975</v>
      </c>
      <c r="J237" s="4" t="s">
        <v>31</v>
      </c>
      <c r="K237" s="4" t="s">
        <v>31</v>
      </c>
      <c r="L237" s="2" t="s">
        <v>373</v>
      </c>
      <c r="M237" s="2" t="s">
        <v>32</v>
      </c>
      <c r="N237" s="4" t="s">
        <v>502</v>
      </c>
      <c r="O237" s="4" t="s">
        <v>164</v>
      </c>
      <c r="P237" s="4" t="s">
        <v>35</v>
      </c>
      <c r="Q237" s="152">
        <v>83</v>
      </c>
      <c r="R237" s="152">
        <v>1</v>
      </c>
      <c r="S237" s="152">
        <v>14490</v>
      </c>
      <c r="U237" s="152">
        <v>12.026999999999999</v>
      </c>
      <c r="V237" s="152">
        <v>2.5000000000000001E-5</v>
      </c>
      <c r="W237" s="166">
        <v>2.0303642692159301E-3</v>
      </c>
      <c r="X237" s="166">
        <v>3.7454311499721999E-4</v>
      </c>
    </row>
    <row r="238" spans="1:24">
      <c r="A238" s="4" t="s">
        <v>112</v>
      </c>
      <c r="B238" s="4">
        <v>13680</v>
      </c>
      <c r="C238" s="4" t="s">
        <v>1956</v>
      </c>
      <c r="D238" s="4" t="s">
        <v>1957</v>
      </c>
      <c r="E238" s="4" t="s">
        <v>1376</v>
      </c>
      <c r="F238" s="4" t="s">
        <v>1958</v>
      </c>
      <c r="G238" s="4" t="s">
        <v>1959</v>
      </c>
      <c r="H238" s="4" t="s">
        <v>367</v>
      </c>
      <c r="I238" s="4" t="s">
        <v>975</v>
      </c>
      <c r="J238" s="4" t="s">
        <v>31</v>
      </c>
      <c r="K238" s="4" t="s">
        <v>31</v>
      </c>
      <c r="L238" s="2" t="s">
        <v>373</v>
      </c>
      <c r="M238" s="2" t="s">
        <v>32</v>
      </c>
      <c r="N238" s="4" t="s">
        <v>520</v>
      </c>
      <c r="O238" s="4" t="s">
        <v>164</v>
      </c>
      <c r="P238" s="4" t="s">
        <v>35</v>
      </c>
      <c r="Q238" s="152">
        <v>153</v>
      </c>
      <c r="R238" s="152">
        <v>1</v>
      </c>
      <c r="S238" s="152">
        <v>6901</v>
      </c>
      <c r="T238" s="150">
        <v>0.124</v>
      </c>
      <c r="U238" s="152">
        <v>10.682</v>
      </c>
      <c r="V238" s="152">
        <v>1.9999999999999999E-6</v>
      </c>
      <c r="W238" s="166">
        <v>1.8034277974280899E-3</v>
      </c>
      <c r="X238" s="166">
        <v>3.32679940817781E-4</v>
      </c>
    </row>
    <row r="239" spans="1:24">
      <c r="A239" s="4" t="s">
        <v>112</v>
      </c>
      <c r="B239" s="4">
        <v>13680</v>
      </c>
      <c r="C239" s="4" t="s">
        <v>1960</v>
      </c>
      <c r="D239" s="4" t="s">
        <v>1961</v>
      </c>
      <c r="E239" s="4" t="s">
        <v>1376</v>
      </c>
      <c r="F239" s="4" t="s">
        <v>1962</v>
      </c>
      <c r="G239" s="4" t="s">
        <v>1963</v>
      </c>
      <c r="H239" s="4" t="s">
        <v>367</v>
      </c>
      <c r="I239" s="4" t="s">
        <v>975</v>
      </c>
      <c r="J239" s="4" t="s">
        <v>31</v>
      </c>
      <c r="K239" s="4" t="s">
        <v>31</v>
      </c>
      <c r="L239" s="2" t="s">
        <v>373</v>
      </c>
      <c r="M239" s="2" t="s">
        <v>32</v>
      </c>
      <c r="N239" s="4" t="s">
        <v>507</v>
      </c>
      <c r="O239" s="4" t="s">
        <v>164</v>
      </c>
      <c r="P239" s="4" t="s">
        <v>35</v>
      </c>
      <c r="Q239" s="152">
        <v>140</v>
      </c>
      <c r="R239" s="152">
        <v>1</v>
      </c>
      <c r="S239" s="152">
        <v>24710</v>
      </c>
      <c r="U239" s="152">
        <v>34.594000000000001</v>
      </c>
      <c r="V239" s="152">
        <v>3.0000000000000001E-6</v>
      </c>
      <c r="W239" s="166">
        <v>5.8402073327892103E-3</v>
      </c>
      <c r="X239" s="166">
        <v>1.0773482767686799E-3</v>
      </c>
    </row>
    <row r="240" spans="1:24">
      <c r="A240" s="4" t="s">
        <v>112</v>
      </c>
      <c r="B240" s="4">
        <v>13680</v>
      </c>
      <c r="C240" s="4" t="s">
        <v>1964</v>
      </c>
      <c r="D240" s="4" t="s">
        <v>1965</v>
      </c>
      <c r="E240" s="4" t="s">
        <v>1376</v>
      </c>
      <c r="F240" s="4" t="s">
        <v>1966</v>
      </c>
      <c r="G240" s="4" t="s">
        <v>1967</v>
      </c>
      <c r="H240" s="4" t="s">
        <v>367</v>
      </c>
      <c r="I240" s="4" t="s">
        <v>975</v>
      </c>
      <c r="J240" s="4" t="s">
        <v>31</v>
      </c>
      <c r="K240" s="4" t="s">
        <v>31</v>
      </c>
      <c r="L240" s="2" t="s">
        <v>373</v>
      </c>
      <c r="M240" s="2" t="s">
        <v>32</v>
      </c>
      <c r="N240" s="4" t="s">
        <v>488</v>
      </c>
      <c r="O240" s="4" t="s">
        <v>164</v>
      </c>
      <c r="P240" s="4" t="s">
        <v>35</v>
      </c>
      <c r="Q240" s="152">
        <v>394</v>
      </c>
      <c r="R240" s="152">
        <v>1</v>
      </c>
      <c r="S240" s="152">
        <v>8960</v>
      </c>
      <c r="U240" s="152">
        <v>35.302</v>
      </c>
      <c r="V240" s="152">
        <v>6.0000000000000002E-6</v>
      </c>
      <c r="W240" s="166">
        <v>5.9598004088876003E-3</v>
      </c>
      <c r="X240" s="166">
        <v>1.0994097186159001E-3</v>
      </c>
    </row>
    <row r="241" spans="1:24">
      <c r="A241" s="4" t="s">
        <v>112</v>
      </c>
      <c r="B241" s="4">
        <v>13680</v>
      </c>
      <c r="C241" s="4" t="s">
        <v>2163</v>
      </c>
      <c r="D241" s="4" t="s">
        <v>2164</v>
      </c>
      <c r="E241" s="4" t="s">
        <v>1376</v>
      </c>
      <c r="F241" s="4" t="s">
        <v>2165</v>
      </c>
      <c r="G241" s="4" t="s">
        <v>2166</v>
      </c>
      <c r="H241" s="4" t="s">
        <v>367</v>
      </c>
      <c r="I241" s="4" t="s">
        <v>975</v>
      </c>
      <c r="J241" s="4" t="s">
        <v>31</v>
      </c>
      <c r="K241" s="4" t="s">
        <v>31</v>
      </c>
      <c r="L241" s="2" t="s">
        <v>373</v>
      </c>
      <c r="M241" s="2" t="s">
        <v>32</v>
      </c>
      <c r="N241" s="4" t="s">
        <v>507</v>
      </c>
      <c r="O241" s="4" t="s">
        <v>164</v>
      </c>
      <c r="P241" s="4" t="s">
        <v>35</v>
      </c>
      <c r="Q241" s="152">
        <v>1981</v>
      </c>
      <c r="R241" s="152">
        <v>1</v>
      </c>
      <c r="S241" s="152">
        <v>159.4</v>
      </c>
      <c r="U241" s="152">
        <v>3.1579999999999999</v>
      </c>
      <c r="V241" s="152">
        <v>3.0000000000000001E-6</v>
      </c>
      <c r="W241" s="166">
        <v>5.3308968195788702E-4</v>
      </c>
      <c r="X241" s="166">
        <v>9.8339531029320798E-5</v>
      </c>
    </row>
    <row r="242" spans="1:24">
      <c r="A242" s="4" t="s">
        <v>112</v>
      </c>
      <c r="B242" s="4">
        <v>13680</v>
      </c>
      <c r="C242" s="4" t="s">
        <v>1968</v>
      </c>
      <c r="D242" s="4" t="s">
        <v>1518</v>
      </c>
      <c r="E242" s="4" t="s">
        <v>1376</v>
      </c>
      <c r="F242" s="4" t="s">
        <v>1969</v>
      </c>
      <c r="G242" s="4" t="s">
        <v>1970</v>
      </c>
      <c r="H242" s="4" t="s">
        <v>367</v>
      </c>
      <c r="I242" s="4" t="s">
        <v>975</v>
      </c>
      <c r="J242" s="4" t="s">
        <v>31</v>
      </c>
      <c r="K242" s="4" t="s">
        <v>31</v>
      </c>
      <c r="L242" s="2" t="s">
        <v>373</v>
      </c>
      <c r="M242" s="2" t="s">
        <v>32</v>
      </c>
      <c r="N242" s="4" t="s">
        <v>486</v>
      </c>
      <c r="O242" s="4" t="s">
        <v>164</v>
      </c>
      <c r="P242" s="4" t="s">
        <v>35</v>
      </c>
      <c r="Q242" s="152">
        <v>3253</v>
      </c>
      <c r="R242" s="152">
        <v>1</v>
      </c>
      <c r="S242" s="152">
        <v>1058</v>
      </c>
      <c r="U242" s="152">
        <v>34.417000000000002</v>
      </c>
      <c r="V242" s="152">
        <v>5.3999999999999998E-5</v>
      </c>
      <c r="W242" s="166">
        <v>5.8102820523414402E-3</v>
      </c>
      <c r="X242" s="166">
        <v>1.07182793348545E-3</v>
      </c>
    </row>
    <row r="243" spans="1:24">
      <c r="A243" s="4" t="s">
        <v>112</v>
      </c>
      <c r="B243" s="4">
        <v>13680</v>
      </c>
      <c r="C243" s="4" t="s">
        <v>1971</v>
      </c>
      <c r="D243" s="4" t="s">
        <v>1972</v>
      </c>
      <c r="E243" s="4" t="s">
        <v>1376</v>
      </c>
      <c r="F243" s="4" t="s">
        <v>1973</v>
      </c>
      <c r="G243" s="4" t="s">
        <v>1974</v>
      </c>
      <c r="H243" s="4" t="s">
        <v>367</v>
      </c>
      <c r="I243" s="4" t="s">
        <v>975</v>
      </c>
      <c r="J243" s="4" t="s">
        <v>31</v>
      </c>
      <c r="K243" s="4" t="s">
        <v>31</v>
      </c>
      <c r="L243" s="2" t="s">
        <v>373</v>
      </c>
      <c r="M243" s="2" t="s">
        <v>32</v>
      </c>
      <c r="N243" s="4" t="s">
        <v>519</v>
      </c>
      <c r="O243" s="4" t="s">
        <v>164</v>
      </c>
      <c r="P243" s="4" t="s">
        <v>35</v>
      </c>
      <c r="Q243" s="152">
        <v>2571</v>
      </c>
      <c r="R243" s="152">
        <v>1</v>
      </c>
      <c r="S243" s="152">
        <v>871.5</v>
      </c>
      <c r="U243" s="152">
        <v>22.405999999999999</v>
      </c>
      <c r="V243" s="152">
        <v>1.8E-5</v>
      </c>
      <c r="W243" s="166">
        <v>3.7826569102566402E-3</v>
      </c>
      <c r="X243" s="166">
        <v>6.9779010772308197E-4</v>
      </c>
    </row>
    <row r="244" spans="1:24">
      <c r="A244" s="4" t="s">
        <v>112</v>
      </c>
      <c r="B244" s="4">
        <v>13680</v>
      </c>
      <c r="C244" s="4" t="s">
        <v>1975</v>
      </c>
      <c r="D244" s="4" t="s">
        <v>1976</v>
      </c>
      <c r="E244" s="4" t="s">
        <v>1376</v>
      </c>
      <c r="F244" s="4" t="s">
        <v>1977</v>
      </c>
      <c r="G244" s="4" t="s">
        <v>1978</v>
      </c>
      <c r="H244" s="4" t="s">
        <v>367</v>
      </c>
      <c r="I244" s="4" t="s">
        <v>975</v>
      </c>
      <c r="J244" s="4" t="s">
        <v>31</v>
      </c>
      <c r="K244" s="4" t="s">
        <v>31</v>
      </c>
      <c r="L244" s="2" t="s">
        <v>373</v>
      </c>
      <c r="M244" s="2" t="s">
        <v>32</v>
      </c>
      <c r="N244" s="4" t="s">
        <v>497</v>
      </c>
      <c r="O244" s="4" t="s">
        <v>164</v>
      </c>
      <c r="P244" s="4" t="s">
        <v>35</v>
      </c>
      <c r="Q244" s="152">
        <v>6054</v>
      </c>
      <c r="R244" s="152">
        <v>1</v>
      </c>
      <c r="S244" s="152">
        <v>895.6</v>
      </c>
      <c r="U244" s="152">
        <v>54.22</v>
      </c>
      <c r="V244" s="152">
        <v>5.0000000000000004E-6</v>
      </c>
      <c r="W244" s="166">
        <v>9.1534325509011298E-3</v>
      </c>
      <c r="X244" s="166">
        <v>1.6885418998509999E-3</v>
      </c>
    </row>
    <row r="245" spans="1:24">
      <c r="A245" s="4" t="s">
        <v>112</v>
      </c>
      <c r="B245" s="4">
        <v>13680</v>
      </c>
      <c r="C245" s="4" t="s">
        <v>1979</v>
      </c>
      <c r="D245" s="4" t="s">
        <v>1980</v>
      </c>
      <c r="E245" s="4" t="s">
        <v>1376</v>
      </c>
      <c r="F245" s="4" t="s">
        <v>1981</v>
      </c>
      <c r="G245" s="4" t="s">
        <v>1982</v>
      </c>
      <c r="H245" s="4" t="s">
        <v>367</v>
      </c>
      <c r="I245" s="4" t="s">
        <v>975</v>
      </c>
      <c r="J245" s="4" t="s">
        <v>31</v>
      </c>
      <c r="K245" s="4" t="s">
        <v>95</v>
      </c>
      <c r="L245" s="2" t="s">
        <v>373</v>
      </c>
      <c r="M245" s="2" t="s">
        <v>32</v>
      </c>
      <c r="N245" s="4" t="s">
        <v>524</v>
      </c>
      <c r="O245" s="4" t="s">
        <v>164</v>
      </c>
      <c r="P245" s="4" t="s">
        <v>35</v>
      </c>
      <c r="Q245" s="152">
        <v>187</v>
      </c>
      <c r="R245" s="152">
        <v>1</v>
      </c>
      <c r="S245" s="152">
        <v>64400</v>
      </c>
      <c r="U245" s="152">
        <v>120.428</v>
      </c>
      <c r="V245" s="152">
        <v>3.0000000000000001E-6</v>
      </c>
      <c r="W245" s="166">
        <v>2.0330822936727101E-2</v>
      </c>
      <c r="X245" s="166">
        <v>3.7504451140283898E-3</v>
      </c>
    </row>
    <row r="246" spans="1:24">
      <c r="A246" s="4" t="s">
        <v>112</v>
      </c>
      <c r="B246" s="4">
        <v>13680</v>
      </c>
      <c r="C246" s="4" t="s">
        <v>1987</v>
      </c>
      <c r="D246" s="4" t="s">
        <v>1988</v>
      </c>
      <c r="E246" s="4" t="s">
        <v>1376</v>
      </c>
      <c r="F246" s="4" t="s">
        <v>1989</v>
      </c>
      <c r="G246" s="4" t="s">
        <v>1990</v>
      </c>
      <c r="H246" s="4" t="s">
        <v>367</v>
      </c>
      <c r="I246" s="4" t="s">
        <v>975</v>
      </c>
      <c r="J246" s="4" t="s">
        <v>31</v>
      </c>
      <c r="K246" s="4" t="s">
        <v>31</v>
      </c>
      <c r="L246" s="2" t="s">
        <v>373</v>
      </c>
      <c r="M246" s="2" t="s">
        <v>32</v>
      </c>
      <c r="N246" s="4" t="s">
        <v>528</v>
      </c>
      <c r="O246" s="4" t="s">
        <v>164</v>
      </c>
      <c r="P246" s="4" t="s">
        <v>35</v>
      </c>
      <c r="Q246" s="152">
        <v>2777</v>
      </c>
      <c r="R246" s="152">
        <v>1</v>
      </c>
      <c r="S246" s="152">
        <v>1320</v>
      </c>
      <c r="U246" s="152">
        <v>36.655999999999999</v>
      </c>
      <c r="V246" s="152">
        <v>1.7E-5</v>
      </c>
      <c r="W246" s="166">
        <v>6.1883845774890001E-3</v>
      </c>
      <c r="X246" s="166">
        <v>1.1415768449020999E-3</v>
      </c>
    </row>
    <row r="247" spans="1:24">
      <c r="A247" s="4" t="s">
        <v>112</v>
      </c>
      <c r="B247" s="4">
        <v>13680</v>
      </c>
      <c r="C247" s="4" t="s">
        <v>1991</v>
      </c>
      <c r="D247" s="4" t="s">
        <v>1992</v>
      </c>
      <c r="E247" s="4" t="s">
        <v>1376</v>
      </c>
      <c r="F247" s="4" t="s">
        <v>1993</v>
      </c>
      <c r="G247" s="4" t="s">
        <v>1994</v>
      </c>
      <c r="H247" s="4" t="s">
        <v>367</v>
      </c>
      <c r="I247" s="4" t="s">
        <v>975</v>
      </c>
      <c r="J247" s="4" t="s">
        <v>31</v>
      </c>
      <c r="K247" s="4" t="s">
        <v>31</v>
      </c>
      <c r="L247" s="2" t="s">
        <v>373</v>
      </c>
      <c r="M247" s="2" t="s">
        <v>32</v>
      </c>
      <c r="N247" s="4" t="s">
        <v>507</v>
      </c>
      <c r="O247" s="4" t="s">
        <v>164</v>
      </c>
      <c r="P247" s="4" t="s">
        <v>35</v>
      </c>
      <c r="Q247" s="152">
        <v>435</v>
      </c>
      <c r="R247" s="152">
        <v>1</v>
      </c>
      <c r="S247" s="152">
        <v>22000</v>
      </c>
      <c r="U247" s="152">
        <v>95.7</v>
      </c>
      <c r="V247" s="152">
        <v>3.9999999999999998E-6</v>
      </c>
      <c r="W247" s="166">
        <v>1.6156207485342199E-2</v>
      </c>
      <c r="X247" s="166">
        <v>2.9803500632121799E-3</v>
      </c>
    </row>
    <row r="248" spans="1:24">
      <c r="A248" s="4" t="s">
        <v>112</v>
      </c>
      <c r="B248" s="4">
        <v>13680</v>
      </c>
      <c r="C248" s="4" t="s">
        <v>1995</v>
      </c>
      <c r="D248" s="4" t="s">
        <v>1996</v>
      </c>
      <c r="E248" s="4" t="s">
        <v>1376</v>
      </c>
      <c r="F248" s="4" t="s">
        <v>1997</v>
      </c>
      <c r="G248" s="4" t="s">
        <v>1998</v>
      </c>
      <c r="H248" s="4" t="s">
        <v>367</v>
      </c>
      <c r="I248" s="4" t="s">
        <v>975</v>
      </c>
      <c r="J248" s="4" t="s">
        <v>31</v>
      </c>
      <c r="K248" s="4" t="s">
        <v>31</v>
      </c>
      <c r="L248" s="2" t="s">
        <v>373</v>
      </c>
      <c r="M248" s="2" t="s">
        <v>32</v>
      </c>
      <c r="N248" s="4" t="s">
        <v>491</v>
      </c>
      <c r="O248" s="4" t="s">
        <v>164</v>
      </c>
      <c r="P248" s="4" t="s">
        <v>35</v>
      </c>
      <c r="Q248" s="152">
        <v>11744</v>
      </c>
      <c r="R248" s="152">
        <v>1</v>
      </c>
      <c r="S248" s="152">
        <v>3365</v>
      </c>
      <c r="U248" s="152">
        <v>395.18599999999998</v>
      </c>
      <c r="V248" s="152">
        <v>9.0000000000000002E-6</v>
      </c>
      <c r="W248" s="166">
        <v>6.6715784209189499E-2</v>
      </c>
      <c r="X248" s="166">
        <v>1.23071204591488E-2</v>
      </c>
    </row>
    <row r="249" spans="1:24">
      <c r="A249" s="4" t="s">
        <v>112</v>
      </c>
      <c r="B249" s="4">
        <v>13680</v>
      </c>
      <c r="C249" s="4" t="s">
        <v>2003</v>
      </c>
      <c r="D249" s="4" t="s">
        <v>2004</v>
      </c>
      <c r="E249" s="4" t="s">
        <v>1376</v>
      </c>
      <c r="F249" s="4" t="s">
        <v>2005</v>
      </c>
      <c r="G249" s="4" t="s">
        <v>2006</v>
      </c>
      <c r="H249" s="4" t="s">
        <v>367</v>
      </c>
      <c r="I249" s="4" t="s">
        <v>975</v>
      </c>
      <c r="J249" s="4" t="s">
        <v>31</v>
      </c>
      <c r="K249" s="4" t="s">
        <v>31</v>
      </c>
      <c r="L249" s="2" t="s">
        <v>373</v>
      </c>
      <c r="M249" s="2" t="s">
        <v>32</v>
      </c>
      <c r="N249" s="4" t="s">
        <v>528</v>
      </c>
      <c r="O249" s="4" t="s">
        <v>164</v>
      </c>
      <c r="P249" s="4" t="s">
        <v>35</v>
      </c>
      <c r="Q249" s="152">
        <v>2557</v>
      </c>
      <c r="R249" s="152">
        <v>1</v>
      </c>
      <c r="S249" s="152">
        <v>1535</v>
      </c>
      <c r="U249" s="152">
        <v>39.25</v>
      </c>
      <c r="V249" s="152">
        <v>1.4E-5</v>
      </c>
      <c r="W249" s="166">
        <v>6.62623130605335E-3</v>
      </c>
      <c r="X249" s="166">
        <v>1.2223468230258599E-3</v>
      </c>
    </row>
    <row r="250" spans="1:24">
      <c r="A250" s="4" t="s">
        <v>112</v>
      </c>
      <c r="B250" s="4">
        <v>13680</v>
      </c>
      <c r="C250" s="4" t="s">
        <v>2011</v>
      </c>
      <c r="D250" s="4" t="s">
        <v>2012</v>
      </c>
      <c r="E250" s="4" t="s">
        <v>1376</v>
      </c>
      <c r="F250" s="4" t="s">
        <v>2013</v>
      </c>
      <c r="G250" s="4" t="s">
        <v>2014</v>
      </c>
      <c r="H250" s="4" t="s">
        <v>367</v>
      </c>
      <c r="I250" s="4" t="s">
        <v>975</v>
      </c>
      <c r="J250" s="4" t="s">
        <v>31</v>
      </c>
      <c r="K250" s="4" t="s">
        <v>31</v>
      </c>
      <c r="L250" s="2" t="s">
        <v>373</v>
      </c>
      <c r="M250" s="2" t="s">
        <v>32</v>
      </c>
      <c r="N250" s="4" t="s">
        <v>506</v>
      </c>
      <c r="O250" s="4" t="s">
        <v>164</v>
      </c>
      <c r="P250" s="4" t="s">
        <v>35</v>
      </c>
      <c r="Q250" s="152">
        <v>9299</v>
      </c>
      <c r="R250" s="152">
        <v>1</v>
      </c>
      <c r="S250" s="152">
        <v>488.3</v>
      </c>
      <c r="U250" s="152">
        <v>45.406999999999996</v>
      </c>
      <c r="V250" s="152">
        <v>3.1999999999999999E-5</v>
      </c>
      <c r="W250" s="166">
        <v>7.66567594506227E-3</v>
      </c>
      <c r="X250" s="166">
        <v>1.4140941064391501E-3</v>
      </c>
    </row>
    <row r="251" spans="1:24">
      <c r="A251" s="4" t="s">
        <v>112</v>
      </c>
      <c r="B251" s="4">
        <v>13680</v>
      </c>
      <c r="C251" s="4" t="s">
        <v>2019</v>
      </c>
      <c r="D251" s="4" t="s">
        <v>2020</v>
      </c>
      <c r="E251" s="4" t="s">
        <v>1376</v>
      </c>
      <c r="F251" s="4" t="s">
        <v>2021</v>
      </c>
      <c r="G251" s="4" t="s">
        <v>2022</v>
      </c>
      <c r="H251" s="4" t="s">
        <v>367</v>
      </c>
      <c r="I251" s="4" t="s">
        <v>975</v>
      </c>
      <c r="J251" s="4" t="s">
        <v>31</v>
      </c>
      <c r="K251" s="4" t="s">
        <v>31</v>
      </c>
      <c r="L251" s="2" t="s">
        <v>373</v>
      </c>
      <c r="M251" s="2" t="s">
        <v>32</v>
      </c>
      <c r="N251" s="4" t="s">
        <v>502</v>
      </c>
      <c r="O251" s="4" t="s">
        <v>164</v>
      </c>
      <c r="P251" s="4" t="s">
        <v>35</v>
      </c>
      <c r="Q251" s="152">
        <v>1934</v>
      </c>
      <c r="R251" s="152">
        <v>1</v>
      </c>
      <c r="S251" s="152">
        <v>5599</v>
      </c>
      <c r="U251" s="152">
        <v>108.285</v>
      </c>
      <c r="V251" s="152">
        <v>1.7E-5</v>
      </c>
      <c r="W251" s="166">
        <v>1.82807673400181E-2</v>
      </c>
      <c r="X251" s="166">
        <v>3.3722695222143102E-3</v>
      </c>
    </row>
    <row r="252" spans="1:24">
      <c r="A252" s="4" t="s">
        <v>112</v>
      </c>
      <c r="B252" s="4">
        <v>13680</v>
      </c>
      <c r="C252" s="4" t="s">
        <v>2023</v>
      </c>
      <c r="D252" s="4" t="s">
        <v>2024</v>
      </c>
      <c r="E252" s="4" t="s">
        <v>1376</v>
      </c>
      <c r="F252" s="4" t="s">
        <v>2025</v>
      </c>
      <c r="G252" s="4" t="s">
        <v>2026</v>
      </c>
      <c r="H252" s="4" t="s">
        <v>367</v>
      </c>
      <c r="I252" s="4" t="s">
        <v>975</v>
      </c>
      <c r="J252" s="4" t="s">
        <v>31</v>
      </c>
      <c r="K252" s="4" t="s">
        <v>31</v>
      </c>
      <c r="L252" s="2" t="s">
        <v>373</v>
      </c>
      <c r="M252" s="2" t="s">
        <v>32</v>
      </c>
      <c r="N252" s="4" t="s">
        <v>506</v>
      </c>
      <c r="O252" s="4" t="s">
        <v>164</v>
      </c>
      <c r="P252" s="4" t="s">
        <v>35</v>
      </c>
      <c r="Q252" s="152">
        <v>4848</v>
      </c>
      <c r="R252" s="152">
        <v>1</v>
      </c>
      <c r="S252" s="152">
        <v>1920</v>
      </c>
      <c r="U252" s="152">
        <v>93.081999999999994</v>
      </c>
      <c r="V252" s="152">
        <v>1.4E-5</v>
      </c>
      <c r="W252" s="166">
        <v>1.5714165545116301E-2</v>
      </c>
      <c r="X252" s="166">
        <v>2.8988061906362701E-3</v>
      </c>
    </row>
    <row r="253" spans="1:24">
      <c r="A253" s="4" t="s">
        <v>112</v>
      </c>
      <c r="B253" s="4">
        <v>13680</v>
      </c>
      <c r="C253" s="4" t="s">
        <v>2027</v>
      </c>
      <c r="D253" s="4" t="s">
        <v>2028</v>
      </c>
      <c r="E253" s="4" t="s">
        <v>361</v>
      </c>
      <c r="F253" s="4" t="s">
        <v>2029</v>
      </c>
      <c r="G253" s="4" t="s">
        <v>2030</v>
      </c>
      <c r="H253" s="4" t="s">
        <v>367</v>
      </c>
      <c r="I253" s="4" t="s">
        <v>975</v>
      </c>
      <c r="J253" s="4" t="s">
        <v>94</v>
      </c>
      <c r="K253" s="4" t="s">
        <v>95</v>
      </c>
      <c r="L253" s="2" t="s">
        <v>373</v>
      </c>
      <c r="M253" s="2" t="s">
        <v>392</v>
      </c>
      <c r="N253" s="4" t="s">
        <v>559</v>
      </c>
      <c r="O253" s="4" t="s">
        <v>164</v>
      </c>
      <c r="P253" s="4" t="s">
        <v>99</v>
      </c>
      <c r="Q253" s="152">
        <v>94</v>
      </c>
      <c r="R253" s="152">
        <v>3.7589999999999999</v>
      </c>
      <c r="S253" s="152">
        <v>19325</v>
      </c>
      <c r="U253" s="152">
        <v>68.284000000000006</v>
      </c>
      <c r="V253" s="152">
        <v>0</v>
      </c>
      <c r="W253" s="166">
        <v>1.1527819454700799E-2</v>
      </c>
      <c r="X253" s="166">
        <v>2.1265471783329499E-3</v>
      </c>
    </row>
    <row r="254" spans="1:24">
      <c r="A254" s="4" t="s">
        <v>112</v>
      </c>
      <c r="B254" s="4">
        <v>13680</v>
      </c>
      <c r="C254" s="4" t="s">
        <v>2031</v>
      </c>
      <c r="D254" s="4" t="s">
        <v>2032</v>
      </c>
      <c r="E254" s="4" t="s">
        <v>361</v>
      </c>
      <c r="F254" s="4" t="s">
        <v>2033</v>
      </c>
      <c r="G254" s="4" t="s">
        <v>2034</v>
      </c>
      <c r="H254" s="4" t="s">
        <v>367</v>
      </c>
      <c r="I254" s="4" t="s">
        <v>975</v>
      </c>
      <c r="J254" s="4" t="s">
        <v>94</v>
      </c>
      <c r="K254" s="4" t="s">
        <v>95</v>
      </c>
      <c r="L254" s="2" t="s">
        <v>373</v>
      </c>
      <c r="M254" s="2" t="s">
        <v>392</v>
      </c>
      <c r="N254" s="4" t="s">
        <v>590</v>
      </c>
      <c r="O254" s="4" t="s">
        <v>164</v>
      </c>
      <c r="P254" s="4" t="s">
        <v>99</v>
      </c>
      <c r="Q254" s="152">
        <v>174</v>
      </c>
      <c r="R254" s="152">
        <v>3.7589999999999999</v>
      </c>
      <c r="S254" s="152">
        <v>21062</v>
      </c>
      <c r="U254" s="152">
        <v>137.75899999999999</v>
      </c>
      <c r="V254" s="152">
        <v>0</v>
      </c>
      <c r="W254" s="166">
        <v>2.32567308379917E-2</v>
      </c>
      <c r="X254" s="166">
        <v>4.2901899648170698E-3</v>
      </c>
    </row>
    <row r="255" spans="1:24">
      <c r="A255" s="4" t="s">
        <v>112</v>
      </c>
      <c r="B255" s="4">
        <v>13680</v>
      </c>
      <c r="C255" s="4" t="s">
        <v>2035</v>
      </c>
      <c r="D255" s="4" t="s">
        <v>2036</v>
      </c>
      <c r="E255" s="4" t="s">
        <v>361</v>
      </c>
      <c r="F255" s="4" t="s">
        <v>2037</v>
      </c>
      <c r="G255" s="4" t="s">
        <v>2038</v>
      </c>
      <c r="H255" s="4" t="s">
        <v>367</v>
      </c>
      <c r="I255" s="4" t="s">
        <v>975</v>
      </c>
      <c r="J255" s="4" t="s">
        <v>94</v>
      </c>
      <c r="K255" s="4" t="s">
        <v>95</v>
      </c>
      <c r="L255" s="2" t="s">
        <v>373</v>
      </c>
      <c r="M255" s="2" t="s">
        <v>392</v>
      </c>
      <c r="N255" s="4" t="s">
        <v>578</v>
      </c>
      <c r="O255" s="4" t="s">
        <v>164</v>
      </c>
      <c r="P255" s="4" t="s">
        <v>99</v>
      </c>
      <c r="Q255" s="152">
        <v>100</v>
      </c>
      <c r="R255" s="152">
        <v>3.7589999999999999</v>
      </c>
      <c r="S255" s="152">
        <v>23182</v>
      </c>
      <c r="U255" s="152">
        <v>87.141000000000005</v>
      </c>
      <c r="V255" s="152">
        <v>9.9999999999999995E-7</v>
      </c>
      <c r="W255" s="166">
        <v>1.47112884643347E-2</v>
      </c>
      <c r="X255" s="166">
        <v>2.7138045574365902E-3</v>
      </c>
    </row>
    <row r="256" spans="1:24">
      <c r="A256" s="4" t="s">
        <v>112</v>
      </c>
      <c r="B256" s="4">
        <v>13680</v>
      </c>
      <c r="C256" s="4" t="s">
        <v>2039</v>
      </c>
      <c r="D256" s="4" t="s">
        <v>2040</v>
      </c>
      <c r="E256" s="4" t="s">
        <v>361</v>
      </c>
      <c r="F256" s="4" t="s">
        <v>2041</v>
      </c>
      <c r="G256" s="4" t="s">
        <v>2042</v>
      </c>
      <c r="H256" s="4" t="s">
        <v>367</v>
      </c>
      <c r="I256" s="4" t="s">
        <v>975</v>
      </c>
      <c r="J256" s="4" t="s">
        <v>94</v>
      </c>
      <c r="K256" s="4" t="s">
        <v>95</v>
      </c>
      <c r="L256" s="2" t="s">
        <v>373</v>
      </c>
      <c r="M256" s="2" t="s">
        <v>390</v>
      </c>
      <c r="N256" s="4" t="s">
        <v>2043</v>
      </c>
      <c r="O256" s="4" t="s">
        <v>164</v>
      </c>
      <c r="P256" s="4" t="s">
        <v>99</v>
      </c>
      <c r="Q256" s="152">
        <v>84</v>
      </c>
      <c r="R256" s="152">
        <v>3.7589999999999999</v>
      </c>
      <c r="S256" s="152">
        <v>18201</v>
      </c>
      <c r="U256" s="152">
        <v>57.470999999999997</v>
      </c>
      <c r="V256" s="152">
        <v>0</v>
      </c>
      <c r="W256" s="166">
        <v>9.7022921027115697E-3</v>
      </c>
      <c r="X256" s="166">
        <v>1.7897905128944399E-3</v>
      </c>
    </row>
    <row r="257" spans="1:24">
      <c r="A257" s="4" t="s">
        <v>112</v>
      </c>
      <c r="B257" s="4">
        <v>13680</v>
      </c>
      <c r="C257" s="4" t="s">
        <v>2048</v>
      </c>
      <c r="D257" s="4" t="s">
        <v>2049</v>
      </c>
      <c r="E257" s="4" t="s">
        <v>361</v>
      </c>
      <c r="F257" s="4" t="s">
        <v>2048</v>
      </c>
      <c r="G257" s="4" t="s">
        <v>2050</v>
      </c>
      <c r="H257" s="4" t="s">
        <v>367</v>
      </c>
      <c r="I257" s="4" t="s">
        <v>975</v>
      </c>
      <c r="J257" s="4" t="s">
        <v>94</v>
      </c>
      <c r="K257" s="4" t="s">
        <v>95</v>
      </c>
      <c r="L257" s="2" t="s">
        <v>373</v>
      </c>
      <c r="M257" s="2" t="s">
        <v>32</v>
      </c>
      <c r="N257" s="4" t="s">
        <v>574</v>
      </c>
      <c r="O257" s="4" t="s">
        <v>164</v>
      </c>
      <c r="P257" s="4" t="s">
        <v>99</v>
      </c>
      <c r="Q257" s="152">
        <v>83</v>
      </c>
      <c r="R257" s="152">
        <v>3.7589999999999999</v>
      </c>
      <c r="S257" s="152">
        <v>24985</v>
      </c>
      <c r="T257" s="150">
        <v>1.7000000000000001E-2</v>
      </c>
      <c r="U257" s="152">
        <v>78.016000000000005</v>
      </c>
      <c r="V257" s="152">
        <v>0</v>
      </c>
      <c r="W257" s="166">
        <v>1.3170692357275899E-2</v>
      </c>
      <c r="X257" s="166">
        <v>2.4296094139152598E-3</v>
      </c>
    </row>
    <row r="258" spans="1:24">
      <c r="A258" s="4" t="s">
        <v>112</v>
      </c>
      <c r="B258" s="4">
        <v>13680</v>
      </c>
      <c r="C258" s="4" t="s">
        <v>2051</v>
      </c>
      <c r="D258" s="4" t="s">
        <v>2052</v>
      </c>
      <c r="E258" s="4" t="s">
        <v>361</v>
      </c>
      <c r="F258" s="4" t="s">
        <v>2053</v>
      </c>
      <c r="G258" s="4" t="s">
        <v>2054</v>
      </c>
      <c r="H258" s="4" t="s">
        <v>367</v>
      </c>
      <c r="I258" s="4" t="s">
        <v>975</v>
      </c>
      <c r="J258" s="4" t="s">
        <v>94</v>
      </c>
      <c r="K258" s="4" t="s">
        <v>95</v>
      </c>
      <c r="L258" s="2" t="s">
        <v>373</v>
      </c>
      <c r="M258" s="2" t="s">
        <v>390</v>
      </c>
      <c r="N258" s="4" t="s">
        <v>2043</v>
      </c>
      <c r="O258" s="4" t="s">
        <v>164</v>
      </c>
      <c r="P258" s="4" t="s">
        <v>99</v>
      </c>
      <c r="Q258" s="152">
        <v>42</v>
      </c>
      <c r="R258" s="152">
        <v>3.7589999999999999</v>
      </c>
      <c r="S258" s="152">
        <v>37363</v>
      </c>
      <c r="U258" s="152">
        <v>58.988</v>
      </c>
      <c r="V258" s="152">
        <v>0</v>
      </c>
      <c r="W258" s="166">
        <v>9.9584292026155801E-3</v>
      </c>
      <c r="X258" s="166">
        <v>1.8370403530925501E-3</v>
      </c>
    </row>
    <row r="259" spans="1:24">
      <c r="A259" s="4" t="s">
        <v>112</v>
      </c>
      <c r="B259" s="4">
        <v>13680</v>
      </c>
      <c r="C259" s="4" t="s">
        <v>2055</v>
      </c>
      <c r="D259" s="4" t="s">
        <v>2056</v>
      </c>
      <c r="E259" s="4" t="s">
        <v>361</v>
      </c>
      <c r="F259" s="4" t="s">
        <v>2055</v>
      </c>
      <c r="G259" s="4" t="s">
        <v>2057</v>
      </c>
      <c r="H259" s="4" t="s">
        <v>367</v>
      </c>
      <c r="I259" s="4" t="s">
        <v>975</v>
      </c>
      <c r="J259" s="4" t="s">
        <v>94</v>
      </c>
      <c r="K259" s="4" t="s">
        <v>95</v>
      </c>
      <c r="L259" s="2" t="s">
        <v>373</v>
      </c>
      <c r="M259" s="2" t="s">
        <v>392</v>
      </c>
      <c r="N259" s="4" t="s">
        <v>590</v>
      </c>
      <c r="O259" s="4" t="s">
        <v>164</v>
      </c>
      <c r="P259" s="4" t="s">
        <v>99</v>
      </c>
      <c r="Q259" s="152">
        <v>381</v>
      </c>
      <c r="R259" s="152">
        <v>3.7589999999999999</v>
      </c>
      <c r="S259" s="152">
        <v>2949</v>
      </c>
      <c r="U259" s="152">
        <v>42.234999999999999</v>
      </c>
      <c r="V259" s="152">
        <v>9.9999999999999995E-7</v>
      </c>
      <c r="W259" s="166">
        <v>7.13016464005872E-3</v>
      </c>
      <c r="X259" s="166">
        <v>1.31530785643796E-3</v>
      </c>
    </row>
    <row r="260" spans="1:24">
      <c r="A260" s="4" t="s">
        <v>112</v>
      </c>
      <c r="B260" s="4">
        <v>13680</v>
      </c>
      <c r="C260" s="4" t="s">
        <v>2058</v>
      </c>
      <c r="D260" s="4" t="s">
        <v>2059</v>
      </c>
      <c r="E260" s="4" t="s">
        <v>361</v>
      </c>
      <c r="F260" s="4" t="s">
        <v>2060</v>
      </c>
      <c r="G260" s="4" t="s">
        <v>2061</v>
      </c>
      <c r="H260" s="4" t="s">
        <v>367</v>
      </c>
      <c r="I260" s="4" t="s">
        <v>975</v>
      </c>
      <c r="J260" s="4" t="s">
        <v>94</v>
      </c>
      <c r="K260" s="4" t="s">
        <v>95</v>
      </c>
      <c r="L260" s="2" t="s">
        <v>373</v>
      </c>
      <c r="M260" s="2" t="s">
        <v>392</v>
      </c>
      <c r="N260" s="4" t="s">
        <v>593</v>
      </c>
      <c r="O260" s="4" t="s">
        <v>164</v>
      </c>
      <c r="P260" s="4" t="s">
        <v>99</v>
      </c>
      <c r="Q260" s="152">
        <v>100</v>
      </c>
      <c r="R260" s="152">
        <v>3.7589999999999999</v>
      </c>
      <c r="S260" s="152">
        <v>18342</v>
      </c>
      <c r="U260" s="152">
        <v>68.947999999999993</v>
      </c>
      <c r="V260" s="152">
        <v>0</v>
      </c>
      <c r="W260" s="166">
        <v>1.16398262881903E-2</v>
      </c>
      <c r="X260" s="166">
        <v>2.1472091792123999E-3</v>
      </c>
    </row>
    <row r="261" spans="1:24">
      <c r="A261" s="4" t="s">
        <v>112</v>
      </c>
      <c r="B261" s="4">
        <v>13680</v>
      </c>
      <c r="C261" s="4" t="s">
        <v>2062</v>
      </c>
      <c r="D261" s="4" t="s">
        <v>2063</v>
      </c>
      <c r="E261" s="4" t="s">
        <v>361</v>
      </c>
      <c r="F261" s="4" t="s">
        <v>2064</v>
      </c>
      <c r="G261" s="4" t="s">
        <v>2065</v>
      </c>
      <c r="H261" s="4" t="s">
        <v>367</v>
      </c>
      <c r="I261" s="4" t="s">
        <v>975</v>
      </c>
      <c r="J261" s="4" t="s">
        <v>94</v>
      </c>
      <c r="K261" s="4" t="s">
        <v>330</v>
      </c>
      <c r="L261" s="2" t="s">
        <v>373</v>
      </c>
      <c r="M261" s="2" t="s">
        <v>412</v>
      </c>
      <c r="N261" s="4" t="s">
        <v>2066</v>
      </c>
      <c r="O261" s="4" t="s">
        <v>164</v>
      </c>
      <c r="P261" s="4" t="s">
        <v>1219</v>
      </c>
      <c r="Q261" s="152">
        <v>32</v>
      </c>
      <c r="R261" s="152">
        <v>4.0199999999999996</v>
      </c>
      <c r="S261" s="152">
        <v>71360</v>
      </c>
      <c r="U261" s="152">
        <v>91.802000000000007</v>
      </c>
      <c r="V261" s="152">
        <v>0</v>
      </c>
      <c r="W261" s="166">
        <v>1.54981536813622E-2</v>
      </c>
      <c r="X261" s="166">
        <v>2.8589582886841499E-3</v>
      </c>
    </row>
    <row r="262" spans="1:24">
      <c r="A262" s="4" t="s">
        <v>112</v>
      </c>
      <c r="B262" s="4">
        <v>13680</v>
      </c>
      <c r="C262" s="4" t="s">
        <v>2067</v>
      </c>
      <c r="D262" s="4" t="s">
        <v>2068</v>
      </c>
      <c r="E262" s="4" t="s">
        <v>361</v>
      </c>
      <c r="F262" s="4" t="s">
        <v>2069</v>
      </c>
      <c r="G262" s="4" t="s">
        <v>2070</v>
      </c>
      <c r="H262" s="4" t="s">
        <v>367</v>
      </c>
      <c r="I262" s="4" t="s">
        <v>975</v>
      </c>
      <c r="J262" s="4" t="s">
        <v>94</v>
      </c>
      <c r="K262" s="4" t="s">
        <v>95</v>
      </c>
      <c r="L262" s="2" t="s">
        <v>373</v>
      </c>
      <c r="M262" s="2" t="s">
        <v>390</v>
      </c>
      <c r="N262" s="4" t="s">
        <v>2071</v>
      </c>
      <c r="O262" s="4" t="s">
        <v>164</v>
      </c>
      <c r="P262" s="4" t="s">
        <v>99</v>
      </c>
      <c r="Q262" s="152">
        <v>42</v>
      </c>
      <c r="R262" s="152">
        <v>3.7589999999999999</v>
      </c>
      <c r="S262" s="152">
        <v>44116</v>
      </c>
      <c r="U262" s="152">
        <v>69.649000000000001</v>
      </c>
      <c r="V262" s="152">
        <v>0</v>
      </c>
      <c r="W262" s="166">
        <v>1.1758318729828699E-2</v>
      </c>
      <c r="X262" s="166">
        <v>2.1690675860351399E-3</v>
      </c>
    </row>
    <row r="263" spans="1:24">
      <c r="A263" s="4" t="s">
        <v>112</v>
      </c>
      <c r="B263" s="4">
        <v>13680</v>
      </c>
      <c r="C263" s="4" t="s">
        <v>2072</v>
      </c>
      <c r="D263" s="4" t="s">
        <v>2073</v>
      </c>
      <c r="E263" s="4" t="s">
        <v>361</v>
      </c>
      <c r="F263" s="4" t="s">
        <v>2074</v>
      </c>
      <c r="G263" s="4" t="s">
        <v>2075</v>
      </c>
      <c r="H263" s="4" t="s">
        <v>367</v>
      </c>
      <c r="I263" s="4" t="s">
        <v>975</v>
      </c>
      <c r="J263" s="4" t="s">
        <v>94</v>
      </c>
      <c r="K263" s="4" t="s">
        <v>95</v>
      </c>
      <c r="L263" s="2" t="s">
        <v>373</v>
      </c>
      <c r="M263" s="2" t="s">
        <v>390</v>
      </c>
      <c r="N263" s="4" t="s">
        <v>578</v>
      </c>
      <c r="O263" s="4" t="s">
        <v>164</v>
      </c>
      <c r="P263" s="4" t="s">
        <v>99</v>
      </c>
      <c r="Q263" s="152">
        <v>120</v>
      </c>
      <c r="R263" s="152">
        <v>3.7589999999999999</v>
      </c>
      <c r="S263" s="152">
        <v>12380</v>
      </c>
      <c r="T263" s="150">
        <v>6.9000000000000006E-2</v>
      </c>
      <c r="U263" s="152">
        <v>56.103999999999999</v>
      </c>
      <c r="V263" s="152">
        <v>0</v>
      </c>
      <c r="W263" s="166">
        <v>9.4715190701862104E-3</v>
      </c>
      <c r="X263" s="166">
        <v>1.7472196049199899E-3</v>
      </c>
    </row>
    <row r="264" spans="1:24">
      <c r="A264" s="4" t="s">
        <v>112</v>
      </c>
      <c r="B264" s="4">
        <v>13680</v>
      </c>
      <c r="C264" s="4" t="s">
        <v>2076</v>
      </c>
      <c r="D264" s="4" t="s">
        <v>2077</v>
      </c>
      <c r="E264" s="4" t="s">
        <v>361</v>
      </c>
      <c r="F264" s="4" t="s">
        <v>2078</v>
      </c>
      <c r="G264" s="4" t="s">
        <v>2079</v>
      </c>
      <c r="H264" s="4" t="s">
        <v>367</v>
      </c>
      <c r="I264" s="4" t="s">
        <v>975</v>
      </c>
      <c r="J264" s="4" t="s">
        <v>94</v>
      </c>
      <c r="K264" s="4" t="s">
        <v>95</v>
      </c>
      <c r="L264" s="2" t="s">
        <v>373</v>
      </c>
      <c r="M264" s="2" t="s">
        <v>392</v>
      </c>
      <c r="N264" s="4" t="s">
        <v>588</v>
      </c>
      <c r="O264" s="4" t="s">
        <v>164</v>
      </c>
      <c r="P264" s="4" t="s">
        <v>99</v>
      </c>
      <c r="Q264" s="152">
        <v>101</v>
      </c>
      <c r="R264" s="152">
        <v>3.7589999999999999</v>
      </c>
      <c r="S264" s="152">
        <v>44695</v>
      </c>
      <c r="U264" s="152">
        <v>169.68899999999999</v>
      </c>
      <c r="V264" s="152">
        <v>0</v>
      </c>
      <c r="W264" s="166">
        <v>2.8647064459174199E-2</v>
      </c>
      <c r="X264" s="166">
        <v>5.2845496351296099E-3</v>
      </c>
    </row>
    <row r="265" spans="1:24">
      <c r="A265" s="4" t="s">
        <v>112</v>
      </c>
      <c r="B265" s="4">
        <v>13680</v>
      </c>
      <c r="C265" s="4" t="s">
        <v>2080</v>
      </c>
      <c r="D265" s="4" t="s">
        <v>2081</v>
      </c>
      <c r="E265" s="4" t="s">
        <v>361</v>
      </c>
      <c r="F265" s="4" t="s">
        <v>2080</v>
      </c>
      <c r="G265" s="4" t="s">
        <v>2082</v>
      </c>
      <c r="H265" s="4" t="s">
        <v>367</v>
      </c>
      <c r="I265" s="4" t="s">
        <v>975</v>
      </c>
      <c r="J265" s="4" t="s">
        <v>94</v>
      </c>
      <c r="K265" s="4" t="s">
        <v>95</v>
      </c>
      <c r="L265" s="2" t="s">
        <v>373</v>
      </c>
      <c r="M265" s="2" t="s">
        <v>392</v>
      </c>
      <c r="N265" s="4" t="s">
        <v>578</v>
      </c>
      <c r="O265" s="4" t="s">
        <v>164</v>
      </c>
      <c r="P265" s="4" t="s">
        <v>99</v>
      </c>
      <c r="Q265" s="152">
        <v>209</v>
      </c>
      <c r="R265" s="152">
        <v>3.7589999999999999</v>
      </c>
      <c r="S265" s="152">
        <v>11875</v>
      </c>
      <c r="U265" s="152">
        <v>93.293999999999997</v>
      </c>
      <c r="V265" s="152">
        <v>9.9999999999999995E-7</v>
      </c>
      <c r="W265" s="166">
        <v>1.5749969397558801E-2</v>
      </c>
      <c r="X265" s="166">
        <v>2.9054109593598201E-3</v>
      </c>
    </row>
    <row r="266" spans="1:24">
      <c r="A266" s="4" t="s">
        <v>112</v>
      </c>
      <c r="B266" s="4">
        <v>13680</v>
      </c>
      <c r="C266" s="4" t="s">
        <v>2083</v>
      </c>
      <c r="D266" s="4" t="s">
        <v>2084</v>
      </c>
      <c r="E266" s="4" t="s">
        <v>361</v>
      </c>
      <c r="F266" s="4" t="s">
        <v>2085</v>
      </c>
      <c r="G266" s="4" t="s">
        <v>2086</v>
      </c>
      <c r="H266" s="4" t="s">
        <v>367</v>
      </c>
      <c r="I266" s="4" t="s">
        <v>975</v>
      </c>
      <c r="J266" s="4" t="s">
        <v>94</v>
      </c>
      <c r="K266" s="4" t="s">
        <v>95</v>
      </c>
      <c r="L266" s="2" t="s">
        <v>373</v>
      </c>
      <c r="M266" s="2" t="s">
        <v>392</v>
      </c>
      <c r="N266" s="4" t="s">
        <v>593</v>
      </c>
      <c r="O266" s="4" t="s">
        <v>164</v>
      </c>
      <c r="P266" s="4" t="s">
        <v>99</v>
      </c>
      <c r="Q266" s="152">
        <v>24</v>
      </c>
      <c r="R266" s="152">
        <v>3.7589999999999999</v>
      </c>
      <c r="S266" s="152">
        <v>67488</v>
      </c>
      <c r="U266" s="152">
        <v>60.884999999999998</v>
      </c>
      <c r="V266" s="152">
        <v>0</v>
      </c>
      <c r="W266" s="166">
        <v>1.0278686248444699E-2</v>
      </c>
      <c r="X266" s="166">
        <v>1.89611845713689E-3</v>
      </c>
    </row>
    <row r="267" spans="1:24">
      <c r="A267" s="4" t="s">
        <v>112</v>
      </c>
      <c r="B267" s="4">
        <v>13680</v>
      </c>
      <c r="C267" s="4" t="s">
        <v>2087</v>
      </c>
      <c r="D267" s="4" t="s">
        <v>2088</v>
      </c>
      <c r="E267" s="4" t="s">
        <v>361</v>
      </c>
      <c r="F267" s="4" t="s">
        <v>2087</v>
      </c>
      <c r="G267" s="4" t="s">
        <v>2089</v>
      </c>
      <c r="H267" s="4" t="s">
        <v>367</v>
      </c>
      <c r="I267" s="4" t="s">
        <v>975</v>
      </c>
      <c r="J267" s="4" t="s">
        <v>94</v>
      </c>
      <c r="K267" s="4" t="s">
        <v>95</v>
      </c>
      <c r="L267" s="2" t="s">
        <v>373</v>
      </c>
      <c r="M267" s="2" t="s">
        <v>390</v>
      </c>
      <c r="N267" s="4" t="s">
        <v>559</v>
      </c>
      <c r="O267" s="4" t="s">
        <v>164</v>
      </c>
      <c r="P267" s="4" t="s">
        <v>99</v>
      </c>
      <c r="Q267" s="152">
        <v>255</v>
      </c>
      <c r="R267" s="152">
        <v>3.7589999999999999</v>
      </c>
      <c r="S267" s="152">
        <v>7537</v>
      </c>
      <c r="T267" s="150">
        <v>9.4E-2</v>
      </c>
      <c r="U267" s="152">
        <v>72.599999999999994</v>
      </c>
      <c r="V267" s="152">
        <v>0</v>
      </c>
      <c r="W267" s="166">
        <v>1.22564667420249E-2</v>
      </c>
      <c r="X267" s="166">
        <v>2.2609613959521601E-3</v>
      </c>
    </row>
    <row r="268" spans="1:24">
      <c r="A268" s="4" t="s">
        <v>112</v>
      </c>
      <c r="B268" s="4">
        <v>13680</v>
      </c>
      <c r="C268" s="4" t="s">
        <v>2094</v>
      </c>
      <c r="D268" s="4" t="s">
        <v>2095</v>
      </c>
      <c r="E268" s="4" t="s">
        <v>361</v>
      </c>
      <c r="F268" s="4" t="s">
        <v>2096</v>
      </c>
      <c r="G268" s="4" t="s">
        <v>2097</v>
      </c>
      <c r="H268" s="4" t="s">
        <v>367</v>
      </c>
      <c r="I268" s="4" t="s">
        <v>975</v>
      </c>
      <c r="J268" s="4" t="s">
        <v>94</v>
      </c>
      <c r="K268" s="4" t="s">
        <v>290</v>
      </c>
      <c r="L268" s="2" t="s">
        <v>373</v>
      </c>
      <c r="M268" s="2" t="s">
        <v>412</v>
      </c>
      <c r="N268" s="4" t="s">
        <v>578</v>
      </c>
      <c r="O268" s="4" t="s">
        <v>164</v>
      </c>
      <c r="P268" s="4" t="s">
        <v>99</v>
      </c>
      <c r="Q268" s="152">
        <v>291</v>
      </c>
      <c r="R268" s="152">
        <v>3.7589999999999999</v>
      </c>
      <c r="S268" s="152">
        <v>14274</v>
      </c>
      <c r="U268" s="152">
        <v>156.13900000000001</v>
      </c>
      <c r="V268" s="152">
        <v>0</v>
      </c>
      <c r="W268" s="166">
        <v>2.6359580311498199E-2</v>
      </c>
      <c r="X268" s="166">
        <v>4.8625753858939297E-3</v>
      </c>
    </row>
    <row r="269" spans="1:24">
      <c r="A269" s="4" t="s">
        <v>112</v>
      </c>
      <c r="B269" s="4">
        <v>13680</v>
      </c>
      <c r="C269" s="4" t="s">
        <v>2098</v>
      </c>
      <c r="D269" s="4" t="s">
        <v>2099</v>
      </c>
      <c r="E269" s="4" t="s">
        <v>361</v>
      </c>
      <c r="F269" s="4" t="s">
        <v>2100</v>
      </c>
      <c r="G269" s="4" t="s">
        <v>2101</v>
      </c>
      <c r="H269" s="4" t="s">
        <v>367</v>
      </c>
      <c r="I269" s="4" t="s">
        <v>975</v>
      </c>
      <c r="J269" s="4" t="s">
        <v>94</v>
      </c>
      <c r="K269" s="4" t="s">
        <v>95</v>
      </c>
      <c r="L269" s="2" t="s">
        <v>373</v>
      </c>
      <c r="M269" s="2" t="s">
        <v>392</v>
      </c>
      <c r="N269" s="4" t="s">
        <v>592</v>
      </c>
      <c r="O269" s="4" t="s">
        <v>164</v>
      </c>
      <c r="P269" s="4" t="s">
        <v>99</v>
      </c>
      <c r="Q269" s="152">
        <v>240</v>
      </c>
      <c r="R269" s="152">
        <v>3.7589999999999999</v>
      </c>
      <c r="S269" s="152">
        <v>12354</v>
      </c>
      <c r="U269" s="152">
        <v>111.453</v>
      </c>
      <c r="V269" s="152">
        <v>0</v>
      </c>
      <c r="W269" s="166">
        <v>1.8815624987151201E-2</v>
      </c>
      <c r="X269" s="166">
        <v>3.4709351913627799E-3</v>
      </c>
    </row>
    <row r="270" spans="1:24">
      <c r="A270" s="4" t="s">
        <v>112</v>
      </c>
      <c r="B270" s="4">
        <v>13680</v>
      </c>
      <c r="C270" s="4" t="s">
        <v>2106</v>
      </c>
      <c r="D270" s="4" t="s">
        <v>2107</v>
      </c>
      <c r="E270" s="4" t="s">
        <v>361</v>
      </c>
      <c r="F270" s="4" t="s">
        <v>2108</v>
      </c>
      <c r="G270" s="4" t="s">
        <v>2109</v>
      </c>
      <c r="H270" s="4" t="s">
        <v>367</v>
      </c>
      <c r="I270" s="4" t="s">
        <v>975</v>
      </c>
      <c r="J270" s="4" t="s">
        <v>94</v>
      </c>
      <c r="K270" s="4" t="s">
        <v>95</v>
      </c>
      <c r="L270" s="2" t="s">
        <v>373</v>
      </c>
      <c r="M270" s="2" t="s">
        <v>390</v>
      </c>
      <c r="N270" s="4" t="s">
        <v>612</v>
      </c>
      <c r="O270" s="4" t="s">
        <v>164</v>
      </c>
      <c r="P270" s="4" t="s">
        <v>99</v>
      </c>
      <c r="Q270" s="152">
        <v>240</v>
      </c>
      <c r="R270" s="152">
        <v>3.7589999999999999</v>
      </c>
      <c r="S270" s="152">
        <v>11231</v>
      </c>
      <c r="U270" s="152">
        <v>101.322</v>
      </c>
      <c r="V270" s="152">
        <v>0</v>
      </c>
      <c r="W270" s="166">
        <v>1.7105252082782501E-2</v>
      </c>
      <c r="X270" s="166">
        <v>3.1554211700012399E-3</v>
      </c>
    </row>
    <row r="271" spans="1:24">
      <c r="A271" s="4" t="s">
        <v>112</v>
      </c>
      <c r="B271" s="4">
        <v>13680</v>
      </c>
      <c r="C271" s="4" t="s">
        <v>2110</v>
      </c>
      <c r="D271" s="4" t="s">
        <v>2111</v>
      </c>
      <c r="E271" s="4" t="s">
        <v>361</v>
      </c>
      <c r="F271" s="4" t="s">
        <v>2112</v>
      </c>
      <c r="G271" s="4" t="s">
        <v>2113</v>
      </c>
      <c r="H271" s="4" t="s">
        <v>367</v>
      </c>
      <c r="I271" s="4" t="s">
        <v>975</v>
      </c>
      <c r="J271" s="4" t="s">
        <v>94</v>
      </c>
      <c r="K271" s="4" t="s">
        <v>95</v>
      </c>
      <c r="L271" s="2" t="s">
        <v>373</v>
      </c>
      <c r="M271" s="2" t="s">
        <v>390</v>
      </c>
      <c r="N271" s="4" t="s">
        <v>530</v>
      </c>
      <c r="O271" s="4" t="s">
        <v>164</v>
      </c>
      <c r="P271" s="4" t="s">
        <v>99</v>
      </c>
      <c r="Q271" s="152">
        <v>699</v>
      </c>
      <c r="R271" s="152">
        <v>3.7589999999999999</v>
      </c>
      <c r="S271" s="152">
        <v>4718</v>
      </c>
      <c r="T271" s="150">
        <v>0.115</v>
      </c>
      <c r="U271" s="152">
        <v>124.401</v>
      </c>
      <c r="V271" s="152">
        <v>0</v>
      </c>
      <c r="W271" s="166">
        <v>2.1001525754619801E-2</v>
      </c>
      <c r="X271" s="166">
        <v>3.8741702634804902E-3</v>
      </c>
    </row>
    <row r="272" spans="1:24">
      <c r="A272" s="4" t="s">
        <v>112</v>
      </c>
      <c r="B272" s="4">
        <v>13680</v>
      </c>
      <c r="C272" s="4" t="s">
        <v>2114</v>
      </c>
      <c r="D272" s="4" t="s">
        <v>2115</v>
      </c>
      <c r="E272" s="4" t="s">
        <v>361</v>
      </c>
      <c r="F272" s="4" t="s">
        <v>2114</v>
      </c>
      <c r="G272" s="4" t="s">
        <v>2116</v>
      </c>
      <c r="H272" s="4" t="s">
        <v>367</v>
      </c>
      <c r="I272" s="4" t="s">
        <v>975</v>
      </c>
      <c r="J272" s="4" t="s">
        <v>94</v>
      </c>
      <c r="K272" s="4" t="s">
        <v>95</v>
      </c>
      <c r="L272" s="2" t="s">
        <v>373</v>
      </c>
      <c r="M272" s="2" t="s">
        <v>392</v>
      </c>
      <c r="N272" s="4" t="s">
        <v>559</v>
      </c>
      <c r="O272" s="4" t="s">
        <v>164</v>
      </c>
      <c r="P272" s="4" t="s">
        <v>99</v>
      </c>
      <c r="Q272" s="152">
        <v>860</v>
      </c>
      <c r="R272" s="152">
        <v>3.7589999999999999</v>
      </c>
      <c r="S272" s="152">
        <v>1476</v>
      </c>
      <c r="U272" s="152">
        <v>47.715000000000003</v>
      </c>
      <c r="V272" s="152">
        <v>6.9999999999999999E-6</v>
      </c>
      <c r="W272" s="166">
        <v>8.0553537766749894E-3</v>
      </c>
      <c r="X272" s="166">
        <v>1.48597832500548E-3</v>
      </c>
    </row>
    <row r="273" spans="1:24">
      <c r="A273" s="4" t="s">
        <v>112</v>
      </c>
      <c r="B273" s="4">
        <v>13680</v>
      </c>
      <c r="C273" s="4" t="s">
        <v>2117</v>
      </c>
      <c r="D273" s="4" t="s">
        <v>2118</v>
      </c>
      <c r="E273" s="4" t="s">
        <v>361</v>
      </c>
      <c r="F273" s="4" t="s">
        <v>2119</v>
      </c>
      <c r="G273" s="4" t="s">
        <v>2120</v>
      </c>
      <c r="H273" s="4" t="s">
        <v>367</v>
      </c>
      <c r="I273" s="4" t="s">
        <v>975</v>
      </c>
      <c r="J273" s="4" t="s">
        <v>94</v>
      </c>
      <c r="K273" s="4" t="s">
        <v>317</v>
      </c>
      <c r="L273" s="2" t="s">
        <v>373</v>
      </c>
      <c r="M273" s="2" t="s">
        <v>390</v>
      </c>
      <c r="N273" s="4" t="s">
        <v>592</v>
      </c>
      <c r="O273" s="4" t="s">
        <v>164</v>
      </c>
      <c r="P273" s="4" t="s">
        <v>99</v>
      </c>
      <c r="Q273" s="152">
        <v>217</v>
      </c>
      <c r="R273" s="152">
        <v>3.7589999999999999</v>
      </c>
      <c r="S273" s="152">
        <v>17381</v>
      </c>
      <c r="T273" s="150">
        <v>9.2999999999999999E-2</v>
      </c>
      <c r="U273" s="152">
        <v>142.12799999999999</v>
      </c>
      <c r="V273" s="152">
        <v>0</v>
      </c>
      <c r="W273" s="166">
        <v>2.39941675934582E-2</v>
      </c>
      <c r="X273" s="166">
        <v>4.4262255834957402E-3</v>
      </c>
    </row>
    <row r="274" spans="1:24">
      <c r="A274" s="4" t="s">
        <v>112</v>
      </c>
      <c r="B274" s="4">
        <v>13680</v>
      </c>
      <c r="C274" s="4" t="s">
        <v>2121</v>
      </c>
      <c r="D274" s="4" t="s">
        <v>2122</v>
      </c>
      <c r="E274" s="4" t="s">
        <v>361</v>
      </c>
      <c r="F274" s="4" t="s">
        <v>2121</v>
      </c>
      <c r="G274" s="4" t="s">
        <v>2123</v>
      </c>
      <c r="H274" s="4" t="s">
        <v>367</v>
      </c>
      <c r="I274" s="4" t="s">
        <v>975</v>
      </c>
      <c r="J274" s="4" t="s">
        <v>94</v>
      </c>
      <c r="K274" s="4" t="s">
        <v>95</v>
      </c>
      <c r="L274" s="2" t="s">
        <v>373</v>
      </c>
      <c r="M274" s="2" t="s">
        <v>392</v>
      </c>
      <c r="N274" s="4" t="s">
        <v>556</v>
      </c>
      <c r="O274" s="4" t="s">
        <v>164</v>
      </c>
      <c r="P274" s="4" t="s">
        <v>99</v>
      </c>
      <c r="Q274" s="152">
        <v>130</v>
      </c>
      <c r="R274" s="152">
        <v>3.7589999999999999</v>
      </c>
      <c r="S274" s="152">
        <v>19788</v>
      </c>
      <c r="U274" s="152">
        <v>96.697999999999993</v>
      </c>
      <c r="V274" s="152">
        <v>0</v>
      </c>
      <c r="W274" s="166">
        <v>1.6324694546282999E-2</v>
      </c>
      <c r="X274" s="166">
        <v>3.0114310222293899E-3</v>
      </c>
    </row>
    <row r="275" spans="1:24">
      <c r="A275" s="4" t="s">
        <v>112</v>
      </c>
      <c r="B275" s="4">
        <v>13680</v>
      </c>
      <c r="C275" s="4" t="s">
        <v>2128</v>
      </c>
      <c r="D275" s="4" t="s">
        <v>2129</v>
      </c>
      <c r="E275" s="4" t="s">
        <v>361</v>
      </c>
      <c r="F275" s="4" t="s">
        <v>2130</v>
      </c>
      <c r="G275" s="4" t="s">
        <v>2131</v>
      </c>
      <c r="H275" s="4" t="s">
        <v>367</v>
      </c>
      <c r="I275" s="4" t="s">
        <v>975</v>
      </c>
      <c r="J275" s="4" t="s">
        <v>94</v>
      </c>
      <c r="K275" s="4" t="s">
        <v>95</v>
      </c>
      <c r="L275" s="2" t="s">
        <v>373</v>
      </c>
      <c r="M275" s="2" t="s">
        <v>390</v>
      </c>
      <c r="N275" s="4" t="s">
        <v>2071</v>
      </c>
      <c r="O275" s="4" t="s">
        <v>164</v>
      </c>
      <c r="P275" s="4" t="s">
        <v>99</v>
      </c>
      <c r="Q275" s="152">
        <v>82</v>
      </c>
      <c r="R275" s="152">
        <v>3.7589999999999999</v>
      </c>
      <c r="S275" s="152">
        <v>26247</v>
      </c>
      <c r="U275" s="152">
        <v>80.903000000000006</v>
      </c>
      <c r="V275" s="152">
        <v>0</v>
      </c>
      <c r="W275" s="166">
        <v>1.3658195773668501E-2</v>
      </c>
      <c r="X275" s="166">
        <v>2.51953960571182E-3</v>
      </c>
    </row>
    <row r="276" spans="1:24">
      <c r="A276" s="4" t="s">
        <v>112</v>
      </c>
      <c r="B276" s="4">
        <v>13680</v>
      </c>
      <c r="C276" s="4" t="s">
        <v>2132</v>
      </c>
      <c r="D276" s="4" t="s">
        <v>2133</v>
      </c>
      <c r="E276" s="4" t="s">
        <v>361</v>
      </c>
      <c r="F276" s="4" t="s">
        <v>2134</v>
      </c>
      <c r="G276" s="4" t="s">
        <v>2135</v>
      </c>
      <c r="H276" s="4" t="s">
        <v>367</v>
      </c>
      <c r="I276" s="4" t="s">
        <v>975</v>
      </c>
      <c r="J276" s="4" t="s">
        <v>94</v>
      </c>
      <c r="K276" s="4" t="s">
        <v>95</v>
      </c>
      <c r="L276" s="2" t="s">
        <v>373</v>
      </c>
      <c r="M276" s="2" t="s">
        <v>390</v>
      </c>
      <c r="N276" s="4" t="s">
        <v>593</v>
      </c>
      <c r="O276" s="4" t="s">
        <v>164</v>
      </c>
      <c r="P276" s="4" t="s">
        <v>99</v>
      </c>
      <c r="Q276" s="152">
        <v>140</v>
      </c>
      <c r="R276" s="152">
        <v>3.7589999999999999</v>
      </c>
      <c r="S276" s="152">
        <v>9929</v>
      </c>
      <c r="U276" s="152">
        <v>52.252000000000002</v>
      </c>
      <c r="V276" s="152">
        <v>0</v>
      </c>
      <c r="W276" s="166">
        <v>8.8213155218415801E-3</v>
      </c>
      <c r="X276" s="166">
        <v>1.6272759740791601E-3</v>
      </c>
    </row>
    <row r="277" spans="1:24">
      <c r="A277" s="4" t="s">
        <v>128</v>
      </c>
      <c r="B277" s="4">
        <v>7228</v>
      </c>
      <c r="C277" s="4" t="s">
        <v>2167</v>
      </c>
      <c r="D277" s="4" t="s">
        <v>2168</v>
      </c>
      <c r="E277" s="4" t="s">
        <v>1376</v>
      </c>
      <c r="F277" s="4" t="s">
        <v>2169</v>
      </c>
      <c r="G277" s="4" t="s">
        <v>2170</v>
      </c>
      <c r="H277" s="4" t="s">
        <v>367</v>
      </c>
      <c r="I277" s="4" t="s">
        <v>975</v>
      </c>
      <c r="J277" s="4" t="s">
        <v>31</v>
      </c>
      <c r="K277" s="4" t="s">
        <v>31</v>
      </c>
      <c r="L277" s="2" t="s">
        <v>373</v>
      </c>
      <c r="M277" s="2" t="s">
        <v>32</v>
      </c>
      <c r="N277" s="4" t="s">
        <v>507</v>
      </c>
      <c r="O277" s="4" t="s">
        <v>164</v>
      </c>
      <c r="P277" s="4" t="s">
        <v>35</v>
      </c>
      <c r="Q277" s="152">
        <v>2469</v>
      </c>
      <c r="R277" s="152">
        <v>1</v>
      </c>
      <c r="S277" s="152">
        <v>31400</v>
      </c>
      <c r="U277" s="152">
        <v>775.26599999999996</v>
      </c>
      <c r="V277" s="152">
        <v>1.2569E-2</v>
      </c>
      <c r="W277" s="166">
        <v>2.8809877007522099E-3</v>
      </c>
      <c r="X277" s="166">
        <v>3.3126653821926401E-4</v>
      </c>
    </row>
    <row r="278" spans="1:24">
      <c r="A278" s="4" t="s">
        <v>128</v>
      </c>
      <c r="B278" s="4">
        <v>7228</v>
      </c>
      <c r="C278" s="4" t="s">
        <v>2167</v>
      </c>
      <c r="D278" s="4" t="s">
        <v>2168</v>
      </c>
      <c r="E278" s="4" t="s">
        <v>1376</v>
      </c>
      <c r="F278" s="4" t="s">
        <v>2171</v>
      </c>
      <c r="G278" s="4" t="s">
        <v>2172</v>
      </c>
      <c r="H278" s="4" t="s">
        <v>367</v>
      </c>
      <c r="I278" s="4" t="s">
        <v>975</v>
      </c>
      <c r="J278" s="4" t="s">
        <v>31</v>
      </c>
      <c r="K278" s="4" t="s">
        <v>31</v>
      </c>
      <c r="L278" s="2" t="s">
        <v>373</v>
      </c>
      <c r="M278" s="2" t="s">
        <v>32</v>
      </c>
      <c r="N278" s="4" t="s">
        <v>507</v>
      </c>
      <c r="O278" s="4" t="s">
        <v>164</v>
      </c>
      <c r="P278" s="4" t="s">
        <v>35</v>
      </c>
      <c r="Q278" s="152">
        <v>801</v>
      </c>
      <c r="R278" s="152">
        <v>1</v>
      </c>
      <c r="S278" s="152">
        <v>86670</v>
      </c>
      <c r="U278" s="152">
        <v>694.22699999999998</v>
      </c>
      <c r="V278" s="152">
        <v>7.5523000000000007E-2</v>
      </c>
      <c r="W278" s="166">
        <v>2.57983528780289E-3</v>
      </c>
      <c r="X278" s="166">
        <v>2.9663892863660202E-4</v>
      </c>
    </row>
    <row r="279" spans="1:24">
      <c r="A279" s="4" t="s">
        <v>128</v>
      </c>
      <c r="B279" s="4">
        <v>7228</v>
      </c>
      <c r="C279" s="4" t="s">
        <v>1833</v>
      </c>
      <c r="D279" s="4" t="s">
        <v>1834</v>
      </c>
      <c r="E279" s="4" t="s">
        <v>361</v>
      </c>
      <c r="F279" s="4" t="s">
        <v>1835</v>
      </c>
      <c r="G279" s="4" t="s">
        <v>1836</v>
      </c>
      <c r="H279" s="4" t="s">
        <v>367</v>
      </c>
      <c r="I279" s="4" t="s">
        <v>975</v>
      </c>
      <c r="J279" s="4" t="s">
        <v>94</v>
      </c>
      <c r="K279" s="4" t="s">
        <v>95</v>
      </c>
      <c r="L279" s="2" t="s">
        <v>373</v>
      </c>
      <c r="M279" s="2" t="s">
        <v>32</v>
      </c>
      <c r="N279" s="4" t="s">
        <v>484</v>
      </c>
      <c r="O279" s="4" t="s">
        <v>164</v>
      </c>
      <c r="P279" s="4" t="s">
        <v>35</v>
      </c>
      <c r="Q279" s="152">
        <v>17966.39</v>
      </c>
      <c r="R279" s="152">
        <v>1</v>
      </c>
      <c r="S279" s="152">
        <v>26580</v>
      </c>
      <c r="U279" s="152">
        <v>4775.4660000000003</v>
      </c>
      <c r="V279" s="152">
        <v>3.2000000000000003E-4</v>
      </c>
      <c r="W279" s="166">
        <v>1.77462446984347E-2</v>
      </c>
      <c r="X279" s="166">
        <v>2.0405283389816399E-3</v>
      </c>
    </row>
    <row r="280" spans="1:24">
      <c r="A280" s="4" t="s">
        <v>128</v>
      </c>
      <c r="B280" s="4">
        <v>7228</v>
      </c>
      <c r="C280" s="4" t="s">
        <v>1837</v>
      </c>
      <c r="D280" s="4" t="s">
        <v>1838</v>
      </c>
      <c r="E280" s="4" t="s">
        <v>1376</v>
      </c>
      <c r="F280" s="4" t="s">
        <v>1839</v>
      </c>
      <c r="G280" s="4" t="s">
        <v>1840</v>
      </c>
      <c r="H280" s="4" t="s">
        <v>367</v>
      </c>
      <c r="I280" s="4" t="s">
        <v>975</v>
      </c>
      <c r="J280" s="4" t="s">
        <v>31</v>
      </c>
      <c r="K280" s="4" t="s">
        <v>31</v>
      </c>
      <c r="L280" s="2" t="s">
        <v>373</v>
      </c>
      <c r="M280" s="2" t="s">
        <v>32</v>
      </c>
      <c r="N280" s="4" t="s">
        <v>499</v>
      </c>
      <c r="O280" s="4" t="s">
        <v>164</v>
      </c>
      <c r="P280" s="4" t="s">
        <v>35</v>
      </c>
      <c r="Q280" s="152">
        <v>241260</v>
      </c>
      <c r="R280" s="152">
        <v>1</v>
      </c>
      <c r="S280" s="152">
        <v>1612</v>
      </c>
      <c r="U280" s="152">
        <v>3889.1109999999999</v>
      </c>
      <c r="V280" s="152">
        <v>1.8699999999999999E-4</v>
      </c>
      <c r="W280" s="166">
        <v>1.4452435079131101E-2</v>
      </c>
      <c r="X280" s="166">
        <v>1.66179402163099E-3</v>
      </c>
    </row>
    <row r="281" spans="1:24">
      <c r="A281" s="4" t="s">
        <v>128</v>
      </c>
      <c r="B281" s="4">
        <v>7228</v>
      </c>
      <c r="C281" s="4" t="s">
        <v>1841</v>
      </c>
      <c r="D281" s="4" t="s">
        <v>1842</v>
      </c>
      <c r="E281" s="4" t="s">
        <v>1376</v>
      </c>
      <c r="F281" s="4" t="s">
        <v>1843</v>
      </c>
      <c r="G281" s="4" t="s">
        <v>1844</v>
      </c>
      <c r="H281" s="4" t="s">
        <v>367</v>
      </c>
      <c r="I281" s="4" t="s">
        <v>975</v>
      </c>
      <c r="J281" s="4" t="s">
        <v>31</v>
      </c>
      <c r="K281" s="4" t="s">
        <v>31</v>
      </c>
      <c r="L281" s="2" t="s">
        <v>373</v>
      </c>
      <c r="M281" s="2" t="s">
        <v>32</v>
      </c>
      <c r="N281" s="4" t="s">
        <v>488</v>
      </c>
      <c r="O281" s="4" t="s">
        <v>164</v>
      </c>
      <c r="P281" s="4" t="s">
        <v>35</v>
      </c>
      <c r="Q281" s="152">
        <v>16199</v>
      </c>
      <c r="R281" s="152">
        <v>1</v>
      </c>
      <c r="S281" s="152">
        <v>9863</v>
      </c>
      <c r="U281" s="152">
        <v>1597.7070000000001</v>
      </c>
      <c r="V281" s="152">
        <v>1.1039999999999999E-3</v>
      </c>
      <c r="W281" s="166">
        <v>5.9372851155231297E-3</v>
      </c>
      <c r="X281" s="166">
        <v>6.8269083069205302E-4</v>
      </c>
    </row>
    <row r="282" spans="1:24">
      <c r="A282" s="4" t="s">
        <v>128</v>
      </c>
      <c r="B282" s="4">
        <v>7228</v>
      </c>
      <c r="C282" s="4" t="s">
        <v>1845</v>
      </c>
      <c r="D282" s="4" t="s">
        <v>1846</v>
      </c>
      <c r="E282" s="4" t="s">
        <v>1376</v>
      </c>
      <c r="F282" s="4" t="s">
        <v>1847</v>
      </c>
      <c r="G282" s="4" t="s">
        <v>1848</v>
      </c>
      <c r="H282" s="4" t="s">
        <v>367</v>
      </c>
      <c r="I282" s="4" t="s">
        <v>975</v>
      </c>
      <c r="J282" s="4" t="s">
        <v>31</v>
      </c>
      <c r="K282" s="4" t="s">
        <v>31</v>
      </c>
      <c r="L282" s="2" t="s">
        <v>373</v>
      </c>
      <c r="M282" s="2" t="s">
        <v>32</v>
      </c>
      <c r="N282" s="4" t="s">
        <v>506</v>
      </c>
      <c r="O282" s="4" t="s">
        <v>164</v>
      </c>
      <c r="P282" s="4" t="s">
        <v>35</v>
      </c>
      <c r="Q282" s="152">
        <v>123139</v>
      </c>
      <c r="R282" s="152">
        <v>1</v>
      </c>
      <c r="S282" s="152">
        <v>992.1</v>
      </c>
      <c r="U282" s="152">
        <v>1221.662</v>
      </c>
      <c r="V282" s="152">
        <v>9.8400000000000007E-4</v>
      </c>
      <c r="W282" s="166">
        <v>4.5398524522100902E-3</v>
      </c>
      <c r="X282" s="166">
        <v>5.2200889489296195E-4</v>
      </c>
    </row>
    <row r="283" spans="1:24">
      <c r="A283" s="4" t="s">
        <v>128</v>
      </c>
      <c r="B283" s="4">
        <v>7228</v>
      </c>
      <c r="C283" s="4" t="s">
        <v>1849</v>
      </c>
      <c r="D283" s="4" t="s">
        <v>1850</v>
      </c>
      <c r="E283" s="4" t="s">
        <v>34</v>
      </c>
      <c r="F283" s="4" t="s">
        <v>1851</v>
      </c>
      <c r="G283" s="4" t="s">
        <v>1852</v>
      </c>
      <c r="H283" s="4" t="s">
        <v>367</v>
      </c>
      <c r="I283" s="4" t="s">
        <v>975</v>
      </c>
      <c r="J283" s="4" t="s">
        <v>31</v>
      </c>
      <c r="K283" s="4" t="s">
        <v>31</v>
      </c>
      <c r="L283" s="2" t="s">
        <v>373</v>
      </c>
      <c r="M283" s="2" t="s">
        <v>32</v>
      </c>
      <c r="N283" s="4" t="s">
        <v>521</v>
      </c>
      <c r="O283" s="4" t="s">
        <v>164</v>
      </c>
      <c r="P283" s="4" t="s">
        <v>35</v>
      </c>
      <c r="Q283" s="152">
        <v>0</v>
      </c>
      <c r="R283" s="152">
        <v>1</v>
      </c>
      <c r="S283" s="152">
        <v>0</v>
      </c>
      <c r="T283" s="150">
        <v>1E-3</v>
      </c>
      <c r="U283" s="152">
        <v>1E-3</v>
      </c>
      <c r="W283" s="166">
        <v>1.9323865671797103E-9</v>
      </c>
      <c r="X283" s="166">
        <v>2.2219289879088901E-10</v>
      </c>
    </row>
    <row r="284" spans="1:24">
      <c r="A284" s="4" t="s">
        <v>128</v>
      </c>
      <c r="B284" s="4">
        <v>7228</v>
      </c>
      <c r="C284" s="4" t="s">
        <v>1853</v>
      </c>
      <c r="D284" s="4" t="s">
        <v>1854</v>
      </c>
      <c r="E284" s="4" t="s">
        <v>1376</v>
      </c>
      <c r="F284" s="4" t="s">
        <v>1855</v>
      </c>
      <c r="G284" s="4" t="s">
        <v>1856</v>
      </c>
      <c r="H284" s="4" t="s">
        <v>367</v>
      </c>
      <c r="I284" s="4" t="s">
        <v>975</v>
      </c>
      <c r="J284" s="4" t="s">
        <v>31</v>
      </c>
      <c r="K284" s="4" t="s">
        <v>31</v>
      </c>
      <c r="L284" s="2" t="s">
        <v>373</v>
      </c>
      <c r="M284" s="2" t="s">
        <v>32</v>
      </c>
      <c r="N284" s="4" t="s">
        <v>489</v>
      </c>
      <c r="O284" s="4" t="s">
        <v>164</v>
      </c>
      <c r="P284" s="4" t="s">
        <v>35</v>
      </c>
      <c r="Q284" s="152">
        <v>10859.67</v>
      </c>
      <c r="R284" s="152">
        <v>1</v>
      </c>
      <c r="S284" s="152">
        <v>66410</v>
      </c>
      <c r="T284" s="150">
        <v>20.411000000000001</v>
      </c>
      <c r="U284" s="152">
        <v>7232.3180000000002</v>
      </c>
      <c r="V284" s="152">
        <v>2.4499999999999999E-4</v>
      </c>
      <c r="W284" s="166">
        <v>2.6876218026961999E-2</v>
      </c>
      <c r="X284" s="166">
        <v>3.0903261766418999E-3</v>
      </c>
    </row>
    <row r="285" spans="1:24">
      <c r="A285" s="4" t="s">
        <v>128</v>
      </c>
      <c r="B285" s="4">
        <v>7228</v>
      </c>
      <c r="C285" s="4" t="s">
        <v>1857</v>
      </c>
      <c r="D285" s="4" t="s">
        <v>1858</v>
      </c>
      <c r="E285" s="4" t="s">
        <v>1376</v>
      </c>
      <c r="F285" s="4" t="s">
        <v>1859</v>
      </c>
      <c r="G285" s="4" t="s">
        <v>1860</v>
      </c>
      <c r="H285" s="4" t="s">
        <v>367</v>
      </c>
      <c r="I285" s="4" t="s">
        <v>975</v>
      </c>
      <c r="J285" s="4" t="s">
        <v>31</v>
      </c>
      <c r="K285" s="4" t="s">
        <v>31</v>
      </c>
      <c r="L285" s="2" t="s">
        <v>373</v>
      </c>
      <c r="M285" s="2" t="s">
        <v>32</v>
      </c>
      <c r="N285" s="4" t="s">
        <v>494</v>
      </c>
      <c r="O285" s="4" t="s">
        <v>164</v>
      </c>
      <c r="P285" s="4" t="s">
        <v>35</v>
      </c>
      <c r="Q285" s="152">
        <v>1205</v>
      </c>
      <c r="R285" s="152">
        <v>1</v>
      </c>
      <c r="S285" s="152">
        <v>129690</v>
      </c>
      <c r="U285" s="152">
        <v>1562.7639999999999</v>
      </c>
      <c r="V285" s="152">
        <v>3.1399999999999999E-4</v>
      </c>
      <c r="W285" s="166">
        <v>5.8074329374333102E-3</v>
      </c>
      <c r="X285" s="166">
        <v>6.6775995073556599E-4</v>
      </c>
    </row>
    <row r="286" spans="1:24">
      <c r="A286" s="4" t="s">
        <v>128</v>
      </c>
      <c r="B286" s="4">
        <v>7228</v>
      </c>
      <c r="C286" s="4" t="s">
        <v>1861</v>
      </c>
      <c r="D286" s="4" t="s">
        <v>1862</v>
      </c>
      <c r="E286" s="4" t="s">
        <v>1376</v>
      </c>
      <c r="F286" s="4" t="s">
        <v>1863</v>
      </c>
      <c r="G286" s="4" t="s">
        <v>1864</v>
      </c>
      <c r="H286" s="4" t="s">
        <v>367</v>
      </c>
      <c r="I286" s="4" t="s">
        <v>975</v>
      </c>
      <c r="J286" s="4" t="s">
        <v>31</v>
      </c>
      <c r="K286" s="4" t="s">
        <v>95</v>
      </c>
      <c r="L286" s="2" t="s">
        <v>373</v>
      </c>
      <c r="M286" s="2" t="s">
        <v>32</v>
      </c>
      <c r="N286" s="4" t="s">
        <v>484</v>
      </c>
      <c r="O286" s="4" t="s">
        <v>164</v>
      </c>
      <c r="P286" s="4" t="s">
        <v>35</v>
      </c>
      <c r="Q286" s="152">
        <v>48087.8</v>
      </c>
      <c r="R286" s="152">
        <v>1</v>
      </c>
      <c r="S286" s="152">
        <v>5985</v>
      </c>
      <c r="U286" s="152">
        <v>2878.0549999999998</v>
      </c>
      <c r="V286" s="152">
        <v>4.08E-4</v>
      </c>
      <c r="W286" s="166">
        <v>1.0695220179036E-2</v>
      </c>
      <c r="X286" s="166">
        <v>1.2297756645323499E-3</v>
      </c>
    </row>
    <row r="287" spans="1:24">
      <c r="A287" s="4" t="s">
        <v>128</v>
      </c>
      <c r="B287" s="4">
        <v>7228</v>
      </c>
      <c r="C287" s="4" t="s">
        <v>1869</v>
      </c>
      <c r="D287" s="4" t="s">
        <v>1870</v>
      </c>
      <c r="E287" s="4" t="s">
        <v>1376</v>
      </c>
      <c r="F287" s="4" t="s">
        <v>1871</v>
      </c>
      <c r="G287" s="4" t="s">
        <v>1872</v>
      </c>
      <c r="H287" s="4" t="s">
        <v>367</v>
      </c>
      <c r="I287" s="4" t="s">
        <v>975</v>
      </c>
      <c r="J287" s="4" t="s">
        <v>31</v>
      </c>
      <c r="K287" s="4" t="s">
        <v>31</v>
      </c>
      <c r="L287" s="2" t="s">
        <v>373</v>
      </c>
      <c r="M287" s="2" t="s">
        <v>32</v>
      </c>
      <c r="N287" s="4" t="s">
        <v>490</v>
      </c>
      <c r="O287" s="4" t="s">
        <v>164</v>
      </c>
      <c r="P287" s="4" t="s">
        <v>35</v>
      </c>
      <c r="Q287" s="152">
        <v>79721</v>
      </c>
      <c r="R287" s="152">
        <v>1</v>
      </c>
      <c r="S287" s="152">
        <v>4328</v>
      </c>
      <c r="U287" s="152">
        <v>3450.3249999999998</v>
      </c>
      <c r="V287" s="152">
        <v>7.8799999999999996E-4</v>
      </c>
      <c r="W287" s="166">
        <v>1.28218489433038E-2</v>
      </c>
      <c r="X287" s="166">
        <v>1.4743032439567801E-3</v>
      </c>
    </row>
    <row r="288" spans="1:24">
      <c r="A288" s="4" t="s">
        <v>128</v>
      </c>
      <c r="B288" s="4">
        <v>7228</v>
      </c>
      <c r="C288" s="4" t="s">
        <v>1873</v>
      </c>
      <c r="D288" s="4" t="s">
        <v>1874</v>
      </c>
      <c r="E288" s="4" t="s">
        <v>1376</v>
      </c>
      <c r="F288" s="4" t="s">
        <v>1875</v>
      </c>
      <c r="G288" s="4" t="s">
        <v>1876</v>
      </c>
      <c r="H288" s="4" t="s">
        <v>367</v>
      </c>
      <c r="I288" s="4" t="s">
        <v>975</v>
      </c>
      <c r="J288" s="4" t="s">
        <v>31</v>
      </c>
      <c r="K288" s="4" t="s">
        <v>95</v>
      </c>
      <c r="L288" s="2" t="s">
        <v>373</v>
      </c>
      <c r="M288" s="2" t="s">
        <v>32</v>
      </c>
      <c r="N288" s="4" t="s">
        <v>508</v>
      </c>
      <c r="O288" s="4" t="s">
        <v>164</v>
      </c>
      <c r="P288" s="4" t="s">
        <v>35</v>
      </c>
      <c r="Q288" s="152">
        <v>92800</v>
      </c>
      <c r="R288" s="152">
        <v>1</v>
      </c>
      <c r="S288" s="152">
        <v>750.1</v>
      </c>
      <c r="U288" s="152">
        <v>696.09299999999996</v>
      </c>
      <c r="V288" s="152">
        <v>1.6789999999999999E-3</v>
      </c>
      <c r="W288" s="166">
        <v>2.58676995428945E-3</v>
      </c>
      <c r="X288" s="166">
        <v>2.9743630203743601E-4</v>
      </c>
    </row>
    <row r="289" spans="1:24">
      <c r="A289" s="4" t="s">
        <v>128</v>
      </c>
      <c r="B289" s="4">
        <v>7228</v>
      </c>
      <c r="C289" s="4" t="s">
        <v>1877</v>
      </c>
      <c r="D289" s="4" t="s">
        <v>1878</v>
      </c>
      <c r="E289" s="4" t="s">
        <v>1376</v>
      </c>
      <c r="F289" s="4" t="s">
        <v>1879</v>
      </c>
      <c r="G289" s="4" t="s">
        <v>1880</v>
      </c>
      <c r="H289" s="4" t="s">
        <v>367</v>
      </c>
      <c r="I289" s="4" t="s">
        <v>975</v>
      </c>
      <c r="J289" s="4" t="s">
        <v>31</v>
      </c>
      <c r="K289" s="4" t="s">
        <v>31</v>
      </c>
      <c r="L289" s="2" t="s">
        <v>373</v>
      </c>
      <c r="M289" s="2" t="s">
        <v>32</v>
      </c>
      <c r="N289" s="4" t="s">
        <v>483</v>
      </c>
      <c r="O289" s="4" t="s">
        <v>164</v>
      </c>
      <c r="P289" s="4" t="s">
        <v>35</v>
      </c>
      <c r="Q289" s="152">
        <v>1287364</v>
      </c>
      <c r="R289" s="152">
        <v>1</v>
      </c>
      <c r="S289" s="152">
        <v>86.7</v>
      </c>
      <c r="U289" s="152">
        <v>1116.145</v>
      </c>
      <c r="V289" s="152">
        <v>4.0400000000000001E-4</v>
      </c>
      <c r="W289" s="166">
        <v>4.1477361709260302E-3</v>
      </c>
      <c r="X289" s="166">
        <v>4.7692192591823601E-4</v>
      </c>
    </row>
    <row r="290" spans="1:24">
      <c r="A290" s="4" t="s">
        <v>128</v>
      </c>
      <c r="B290" s="4">
        <v>7228</v>
      </c>
      <c r="C290" s="4" t="s">
        <v>1881</v>
      </c>
      <c r="D290" s="4" t="s">
        <v>1882</v>
      </c>
      <c r="E290" s="4" t="s">
        <v>1376</v>
      </c>
      <c r="F290" s="4" t="s">
        <v>1883</v>
      </c>
      <c r="G290" s="4" t="s">
        <v>1884</v>
      </c>
      <c r="H290" s="4" t="s">
        <v>367</v>
      </c>
      <c r="I290" s="4" t="s">
        <v>975</v>
      </c>
      <c r="J290" s="4" t="s">
        <v>31</v>
      </c>
      <c r="K290" s="4" t="s">
        <v>31</v>
      </c>
      <c r="L290" s="2" t="s">
        <v>373</v>
      </c>
      <c r="M290" s="2" t="s">
        <v>32</v>
      </c>
      <c r="N290" s="4" t="s">
        <v>528</v>
      </c>
      <c r="O290" s="4" t="s">
        <v>164</v>
      </c>
      <c r="P290" s="4" t="s">
        <v>35</v>
      </c>
      <c r="Q290" s="152">
        <v>747628.76</v>
      </c>
      <c r="R290" s="152">
        <v>1</v>
      </c>
      <c r="S290" s="152">
        <v>423.6</v>
      </c>
      <c r="U290" s="152">
        <v>3166.9549999999999</v>
      </c>
      <c r="V290" s="152">
        <v>2.7E-4</v>
      </c>
      <c r="W290" s="166">
        <v>1.1768811782091101E-2</v>
      </c>
      <c r="X290" s="166">
        <v>1.3532211668205001E-3</v>
      </c>
    </row>
    <row r="291" spans="1:24">
      <c r="A291" s="4" t="s">
        <v>128</v>
      </c>
      <c r="B291" s="4">
        <v>7228</v>
      </c>
      <c r="C291" s="4" t="s">
        <v>1885</v>
      </c>
      <c r="D291" s="4" t="s">
        <v>1886</v>
      </c>
      <c r="E291" s="4" t="s">
        <v>1376</v>
      </c>
      <c r="F291" s="4" t="s">
        <v>1887</v>
      </c>
      <c r="G291" s="4" t="s">
        <v>1888</v>
      </c>
      <c r="H291" s="4" t="s">
        <v>367</v>
      </c>
      <c r="I291" s="4" t="s">
        <v>975</v>
      </c>
      <c r="J291" s="4" t="s">
        <v>31</v>
      </c>
      <c r="K291" s="4" t="s">
        <v>31</v>
      </c>
      <c r="L291" s="2" t="s">
        <v>373</v>
      </c>
      <c r="M291" s="2" t="s">
        <v>32</v>
      </c>
      <c r="N291" s="4" t="s">
        <v>507</v>
      </c>
      <c r="O291" s="4" t="s">
        <v>164</v>
      </c>
      <c r="P291" s="4" t="s">
        <v>35</v>
      </c>
      <c r="Q291" s="152">
        <v>7599.88</v>
      </c>
      <c r="R291" s="152">
        <v>1</v>
      </c>
      <c r="S291" s="152">
        <v>35740</v>
      </c>
      <c r="U291" s="152">
        <v>2716.1970000000001</v>
      </c>
      <c r="V291" s="152">
        <v>3.0899999999999998E-4</v>
      </c>
      <c r="W291" s="166">
        <v>1.0093736178925301E-2</v>
      </c>
      <c r="X291" s="166">
        <v>1.16061482692831E-3</v>
      </c>
    </row>
    <row r="292" spans="1:24">
      <c r="A292" s="4" t="s">
        <v>128</v>
      </c>
      <c r="B292" s="4">
        <v>7228</v>
      </c>
      <c r="C292" s="4" t="s">
        <v>1897</v>
      </c>
      <c r="D292" s="4" t="s">
        <v>1898</v>
      </c>
      <c r="E292" s="4" t="s">
        <v>1376</v>
      </c>
      <c r="F292" s="4" t="s">
        <v>1899</v>
      </c>
      <c r="G292" s="4" t="s">
        <v>1900</v>
      </c>
      <c r="H292" s="4" t="s">
        <v>367</v>
      </c>
      <c r="I292" s="4" t="s">
        <v>975</v>
      </c>
      <c r="J292" s="4" t="s">
        <v>31</v>
      </c>
      <c r="K292" s="4" t="s">
        <v>31</v>
      </c>
      <c r="L292" s="2" t="s">
        <v>373</v>
      </c>
      <c r="M292" s="2" t="s">
        <v>32</v>
      </c>
      <c r="N292" s="4" t="s">
        <v>491</v>
      </c>
      <c r="O292" s="4" t="s">
        <v>164</v>
      </c>
      <c r="P292" s="4" t="s">
        <v>35</v>
      </c>
      <c r="Q292" s="152">
        <v>316632</v>
      </c>
      <c r="R292" s="152">
        <v>1</v>
      </c>
      <c r="S292" s="152">
        <v>1909</v>
      </c>
      <c r="U292" s="152">
        <v>6044.5050000000001</v>
      </c>
      <c r="V292" s="152">
        <v>2.5599999999999999E-4</v>
      </c>
      <c r="W292" s="166">
        <v>2.2462153914162002E-2</v>
      </c>
      <c r="X292" s="166">
        <v>2.5827808866209102E-3</v>
      </c>
    </row>
    <row r="293" spans="1:24">
      <c r="A293" s="4" t="s">
        <v>128</v>
      </c>
      <c r="B293" s="4">
        <v>7228</v>
      </c>
      <c r="C293" s="4" t="s">
        <v>1901</v>
      </c>
      <c r="D293" s="4" t="s">
        <v>1902</v>
      </c>
      <c r="E293" s="4" t="s">
        <v>1376</v>
      </c>
      <c r="F293" s="4" t="s">
        <v>1903</v>
      </c>
      <c r="G293" s="4" t="s">
        <v>1904</v>
      </c>
      <c r="H293" s="4" t="s">
        <v>367</v>
      </c>
      <c r="I293" s="4" t="s">
        <v>975</v>
      </c>
      <c r="J293" s="4" t="s">
        <v>31</v>
      </c>
      <c r="K293" s="4" t="s">
        <v>31</v>
      </c>
      <c r="L293" s="2" t="s">
        <v>373</v>
      </c>
      <c r="M293" s="2" t="s">
        <v>32</v>
      </c>
      <c r="N293" s="4" t="s">
        <v>480</v>
      </c>
      <c r="O293" s="4" t="s">
        <v>164</v>
      </c>
      <c r="P293" s="4" t="s">
        <v>35</v>
      </c>
      <c r="Q293" s="152">
        <v>33839</v>
      </c>
      <c r="R293" s="152">
        <v>1</v>
      </c>
      <c r="S293" s="152">
        <v>15700</v>
      </c>
      <c r="U293" s="152">
        <v>5312.723</v>
      </c>
      <c r="V293" s="152">
        <v>1.3159999999999999E-3</v>
      </c>
      <c r="W293" s="166">
        <v>1.9742758769897499E-2</v>
      </c>
      <c r="X293" s="166">
        <v>2.2700948535442902E-3</v>
      </c>
    </row>
    <row r="294" spans="1:24">
      <c r="A294" s="4" t="s">
        <v>128</v>
      </c>
      <c r="B294" s="4">
        <v>7228</v>
      </c>
      <c r="C294" s="4" t="s">
        <v>2159</v>
      </c>
      <c r="D294" s="4" t="s">
        <v>2160</v>
      </c>
      <c r="E294" s="4" t="s">
        <v>1376</v>
      </c>
      <c r="F294" s="4" t="s">
        <v>2161</v>
      </c>
      <c r="G294" s="4" t="s">
        <v>2162</v>
      </c>
      <c r="H294" s="4" t="s">
        <v>367</v>
      </c>
      <c r="I294" s="4" t="s">
        <v>975</v>
      </c>
      <c r="J294" s="4" t="s">
        <v>31</v>
      </c>
      <c r="K294" s="4" t="s">
        <v>31</v>
      </c>
      <c r="L294" s="2" t="s">
        <v>373</v>
      </c>
      <c r="M294" s="2" t="s">
        <v>32</v>
      </c>
      <c r="N294" s="4" t="s">
        <v>507</v>
      </c>
      <c r="O294" s="4" t="s">
        <v>164</v>
      </c>
      <c r="P294" s="4" t="s">
        <v>35</v>
      </c>
      <c r="Q294" s="152">
        <v>29627</v>
      </c>
      <c r="R294" s="152">
        <v>1</v>
      </c>
      <c r="S294" s="152">
        <v>2837</v>
      </c>
      <c r="U294" s="152">
        <v>840.51800000000003</v>
      </c>
      <c r="V294" s="152">
        <v>8.0400000000000003E-4</v>
      </c>
      <c r="W294" s="166">
        <v>3.12347244874787E-3</v>
      </c>
      <c r="X294" s="166">
        <v>3.5914832439229102E-4</v>
      </c>
    </row>
    <row r="295" spans="1:24">
      <c r="A295" s="4" t="s">
        <v>128</v>
      </c>
      <c r="B295" s="4">
        <v>7228</v>
      </c>
      <c r="C295" s="4" t="s">
        <v>1905</v>
      </c>
      <c r="D295" s="4" t="s">
        <v>1906</v>
      </c>
      <c r="E295" s="4" t="s">
        <v>1376</v>
      </c>
      <c r="F295" s="4" t="s">
        <v>1907</v>
      </c>
      <c r="G295" s="4" t="s">
        <v>1908</v>
      </c>
      <c r="H295" s="4" t="s">
        <v>367</v>
      </c>
      <c r="I295" s="4" t="s">
        <v>975</v>
      </c>
      <c r="J295" s="4" t="s">
        <v>31</v>
      </c>
      <c r="K295" s="4" t="s">
        <v>31</v>
      </c>
      <c r="L295" s="2" t="s">
        <v>373</v>
      </c>
      <c r="M295" s="2" t="s">
        <v>32</v>
      </c>
      <c r="N295" s="4" t="s">
        <v>488</v>
      </c>
      <c r="O295" s="4" t="s">
        <v>164</v>
      </c>
      <c r="P295" s="4" t="s">
        <v>35</v>
      </c>
      <c r="Q295" s="152">
        <v>113784</v>
      </c>
      <c r="R295" s="152">
        <v>1</v>
      </c>
      <c r="S295" s="152">
        <v>3419</v>
      </c>
      <c r="U295" s="152">
        <v>3890.2750000000001</v>
      </c>
      <c r="V295" s="152">
        <v>4.3800000000000002E-4</v>
      </c>
      <c r="W295" s="166">
        <v>1.4456759760268501E-2</v>
      </c>
      <c r="X295" s="166">
        <v>1.66229128933848E-3</v>
      </c>
    </row>
    <row r="296" spans="1:24">
      <c r="A296" s="4" t="s">
        <v>128</v>
      </c>
      <c r="B296" s="4">
        <v>7228</v>
      </c>
      <c r="C296" s="4" t="s">
        <v>1909</v>
      </c>
      <c r="D296" s="4" t="s">
        <v>1910</v>
      </c>
      <c r="E296" s="4" t="s">
        <v>1376</v>
      </c>
      <c r="F296" s="4" t="s">
        <v>1911</v>
      </c>
      <c r="G296" s="4" t="s">
        <v>1912</v>
      </c>
      <c r="H296" s="4" t="s">
        <v>367</v>
      </c>
      <c r="I296" s="4" t="s">
        <v>975</v>
      </c>
      <c r="J296" s="4" t="s">
        <v>31</v>
      </c>
      <c r="K296" s="4" t="s">
        <v>31</v>
      </c>
      <c r="L296" s="2" t="s">
        <v>373</v>
      </c>
      <c r="M296" s="2" t="s">
        <v>32</v>
      </c>
      <c r="N296" s="4" t="s">
        <v>488</v>
      </c>
      <c r="O296" s="4" t="s">
        <v>164</v>
      </c>
      <c r="P296" s="4" t="s">
        <v>35</v>
      </c>
      <c r="Q296" s="152">
        <v>129616</v>
      </c>
      <c r="R296" s="152">
        <v>1</v>
      </c>
      <c r="S296" s="152">
        <v>2997</v>
      </c>
      <c r="U296" s="152">
        <v>3884.5920000000001</v>
      </c>
      <c r="V296" s="152">
        <v>6.2100000000000002E-4</v>
      </c>
      <c r="W296" s="166">
        <v>1.4435639369669699E-2</v>
      </c>
      <c r="X296" s="166">
        <v>1.6598627893217399E-3</v>
      </c>
    </row>
    <row r="297" spans="1:24">
      <c r="A297" s="4" t="s">
        <v>128</v>
      </c>
      <c r="B297" s="4">
        <v>7228</v>
      </c>
      <c r="C297" s="4" t="s">
        <v>1913</v>
      </c>
      <c r="D297" s="4" t="s">
        <v>1914</v>
      </c>
      <c r="E297" s="4" t="s">
        <v>1376</v>
      </c>
      <c r="F297" s="4" t="s">
        <v>1915</v>
      </c>
      <c r="G297" s="4" t="s">
        <v>1916</v>
      </c>
      <c r="H297" s="4" t="s">
        <v>367</v>
      </c>
      <c r="I297" s="4" t="s">
        <v>975</v>
      </c>
      <c r="J297" s="4" t="s">
        <v>31</v>
      </c>
      <c r="K297" s="4" t="s">
        <v>31</v>
      </c>
      <c r="L297" s="2" t="s">
        <v>373</v>
      </c>
      <c r="M297" s="2" t="s">
        <v>32</v>
      </c>
      <c r="N297" s="4" t="s">
        <v>494</v>
      </c>
      <c r="O297" s="4" t="s">
        <v>164</v>
      </c>
      <c r="P297" s="4" t="s">
        <v>35</v>
      </c>
      <c r="Q297" s="152">
        <v>1785</v>
      </c>
      <c r="R297" s="152">
        <v>1</v>
      </c>
      <c r="S297" s="152">
        <v>83740</v>
      </c>
      <c r="U297" s="152">
        <v>1494.759</v>
      </c>
      <c r="V297" s="152">
        <v>2.33E-4</v>
      </c>
      <c r="W297" s="166">
        <v>5.5547157937903503E-3</v>
      </c>
      <c r="X297" s="166">
        <v>6.3870160616109699E-4</v>
      </c>
    </row>
    <row r="298" spans="1:24">
      <c r="A298" s="4" t="s">
        <v>128</v>
      </c>
      <c r="B298" s="4">
        <v>7228</v>
      </c>
      <c r="C298" s="4" t="s">
        <v>1917</v>
      </c>
      <c r="D298" s="4" t="s">
        <v>1918</v>
      </c>
      <c r="E298" s="4" t="s">
        <v>1376</v>
      </c>
      <c r="F298" s="4" t="s">
        <v>1919</v>
      </c>
      <c r="G298" s="4" t="s">
        <v>1920</v>
      </c>
      <c r="H298" s="4" t="s">
        <v>367</v>
      </c>
      <c r="I298" s="4" t="s">
        <v>975</v>
      </c>
      <c r="J298" s="4" t="s">
        <v>31</v>
      </c>
      <c r="K298" s="4" t="s">
        <v>31</v>
      </c>
      <c r="L298" s="2" t="s">
        <v>373</v>
      </c>
      <c r="M298" s="2" t="s">
        <v>32</v>
      </c>
      <c r="N298" s="4" t="s">
        <v>520</v>
      </c>
      <c r="O298" s="4" t="s">
        <v>164</v>
      </c>
      <c r="P298" s="4" t="s">
        <v>35</v>
      </c>
      <c r="Q298" s="152">
        <v>12867</v>
      </c>
      <c r="R298" s="152">
        <v>1</v>
      </c>
      <c r="S298" s="152">
        <v>19600</v>
      </c>
      <c r="U298" s="152">
        <v>2521.9319999999998</v>
      </c>
      <c r="V298" s="152">
        <v>5.4699999999999996E-4</v>
      </c>
      <c r="W298" s="166">
        <v>9.3718221541166692E-3</v>
      </c>
      <c r="X298" s="166">
        <v>1.07760650314135E-3</v>
      </c>
    </row>
    <row r="299" spans="1:24">
      <c r="A299" s="4" t="s">
        <v>128</v>
      </c>
      <c r="B299" s="4">
        <v>7228</v>
      </c>
      <c r="C299" s="4" t="s">
        <v>1925</v>
      </c>
      <c r="D299" s="4" t="s">
        <v>1926</v>
      </c>
      <c r="E299" s="4" t="s">
        <v>1376</v>
      </c>
      <c r="F299" s="4" t="s">
        <v>1927</v>
      </c>
      <c r="G299" s="4" t="s">
        <v>1928</v>
      </c>
      <c r="H299" s="4" t="s">
        <v>367</v>
      </c>
      <c r="I299" s="4" t="s">
        <v>975</v>
      </c>
      <c r="J299" s="4" t="s">
        <v>31</v>
      </c>
      <c r="K299" s="4" t="s">
        <v>345</v>
      </c>
      <c r="L299" s="2" t="s">
        <v>373</v>
      </c>
      <c r="M299" s="2" t="s">
        <v>32</v>
      </c>
      <c r="N299" s="4" t="s">
        <v>501</v>
      </c>
      <c r="O299" s="4" t="s">
        <v>164</v>
      </c>
      <c r="P299" s="4" t="s">
        <v>35</v>
      </c>
      <c r="Q299" s="152">
        <v>22303.32</v>
      </c>
      <c r="R299" s="152">
        <v>1</v>
      </c>
      <c r="S299" s="152">
        <v>14820</v>
      </c>
      <c r="U299" s="152">
        <v>3305.3519999999999</v>
      </c>
      <c r="V299" s="152">
        <v>2.03E-4</v>
      </c>
      <c r="W299" s="166">
        <v>1.22831112518805E-2</v>
      </c>
      <c r="X299" s="166">
        <v>1.4123572071863301E-3</v>
      </c>
    </row>
    <row r="300" spans="1:24">
      <c r="A300" s="4" t="s">
        <v>128</v>
      </c>
      <c r="B300" s="4">
        <v>7228</v>
      </c>
      <c r="C300" s="4" t="s">
        <v>1929</v>
      </c>
      <c r="D300" s="4" t="s">
        <v>1930</v>
      </c>
      <c r="E300" s="4" t="s">
        <v>1376</v>
      </c>
      <c r="F300" s="4" t="s">
        <v>1931</v>
      </c>
      <c r="G300" s="4" t="s">
        <v>1932</v>
      </c>
      <c r="H300" s="4" t="s">
        <v>367</v>
      </c>
      <c r="I300" s="4" t="s">
        <v>975</v>
      </c>
      <c r="J300" s="4" t="s">
        <v>31</v>
      </c>
      <c r="K300" s="4" t="s">
        <v>95</v>
      </c>
      <c r="L300" s="2" t="s">
        <v>373</v>
      </c>
      <c r="M300" s="2" t="s">
        <v>32</v>
      </c>
      <c r="N300" s="4" t="s">
        <v>510</v>
      </c>
      <c r="O300" s="4" t="s">
        <v>164</v>
      </c>
      <c r="P300" s="4" t="s">
        <v>35</v>
      </c>
      <c r="Q300" s="152">
        <v>158568</v>
      </c>
      <c r="R300" s="152">
        <v>1</v>
      </c>
      <c r="S300" s="152">
        <v>6120</v>
      </c>
      <c r="U300" s="152">
        <v>9704.3619999999992</v>
      </c>
      <c r="V300" s="152">
        <v>1.4100000000000001E-4</v>
      </c>
      <c r="W300" s="166">
        <v>3.6062649997874299E-2</v>
      </c>
      <c r="X300" s="166">
        <v>4.1466158361903697E-3</v>
      </c>
    </row>
    <row r="301" spans="1:24">
      <c r="A301" s="4" t="s">
        <v>128</v>
      </c>
      <c r="B301" s="4">
        <v>7228</v>
      </c>
      <c r="C301" s="4" t="s">
        <v>1933</v>
      </c>
      <c r="D301" s="4" t="s">
        <v>1934</v>
      </c>
      <c r="E301" s="4" t="s">
        <v>1376</v>
      </c>
      <c r="F301" s="4" t="s">
        <v>1935</v>
      </c>
      <c r="G301" s="4" t="s">
        <v>1936</v>
      </c>
      <c r="H301" s="4" t="s">
        <v>367</v>
      </c>
      <c r="I301" s="4" t="s">
        <v>975</v>
      </c>
      <c r="J301" s="4" t="s">
        <v>31</v>
      </c>
      <c r="K301" s="4" t="s">
        <v>31</v>
      </c>
      <c r="L301" s="2" t="s">
        <v>373</v>
      </c>
      <c r="M301" s="2" t="s">
        <v>32</v>
      </c>
      <c r="N301" s="4" t="s">
        <v>519</v>
      </c>
      <c r="O301" s="4" t="s">
        <v>164</v>
      </c>
      <c r="P301" s="4" t="s">
        <v>35</v>
      </c>
      <c r="Q301" s="152">
        <v>317285</v>
      </c>
      <c r="R301" s="152">
        <v>1</v>
      </c>
      <c r="S301" s="152">
        <v>488.5</v>
      </c>
      <c r="U301" s="152">
        <v>1549.9369999999999</v>
      </c>
      <c r="V301" s="152">
        <v>2.98E-3</v>
      </c>
      <c r="W301" s="166">
        <v>5.7597651414650003E-3</v>
      </c>
      <c r="X301" s="166">
        <v>6.6227893262818603E-4</v>
      </c>
    </row>
    <row r="302" spans="1:24">
      <c r="A302" s="4" t="s">
        <v>128</v>
      </c>
      <c r="B302" s="4">
        <v>7228</v>
      </c>
      <c r="C302" s="4" t="s">
        <v>1937</v>
      </c>
      <c r="D302" s="4" t="s">
        <v>1938</v>
      </c>
      <c r="E302" s="4" t="s">
        <v>1376</v>
      </c>
      <c r="F302" s="4" t="s">
        <v>1939</v>
      </c>
      <c r="G302" s="4" t="s">
        <v>1940</v>
      </c>
      <c r="H302" s="4" t="s">
        <v>367</v>
      </c>
      <c r="I302" s="4" t="s">
        <v>975</v>
      </c>
      <c r="J302" s="4" t="s">
        <v>31</v>
      </c>
      <c r="K302" s="4" t="s">
        <v>31</v>
      </c>
      <c r="L302" s="2" t="s">
        <v>373</v>
      </c>
      <c r="M302" s="2" t="s">
        <v>32</v>
      </c>
      <c r="N302" s="4" t="s">
        <v>522</v>
      </c>
      <c r="O302" s="4" t="s">
        <v>164</v>
      </c>
      <c r="P302" s="4" t="s">
        <v>35</v>
      </c>
      <c r="Q302" s="152">
        <v>507384</v>
      </c>
      <c r="R302" s="152">
        <v>1</v>
      </c>
      <c r="S302" s="152">
        <v>1257</v>
      </c>
      <c r="U302" s="152">
        <v>6377.817</v>
      </c>
      <c r="V302" s="152">
        <v>2.5339999999999998E-3</v>
      </c>
      <c r="W302" s="166">
        <v>2.3700783974700101E-2</v>
      </c>
      <c r="X302" s="166">
        <v>2.7252031163935799E-3</v>
      </c>
    </row>
    <row r="303" spans="1:24">
      <c r="A303" s="4" t="s">
        <v>128</v>
      </c>
      <c r="B303" s="4">
        <v>7228</v>
      </c>
      <c r="C303" s="4" t="s">
        <v>1941</v>
      </c>
      <c r="D303" s="4" t="s">
        <v>1942</v>
      </c>
      <c r="E303" s="4" t="s">
        <v>1376</v>
      </c>
      <c r="F303" s="4" t="s">
        <v>1943</v>
      </c>
      <c r="G303" s="4" t="s">
        <v>1944</v>
      </c>
      <c r="H303" s="4" t="s">
        <v>367</v>
      </c>
      <c r="I303" s="4" t="s">
        <v>975</v>
      </c>
      <c r="J303" s="4" t="s">
        <v>31</v>
      </c>
      <c r="K303" s="4" t="s">
        <v>31</v>
      </c>
      <c r="L303" s="2" t="s">
        <v>373</v>
      </c>
      <c r="M303" s="2" t="s">
        <v>32</v>
      </c>
      <c r="N303" s="4" t="s">
        <v>488</v>
      </c>
      <c r="O303" s="4" t="s">
        <v>164</v>
      </c>
      <c r="P303" s="4" t="s">
        <v>35</v>
      </c>
      <c r="Q303" s="152">
        <v>72602</v>
      </c>
      <c r="R303" s="152">
        <v>1</v>
      </c>
      <c r="S303" s="152">
        <v>5291</v>
      </c>
      <c r="U303" s="152">
        <v>3841.3719999999998</v>
      </c>
      <c r="V303" s="152">
        <v>9.19E-4</v>
      </c>
      <c r="W303" s="166">
        <v>1.4275029431751299E-2</v>
      </c>
      <c r="X303" s="166">
        <v>1.64139526926814E-3</v>
      </c>
    </row>
    <row r="304" spans="1:24">
      <c r="A304" s="4" t="s">
        <v>128</v>
      </c>
      <c r="B304" s="4">
        <v>7228</v>
      </c>
      <c r="C304" s="4" t="s">
        <v>1222</v>
      </c>
      <c r="D304" s="4" t="s">
        <v>1945</v>
      </c>
      <c r="E304" s="4" t="s">
        <v>1376</v>
      </c>
      <c r="F304" s="4" t="s">
        <v>1946</v>
      </c>
      <c r="G304" s="4" t="s">
        <v>1947</v>
      </c>
      <c r="H304" s="4" t="s">
        <v>367</v>
      </c>
      <c r="I304" s="4" t="s">
        <v>975</v>
      </c>
      <c r="J304" s="4" t="s">
        <v>31</v>
      </c>
      <c r="K304" s="4" t="s">
        <v>31</v>
      </c>
      <c r="L304" s="2" t="s">
        <v>373</v>
      </c>
      <c r="M304" s="2" t="s">
        <v>32</v>
      </c>
      <c r="N304" s="4" t="s">
        <v>491</v>
      </c>
      <c r="O304" s="4" t="s">
        <v>164</v>
      </c>
      <c r="P304" s="4" t="s">
        <v>35</v>
      </c>
      <c r="Q304" s="152">
        <v>357564</v>
      </c>
      <c r="R304" s="152">
        <v>1</v>
      </c>
      <c r="S304" s="152">
        <v>3110</v>
      </c>
      <c r="U304" s="152">
        <v>11120.24</v>
      </c>
      <c r="V304" s="152">
        <v>2.2100000000000001E-4</v>
      </c>
      <c r="W304" s="166">
        <v>4.13242368707099E-2</v>
      </c>
      <c r="X304" s="166">
        <v>4.7516124033222199E-3</v>
      </c>
    </row>
    <row r="305" spans="1:24">
      <c r="A305" s="4" t="s">
        <v>128</v>
      </c>
      <c r="B305" s="4">
        <v>7228</v>
      </c>
      <c r="C305" s="4" t="s">
        <v>1948</v>
      </c>
      <c r="D305" s="4" t="s">
        <v>1949</v>
      </c>
      <c r="E305" s="4" t="s">
        <v>1376</v>
      </c>
      <c r="F305" s="4" t="s">
        <v>1950</v>
      </c>
      <c r="G305" s="4" t="s">
        <v>1951</v>
      </c>
      <c r="H305" s="4" t="s">
        <v>367</v>
      </c>
      <c r="I305" s="4" t="s">
        <v>975</v>
      </c>
      <c r="J305" s="4" t="s">
        <v>31</v>
      </c>
      <c r="K305" s="4" t="s">
        <v>31</v>
      </c>
      <c r="L305" s="2" t="s">
        <v>373</v>
      </c>
      <c r="M305" s="2" t="s">
        <v>32</v>
      </c>
      <c r="N305" s="4" t="s">
        <v>507</v>
      </c>
      <c r="O305" s="4" t="s">
        <v>164</v>
      </c>
      <c r="P305" s="4" t="s">
        <v>35</v>
      </c>
      <c r="Q305" s="152">
        <v>118140</v>
      </c>
      <c r="R305" s="152">
        <v>1</v>
      </c>
      <c r="S305" s="152">
        <v>729.3</v>
      </c>
      <c r="U305" s="152">
        <v>861.59500000000003</v>
      </c>
      <c r="V305" s="152">
        <v>7.8600000000000002E-4</v>
      </c>
      <c r="W305" s="166">
        <v>3.20179739037872E-3</v>
      </c>
      <c r="X305" s="166">
        <v>3.6815441361075799E-4</v>
      </c>
    </row>
    <row r="306" spans="1:24">
      <c r="A306" s="4" t="s">
        <v>128</v>
      </c>
      <c r="B306" s="4">
        <v>7228</v>
      </c>
      <c r="C306" s="4" t="s">
        <v>1952</v>
      </c>
      <c r="D306" s="4" t="s">
        <v>1953</v>
      </c>
      <c r="E306" s="4" t="s">
        <v>1376</v>
      </c>
      <c r="F306" s="4" t="s">
        <v>1954</v>
      </c>
      <c r="G306" s="4" t="s">
        <v>1955</v>
      </c>
      <c r="H306" s="4" t="s">
        <v>367</v>
      </c>
      <c r="I306" s="4" t="s">
        <v>975</v>
      </c>
      <c r="J306" s="4" t="s">
        <v>31</v>
      </c>
      <c r="K306" s="4" t="s">
        <v>31</v>
      </c>
      <c r="L306" s="2" t="s">
        <v>373</v>
      </c>
      <c r="M306" s="2" t="s">
        <v>32</v>
      </c>
      <c r="N306" s="4" t="s">
        <v>502</v>
      </c>
      <c r="O306" s="4" t="s">
        <v>164</v>
      </c>
      <c r="P306" s="4" t="s">
        <v>35</v>
      </c>
      <c r="Q306" s="152">
        <v>12964.46</v>
      </c>
      <c r="R306" s="152">
        <v>1</v>
      </c>
      <c r="S306" s="152">
        <v>14490</v>
      </c>
      <c r="U306" s="152">
        <v>1878.55</v>
      </c>
      <c r="V306" s="152">
        <v>3.8990000000000001E-3</v>
      </c>
      <c r="W306" s="166">
        <v>6.9809332242339204E-3</v>
      </c>
      <c r="X306" s="166">
        <v>8.0269332011657902E-4</v>
      </c>
    </row>
    <row r="307" spans="1:24">
      <c r="A307" s="4" t="s">
        <v>128</v>
      </c>
      <c r="B307" s="4">
        <v>7228</v>
      </c>
      <c r="C307" s="4" t="s">
        <v>2173</v>
      </c>
      <c r="D307" s="4" t="s">
        <v>2174</v>
      </c>
      <c r="E307" s="4" t="s">
        <v>1376</v>
      </c>
      <c r="F307" s="4" t="s">
        <v>2175</v>
      </c>
      <c r="G307" s="4" t="s">
        <v>2176</v>
      </c>
      <c r="H307" s="4" t="s">
        <v>367</v>
      </c>
      <c r="I307" s="4" t="s">
        <v>975</v>
      </c>
      <c r="J307" s="4" t="s">
        <v>31</v>
      </c>
      <c r="K307" s="4" t="s">
        <v>31</v>
      </c>
      <c r="L307" s="2" t="s">
        <v>373</v>
      </c>
      <c r="M307" s="2" t="s">
        <v>32</v>
      </c>
      <c r="N307" s="4" t="s">
        <v>519</v>
      </c>
      <c r="O307" s="4" t="s">
        <v>164</v>
      </c>
      <c r="P307" s="4" t="s">
        <v>35</v>
      </c>
      <c r="Q307" s="152">
        <v>43050</v>
      </c>
      <c r="R307" s="152">
        <v>1</v>
      </c>
      <c r="S307" s="152">
        <v>445.9</v>
      </c>
      <c r="U307" s="152">
        <v>191.96</v>
      </c>
      <c r="V307" s="152">
        <v>1.8370000000000001E-3</v>
      </c>
      <c r="W307" s="166">
        <v>7.1334774772401804E-4</v>
      </c>
      <c r="X307" s="166">
        <v>8.2023341812027207E-5</v>
      </c>
    </row>
    <row r="308" spans="1:24">
      <c r="A308" s="4" t="s">
        <v>128</v>
      </c>
      <c r="B308" s="4">
        <v>7228</v>
      </c>
      <c r="C308" s="4" t="s">
        <v>1956</v>
      </c>
      <c r="D308" s="4" t="s">
        <v>1957</v>
      </c>
      <c r="E308" s="4" t="s">
        <v>1376</v>
      </c>
      <c r="F308" s="4" t="s">
        <v>1958</v>
      </c>
      <c r="G308" s="4" t="s">
        <v>1959</v>
      </c>
      <c r="H308" s="4" t="s">
        <v>367</v>
      </c>
      <c r="I308" s="4" t="s">
        <v>975</v>
      </c>
      <c r="J308" s="4" t="s">
        <v>31</v>
      </c>
      <c r="K308" s="4" t="s">
        <v>31</v>
      </c>
      <c r="L308" s="2" t="s">
        <v>373</v>
      </c>
      <c r="M308" s="2" t="s">
        <v>32</v>
      </c>
      <c r="N308" s="4" t="s">
        <v>520</v>
      </c>
      <c r="O308" s="4" t="s">
        <v>164</v>
      </c>
      <c r="P308" s="4" t="s">
        <v>35</v>
      </c>
      <c r="Q308" s="152">
        <v>20764</v>
      </c>
      <c r="R308" s="152">
        <v>1</v>
      </c>
      <c r="S308" s="152">
        <v>6901</v>
      </c>
      <c r="T308" s="150">
        <v>16.818999999999999</v>
      </c>
      <c r="U308" s="152">
        <v>1449.742</v>
      </c>
      <c r="V308" s="152">
        <v>3.2699999999999998E-4</v>
      </c>
      <c r="W308" s="166">
        <v>5.3874286427342396E-3</v>
      </c>
      <c r="X308" s="166">
        <v>6.1946631563748603E-4</v>
      </c>
    </row>
    <row r="309" spans="1:24">
      <c r="A309" s="4" t="s">
        <v>128</v>
      </c>
      <c r="B309" s="4">
        <v>7228</v>
      </c>
      <c r="C309" s="4" t="s">
        <v>1960</v>
      </c>
      <c r="D309" s="4" t="s">
        <v>1961</v>
      </c>
      <c r="E309" s="4" t="s">
        <v>1376</v>
      </c>
      <c r="F309" s="4" t="s">
        <v>1962</v>
      </c>
      <c r="G309" s="4" t="s">
        <v>1963</v>
      </c>
      <c r="H309" s="4" t="s">
        <v>367</v>
      </c>
      <c r="I309" s="4" t="s">
        <v>975</v>
      </c>
      <c r="J309" s="4" t="s">
        <v>31</v>
      </c>
      <c r="K309" s="4" t="s">
        <v>31</v>
      </c>
      <c r="L309" s="2" t="s">
        <v>373</v>
      </c>
      <c r="M309" s="2" t="s">
        <v>32</v>
      </c>
      <c r="N309" s="4" t="s">
        <v>507</v>
      </c>
      <c r="O309" s="4" t="s">
        <v>164</v>
      </c>
      <c r="P309" s="4" t="s">
        <v>35</v>
      </c>
      <c r="Q309" s="152">
        <v>4654</v>
      </c>
      <c r="R309" s="152">
        <v>1</v>
      </c>
      <c r="S309" s="152">
        <v>24710</v>
      </c>
      <c r="U309" s="152">
        <v>1150.0029999999999</v>
      </c>
      <c r="V309" s="152">
        <v>9.7999999999999997E-5</v>
      </c>
      <c r="W309" s="166">
        <v>4.2735598507134603E-3</v>
      </c>
      <c r="X309" s="166">
        <v>4.9138959435649702E-4</v>
      </c>
    </row>
    <row r="310" spans="1:24">
      <c r="A310" s="4" t="s">
        <v>128</v>
      </c>
      <c r="B310" s="4">
        <v>7228</v>
      </c>
      <c r="C310" s="4" t="s">
        <v>1964</v>
      </c>
      <c r="D310" s="4" t="s">
        <v>1965</v>
      </c>
      <c r="E310" s="4" t="s">
        <v>1376</v>
      </c>
      <c r="F310" s="4" t="s">
        <v>1966</v>
      </c>
      <c r="G310" s="4" t="s">
        <v>1967</v>
      </c>
      <c r="H310" s="4" t="s">
        <v>367</v>
      </c>
      <c r="I310" s="4" t="s">
        <v>975</v>
      </c>
      <c r="J310" s="4" t="s">
        <v>31</v>
      </c>
      <c r="K310" s="4" t="s">
        <v>31</v>
      </c>
      <c r="L310" s="2" t="s">
        <v>373</v>
      </c>
      <c r="M310" s="2" t="s">
        <v>32</v>
      </c>
      <c r="N310" s="4" t="s">
        <v>488</v>
      </c>
      <c r="O310" s="4" t="s">
        <v>164</v>
      </c>
      <c r="P310" s="4" t="s">
        <v>35</v>
      </c>
      <c r="Q310" s="152">
        <v>41274</v>
      </c>
      <c r="R310" s="152">
        <v>1</v>
      </c>
      <c r="S310" s="152">
        <v>8960</v>
      </c>
      <c r="U310" s="152">
        <v>3698.15</v>
      </c>
      <c r="V310" s="152">
        <v>6.6699999999999995E-4</v>
      </c>
      <c r="W310" s="166">
        <v>1.3742800300712101E-2</v>
      </c>
      <c r="X310" s="166">
        <v>1.5801976106551701E-3</v>
      </c>
    </row>
    <row r="311" spans="1:24">
      <c r="A311" s="4" t="s">
        <v>128</v>
      </c>
      <c r="B311" s="4">
        <v>7228</v>
      </c>
      <c r="C311" s="4" t="s">
        <v>1968</v>
      </c>
      <c r="D311" s="4" t="s">
        <v>1518</v>
      </c>
      <c r="E311" s="4" t="s">
        <v>1376</v>
      </c>
      <c r="F311" s="4" t="s">
        <v>1969</v>
      </c>
      <c r="G311" s="4" t="s">
        <v>1970</v>
      </c>
      <c r="H311" s="4" t="s">
        <v>367</v>
      </c>
      <c r="I311" s="4" t="s">
        <v>975</v>
      </c>
      <c r="J311" s="4" t="s">
        <v>31</v>
      </c>
      <c r="K311" s="4" t="s">
        <v>31</v>
      </c>
      <c r="L311" s="2" t="s">
        <v>373</v>
      </c>
      <c r="M311" s="2" t="s">
        <v>32</v>
      </c>
      <c r="N311" s="4" t="s">
        <v>486</v>
      </c>
      <c r="O311" s="4" t="s">
        <v>164</v>
      </c>
      <c r="P311" s="4" t="s">
        <v>35</v>
      </c>
      <c r="Q311" s="152">
        <v>405371</v>
      </c>
      <c r="R311" s="152">
        <v>1</v>
      </c>
      <c r="S311" s="152">
        <v>1058</v>
      </c>
      <c r="U311" s="152">
        <v>4288.8249999999998</v>
      </c>
      <c r="V311" s="152">
        <v>6.7029999999999998E-3</v>
      </c>
      <c r="W311" s="166">
        <v>1.5937823397719399E-2</v>
      </c>
      <c r="X311" s="166">
        <v>1.8325894214453E-3</v>
      </c>
    </row>
    <row r="312" spans="1:24">
      <c r="A312" s="4" t="s">
        <v>128</v>
      </c>
      <c r="B312" s="4">
        <v>7228</v>
      </c>
      <c r="C312" s="4" t="s">
        <v>1971</v>
      </c>
      <c r="D312" s="4" t="s">
        <v>1972</v>
      </c>
      <c r="E312" s="4" t="s">
        <v>1376</v>
      </c>
      <c r="F312" s="4" t="s">
        <v>1973</v>
      </c>
      <c r="G312" s="4" t="s">
        <v>1974</v>
      </c>
      <c r="H312" s="4" t="s">
        <v>367</v>
      </c>
      <c r="I312" s="4" t="s">
        <v>975</v>
      </c>
      <c r="J312" s="4" t="s">
        <v>31</v>
      </c>
      <c r="K312" s="4" t="s">
        <v>31</v>
      </c>
      <c r="L312" s="2" t="s">
        <v>373</v>
      </c>
      <c r="M312" s="2" t="s">
        <v>32</v>
      </c>
      <c r="N312" s="4" t="s">
        <v>519</v>
      </c>
      <c r="O312" s="4" t="s">
        <v>164</v>
      </c>
      <c r="P312" s="4" t="s">
        <v>35</v>
      </c>
      <c r="Q312" s="152">
        <v>284742</v>
      </c>
      <c r="R312" s="152">
        <v>1</v>
      </c>
      <c r="S312" s="152">
        <v>871.5</v>
      </c>
      <c r="U312" s="152">
        <v>2481.527</v>
      </c>
      <c r="V312" s="152">
        <v>2.0479999999999999E-3</v>
      </c>
      <c r="W312" s="166">
        <v>9.2216702551386198E-3</v>
      </c>
      <c r="X312" s="166">
        <v>1.06034148678307E-3</v>
      </c>
    </row>
    <row r="313" spans="1:24">
      <c r="A313" s="4" t="s">
        <v>128</v>
      </c>
      <c r="B313" s="4">
        <v>7228</v>
      </c>
      <c r="C313" s="4" t="s">
        <v>1975</v>
      </c>
      <c r="D313" s="4" t="s">
        <v>1976</v>
      </c>
      <c r="E313" s="4" t="s">
        <v>1376</v>
      </c>
      <c r="F313" s="4" t="s">
        <v>1977</v>
      </c>
      <c r="G313" s="4" t="s">
        <v>1978</v>
      </c>
      <c r="H313" s="4" t="s">
        <v>367</v>
      </c>
      <c r="I313" s="4" t="s">
        <v>975</v>
      </c>
      <c r="J313" s="4" t="s">
        <v>31</v>
      </c>
      <c r="K313" s="4" t="s">
        <v>31</v>
      </c>
      <c r="L313" s="2" t="s">
        <v>373</v>
      </c>
      <c r="M313" s="2" t="s">
        <v>32</v>
      </c>
      <c r="N313" s="4" t="s">
        <v>497</v>
      </c>
      <c r="O313" s="4" t="s">
        <v>164</v>
      </c>
      <c r="P313" s="4" t="s">
        <v>35</v>
      </c>
      <c r="Q313" s="152">
        <v>205266.19</v>
      </c>
      <c r="R313" s="152">
        <v>1</v>
      </c>
      <c r="S313" s="152">
        <v>895.6</v>
      </c>
      <c r="U313" s="152">
        <v>1838.364</v>
      </c>
      <c r="V313" s="152">
        <v>1.75E-4</v>
      </c>
      <c r="W313" s="166">
        <v>6.8315959512044904E-3</v>
      </c>
      <c r="X313" s="166">
        <v>7.8552197243930504E-4</v>
      </c>
    </row>
    <row r="314" spans="1:24">
      <c r="A314" s="4" t="s">
        <v>128</v>
      </c>
      <c r="B314" s="4">
        <v>7228</v>
      </c>
      <c r="C314" s="4" t="s">
        <v>1979</v>
      </c>
      <c r="D314" s="4" t="s">
        <v>1980</v>
      </c>
      <c r="E314" s="4" t="s">
        <v>1376</v>
      </c>
      <c r="F314" s="4" t="s">
        <v>1981</v>
      </c>
      <c r="G314" s="4" t="s">
        <v>1982</v>
      </c>
      <c r="H314" s="4" t="s">
        <v>367</v>
      </c>
      <c r="I314" s="4" t="s">
        <v>975</v>
      </c>
      <c r="J314" s="4" t="s">
        <v>31</v>
      </c>
      <c r="K314" s="4" t="s">
        <v>95</v>
      </c>
      <c r="L314" s="2" t="s">
        <v>373</v>
      </c>
      <c r="M314" s="2" t="s">
        <v>32</v>
      </c>
      <c r="N314" s="4" t="s">
        <v>524</v>
      </c>
      <c r="O314" s="4" t="s">
        <v>164</v>
      </c>
      <c r="P314" s="4" t="s">
        <v>35</v>
      </c>
      <c r="Q314" s="152">
        <v>11440</v>
      </c>
      <c r="R314" s="152">
        <v>1</v>
      </c>
      <c r="S314" s="152">
        <v>64400</v>
      </c>
      <c r="U314" s="152">
        <v>7367.36</v>
      </c>
      <c r="V314" s="152">
        <v>1.8100000000000001E-4</v>
      </c>
      <c r="W314" s="166">
        <v>2.7378052883802202E-2</v>
      </c>
      <c r="X314" s="166">
        <v>3.1480289900693201E-3</v>
      </c>
    </row>
    <row r="315" spans="1:24">
      <c r="A315" s="4" t="s">
        <v>128</v>
      </c>
      <c r="B315" s="4">
        <v>7228</v>
      </c>
      <c r="C315" s="4" t="s">
        <v>1983</v>
      </c>
      <c r="D315" s="4" t="s">
        <v>1984</v>
      </c>
      <c r="E315" s="4" t="s">
        <v>1376</v>
      </c>
      <c r="F315" s="4" t="s">
        <v>1985</v>
      </c>
      <c r="G315" s="4" t="s">
        <v>1986</v>
      </c>
      <c r="H315" s="4" t="s">
        <v>367</v>
      </c>
      <c r="I315" s="4" t="s">
        <v>975</v>
      </c>
      <c r="J315" s="4" t="s">
        <v>31</v>
      </c>
      <c r="K315" s="4" t="s">
        <v>31</v>
      </c>
      <c r="L315" s="2" t="s">
        <v>373</v>
      </c>
      <c r="M315" s="2" t="s">
        <v>32</v>
      </c>
      <c r="N315" s="4" t="s">
        <v>524</v>
      </c>
      <c r="O315" s="4" t="s">
        <v>164</v>
      </c>
      <c r="P315" s="4" t="s">
        <v>35</v>
      </c>
      <c r="Q315" s="152">
        <v>207690</v>
      </c>
      <c r="R315" s="152">
        <v>1</v>
      </c>
      <c r="S315" s="152">
        <v>45.3</v>
      </c>
      <c r="U315" s="152">
        <v>94.084000000000003</v>
      </c>
      <c r="V315" s="152">
        <v>1.513E-3</v>
      </c>
      <c r="W315" s="166">
        <v>3.4962659011598501E-4</v>
      </c>
      <c r="X315" s="166">
        <v>4.02013483594145E-5</v>
      </c>
    </row>
    <row r="316" spans="1:24">
      <c r="A316" s="4" t="s">
        <v>128</v>
      </c>
      <c r="B316" s="4">
        <v>7228</v>
      </c>
      <c r="C316" s="4" t="s">
        <v>1987</v>
      </c>
      <c r="D316" s="4" t="s">
        <v>1988</v>
      </c>
      <c r="E316" s="4" t="s">
        <v>1376</v>
      </c>
      <c r="F316" s="4" t="s">
        <v>1989</v>
      </c>
      <c r="G316" s="4" t="s">
        <v>1990</v>
      </c>
      <c r="H316" s="4" t="s">
        <v>367</v>
      </c>
      <c r="I316" s="4" t="s">
        <v>975</v>
      </c>
      <c r="J316" s="4" t="s">
        <v>31</v>
      </c>
      <c r="K316" s="4" t="s">
        <v>31</v>
      </c>
      <c r="L316" s="2" t="s">
        <v>373</v>
      </c>
      <c r="M316" s="2" t="s">
        <v>32</v>
      </c>
      <c r="N316" s="4" t="s">
        <v>528</v>
      </c>
      <c r="O316" s="4" t="s">
        <v>164</v>
      </c>
      <c r="P316" s="4" t="s">
        <v>35</v>
      </c>
      <c r="Q316" s="152">
        <v>64464</v>
      </c>
      <c r="R316" s="152">
        <v>1</v>
      </c>
      <c r="S316" s="152">
        <v>1320</v>
      </c>
      <c r="U316" s="152">
        <v>850.92499999999995</v>
      </c>
      <c r="V316" s="152">
        <v>3.8999999999999999E-4</v>
      </c>
      <c r="W316" s="166">
        <v>3.1621454869232399E-3</v>
      </c>
      <c r="X316" s="166">
        <v>3.63595092240495E-4</v>
      </c>
    </row>
    <row r="317" spans="1:24">
      <c r="A317" s="4" t="s">
        <v>128</v>
      </c>
      <c r="B317" s="4">
        <v>7228</v>
      </c>
      <c r="C317" s="4" t="s">
        <v>1991</v>
      </c>
      <c r="D317" s="4" t="s">
        <v>1992</v>
      </c>
      <c r="E317" s="4" t="s">
        <v>1376</v>
      </c>
      <c r="F317" s="4" t="s">
        <v>1993</v>
      </c>
      <c r="G317" s="4" t="s">
        <v>1994</v>
      </c>
      <c r="H317" s="4" t="s">
        <v>367</v>
      </c>
      <c r="I317" s="4" t="s">
        <v>975</v>
      </c>
      <c r="J317" s="4" t="s">
        <v>31</v>
      </c>
      <c r="K317" s="4" t="s">
        <v>31</v>
      </c>
      <c r="L317" s="2" t="s">
        <v>373</v>
      </c>
      <c r="M317" s="2" t="s">
        <v>32</v>
      </c>
      <c r="N317" s="4" t="s">
        <v>507</v>
      </c>
      <c r="O317" s="4" t="s">
        <v>164</v>
      </c>
      <c r="P317" s="4" t="s">
        <v>35</v>
      </c>
      <c r="Q317" s="152">
        <v>2773</v>
      </c>
      <c r="R317" s="152">
        <v>1</v>
      </c>
      <c r="S317" s="152">
        <v>22000</v>
      </c>
      <c r="U317" s="152">
        <v>610.05999999999995</v>
      </c>
      <c r="V317" s="152">
        <v>2.3E-5</v>
      </c>
      <c r="W317" s="166">
        <v>2.2670610561031802E-3</v>
      </c>
      <c r="X317" s="166">
        <v>2.6067499968532602E-4</v>
      </c>
    </row>
    <row r="318" spans="1:24">
      <c r="A318" s="4" t="s">
        <v>128</v>
      </c>
      <c r="B318" s="4">
        <v>7228</v>
      </c>
      <c r="C318" s="4" t="s">
        <v>1995</v>
      </c>
      <c r="D318" s="4" t="s">
        <v>1996</v>
      </c>
      <c r="E318" s="4" t="s">
        <v>1376</v>
      </c>
      <c r="F318" s="4" t="s">
        <v>1997</v>
      </c>
      <c r="G318" s="4" t="s">
        <v>1998</v>
      </c>
      <c r="H318" s="4" t="s">
        <v>367</v>
      </c>
      <c r="I318" s="4" t="s">
        <v>975</v>
      </c>
      <c r="J318" s="4" t="s">
        <v>31</v>
      </c>
      <c r="K318" s="4" t="s">
        <v>31</v>
      </c>
      <c r="L318" s="2" t="s">
        <v>373</v>
      </c>
      <c r="M318" s="2" t="s">
        <v>32</v>
      </c>
      <c r="N318" s="4" t="s">
        <v>491</v>
      </c>
      <c r="O318" s="4" t="s">
        <v>164</v>
      </c>
      <c r="P318" s="4" t="s">
        <v>35</v>
      </c>
      <c r="Q318" s="152">
        <v>252965</v>
      </c>
      <c r="R318" s="152">
        <v>1</v>
      </c>
      <c r="S318" s="152">
        <v>3365</v>
      </c>
      <c r="U318" s="152">
        <v>8512.2720000000008</v>
      </c>
      <c r="V318" s="152">
        <v>1.8900000000000001E-4</v>
      </c>
      <c r="W318" s="166">
        <v>3.1632693369378101E-2</v>
      </c>
      <c r="X318" s="166">
        <v>3.63724316639374E-3</v>
      </c>
    </row>
    <row r="319" spans="1:24">
      <c r="A319" s="4" t="s">
        <v>128</v>
      </c>
      <c r="B319" s="4">
        <v>7228</v>
      </c>
      <c r="C319" s="4" t="s">
        <v>1999</v>
      </c>
      <c r="D319" s="4" t="s">
        <v>2000</v>
      </c>
      <c r="E319" s="4" t="s">
        <v>1376</v>
      </c>
      <c r="F319" s="4" t="s">
        <v>2001</v>
      </c>
      <c r="G319" s="4" t="s">
        <v>2002</v>
      </c>
      <c r="H319" s="4" t="s">
        <v>367</v>
      </c>
      <c r="I319" s="4" t="s">
        <v>975</v>
      </c>
      <c r="J319" s="4" t="s">
        <v>31</v>
      </c>
      <c r="K319" s="4" t="s">
        <v>31</v>
      </c>
      <c r="L319" s="2" t="s">
        <v>373</v>
      </c>
      <c r="M319" s="2" t="s">
        <v>32</v>
      </c>
      <c r="N319" s="4" t="s">
        <v>503</v>
      </c>
      <c r="O319" s="4" t="s">
        <v>164</v>
      </c>
      <c r="P319" s="4" t="s">
        <v>35</v>
      </c>
      <c r="Q319" s="152">
        <v>54700</v>
      </c>
      <c r="R319" s="152">
        <v>1</v>
      </c>
      <c r="S319" s="152">
        <v>332.1</v>
      </c>
      <c r="U319" s="152">
        <v>181.65899999999999</v>
      </c>
      <c r="V319" s="152">
        <v>1.0950000000000001E-3</v>
      </c>
      <c r="W319" s="166">
        <v>6.75066984021787E-4</v>
      </c>
      <c r="X319" s="166">
        <v>7.7621679122277898E-5</v>
      </c>
    </row>
    <row r="320" spans="1:24">
      <c r="A320" s="4" t="s">
        <v>128</v>
      </c>
      <c r="B320" s="4">
        <v>7228</v>
      </c>
      <c r="C320" s="4" t="s">
        <v>2003</v>
      </c>
      <c r="D320" s="4" t="s">
        <v>2004</v>
      </c>
      <c r="E320" s="4" t="s">
        <v>1376</v>
      </c>
      <c r="F320" s="4" t="s">
        <v>2005</v>
      </c>
      <c r="G320" s="4" t="s">
        <v>2006</v>
      </c>
      <c r="H320" s="4" t="s">
        <v>367</v>
      </c>
      <c r="I320" s="4" t="s">
        <v>975</v>
      </c>
      <c r="J320" s="4" t="s">
        <v>31</v>
      </c>
      <c r="K320" s="4" t="s">
        <v>31</v>
      </c>
      <c r="L320" s="2" t="s">
        <v>373</v>
      </c>
      <c r="M320" s="2" t="s">
        <v>32</v>
      </c>
      <c r="N320" s="4" t="s">
        <v>528</v>
      </c>
      <c r="O320" s="4" t="s">
        <v>164</v>
      </c>
      <c r="P320" s="4" t="s">
        <v>35</v>
      </c>
      <c r="Q320" s="152">
        <v>103198</v>
      </c>
      <c r="R320" s="152">
        <v>1</v>
      </c>
      <c r="S320" s="152">
        <v>1535</v>
      </c>
      <c r="U320" s="152">
        <v>1584.0889999999999</v>
      </c>
      <c r="V320" s="152">
        <v>5.5400000000000002E-4</v>
      </c>
      <c r="W320" s="166">
        <v>5.88667862410214E-3</v>
      </c>
      <c r="X320" s="166">
        <v>6.7687191059736596E-4</v>
      </c>
    </row>
    <row r="321" spans="1:24">
      <c r="A321" s="4" t="s">
        <v>128</v>
      </c>
      <c r="B321" s="4">
        <v>7228</v>
      </c>
      <c r="C321" s="4" t="s">
        <v>2007</v>
      </c>
      <c r="D321" s="4" t="s">
        <v>2008</v>
      </c>
      <c r="E321" s="4" t="s">
        <v>1376</v>
      </c>
      <c r="F321" s="4" t="s">
        <v>2009</v>
      </c>
      <c r="G321" s="4" t="s">
        <v>2010</v>
      </c>
      <c r="H321" s="4" t="s">
        <v>367</v>
      </c>
      <c r="I321" s="4" t="s">
        <v>975</v>
      </c>
      <c r="J321" s="4" t="s">
        <v>31</v>
      </c>
      <c r="K321" s="4" t="s">
        <v>31</v>
      </c>
      <c r="L321" s="2" t="s">
        <v>373</v>
      </c>
      <c r="M321" s="2" t="s">
        <v>32</v>
      </c>
      <c r="N321" s="4" t="s">
        <v>521</v>
      </c>
      <c r="O321" s="4" t="s">
        <v>164</v>
      </c>
      <c r="P321" s="4" t="s">
        <v>35</v>
      </c>
      <c r="Q321" s="152">
        <v>1948</v>
      </c>
      <c r="R321" s="152">
        <v>1</v>
      </c>
      <c r="S321" s="152">
        <v>5099</v>
      </c>
      <c r="U321" s="152">
        <v>99.328999999999994</v>
      </c>
      <c r="V321" s="152">
        <v>1.194E-3</v>
      </c>
      <c r="W321" s="166">
        <v>3.6911749574200297E-4</v>
      </c>
      <c r="X321" s="166">
        <v>4.2442484214247702E-5</v>
      </c>
    </row>
    <row r="322" spans="1:24">
      <c r="A322" s="4" t="s">
        <v>128</v>
      </c>
      <c r="B322" s="4">
        <v>7228</v>
      </c>
      <c r="C322" s="4" t="s">
        <v>2011</v>
      </c>
      <c r="D322" s="4" t="s">
        <v>2012</v>
      </c>
      <c r="E322" s="4" t="s">
        <v>1376</v>
      </c>
      <c r="F322" s="4" t="s">
        <v>2013</v>
      </c>
      <c r="G322" s="4" t="s">
        <v>2014</v>
      </c>
      <c r="H322" s="4" t="s">
        <v>367</v>
      </c>
      <c r="I322" s="4" t="s">
        <v>975</v>
      </c>
      <c r="J322" s="4" t="s">
        <v>31</v>
      </c>
      <c r="K322" s="4" t="s">
        <v>31</v>
      </c>
      <c r="L322" s="2" t="s">
        <v>373</v>
      </c>
      <c r="M322" s="2" t="s">
        <v>32</v>
      </c>
      <c r="N322" s="4" t="s">
        <v>506</v>
      </c>
      <c r="O322" s="4" t="s">
        <v>164</v>
      </c>
      <c r="P322" s="4" t="s">
        <v>35</v>
      </c>
      <c r="Q322" s="152">
        <v>726426</v>
      </c>
      <c r="R322" s="152">
        <v>1</v>
      </c>
      <c r="S322" s="152">
        <v>488.3</v>
      </c>
      <c r="U322" s="152">
        <v>3547.1379999999999</v>
      </c>
      <c r="V322" s="152">
        <v>2.5270000000000002E-3</v>
      </c>
      <c r="W322" s="166">
        <v>1.3181619477788099E-2</v>
      </c>
      <c r="X322" s="166">
        <v>1.5156709802649901E-3</v>
      </c>
    </row>
    <row r="323" spans="1:24">
      <c r="A323" s="4" t="s">
        <v>128</v>
      </c>
      <c r="B323" s="4">
        <v>7228</v>
      </c>
      <c r="C323" s="4" t="s">
        <v>2015</v>
      </c>
      <c r="D323" s="4" t="s">
        <v>2016</v>
      </c>
      <c r="E323" s="4" t="s">
        <v>1376</v>
      </c>
      <c r="F323" s="4" t="s">
        <v>2017</v>
      </c>
      <c r="G323" s="4" t="s">
        <v>2018</v>
      </c>
      <c r="H323" s="4" t="s">
        <v>367</v>
      </c>
      <c r="I323" s="4" t="s">
        <v>975</v>
      </c>
      <c r="J323" s="4" t="s">
        <v>31</v>
      </c>
      <c r="K323" s="4" t="s">
        <v>31</v>
      </c>
      <c r="L323" s="2" t="s">
        <v>373</v>
      </c>
      <c r="M323" s="2" t="s">
        <v>32</v>
      </c>
      <c r="N323" s="4" t="s">
        <v>507</v>
      </c>
      <c r="O323" s="4" t="s">
        <v>164</v>
      </c>
      <c r="P323" s="4" t="s">
        <v>35</v>
      </c>
      <c r="Q323" s="152">
        <v>216496.9</v>
      </c>
      <c r="R323" s="152">
        <v>1</v>
      </c>
      <c r="S323" s="152">
        <v>344.2</v>
      </c>
      <c r="U323" s="152">
        <v>745.18200000000002</v>
      </c>
      <c r="V323" s="152">
        <v>3.045E-3</v>
      </c>
      <c r="W323" s="166">
        <v>2.7691929311638502E-3</v>
      </c>
      <c r="X323" s="166">
        <v>3.1841196535771201E-4</v>
      </c>
    </row>
    <row r="324" spans="1:24">
      <c r="A324" s="4" t="s">
        <v>128</v>
      </c>
      <c r="B324" s="4">
        <v>7228</v>
      </c>
      <c r="C324" s="4" t="s">
        <v>2019</v>
      </c>
      <c r="D324" s="4" t="s">
        <v>2020</v>
      </c>
      <c r="E324" s="4" t="s">
        <v>1376</v>
      </c>
      <c r="F324" s="4" t="s">
        <v>2021</v>
      </c>
      <c r="G324" s="4" t="s">
        <v>2022</v>
      </c>
      <c r="H324" s="4" t="s">
        <v>367</v>
      </c>
      <c r="I324" s="4" t="s">
        <v>975</v>
      </c>
      <c r="J324" s="4" t="s">
        <v>31</v>
      </c>
      <c r="K324" s="4" t="s">
        <v>31</v>
      </c>
      <c r="L324" s="2" t="s">
        <v>373</v>
      </c>
      <c r="M324" s="2" t="s">
        <v>32</v>
      </c>
      <c r="N324" s="4" t="s">
        <v>502</v>
      </c>
      <c r="O324" s="4" t="s">
        <v>164</v>
      </c>
      <c r="P324" s="4" t="s">
        <v>35</v>
      </c>
      <c r="Q324" s="152">
        <v>77189</v>
      </c>
      <c r="R324" s="152">
        <v>1</v>
      </c>
      <c r="S324" s="152">
        <v>5599</v>
      </c>
      <c r="U324" s="152">
        <v>4321.8119999999999</v>
      </c>
      <c r="V324" s="152">
        <v>6.6200000000000005E-4</v>
      </c>
      <c r="W324" s="166">
        <v>1.6060407052382E-2</v>
      </c>
      <c r="X324" s="166">
        <v>1.8466845399047499E-3</v>
      </c>
    </row>
    <row r="325" spans="1:24">
      <c r="A325" s="4" t="s">
        <v>128</v>
      </c>
      <c r="B325" s="4">
        <v>7228</v>
      </c>
      <c r="C325" s="4" t="s">
        <v>2023</v>
      </c>
      <c r="D325" s="4" t="s">
        <v>2024</v>
      </c>
      <c r="E325" s="4" t="s">
        <v>1376</v>
      </c>
      <c r="F325" s="4" t="s">
        <v>2025</v>
      </c>
      <c r="G325" s="4" t="s">
        <v>2026</v>
      </c>
      <c r="H325" s="4" t="s">
        <v>367</v>
      </c>
      <c r="I325" s="4" t="s">
        <v>975</v>
      </c>
      <c r="J325" s="4" t="s">
        <v>31</v>
      </c>
      <c r="K325" s="4" t="s">
        <v>31</v>
      </c>
      <c r="L325" s="2" t="s">
        <v>373</v>
      </c>
      <c r="M325" s="2" t="s">
        <v>32</v>
      </c>
      <c r="N325" s="4" t="s">
        <v>506</v>
      </c>
      <c r="O325" s="4" t="s">
        <v>164</v>
      </c>
      <c r="P325" s="4" t="s">
        <v>35</v>
      </c>
      <c r="Q325" s="152">
        <v>161464</v>
      </c>
      <c r="R325" s="152">
        <v>1</v>
      </c>
      <c r="S325" s="152">
        <v>1920</v>
      </c>
      <c r="U325" s="152">
        <v>3100.1089999999999</v>
      </c>
      <c r="V325" s="152">
        <v>4.5199999999999998E-4</v>
      </c>
      <c r="W325" s="166">
        <v>1.1520401157530001E-2</v>
      </c>
      <c r="X325" s="166">
        <v>1.32465800161374E-3</v>
      </c>
    </row>
    <row r="326" spans="1:24">
      <c r="A326" s="4" t="s">
        <v>128</v>
      </c>
      <c r="B326" s="4">
        <v>7228</v>
      </c>
      <c r="C326" s="4" t="s">
        <v>2027</v>
      </c>
      <c r="D326" s="4" t="s">
        <v>2028</v>
      </c>
      <c r="E326" s="4" t="s">
        <v>361</v>
      </c>
      <c r="F326" s="4" t="s">
        <v>2029</v>
      </c>
      <c r="G326" s="4" t="s">
        <v>2030</v>
      </c>
      <c r="H326" s="4" t="s">
        <v>367</v>
      </c>
      <c r="I326" s="4" t="s">
        <v>975</v>
      </c>
      <c r="J326" s="4" t="s">
        <v>94</v>
      </c>
      <c r="K326" s="4" t="s">
        <v>95</v>
      </c>
      <c r="L326" s="2" t="s">
        <v>373</v>
      </c>
      <c r="M326" s="2" t="s">
        <v>392</v>
      </c>
      <c r="N326" s="4" t="s">
        <v>559</v>
      </c>
      <c r="O326" s="4" t="s">
        <v>164</v>
      </c>
      <c r="P326" s="4" t="s">
        <v>99</v>
      </c>
      <c r="Q326" s="152">
        <v>12826</v>
      </c>
      <c r="R326" s="152">
        <v>3.7589999999999999</v>
      </c>
      <c r="S326" s="152">
        <v>19325</v>
      </c>
      <c r="U326" s="152">
        <v>9317.1489999999994</v>
      </c>
      <c r="V326" s="152">
        <v>9.9999999999999995E-7</v>
      </c>
      <c r="W326" s="166">
        <v>3.4623720249056598E-2</v>
      </c>
      <c r="X326" s="166">
        <v>3.9811624132177204E-3</v>
      </c>
    </row>
    <row r="327" spans="1:24">
      <c r="A327" s="4" t="s">
        <v>128</v>
      </c>
      <c r="B327" s="4">
        <v>7228</v>
      </c>
      <c r="C327" s="4" t="s">
        <v>2031</v>
      </c>
      <c r="D327" s="4" t="s">
        <v>2032</v>
      </c>
      <c r="E327" s="4" t="s">
        <v>361</v>
      </c>
      <c r="F327" s="4" t="s">
        <v>2033</v>
      </c>
      <c r="G327" s="4" t="s">
        <v>2034</v>
      </c>
      <c r="H327" s="4" t="s">
        <v>367</v>
      </c>
      <c r="I327" s="4" t="s">
        <v>975</v>
      </c>
      <c r="J327" s="4" t="s">
        <v>94</v>
      </c>
      <c r="K327" s="4" t="s">
        <v>95</v>
      </c>
      <c r="L327" s="2" t="s">
        <v>373</v>
      </c>
      <c r="M327" s="2" t="s">
        <v>392</v>
      </c>
      <c r="N327" s="4" t="s">
        <v>590</v>
      </c>
      <c r="O327" s="4" t="s">
        <v>164</v>
      </c>
      <c r="P327" s="4" t="s">
        <v>99</v>
      </c>
      <c r="Q327" s="152">
        <v>6465</v>
      </c>
      <c r="R327" s="152">
        <v>3.7589999999999999</v>
      </c>
      <c r="S327" s="152">
        <v>21062</v>
      </c>
      <c r="U327" s="152">
        <v>5118.4740000000002</v>
      </c>
      <c r="V327" s="152">
        <v>0</v>
      </c>
      <c r="W327" s="166">
        <v>1.9020902945970999E-2</v>
      </c>
      <c r="X327" s="166">
        <v>2.18709322190834E-3</v>
      </c>
    </row>
    <row r="328" spans="1:24">
      <c r="A328" s="4" t="s">
        <v>128</v>
      </c>
      <c r="B328" s="4">
        <v>7228</v>
      </c>
      <c r="C328" s="4" t="s">
        <v>2035</v>
      </c>
      <c r="D328" s="4" t="s">
        <v>2036</v>
      </c>
      <c r="E328" s="4" t="s">
        <v>361</v>
      </c>
      <c r="F328" s="4" t="s">
        <v>2037</v>
      </c>
      <c r="G328" s="4" t="s">
        <v>2038</v>
      </c>
      <c r="H328" s="4" t="s">
        <v>367</v>
      </c>
      <c r="I328" s="4" t="s">
        <v>975</v>
      </c>
      <c r="J328" s="4" t="s">
        <v>94</v>
      </c>
      <c r="K328" s="4" t="s">
        <v>95</v>
      </c>
      <c r="L328" s="2" t="s">
        <v>373</v>
      </c>
      <c r="M328" s="2" t="s">
        <v>392</v>
      </c>
      <c r="N328" s="4" t="s">
        <v>578</v>
      </c>
      <c r="O328" s="4" t="s">
        <v>164</v>
      </c>
      <c r="P328" s="4" t="s">
        <v>99</v>
      </c>
      <c r="Q328" s="152">
        <v>3547</v>
      </c>
      <c r="R328" s="152">
        <v>3.7589999999999999</v>
      </c>
      <c r="S328" s="152">
        <v>23182</v>
      </c>
      <c r="U328" s="152">
        <v>3090.8960000000002</v>
      </c>
      <c r="V328" s="152">
        <v>2.4000000000000001E-5</v>
      </c>
      <c r="W328" s="166">
        <v>1.14861658260053E-2</v>
      </c>
      <c r="X328" s="166">
        <v>1.32072149756132E-3</v>
      </c>
    </row>
    <row r="329" spans="1:24">
      <c r="A329" s="4" t="s">
        <v>128</v>
      </c>
      <c r="B329" s="4">
        <v>7228</v>
      </c>
      <c r="C329" s="4" t="s">
        <v>2044</v>
      </c>
      <c r="D329" s="4" t="s">
        <v>2045</v>
      </c>
      <c r="E329" s="4" t="s">
        <v>1376</v>
      </c>
      <c r="F329" s="4" t="s">
        <v>2046</v>
      </c>
      <c r="G329" s="4" t="s">
        <v>2047</v>
      </c>
      <c r="H329" s="4" t="s">
        <v>367</v>
      </c>
      <c r="I329" s="4" t="s">
        <v>975</v>
      </c>
      <c r="J329" s="4" t="s">
        <v>94</v>
      </c>
      <c r="K329" s="4" t="s">
        <v>95</v>
      </c>
      <c r="L329" s="2" t="s">
        <v>373</v>
      </c>
      <c r="M329" s="2" t="s">
        <v>390</v>
      </c>
      <c r="N329" s="4" t="s">
        <v>578</v>
      </c>
      <c r="O329" s="4" t="s">
        <v>164</v>
      </c>
      <c r="P329" s="4" t="s">
        <v>99</v>
      </c>
      <c r="Q329" s="152">
        <v>94000</v>
      </c>
      <c r="R329" s="152">
        <v>3.7589999999999999</v>
      </c>
      <c r="S329" s="152">
        <v>100</v>
      </c>
      <c r="U329" s="152">
        <v>353.346</v>
      </c>
      <c r="V329" s="152">
        <v>0</v>
      </c>
      <c r="W329" s="166">
        <v>1.3130789691667001E-3</v>
      </c>
      <c r="X329" s="166">
        <v>1.5098263849262601E-4</v>
      </c>
    </row>
    <row r="330" spans="1:24">
      <c r="A330" s="4" t="s">
        <v>128</v>
      </c>
      <c r="B330" s="4">
        <v>7228</v>
      </c>
      <c r="C330" s="4" t="s">
        <v>2048</v>
      </c>
      <c r="D330" s="4" t="s">
        <v>2049</v>
      </c>
      <c r="E330" s="4" t="s">
        <v>361</v>
      </c>
      <c r="F330" s="4" t="s">
        <v>2048</v>
      </c>
      <c r="G330" s="4" t="s">
        <v>2050</v>
      </c>
      <c r="H330" s="4" t="s">
        <v>367</v>
      </c>
      <c r="I330" s="4" t="s">
        <v>975</v>
      </c>
      <c r="J330" s="4" t="s">
        <v>94</v>
      </c>
      <c r="K330" s="4" t="s">
        <v>95</v>
      </c>
      <c r="L330" s="2" t="s">
        <v>373</v>
      </c>
      <c r="M330" s="2" t="s">
        <v>32</v>
      </c>
      <c r="N330" s="4" t="s">
        <v>574</v>
      </c>
      <c r="O330" s="4" t="s">
        <v>164</v>
      </c>
      <c r="P330" s="4" t="s">
        <v>99</v>
      </c>
      <c r="Q330" s="152">
        <v>3520</v>
      </c>
      <c r="R330" s="152">
        <v>3.7589999999999999</v>
      </c>
      <c r="S330" s="152">
        <v>24985</v>
      </c>
      <c r="T330" s="150">
        <v>0.66400000000000003</v>
      </c>
      <c r="U330" s="152">
        <v>3308.4319999999998</v>
      </c>
      <c r="V330" s="152">
        <v>0</v>
      </c>
      <c r="W330" s="166">
        <v>1.2294557015350101E-2</v>
      </c>
      <c r="X330" s="166">
        <v>1.4136732830726899E-3</v>
      </c>
    </row>
    <row r="331" spans="1:24">
      <c r="A331" s="4" t="s">
        <v>128</v>
      </c>
      <c r="B331" s="4">
        <v>7228</v>
      </c>
      <c r="C331" s="4" t="s">
        <v>2051</v>
      </c>
      <c r="D331" s="4" t="s">
        <v>2052</v>
      </c>
      <c r="E331" s="4" t="s">
        <v>361</v>
      </c>
      <c r="F331" s="4" t="s">
        <v>2053</v>
      </c>
      <c r="G331" s="4" t="s">
        <v>2054</v>
      </c>
      <c r="H331" s="4" t="s">
        <v>367</v>
      </c>
      <c r="I331" s="4" t="s">
        <v>975</v>
      </c>
      <c r="J331" s="4" t="s">
        <v>94</v>
      </c>
      <c r="K331" s="4" t="s">
        <v>95</v>
      </c>
      <c r="L331" s="2" t="s">
        <v>373</v>
      </c>
      <c r="M331" s="2" t="s">
        <v>390</v>
      </c>
      <c r="N331" s="4" t="s">
        <v>2043</v>
      </c>
      <c r="O331" s="4" t="s">
        <v>164</v>
      </c>
      <c r="P331" s="4" t="s">
        <v>99</v>
      </c>
      <c r="Q331" s="152">
        <v>2268</v>
      </c>
      <c r="R331" s="152">
        <v>3.7589999999999999</v>
      </c>
      <c r="S331" s="152">
        <v>37363</v>
      </c>
      <c r="U331" s="152">
        <v>3185.35</v>
      </c>
      <c r="V331" s="152">
        <v>9.0000000000000002E-6</v>
      </c>
      <c r="W331" s="166">
        <v>1.1837167200281299E-2</v>
      </c>
      <c r="X331" s="166">
        <v>1.3610809236485101E-3</v>
      </c>
    </row>
    <row r="332" spans="1:24">
      <c r="A332" s="4" t="s">
        <v>128</v>
      </c>
      <c r="B332" s="4">
        <v>7228</v>
      </c>
      <c r="C332" s="4" t="s">
        <v>2177</v>
      </c>
      <c r="D332" s="4" t="s">
        <v>2178</v>
      </c>
      <c r="E332" s="4" t="s">
        <v>1376</v>
      </c>
      <c r="F332" s="4" t="s">
        <v>2179</v>
      </c>
      <c r="G332" s="4" t="s">
        <v>2180</v>
      </c>
      <c r="H332" s="4" t="s">
        <v>367</v>
      </c>
      <c r="I332" s="4" t="s">
        <v>975</v>
      </c>
      <c r="J332" s="4" t="s">
        <v>94</v>
      </c>
      <c r="K332" s="4" t="s">
        <v>95</v>
      </c>
      <c r="L332" s="2" t="s">
        <v>373</v>
      </c>
      <c r="M332" s="2" t="s">
        <v>390</v>
      </c>
      <c r="N332" s="4" t="s">
        <v>601</v>
      </c>
      <c r="O332" s="4" t="s">
        <v>164</v>
      </c>
      <c r="P332" s="4" t="s">
        <v>99</v>
      </c>
      <c r="Q332" s="152">
        <v>1900</v>
      </c>
      <c r="R332" s="152">
        <v>3.7589999999999999</v>
      </c>
      <c r="S332" s="152">
        <v>1158</v>
      </c>
      <c r="U332" s="152">
        <v>82.706000000000003</v>
      </c>
      <c r="V332" s="152">
        <v>3.3300000000000002E-4</v>
      </c>
      <c r="W332" s="166">
        <v>3.0734429233623099E-4</v>
      </c>
      <c r="X332" s="166">
        <v>3.5339574596965503E-5</v>
      </c>
    </row>
    <row r="333" spans="1:24">
      <c r="A333" s="4" t="s">
        <v>128</v>
      </c>
      <c r="B333" s="4">
        <v>7228</v>
      </c>
      <c r="C333" s="4" t="s">
        <v>2055</v>
      </c>
      <c r="D333" s="4" t="s">
        <v>2056</v>
      </c>
      <c r="E333" s="4" t="s">
        <v>361</v>
      </c>
      <c r="F333" s="4" t="s">
        <v>2055</v>
      </c>
      <c r="G333" s="4" t="s">
        <v>2057</v>
      </c>
      <c r="H333" s="4" t="s">
        <v>367</v>
      </c>
      <c r="I333" s="4" t="s">
        <v>975</v>
      </c>
      <c r="J333" s="4" t="s">
        <v>94</v>
      </c>
      <c r="K333" s="4" t="s">
        <v>95</v>
      </c>
      <c r="L333" s="2" t="s">
        <v>373</v>
      </c>
      <c r="M333" s="2" t="s">
        <v>392</v>
      </c>
      <c r="N333" s="4" t="s">
        <v>590</v>
      </c>
      <c r="O333" s="4" t="s">
        <v>164</v>
      </c>
      <c r="P333" s="4" t="s">
        <v>99</v>
      </c>
      <c r="Q333" s="152">
        <v>38000</v>
      </c>
      <c r="R333" s="152">
        <v>3.7589999999999999</v>
      </c>
      <c r="S333" s="152">
        <v>2949</v>
      </c>
      <c r="U333" s="152">
        <v>4212.4110000000001</v>
      </c>
      <c r="V333" s="152">
        <v>9.6000000000000002E-5</v>
      </c>
      <c r="W333" s="166">
        <v>1.5653856961995598E-2</v>
      </c>
      <c r="X333" s="166">
        <v>1.79993791859156E-3</v>
      </c>
    </row>
    <row r="334" spans="1:24">
      <c r="A334" s="4" t="s">
        <v>128</v>
      </c>
      <c r="B334" s="4">
        <v>7228</v>
      </c>
      <c r="C334" s="4" t="s">
        <v>2062</v>
      </c>
      <c r="D334" s="4" t="s">
        <v>2063</v>
      </c>
      <c r="E334" s="4" t="s">
        <v>361</v>
      </c>
      <c r="F334" s="4" t="s">
        <v>2064</v>
      </c>
      <c r="G334" s="4" t="s">
        <v>2065</v>
      </c>
      <c r="H334" s="4" t="s">
        <v>367</v>
      </c>
      <c r="I334" s="4" t="s">
        <v>975</v>
      </c>
      <c r="J334" s="4" t="s">
        <v>94</v>
      </c>
      <c r="K334" s="4" t="s">
        <v>330</v>
      </c>
      <c r="L334" s="2" t="s">
        <v>373</v>
      </c>
      <c r="M334" s="2" t="s">
        <v>412</v>
      </c>
      <c r="N334" s="4" t="s">
        <v>2066</v>
      </c>
      <c r="O334" s="4" t="s">
        <v>164</v>
      </c>
      <c r="P334" s="4" t="s">
        <v>1219</v>
      </c>
      <c r="Q334" s="152">
        <v>986</v>
      </c>
      <c r="R334" s="152">
        <v>4.0199999999999996</v>
      </c>
      <c r="S334" s="152">
        <v>71360</v>
      </c>
      <c r="U334" s="152">
        <v>2828.6509999999998</v>
      </c>
      <c r="V334" s="152">
        <v>3.9999999999999998E-6</v>
      </c>
      <c r="W334" s="166">
        <v>1.05116303889505E-2</v>
      </c>
      <c r="X334" s="166">
        <v>1.2086658367472E-3</v>
      </c>
    </row>
    <row r="335" spans="1:24">
      <c r="A335" s="4" t="s">
        <v>128</v>
      </c>
      <c r="B335" s="4">
        <v>7228</v>
      </c>
      <c r="C335" s="4" t="s">
        <v>2067</v>
      </c>
      <c r="D335" s="4" t="s">
        <v>2068</v>
      </c>
      <c r="E335" s="4" t="s">
        <v>361</v>
      </c>
      <c r="F335" s="4" t="s">
        <v>2069</v>
      </c>
      <c r="G335" s="4" t="s">
        <v>2070</v>
      </c>
      <c r="H335" s="4" t="s">
        <v>367</v>
      </c>
      <c r="I335" s="4" t="s">
        <v>975</v>
      </c>
      <c r="J335" s="4" t="s">
        <v>94</v>
      </c>
      <c r="K335" s="4" t="s">
        <v>95</v>
      </c>
      <c r="L335" s="2" t="s">
        <v>373</v>
      </c>
      <c r="M335" s="2" t="s">
        <v>390</v>
      </c>
      <c r="N335" s="4" t="s">
        <v>2071</v>
      </c>
      <c r="O335" s="4" t="s">
        <v>164</v>
      </c>
      <c r="P335" s="4" t="s">
        <v>99</v>
      </c>
      <c r="Q335" s="152">
        <v>3200</v>
      </c>
      <c r="R335" s="152">
        <v>3.7589999999999999</v>
      </c>
      <c r="S335" s="152">
        <v>44116</v>
      </c>
      <c r="U335" s="152">
        <v>5306.625</v>
      </c>
      <c r="V335" s="152">
        <v>3.9999999999999998E-6</v>
      </c>
      <c r="W335" s="166">
        <v>1.9720099337449601E-2</v>
      </c>
      <c r="X335" s="166">
        <v>2.2674893888478898E-3</v>
      </c>
    </row>
    <row r="336" spans="1:24">
      <c r="A336" s="4" t="s">
        <v>128</v>
      </c>
      <c r="B336" s="4">
        <v>7228</v>
      </c>
      <c r="C336" s="4" t="s">
        <v>2076</v>
      </c>
      <c r="D336" s="4" t="s">
        <v>2077</v>
      </c>
      <c r="E336" s="4" t="s">
        <v>361</v>
      </c>
      <c r="F336" s="4" t="s">
        <v>2078</v>
      </c>
      <c r="G336" s="4" t="s">
        <v>2079</v>
      </c>
      <c r="H336" s="4" t="s">
        <v>367</v>
      </c>
      <c r="I336" s="4" t="s">
        <v>975</v>
      </c>
      <c r="J336" s="4" t="s">
        <v>94</v>
      </c>
      <c r="K336" s="4" t="s">
        <v>95</v>
      </c>
      <c r="L336" s="2" t="s">
        <v>373</v>
      </c>
      <c r="M336" s="2" t="s">
        <v>392</v>
      </c>
      <c r="N336" s="4" t="s">
        <v>588</v>
      </c>
      <c r="O336" s="4" t="s">
        <v>164</v>
      </c>
      <c r="P336" s="4" t="s">
        <v>99</v>
      </c>
      <c r="Q336" s="152">
        <v>9894</v>
      </c>
      <c r="R336" s="152">
        <v>3.7589999999999999</v>
      </c>
      <c r="S336" s="152">
        <v>44695</v>
      </c>
      <c r="U336" s="152">
        <v>16622.760999999999</v>
      </c>
      <c r="V336" s="152">
        <v>9.9999999999999995E-7</v>
      </c>
      <c r="W336" s="166">
        <v>6.1772309620128002E-2</v>
      </c>
      <c r="X336" s="166">
        <v>7.1028068465289196E-3</v>
      </c>
    </row>
    <row r="337" spans="1:24">
      <c r="A337" s="4" t="s">
        <v>128</v>
      </c>
      <c r="B337" s="4">
        <v>7228</v>
      </c>
      <c r="C337" s="4" t="s">
        <v>2080</v>
      </c>
      <c r="D337" s="4" t="s">
        <v>2081</v>
      </c>
      <c r="E337" s="4" t="s">
        <v>361</v>
      </c>
      <c r="F337" s="4" t="s">
        <v>2080</v>
      </c>
      <c r="G337" s="4" t="s">
        <v>2082</v>
      </c>
      <c r="H337" s="4" t="s">
        <v>367</v>
      </c>
      <c r="I337" s="4" t="s">
        <v>975</v>
      </c>
      <c r="J337" s="4" t="s">
        <v>94</v>
      </c>
      <c r="K337" s="4" t="s">
        <v>95</v>
      </c>
      <c r="L337" s="2" t="s">
        <v>373</v>
      </c>
      <c r="M337" s="2" t="s">
        <v>392</v>
      </c>
      <c r="N337" s="4" t="s">
        <v>578</v>
      </c>
      <c r="O337" s="4" t="s">
        <v>164</v>
      </c>
      <c r="P337" s="4" t="s">
        <v>99</v>
      </c>
      <c r="Q337" s="152">
        <v>10006</v>
      </c>
      <c r="R337" s="152">
        <v>3.7589999999999999</v>
      </c>
      <c r="S337" s="152">
        <v>11875</v>
      </c>
      <c r="U337" s="152">
        <v>4466.491</v>
      </c>
      <c r="V337" s="152">
        <v>3.0000000000000001E-5</v>
      </c>
      <c r="W337" s="166">
        <v>1.6598051538840301E-2</v>
      </c>
      <c r="X337" s="166">
        <v>1.9085048759565899E-3</v>
      </c>
    </row>
    <row r="338" spans="1:24">
      <c r="A338" s="4" t="s">
        <v>128</v>
      </c>
      <c r="B338" s="4">
        <v>7228</v>
      </c>
      <c r="C338" s="4" t="s">
        <v>2083</v>
      </c>
      <c r="D338" s="4" t="s">
        <v>2084</v>
      </c>
      <c r="E338" s="4" t="s">
        <v>361</v>
      </c>
      <c r="F338" s="4" t="s">
        <v>2085</v>
      </c>
      <c r="G338" s="4" t="s">
        <v>2086</v>
      </c>
      <c r="H338" s="4" t="s">
        <v>367</v>
      </c>
      <c r="I338" s="4" t="s">
        <v>975</v>
      </c>
      <c r="J338" s="4" t="s">
        <v>94</v>
      </c>
      <c r="K338" s="4" t="s">
        <v>95</v>
      </c>
      <c r="L338" s="2" t="s">
        <v>373</v>
      </c>
      <c r="M338" s="2" t="s">
        <v>392</v>
      </c>
      <c r="N338" s="4" t="s">
        <v>593</v>
      </c>
      <c r="O338" s="4" t="s">
        <v>164</v>
      </c>
      <c r="P338" s="4" t="s">
        <v>99</v>
      </c>
      <c r="Q338" s="152">
        <v>3100</v>
      </c>
      <c r="R338" s="152">
        <v>3.7589999999999999</v>
      </c>
      <c r="S338" s="152">
        <v>67488</v>
      </c>
      <c r="U338" s="152">
        <v>7864.3090000000002</v>
      </c>
      <c r="V338" s="152">
        <v>6.9999999999999999E-6</v>
      </c>
      <c r="W338" s="166">
        <v>2.9224779548987102E-2</v>
      </c>
      <c r="X338" s="166">
        <v>3.3603723989819199E-3</v>
      </c>
    </row>
    <row r="339" spans="1:24">
      <c r="A339" s="4" t="s">
        <v>128</v>
      </c>
      <c r="B339" s="4">
        <v>7228</v>
      </c>
      <c r="C339" s="4" t="s">
        <v>2087</v>
      </c>
      <c r="D339" s="4" t="s">
        <v>2088</v>
      </c>
      <c r="E339" s="4" t="s">
        <v>361</v>
      </c>
      <c r="F339" s="4" t="s">
        <v>2087</v>
      </c>
      <c r="G339" s="4" t="s">
        <v>2089</v>
      </c>
      <c r="H339" s="4" t="s">
        <v>367</v>
      </c>
      <c r="I339" s="4" t="s">
        <v>975</v>
      </c>
      <c r="J339" s="4" t="s">
        <v>94</v>
      </c>
      <c r="K339" s="4" t="s">
        <v>95</v>
      </c>
      <c r="L339" s="2" t="s">
        <v>373</v>
      </c>
      <c r="M339" s="2" t="s">
        <v>390</v>
      </c>
      <c r="N339" s="4" t="s">
        <v>559</v>
      </c>
      <c r="O339" s="4" t="s">
        <v>164</v>
      </c>
      <c r="P339" s="4" t="s">
        <v>99</v>
      </c>
      <c r="Q339" s="152">
        <v>10000</v>
      </c>
      <c r="R339" s="152">
        <v>3.7589999999999999</v>
      </c>
      <c r="S339" s="152">
        <v>7537</v>
      </c>
      <c r="T339" s="150">
        <v>3.7</v>
      </c>
      <c r="U339" s="152">
        <v>2847.067</v>
      </c>
      <c r="V339" s="152">
        <v>7.9999999999999996E-6</v>
      </c>
      <c r="W339" s="166">
        <v>1.0580063949434599E-2</v>
      </c>
      <c r="X339" s="166">
        <v>1.2165345786629199E-3</v>
      </c>
    </row>
    <row r="340" spans="1:24">
      <c r="A340" s="4" t="s">
        <v>128</v>
      </c>
      <c r="B340" s="4">
        <v>7228</v>
      </c>
      <c r="C340" s="4" t="s">
        <v>2090</v>
      </c>
      <c r="D340" s="4" t="s">
        <v>2091</v>
      </c>
      <c r="E340" s="4" t="s">
        <v>361</v>
      </c>
      <c r="F340" s="4" t="s">
        <v>2092</v>
      </c>
      <c r="G340" s="4" t="s">
        <v>2093</v>
      </c>
      <c r="H340" s="4" t="s">
        <v>367</v>
      </c>
      <c r="I340" s="4" t="s">
        <v>975</v>
      </c>
      <c r="J340" s="4" t="s">
        <v>94</v>
      </c>
      <c r="K340" s="4" t="s">
        <v>95</v>
      </c>
      <c r="L340" s="2" t="s">
        <v>373</v>
      </c>
      <c r="M340" s="2" t="s">
        <v>390</v>
      </c>
      <c r="N340" s="4" t="s">
        <v>2043</v>
      </c>
      <c r="O340" s="4" t="s">
        <v>164</v>
      </c>
      <c r="P340" s="4" t="s">
        <v>99</v>
      </c>
      <c r="Q340" s="152">
        <v>577</v>
      </c>
      <c r="R340" s="152">
        <v>3.7589999999999999</v>
      </c>
      <c r="S340" s="152">
        <v>43595</v>
      </c>
      <c r="U340" s="152">
        <v>945.55100000000004</v>
      </c>
      <c r="V340" s="152">
        <v>3.9999999999999998E-6</v>
      </c>
      <c r="W340" s="166">
        <v>3.5137874479036599E-3</v>
      </c>
      <c r="X340" s="166">
        <v>4.0402817533772802E-4</v>
      </c>
    </row>
    <row r="341" spans="1:24">
      <c r="A341" s="4" t="s">
        <v>128</v>
      </c>
      <c r="B341" s="4">
        <v>7228</v>
      </c>
      <c r="C341" s="4" t="s">
        <v>2094</v>
      </c>
      <c r="D341" s="4" t="s">
        <v>2095</v>
      </c>
      <c r="E341" s="4" t="s">
        <v>361</v>
      </c>
      <c r="F341" s="4" t="s">
        <v>2096</v>
      </c>
      <c r="G341" s="4" t="s">
        <v>2097</v>
      </c>
      <c r="H341" s="4" t="s">
        <v>367</v>
      </c>
      <c r="I341" s="4" t="s">
        <v>975</v>
      </c>
      <c r="J341" s="4" t="s">
        <v>94</v>
      </c>
      <c r="K341" s="4" t="s">
        <v>290</v>
      </c>
      <c r="L341" s="2" t="s">
        <v>373</v>
      </c>
      <c r="M341" s="2" t="s">
        <v>412</v>
      </c>
      <c r="N341" s="4" t="s">
        <v>578</v>
      </c>
      <c r="O341" s="4" t="s">
        <v>164</v>
      </c>
      <c r="P341" s="4" t="s">
        <v>99</v>
      </c>
      <c r="Q341" s="152">
        <v>13961</v>
      </c>
      <c r="R341" s="152">
        <v>3.7589999999999999</v>
      </c>
      <c r="S341" s="152">
        <v>14274</v>
      </c>
      <c r="U341" s="152">
        <v>7490.9089999999997</v>
      </c>
      <c r="V341" s="152">
        <v>0</v>
      </c>
      <c r="W341" s="166">
        <v>2.7837178319507098E-2</v>
      </c>
      <c r="X341" s="166">
        <v>3.20082091752346E-3</v>
      </c>
    </row>
    <row r="342" spans="1:24">
      <c r="A342" s="4" t="s">
        <v>128</v>
      </c>
      <c r="B342" s="4">
        <v>7228</v>
      </c>
      <c r="C342" s="4" t="s">
        <v>2098</v>
      </c>
      <c r="D342" s="4" t="s">
        <v>2099</v>
      </c>
      <c r="E342" s="4" t="s">
        <v>361</v>
      </c>
      <c r="F342" s="4" t="s">
        <v>2100</v>
      </c>
      <c r="G342" s="4" t="s">
        <v>2101</v>
      </c>
      <c r="H342" s="4" t="s">
        <v>367</v>
      </c>
      <c r="I342" s="4" t="s">
        <v>975</v>
      </c>
      <c r="J342" s="4" t="s">
        <v>94</v>
      </c>
      <c r="K342" s="4" t="s">
        <v>95</v>
      </c>
      <c r="L342" s="2" t="s">
        <v>373</v>
      </c>
      <c r="M342" s="2" t="s">
        <v>392</v>
      </c>
      <c r="N342" s="4" t="s">
        <v>592</v>
      </c>
      <c r="O342" s="4" t="s">
        <v>164</v>
      </c>
      <c r="P342" s="4" t="s">
        <v>99</v>
      </c>
      <c r="Q342" s="152">
        <v>14520</v>
      </c>
      <c r="R342" s="152">
        <v>3.7589999999999999</v>
      </c>
      <c r="S342" s="152">
        <v>12354</v>
      </c>
      <c r="U342" s="152">
        <v>6742.8969999999999</v>
      </c>
      <c r="V342" s="152">
        <v>6.0000000000000002E-6</v>
      </c>
      <c r="W342" s="166">
        <v>2.5057469205897898E-2</v>
      </c>
      <c r="X342" s="166">
        <v>2.88119976291684E-3</v>
      </c>
    </row>
    <row r="343" spans="1:24">
      <c r="A343" s="4" t="s">
        <v>128</v>
      </c>
      <c r="B343" s="4">
        <v>7228</v>
      </c>
      <c r="C343" s="4" t="s">
        <v>2102</v>
      </c>
      <c r="D343" s="4" t="s">
        <v>2103</v>
      </c>
      <c r="E343" s="4" t="s">
        <v>361</v>
      </c>
      <c r="F343" s="4" t="s">
        <v>2104</v>
      </c>
      <c r="G343" s="4" t="s">
        <v>2105</v>
      </c>
      <c r="H343" s="4" t="s">
        <v>367</v>
      </c>
      <c r="I343" s="4" t="s">
        <v>975</v>
      </c>
      <c r="J343" s="4" t="s">
        <v>94</v>
      </c>
      <c r="K343" s="4" t="s">
        <v>95</v>
      </c>
      <c r="L343" s="2" t="s">
        <v>373</v>
      </c>
      <c r="M343" s="2" t="s">
        <v>392</v>
      </c>
      <c r="N343" s="4" t="s">
        <v>578</v>
      </c>
      <c r="O343" s="4" t="s">
        <v>164</v>
      </c>
      <c r="P343" s="4" t="s">
        <v>99</v>
      </c>
      <c r="Q343" s="152">
        <v>4344</v>
      </c>
      <c r="R343" s="152">
        <v>3.7589999999999999</v>
      </c>
      <c r="S343" s="152">
        <v>578</v>
      </c>
      <c r="U343" s="152">
        <v>94.382000000000005</v>
      </c>
      <c r="V343" s="152">
        <v>1.3799999999999999E-4</v>
      </c>
      <c r="W343" s="166">
        <v>3.50736244075613E-4</v>
      </c>
      <c r="X343" s="166">
        <v>4.0328940443799703E-5</v>
      </c>
    </row>
    <row r="344" spans="1:24">
      <c r="A344" s="4" t="s">
        <v>128</v>
      </c>
      <c r="B344" s="4">
        <v>7228</v>
      </c>
      <c r="C344" s="4" t="s">
        <v>2106</v>
      </c>
      <c r="D344" s="4" t="s">
        <v>2107</v>
      </c>
      <c r="E344" s="4" t="s">
        <v>361</v>
      </c>
      <c r="F344" s="4" t="s">
        <v>2108</v>
      </c>
      <c r="G344" s="4" t="s">
        <v>2109</v>
      </c>
      <c r="H344" s="4" t="s">
        <v>367</v>
      </c>
      <c r="I344" s="4" t="s">
        <v>975</v>
      </c>
      <c r="J344" s="4" t="s">
        <v>94</v>
      </c>
      <c r="K344" s="4" t="s">
        <v>95</v>
      </c>
      <c r="L344" s="2" t="s">
        <v>373</v>
      </c>
      <c r="M344" s="2" t="s">
        <v>390</v>
      </c>
      <c r="N344" s="4" t="s">
        <v>612</v>
      </c>
      <c r="O344" s="4" t="s">
        <v>164</v>
      </c>
      <c r="P344" s="4" t="s">
        <v>99</v>
      </c>
      <c r="Q344" s="152">
        <v>15000</v>
      </c>
      <c r="R344" s="152">
        <v>3.7589999999999999</v>
      </c>
      <c r="S344" s="152">
        <v>11231</v>
      </c>
      <c r="U344" s="152">
        <v>6332.5990000000002</v>
      </c>
      <c r="V344" s="152">
        <v>1.5999999999999999E-5</v>
      </c>
      <c r="W344" s="166">
        <v>2.3532749844751899E-2</v>
      </c>
      <c r="X344" s="166">
        <v>2.7058819354957701E-3</v>
      </c>
    </row>
    <row r="345" spans="1:24">
      <c r="A345" s="4" t="s">
        <v>128</v>
      </c>
      <c r="B345" s="4">
        <v>7228</v>
      </c>
      <c r="C345" s="4" t="s">
        <v>2110</v>
      </c>
      <c r="D345" s="4" t="s">
        <v>2111</v>
      </c>
      <c r="E345" s="4" t="s">
        <v>361</v>
      </c>
      <c r="F345" s="4" t="s">
        <v>2112</v>
      </c>
      <c r="G345" s="4" t="s">
        <v>2113</v>
      </c>
      <c r="H345" s="4" t="s">
        <v>367</v>
      </c>
      <c r="I345" s="4" t="s">
        <v>975</v>
      </c>
      <c r="J345" s="4" t="s">
        <v>94</v>
      </c>
      <c r="K345" s="4" t="s">
        <v>95</v>
      </c>
      <c r="L345" s="2" t="s">
        <v>373</v>
      </c>
      <c r="M345" s="2" t="s">
        <v>390</v>
      </c>
      <c r="N345" s="4" t="s">
        <v>530</v>
      </c>
      <c r="O345" s="4" t="s">
        <v>164</v>
      </c>
      <c r="P345" s="4" t="s">
        <v>99</v>
      </c>
      <c r="Q345" s="152">
        <v>23281</v>
      </c>
      <c r="R345" s="152">
        <v>3.7589999999999999</v>
      </c>
      <c r="S345" s="152">
        <v>4718</v>
      </c>
      <c r="T345" s="150">
        <v>4.5679999999999996</v>
      </c>
      <c r="U345" s="152">
        <v>4146.0460000000003</v>
      </c>
      <c r="V345" s="152">
        <v>1.5999999999999999E-5</v>
      </c>
      <c r="W345" s="166">
        <v>1.5407238070711799E-2</v>
      </c>
      <c r="X345" s="166">
        <v>1.77158077345216E-3</v>
      </c>
    </row>
    <row r="346" spans="1:24">
      <c r="A346" s="4" t="s">
        <v>128</v>
      </c>
      <c r="B346" s="4">
        <v>7228</v>
      </c>
      <c r="C346" s="4" t="s">
        <v>2114</v>
      </c>
      <c r="D346" s="4" t="s">
        <v>2115</v>
      </c>
      <c r="E346" s="4" t="s">
        <v>361</v>
      </c>
      <c r="F346" s="4" t="s">
        <v>2114</v>
      </c>
      <c r="G346" s="4" t="s">
        <v>2116</v>
      </c>
      <c r="H346" s="4" t="s">
        <v>367</v>
      </c>
      <c r="I346" s="4" t="s">
        <v>975</v>
      </c>
      <c r="J346" s="4" t="s">
        <v>94</v>
      </c>
      <c r="K346" s="4" t="s">
        <v>95</v>
      </c>
      <c r="L346" s="2" t="s">
        <v>373</v>
      </c>
      <c r="M346" s="2" t="s">
        <v>392</v>
      </c>
      <c r="N346" s="4" t="s">
        <v>559</v>
      </c>
      <c r="O346" s="4" t="s">
        <v>164</v>
      </c>
      <c r="P346" s="4" t="s">
        <v>99</v>
      </c>
      <c r="Q346" s="152">
        <v>52000</v>
      </c>
      <c r="R346" s="152">
        <v>3.7589999999999999</v>
      </c>
      <c r="S346" s="152">
        <v>1476</v>
      </c>
      <c r="U346" s="152">
        <v>2885.1080000000002</v>
      </c>
      <c r="V346" s="152">
        <v>4.3199999999999998E-4</v>
      </c>
      <c r="W346" s="166">
        <v>1.0721429472498101E-2</v>
      </c>
      <c r="X346" s="166">
        <v>1.2327893052751101E-3</v>
      </c>
    </row>
    <row r="347" spans="1:24">
      <c r="A347" s="4" t="s">
        <v>128</v>
      </c>
      <c r="B347" s="4">
        <v>7228</v>
      </c>
      <c r="C347" s="4" t="s">
        <v>2117</v>
      </c>
      <c r="D347" s="4" t="s">
        <v>2118</v>
      </c>
      <c r="E347" s="4" t="s">
        <v>361</v>
      </c>
      <c r="F347" s="4" t="s">
        <v>2119</v>
      </c>
      <c r="G347" s="4" t="s">
        <v>2120</v>
      </c>
      <c r="H347" s="4" t="s">
        <v>367</v>
      </c>
      <c r="I347" s="4" t="s">
        <v>975</v>
      </c>
      <c r="J347" s="4" t="s">
        <v>94</v>
      </c>
      <c r="K347" s="4" t="s">
        <v>317</v>
      </c>
      <c r="L347" s="2" t="s">
        <v>373</v>
      </c>
      <c r="M347" s="2" t="s">
        <v>390</v>
      </c>
      <c r="N347" s="4" t="s">
        <v>592</v>
      </c>
      <c r="O347" s="4" t="s">
        <v>164</v>
      </c>
      <c r="P347" s="4" t="s">
        <v>99</v>
      </c>
      <c r="Q347" s="152">
        <v>17000</v>
      </c>
      <c r="R347" s="152">
        <v>3.7589999999999999</v>
      </c>
      <c r="S347" s="152">
        <v>17381</v>
      </c>
      <c r="T347" s="150">
        <v>7.298</v>
      </c>
      <c r="U347" s="152">
        <v>11134.414000000001</v>
      </c>
      <c r="V347" s="152">
        <v>3.0000000000000001E-6</v>
      </c>
      <c r="W347" s="166">
        <v>4.1376908340145603E-2</v>
      </c>
      <c r="X347" s="166">
        <v>4.7576687621669099E-3</v>
      </c>
    </row>
    <row r="348" spans="1:24">
      <c r="A348" s="4" t="s">
        <v>128</v>
      </c>
      <c r="B348" s="4">
        <v>7228</v>
      </c>
      <c r="C348" s="4" t="s">
        <v>2121</v>
      </c>
      <c r="D348" s="4" t="s">
        <v>2122</v>
      </c>
      <c r="E348" s="4" t="s">
        <v>361</v>
      </c>
      <c r="F348" s="4" t="s">
        <v>2121</v>
      </c>
      <c r="G348" s="4" t="s">
        <v>2123</v>
      </c>
      <c r="H348" s="4" t="s">
        <v>367</v>
      </c>
      <c r="I348" s="4" t="s">
        <v>975</v>
      </c>
      <c r="J348" s="4" t="s">
        <v>94</v>
      </c>
      <c r="K348" s="4" t="s">
        <v>95</v>
      </c>
      <c r="L348" s="2" t="s">
        <v>373</v>
      </c>
      <c r="M348" s="2" t="s">
        <v>392</v>
      </c>
      <c r="N348" s="4" t="s">
        <v>556</v>
      </c>
      <c r="O348" s="4" t="s">
        <v>164</v>
      </c>
      <c r="P348" s="4" t="s">
        <v>99</v>
      </c>
      <c r="Q348" s="152">
        <v>7051</v>
      </c>
      <c r="R348" s="152">
        <v>3.7589999999999999</v>
      </c>
      <c r="S348" s="152">
        <v>19788</v>
      </c>
      <c r="U348" s="152">
        <v>5244.7520000000004</v>
      </c>
      <c r="V348" s="152">
        <v>3.0000000000000001E-6</v>
      </c>
      <c r="W348" s="166">
        <v>1.9490169152322299E-2</v>
      </c>
      <c r="X348" s="166">
        <v>2.2410511723850702E-3</v>
      </c>
    </row>
    <row r="349" spans="1:24">
      <c r="A349" s="4" t="s">
        <v>128</v>
      </c>
      <c r="B349" s="4">
        <v>7228</v>
      </c>
      <c r="C349" s="4" t="s">
        <v>2124</v>
      </c>
      <c r="D349" s="4" t="s">
        <v>2125</v>
      </c>
      <c r="E349" s="4" t="s">
        <v>361</v>
      </c>
      <c r="F349" s="4" t="s">
        <v>2126</v>
      </c>
      <c r="G349" s="4" t="s">
        <v>2127</v>
      </c>
      <c r="H349" s="4" t="s">
        <v>367</v>
      </c>
      <c r="I349" s="4" t="s">
        <v>975</v>
      </c>
      <c r="J349" s="4" t="s">
        <v>94</v>
      </c>
      <c r="K349" s="4" t="s">
        <v>321</v>
      </c>
      <c r="L349" s="2" t="s">
        <v>373</v>
      </c>
      <c r="M349" s="2" t="s">
        <v>440</v>
      </c>
      <c r="N349" s="4" t="s">
        <v>612</v>
      </c>
      <c r="O349" s="4" t="s">
        <v>164</v>
      </c>
      <c r="P349" s="4" t="s">
        <v>1219</v>
      </c>
      <c r="Q349" s="152">
        <v>21248</v>
      </c>
      <c r="R349" s="152">
        <v>4.0199999999999996</v>
      </c>
      <c r="S349" s="152">
        <v>560</v>
      </c>
      <c r="U349" s="152">
        <v>478.35899999999998</v>
      </c>
      <c r="V349" s="152">
        <v>1.2022E-2</v>
      </c>
      <c r="W349" s="166">
        <v>1.77764243981997E-3</v>
      </c>
      <c r="X349" s="166">
        <v>2.04399851161134E-4</v>
      </c>
    </row>
    <row r="350" spans="1:24">
      <c r="A350" s="4" t="s">
        <v>128</v>
      </c>
      <c r="B350" s="4">
        <v>7228</v>
      </c>
      <c r="C350" s="4" t="s">
        <v>2128</v>
      </c>
      <c r="D350" s="4" t="s">
        <v>2129</v>
      </c>
      <c r="E350" s="4" t="s">
        <v>361</v>
      </c>
      <c r="F350" s="4" t="s">
        <v>2130</v>
      </c>
      <c r="G350" s="4" t="s">
        <v>2131</v>
      </c>
      <c r="H350" s="4" t="s">
        <v>367</v>
      </c>
      <c r="I350" s="4" t="s">
        <v>975</v>
      </c>
      <c r="J350" s="4" t="s">
        <v>94</v>
      </c>
      <c r="K350" s="4" t="s">
        <v>95</v>
      </c>
      <c r="L350" s="2" t="s">
        <v>373</v>
      </c>
      <c r="M350" s="2" t="s">
        <v>390</v>
      </c>
      <c r="N350" s="4" t="s">
        <v>2071</v>
      </c>
      <c r="O350" s="4" t="s">
        <v>164</v>
      </c>
      <c r="P350" s="4" t="s">
        <v>99</v>
      </c>
      <c r="Q350" s="152">
        <v>6124</v>
      </c>
      <c r="R350" s="152">
        <v>3.7589999999999999</v>
      </c>
      <c r="S350" s="152">
        <v>26247</v>
      </c>
      <c r="U350" s="152">
        <v>6042.09</v>
      </c>
      <c r="V350" s="152">
        <v>3.9999999999999998E-6</v>
      </c>
      <c r="W350" s="166">
        <v>2.24531793405927E-2</v>
      </c>
      <c r="X350" s="166">
        <v>2.5817489572178402E-3</v>
      </c>
    </row>
    <row r="351" spans="1:24">
      <c r="A351" s="4" t="s">
        <v>128</v>
      </c>
      <c r="B351" s="4">
        <v>7228</v>
      </c>
      <c r="C351" s="4" t="s">
        <v>2132</v>
      </c>
      <c r="D351" s="4" t="s">
        <v>2133</v>
      </c>
      <c r="E351" s="4" t="s">
        <v>361</v>
      </c>
      <c r="F351" s="4" t="s">
        <v>2134</v>
      </c>
      <c r="G351" s="4" t="s">
        <v>2135</v>
      </c>
      <c r="H351" s="4" t="s">
        <v>367</v>
      </c>
      <c r="I351" s="4" t="s">
        <v>975</v>
      </c>
      <c r="J351" s="4" t="s">
        <v>94</v>
      </c>
      <c r="K351" s="4" t="s">
        <v>95</v>
      </c>
      <c r="L351" s="2" t="s">
        <v>373</v>
      </c>
      <c r="M351" s="2" t="s">
        <v>390</v>
      </c>
      <c r="N351" s="4" t="s">
        <v>593</v>
      </c>
      <c r="O351" s="4" t="s">
        <v>164</v>
      </c>
      <c r="P351" s="4" t="s">
        <v>99</v>
      </c>
      <c r="Q351" s="152">
        <v>9884</v>
      </c>
      <c r="R351" s="152">
        <v>3.7589999999999999</v>
      </c>
      <c r="S351" s="152">
        <v>9929</v>
      </c>
      <c r="U351" s="152">
        <v>3689.0160000000001</v>
      </c>
      <c r="V351" s="152">
        <v>5.0000000000000004E-6</v>
      </c>
      <c r="W351" s="166">
        <v>1.37088567832679E-2</v>
      </c>
      <c r="X351" s="166">
        <v>1.5762946604566E-3</v>
      </c>
    </row>
    <row r="352" spans="1:24">
      <c r="A352" s="4" t="s">
        <v>128</v>
      </c>
      <c r="B352" s="4">
        <v>7228</v>
      </c>
      <c r="C352" s="4" t="s">
        <v>2181</v>
      </c>
      <c r="D352" s="4" t="s">
        <v>2182</v>
      </c>
      <c r="E352" s="4" t="s">
        <v>1376</v>
      </c>
      <c r="F352" s="4" t="s">
        <v>2183</v>
      </c>
      <c r="G352" s="4" t="s">
        <v>2184</v>
      </c>
      <c r="H352" s="4" t="s">
        <v>367</v>
      </c>
      <c r="I352" s="4" t="s">
        <v>975</v>
      </c>
      <c r="J352" s="4" t="s">
        <v>94</v>
      </c>
      <c r="K352" s="4" t="s">
        <v>31</v>
      </c>
      <c r="L352" s="2" t="s">
        <v>373</v>
      </c>
      <c r="M352" s="2" t="s">
        <v>392</v>
      </c>
      <c r="N352" s="4" t="s">
        <v>524</v>
      </c>
      <c r="O352" s="4" t="s">
        <v>164</v>
      </c>
      <c r="P352" s="4" t="s">
        <v>99</v>
      </c>
      <c r="Q352" s="152">
        <v>20000</v>
      </c>
      <c r="R352" s="152">
        <v>3.7589999999999999</v>
      </c>
      <c r="S352" s="152">
        <v>971</v>
      </c>
      <c r="U352" s="152">
        <v>729.99800000000005</v>
      </c>
      <c r="V352" s="152">
        <v>4.08E-4</v>
      </c>
      <c r="W352" s="166">
        <v>2.7127652745975801E-3</v>
      </c>
      <c r="X352" s="166">
        <v>3.1192370633263802E-4</v>
      </c>
    </row>
    <row r="353" spans="1:24">
      <c r="A353" s="4" t="s">
        <v>128</v>
      </c>
      <c r="B353" s="4">
        <v>7228</v>
      </c>
      <c r="C353" s="4" t="s">
        <v>2102</v>
      </c>
      <c r="D353" s="4" t="s">
        <v>2103</v>
      </c>
      <c r="E353" s="4" t="s">
        <v>361</v>
      </c>
      <c r="F353" s="4" t="s">
        <v>2185</v>
      </c>
      <c r="G353" s="4" t="s">
        <v>2186</v>
      </c>
      <c r="H353" s="4" t="s">
        <v>367</v>
      </c>
      <c r="I353" s="4" t="s">
        <v>975</v>
      </c>
      <c r="J353" s="4" t="s">
        <v>94</v>
      </c>
      <c r="K353" s="4" t="s">
        <v>95</v>
      </c>
      <c r="L353" s="2" t="s">
        <v>373</v>
      </c>
      <c r="M353" s="2" t="s">
        <v>392</v>
      </c>
      <c r="N353" s="4" t="s">
        <v>487</v>
      </c>
      <c r="O353" s="4" t="s">
        <v>164</v>
      </c>
      <c r="P353" s="4" t="s">
        <v>99</v>
      </c>
      <c r="Q353" s="152">
        <v>1063</v>
      </c>
      <c r="R353" s="152">
        <v>3.7589999999999999</v>
      </c>
      <c r="S353" s="152">
        <v>578</v>
      </c>
      <c r="U353" s="152">
        <v>23.096</v>
      </c>
      <c r="V353" s="152">
        <v>3.3000000000000003E-5</v>
      </c>
      <c r="W353" s="166">
        <v>8.58270321022966E-5</v>
      </c>
      <c r="X353" s="166">
        <v>9.8687071113625794E-6</v>
      </c>
    </row>
    <row r="354" spans="1:24">
      <c r="A354" s="4" t="s">
        <v>128</v>
      </c>
      <c r="B354" s="4">
        <v>7229</v>
      </c>
      <c r="C354" s="4" t="s">
        <v>1833</v>
      </c>
      <c r="D354" s="4" t="s">
        <v>1834</v>
      </c>
      <c r="E354" s="4" t="s">
        <v>361</v>
      </c>
      <c r="F354" s="4" t="s">
        <v>1835</v>
      </c>
      <c r="G354" s="4" t="s">
        <v>1836</v>
      </c>
      <c r="H354" s="4" t="s">
        <v>367</v>
      </c>
      <c r="I354" s="4" t="s">
        <v>975</v>
      </c>
      <c r="J354" s="4" t="s">
        <v>94</v>
      </c>
      <c r="K354" s="4" t="s">
        <v>95</v>
      </c>
      <c r="L354" s="2" t="s">
        <v>373</v>
      </c>
      <c r="M354" s="2" t="s">
        <v>32</v>
      </c>
      <c r="N354" s="4" t="s">
        <v>484</v>
      </c>
      <c r="O354" s="4" t="s">
        <v>164</v>
      </c>
      <c r="P354" s="4" t="s">
        <v>35</v>
      </c>
      <c r="Q354" s="152">
        <v>898</v>
      </c>
      <c r="R354" s="152">
        <v>1</v>
      </c>
      <c r="S354" s="152">
        <v>26580</v>
      </c>
      <c r="U354" s="152">
        <v>238.68799999999999</v>
      </c>
      <c r="V354" s="152">
        <v>1.5999999999999999E-5</v>
      </c>
      <c r="W354" s="166">
        <v>2.11332044081976E-2</v>
      </c>
      <c r="X354" s="166">
        <v>1.6879834788844201E-3</v>
      </c>
    </row>
    <row r="355" spans="1:24">
      <c r="A355" s="4" t="s">
        <v>128</v>
      </c>
      <c r="B355" s="4">
        <v>7229</v>
      </c>
      <c r="C355" s="4" t="s">
        <v>1837</v>
      </c>
      <c r="D355" s="4" t="s">
        <v>1838</v>
      </c>
      <c r="E355" s="4" t="s">
        <v>1376</v>
      </c>
      <c r="F355" s="4" t="s">
        <v>1839</v>
      </c>
      <c r="G355" s="4" t="s">
        <v>1840</v>
      </c>
      <c r="H355" s="4" t="s">
        <v>367</v>
      </c>
      <c r="I355" s="4" t="s">
        <v>975</v>
      </c>
      <c r="J355" s="4" t="s">
        <v>31</v>
      </c>
      <c r="K355" s="4" t="s">
        <v>31</v>
      </c>
      <c r="L355" s="2" t="s">
        <v>373</v>
      </c>
      <c r="M355" s="2" t="s">
        <v>32</v>
      </c>
      <c r="N355" s="4" t="s">
        <v>499</v>
      </c>
      <c r="O355" s="4" t="s">
        <v>164</v>
      </c>
      <c r="P355" s="4" t="s">
        <v>35</v>
      </c>
      <c r="Q355" s="152">
        <v>4196</v>
      </c>
      <c r="R355" s="152">
        <v>1</v>
      </c>
      <c r="S355" s="152">
        <v>1612</v>
      </c>
      <c r="U355" s="152">
        <v>67.64</v>
      </c>
      <c r="V355" s="152">
        <v>3.0000000000000001E-6</v>
      </c>
      <c r="W355" s="166">
        <v>5.9887275721500202E-3</v>
      </c>
      <c r="X355" s="166">
        <v>4.7834076678913599E-4</v>
      </c>
    </row>
    <row r="356" spans="1:24">
      <c r="A356" s="4" t="s">
        <v>128</v>
      </c>
      <c r="B356" s="4">
        <v>7229</v>
      </c>
      <c r="C356" s="4" t="s">
        <v>1841</v>
      </c>
      <c r="D356" s="4" t="s">
        <v>1842</v>
      </c>
      <c r="E356" s="4" t="s">
        <v>1376</v>
      </c>
      <c r="F356" s="4" t="s">
        <v>1843</v>
      </c>
      <c r="G356" s="4" t="s">
        <v>1844</v>
      </c>
      <c r="H356" s="4" t="s">
        <v>367</v>
      </c>
      <c r="I356" s="4" t="s">
        <v>975</v>
      </c>
      <c r="J356" s="4" t="s">
        <v>31</v>
      </c>
      <c r="K356" s="4" t="s">
        <v>31</v>
      </c>
      <c r="L356" s="2" t="s">
        <v>373</v>
      </c>
      <c r="M356" s="2" t="s">
        <v>32</v>
      </c>
      <c r="N356" s="4" t="s">
        <v>488</v>
      </c>
      <c r="O356" s="4" t="s">
        <v>164</v>
      </c>
      <c r="P356" s="4" t="s">
        <v>35</v>
      </c>
      <c r="Q356" s="152">
        <v>464</v>
      </c>
      <c r="R356" s="152">
        <v>1</v>
      </c>
      <c r="S356" s="152">
        <v>9863</v>
      </c>
      <c r="U356" s="152">
        <v>45.764000000000003</v>
      </c>
      <c r="V356" s="152">
        <v>3.1999999999999999E-5</v>
      </c>
      <c r="W356" s="166">
        <v>4.05192179076221E-3</v>
      </c>
      <c r="X356" s="166">
        <v>3.2364126653151002E-4</v>
      </c>
    </row>
    <row r="357" spans="1:24">
      <c r="A357" s="4" t="s">
        <v>128</v>
      </c>
      <c r="B357" s="4">
        <v>7229</v>
      </c>
      <c r="C357" s="4" t="s">
        <v>1845</v>
      </c>
      <c r="D357" s="4" t="s">
        <v>1846</v>
      </c>
      <c r="E357" s="4" t="s">
        <v>1376</v>
      </c>
      <c r="F357" s="4" t="s">
        <v>1847</v>
      </c>
      <c r="G357" s="4" t="s">
        <v>1848</v>
      </c>
      <c r="H357" s="4" t="s">
        <v>367</v>
      </c>
      <c r="I357" s="4" t="s">
        <v>975</v>
      </c>
      <c r="J357" s="4" t="s">
        <v>31</v>
      </c>
      <c r="K357" s="4" t="s">
        <v>31</v>
      </c>
      <c r="L357" s="2" t="s">
        <v>373</v>
      </c>
      <c r="M357" s="2" t="s">
        <v>32</v>
      </c>
      <c r="N357" s="4" t="s">
        <v>506</v>
      </c>
      <c r="O357" s="4" t="s">
        <v>164</v>
      </c>
      <c r="P357" s="4" t="s">
        <v>35</v>
      </c>
      <c r="Q357" s="152">
        <v>4800</v>
      </c>
      <c r="R357" s="152">
        <v>1</v>
      </c>
      <c r="S357" s="152">
        <v>992.1</v>
      </c>
      <c r="U357" s="152">
        <v>47.621000000000002</v>
      </c>
      <c r="V357" s="152">
        <v>3.8000000000000002E-5</v>
      </c>
      <c r="W357" s="166">
        <v>4.2162924569518201E-3</v>
      </c>
      <c r="X357" s="166">
        <v>3.3677013064421698E-4</v>
      </c>
    </row>
    <row r="358" spans="1:24">
      <c r="A358" s="4" t="s">
        <v>128</v>
      </c>
      <c r="B358" s="4">
        <v>7229</v>
      </c>
      <c r="C358" s="4" t="s">
        <v>1853</v>
      </c>
      <c r="D358" s="4" t="s">
        <v>1854</v>
      </c>
      <c r="E358" s="4" t="s">
        <v>1376</v>
      </c>
      <c r="F358" s="4" t="s">
        <v>1855</v>
      </c>
      <c r="G358" s="4" t="s">
        <v>1856</v>
      </c>
      <c r="H358" s="4" t="s">
        <v>367</v>
      </c>
      <c r="I358" s="4" t="s">
        <v>975</v>
      </c>
      <c r="J358" s="4" t="s">
        <v>31</v>
      </c>
      <c r="K358" s="4" t="s">
        <v>31</v>
      </c>
      <c r="L358" s="2" t="s">
        <v>373</v>
      </c>
      <c r="M358" s="2" t="s">
        <v>32</v>
      </c>
      <c r="N358" s="4" t="s">
        <v>489</v>
      </c>
      <c r="O358" s="4" t="s">
        <v>164</v>
      </c>
      <c r="P358" s="4" t="s">
        <v>35</v>
      </c>
      <c r="Q358" s="152">
        <v>315</v>
      </c>
      <c r="R358" s="152">
        <v>1</v>
      </c>
      <c r="S358" s="152">
        <v>66410</v>
      </c>
      <c r="T358" s="150">
        <v>0.59199999999999997</v>
      </c>
      <c r="U358" s="152">
        <v>209.78399999999999</v>
      </c>
      <c r="V358" s="152">
        <v>6.9999999999999999E-6</v>
      </c>
      <c r="W358" s="166">
        <v>1.8574000379973699E-2</v>
      </c>
      <c r="X358" s="166">
        <v>1.4835708382220801E-3</v>
      </c>
    </row>
    <row r="359" spans="1:24">
      <c r="A359" s="4" t="s">
        <v>128</v>
      </c>
      <c r="B359" s="4">
        <v>7229</v>
      </c>
      <c r="C359" s="4" t="s">
        <v>1857</v>
      </c>
      <c r="D359" s="4" t="s">
        <v>1858</v>
      </c>
      <c r="E359" s="4" t="s">
        <v>1376</v>
      </c>
      <c r="F359" s="4" t="s">
        <v>1859</v>
      </c>
      <c r="G359" s="4" t="s">
        <v>1860</v>
      </c>
      <c r="H359" s="4" t="s">
        <v>367</v>
      </c>
      <c r="I359" s="4" t="s">
        <v>975</v>
      </c>
      <c r="J359" s="4" t="s">
        <v>31</v>
      </c>
      <c r="K359" s="4" t="s">
        <v>31</v>
      </c>
      <c r="L359" s="2" t="s">
        <v>373</v>
      </c>
      <c r="M359" s="2" t="s">
        <v>32</v>
      </c>
      <c r="N359" s="4" t="s">
        <v>494</v>
      </c>
      <c r="O359" s="4" t="s">
        <v>164</v>
      </c>
      <c r="P359" s="4" t="s">
        <v>35</v>
      </c>
      <c r="Q359" s="152">
        <v>73</v>
      </c>
      <c r="R359" s="152">
        <v>1</v>
      </c>
      <c r="S359" s="152">
        <v>129690</v>
      </c>
      <c r="U359" s="152">
        <v>94.674000000000007</v>
      </c>
      <c r="V359" s="152">
        <v>1.9000000000000001E-5</v>
      </c>
      <c r="W359" s="166">
        <v>8.3823036820406E-3</v>
      </c>
      <c r="X359" s="166">
        <v>6.6952412218130198E-4</v>
      </c>
    </row>
    <row r="360" spans="1:24">
      <c r="A360" s="4" t="s">
        <v>128</v>
      </c>
      <c r="B360" s="4">
        <v>7229</v>
      </c>
      <c r="C360" s="4" t="s">
        <v>1861</v>
      </c>
      <c r="D360" s="4" t="s">
        <v>1862</v>
      </c>
      <c r="E360" s="4" t="s">
        <v>1376</v>
      </c>
      <c r="F360" s="4" t="s">
        <v>1863</v>
      </c>
      <c r="G360" s="4" t="s">
        <v>1864</v>
      </c>
      <c r="H360" s="4" t="s">
        <v>367</v>
      </c>
      <c r="I360" s="4" t="s">
        <v>975</v>
      </c>
      <c r="J360" s="4" t="s">
        <v>31</v>
      </c>
      <c r="K360" s="4" t="s">
        <v>95</v>
      </c>
      <c r="L360" s="2" t="s">
        <v>373</v>
      </c>
      <c r="M360" s="2" t="s">
        <v>32</v>
      </c>
      <c r="N360" s="4" t="s">
        <v>484</v>
      </c>
      <c r="O360" s="4" t="s">
        <v>164</v>
      </c>
      <c r="P360" s="4" t="s">
        <v>35</v>
      </c>
      <c r="Q360" s="152">
        <v>2077.8000000000002</v>
      </c>
      <c r="R360" s="152">
        <v>1</v>
      </c>
      <c r="S360" s="152">
        <v>5985</v>
      </c>
      <c r="U360" s="152">
        <v>124.35599999999999</v>
      </c>
      <c r="V360" s="152">
        <v>1.8E-5</v>
      </c>
      <c r="W360" s="166">
        <v>1.1010370597579399E-2</v>
      </c>
      <c r="X360" s="166">
        <v>8.7943708422654203E-4</v>
      </c>
    </row>
    <row r="361" spans="1:24">
      <c r="A361" s="4" t="s">
        <v>128</v>
      </c>
      <c r="B361" s="4">
        <v>7229</v>
      </c>
      <c r="C361" s="4" t="s">
        <v>1869</v>
      </c>
      <c r="D361" s="4" t="s">
        <v>1870</v>
      </c>
      <c r="E361" s="4" t="s">
        <v>1376</v>
      </c>
      <c r="F361" s="4" t="s">
        <v>1871</v>
      </c>
      <c r="G361" s="4" t="s">
        <v>1872</v>
      </c>
      <c r="H361" s="4" t="s">
        <v>367</v>
      </c>
      <c r="I361" s="4" t="s">
        <v>975</v>
      </c>
      <c r="J361" s="4" t="s">
        <v>31</v>
      </c>
      <c r="K361" s="4" t="s">
        <v>31</v>
      </c>
      <c r="L361" s="2" t="s">
        <v>373</v>
      </c>
      <c r="M361" s="2" t="s">
        <v>32</v>
      </c>
      <c r="N361" s="4" t="s">
        <v>490</v>
      </c>
      <c r="O361" s="4" t="s">
        <v>164</v>
      </c>
      <c r="P361" s="4" t="s">
        <v>35</v>
      </c>
      <c r="Q361" s="152">
        <v>5057</v>
      </c>
      <c r="R361" s="152">
        <v>1</v>
      </c>
      <c r="S361" s="152">
        <v>4328</v>
      </c>
      <c r="U361" s="152">
        <v>218.86699999999999</v>
      </c>
      <c r="V361" s="152">
        <v>5.0000000000000002E-5</v>
      </c>
      <c r="W361" s="166">
        <v>1.9378236243909702E-2</v>
      </c>
      <c r="X361" s="166">
        <v>1.5478079896369299E-3</v>
      </c>
    </row>
    <row r="362" spans="1:24">
      <c r="A362" s="4" t="s">
        <v>128</v>
      </c>
      <c r="B362" s="4">
        <v>7229</v>
      </c>
      <c r="C362" s="4" t="s">
        <v>1877</v>
      </c>
      <c r="D362" s="4" t="s">
        <v>1878</v>
      </c>
      <c r="E362" s="4" t="s">
        <v>1376</v>
      </c>
      <c r="F362" s="4" t="s">
        <v>1879</v>
      </c>
      <c r="G362" s="4" t="s">
        <v>1880</v>
      </c>
      <c r="H362" s="4" t="s">
        <v>367</v>
      </c>
      <c r="I362" s="4" t="s">
        <v>975</v>
      </c>
      <c r="J362" s="4" t="s">
        <v>31</v>
      </c>
      <c r="K362" s="4" t="s">
        <v>31</v>
      </c>
      <c r="L362" s="2" t="s">
        <v>373</v>
      </c>
      <c r="M362" s="2" t="s">
        <v>32</v>
      </c>
      <c r="N362" s="4" t="s">
        <v>483</v>
      </c>
      <c r="O362" s="4" t="s">
        <v>164</v>
      </c>
      <c r="P362" s="4" t="s">
        <v>35</v>
      </c>
      <c r="Q362" s="152">
        <v>57981</v>
      </c>
      <c r="R362" s="152">
        <v>1</v>
      </c>
      <c r="S362" s="152">
        <v>86.7</v>
      </c>
      <c r="U362" s="152">
        <v>50.27</v>
      </c>
      <c r="V362" s="152">
        <v>1.8E-5</v>
      </c>
      <c r="W362" s="166">
        <v>4.4508077878707497E-3</v>
      </c>
      <c r="X362" s="166">
        <v>3.5550169621705198E-4</v>
      </c>
    </row>
    <row r="363" spans="1:24">
      <c r="A363" s="4" t="s">
        <v>128</v>
      </c>
      <c r="B363" s="4">
        <v>7229</v>
      </c>
      <c r="C363" s="4" t="s">
        <v>1881</v>
      </c>
      <c r="D363" s="4" t="s">
        <v>1882</v>
      </c>
      <c r="E363" s="4" t="s">
        <v>1376</v>
      </c>
      <c r="F363" s="4" t="s">
        <v>1883</v>
      </c>
      <c r="G363" s="4" t="s">
        <v>1884</v>
      </c>
      <c r="H363" s="4" t="s">
        <v>367</v>
      </c>
      <c r="I363" s="4" t="s">
        <v>975</v>
      </c>
      <c r="J363" s="4" t="s">
        <v>31</v>
      </c>
      <c r="K363" s="4" t="s">
        <v>31</v>
      </c>
      <c r="L363" s="2" t="s">
        <v>373</v>
      </c>
      <c r="M363" s="2" t="s">
        <v>32</v>
      </c>
      <c r="N363" s="4" t="s">
        <v>528</v>
      </c>
      <c r="O363" s="4" t="s">
        <v>164</v>
      </c>
      <c r="P363" s="4" t="s">
        <v>35</v>
      </c>
      <c r="Q363" s="152">
        <v>59127</v>
      </c>
      <c r="R363" s="152">
        <v>1</v>
      </c>
      <c r="S363" s="152">
        <v>423.6</v>
      </c>
      <c r="U363" s="152">
        <v>250.46199999999999</v>
      </c>
      <c r="V363" s="152">
        <v>2.0999999999999999E-5</v>
      </c>
      <c r="W363" s="166">
        <v>2.2175623326295999E-2</v>
      </c>
      <c r="X363" s="166">
        <v>1.7712451498473E-3</v>
      </c>
    </row>
    <row r="364" spans="1:24">
      <c r="A364" s="4" t="s">
        <v>128</v>
      </c>
      <c r="B364" s="4">
        <v>7229</v>
      </c>
      <c r="C364" s="4" t="s">
        <v>1897</v>
      </c>
      <c r="D364" s="4" t="s">
        <v>1898</v>
      </c>
      <c r="E364" s="4" t="s">
        <v>1376</v>
      </c>
      <c r="F364" s="4" t="s">
        <v>1899</v>
      </c>
      <c r="G364" s="4" t="s">
        <v>1900</v>
      </c>
      <c r="H364" s="4" t="s">
        <v>367</v>
      </c>
      <c r="I364" s="4" t="s">
        <v>975</v>
      </c>
      <c r="J364" s="4" t="s">
        <v>31</v>
      </c>
      <c r="K364" s="4" t="s">
        <v>31</v>
      </c>
      <c r="L364" s="2" t="s">
        <v>373</v>
      </c>
      <c r="M364" s="2" t="s">
        <v>32</v>
      </c>
      <c r="N364" s="4" t="s">
        <v>491</v>
      </c>
      <c r="O364" s="4" t="s">
        <v>164</v>
      </c>
      <c r="P364" s="4" t="s">
        <v>35</v>
      </c>
      <c r="Q364" s="152">
        <v>13974</v>
      </c>
      <c r="R364" s="152">
        <v>1</v>
      </c>
      <c r="S364" s="152">
        <v>1909</v>
      </c>
      <c r="U364" s="152">
        <v>266.76400000000001</v>
      </c>
      <c r="V364" s="152">
        <v>1.1E-5</v>
      </c>
      <c r="W364" s="166">
        <v>2.3618956578781901E-2</v>
      </c>
      <c r="X364" s="166">
        <v>1.88652926093911E-3</v>
      </c>
    </row>
    <row r="365" spans="1:24">
      <c r="A365" s="4" t="s">
        <v>128</v>
      </c>
      <c r="B365" s="4">
        <v>7229</v>
      </c>
      <c r="C365" s="4" t="s">
        <v>1901</v>
      </c>
      <c r="D365" s="4" t="s">
        <v>1902</v>
      </c>
      <c r="E365" s="4" t="s">
        <v>1376</v>
      </c>
      <c r="F365" s="4" t="s">
        <v>1903</v>
      </c>
      <c r="G365" s="4" t="s">
        <v>1904</v>
      </c>
      <c r="H365" s="4" t="s">
        <v>367</v>
      </c>
      <c r="I365" s="4" t="s">
        <v>975</v>
      </c>
      <c r="J365" s="4" t="s">
        <v>31</v>
      </c>
      <c r="K365" s="4" t="s">
        <v>31</v>
      </c>
      <c r="L365" s="2" t="s">
        <v>373</v>
      </c>
      <c r="M365" s="2" t="s">
        <v>32</v>
      </c>
      <c r="N365" s="4" t="s">
        <v>480</v>
      </c>
      <c r="O365" s="4" t="s">
        <v>164</v>
      </c>
      <c r="P365" s="4" t="s">
        <v>35</v>
      </c>
      <c r="Q365" s="152">
        <v>1682</v>
      </c>
      <c r="R365" s="152">
        <v>1</v>
      </c>
      <c r="S365" s="152">
        <v>15700</v>
      </c>
      <c r="U365" s="152">
        <v>264.07400000000001</v>
      </c>
      <c r="V365" s="152">
        <v>6.4999999999999994E-5</v>
      </c>
      <c r="W365" s="166">
        <v>2.33808170857502E-2</v>
      </c>
      <c r="X365" s="166">
        <v>1.8675082207720299E-3</v>
      </c>
    </row>
    <row r="366" spans="1:24">
      <c r="A366" s="4" t="s">
        <v>128</v>
      </c>
      <c r="B366" s="4">
        <v>7229</v>
      </c>
      <c r="C366" s="4" t="s">
        <v>1905</v>
      </c>
      <c r="D366" s="4" t="s">
        <v>1906</v>
      </c>
      <c r="E366" s="4" t="s">
        <v>1376</v>
      </c>
      <c r="F366" s="4" t="s">
        <v>1907</v>
      </c>
      <c r="G366" s="4" t="s">
        <v>1908</v>
      </c>
      <c r="H366" s="4" t="s">
        <v>367</v>
      </c>
      <c r="I366" s="4" t="s">
        <v>975</v>
      </c>
      <c r="J366" s="4" t="s">
        <v>31</v>
      </c>
      <c r="K366" s="4" t="s">
        <v>31</v>
      </c>
      <c r="L366" s="2" t="s">
        <v>373</v>
      </c>
      <c r="M366" s="2" t="s">
        <v>32</v>
      </c>
      <c r="N366" s="4" t="s">
        <v>488</v>
      </c>
      <c r="O366" s="4" t="s">
        <v>164</v>
      </c>
      <c r="P366" s="4" t="s">
        <v>35</v>
      </c>
      <c r="Q366" s="152">
        <v>3043</v>
      </c>
      <c r="R366" s="152">
        <v>1</v>
      </c>
      <c r="S366" s="152">
        <v>3419</v>
      </c>
      <c r="U366" s="152">
        <v>104.04</v>
      </c>
      <c r="V366" s="152">
        <v>1.2E-5</v>
      </c>
      <c r="W366" s="166">
        <v>9.2116004769131204E-3</v>
      </c>
      <c r="X366" s="166">
        <v>7.3576297842847002E-4</v>
      </c>
    </row>
    <row r="367" spans="1:24">
      <c r="A367" s="4" t="s">
        <v>128</v>
      </c>
      <c r="B367" s="4">
        <v>7229</v>
      </c>
      <c r="C367" s="4" t="s">
        <v>1909</v>
      </c>
      <c r="D367" s="4" t="s">
        <v>1910</v>
      </c>
      <c r="E367" s="4" t="s">
        <v>1376</v>
      </c>
      <c r="F367" s="4" t="s">
        <v>1911</v>
      </c>
      <c r="G367" s="4" t="s">
        <v>1912</v>
      </c>
      <c r="H367" s="4" t="s">
        <v>367</v>
      </c>
      <c r="I367" s="4" t="s">
        <v>975</v>
      </c>
      <c r="J367" s="4" t="s">
        <v>31</v>
      </c>
      <c r="K367" s="4" t="s">
        <v>31</v>
      </c>
      <c r="L367" s="2" t="s">
        <v>373</v>
      </c>
      <c r="M367" s="2" t="s">
        <v>32</v>
      </c>
      <c r="N367" s="4" t="s">
        <v>488</v>
      </c>
      <c r="O367" s="4" t="s">
        <v>164</v>
      </c>
      <c r="P367" s="4" t="s">
        <v>35</v>
      </c>
      <c r="Q367" s="152">
        <v>6746</v>
      </c>
      <c r="R367" s="152">
        <v>1</v>
      </c>
      <c r="S367" s="152">
        <v>2997</v>
      </c>
      <c r="U367" s="152">
        <v>202.178</v>
      </c>
      <c r="V367" s="152">
        <v>3.1999999999999999E-5</v>
      </c>
      <c r="W367" s="166">
        <v>1.7900580716209501E-2</v>
      </c>
      <c r="X367" s="166">
        <v>1.42978243752177E-3</v>
      </c>
    </row>
    <row r="368" spans="1:24">
      <c r="A368" s="4" t="s">
        <v>128</v>
      </c>
      <c r="B368" s="4">
        <v>7229</v>
      </c>
      <c r="C368" s="4" t="s">
        <v>1917</v>
      </c>
      <c r="D368" s="4" t="s">
        <v>1918</v>
      </c>
      <c r="E368" s="4" t="s">
        <v>1376</v>
      </c>
      <c r="F368" s="4" t="s">
        <v>1919</v>
      </c>
      <c r="G368" s="4" t="s">
        <v>1920</v>
      </c>
      <c r="H368" s="4" t="s">
        <v>367</v>
      </c>
      <c r="I368" s="4" t="s">
        <v>975</v>
      </c>
      <c r="J368" s="4" t="s">
        <v>31</v>
      </c>
      <c r="K368" s="4" t="s">
        <v>31</v>
      </c>
      <c r="L368" s="2" t="s">
        <v>373</v>
      </c>
      <c r="M368" s="2" t="s">
        <v>32</v>
      </c>
      <c r="N368" s="4" t="s">
        <v>520</v>
      </c>
      <c r="O368" s="4" t="s">
        <v>164</v>
      </c>
      <c r="P368" s="4" t="s">
        <v>35</v>
      </c>
      <c r="Q368" s="152">
        <v>585</v>
      </c>
      <c r="R368" s="152">
        <v>1</v>
      </c>
      <c r="S368" s="152">
        <v>19600</v>
      </c>
      <c r="U368" s="152">
        <v>114.66</v>
      </c>
      <c r="V368" s="152">
        <v>2.5000000000000001E-5</v>
      </c>
      <c r="W368" s="166">
        <v>1.01518683666401E-2</v>
      </c>
      <c r="X368" s="166">
        <v>8.1086548692306396E-4</v>
      </c>
    </row>
    <row r="369" spans="1:24">
      <c r="A369" s="4" t="s">
        <v>128</v>
      </c>
      <c r="B369" s="4">
        <v>7229</v>
      </c>
      <c r="C369" s="4" t="s">
        <v>1925</v>
      </c>
      <c r="D369" s="4" t="s">
        <v>1926</v>
      </c>
      <c r="E369" s="4" t="s">
        <v>1376</v>
      </c>
      <c r="F369" s="4" t="s">
        <v>1927</v>
      </c>
      <c r="G369" s="4" t="s">
        <v>1928</v>
      </c>
      <c r="H369" s="4" t="s">
        <v>367</v>
      </c>
      <c r="I369" s="4" t="s">
        <v>975</v>
      </c>
      <c r="J369" s="4" t="s">
        <v>31</v>
      </c>
      <c r="K369" s="4" t="s">
        <v>345</v>
      </c>
      <c r="L369" s="2" t="s">
        <v>373</v>
      </c>
      <c r="M369" s="2" t="s">
        <v>32</v>
      </c>
      <c r="N369" s="4" t="s">
        <v>501</v>
      </c>
      <c r="O369" s="4" t="s">
        <v>164</v>
      </c>
      <c r="P369" s="4" t="s">
        <v>35</v>
      </c>
      <c r="Q369" s="152">
        <v>1807</v>
      </c>
      <c r="R369" s="152">
        <v>1</v>
      </c>
      <c r="S369" s="152">
        <v>14820</v>
      </c>
      <c r="U369" s="152">
        <v>267.79700000000003</v>
      </c>
      <c r="V369" s="152">
        <v>1.5999999999999999E-5</v>
      </c>
      <c r="W369" s="166">
        <v>2.37104827640718E-2</v>
      </c>
      <c r="X369" s="166">
        <v>1.8938397797639199E-3</v>
      </c>
    </row>
    <row r="370" spans="1:24">
      <c r="A370" s="4" t="s">
        <v>128</v>
      </c>
      <c r="B370" s="4">
        <v>7229</v>
      </c>
      <c r="C370" s="4" t="s">
        <v>1929</v>
      </c>
      <c r="D370" s="4" t="s">
        <v>1930</v>
      </c>
      <c r="E370" s="4" t="s">
        <v>1376</v>
      </c>
      <c r="F370" s="4" t="s">
        <v>1931</v>
      </c>
      <c r="G370" s="4" t="s">
        <v>1932</v>
      </c>
      <c r="H370" s="4" t="s">
        <v>367</v>
      </c>
      <c r="I370" s="4" t="s">
        <v>975</v>
      </c>
      <c r="J370" s="4" t="s">
        <v>31</v>
      </c>
      <c r="K370" s="4" t="s">
        <v>95</v>
      </c>
      <c r="L370" s="2" t="s">
        <v>373</v>
      </c>
      <c r="M370" s="2" t="s">
        <v>32</v>
      </c>
      <c r="N370" s="4" t="s">
        <v>510</v>
      </c>
      <c r="O370" s="4" t="s">
        <v>164</v>
      </c>
      <c r="P370" s="4" t="s">
        <v>35</v>
      </c>
      <c r="Q370" s="152">
        <v>5140</v>
      </c>
      <c r="R370" s="152">
        <v>1</v>
      </c>
      <c r="S370" s="152">
        <v>6120</v>
      </c>
      <c r="U370" s="152">
        <v>314.56799999999998</v>
      </c>
      <c r="V370" s="152">
        <v>5.0000000000000004E-6</v>
      </c>
      <c r="W370" s="166">
        <v>2.78514994623866E-2</v>
      </c>
      <c r="X370" s="166">
        <v>2.2245973704030598E-3</v>
      </c>
    </row>
    <row r="371" spans="1:24">
      <c r="A371" s="4" t="s">
        <v>128</v>
      </c>
      <c r="B371" s="4">
        <v>7229</v>
      </c>
      <c r="C371" s="4" t="s">
        <v>1937</v>
      </c>
      <c r="D371" s="4" t="s">
        <v>1938</v>
      </c>
      <c r="E371" s="4" t="s">
        <v>1376</v>
      </c>
      <c r="F371" s="4" t="s">
        <v>1939</v>
      </c>
      <c r="G371" s="4" t="s">
        <v>1940</v>
      </c>
      <c r="H371" s="4" t="s">
        <v>367</v>
      </c>
      <c r="I371" s="4" t="s">
        <v>975</v>
      </c>
      <c r="J371" s="4" t="s">
        <v>31</v>
      </c>
      <c r="K371" s="4" t="s">
        <v>31</v>
      </c>
      <c r="L371" s="2" t="s">
        <v>373</v>
      </c>
      <c r="M371" s="2" t="s">
        <v>32</v>
      </c>
      <c r="N371" s="4" t="s">
        <v>522</v>
      </c>
      <c r="O371" s="4" t="s">
        <v>164</v>
      </c>
      <c r="P371" s="4" t="s">
        <v>35</v>
      </c>
      <c r="Q371" s="152">
        <v>26511</v>
      </c>
      <c r="R371" s="152">
        <v>1</v>
      </c>
      <c r="S371" s="152">
        <v>1257</v>
      </c>
      <c r="U371" s="152">
        <v>333.24299999999999</v>
      </c>
      <c r="V371" s="152">
        <v>1.3200000000000001E-4</v>
      </c>
      <c r="W371" s="166">
        <v>2.9504987014728E-2</v>
      </c>
      <c r="X371" s="166">
        <v>2.3566672457036798E-3</v>
      </c>
    </row>
    <row r="372" spans="1:24">
      <c r="A372" s="4" t="s">
        <v>128</v>
      </c>
      <c r="B372" s="4">
        <v>7229</v>
      </c>
      <c r="C372" s="4" t="s">
        <v>1941</v>
      </c>
      <c r="D372" s="4" t="s">
        <v>1942</v>
      </c>
      <c r="E372" s="4" t="s">
        <v>1376</v>
      </c>
      <c r="F372" s="4" t="s">
        <v>1943</v>
      </c>
      <c r="G372" s="4" t="s">
        <v>1944</v>
      </c>
      <c r="H372" s="4" t="s">
        <v>367</v>
      </c>
      <c r="I372" s="4" t="s">
        <v>975</v>
      </c>
      <c r="J372" s="4" t="s">
        <v>31</v>
      </c>
      <c r="K372" s="4" t="s">
        <v>31</v>
      </c>
      <c r="L372" s="2" t="s">
        <v>373</v>
      </c>
      <c r="M372" s="2" t="s">
        <v>32</v>
      </c>
      <c r="N372" s="4" t="s">
        <v>488</v>
      </c>
      <c r="O372" s="4" t="s">
        <v>164</v>
      </c>
      <c r="P372" s="4" t="s">
        <v>35</v>
      </c>
      <c r="Q372" s="152">
        <v>2520</v>
      </c>
      <c r="R372" s="152">
        <v>1</v>
      </c>
      <c r="S372" s="152">
        <v>5291</v>
      </c>
      <c r="U372" s="152">
        <v>133.333</v>
      </c>
      <c r="V372" s="152">
        <v>3.1999999999999999E-5</v>
      </c>
      <c r="W372" s="166">
        <v>1.1805172643492901E-2</v>
      </c>
      <c r="X372" s="166">
        <v>9.4292072336482104E-4</v>
      </c>
    </row>
    <row r="373" spans="1:24">
      <c r="A373" s="4" t="s">
        <v>128</v>
      </c>
      <c r="B373" s="4">
        <v>7229</v>
      </c>
      <c r="C373" s="4" t="s">
        <v>1222</v>
      </c>
      <c r="D373" s="4" t="s">
        <v>1945</v>
      </c>
      <c r="E373" s="4" t="s">
        <v>1376</v>
      </c>
      <c r="F373" s="4" t="s">
        <v>1946</v>
      </c>
      <c r="G373" s="4" t="s">
        <v>1947</v>
      </c>
      <c r="H373" s="4" t="s">
        <v>367</v>
      </c>
      <c r="I373" s="4" t="s">
        <v>975</v>
      </c>
      <c r="J373" s="4" t="s">
        <v>31</v>
      </c>
      <c r="K373" s="4" t="s">
        <v>31</v>
      </c>
      <c r="L373" s="2" t="s">
        <v>373</v>
      </c>
      <c r="M373" s="2" t="s">
        <v>32</v>
      </c>
      <c r="N373" s="4" t="s">
        <v>491</v>
      </c>
      <c r="O373" s="4" t="s">
        <v>164</v>
      </c>
      <c r="P373" s="4" t="s">
        <v>35</v>
      </c>
      <c r="Q373" s="152">
        <v>19850</v>
      </c>
      <c r="R373" s="152">
        <v>1</v>
      </c>
      <c r="S373" s="152">
        <v>3110</v>
      </c>
      <c r="U373" s="152">
        <v>617.33500000000004</v>
      </c>
      <c r="V373" s="152">
        <v>1.2E-5</v>
      </c>
      <c r="W373" s="166">
        <v>5.4658151562181803E-2</v>
      </c>
      <c r="X373" s="166">
        <v>4.3657391014272602E-3</v>
      </c>
    </row>
    <row r="374" spans="1:24">
      <c r="A374" s="4" t="s">
        <v>128</v>
      </c>
      <c r="B374" s="4">
        <v>7229</v>
      </c>
      <c r="C374" s="4" t="s">
        <v>1952</v>
      </c>
      <c r="D374" s="4" t="s">
        <v>1953</v>
      </c>
      <c r="E374" s="4" t="s">
        <v>1376</v>
      </c>
      <c r="F374" s="4" t="s">
        <v>1954</v>
      </c>
      <c r="G374" s="4" t="s">
        <v>1955</v>
      </c>
      <c r="H374" s="4" t="s">
        <v>367</v>
      </c>
      <c r="I374" s="4" t="s">
        <v>975</v>
      </c>
      <c r="J374" s="4" t="s">
        <v>31</v>
      </c>
      <c r="K374" s="4" t="s">
        <v>31</v>
      </c>
      <c r="L374" s="2" t="s">
        <v>373</v>
      </c>
      <c r="M374" s="2" t="s">
        <v>32</v>
      </c>
      <c r="N374" s="4" t="s">
        <v>502</v>
      </c>
      <c r="O374" s="4" t="s">
        <v>164</v>
      </c>
      <c r="P374" s="4" t="s">
        <v>35</v>
      </c>
      <c r="Q374" s="152">
        <v>790</v>
      </c>
      <c r="R374" s="152">
        <v>1</v>
      </c>
      <c r="S374" s="152">
        <v>14490</v>
      </c>
      <c r="U374" s="152">
        <v>114.471</v>
      </c>
      <c r="V374" s="152">
        <v>2.3800000000000001E-4</v>
      </c>
      <c r="W374" s="166">
        <v>1.0135134517684099E-2</v>
      </c>
      <c r="X374" s="166">
        <v>8.0952889546110404E-4</v>
      </c>
    </row>
    <row r="375" spans="1:24">
      <c r="A375" s="4" t="s">
        <v>128</v>
      </c>
      <c r="B375" s="4">
        <v>7229</v>
      </c>
      <c r="C375" s="4" t="s">
        <v>1956</v>
      </c>
      <c r="D375" s="4" t="s">
        <v>1957</v>
      </c>
      <c r="E375" s="4" t="s">
        <v>1376</v>
      </c>
      <c r="F375" s="4" t="s">
        <v>1958</v>
      </c>
      <c r="G375" s="4" t="s">
        <v>1959</v>
      </c>
      <c r="H375" s="4" t="s">
        <v>367</v>
      </c>
      <c r="I375" s="4" t="s">
        <v>975</v>
      </c>
      <c r="J375" s="4" t="s">
        <v>31</v>
      </c>
      <c r="K375" s="4" t="s">
        <v>31</v>
      </c>
      <c r="L375" s="2" t="s">
        <v>373</v>
      </c>
      <c r="M375" s="2" t="s">
        <v>32</v>
      </c>
      <c r="N375" s="4" t="s">
        <v>520</v>
      </c>
      <c r="O375" s="4" t="s">
        <v>164</v>
      </c>
      <c r="P375" s="4" t="s">
        <v>35</v>
      </c>
      <c r="Q375" s="152">
        <v>856</v>
      </c>
      <c r="R375" s="152">
        <v>1</v>
      </c>
      <c r="S375" s="152">
        <v>6901</v>
      </c>
      <c r="T375" s="150">
        <v>0.69299999999999995</v>
      </c>
      <c r="U375" s="152">
        <v>59.765999999999998</v>
      </c>
      <c r="V375" s="152">
        <v>1.2999999999999999E-5</v>
      </c>
      <c r="W375" s="166">
        <v>5.2916078200867201E-3</v>
      </c>
      <c r="X375" s="166">
        <v>4.2265935655158701E-4</v>
      </c>
    </row>
    <row r="376" spans="1:24">
      <c r="A376" s="4" t="s">
        <v>128</v>
      </c>
      <c r="B376" s="4">
        <v>7229</v>
      </c>
      <c r="C376" s="4" t="s">
        <v>1964</v>
      </c>
      <c r="D376" s="4" t="s">
        <v>1965</v>
      </c>
      <c r="E376" s="4" t="s">
        <v>1376</v>
      </c>
      <c r="F376" s="4" t="s">
        <v>1966</v>
      </c>
      <c r="G376" s="4" t="s">
        <v>1967</v>
      </c>
      <c r="H376" s="4" t="s">
        <v>367</v>
      </c>
      <c r="I376" s="4" t="s">
        <v>975</v>
      </c>
      <c r="J376" s="4" t="s">
        <v>31</v>
      </c>
      <c r="K376" s="4" t="s">
        <v>31</v>
      </c>
      <c r="L376" s="2" t="s">
        <v>373</v>
      </c>
      <c r="M376" s="2" t="s">
        <v>32</v>
      </c>
      <c r="N376" s="4" t="s">
        <v>488</v>
      </c>
      <c r="O376" s="4" t="s">
        <v>164</v>
      </c>
      <c r="P376" s="4" t="s">
        <v>35</v>
      </c>
      <c r="Q376" s="152">
        <v>1603</v>
      </c>
      <c r="R376" s="152">
        <v>1</v>
      </c>
      <c r="S376" s="152">
        <v>8960</v>
      </c>
      <c r="U376" s="152">
        <v>143.62899999999999</v>
      </c>
      <c r="V376" s="152">
        <v>2.5999999999999998E-5</v>
      </c>
      <c r="W376" s="166">
        <v>1.27167335710664E-2</v>
      </c>
      <c r="X376" s="166">
        <v>1.0157303056704599E-3</v>
      </c>
    </row>
    <row r="377" spans="1:24">
      <c r="A377" s="4" t="s">
        <v>128</v>
      </c>
      <c r="B377" s="4">
        <v>7229</v>
      </c>
      <c r="C377" s="4" t="s">
        <v>1968</v>
      </c>
      <c r="D377" s="4" t="s">
        <v>1518</v>
      </c>
      <c r="E377" s="4" t="s">
        <v>1376</v>
      </c>
      <c r="F377" s="4" t="s">
        <v>1969</v>
      </c>
      <c r="G377" s="4" t="s">
        <v>1970</v>
      </c>
      <c r="H377" s="4" t="s">
        <v>367</v>
      </c>
      <c r="I377" s="4" t="s">
        <v>975</v>
      </c>
      <c r="J377" s="4" t="s">
        <v>31</v>
      </c>
      <c r="K377" s="4" t="s">
        <v>31</v>
      </c>
      <c r="L377" s="2" t="s">
        <v>373</v>
      </c>
      <c r="M377" s="2" t="s">
        <v>32</v>
      </c>
      <c r="N377" s="4" t="s">
        <v>486</v>
      </c>
      <c r="O377" s="4" t="s">
        <v>164</v>
      </c>
      <c r="P377" s="4" t="s">
        <v>35</v>
      </c>
      <c r="Q377" s="152">
        <v>25536</v>
      </c>
      <c r="R377" s="152">
        <v>1</v>
      </c>
      <c r="S377" s="152">
        <v>1058</v>
      </c>
      <c r="U377" s="152">
        <v>270.17099999999999</v>
      </c>
      <c r="V377" s="152">
        <v>4.2200000000000001E-4</v>
      </c>
      <c r="W377" s="166">
        <v>2.3920628032961098E-2</v>
      </c>
      <c r="X377" s="166">
        <v>1.9106248226376499E-3</v>
      </c>
    </row>
    <row r="378" spans="1:24">
      <c r="A378" s="4" t="s">
        <v>128</v>
      </c>
      <c r="B378" s="4">
        <v>7229</v>
      </c>
      <c r="C378" s="4" t="s">
        <v>1971</v>
      </c>
      <c r="D378" s="4" t="s">
        <v>1972</v>
      </c>
      <c r="E378" s="4" t="s">
        <v>1376</v>
      </c>
      <c r="F378" s="4" t="s">
        <v>1973</v>
      </c>
      <c r="G378" s="4" t="s">
        <v>1974</v>
      </c>
      <c r="H378" s="4" t="s">
        <v>367</v>
      </c>
      <c r="I378" s="4" t="s">
        <v>975</v>
      </c>
      <c r="J378" s="4" t="s">
        <v>31</v>
      </c>
      <c r="K378" s="4" t="s">
        <v>31</v>
      </c>
      <c r="L378" s="2" t="s">
        <v>373</v>
      </c>
      <c r="M378" s="2" t="s">
        <v>32</v>
      </c>
      <c r="N378" s="4" t="s">
        <v>519</v>
      </c>
      <c r="O378" s="4" t="s">
        <v>164</v>
      </c>
      <c r="P378" s="4" t="s">
        <v>35</v>
      </c>
      <c r="Q378" s="152">
        <v>20000</v>
      </c>
      <c r="R378" s="152">
        <v>1</v>
      </c>
      <c r="S378" s="152">
        <v>871.5</v>
      </c>
      <c r="U378" s="152">
        <v>174.3</v>
      </c>
      <c r="V378" s="152">
        <v>1.44E-4</v>
      </c>
      <c r="W378" s="166">
        <v>1.5432327370533501E-2</v>
      </c>
      <c r="X378" s="166">
        <v>1.23263434825301E-3</v>
      </c>
    </row>
    <row r="379" spans="1:24">
      <c r="A379" s="4" t="s">
        <v>128</v>
      </c>
      <c r="B379" s="4">
        <v>7229</v>
      </c>
      <c r="C379" s="4" t="s">
        <v>1979</v>
      </c>
      <c r="D379" s="4" t="s">
        <v>1980</v>
      </c>
      <c r="E379" s="4" t="s">
        <v>1376</v>
      </c>
      <c r="F379" s="4" t="s">
        <v>1981</v>
      </c>
      <c r="G379" s="4" t="s">
        <v>1982</v>
      </c>
      <c r="H379" s="4" t="s">
        <v>367</v>
      </c>
      <c r="I379" s="4" t="s">
        <v>975</v>
      </c>
      <c r="J379" s="4" t="s">
        <v>31</v>
      </c>
      <c r="K379" s="4" t="s">
        <v>95</v>
      </c>
      <c r="L379" s="2" t="s">
        <v>373</v>
      </c>
      <c r="M379" s="2" t="s">
        <v>32</v>
      </c>
      <c r="N379" s="4" t="s">
        <v>524</v>
      </c>
      <c r="O379" s="4" t="s">
        <v>164</v>
      </c>
      <c r="P379" s="4" t="s">
        <v>35</v>
      </c>
      <c r="Q379" s="152">
        <v>315</v>
      </c>
      <c r="R379" s="152">
        <v>1</v>
      </c>
      <c r="S379" s="152">
        <v>64400</v>
      </c>
      <c r="U379" s="152">
        <v>202.86</v>
      </c>
      <c r="V379" s="152">
        <v>5.0000000000000004E-6</v>
      </c>
      <c r="W379" s="166">
        <v>1.7960997879440201E-2</v>
      </c>
      <c r="X379" s="166">
        <v>1.4346081691715799E-3</v>
      </c>
    </row>
    <row r="380" spans="1:24">
      <c r="A380" s="4" t="s">
        <v>128</v>
      </c>
      <c r="B380" s="4">
        <v>7229</v>
      </c>
      <c r="C380" s="4" t="s">
        <v>1987</v>
      </c>
      <c r="D380" s="4" t="s">
        <v>1988</v>
      </c>
      <c r="E380" s="4" t="s">
        <v>1376</v>
      </c>
      <c r="F380" s="4" t="s">
        <v>1989</v>
      </c>
      <c r="G380" s="4" t="s">
        <v>1990</v>
      </c>
      <c r="H380" s="4" t="s">
        <v>367</v>
      </c>
      <c r="I380" s="4" t="s">
        <v>975</v>
      </c>
      <c r="J380" s="4" t="s">
        <v>31</v>
      </c>
      <c r="K380" s="4" t="s">
        <v>31</v>
      </c>
      <c r="L380" s="2" t="s">
        <v>373</v>
      </c>
      <c r="M380" s="2" t="s">
        <v>32</v>
      </c>
      <c r="N380" s="4" t="s">
        <v>528</v>
      </c>
      <c r="O380" s="4" t="s">
        <v>164</v>
      </c>
      <c r="P380" s="4" t="s">
        <v>35</v>
      </c>
      <c r="Q380" s="152">
        <v>8891</v>
      </c>
      <c r="R380" s="152">
        <v>1</v>
      </c>
      <c r="S380" s="152">
        <v>1320</v>
      </c>
      <c r="U380" s="152">
        <v>117.361</v>
      </c>
      <c r="V380" s="152">
        <v>5.3999999999999998E-5</v>
      </c>
      <c r="W380" s="166">
        <v>1.0391029598385899E-2</v>
      </c>
      <c r="X380" s="166">
        <v>8.2996813696036204E-4</v>
      </c>
    </row>
    <row r="381" spans="1:24">
      <c r="A381" s="4" t="s">
        <v>128</v>
      </c>
      <c r="B381" s="4">
        <v>7229</v>
      </c>
      <c r="C381" s="4" t="s">
        <v>1995</v>
      </c>
      <c r="D381" s="4" t="s">
        <v>1996</v>
      </c>
      <c r="E381" s="4" t="s">
        <v>1376</v>
      </c>
      <c r="F381" s="4" t="s">
        <v>1997</v>
      </c>
      <c r="G381" s="4" t="s">
        <v>1998</v>
      </c>
      <c r="H381" s="4" t="s">
        <v>367</v>
      </c>
      <c r="I381" s="4" t="s">
        <v>975</v>
      </c>
      <c r="J381" s="4" t="s">
        <v>31</v>
      </c>
      <c r="K381" s="4" t="s">
        <v>31</v>
      </c>
      <c r="L381" s="2" t="s">
        <v>373</v>
      </c>
      <c r="M381" s="2" t="s">
        <v>32</v>
      </c>
      <c r="N381" s="4" t="s">
        <v>491</v>
      </c>
      <c r="O381" s="4" t="s">
        <v>164</v>
      </c>
      <c r="P381" s="4" t="s">
        <v>35</v>
      </c>
      <c r="Q381" s="152">
        <v>8519</v>
      </c>
      <c r="R381" s="152">
        <v>1</v>
      </c>
      <c r="S381" s="152">
        <v>3365</v>
      </c>
      <c r="U381" s="152">
        <v>286.66399999999999</v>
      </c>
      <c r="V381" s="152">
        <v>6.0000000000000002E-6</v>
      </c>
      <c r="W381" s="166">
        <v>2.5380941449576502E-2</v>
      </c>
      <c r="X381" s="166">
        <v>2.0272651992520002E-3</v>
      </c>
    </row>
    <row r="382" spans="1:24">
      <c r="A382" s="4" t="s">
        <v>128</v>
      </c>
      <c r="B382" s="4">
        <v>7229</v>
      </c>
      <c r="C382" s="4" t="s">
        <v>2003</v>
      </c>
      <c r="D382" s="4" t="s">
        <v>2004</v>
      </c>
      <c r="E382" s="4" t="s">
        <v>1376</v>
      </c>
      <c r="F382" s="4" t="s">
        <v>2005</v>
      </c>
      <c r="G382" s="4" t="s">
        <v>2006</v>
      </c>
      <c r="H382" s="4" t="s">
        <v>367</v>
      </c>
      <c r="I382" s="4" t="s">
        <v>975</v>
      </c>
      <c r="J382" s="4" t="s">
        <v>31</v>
      </c>
      <c r="K382" s="4" t="s">
        <v>31</v>
      </c>
      <c r="L382" s="2" t="s">
        <v>373</v>
      </c>
      <c r="M382" s="2" t="s">
        <v>32</v>
      </c>
      <c r="N382" s="4" t="s">
        <v>528</v>
      </c>
      <c r="O382" s="4" t="s">
        <v>164</v>
      </c>
      <c r="P382" s="4" t="s">
        <v>35</v>
      </c>
      <c r="Q382" s="152">
        <v>7694</v>
      </c>
      <c r="R382" s="152">
        <v>1</v>
      </c>
      <c r="S382" s="152">
        <v>1535</v>
      </c>
      <c r="U382" s="152">
        <v>118.10299999999999</v>
      </c>
      <c r="V382" s="152">
        <v>4.1E-5</v>
      </c>
      <c r="W382" s="166">
        <v>1.04566988881777E-2</v>
      </c>
      <c r="X382" s="166">
        <v>8.3521337445949804E-4</v>
      </c>
    </row>
    <row r="383" spans="1:24">
      <c r="A383" s="4" t="s">
        <v>128</v>
      </c>
      <c r="B383" s="4">
        <v>7229</v>
      </c>
      <c r="C383" s="4" t="s">
        <v>2011</v>
      </c>
      <c r="D383" s="4" t="s">
        <v>2012</v>
      </c>
      <c r="E383" s="4" t="s">
        <v>1376</v>
      </c>
      <c r="F383" s="4" t="s">
        <v>2013</v>
      </c>
      <c r="G383" s="4" t="s">
        <v>2014</v>
      </c>
      <c r="H383" s="4" t="s">
        <v>367</v>
      </c>
      <c r="I383" s="4" t="s">
        <v>975</v>
      </c>
      <c r="J383" s="4" t="s">
        <v>31</v>
      </c>
      <c r="K383" s="4" t="s">
        <v>31</v>
      </c>
      <c r="L383" s="2" t="s">
        <v>373</v>
      </c>
      <c r="M383" s="2" t="s">
        <v>32</v>
      </c>
      <c r="N383" s="4" t="s">
        <v>506</v>
      </c>
      <c r="O383" s="4" t="s">
        <v>164</v>
      </c>
      <c r="P383" s="4" t="s">
        <v>35</v>
      </c>
      <c r="Q383" s="152">
        <v>29987</v>
      </c>
      <c r="R383" s="152">
        <v>1</v>
      </c>
      <c r="S383" s="152">
        <v>488.3</v>
      </c>
      <c r="U383" s="152">
        <v>146.42699999999999</v>
      </c>
      <c r="V383" s="152">
        <v>1.0399999999999999E-4</v>
      </c>
      <c r="W383" s="166">
        <v>1.29644406643735E-2</v>
      </c>
      <c r="X383" s="166">
        <v>1.0355155437738999E-3</v>
      </c>
    </row>
    <row r="384" spans="1:24">
      <c r="A384" s="4" t="s">
        <v>128</v>
      </c>
      <c r="B384" s="4">
        <v>7229</v>
      </c>
      <c r="C384" s="4" t="s">
        <v>2019</v>
      </c>
      <c r="D384" s="4" t="s">
        <v>2020</v>
      </c>
      <c r="E384" s="4" t="s">
        <v>1376</v>
      </c>
      <c r="F384" s="4" t="s">
        <v>2021</v>
      </c>
      <c r="G384" s="4" t="s">
        <v>2022</v>
      </c>
      <c r="H384" s="4" t="s">
        <v>367</v>
      </c>
      <c r="I384" s="4" t="s">
        <v>975</v>
      </c>
      <c r="J384" s="4" t="s">
        <v>31</v>
      </c>
      <c r="K384" s="4" t="s">
        <v>31</v>
      </c>
      <c r="L384" s="2" t="s">
        <v>373</v>
      </c>
      <c r="M384" s="2" t="s">
        <v>32</v>
      </c>
      <c r="N384" s="4" t="s">
        <v>502</v>
      </c>
      <c r="O384" s="4" t="s">
        <v>164</v>
      </c>
      <c r="P384" s="4" t="s">
        <v>35</v>
      </c>
      <c r="Q384" s="152">
        <v>3662</v>
      </c>
      <c r="R384" s="152">
        <v>1</v>
      </c>
      <c r="S384" s="152">
        <v>5599</v>
      </c>
      <c r="U384" s="152">
        <v>205.035</v>
      </c>
      <c r="V384" s="152">
        <v>3.1000000000000001E-5</v>
      </c>
      <c r="W384" s="166">
        <v>1.81536035955349E-2</v>
      </c>
      <c r="X384" s="166">
        <v>1.44999226617962E-3</v>
      </c>
    </row>
    <row r="385" spans="1:24">
      <c r="A385" s="4" t="s">
        <v>128</v>
      </c>
      <c r="B385" s="4">
        <v>7229</v>
      </c>
      <c r="C385" s="4" t="s">
        <v>2023</v>
      </c>
      <c r="D385" s="4" t="s">
        <v>2024</v>
      </c>
      <c r="E385" s="4" t="s">
        <v>1376</v>
      </c>
      <c r="F385" s="4" t="s">
        <v>2025</v>
      </c>
      <c r="G385" s="4" t="s">
        <v>2026</v>
      </c>
      <c r="H385" s="4" t="s">
        <v>367</v>
      </c>
      <c r="I385" s="4" t="s">
        <v>975</v>
      </c>
      <c r="J385" s="4" t="s">
        <v>31</v>
      </c>
      <c r="K385" s="4" t="s">
        <v>31</v>
      </c>
      <c r="L385" s="2" t="s">
        <v>373</v>
      </c>
      <c r="M385" s="2" t="s">
        <v>32</v>
      </c>
      <c r="N385" s="4" t="s">
        <v>506</v>
      </c>
      <c r="O385" s="4" t="s">
        <v>164</v>
      </c>
      <c r="P385" s="4" t="s">
        <v>35</v>
      </c>
      <c r="Q385" s="152">
        <v>9564</v>
      </c>
      <c r="R385" s="152">
        <v>1</v>
      </c>
      <c r="S385" s="152">
        <v>1920</v>
      </c>
      <c r="U385" s="152">
        <v>183.62899999999999</v>
      </c>
      <c r="V385" s="152">
        <v>2.6999999999999999E-5</v>
      </c>
      <c r="W385" s="166">
        <v>1.6258288905669601E-2</v>
      </c>
      <c r="X385" s="166">
        <v>1.2986068055564101E-3</v>
      </c>
    </row>
    <row r="386" spans="1:24">
      <c r="A386" s="4" t="s">
        <v>128</v>
      </c>
      <c r="B386" s="4">
        <v>7229</v>
      </c>
      <c r="C386" s="4" t="s">
        <v>2027</v>
      </c>
      <c r="D386" s="4" t="s">
        <v>2028</v>
      </c>
      <c r="E386" s="4" t="s">
        <v>361</v>
      </c>
      <c r="F386" s="4" t="s">
        <v>2029</v>
      </c>
      <c r="G386" s="4" t="s">
        <v>2030</v>
      </c>
      <c r="H386" s="4" t="s">
        <v>367</v>
      </c>
      <c r="I386" s="4" t="s">
        <v>975</v>
      </c>
      <c r="J386" s="4" t="s">
        <v>94</v>
      </c>
      <c r="K386" s="4" t="s">
        <v>95</v>
      </c>
      <c r="L386" s="2" t="s">
        <v>373</v>
      </c>
      <c r="M386" s="2" t="s">
        <v>392</v>
      </c>
      <c r="N386" s="4" t="s">
        <v>559</v>
      </c>
      <c r="O386" s="4" t="s">
        <v>164</v>
      </c>
      <c r="P386" s="4" t="s">
        <v>99</v>
      </c>
      <c r="Q386" s="152">
        <v>444</v>
      </c>
      <c r="R386" s="152">
        <v>3.7589999999999999</v>
      </c>
      <c r="S386" s="152">
        <v>19325</v>
      </c>
      <c r="U386" s="152">
        <v>322.53300000000002</v>
      </c>
      <c r="V386" s="152">
        <v>0</v>
      </c>
      <c r="W386" s="166">
        <v>2.8556753901436801E-2</v>
      </c>
      <c r="X386" s="166">
        <v>2.28092852674511E-3</v>
      </c>
    </row>
    <row r="387" spans="1:24">
      <c r="A387" s="4" t="s">
        <v>128</v>
      </c>
      <c r="B387" s="4">
        <v>7229</v>
      </c>
      <c r="C387" s="4" t="s">
        <v>2031</v>
      </c>
      <c r="D387" s="4" t="s">
        <v>2032</v>
      </c>
      <c r="E387" s="4" t="s">
        <v>361</v>
      </c>
      <c r="F387" s="4" t="s">
        <v>2033</v>
      </c>
      <c r="G387" s="4" t="s">
        <v>2034</v>
      </c>
      <c r="H387" s="4" t="s">
        <v>367</v>
      </c>
      <c r="I387" s="4" t="s">
        <v>975</v>
      </c>
      <c r="J387" s="4" t="s">
        <v>94</v>
      </c>
      <c r="K387" s="4" t="s">
        <v>95</v>
      </c>
      <c r="L387" s="2" t="s">
        <v>373</v>
      </c>
      <c r="M387" s="2" t="s">
        <v>392</v>
      </c>
      <c r="N387" s="4" t="s">
        <v>590</v>
      </c>
      <c r="O387" s="4" t="s">
        <v>164</v>
      </c>
      <c r="P387" s="4" t="s">
        <v>99</v>
      </c>
      <c r="Q387" s="152">
        <v>298</v>
      </c>
      <c r="R387" s="152">
        <v>3.7589999999999999</v>
      </c>
      <c r="S387" s="152">
        <v>21062</v>
      </c>
      <c r="U387" s="152">
        <v>235.93299999999999</v>
      </c>
      <c r="V387" s="152">
        <v>0</v>
      </c>
      <c r="W387" s="166">
        <v>2.08892207149254E-2</v>
      </c>
      <c r="X387" s="166">
        <v>1.6684956418576301E-3</v>
      </c>
    </row>
    <row r="388" spans="1:24">
      <c r="A388" s="4" t="s">
        <v>128</v>
      </c>
      <c r="B388" s="4">
        <v>7229</v>
      </c>
      <c r="C388" s="4" t="s">
        <v>2035</v>
      </c>
      <c r="D388" s="4" t="s">
        <v>2036</v>
      </c>
      <c r="E388" s="4" t="s">
        <v>361</v>
      </c>
      <c r="F388" s="4" t="s">
        <v>2037</v>
      </c>
      <c r="G388" s="4" t="s">
        <v>2038</v>
      </c>
      <c r="H388" s="4" t="s">
        <v>367</v>
      </c>
      <c r="I388" s="4" t="s">
        <v>975</v>
      </c>
      <c r="J388" s="4" t="s">
        <v>94</v>
      </c>
      <c r="K388" s="4" t="s">
        <v>95</v>
      </c>
      <c r="L388" s="2" t="s">
        <v>373</v>
      </c>
      <c r="M388" s="2" t="s">
        <v>392</v>
      </c>
      <c r="N388" s="4" t="s">
        <v>578</v>
      </c>
      <c r="O388" s="4" t="s">
        <v>164</v>
      </c>
      <c r="P388" s="4" t="s">
        <v>99</v>
      </c>
      <c r="Q388" s="152">
        <v>235</v>
      </c>
      <c r="R388" s="152">
        <v>3.7589999999999999</v>
      </c>
      <c r="S388" s="152">
        <v>23182</v>
      </c>
      <c r="U388" s="152">
        <v>204.78200000000001</v>
      </c>
      <c r="V388" s="152">
        <v>1.9999999999999999E-6</v>
      </c>
      <c r="W388" s="166">
        <v>1.81311407761536E-2</v>
      </c>
      <c r="X388" s="166">
        <v>1.4481980816692E-3</v>
      </c>
    </row>
    <row r="389" spans="1:24">
      <c r="A389" s="4" t="s">
        <v>128</v>
      </c>
      <c r="B389" s="4">
        <v>7229</v>
      </c>
      <c r="C389" s="4" t="s">
        <v>2048</v>
      </c>
      <c r="D389" s="4" t="s">
        <v>2049</v>
      </c>
      <c r="E389" s="4" t="s">
        <v>361</v>
      </c>
      <c r="F389" s="4" t="s">
        <v>2048</v>
      </c>
      <c r="G389" s="4" t="s">
        <v>2050</v>
      </c>
      <c r="H389" s="4" t="s">
        <v>367</v>
      </c>
      <c r="I389" s="4" t="s">
        <v>975</v>
      </c>
      <c r="J389" s="4" t="s">
        <v>94</v>
      </c>
      <c r="K389" s="4" t="s">
        <v>95</v>
      </c>
      <c r="L389" s="2" t="s">
        <v>373</v>
      </c>
      <c r="M389" s="2" t="s">
        <v>32</v>
      </c>
      <c r="N389" s="4" t="s">
        <v>574</v>
      </c>
      <c r="O389" s="4" t="s">
        <v>164</v>
      </c>
      <c r="P389" s="4" t="s">
        <v>99</v>
      </c>
      <c r="Q389" s="152">
        <v>152</v>
      </c>
      <c r="R389" s="152">
        <v>3.7589999999999999</v>
      </c>
      <c r="S389" s="152">
        <v>24985</v>
      </c>
      <c r="T389" s="150">
        <v>2.9000000000000001E-2</v>
      </c>
      <c r="U389" s="152">
        <v>142.864</v>
      </c>
      <c r="V389" s="152">
        <v>0</v>
      </c>
      <c r="W389" s="166">
        <v>1.2649029197332601E-2</v>
      </c>
      <c r="X389" s="166">
        <v>1.0103225188482E-3</v>
      </c>
    </row>
    <row r="390" spans="1:24">
      <c r="A390" s="4" t="s">
        <v>128</v>
      </c>
      <c r="B390" s="4">
        <v>7229</v>
      </c>
      <c r="C390" s="4" t="s">
        <v>2051</v>
      </c>
      <c r="D390" s="4" t="s">
        <v>2052</v>
      </c>
      <c r="E390" s="4" t="s">
        <v>361</v>
      </c>
      <c r="F390" s="4" t="s">
        <v>2053</v>
      </c>
      <c r="G390" s="4" t="s">
        <v>2054</v>
      </c>
      <c r="H390" s="4" t="s">
        <v>367</v>
      </c>
      <c r="I390" s="4" t="s">
        <v>975</v>
      </c>
      <c r="J390" s="4" t="s">
        <v>94</v>
      </c>
      <c r="K390" s="4" t="s">
        <v>95</v>
      </c>
      <c r="L390" s="2" t="s">
        <v>373</v>
      </c>
      <c r="M390" s="2" t="s">
        <v>390</v>
      </c>
      <c r="N390" s="4" t="s">
        <v>2043</v>
      </c>
      <c r="O390" s="4" t="s">
        <v>164</v>
      </c>
      <c r="P390" s="4" t="s">
        <v>99</v>
      </c>
      <c r="Q390" s="152">
        <v>164</v>
      </c>
      <c r="R390" s="152">
        <v>3.7589999999999999</v>
      </c>
      <c r="S390" s="152">
        <v>37363</v>
      </c>
      <c r="U390" s="152">
        <v>230.334</v>
      </c>
      <c r="V390" s="152">
        <v>9.9999999999999995E-7</v>
      </c>
      <c r="W390" s="166">
        <v>2.0393508775588098E-2</v>
      </c>
      <c r="X390" s="166">
        <v>1.6289013830919101E-3</v>
      </c>
    </row>
    <row r="391" spans="1:24">
      <c r="A391" s="4" t="s">
        <v>128</v>
      </c>
      <c r="B391" s="4">
        <v>7229</v>
      </c>
      <c r="C391" s="4" t="s">
        <v>2055</v>
      </c>
      <c r="D391" s="4" t="s">
        <v>2056</v>
      </c>
      <c r="E391" s="4" t="s">
        <v>361</v>
      </c>
      <c r="F391" s="4" t="s">
        <v>2055</v>
      </c>
      <c r="G391" s="4" t="s">
        <v>2057</v>
      </c>
      <c r="H391" s="4" t="s">
        <v>367</v>
      </c>
      <c r="I391" s="4" t="s">
        <v>975</v>
      </c>
      <c r="J391" s="4" t="s">
        <v>94</v>
      </c>
      <c r="K391" s="4" t="s">
        <v>95</v>
      </c>
      <c r="L391" s="2" t="s">
        <v>373</v>
      </c>
      <c r="M391" s="2" t="s">
        <v>392</v>
      </c>
      <c r="N391" s="4" t="s">
        <v>590</v>
      </c>
      <c r="O391" s="4" t="s">
        <v>164</v>
      </c>
      <c r="P391" s="4" t="s">
        <v>99</v>
      </c>
      <c r="Q391" s="152">
        <v>2345</v>
      </c>
      <c r="R391" s="152">
        <v>3.7589999999999999</v>
      </c>
      <c r="S391" s="152">
        <v>2949</v>
      </c>
      <c r="U391" s="152">
        <v>259.95</v>
      </c>
      <c r="V391" s="152">
        <v>6.0000000000000002E-6</v>
      </c>
      <c r="W391" s="166">
        <v>2.3015689278203001E-2</v>
      </c>
      <c r="X391" s="166">
        <v>1.83834417660172E-3</v>
      </c>
    </row>
    <row r="392" spans="1:24">
      <c r="A392" s="4" t="s">
        <v>128</v>
      </c>
      <c r="B392" s="4">
        <v>7229</v>
      </c>
      <c r="C392" s="4" t="s">
        <v>2062</v>
      </c>
      <c r="D392" s="4" t="s">
        <v>2063</v>
      </c>
      <c r="E392" s="4" t="s">
        <v>361</v>
      </c>
      <c r="F392" s="4" t="s">
        <v>2064</v>
      </c>
      <c r="G392" s="4" t="s">
        <v>2065</v>
      </c>
      <c r="H392" s="4" t="s">
        <v>367</v>
      </c>
      <c r="I392" s="4" t="s">
        <v>975</v>
      </c>
      <c r="J392" s="4" t="s">
        <v>94</v>
      </c>
      <c r="K392" s="4" t="s">
        <v>330</v>
      </c>
      <c r="L392" s="2" t="s">
        <v>373</v>
      </c>
      <c r="M392" s="2" t="s">
        <v>412</v>
      </c>
      <c r="N392" s="4" t="s">
        <v>2066</v>
      </c>
      <c r="O392" s="4" t="s">
        <v>164</v>
      </c>
      <c r="P392" s="4" t="s">
        <v>1219</v>
      </c>
      <c r="Q392" s="152">
        <v>41</v>
      </c>
      <c r="R392" s="152">
        <v>4.0199999999999996</v>
      </c>
      <c r="S392" s="152">
        <v>71360</v>
      </c>
      <c r="U392" s="152">
        <v>117.621</v>
      </c>
      <c r="V392" s="152">
        <v>0</v>
      </c>
      <c r="W392" s="166">
        <v>1.04140677274943E-2</v>
      </c>
      <c r="X392" s="166">
        <v>8.3180827348525198E-4</v>
      </c>
    </row>
    <row r="393" spans="1:24">
      <c r="A393" s="4" t="s">
        <v>128</v>
      </c>
      <c r="B393" s="4">
        <v>7229</v>
      </c>
      <c r="C393" s="4" t="s">
        <v>2067</v>
      </c>
      <c r="D393" s="4" t="s">
        <v>2068</v>
      </c>
      <c r="E393" s="4" t="s">
        <v>361</v>
      </c>
      <c r="F393" s="4" t="s">
        <v>2069</v>
      </c>
      <c r="G393" s="4" t="s">
        <v>2070</v>
      </c>
      <c r="H393" s="4" t="s">
        <v>367</v>
      </c>
      <c r="I393" s="4" t="s">
        <v>975</v>
      </c>
      <c r="J393" s="4" t="s">
        <v>94</v>
      </c>
      <c r="K393" s="4" t="s">
        <v>95</v>
      </c>
      <c r="L393" s="2" t="s">
        <v>373</v>
      </c>
      <c r="M393" s="2" t="s">
        <v>390</v>
      </c>
      <c r="N393" s="4" t="s">
        <v>2071</v>
      </c>
      <c r="O393" s="4" t="s">
        <v>164</v>
      </c>
      <c r="P393" s="4" t="s">
        <v>99</v>
      </c>
      <c r="Q393" s="152">
        <v>158</v>
      </c>
      <c r="R393" s="152">
        <v>3.7589999999999999</v>
      </c>
      <c r="S393" s="152">
        <v>44116</v>
      </c>
      <c r="U393" s="152">
        <v>262.01499999999999</v>
      </c>
      <c r="V393" s="152">
        <v>0</v>
      </c>
      <c r="W393" s="166">
        <v>2.3198482723016001E-2</v>
      </c>
      <c r="X393" s="166">
        <v>1.85294453293826E-3</v>
      </c>
    </row>
    <row r="394" spans="1:24">
      <c r="A394" s="4" t="s">
        <v>128</v>
      </c>
      <c r="B394" s="4">
        <v>7229</v>
      </c>
      <c r="C394" s="4" t="s">
        <v>2076</v>
      </c>
      <c r="D394" s="4" t="s">
        <v>2077</v>
      </c>
      <c r="E394" s="4" t="s">
        <v>361</v>
      </c>
      <c r="F394" s="4" t="s">
        <v>2078</v>
      </c>
      <c r="G394" s="4" t="s">
        <v>2079</v>
      </c>
      <c r="H394" s="4" t="s">
        <v>367</v>
      </c>
      <c r="I394" s="4" t="s">
        <v>975</v>
      </c>
      <c r="J394" s="4" t="s">
        <v>94</v>
      </c>
      <c r="K394" s="4" t="s">
        <v>95</v>
      </c>
      <c r="L394" s="2" t="s">
        <v>373</v>
      </c>
      <c r="M394" s="2" t="s">
        <v>392</v>
      </c>
      <c r="N394" s="4" t="s">
        <v>588</v>
      </c>
      <c r="O394" s="4" t="s">
        <v>164</v>
      </c>
      <c r="P394" s="4" t="s">
        <v>99</v>
      </c>
      <c r="Q394" s="152">
        <v>124</v>
      </c>
      <c r="R394" s="152">
        <v>3.7589999999999999</v>
      </c>
      <c r="S394" s="152">
        <v>44695</v>
      </c>
      <c r="U394" s="152">
        <v>208.33099999999999</v>
      </c>
      <c r="V394" s="152">
        <v>0</v>
      </c>
      <c r="W394" s="166">
        <v>1.84453539313853E-2</v>
      </c>
      <c r="X394" s="166">
        <v>1.47329539320958E-3</v>
      </c>
    </row>
    <row r="395" spans="1:24">
      <c r="A395" s="4" t="s">
        <v>128</v>
      </c>
      <c r="B395" s="4">
        <v>7229</v>
      </c>
      <c r="C395" s="4" t="s">
        <v>2080</v>
      </c>
      <c r="D395" s="4" t="s">
        <v>2081</v>
      </c>
      <c r="E395" s="4" t="s">
        <v>361</v>
      </c>
      <c r="F395" s="4" t="s">
        <v>2080</v>
      </c>
      <c r="G395" s="4" t="s">
        <v>2082</v>
      </c>
      <c r="H395" s="4" t="s">
        <v>367</v>
      </c>
      <c r="I395" s="4" t="s">
        <v>975</v>
      </c>
      <c r="J395" s="4" t="s">
        <v>94</v>
      </c>
      <c r="K395" s="4" t="s">
        <v>95</v>
      </c>
      <c r="L395" s="2" t="s">
        <v>373</v>
      </c>
      <c r="M395" s="2" t="s">
        <v>392</v>
      </c>
      <c r="N395" s="4" t="s">
        <v>578</v>
      </c>
      <c r="O395" s="4" t="s">
        <v>164</v>
      </c>
      <c r="P395" s="4" t="s">
        <v>99</v>
      </c>
      <c r="Q395" s="152">
        <v>658</v>
      </c>
      <c r="R395" s="152">
        <v>3.7589999999999999</v>
      </c>
      <c r="S395" s="152">
        <v>11875</v>
      </c>
      <c r="U395" s="152">
        <v>293.71899999999999</v>
      </c>
      <c r="V395" s="152">
        <v>1.9999999999999999E-6</v>
      </c>
      <c r="W395" s="166">
        <v>2.6005540109011599E-2</v>
      </c>
      <c r="X395" s="166">
        <v>2.0771540943620402E-3</v>
      </c>
    </row>
    <row r="396" spans="1:24">
      <c r="A396" s="4" t="s">
        <v>128</v>
      </c>
      <c r="B396" s="4">
        <v>7229</v>
      </c>
      <c r="C396" s="4" t="s">
        <v>2083</v>
      </c>
      <c r="D396" s="4" t="s">
        <v>2084</v>
      </c>
      <c r="E396" s="4" t="s">
        <v>361</v>
      </c>
      <c r="F396" s="4" t="s">
        <v>2085</v>
      </c>
      <c r="G396" s="4" t="s">
        <v>2086</v>
      </c>
      <c r="H396" s="4" t="s">
        <v>367</v>
      </c>
      <c r="I396" s="4" t="s">
        <v>975</v>
      </c>
      <c r="J396" s="4" t="s">
        <v>94</v>
      </c>
      <c r="K396" s="4" t="s">
        <v>95</v>
      </c>
      <c r="L396" s="2" t="s">
        <v>373</v>
      </c>
      <c r="M396" s="2" t="s">
        <v>392</v>
      </c>
      <c r="N396" s="4" t="s">
        <v>593</v>
      </c>
      <c r="O396" s="4" t="s">
        <v>164</v>
      </c>
      <c r="P396" s="4" t="s">
        <v>99</v>
      </c>
      <c r="Q396" s="152">
        <v>166</v>
      </c>
      <c r="R396" s="152">
        <v>3.7589999999999999</v>
      </c>
      <c r="S396" s="152">
        <v>67488</v>
      </c>
      <c r="U396" s="152">
        <v>421.12099999999998</v>
      </c>
      <c r="V396" s="152">
        <v>0</v>
      </c>
      <c r="W396" s="166">
        <v>3.7285589363055802E-2</v>
      </c>
      <c r="X396" s="166">
        <v>2.9781313628373901E-3</v>
      </c>
    </row>
    <row r="397" spans="1:24">
      <c r="A397" s="4" t="s">
        <v>128</v>
      </c>
      <c r="B397" s="4">
        <v>7229</v>
      </c>
      <c r="C397" s="4" t="s">
        <v>2087</v>
      </c>
      <c r="D397" s="4" t="s">
        <v>2088</v>
      </c>
      <c r="E397" s="4" t="s">
        <v>361</v>
      </c>
      <c r="F397" s="4" t="s">
        <v>2087</v>
      </c>
      <c r="G397" s="4" t="s">
        <v>2089</v>
      </c>
      <c r="H397" s="4" t="s">
        <v>367</v>
      </c>
      <c r="I397" s="4" t="s">
        <v>975</v>
      </c>
      <c r="J397" s="4" t="s">
        <v>94</v>
      </c>
      <c r="K397" s="4" t="s">
        <v>95</v>
      </c>
      <c r="L397" s="2" t="s">
        <v>373</v>
      </c>
      <c r="M397" s="2" t="s">
        <v>390</v>
      </c>
      <c r="N397" s="4" t="s">
        <v>559</v>
      </c>
      <c r="O397" s="4" t="s">
        <v>164</v>
      </c>
      <c r="P397" s="4" t="s">
        <v>99</v>
      </c>
      <c r="Q397" s="152">
        <v>420</v>
      </c>
      <c r="R397" s="152">
        <v>3.7589999999999999</v>
      </c>
      <c r="S397" s="152">
        <v>7537</v>
      </c>
      <c r="T397" s="150">
        <v>0.155</v>
      </c>
      <c r="U397" s="152">
        <v>119.577</v>
      </c>
      <c r="V397" s="152">
        <v>0</v>
      </c>
      <c r="W397" s="166">
        <v>1.0587196100460701E-2</v>
      </c>
      <c r="X397" s="166">
        <v>8.4563664648768997E-4</v>
      </c>
    </row>
    <row r="398" spans="1:24">
      <c r="A398" s="4" t="s">
        <v>128</v>
      </c>
      <c r="B398" s="4">
        <v>7229</v>
      </c>
      <c r="C398" s="4" t="s">
        <v>2094</v>
      </c>
      <c r="D398" s="4" t="s">
        <v>2095</v>
      </c>
      <c r="E398" s="4" t="s">
        <v>361</v>
      </c>
      <c r="F398" s="4" t="s">
        <v>2096</v>
      </c>
      <c r="G398" s="4" t="s">
        <v>2097</v>
      </c>
      <c r="H398" s="4" t="s">
        <v>367</v>
      </c>
      <c r="I398" s="4" t="s">
        <v>975</v>
      </c>
      <c r="J398" s="4" t="s">
        <v>94</v>
      </c>
      <c r="K398" s="4" t="s">
        <v>290</v>
      </c>
      <c r="L398" s="2" t="s">
        <v>373</v>
      </c>
      <c r="M398" s="2" t="s">
        <v>412</v>
      </c>
      <c r="N398" s="4" t="s">
        <v>578</v>
      </c>
      <c r="O398" s="4" t="s">
        <v>164</v>
      </c>
      <c r="P398" s="4" t="s">
        <v>99</v>
      </c>
      <c r="Q398" s="152">
        <v>591</v>
      </c>
      <c r="R398" s="152">
        <v>3.7589999999999999</v>
      </c>
      <c r="S398" s="152">
        <v>14274</v>
      </c>
      <c r="U398" s="152">
        <v>317.10700000000003</v>
      </c>
      <c r="V398" s="152">
        <v>0</v>
      </c>
      <c r="W398" s="166">
        <v>2.8076278354692001E-2</v>
      </c>
      <c r="X398" s="166">
        <v>2.24255125232672E-3</v>
      </c>
    </row>
    <row r="399" spans="1:24">
      <c r="A399" s="4" t="s">
        <v>128</v>
      </c>
      <c r="B399" s="4">
        <v>7229</v>
      </c>
      <c r="C399" s="4" t="s">
        <v>2098</v>
      </c>
      <c r="D399" s="4" t="s">
        <v>2099</v>
      </c>
      <c r="E399" s="4" t="s">
        <v>361</v>
      </c>
      <c r="F399" s="4" t="s">
        <v>2100</v>
      </c>
      <c r="G399" s="4" t="s">
        <v>2101</v>
      </c>
      <c r="H399" s="4" t="s">
        <v>367</v>
      </c>
      <c r="I399" s="4" t="s">
        <v>975</v>
      </c>
      <c r="J399" s="4" t="s">
        <v>94</v>
      </c>
      <c r="K399" s="4" t="s">
        <v>95</v>
      </c>
      <c r="L399" s="2" t="s">
        <v>373</v>
      </c>
      <c r="M399" s="2" t="s">
        <v>392</v>
      </c>
      <c r="N399" s="4" t="s">
        <v>592</v>
      </c>
      <c r="O399" s="4" t="s">
        <v>164</v>
      </c>
      <c r="P399" s="4" t="s">
        <v>99</v>
      </c>
      <c r="Q399" s="152">
        <v>900</v>
      </c>
      <c r="R399" s="152">
        <v>3.7589999999999999</v>
      </c>
      <c r="S399" s="152">
        <v>12354</v>
      </c>
      <c r="U399" s="152">
        <v>417.94799999999998</v>
      </c>
      <c r="V399" s="152">
        <v>0</v>
      </c>
      <c r="W399" s="166">
        <v>3.7004664630434302E-2</v>
      </c>
      <c r="X399" s="166">
        <v>2.9556929148710602E-3</v>
      </c>
    </row>
    <row r="400" spans="1:24">
      <c r="A400" s="4" t="s">
        <v>128</v>
      </c>
      <c r="B400" s="4">
        <v>7229</v>
      </c>
      <c r="C400" s="4" t="s">
        <v>2106</v>
      </c>
      <c r="D400" s="4" t="s">
        <v>2107</v>
      </c>
      <c r="E400" s="4" t="s">
        <v>361</v>
      </c>
      <c r="F400" s="4" t="s">
        <v>2108</v>
      </c>
      <c r="G400" s="4" t="s">
        <v>2109</v>
      </c>
      <c r="H400" s="4" t="s">
        <v>367</v>
      </c>
      <c r="I400" s="4" t="s">
        <v>975</v>
      </c>
      <c r="J400" s="4" t="s">
        <v>94</v>
      </c>
      <c r="K400" s="4" t="s">
        <v>95</v>
      </c>
      <c r="L400" s="2" t="s">
        <v>373</v>
      </c>
      <c r="M400" s="2" t="s">
        <v>390</v>
      </c>
      <c r="N400" s="4" t="s">
        <v>612</v>
      </c>
      <c r="O400" s="4" t="s">
        <v>164</v>
      </c>
      <c r="P400" s="4" t="s">
        <v>99</v>
      </c>
      <c r="Q400" s="152">
        <v>480</v>
      </c>
      <c r="R400" s="152">
        <v>3.7589999999999999</v>
      </c>
      <c r="S400" s="152">
        <v>11231</v>
      </c>
      <c r="U400" s="152">
        <v>202.643</v>
      </c>
      <c r="V400" s="152">
        <v>9.9999999999999995E-7</v>
      </c>
      <c r="W400" s="166">
        <v>1.79418008079179E-2</v>
      </c>
      <c r="X400" s="166">
        <v>1.4330748314464101E-3</v>
      </c>
    </row>
    <row r="401" spans="1:24">
      <c r="A401" s="4" t="s">
        <v>128</v>
      </c>
      <c r="B401" s="4">
        <v>7229</v>
      </c>
      <c r="C401" s="4" t="s">
        <v>2110</v>
      </c>
      <c r="D401" s="4" t="s">
        <v>2111</v>
      </c>
      <c r="E401" s="4" t="s">
        <v>361</v>
      </c>
      <c r="F401" s="4" t="s">
        <v>2112</v>
      </c>
      <c r="G401" s="4" t="s">
        <v>2113</v>
      </c>
      <c r="H401" s="4" t="s">
        <v>367</v>
      </c>
      <c r="I401" s="4" t="s">
        <v>975</v>
      </c>
      <c r="J401" s="4" t="s">
        <v>94</v>
      </c>
      <c r="K401" s="4" t="s">
        <v>95</v>
      </c>
      <c r="L401" s="2" t="s">
        <v>373</v>
      </c>
      <c r="M401" s="2" t="s">
        <v>390</v>
      </c>
      <c r="N401" s="4" t="s">
        <v>530</v>
      </c>
      <c r="O401" s="4" t="s">
        <v>164</v>
      </c>
      <c r="P401" s="4" t="s">
        <v>99</v>
      </c>
      <c r="Q401" s="152">
        <v>710</v>
      </c>
      <c r="R401" s="152">
        <v>3.7589999999999999</v>
      </c>
      <c r="S401" s="152">
        <v>4718</v>
      </c>
      <c r="T401" s="150">
        <v>0.19500000000000001</v>
      </c>
      <c r="U401" s="152">
        <v>126.651</v>
      </c>
      <c r="V401" s="152">
        <v>0</v>
      </c>
      <c r="W401" s="166">
        <v>1.12135381347786E-2</v>
      </c>
      <c r="X401" s="166">
        <v>8.9566479109075595E-4</v>
      </c>
    </row>
    <row r="402" spans="1:24">
      <c r="A402" s="4" t="s">
        <v>128</v>
      </c>
      <c r="B402" s="4">
        <v>7229</v>
      </c>
      <c r="C402" s="4" t="s">
        <v>2114</v>
      </c>
      <c r="D402" s="4" t="s">
        <v>2115</v>
      </c>
      <c r="E402" s="4" t="s">
        <v>361</v>
      </c>
      <c r="F402" s="4" t="s">
        <v>2114</v>
      </c>
      <c r="G402" s="4" t="s">
        <v>2116</v>
      </c>
      <c r="H402" s="4" t="s">
        <v>367</v>
      </c>
      <c r="I402" s="4" t="s">
        <v>975</v>
      </c>
      <c r="J402" s="4" t="s">
        <v>94</v>
      </c>
      <c r="K402" s="4" t="s">
        <v>95</v>
      </c>
      <c r="L402" s="2" t="s">
        <v>373</v>
      </c>
      <c r="M402" s="2" t="s">
        <v>392</v>
      </c>
      <c r="N402" s="4" t="s">
        <v>559</v>
      </c>
      <c r="O402" s="4" t="s">
        <v>164</v>
      </c>
      <c r="P402" s="4" t="s">
        <v>99</v>
      </c>
      <c r="Q402" s="152">
        <v>2693</v>
      </c>
      <c r="R402" s="152">
        <v>3.7589999999999999</v>
      </c>
      <c r="S402" s="152">
        <v>1476</v>
      </c>
      <c r="U402" s="152">
        <v>149.41499999999999</v>
      </c>
      <c r="V402" s="152">
        <v>2.1999999999999999E-5</v>
      </c>
      <c r="W402" s="166">
        <v>1.3229062767816499E-2</v>
      </c>
      <c r="X402" s="166">
        <v>1.0566518433208899E-3</v>
      </c>
    </row>
    <row r="403" spans="1:24">
      <c r="A403" s="4" t="s">
        <v>128</v>
      </c>
      <c r="B403" s="4">
        <v>7229</v>
      </c>
      <c r="C403" s="4" t="s">
        <v>2117</v>
      </c>
      <c r="D403" s="4" t="s">
        <v>2118</v>
      </c>
      <c r="E403" s="4" t="s">
        <v>361</v>
      </c>
      <c r="F403" s="4" t="s">
        <v>2119</v>
      </c>
      <c r="G403" s="4" t="s">
        <v>2120</v>
      </c>
      <c r="H403" s="4" t="s">
        <v>367</v>
      </c>
      <c r="I403" s="4" t="s">
        <v>975</v>
      </c>
      <c r="J403" s="4" t="s">
        <v>94</v>
      </c>
      <c r="K403" s="4" t="s">
        <v>317</v>
      </c>
      <c r="L403" s="2" t="s">
        <v>373</v>
      </c>
      <c r="M403" s="2" t="s">
        <v>390</v>
      </c>
      <c r="N403" s="4" t="s">
        <v>592</v>
      </c>
      <c r="O403" s="4" t="s">
        <v>164</v>
      </c>
      <c r="P403" s="4" t="s">
        <v>99</v>
      </c>
      <c r="Q403" s="152">
        <v>842</v>
      </c>
      <c r="R403" s="152">
        <v>3.7589999999999999</v>
      </c>
      <c r="S403" s="152">
        <v>17381</v>
      </c>
      <c r="T403" s="150">
        <v>0.36099999999999999</v>
      </c>
      <c r="U403" s="152">
        <v>551.48099999999999</v>
      </c>
      <c r="V403" s="152">
        <v>0</v>
      </c>
      <c r="W403" s="166">
        <v>4.8827509916600502E-2</v>
      </c>
      <c r="X403" s="166">
        <v>3.9000252144589902E-3</v>
      </c>
    </row>
    <row r="404" spans="1:24">
      <c r="A404" s="4" t="s">
        <v>128</v>
      </c>
      <c r="B404" s="4">
        <v>7229</v>
      </c>
      <c r="C404" s="4" t="s">
        <v>2121</v>
      </c>
      <c r="D404" s="4" t="s">
        <v>2122</v>
      </c>
      <c r="E404" s="4" t="s">
        <v>361</v>
      </c>
      <c r="F404" s="4" t="s">
        <v>2121</v>
      </c>
      <c r="G404" s="4" t="s">
        <v>2123</v>
      </c>
      <c r="H404" s="4" t="s">
        <v>367</v>
      </c>
      <c r="I404" s="4" t="s">
        <v>975</v>
      </c>
      <c r="J404" s="4" t="s">
        <v>94</v>
      </c>
      <c r="K404" s="4" t="s">
        <v>95</v>
      </c>
      <c r="L404" s="2" t="s">
        <v>373</v>
      </c>
      <c r="M404" s="2" t="s">
        <v>392</v>
      </c>
      <c r="N404" s="4" t="s">
        <v>556</v>
      </c>
      <c r="O404" s="4" t="s">
        <v>164</v>
      </c>
      <c r="P404" s="4" t="s">
        <v>99</v>
      </c>
      <c r="Q404" s="152">
        <v>395</v>
      </c>
      <c r="R404" s="152">
        <v>3.7589999999999999</v>
      </c>
      <c r="S404" s="152">
        <v>19788</v>
      </c>
      <c r="U404" s="152">
        <v>293.81299999999999</v>
      </c>
      <c r="V404" s="152">
        <v>0</v>
      </c>
      <c r="W404" s="166">
        <v>2.6013893832342001E-2</v>
      </c>
      <c r="X404" s="166">
        <v>2.0778213356708601E-3</v>
      </c>
    </row>
    <row r="405" spans="1:24">
      <c r="A405" s="4" t="s">
        <v>128</v>
      </c>
      <c r="B405" s="4">
        <v>7229</v>
      </c>
      <c r="C405" s="4" t="s">
        <v>2128</v>
      </c>
      <c r="D405" s="4" t="s">
        <v>2129</v>
      </c>
      <c r="E405" s="4" t="s">
        <v>361</v>
      </c>
      <c r="F405" s="4" t="s">
        <v>2130</v>
      </c>
      <c r="G405" s="4" t="s">
        <v>2131</v>
      </c>
      <c r="H405" s="4" t="s">
        <v>367</v>
      </c>
      <c r="I405" s="4" t="s">
        <v>975</v>
      </c>
      <c r="J405" s="4" t="s">
        <v>94</v>
      </c>
      <c r="K405" s="4" t="s">
        <v>95</v>
      </c>
      <c r="L405" s="2" t="s">
        <v>373</v>
      </c>
      <c r="M405" s="2" t="s">
        <v>390</v>
      </c>
      <c r="N405" s="4" t="s">
        <v>2071</v>
      </c>
      <c r="O405" s="4" t="s">
        <v>164</v>
      </c>
      <c r="P405" s="4" t="s">
        <v>99</v>
      </c>
      <c r="Q405" s="152">
        <v>258</v>
      </c>
      <c r="R405" s="152">
        <v>3.7589999999999999</v>
      </c>
      <c r="S405" s="152">
        <v>26247</v>
      </c>
      <c r="U405" s="152">
        <v>254.54900000000001</v>
      </c>
      <c r="V405" s="152">
        <v>0</v>
      </c>
      <c r="W405" s="166">
        <v>2.2537500188799998E-2</v>
      </c>
      <c r="X405" s="166">
        <v>1.8001495295853901E-3</v>
      </c>
    </row>
    <row r="406" spans="1:24">
      <c r="A406" s="4" t="s">
        <v>128</v>
      </c>
      <c r="B406" s="4">
        <v>7229</v>
      </c>
      <c r="C406" s="4" t="s">
        <v>2132</v>
      </c>
      <c r="D406" s="4" t="s">
        <v>2133</v>
      </c>
      <c r="E406" s="4" t="s">
        <v>361</v>
      </c>
      <c r="F406" s="4" t="s">
        <v>2134</v>
      </c>
      <c r="G406" s="4" t="s">
        <v>2135</v>
      </c>
      <c r="H406" s="4" t="s">
        <v>367</v>
      </c>
      <c r="I406" s="4" t="s">
        <v>975</v>
      </c>
      <c r="J406" s="4" t="s">
        <v>94</v>
      </c>
      <c r="K406" s="4" t="s">
        <v>95</v>
      </c>
      <c r="L406" s="2" t="s">
        <v>373</v>
      </c>
      <c r="M406" s="2" t="s">
        <v>390</v>
      </c>
      <c r="N406" s="4" t="s">
        <v>593</v>
      </c>
      <c r="O406" s="4" t="s">
        <v>164</v>
      </c>
      <c r="P406" s="4" t="s">
        <v>99</v>
      </c>
      <c r="Q406" s="152">
        <v>465</v>
      </c>
      <c r="R406" s="152">
        <v>3.7589999999999999</v>
      </c>
      <c r="S406" s="152">
        <v>9929</v>
      </c>
      <c r="U406" s="152">
        <v>173.55199999999999</v>
      </c>
      <c r="V406" s="152">
        <v>0</v>
      </c>
      <c r="W406" s="166">
        <v>1.53661415581769E-2</v>
      </c>
      <c r="X406" s="166">
        <v>1.22734785427715E-3</v>
      </c>
    </row>
    <row r="407" spans="1:24">
      <c r="A407" s="4" t="s">
        <v>128</v>
      </c>
      <c r="B407" s="4">
        <v>9817</v>
      </c>
      <c r="C407" s="4" t="s">
        <v>1901</v>
      </c>
      <c r="D407" s="4" t="s">
        <v>1902</v>
      </c>
      <c r="E407" s="4" t="s">
        <v>1376</v>
      </c>
      <c r="F407" s="4" t="s">
        <v>1903</v>
      </c>
      <c r="G407" s="4" t="s">
        <v>1904</v>
      </c>
      <c r="H407" s="4" t="s">
        <v>367</v>
      </c>
      <c r="I407" s="4" t="s">
        <v>975</v>
      </c>
      <c r="J407" s="4" t="s">
        <v>31</v>
      </c>
      <c r="K407" s="4" t="s">
        <v>31</v>
      </c>
      <c r="L407" s="2" t="s">
        <v>373</v>
      </c>
      <c r="M407" s="2" t="s">
        <v>32</v>
      </c>
      <c r="N407" s="4" t="s">
        <v>480</v>
      </c>
      <c r="O407" s="4" t="s">
        <v>164</v>
      </c>
      <c r="P407" s="4" t="s">
        <v>35</v>
      </c>
      <c r="Q407" s="152">
        <v>13</v>
      </c>
      <c r="R407" s="152">
        <v>1</v>
      </c>
      <c r="S407" s="152">
        <v>15700</v>
      </c>
      <c r="U407" s="152">
        <v>2.0409999999999999</v>
      </c>
      <c r="V407" s="152">
        <v>9.9999999999999995E-7</v>
      </c>
      <c r="W407" s="166">
        <v>6.4865692485030199E-2</v>
      </c>
      <c r="X407" s="166">
        <v>1.3840862193683001E-3</v>
      </c>
    </row>
    <row r="408" spans="1:24">
      <c r="A408" s="4" t="s">
        <v>128</v>
      </c>
      <c r="B408" s="4">
        <v>9817</v>
      </c>
      <c r="C408" s="4" t="s">
        <v>1222</v>
      </c>
      <c r="D408" s="4" t="s">
        <v>1945</v>
      </c>
      <c r="E408" s="4" t="s">
        <v>1376</v>
      </c>
      <c r="F408" s="4" t="s">
        <v>1946</v>
      </c>
      <c r="G408" s="4" t="s">
        <v>1947</v>
      </c>
      <c r="H408" s="4" t="s">
        <v>367</v>
      </c>
      <c r="I408" s="4" t="s">
        <v>975</v>
      </c>
      <c r="J408" s="4" t="s">
        <v>31</v>
      </c>
      <c r="K408" s="4" t="s">
        <v>31</v>
      </c>
      <c r="L408" s="2" t="s">
        <v>373</v>
      </c>
      <c r="M408" s="2" t="s">
        <v>32</v>
      </c>
      <c r="N408" s="4" t="s">
        <v>491</v>
      </c>
      <c r="O408" s="4" t="s">
        <v>164</v>
      </c>
      <c r="P408" s="4" t="s">
        <v>35</v>
      </c>
      <c r="Q408" s="152">
        <v>464</v>
      </c>
      <c r="R408" s="152">
        <v>1</v>
      </c>
      <c r="S408" s="152">
        <v>3110</v>
      </c>
      <c r="U408" s="152">
        <v>14.43</v>
      </c>
      <c r="V408" s="152">
        <v>0</v>
      </c>
      <c r="W408" s="166">
        <v>0.45861728997353202</v>
      </c>
      <c r="X408" s="166">
        <v>9.7858489857776797E-3</v>
      </c>
    </row>
    <row r="409" spans="1:24">
      <c r="A409" s="4" t="s">
        <v>128</v>
      </c>
      <c r="B409" s="4">
        <v>9817</v>
      </c>
      <c r="C409" s="4" t="s">
        <v>1995</v>
      </c>
      <c r="D409" s="4" t="s">
        <v>1996</v>
      </c>
      <c r="E409" s="4" t="s">
        <v>1376</v>
      </c>
      <c r="F409" s="4" t="s">
        <v>1997</v>
      </c>
      <c r="G409" s="4" t="s">
        <v>1998</v>
      </c>
      <c r="H409" s="4" t="s">
        <v>367</v>
      </c>
      <c r="I409" s="4" t="s">
        <v>975</v>
      </c>
      <c r="J409" s="4" t="s">
        <v>31</v>
      </c>
      <c r="K409" s="4" t="s">
        <v>31</v>
      </c>
      <c r="L409" s="2" t="s">
        <v>373</v>
      </c>
      <c r="M409" s="2" t="s">
        <v>32</v>
      </c>
      <c r="N409" s="4" t="s">
        <v>491</v>
      </c>
      <c r="O409" s="4" t="s">
        <v>164</v>
      </c>
      <c r="P409" s="4" t="s">
        <v>35</v>
      </c>
      <c r="Q409" s="152">
        <v>409</v>
      </c>
      <c r="R409" s="152">
        <v>1</v>
      </c>
      <c r="S409" s="152">
        <v>3365</v>
      </c>
      <c r="U409" s="152">
        <v>13.763</v>
      </c>
      <c r="V409" s="152">
        <v>0</v>
      </c>
      <c r="W409" s="166">
        <v>0.43740166380088102</v>
      </c>
      <c r="X409" s="166">
        <v>9.33315581785054E-3</v>
      </c>
    </row>
    <row r="410" spans="1:24">
      <c r="A410" s="4" t="s">
        <v>128</v>
      </c>
      <c r="B410" s="4">
        <v>9817</v>
      </c>
      <c r="C410" s="4" t="s">
        <v>2015</v>
      </c>
      <c r="D410" s="4" t="s">
        <v>2016</v>
      </c>
      <c r="E410" s="4" t="s">
        <v>1376</v>
      </c>
      <c r="F410" s="4" t="s">
        <v>2017</v>
      </c>
      <c r="G410" s="4" t="s">
        <v>2018</v>
      </c>
      <c r="H410" s="4" t="s">
        <v>367</v>
      </c>
      <c r="I410" s="4" t="s">
        <v>975</v>
      </c>
      <c r="J410" s="4" t="s">
        <v>31</v>
      </c>
      <c r="K410" s="4" t="s">
        <v>31</v>
      </c>
      <c r="L410" s="2" t="s">
        <v>373</v>
      </c>
      <c r="M410" s="2" t="s">
        <v>32</v>
      </c>
      <c r="N410" s="4" t="s">
        <v>507</v>
      </c>
      <c r="O410" s="4" t="s">
        <v>164</v>
      </c>
      <c r="P410" s="4" t="s">
        <v>35</v>
      </c>
      <c r="Q410" s="152">
        <v>215.6</v>
      </c>
      <c r="R410" s="152">
        <v>1</v>
      </c>
      <c r="S410" s="152">
        <v>344.2</v>
      </c>
      <c r="U410" s="152">
        <v>0.74199999999999999</v>
      </c>
      <c r="V410" s="152">
        <v>3.0000000000000001E-6</v>
      </c>
      <c r="W410" s="166">
        <v>2.3584771699077401E-2</v>
      </c>
      <c r="X410" s="166">
        <v>5.0324534041124903E-4</v>
      </c>
    </row>
    <row r="411" spans="1:24">
      <c r="A411" s="4" t="s">
        <v>128</v>
      </c>
      <c r="B411" s="4">
        <v>9817</v>
      </c>
      <c r="C411" s="4" t="s">
        <v>2044</v>
      </c>
      <c r="D411" s="4" t="s">
        <v>2045</v>
      </c>
      <c r="E411" s="4" t="s">
        <v>1376</v>
      </c>
      <c r="F411" s="4" t="s">
        <v>2046</v>
      </c>
      <c r="G411" s="4" t="s">
        <v>2047</v>
      </c>
      <c r="H411" s="4" t="s">
        <v>367</v>
      </c>
      <c r="I411" s="4" t="s">
        <v>975</v>
      </c>
      <c r="J411" s="4" t="s">
        <v>94</v>
      </c>
      <c r="K411" s="4" t="s">
        <v>95</v>
      </c>
      <c r="L411" s="2" t="s">
        <v>373</v>
      </c>
      <c r="M411" s="2" t="s">
        <v>390</v>
      </c>
      <c r="N411" s="4" t="s">
        <v>578</v>
      </c>
      <c r="O411" s="4" t="s">
        <v>164</v>
      </c>
      <c r="P411" s="4" t="s">
        <v>99</v>
      </c>
      <c r="Q411" s="152">
        <v>130</v>
      </c>
      <c r="R411" s="152">
        <v>3.7589999999999999</v>
      </c>
      <c r="S411" s="152">
        <v>100</v>
      </c>
      <c r="U411" s="152">
        <v>0.48899999999999999</v>
      </c>
      <c r="V411" s="152">
        <v>0</v>
      </c>
      <c r="W411" s="166">
        <v>1.55305820414795E-2</v>
      </c>
      <c r="X411" s="166">
        <v>3.31387267427097E-4</v>
      </c>
    </row>
    <row r="412" spans="1:24">
      <c r="A412" s="4" t="s">
        <v>144</v>
      </c>
      <c r="B412" s="4">
        <v>969</v>
      </c>
      <c r="C412" s="4" t="s">
        <v>1833</v>
      </c>
      <c r="D412" s="4" t="s">
        <v>1834</v>
      </c>
      <c r="E412" s="4" t="s">
        <v>361</v>
      </c>
      <c r="F412" s="4" t="s">
        <v>1835</v>
      </c>
      <c r="G412" s="4" t="s">
        <v>1836</v>
      </c>
      <c r="H412" s="4" t="s">
        <v>367</v>
      </c>
      <c r="I412" s="4" t="s">
        <v>975</v>
      </c>
      <c r="J412" s="4" t="s">
        <v>94</v>
      </c>
      <c r="K412" s="4" t="s">
        <v>95</v>
      </c>
      <c r="L412" s="2" t="s">
        <v>373</v>
      </c>
      <c r="M412" s="2" t="s">
        <v>32</v>
      </c>
      <c r="N412" s="4" t="s">
        <v>484</v>
      </c>
      <c r="O412" s="4" t="s">
        <v>164</v>
      </c>
      <c r="P412" s="4" t="s">
        <v>35</v>
      </c>
      <c r="Q412" s="152">
        <v>626</v>
      </c>
      <c r="R412" s="152">
        <v>1</v>
      </c>
      <c r="S412" s="152">
        <v>26580</v>
      </c>
      <c r="U412" s="152">
        <v>166.39099999999999</v>
      </c>
      <c r="V412" s="152">
        <v>1.1E-5</v>
      </c>
      <c r="W412" s="166">
        <v>1.7137813252724E-2</v>
      </c>
      <c r="X412" s="166">
        <v>2.25598092274571E-3</v>
      </c>
    </row>
    <row r="413" spans="1:24">
      <c r="A413" s="4" t="s">
        <v>144</v>
      </c>
      <c r="B413" s="4">
        <v>969</v>
      </c>
      <c r="C413" s="4" t="s">
        <v>1837</v>
      </c>
      <c r="D413" s="4" t="s">
        <v>1838</v>
      </c>
      <c r="E413" s="4" t="s">
        <v>1376</v>
      </c>
      <c r="F413" s="4" t="s">
        <v>1839</v>
      </c>
      <c r="G413" s="4" t="s">
        <v>1840</v>
      </c>
      <c r="H413" s="4" t="s">
        <v>367</v>
      </c>
      <c r="I413" s="4" t="s">
        <v>975</v>
      </c>
      <c r="J413" s="4" t="s">
        <v>31</v>
      </c>
      <c r="K413" s="4" t="s">
        <v>31</v>
      </c>
      <c r="L413" s="2" t="s">
        <v>373</v>
      </c>
      <c r="M413" s="2" t="s">
        <v>32</v>
      </c>
      <c r="N413" s="4" t="s">
        <v>499</v>
      </c>
      <c r="O413" s="4" t="s">
        <v>164</v>
      </c>
      <c r="P413" s="4" t="s">
        <v>35</v>
      </c>
      <c r="Q413" s="152">
        <v>9304</v>
      </c>
      <c r="R413" s="152">
        <v>1</v>
      </c>
      <c r="S413" s="152">
        <v>1612</v>
      </c>
      <c r="U413" s="152">
        <v>149.97999999999999</v>
      </c>
      <c r="V413" s="152">
        <v>6.9999999999999999E-6</v>
      </c>
      <c r="W413" s="166">
        <v>1.54475936036963E-2</v>
      </c>
      <c r="X413" s="166">
        <v>2.0334844334196698E-3</v>
      </c>
    </row>
    <row r="414" spans="1:24">
      <c r="A414" s="4" t="s">
        <v>144</v>
      </c>
      <c r="B414" s="4">
        <v>969</v>
      </c>
      <c r="C414" s="4" t="s">
        <v>1841</v>
      </c>
      <c r="D414" s="4" t="s">
        <v>1842</v>
      </c>
      <c r="E414" s="4" t="s">
        <v>1376</v>
      </c>
      <c r="F414" s="4" t="s">
        <v>1843</v>
      </c>
      <c r="G414" s="4" t="s">
        <v>1844</v>
      </c>
      <c r="H414" s="4" t="s">
        <v>367</v>
      </c>
      <c r="I414" s="4" t="s">
        <v>975</v>
      </c>
      <c r="J414" s="4" t="s">
        <v>31</v>
      </c>
      <c r="K414" s="4" t="s">
        <v>31</v>
      </c>
      <c r="L414" s="2" t="s">
        <v>373</v>
      </c>
      <c r="M414" s="2" t="s">
        <v>32</v>
      </c>
      <c r="N414" s="4" t="s">
        <v>488</v>
      </c>
      <c r="O414" s="4" t="s">
        <v>164</v>
      </c>
      <c r="P414" s="4" t="s">
        <v>35</v>
      </c>
      <c r="Q414" s="152">
        <v>983</v>
      </c>
      <c r="R414" s="152">
        <v>1</v>
      </c>
      <c r="S414" s="152">
        <v>9863</v>
      </c>
      <c r="U414" s="152">
        <v>96.953000000000003</v>
      </c>
      <c r="V414" s="152">
        <v>6.7000000000000002E-5</v>
      </c>
      <c r="W414" s="166">
        <v>9.9859329858213008E-3</v>
      </c>
      <c r="X414" s="166">
        <v>1.31452443667218E-3</v>
      </c>
    </row>
    <row r="415" spans="1:24">
      <c r="A415" s="4" t="s">
        <v>144</v>
      </c>
      <c r="B415" s="4">
        <v>969</v>
      </c>
      <c r="C415" s="4" t="s">
        <v>1845</v>
      </c>
      <c r="D415" s="4" t="s">
        <v>1846</v>
      </c>
      <c r="E415" s="4" t="s">
        <v>1376</v>
      </c>
      <c r="F415" s="4" t="s">
        <v>1847</v>
      </c>
      <c r="G415" s="4" t="s">
        <v>1848</v>
      </c>
      <c r="H415" s="4" t="s">
        <v>367</v>
      </c>
      <c r="I415" s="4" t="s">
        <v>975</v>
      </c>
      <c r="J415" s="4" t="s">
        <v>31</v>
      </c>
      <c r="K415" s="4" t="s">
        <v>31</v>
      </c>
      <c r="L415" s="2" t="s">
        <v>373</v>
      </c>
      <c r="M415" s="2" t="s">
        <v>32</v>
      </c>
      <c r="N415" s="4" t="s">
        <v>506</v>
      </c>
      <c r="O415" s="4" t="s">
        <v>164</v>
      </c>
      <c r="P415" s="4" t="s">
        <v>35</v>
      </c>
      <c r="Q415" s="152">
        <v>4347</v>
      </c>
      <c r="R415" s="152">
        <v>1</v>
      </c>
      <c r="S415" s="152">
        <v>992.1</v>
      </c>
      <c r="U415" s="152">
        <v>43.127000000000002</v>
      </c>
      <c r="V415" s="152">
        <v>3.4999999999999997E-5</v>
      </c>
      <c r="W415" s="166">
        <v>4.4419246390627097E-3</v>
      </c>
      <c r="X415" s="166">
        <v>5.8472438100624197E-4</v>
      </c>
    </row>
    <row r="416" spans="1:24">
      <c r="A416" s="4" t="s">
        <v>144</v>
      </c>
      <c r="B416" s="4">
        <v>969</v>
      </c>
      <c r="C416" s="4" t="s">
        <v>1849</v>
      </c>
      <c r="D416" s="4" t="s">
        <v>1850</v>
      </c>
      <c r="E416" s="4" t="s">
        <v>34</v>
      </c>
      <c r="F416" s="4" t="s">
        <v>1851</v>
      </c>
      <c r="G416" s="4" t="s">
        <v>1852</v>
      </c>
      <c r="H416" s="4" t="s">
        <v>367</v>
      </c>
      <c r="I416" s="4" t="s">
        <v>975</v>
      </c>
      <c r="J416" s="4" t="s">
        <v>31</v>
      </c>
      <c r="K416" s="4" t="s">
        <v>31</v>
      </c>
      <c r="L416" s="2" t="s">
        <v>373</v>
      </c>
      <c r="M416" s="2" t="s">
        <v>32</v>
      </c>
      <c r="N416" s="4" t="s">
        <v>521</v>
      </c>
      <c r="O416" s="4" t="s">
        <v>164</v>
      </c>
      <c r="P416" s="4" t="s">
        <v>35</v>
      </c>
      <c r="Q416" s="152">
        <v>0</v>
      </c>
      <c r="R416" s="152">
        <v>1</v>
      </c>
      <c r="S416" s="152">
        <v>0</v>
      </c>
      <c r="T416" s="150">
        <v>1E-3</v>
      </c>
      <c r="U416" s="152">
        <v>1E-3</v>
      </c>
      <c r="W416" s="166">
        <v>7.0038205308540603E-8</v>
      </c>
      <c r="X416" s="166">
        <v>9.2196625502556997E-9</v>
      </c>
    </row>
    <row r="417" spans="1:24">
      <c r="A417" s="4" t="s">
        <v>144</v>
      </c>
      <c r="B417" s="4">
        <v>969</v>
      </c>
      <c r="C417" s="4" t="s">
        <v>1853</v>
      </c>
      <c r="D417" s="4" t="s">
        <v>1854</v>
      </c>
      <c r="E417" s="4" t="s">
        <v>1376</v>
      </c>
      <c r="F417" s="4" t="s">
        <v>1855</v>
      </c>
      <c r="G417" s="4" t="s">
        <v>1856</v>
      </c>
      <c r="H417" s="4" t="s">
        <v>367</v>
      </c>
      <c r="I417" s="4" t="s">
        <v>975</v>
      </c>
      <c r="J417" s="4" t="s">
        <v>31</v>
      </c>
      <c r="K417" s="4" t="s">
        <v>31</v>
      </c>
      <c r="L417" s="2" t="s">
        <v>373</v>
      </c>
      <c r="M417" s="2" t="s">
        <v>32</v>
      </c>
      <c r="N417" s="4" t="s">
        <v>489</v>
      </c>
      <c r="O417" s="4" t="s">
        <v>164</v>
      </c>
      <c r="P417" s="4" t="s">
        <v>35</v>
      </c>
      <c r="Q417" s="152">
        <v>394</v>
      </c>
      <c r="R417" s="152">
        <v>1</v>
      </c>
      <c r="S417" s="152">
        <v>66410</v>
      </c>
      <c r="T417" s="150">
        <v>0.74099999999999999</v>
      </c>
      <c r="U417" s="152">
        <v>262.39600000000002</v>
      </c>
      <c r="V417" s="152">
        <v>9.0000000000000002E-6</v>
      </c>
      <c r="W417" s="166">
        <v>2.7026087231005001E-2</v>
      </c>
      <c r="X417" s="166">
        <v>3.5576497602410198E-3</v>
      </c>
    </row>
    <row r="418" spans="1:24">
      <c r="A418" s="4" t="s">
        <v>144</v>
      </c>
      <c r="B418" s="4">
        <v>969</v>
      </c>
      <c r="C418" s="4" t="s">
        <v>1857</v>
      </c>
      <c r="D418" s="4" t="s">
        <v>1858</v>
      </c>
      <c r="E418" s="4" t="s">
        <v>1376</v>
      </c>
      <c r="F418" s="4" t="s">
        <v>1859</v>
      </c>
      <c r="G418" s="4" t="s">
        <v>1860</v>
      </c>
      <c r="H418" s="4" t="s">
        <v>367</v>
      </c>
      <c r="I418" s="4" t="s">
        <v>975</v>
      </c>
      <c r="J418" s="4" t="s">
        <v>31</v>
      </c>
      <c r="K418" s="4" t="s">
        <v>31</v>
      </c>
      <c r="L418" s="2" t="s">
        <v>373</v>
      </c>
      <c r="M418" s="2" t="s">
        <v>32</v>
      </c>
      <c r="N418" s="4" t="s">
        <v>494</v>
      </c>
      <c r="O418" s="4" t="s">
        <v>164</v>
      </c>
      <c r="P418" s="4" t="s">
        <v>35</v>
      </c>
      <c r="Q418" s="152">
        <v>43</v>
      </c>
      <c r="R418" s="152">
        <v>1</v>
      </c>
      <c r="S418" s="152">
        <v>129690</v>
      </c>
      <c r="U418" s="152">
        <v>55.767000000000003</v>
      </c>
      <c r="V418" s="152">
        <v>1.1E-5</v>
      </c>
      <c r="W418" s="166">
        <v>5.7438229176173397E-3</v>
      </c>
      <c r="X418" s="166">
        <v>7.5610316991374198E-4</v>
      </c>
    </row>
    <row r="419" spans="1:24">
      <c r="A419" s="4" t="s">
        <v>144</v>
      </c>
      <c r="B419" s="4">
        <v>969</v>
      </c>
      <c r="C419" s="4" t="s">
        <v>1861</v>
      </c>
      <c r="D419" s="4" t="s">
        <v>1862</v>
      </c>
      <c r="E419" s="4" t="s">
        <v>1376</v>
      </c>
      <c r="F419" s="4" t="s">
        <v>1863</v>
      </c>
      <c r="G419" s="4" t="s">
        <v>1864</v>
      </c>
      <c r="H419" s="4" t="s">
        <v>367</v>
      </c>
      <c r="I419" s="4" t="s">
        <v>975</v>
      </c>
      <c r="J419" s="4" t="s">
        <v>31</v>
      </c>
      <c r="K419" s="4" t="s">
        <v>95</v>
      </c>
      <c r="L419" s="2" t="s">
        <v>373</v>
      </c>
      <c r="M419" s="2" t="s">
        <v>32</v>
      </c>
      <c r="N419" s="4" t="s">
        <v>484</v>
      </c>
      <c r="O419" s="4" t="s">
        <v>164</v>
      </c>
      <c r="P419" s="4" t="s">
        <v>35</v>
      </c>
      <c r="Q419" s="152">
        <v>1699.5</v>
      </c>
      <c r="R419" s="152">
        <v>1</v>
      </c>
      <c r="S419" s="152">
        <v>5985</v>
      </c>
      <c r="U419" s="152">
        <v>101.715</v>
      </c>
      <c r="V419" s="152">
        <v>1.4E-5</v>
      </c>
      <c r="W419" s="166">
        <v>1.047638427327E-2</v>
      </c>
      <c r="X419" s="166">
        <v>1.3790862761381599E-3</v>
      </c>
    </row>
    <row r="420" spans="1:24">
      <c r="A420" s="4" t="s">
        <v>144</v>
      </c>
      <c r="B420" s="4">
        <v>969</v>
      </c>
      <c r="C420" s="4" t="s">
        <v>1869</v>
      </c>
      <c r="D420" s="4" t="s">
        <v>1870</v>
      </c>
      <c r="E420" s="4" t="s">
        <v>1376</v>
      </c>
      <c r="F420" s="4" t="s">
        <v>1871</v>
      </c>
      <c r="G420" s="4" t="s">
        <v>1872</v>
      </c>
      <c r="H420" s="4" t="s">
        <v>367</v>
      </c>
      <c r="I420" s="4" t="s">
        <v>975</v>
      </c>
      <c r="J420" s="4" t="s">
        <v>31</v>
      </c>
      <c r="K420" s="4" t="s">
        <v>31</v>
      </c>
      <c r="L420" s="2" t="s">
        <v>373</v>
      </c>
      <c r="M420" s="2" t="s">
        <v>32</v>
      </c>
      <c r="N420" s="4" t="s">
        <v>490</v>
      </c>
      <c r="O420" s="4" t="s">
        <v>164</v>
      </c>
      <c r="P420" s="4" t="s">
        <v>35</v>
      </c>
      <c r="Q420" s="152">
        <v>2552</v>
      </c>
      <c r="R420" s="152">
        <v>1</v>
      </c>
      <c r="S420" s="152">
        <v>4328</v>
      </c>
      <c r="U420" s="152">
        <v>110.45099999999999</v>
      </c>
      <c r="V420" s="152">
        <v>2.5000000000000001E-5</v>
      </c>
      <c r="W420" s="166">
        <v>1.1376116173122499E-2</v>
      </c>
      <c r="X420" s="166">
        <v>1.4975248407158399E-3</v>
      </c>
    </row>
    <row r="421" spans="1:24">
      <c r="A421" s="4" t="s">
        <v>144</v>
      </c>
      <c r="B421" s="4">
        <v>969</v>
      </c>
      <c r="C421" s="4" t="s">
        <v>1873</v>
      </c>
      <c r="D421" s="4" t="s">
        <v>1874</v>
      </c>
      <c r="E421" s="4" t="s">
        <v>1376</v>
      </c>
      <c r="F421" s="4" t="s">
        <v>1875</v>
      </c>
      <c r="G421" s="4" t="s">
        <v>1876</v>
      </c>
      <c r="H421" s="4" t="s">
        <v>367</v>
      </c>
      <c r="I421" s="4" t="s">
        <v>975</v>
      </c>
      <c r="J421" s="4" t="s">
        <v>31</v>
      </c>
      <c r="K421" s="4" t="s">
        <v>95</v>
      </c>
      <c r="L421" s="2" t="s">
        <v>373</v>
      </c>
      <c r="M421" s="2" t="s">
        <v>32</v>
      </c>
      <c r="N421" s="4" t="s">
        <v>508</v>
      </c>
      <c r="O421" s="4" t="s">
        <v>164</v>
      </c>
      <c r="P421" s="4" t="s">
        <v>35</v>
      </c>
      <c r="Q421" s="152">
        <v>3800</v>
      </c>
      <c r="R421" s="152">
        <v>1</v>
      </c>
      <c r="S421" s="152">
        <v>750.1</v>
      </c>
      <c r="U421" s="152">
        <v>28.504000000000001</v>
      </c>
      <c r="V421" s="152">
        <v>6.8999999999999997E-5</v>
      </c>
      <c r="W421" s="166">
        <v>2.93581617128468E-3</v>
      </c>
      <c r="X421" s="166">
        <v>3.8646384911761501E-4</v>
      </c>
    </row>
    <row r="422" spans="1:24">
      <c r="A422" s="4" t="s">
        <v>144</v>
      </c>
      <c r="B422" s="4">
        <v>969</v>
      </c>
      <c r="C422" s="4" t="s">
        <v>1877</v>
      </c>
      <c r="D422" s="4" t="s">
        <v>1878</v>
      </c>
      <c r="E422" s="4" t="s">
        <v>1376</v>
      </c>
      <c r="F422" s="4" t="s">
        <v>1879</v>
      </c>
      <c r="G422" s="4" t="s">
        <v>1880</v>
      </c>
      <c r="H422" s="4" t="s">
        <v>367</v>
      </c>
      <c r="I422" s="4" t="s">
        <v>975</v>
      </c>
      <c r="J422" s="4" t="s">
        <v>31</v>
      </c>
      <c r="K422" s="4" t="s">
        <v>31</v>
      </c>
      <c r="L422" s="2" t="s">
        <v>373</v>
      </c>
      <c r="M422" s="2" t="s">
        <v>32</v>
      </c>
      <c r="N422" s="4" t="s">
        <v>483</v>
      </c>
      <c r="O422" s="4" t="s">
        <v>164</v>
      </c>
      <c r="P422" s="4" t="s">
        <v>35</v>
      </c>
      <c r="Q422" s="152">
        <v>45645</v>
      </c>
      <c r="R422" s="152">
        <v>1</v>
      </c>
      <c r="S422" s="152">
        <v>86.7</v>
      </c>
      <c r="U422" s="152">
        <v>39.573999999999998</v>
      </c>
      <c r="V422" s="152">
        <v>1.4E-5</v>
      </c>
      <c r="W422" s="166">
        <v>4.0760396986681303E-3</v>
      </c>
      <c r="X422" s="166">
        <v>5.3656015881068699E-4</v>
      </c>
    </row>
    <row r="423" spans="1:24">
      <c r="A423" s="4" t="s">
        <v>144</v>
      </c>
      <c r="B423" s="4">
        <v>969</v>
      </c>
      <c r="C423" s="4" t="s">
        <v>1881</v>
      </c>
      <c r="D423" s="4" t="s">
        <v>1882</v>
      </c>
      <c r="E423" s="4" t="s">
        <v>1376</v>
      </c>
      <c r="F423" s="4" t="s">
        <v>1883</v>
      </c>
      <c r="G423" s="4" t="s">
        <v>1884</v>
      </c>
      <c r="H423" s="4" t="s">
        <v>367</v>
      </c>
      <c r="I423" s="4" t="s">
        <v>975</v>
      </c>
      <c r="J423" s="4" t="s">
        <v>31</v>
      </c>
      <c r="K423" s="4" t="s">
        <v>31</v>
      </c>
      <c r="L423" s="2" t="s">
        <v>373</v>
      </c>
      <c r="M423" s="2" t="s">
        <v>32</v>
      </c>
      <c r="N423" s="4" t="s">
        <v>528</v>
      </c>
      <c r="O423" s="4" t="s">
        <v>164</v>
      </c>
      <c r="P423" s="4" t="s">
        <v>35</v>
      </c>
      <c r="Q423" s="152">
        <v>28110</v>
      </c>
      <c r="R423" s="152">
        <v>1</v>
      </c>
      <c r="S423" s="152">
        <v>423.6</v>
      </c>
      <c r="U423" s="152">
        <v>119.074</v>
      </c>
      <c r="V423" s="152">
        <v>1.0000000000000001E-5</v>
      </c>
      <c r="W423" s="166">
        <v>1.22643036137955E-2</v>
      </c>
      <c r="X423" s="166">
        <v>1.6144437201803599E-3</v>
      </c>
    </row>
    <row r="424" spans="1:24">
      <c r="A424" s="4" t="s">
        <v>144</v>
      </c>
      <c r="B424" s="4">
        <v>969</v>
      </c>
      <c r="C424" s="4" t="s">
        <v>1885</v>
      </c>
      <c r="D424" s="4" t="s">
        <v>1886</v>
      </c>
      <c r="E424" s="4" t="s">
        <v>1376</v>
      </c>
      <c r="F424" s="4" t="s">
        <v>1887</v>
      </c>
      <c r="G424" s="4" t="s">
        <v>1888</v>
      </c>
      <c r="H424" s="4" t="s">
        <v>367</v>
      </c>
      <c r="I424" s="4" t="s">
        <v>975</v>
      </c>
      <c r="J424" s="4" t="s">
        <v>31</v>
      </c>
      <c r="K424" s="4" t="s">
        <v>31</v>
      </c>
      <c r="L424" s="2" t="s">
        <v>373</v>
      </c>
      <c r="M424" s="2" t="s">
        <v>32</v>
      </c>
      <c r="N424" s="4" t="s">
        <v>507</v>
      </c>
      <c r="O424" s="4" t="s">
        <v>164</v>
      </c>
      <c r="P424" s="4" t="s">
        <v>35</v>
      </c>
      <c r="Q424" s="152">
        <v>257.44</v>
      </c>
      <c r="R424" s="152">
        <v>1</v>
      </c>
      <c r="S424" s="152">
        <v>35740</v>
      </c>
      <c r="U424" s="152">
        <v>92.009</v>
      </c>
      <c r="V424" s="152">
        <v>1.0000000000000001E-5</v>
      </c>
      <c r="W424" s="166">
        <v>9.4766899329014904E-3</v>
      </c>
      <c r="X424" s="166">
        <v>1.2474888939523201E-3</v>
      </c>
    </row>
    <row r="425" spans="1:24">
      <c r="A425" s="4" t="s">
        <v>144</v>
      </c>
      <c r="B425" s="4">
        <v>969</v>
      </c>
      <c r="C425" s="4" t="s">
        <v>1889</v>
      </c>
      <c r="D425" s="4" t="s">
        <v>1890</v>
      </c>
      <c r="E425" s="4" t="s">
        <v>1376</v>
      </c>
      <c r="F425" s="4" t="s">
        <v>1891</v>
      </c>
      <c r="G425" s="4" t="s">
        <v>1892</v>
      </c>
      <c r="H425" s="4" t="s">
        <v>367</v>
      </c>
      <c r="I425" s="4" t="s">
        <v>975</v>
      </c>
      <c r="J425" s="4" t="s">
        <v>31</v>
      </c>
      <c r="K425" s="4" t="s">
        <v>31</v>
      </c>
      <c r="L425" s="2" t="s">
        <v>373</v>
      </c>
      <c r="M425" s="2" t="s">
        <v>32</v>
      </c>
      <c r="N425" s="4" t="s">
        <v>491</v>
      </c>
      <c r="O425" s="4" t="s">
        <v>164</v>
      </c>
      <c r="P425" s="4" t="s">
        <v>35</v>
      </c>
      <c r="Q425" s="152">
        <v>694</v>
      </c>
      <c r="R425" s="152">
        <v>1</v>
      </c>
      <c r="S425" s="152">
        <v>14410</v>
      </c>
      <c r="U425" s="152">
        <v>100.005</v>
      </c>
      <c r="V425" s="152">
        <v>6.9999999999999999E-6</v>
      </c>
      <c r="W425" s="166">
        <v>1.0300292260533399E-2</v>
      </c>
      <c r="X425" s="166">
        <v>1.35590594294609E-3</v>
      </c>
    </row>
    <row r="426" spans="1:24">
      <c r="A426" s="4" t="s">
        <v>144</v>
      </c>
      <c r="B426" s="4">
        <v>969</v>
      </c>
      <c r="C426" s="4" t="s">
        <v>1897</v>
      </c>
      <c r="D426" s="4" t="s">
        <v>1898</v>
      </c>
      <c r="E426" s="4" t="s">
        <v>1376</v>
      </c>
      <c r="F426" s="4" t="s">
        <v>1899</v>
      </c>
      <c r="G426" s="4" t="s">
        <v>1900</v>
      </c>
      <c r="H426" s="4" t="s">
        <v>367</v>
      </c>
      <c r="I426" s="4" t="s">
        <v>975</v>
      </c>
      <c r="J426" s="4" t="s">
        <v>31</v>
      </c>
      <c r="K426" s="4" t="s">
        <v>31</v>
      </c>
      <c r="L426" s="2" t="s">
        <v>373</v>
      </c>
      <c r="M426" s="2" t="s">
        <v>32</v>
      </c>
      <c r="N426" s="4" t="s">
        <v>491</v>
      </c>
      <c r="O426" s="4" t="s">
        <v>164</v>
      </c>
      <c r="P426" s="4" t="s">
        <v>35</v>
      </c>
      <c r="Q426" s="152">
        <v>13848</v>
      </c>
      <c r="R426" s="152">
        <v>1</v>
      </c>
      <c r="S426" s="152">
        <v>1909</v>
      </c>
      <c r="U426" s="152">
        <v>264.358</v>
      </c>
      <c r="V426" s="152">
        <v>1.1E-5</v>
      </c>
      <c r="W426" s="166">
        <v>2.72282092517366E-2</v>
      </c>
      <c r="X426" s="166">
        <v>3.5842566216948701E-3</v>
      </c>
    </row>
    <row r="427" spans="1:24">
      <c r="A427" s="4" t="s">
        <v>144</v>
      </c>
      <c r="B427" s="4">
        <v>969</v>
      </c>
      <c r="C427" s="4" t="s">
        <v>1901</v>
      </c>
      <c r="D427" s="4" t="s">
        <v>1902</v>
      </c>
      <c r="E427" s="4" t="s">
        <v>1376</v>
      </c>
      <c r="F427" s="4" t="s">
        <v>1903</v>
      </c>
      <c r="G427" s="4" t="s">
        <v>1904</v>
      </c>
      <c r="H427" s="4" t="s">
        <v>367</v>
      </c>
      <c r="I427" s="4" t="s">
        <v>975</v>
      </c>
      <c r="J427" s="4" t="s">
        <v>31</v>
      </c>
      <c r="K427" s="4" t="s">
        <v>31</v>
      </c>
      <c r="L427" s="2" t="s">
        <v>373</v>
      </c>
      <c r="M427" s="2" t="s">
        <v>32</v>
      </c>
      <c r="N427" s="4" t="s">
        <v>480</v>
      </c>
      <c r="O427" s="4" t="s">
        <v>164</v>
      </c>
      <c r="P427" s="4" t="s">
        <v>35</v>
      </c>
      <c r="Q427" s="152">
        <v>1213</v>
      </c>
      <c r="R427" s="152">
        <v>1</v>
      </c>
      <c r="S427" s="152">
        <v>15700</v>
      </c>
      <c r="U427" s="152">
        <v>190.441</v>
      </c>
      <c r="V427" s="152">
        <v>4.6999999999999997E-5</v>
      </c>
      <c r="W427" s="166">
        <v>1.9614920378182001E-2</v>
      </c>
      <c r="X427" s="166">
        <v>2.58206140549007E-3</v>
      </c>
    </row>
    <row r="428" spans="1:24">
      <c r="A428" s="4" t="s">
        <v>144</v>
      </c>
      <c r="B428" s="4">
        <v>969</v>
      </c>
      <c r="C428" s="4" t="s">
        <v>2187</v>
      </c>
      <c r="D428" s="4" t="s">
        <v>2188</v>
      </c>
      <c r="E428" s="4" t="s">
        <v>1376</v>
      </c>
      <c r="F428" s="4" t="s">
        <v>2189</v>
      </c>
      <c r="G428" s="4" t="s">
        <v>2190</v>
      </c>
      <c r="H428" s="4" t="s">
        <v>367</v>
      </c>
      <c r="I428" s="4" t="s">
        <v>975</v>
      </c>
      <c r="J428" s="4" t="s">
        <v>31</v>
      </c>
      <c r="K428" s="4" t="s">
        <v>31</v>
      </c>
      <c r="L428" s="2" t="s">
        <v>373</v>
      </c>
      <c r="M428" s="2" t="s">
        <v>32</v>
      </c>
      <c r="N428" s="4" t="s">
        <v>521</v>
      </c>
      <c r="O428" s="4" t="s">
        <v>164</v>
      </c>
      <c r="P428" s="4" t="s">
        <v>35</v>
      </c>
      <c r="Q428" s="152">
        <v>123</v>
      </c>
      <c r="R428" s="152">
        <v>1</v>
      </c>
      <c r="S428" s="152">
        <v>30090</v>
      </c>
      <c r="U428" s="152">
        <v>37.011000000000003</v>
      </c>
      <c r="V428" s="152">
        <v>2.0999999999999999E-5</v>
      </c>
      <c r="W428" s="166">
        <v>3.8120044194306E-3</v>
      </c>
      <c r="X428" s="166">
        <v>5.0180318345404199E-4</v>
      </c>
    </row>
    <row r="429" spans="1:24">
      <c r="A429" s="4" t="s">
        <v>144</v>
      </c>
      <c r="B429" s="4">
        <v>969</v>
      </c>
      <c r="C429" s="4" t="s">
        <v>1905</v>
      </c>
      <c r="D429" s="4" t="s">
        <v>1906</v>
      </c>
      <c r="E429" s="4" t="s">
        <v>1376</v>
      </c>
      <c r="F429" s="4" t="s">
        <v>1907</v>
      </c>
      <c r="G429" s="4" t="s">
        <v>1908</v>
      </c>
      <c r="H429" s="4" t="s">
        <v>367</v>
      </c>
      <c r="I429" s="4" t="s">
        <v>975</v>
      </c>
      <c r="J429" s="4" t="s">
        <v>31</v>
      </c>
      <c r="K429" s="4" t="s">
        <v>31</v>
      </c>
      <c r="L429" s="2" t="s">
        <v>373</v>
      </c>
      <c r="M429" s="2" t="s">
        <v>32</v>
      </c>
      <c r="N429" s="4" t="s">
        <v>488</v>
      </c>
      <c r="O429" s="4" t="s">
        <v>164</v>
      </c>
      <c r="P429" s="4" t="s">
        <v>35</v>
      </c>
      <c r="Q429" s="152">
        <v>2577</v>
      </c>
      <c r="R429" s="152">
        <v>1</v>
      </c>
      <c r="S429" s="152">
        <v>3419</v>
      </c>
      <c r="U429" s="152">
        <v>88.108000000000004</v>
      </c>
      <c r="V429" s="152">
        <v>1.0000000000000001E-5</v>
      </c>
      <c r="W429" s="166">
        <v>9.0748533517484402E-3</v>
      </c>
      <c r="X429" s="166">
        <v>1.1945920833864501E-3</v>
      </c>
    </row>
    <row r="430" spans="1:24">
      <c r="A430" s="4" t="s">
        <v>144</v>
      </c>
      <c r="B430" s="4">
        <v>969</v>
      </c>
      <c r="C430" s="4" t="s">
        <v>1909</v>
      </c>
      <c r="D430" s="4" t="s">
        <v>1910</v>
      </c>
      <c r="E430" s="4" t="s">
        <v>1376</v>
      </c>
      <c r="F430" s="4" t="s">
        <v>1911</v>
      </c>
      <c r="G430" s="4" t="s">
        <v>1912</v>
      </c>
      <c r="H430" s="4" t="s">
        <v>367</v>
      </c>
      <c r="I430" s="4" t="s">
        <v>975</v>
      </c>
      <c r="J430" s="4" t="s">
        <v>31</v>
      </c>
      <c r="K430" s="4" t="s">
        <v>31</v>
      </c>
      <c r="L430" s="2" t="s">
        <v>373</v>
      </c>
      <c r="M430" s="2" t="s">
        <v>32</v>
      </c>
      <c r="N430" s="4" t="s">
        <v>488</v>
      </c>
      <c r="O430" s="4" t="s">
        <v>164</v>
      </c>
      <c r="P430" s="4" t="s">
        <v>35</v>
      </c>
      <c r="Q430" s="152">
        <v>5016</v>
      </c>
      <c r="R430" s="152">
        <v>1</v>
      </c>
      <c r="S430" s="152">
        <v>2997</v>
      </c>
      <c r="U430" s="152">
        <v>150.33000000000001</v>
      </c>
      <c r="V430" s="152">
        <v>2.4000000000000001E-5</v>
      </c>
      <c r="W430" s="166">
        <v>1.54835438024917E-2</v>
      </c>
      <c r="X430" s="166">
        <v>2.0382168319734001E-3</v>
      </c>
    </row>
    <row r="431" spans="1:24">
      <c r="A431" s="4" t="s">
        <v>144</v>
      </c>
      <c r="B431" s="4">
        <v>969</v>
      </c>
      <c r="C431" s="4" t="s">
        <v>1913</v>
      </c>
      <c r="D431" s="4" t="s">
        <v>1914</v>
      </c>
      <c r="E431" s="4" t="s">
        <v>1376</v>
      </c>
      <c r="F431" s="4" t="s">
        <v>1915</v>
      </c>
      <c r="G431" s="4" t="s">
        <v>1916</v>
      </c>
      <c r="H431" s="4" t="s">
        <v>367</v>
      </c>
      <c r="I431" s="4" t="s">
        <v>975</v>
      </c>
      <c r="J431" s="4" t="s">
        <v>31</v>
      </c>
      <c r="K431" s="4" t="s">
        <v>31</v>
      </c>
      <c r="L431" s="2" t="s">
        <v>373</v>
      </c>
      <c r="M431" s="2" t="s">
        <v>32</v>
      </c>
      <c r="N431" s="4" t="s">
        <v>494</v>
      </c>
      <c r="O431" s="4" t="s">
        <v>164</v>
      </c>
      <c r="P431" s="4" t="s">
        <v>35</v>
      </c>
      <c r="Q431" s="152">
        <v>69</v>
      </c>
      <c r="R431" s="152">
        <v>1</v>
      </c>
      <c r="S431" s="152">
        <v>83740</v>
      </c>
      <c r="U431" s="152">
        <v>57.780999999999999</v>
      </c>
      <c r="V431" s="152">
        <v>9.0000000000000002E-6</v>
      </c>
      <c r="W431" s="166">
        <v>5.9512493024274499E-3</v>
      </c>
      <c r="X431" s="166">
        <v>7.8340828522250705E-4</v>
      </c>
    </row>
    <row r="432" spans="1:24">
      <c r="A432" s="4" t="s">
        <v>144</v>
      </c>
      <c r="B432" s="4">
        <v>969</v>
      </c>
      <c r="C432" s="4" t="s">
        <v>1917</v>
      </c>
      <c r="D432" s="4" t="s">
        <v>1918</v>
      </c>
      <c r="E432" s="4" t="s">
        <v>1376</v>
      </c>
      <c r="F432" s="4" t="s">
        <v>1919</v>
      </c>
      <c r="G432" s="4" t="s">
        <v>1920</v>
      </c>
      <c r="H432" s="4" t="s">
        <v>367</v>
      </c>
      <c r="I432" s="4" t="s">
        <v>975</v>
      </c>
      <c r="J432" s="4" t="s">
        <v>31</v>
      </c>
      <c r="K432" s="4" t="s">
        <v>31</v>
      </c>
      <c r="L432" s="2" t="s">
        <v>373</v>
      </c>
      <c r="M432" s="2" t="s">
        <v>32</v>
      </c>
      <c r="N432" s="4" t="s">
        <v>520</v>
      </c>
      <c r="O432" s="4" t="s">
        <v>164</v>
      </c>
      <c r="P432" s="4" t="s">
        <v>35</v>
      </c>
      <c r="Q432" s="152">
        <v>658</v>
      </c>
      <c r="R432" s="152">
        <v>1</v>
      </c>
      <c r="S432" s="152">
        <v>19600</v>
      </c>
      <c r="U432" s="152">
        <v>128.96799999999999</v>
      </c>
      <c r="V432" s="152">
        <v>2.8E-5</v>
      </c>
      <c r="W432" s="166">
        <v>1.32833636209292E-2</v>
      </c>
      <c r="X432" s="166">
        <v>1.74859035261967E-3</v>
      </c>
    </row>
    <row r="433" spans="1:24">
      <c r="A433" s="4" t="s">
        <v>144</v>
      </c>
      <c r="B433" s="4">
        <v>969</v>
      </c>
      <c r="C433" s="4" t="s">
        <v>1921</v>
      </c>
      <c r="D433" s="4" t="s">
        <v>1922</v>
      </c>
      <c r="E433" s="4" t="s">
        <v>1376</v>
      </c>
      <c r="F433" s="4" t="s">
        <v>1923</v>
      </c>
      <c r="G433" s="4" t="s">
        <v>1924</v>
      </c>
      <c r="H433" s="4" t="s">
        <v>367</v>
      </c>
      <c r="I433" s="4" t="s">
        <v>975</v>
      </c>
      <c r="J433" s="4" t="s">
        <v>31</v>
      </c>
      <c r="K433" s="4" t="s">
        <v>31</v>
      </c>
      <c r="L433" s="2" t="s">
        <v>373</v>
      </c>
      <c r="M433" s="2" t="s">
        <v>32</v>
      </c>
      <c r="N433" s="4" t="s">
        <v>528</v>
      </c>
      <c r="O433" s="4" t="s">
        <v>164</v>
      </c>
      <c r="P433" s="4" t="s">
        <v>35</v>
      </c>
      <c r="Q433" s="152">
        <v>1570</v>
      </c>
      <c r="R433" s="152">
        <v>1</v>
      </c>
      <c r="S433" s="152">
        <v>39.1</v>
      </c>
      <c r="U433" s="152">
        <v>0.61399999999999999</v>
      </c>
      <c r="V433" s="152">
        <v>4.8999999999999998E-5</v>
      </c>
      <c r="W433" s="166">
        <v>6.3226989842285103E-5</v>
      </c>
      <c r="X433" s="166">
        <v>8.3230503672433297E-6</v>
      </c>
    </row>
    <row r="434" spans="1:24">
      <c r="A434" s="4" t="s">
        <v>144</v>
      </c>
      <c r="B434" s="4">
        <v>969</v>
      </c>
      <c r="C434" s="4" t="s">
        <v>1925</v>
      </c>
      <c r="D434" s="4" t="s">
        <v>1926</v>
      </c>
      <c r="E434" s="4" t="s">
        <v>1376</v>
      </c>
      <c r="F434" s="4" t="s">
        <v>1927</v>
      </c>
      <c r="G434" s="4" t="s">
        <v>1928</v>
      </c>
      <c r="H434" s="4" t="s">
        <v>367</v>
      </c>
      <c r="I434" s="4" t="s">
        <v>975</v>
      </c>
      <c r="J434" s="4" t="s">
        <v>31</v>
      </c>
      <c r="K434" s="4" t="s">
        <v>345</v>
      </c>
      <c r="L434" s="2" t="s">
        <v>373</v>
      </c>
      <c r="M434" s="2" t="s">
        <v>32</v>
      </c>
      <c r="N434" s="4" t="s">
        <v>501</v>
      </c>
      <c r="O434" s="4" t="s">
        <v>164</v>
      </c>
      <c r="P434" s="4" t="s">
        <v>35</v>
      </c>
      <c r="Q434" s="152">
        <v>551</v>
      </c>
      <c r="R434" s="152">
        <v>1</v>
      </c>
      <c r="S434" s="152">
        <v>14820</v>
      </c>
      <c r="U434" s="152">
        <v>81.658000000000001</v>
      </c>
      <c r="V434" s="152">
        <v>5.0000000000000004E-6</v>
      </c>
      <c r="W434" s="166">
        <v>8.4105790834204004E-3</v>
      </c>
      <c r="X434" s="166">
        <v>1.10714860067837E-3</v>
      </c>
    </row>
    <row r="435" spans="1:24">
      <c r="A435" s="4" t="s">
        <v>144</v>
      </c>
      <c r="B435" s="4">
        <v>969</v>
      </c>
      <c r="C435" s="4" t="s">
        <v>1929</v>
      </c>
      <c r="D435" s="4" t="s">
        <v>1930</v>
      </c>
      <c r="E435" s="4" t="s">
        <v>1376</v>
      </c>
      <c r="F435" s="4" t="s">
        <v>1931</v>
      </c>
      <c r="G435" s="4" t="s">
        <v>1932</v>
      </c>
      <c r="H435" s="4" t="s">
        <v>367</v>
      </c>
      <c r="I435" s="4" t="s">
        <v>975</v>
      </c>
      <c r="J435" s="4" t="s">
        <v>31</v>
      </c>
      <c r="K435" s="4" t="s">
        <v>95</v>
      </c>
      <c r="L435" s="2" t="s">
        <v>373</v>
      </c>
      <c r="M435" s="2" t="s">
        <v>32</v>
      </c>
      <c r="N435" s="4" t="s">
        <v>510</v>
      </c>
      <c r="O435" s="4" t="s">
        <v>164</v>
      </c>
      <c r="P435" s="4" t="s">
        <v>35</v>
      </c>
      <c r="Q435" s="152">
        <v>8649</v>
      </c>
      <c r="R435" s="152">
        <v>1</v>
      </c>
      <c r="S435" s="152">
        <v>6120</v>
      </c>
      <c r="U435" s="152">
        <v>529.31899999999996</v>
      </c>
      <c r="V435" s="152">
        <v>7.9999999999999996E-6</v>
      </c>
      <c r="W435" s="166">
        <v>5.4518439394221102E-2</v>
      </c>
      <c r="X435" s="166">
        <v>7.1766775257445401E-3</v>
      </c>
    </row>
    <row r="436" spans="1:24">
      <c r="A436" s="4" t="s">
        <v>144</v>
      </c>
      <c r="B436" s="4">
        <v>969</v>
      </c>
      <c r="C436" s="4" t="s">
        <v>1937</v>
      </c>
      <c r="D436" s="4" t="s">
        <v>1938</v>
      </c>
      <c r="E436" s="4" t="s">
        <v>1376</v>
      </c>
      <c r="F436" s="4" t="s">
        <v>1939</v>
      </c>
      <c r="G436" s="4" t="s">
        <v>1940</v>
      </c>
      <c r="H436" s="4" t="s">
        <v>367</v>
      </c>
      <c r="I436" s="4" t="s">
        <v>975</v>
      </c>
      <c r="J436" s="4" t="s">
        <v>31</v>
      </c>
      <c r="K436" s="4" t="s">
        <v>31</v>
      </c>
      <c r="L436" s="2" t="s">
        <v>373</v>
      </c>
      <c r="M436" s="2" t="s">
        <v>32</v>
      </c>
      <c r="N436" s="4" t="s">
        <v>522</v>
      </c>
      <c r="O436" s="4" t="s">
        <v>164</v>
      </c>
      <c r="P436" s="4" t="s">
        <v>35</v>
      </c>
      <c r="Q436" s="152">
        <v>16136</v>
      </c>
      <c r="R436" s="152">
        <v>1</v>
      </c>
      <c r="S436" s="152">
        <v>1257</v>
      </c>
      <c r="U436" s="152">
        <v>202.83</v>
      </c>
      <c r="V436" s="152">
        <v>8.1000000000000004E-5</v>
      </c>
      <c r="W436" s="166">
        <v>2.0890905241754E-2</v>
      </c>
      <c r="X436" s="166">
        <v>2.7500290141622601E-3</v>
      </c>
    </row>
    <row r="437" spans="1:24">
      <c r="A437" s="4" t="s">
        <v>144</v>
      </c>
      <c r="B437" s="4">
        <v>969</v>
      </c>
      <c r="C437" s="4" t="s">
        <v>1941</v>
      </c>
      <c r="D437" s="4" t="s">
        <v>1942</v>
      </c>
      <c r="E437" s="4" t="s">
        <v>1376</v>
      </c>
      <c r="F437" s="4" t="s">
        <v>1943</v>
      </c>
      <c r="G437" s="4" t="s">
        <v>1944</v>
      </c>
      <c r="H437" s="4" t="s">
        <v>367</v>
      </c>
      <c r="I437" s="4" t="s">
        <v>975</v>
      </c>
      <c r="J437" s="4" t="s">
        <v>31</v>
      </c>
      <c r="K437" s="4" t="s">
        <v>31</v>
      </c>
      <c r="L437" s="2" t="s">
        <v>373</v>
      </c>
      <c r="M437" s="2" t="s">
        <v>32</v>
      </c>
      <c r="N437" s="4" t="s">
        <v>488</v>
      </c>
      <c r="O437" s="4" t="s">
        <v>164</v>
      </c>
      <c r="P437" s="4" t="s">
        <v>35</v>
      </c>
      <c r="Q437" s="152">
        <v>2529</v>
      </c>
      <c r="R437" s="152">
        <v>1</v>
      </c>
      <c r="S437" s="152">
        <v>5291</v>
      </c>
      <c r="U437" s="152">
        <v>133.809</v>
      </c>
      <c r="V437" s="152">
        <v>3.1999999999999999E-5</v>
      </c>
      <c r="W437" s="166">
        <v>1.3782014013280299E-2</v>
      </c>
      <c r="X437" s="166">
        <v>1.81423150272876E-3</v>
      </c>
    </row>
    <row r="438" spans="1:24">
      <c r="A438" s="4" t="s">
        <v>144</v>
      </c>
      <c r="B438" s="4">
        <v>969</v>
      </c>
      <c r="C438" s="4" t="s">
        <v>1222</v>
      </c>
      <c r="D438" s="4" t="s">
        <v>1945</v>
      </c>
      <c r="E438" s="4" t="s">
        <v>1376</v>
      </c>
      <c r="F438" s="4" t="s">
        <v>1946</v>
      </c>
      <c r="G438" s="4" t="s">
        <v>1947</v>
      </c>
      <c r="H438" s="4" t="s">
        <v>367</v>
      </c>
      <c r="I438" s="4" t="s">
        <v>975</v>
      </c>
      <c r="J438" s="4" t="s">
        <v>31</v>
      </c>
      <c r="K438" s="4" t="s">
        <v>31</v>
      </c>
      <c r="L438" s="2" t="s">
        <v>373</v>
      </c>
      <c r="M438" s="2" t="s">
        <v>32</v>
      </c>
      <c r="N438" s="4" t="s">
        <v>491</v>
      </c>
      <c r="O438" s="4" t="s">
        <v>164</v>
      </c>
      <c r="P438" s="4" t="s">
        <v>35</v>
      </c>
      <c r="Q438" s="152">
        <v>14198</v>
      </c>
      <c r="R438" s="152">
        <v>1</v>
      </c>
      <c r="S438" s="152">
        <v>3110</v>
      </c>
      <c r="U438" s="152">
        <v>441.55799999999999</v>
      </c>
      <c r="V438" s="152">
        <v>9.0000000000000002E-6</v>
      </c>
      <c r="W438" s="166">
        <v>4.5479288017628697E-2</v>
      </c>
      <c r="X438" s="166">
        <v>5.98678516534308E-3</v>
      </c>
    </row>
    <row r="439" spans="1:24">
      <c r="A439" s="4" t="s">
        <v>144</v>
      </c>
      <c r="B439" s="4">
        <v>969</v>
      </c>
      <c r="C439" s="4" t="s">
        <v>1948</v>
      </c>
      <c r="D439" s="4" t="s">
        <v>1949</v>
      </c>
      <c r="E439" s="4" t="s">
        <v>1376</v>
      </c>
      <c r="F439" s="4" t="s">
        <v>1950</v>
      </c>
      <c r="G439" s="4" t="s">
        <v>1951</v>
      </c>
      <c r="H439" s="4" t="s">
        <v>367</v>
      </c>
      <c r="I439" s="4" t="s">
        <v>975</v>
      </c>
      <c r="J439" s="4" t="s">
        <v>31</v>
      </c>
      <c r="K439" s="4" t="s">
        <v>31</v>
      </c>
      <c r="L439" s="2" t="s">
        <v>373</v>
      </c>
      <c r="M439" s="2" t="s">
        <v>32</v>
      </c>
      <c r="N439" s="4" t="s">
        <v>507</v>
      </c>
      <c r="O439" s="4" t="s">
        <v>164</v>
      </c>
      <c r="P439" s="4" t="s">
        <v>35</v>
      </c>
      <c r="Q439" s="152">
        <v>4662</v>
      </c>
      <c r="R439" s="152">
        <v>1</v>
      </c>
      <c r="S439" s="152">
        <v>729.3</v>
      </c>
      <c r="U439" s="152">
        <v>34</v>
      </c>
      <c r="V439" s="152">
        <v>3.1000000000000001E-5</v>
      </c>
      <c r="W439" s="166">
        <v>3.5019067635167701E-3</v>
      </c>
      <c r="X439" s="166">
        <v>4.6098266652965701E-4</v>
      </c>
    </row>
    <row r="440" spans="1:24">
      <c r="A440" s="4" t="s">
        <v>144</v>
      </c>
      <c r="B440" s="4">
        <v>969</v>
      </c>
      <c r="C440" s="4" t="s">
        <v>1952</v>
      </c>
      <c r="D440" s="4" t="s">
        <v>1953</v>
      </c>
      <c r="E440" s="4" t="s">
        <v>1376</v>
      </c>
      <c r="F440" s="4" t="s">
        <v>1954</v>
      </c>
      <c r="G440" s="4" t="s">
        <v>1955</v>
      </c>
      <c r="H440" s="4" t="s">
        <v>367</v>
      </c>
      <c r="I440" s="4" t="s">
        <v>975</v>
      </c>
      <c r="J440" s="4" t="s">
        <v>31</v>
      </c>
      <c r="K440" s="4" t="s">
        <v>31</v>
      </c>
      <c r="L440" s="2" t="s">
        <v>373</v>
      </c>
      <c r="M440" s="2" t="s">
        <v>32</v>
      </c>
      <c r="N440" s="4" t="s">
        <v>502</v>
      </c>
      <c r="O440" s="4" t="s">
        <v>164</v>
      </c>
      <c r="P440" s="4" t="s">
        <v>35</v>
      </c>
      <c r="Q440" s="152">
        <v>378</v>
      </c>
      <c r="R440" s="152">
        <v>1</v>
      </c>
      <c r="S440" s="152">
        <v>14490</v>
      </c>
      <c r="U440" s="152">
        <v>54.771999999999998</v>
      </c>
      <c r="V440" s="152">
        <v>1.1400000000000001E-4</v>
      </c>
      <c r="W440" s="166">
        <v>5.6413920423536001E-3</v>
      </c>
      <c r="X440" s="166">
        <v>7.4261941343399301E-4</v>
      </c>
    </row>
    <row r="441" spans="1:24">
      <c r="A441" s="4" t="s">
        <v>144</v>
      </c>
      <c r="B441" s="4">
        <v>969</v>
      </c>
      <c r="C441" s="4" t="s">
        <v>2173</v>
      </c>
      <c r="D441" s="4" t="s">
        <v>2174</v>
      </c>
      <c r="E441" s="4" t="s">
        <v>1376</v>
      </c>
      <c r="F441" s="4" t="s">
        <v>2175</v>
      </c>
      <c r="G441" s="4" t="s">
        <v>2176</v>
      </c>
      <c r="H441" s="4" t="s">
        <v>367</v>
      </c>
      <c r="I441" s="4" t="s">
        <v>975</v>
      </c>
      <c r="J441" s="4" t="s">
        <v>31</v>
      </c>
      <c r="K441" s="4" t="s">
        <v>31</v>
      </c>
      <c r="L441" s="2" t="s">
        <v>373</v>
      </c>
      <c r="M441" s="2" t="s">
        <v>32</v>
      </c>
      <c r="N441" s="4" t="s">
        <v>519</v>
      </c>
      <c r="O441" s="4" t="s">
        <v>164</v>
      </c>
      <c r="P441" s="4" t="s">
        <v>35</v>
      </c>
      <c r="Q441" s="152">
        <v>1800</v>
      </c>
      <c r="R441" s="152">
        <v>1</v>
      </c>
      <c r="S441" s="152">
        <v>445.9</v>
      </c>
      <c r="U441" s="152">
        <v>8.0259999999999998</v>
      </c>
      <c r="V441" s="152">
        <v>7.7000000000000001E-5</v>
      </c>
      <c r="W441" s="166">
        <v>8.26677416834425E-4</v>
      </c>
      <c r="X441" s="166">
        <v>1.08821846413033E-4</v>
      </c>
    </row>
    <row r="442" spans="1:24">
      <c r="A442" s="4" t="s">
        <v>144</v>
      </c>
      <c r="B442" s="4">
        <v>969</v>
      </c>
      <c r="C442" s="4" t="s">
        <v>1956</v>
      </c>
      <c r="D442" s="4" t="s">
        <v>1957</v>
      </c>
      <c r="E442" s="4" t="s">
        <v>1376</v>
      </c>
      <c r="F442" s="4" t="s">
        <v>1958</v>
      </c>
      <c r="G442" s="4" t="s">
        <v>1959</v>
      </c>
      <c r="H442" s="4" t="s">
        <v>367</v>
      </c>
      <c r="I442" s="4" t="s">
        <v>975</v>
      </c>
      <c r="J442" s="4" t="s">
        <v>31</v>
      </c>
      <c r="K442" s="4" t="s">
        <v>31</v>
      </c>
      <c r="L442" s="2" t="s">
        <v>373</v>
      </c>
      <c r="M442" s="2" t="s">
        <v>32</v>
      </c>
      <c r="N442" s="4" t="s">
        <v>520</v>
      </c>
      <c r="O442" s="4" t="s">
        <v>164</v>
      </c>
      <c r="P442" s="4" t="s">
        <v>35</v>
      </c>
      <c r="Q442" s="152">
        <v>645</v>
      </c>
      <c r="R442" s="152">
        <v>1</v>
      </c>
      <c r="S442" s="152">
        <v>6901</v>
      </c>
      <c r="T442" s="150">
        <v>0.52200000000000002</v>
      </c>
      <c r="U442" s="152">
        <v>45.033999999999999</v>
      </c>
      <c r="V442" s="152">
        <v>1.0000000000000001E-5</v>
      </c>
      <c r="W442" s="166">
        <v>4.6383728441827801E-3</v>
      </c>
      <c r="X442" s="166">
        <v>6.1058435488523498E-4</v>
      </c>
    </row>
    <row r="443" spans="1:24">
      <c r="A443" s="4" t="s">
        <v>144</v>
      </c>
      <c r="B443" s="4">
        <v>969</v>
      </c>
      <c r="C443" s="4" t="s">
        <v>1960</v>
      </c>
      <c r="D443" s="4" t="s">
        <v>1961</v>
      </c>
      <c r="E443" s="4" t="s">
        <v>1376</v>
      </c>
      <c r="F443" s="4" t="s">
        <v>1962</v>
      </c>
      <c r="G443" s="4" t="s">
        <v>1963</v>
      </c>
      <c r="H443" s="4" t="s">
        <v>367</v>
      </c>
      <c r="I443" s="4" t="s">
        <v>975</v>
      </c>
      <c r="J443" s="4" t="s">
        <v>31</v>
      </c>
      <c r="K443" s="4" t="s">
        <v>31</v>
      </c>
      <c r="L443" s="2" t="s">
        <v>373</v>
      </c>
      <c r="M443" s="2" t="s">
        <v>32</v>
      </c>
      <c r="N443" s="4" t="s">
        <v>507</v>
      </c>
      <c r="O443" s="4" t="s">
        <v>164</v>
      </c>
      <c r="P443" s="4" t="s">
        <v>35</v>
      </c>
      <c r="Q443" s="152">
        <v>332.25</v>
      </c>
      <c r="R443" s="152">
        <v>1</v>
      </c>
      <c r="S443" s="152">
        <v>24710</v>
      </c>
      <c r="U443" s="152">
        <v>82.099000000000004</v>
      </c>
      <c r="V443" s="152">
        <v>6.9999999999999999E-6</v>
      </c>
      <c r="W443" s="166">
        <v>8.4559777451040392E-3</v>
      </c>
      <c r="X443" s="166">
        <v>1.1131247723851199E-3</v>
      </c>
    </row>
    <row r="444" spans="1:24">
      <c r="A444" s="4" t="s">
        <v>144</v>
      </c>
      <c r="B444" s="4">
        <v>969</v>
      </c>
      <c r="C444" s="4" t="s">
        <v>1964</v>
      </c>
      <c r="D444" s="4" t="s">
        <v>1965</v>
      </c>
      <c r="E444" s="4" t="s">
        <v>1376</v>
      </c>
      <c r="F444" s="4" t="s">
        <v>1966</v>
      </c>
      <c r="G444" s="4" t="s">
        <v>1967</v>
      </c>
      <c r="H444" s="4" t="s">
        <v>367</v>
      </c>
      <c r="I444" s="4" t="s">
        <v>975</v>
      </c>
      <c r="J444" s="4" t="s">
        <v>31</v>
      </c>
      <c r="K444" s="4" t="s">
        <v>31</v>
      </c>
      <c r="L444" s="2" t="s">
        <v>373</v>
      </c>
      <c r="M444" s="2" t="s">
        <v>32</v>
      </c>
      <c r="N444" s="4" t="s">
        <v>488</v>
      </c>
      <c r="O444" s="4" t="s">
        <v>164</v>
      </c>
      <c r="P444" s="4" t="s">
        <v>35</v>
      </c>
      <c r="Q444" s="152">
        <v>1582</v>
      </c>
      <c r="R444" s="152">
        <v>1</v>
      </c>
      <c r="S444" s="152">
        <v>8960</v>
      </c>
      <c r="U444" s="152">
        <v>141.74700000000001</v>
      </c>
      <c r="V444" s="152">
        <v>2.5999999999999998E-5</v>
      </c>
      <c r="W444" s="166">
        <v>1.45995874933982E-2</v>
      </c>
      <c r="X444" s="166">
        <v>1.9218549285935399E-3</v>
      </c>
    </row>
    <row r="445" spans="1:24">
      <c r="A445" s="4" t="s">
        <v>144</v>
      </c>
      <c r="B445" s="4">
        <v>969</v>
      </c>
      <c r="C445" s="4" t="s">
        <v>1968</v>
      </c>
      <c r="D445" s="4" t="s">
        <v>1518</v>
      </c>
      <c r="E445" s="4" t="s">
        <v>1376</v>
      </c>
      <c r="F445" s="4" t="s">
        <v>1969</v>
      </c>
      <c r="G445" s="4" t="s">
        <v>1970</v>
      </c>
      <c r="H445" s="4" t="s">
        <v>367</v>
      </c>
      <c r="I445" s="4" t="s">
        <v>975</v>
      </c>
      <c r="J445" s="4" t="s">
        <v>31</v>
      </c>
      <c r="K445" s="4" t="s">
        <v>31</v>
      </c>
      <c r="L445" s="2" t="s">
        <v>373</v>
      </c>
      <c r="M445" s="2" t="s">
        <v>32</v>
      </c>
      <c r="N445" s="4" t="s">
        <v>486</v>
      </c>
      <c r="O445" s="4" t="s">
        <v>164</v>
      </c>
      <c r="P445" s="4" t="s">
        <v>35</v>
      </c>
      <c r="Q445" s="152">
        <v>12467</v>
      </c>
      <c r="R445" s="152">
        <v>1</v>
      </c>
      <c r="S445" s="152">
        <v>1058</v>
      </c>
      <c r="U445" s="152">
        <v>131.90100000000001</v>
      </c>
      <c r="V445" s="152">
        <v>2.0599999999999999E-4</v>
      </c>
      <c r="W445" s="166">
        <v>1.3585440460372199E-2</v>
      </c>
      <c r="X445" s="166">
        <v>1.7883550283654701E-3</v>
      </c>
    </row>
    <row r="446" spans="1:24">
      <c r="A446" s="4" t="s">
        <v>144</v>
      </c>
      <c r="B446" s="4">
        <v>969</v>
      </c>
      <c r="C446" s="4" t="s">
        <v>1971</v>
      </c>
      <c r="D446" s="4" t="s">
        <v>1972</v>
      </c>
      <c r="E446" s="4" t="s">
        <v>1376</v>
      </c>
      <c r="F446" s="4" t="s">
        <v>1973</v>
      </c>
      <c r="G446" s="4" t="s">
        <v>1974</v>
      </c>
      <c r="H446" s="4" t="s">
        <v>367</v>
      </c>
      <c r="I446" s="4" t="s">
        <v>975</v>
      </c>
      <c r="J446" s="4" t="s">
        <v>31</v>
      </c>
      <c r="K446" s="4" t="s">
        <v>31</v>
      </c>
      <c r="L446" s="2" t="s">
        <v>373</v>
      </c>
      <c r="M446" s="2" t="s">
        <v>32</v>
      </c>
      <c r="N446" s="4" t="s">
        <v>519</v>
      </c>
      <c r="O446" s="4" t="s">
        <v>164</v>
      </c>
      <c r="P446" s="4" t="s">
        <v>35</v>
      </c>
      <c r="Q446" s="152">
        <v>9857</v>
      </c>
      <c r="R446" s="152">
        <v>1</v>
      </c>
      <c r="S446" s="152">
        <v>871.5</v>
      </c>
      <c r="U446" s="152">
        <v>85.903999999999996</v>
      </c>
      <c r="V446" s="152">
        <v>7.1000000000000005E-5</v>
      </c>
      <c r="W446" s="166">
        <v>8.8478600433302603E-3</v>
      </c>
      <c r="X446" s="166">
        <v>1.1647112248527099E-3</v>
      </c>
    </row>
    <row r="447" spans="1:24">
      <c r="A447" s="4" t="s">
        <v>144</v>
      </c>
      <c r="B447" s="4">
        <v>969</v>
      </c>
      <c r="C447" s="4" t="s">
        <v>1975</v>
      </c>
      <c r="D447" s="4" t="s">
        <v>1976</v>
      </c>
      <c r="E447" s="4" t="s">
        <v>1376</v>
      </c>
      <c r="F447" s="4" t="s">
        <v>1977</v>
      </c>
      <c r="G447" s="4" t="s">
        <v>1978</v>
      </c>
      <c r="H447" s="4" t="s">
        <v>367</v>
      </c>
      <c r="I447" s="4" t="s">
        <v>975</v>
      </c>
      <c r="J447" s="4" t="s">
        <v>31</v>
      </c>
      <c r="K447" s="4" t="s">
        <v>31</v>
      </c>
      <c r="L447" s="2" t="s">
        <v>373</v>
      </c>
      <c r="M447" s="2" t="s">
        <v>32</v>
      </c>
      <c r="N447" s="4" t="s">
        <v>497</v>
      </c>
      <c r="O447" s="4" t="s">
        <v>164</v>
      </c>
      <c r="P447" s="4" t="s">
        <v>35</v>
      </c>
      <c r="Q447" s="152">
        <v>10420.06</v>
      </c>
      <c r="R447" s="152">
        <v>1</v>
      </c>
      <c r="S447" s="152">
        <v>895.6</v>
      </c>
      <c r="U447" s="152">
        <v>93.322000000000003</v>
      </c>
      <c r="V447" s="152">
        <v>9.0000000000000002E-6</v>
      </c>
      <c r="W447" s="166">
        <v>9.6119256076398294E-3</v>
      </c>
      <c r="X447" s="166">
        <v>1.2652909961100101E-3</v>
      </c>
    </row>
    <row r="448" spans="1:24">
      <c r="A448" s="4" t="s">
        <v>144</v>
      </c>
      <c r="B448" s="4">
        <v>969</v>
      </c>
      <c r="C448" s="4" t="s">
        <v>1979</v>
      </c>
      <c r="D448" s="4" t="s">
        <v>1980</v>
      </c>
      <c r="E448" s="4" t="s">
        <v>1376</v>
      </c>
      <c r="F448" s="4" t="s">
        <v>1981</v>
      </c>
      <c r="G448" s="4" t="s">
        <v>1982</v>
      </c>
      <c r="H448" s="4" t="s">
        <v>367</v>
      </c>
      <c r="I448" s="4" t="s">
        <v>975</v>
      </c>
      <c r="J448" s="4" t="s">
        <v>31</v>
      </c>
      <c r="K448" s="4" t="s">
        <v>95</v>
      </c>
      <c r="L448" s="2" t="s">
        <v>373</v>
      </c>
      <c r="M448" s="2" t="s">
        <v>32</v>
      </c>
      <c r="N448" s="4" t="s">
        <v>524</v>
      </c>
      <c r="O448" s="4" t="s">
        <v>164</v>
      </c>
      <c r="P448" s="4" t="s">
        <v>35</v>
      </c>
      <c r="Q448" s="152">
        <v>400</v>
      </c>
      <c r="R448" s="152">
        <v>1</v>
      </c>
      <c r="S448" s="152">
        <v>64400</v>
      </c>
      <c r="U448" s="152">
        <v>257.60000000000002</v>
      </c>
      <c r="V448" s="152">
        <v>6.0000000000000002E-6</v>
      </c>
      <c r="W448" s="166">
        <v>2.65321201286472E-2</v>
      </c>
      <c r="X448" s="166">
        <v>3.49262510727334E-3</v>
      </c>
    </row>
    <row r="449" spans="1:24">
      <c r="A449" s="4" t="s">
        <v>144</v>
      </c>
      <c r="B449" s="4">
        <v>969</v>
      </c>
      <c r="C449" s="4" t="s">
        <v>2191</v>
      </c>
      <c r="D449" s="4" t="s">
        <v>2192</v>
      </c>
      <c r="E449" s="4" t="s">
        <v>1376</v>
      </c>
      <c r="F449" s="4" t="s">
        <v>2193</v>
      </c>
      <c r="G449" s="4" t="s">
        <v>2194</v>
      </c>
      <c r="H449" s="4" t="s">
        <v>367</v>
      </c>
      <c r="I449" s="4" t="s">
        <v>975</v>
      </c>
      <c r="J449" s="4" t="s">
        <v>31</v>
      </c>
      <c r="K449" s="4" t="s">
        <v>345</v>
      </c>
      <c r="L449" s="2" t="s">
        <v>373</v>
      </c>
      <c r="M449" s="2" t="s">
        <v>32</v>
      </c>
      <c r="N449" s="4" t="s">
        <v>508</v>
      </c>
      <c r="O449" s="4" t="s">
        <v>164</v>
      </c>
      <c r="P449" s="4" t="s">
        <v>35</v>
      </c>
      <c r="Q449" s="152">
        <v>1819</v>
      </c>
      <c r="R449" s="152">
        <v>1</v>
      </c>
      <c r="S449" s="152">
        <v>4210</v>
      </c>
      <c r="U449" s="152">
        <v>76.58</v>
      </c>
      <c r="V449" s="152">
        <v>2.5000000000000001E-5</v>
      </c>
      <c r="W449" s="166">
        <v>7.8875275863345799E-3</v>
      </c>
      <c r="X449" s="166">
        <v>1.0382953472534201E-3</v>
      </c>
    </row>
    <row r="450" spans="1:24">
      <c r="A450" s="4" t="s">
        <v>144</v>
      </c>
      <c r="B450" s="4">
        <v>969</v>
      </c>
      <c r="C450" s="4" t="s">
        <v>1983</v>
      </c>
      <c r="D450" s="4" t="s">
        <v>1984</v>
      </c>
      <c r="E450" s="4" t="s">
        <v>1376</v>
      </c>
      <c r="F450" s="4" t="s">
        <v>1985</v>
      </c>
      <c r="G450" s="4" t="s">
        <v>1986</v>
      </c>
      <c r="H450" s="4" t="s">
        <v>367</v>
      </c>
      <c r="I450" s="4" t="s">
        <v>975</v>
      </c>
      <c r="J450" s="4" t="s">
        <v>31</v>
      </c>
      <c r="K450" s="4" t="s">
        <v>31</v>
      </c>
      <c r="L450" s="2" t="s">
        <v>373</v>
      </c>
      <c r="M450" s="2" t="s">
        <v>32</v>
      </c>
      <c r="N450" s="4" t="s">
        <v>524</v>
      </c>
      <c r="O450" s="4" t="s">
        <v>164</v>
      </c>
      <c r="P450" s="4" t="s">
        <v>35</v>
      </c>
      <c r="Q450" s="152">
        <v>9600</v>
      </c>
      <c r="R450" s="152">
        <v>1</v>
      </c>
      <c r="S450" s="152">
        <v>45.3</v>
      </c>
      <c r="U450" s="152">
        <v>4.3490000000000002</v>
      </c>
      <c r="V450" s="152">
        <v>6.9999999999999994E-5</v>
      </c>
      <c r="W450" s="166">
        <v>4.4791492242026701E-4</v>
      </c>
      <c r="X450" s="166">
        <v>5.8962453674341098E-5</v>
      </c>
    </row>
    <row r="451" spans="1:24">
      <c r="A451" s="4" t="s">
        <v>144</v>
      </c>
      <c r="B451" s="4">
        <v>969</v>
      </c>
      <c r="C451" s="4" t="s">
        <v>1987</v>
      </c>
      <c r="D451" s="4" t="s">
        <v>1988</v>
      </c>
      <c r="E451" s="4" t="s">
        <v>1376</v>
      </c>
      <c r="F451" s="4" t="s">
        <v>1989</v>
      </c>
      <c r="G451" s="4" t="s">
        <v>1990</v>
      </c>
      <c r="H451" s="4" t="s">
        <v>367</v>
      </c>
      <c r="I451" s="4" t="s">
        <v>975</v>
      </c>
      <c r="J451" s="4" t="s">
        <v>31</v>
      </c>
      <c r="K451" s="4" t="s">
        <v>31</v>
      </c>
      <c r="L451" s="2" t="s">
        <v>373</v>
      </c>
      <c r="M451" s="2" t="s">
        <v>32</v>
      </c>
      <c r="N451" s="4" t="s">
        <v>528</v>
      </c>
      <c r="O451" s="4" t="s">
        <v>164</v>
      </c>
      <c r="P451" s="4" t="s">
        <v>35</v>
      </c>
      <c r="Q451" s="152">
        <v>5980</v>
      </c>
      <c r="R451" s="152">
        <v>1</v>
      </c>
      <c r="S451" s="152">
        <v>1320</v>
      </c>
      <c r="U451" s="152">
        <v>78.936000000000007</v>
      </c>
      <c r="V451" s="152">
        <v>3.6000000000000001E-5</v>
      </c>
      <c r="W451" s="166">
        <v>8.1301996679925999E-3</v>
      </c>
      <c r="X451" s="166">
        <v>1.0702401221573299E-3</v>
      </c>
    </row>
    <row r="452" spans="1:24">
      <c r="A452" s="4" t="s">
        <v>144</v>
      </c>
      <c r="B452" s="4">
        <v>969</v>
      </c>
      <c r="C452" s="4" t="s">
        <v>1991</v>
      </c>
      <c r="D452" s="4" t="s">
        <v>1992</v>
      </c>
      <c r="E452" s="4" t="s">
        <v>1376</v>
      </c>
      <c r="F452" s="4" t="s">
        <v>1993</v>
      </c>
      <c r="G452" s="4" t="s">
        <v>1994</v>
      </c>
      <c r="H452" s="4" t="s">
        <v>367</v>
      </c>
      <c r="I452" s="4" t="s">
        <v>975</v>
      </c>
      <c r="J452" s="4" t="s">
        <v>31</v>
      </c>
      <c r="K452" s="4" t="s">
        <v>31</v>
      </c>
      <c r="L452" s="2" t="s">
        <v>373</v>
      </c>
      <c r="M452" s="2" t="s">
        <v>32</v>
      </c>
      <c r="N452" s="4" t="s">
        <v>507</v>
      </c>
      <c r="O452" s="4" t="s">
        <v>164</v>
      </c>
      <c r="P452" s="4" t="s">
        <v>35</v>
      </c>
      <c r="Q452" s="152">
        <v>573</v>
      </c>
      <c r="R452" s="152">
        <v>1</v>
      </c>
      <c r="S452" s="152">
        <v>22000</v>
      </c>
      <c r="U452" s="152">
        <v>126.06</v>
      </c>
      <c r="V452" s="152">
        <v>5.0000000000000004E-6</v>
      </c>
      <c r="W452" s="166">
        <v>1.29838472958745E-2</v>
      </c>
      <c r="X452" s="166">
        <v>1.70916273689005E-3</v>
      </c>
    </row>
    <row r="453" spans="1:24">
      <c r="A453" s="4" t="s">
        <v>144</v>
      </c>
      <c r="B453" s="4">
        <v>969</v>
      </c>
      <c r="C453" s="4" t="s">
        <v>1995</v>
      </c>
      <c r="D453" s="4" t="s">
        <v>1996</v>
      </c>
      <c r="E453" s="4" t="s">
        <v>1376</v>
      </c>
      <c r="F453" s="4" t="s">
        <v>1997</v>
      </c>
      <c r="G453" s="4" t="s">
        <v>1998</v>
      </c>
      <c r="H453" s="4" t="s">
        <v>367</v>
      </c>
      <c r="I453" s="4" t="s">
        <v>975</v>
      </c>
      <c r="J453" s="4" t="s">
        <v>31</v>
      </c>
      <c r="K453" s="4" t="s">
        <v>31</v>
      </c>
      <c r="L453" s="2" t="s">
        <v>373</v>
      </c>
      <c r="M453" s="2" t="s">
        <v>32</v>
      </c>
      <c r="N453" s="4" t="s">
        <v>491</v>
      </c>
      <c r="O453" s="4" t="s">
        <v>164</v>
      </c>
      <c r="P453" s="4" t="s">
        <v>35</v>
      </c>
      <c r="Q453" s="152">
        <v>5267</v>
      </c>
      <c r="R453" s="152">
        <v>1</v>
      </c>
      <c r="S453" s="152">
        <v>3365</v>
      </c>
      <c r="U453" s="152">
        <v>177.23500000000001</v>
      </c>
      <c r="V453" s="152">
        <v>3.9999999999999998E-6</v>
      </c>
      <c r="W453" s="166">
        <v>1.8254690883333601E-2</v>
      </c>
      <c r="X453" s="166">
        <v>2.40300403418591E-3</v>
      </c>
    </row>
    <row r="454" spans="1:24">
      <c r="A454" s="4" t="s">
        <v>144</v>
      </c>
      <c r="B454" s="4">
        <v>969</v>
      </c>
      <c r="C454" s="4" t="s">
        <v>2195</v>
      </c>
      <c r="D454" s="4" t="s">
        <v>2196</v>
      </c>
      <c r="E454" s="4" t="s">
        <v>1376</v>
      </c>
      <c r="F454" s="4" t="s">
        <v>2197</v>
      </c>
      <c r="G454" s="4" t="s">
        <v>2198</v>
      </c>
      <c r="H454" s="4" t="s">
        <v>367</v>
      </c>
      <c r="I454" s="4" t="s">
        <v>975</v>
      </c>
      <c r="J454" s="4" t="s">
        <v>31</v>
      </c>
      <c r="K454" s="4" t="s">
        <v>31</v>
      </c>
      <c r="L454" s="2" t="s">
        <v>373</v>
      </c>
      <c r="M454" s="2" t="s">
        <v>32</v>
      </c>
      <c r="N454" s="4" t="s">
        <v>483</v>
      </c>
      <c r="O454" s="4" t="s">
        <v>164</v>
      </c>
      <c r="P454" s="4" t="s">
        <v>35</v>
      </c>
      <c r="Q454" s="152">
        <v>111</v>
      </c>
      <c r="R454" s="152">
        <v>1</v>
      </c>
      <c r="S454" s="152">
        <v>6189</v>
      </c>
      <c r="U454" s="152">
        <v>6.87</v>
      </c>
      <c r="V454" s="152">
        <v>9.0000000000000002E-6</v>
      </c>
      <c r="W454" s="166">
        <v>7.0757023889199899E-4</v>
      </c>
      <c r="X454" s="166">
        <v>9.3142861163413403E-5</v>
      </c>
    </row>
    <row r="455" spans="1:24">
      <c r="A455" s="4" t="s">
        <v>144</v>
      </c>
      <c r="B455" s="4">
        <v>969</v>
      </c>
      <c r="C455" s="4" t="s">
        <v>1999</v>
      </c>
      <c r="D455" s="4" t="s">
        <v>2000</v>
      </c>
      <c r="E455" s="4" t="s">
        <v>1376</v>
      </c>
      <c r="F455" s="4" t="s">
        <v>2001</v>
      </c>
      <c r="G455" s="4" t="s">
        <v>2002</v>
      </c>
      <c r="H455" s="4" t="s">
        <v>367</v>
      </c>
      <c r="I455" s="4" t="s">
        <v>975</v>
      </c>
      <c r="J455" s="4" t="s">
        <v>31</v>
      </c>
      <c r="K455" s="4" t="s">
        <v>31</v>
      </c>
      <c r="L455" s="2" t="s">
        <v>373</v>
      </c>
      <c r="M455" s="2" t="s">
        <v>32</v>
      </c>
      <c r="N455" s="4" t="s">
        <v>503</v>
      </c>
      <c r="O455" s="4" t="s">
        <v>164</v>
      </c>
      <c r="P455" s="4" t="s">
        <v>35</v>
      </c>
      <c r="Q455" s="152">
        <v>2200</v>
      </c>
      <c r="R455" s="152">
        <v>1</v>
      </c>
      <c r="S455" s="152">
        <v>332.1</v>
      </c>
      <c r="U455" s="152">
        <v>7.306</v>
      </c>
      <c r="V455" s="152">
        <v>4.3999999999999999E-5</v>
      </c>
      <c r="W455" s="166">
        <v>7.5251931709597003E-4</v>
      </c>
      <c r="X455" s="166">
        <v>9.9059850771585602E-5</v>
      </c>
    </row>
    <row r="456" spans="1:24">
      <c r="A456" s="4" t="s">
        <v>144</v>
      </c>
      <c r="B456" s="4">
        <v>969</v>
      </c>
      <c r="C456" s="4" t="s">
        <v>2003</v>
      </c>
      <c r="D456" s="4" t="s">
        <v>2004</v>
      </c>
      <c r="E456" s="4" t="s">
        <v>1376</v>
      </c>
      <c r="F456" s="4" t="s">
        <v>2005</v>
      </c>
      <c r="G456" s="4" t="s">
        <v>2006</v>
      </c>
      <c r="H456" s="4" t="s">
        <v>367</v>
      </c>
      <c r="I456" s="4" t="s">
        <v>975</v>
      </c>
      <c r="J456" s="4" t="s">
        <v>31</v>
      </c>
      <c r="K456" s="4" t="s">
        <v>31</v>
      </c>
      <c r="L456" s="2" t="s">
        <v>373</v>
      </c>
      <c r="M456" s="2" t="s">
        <v>32</v>
      </c>
      <c r="N456" s="4" t="s">
        <v>528</v>
      </c>
      <c r="O456" s="4" t="s">
        <v>164</v>
      </c>
      <c r="P456" s="4" t="s">
        <v>35</v>
      </c>
      <c r="Q456" s="152">
        <v>6331</v>
      </c>
      <c r="R456" s="152">
        <v>1</v>
      </c>
      <c r="S456" s="152">
        <v>1535</v>
      </c>
      <c r="U456" s="152">
        <v>97.180999999999997</v>
      </c>
      <c r="V456" s="152">
        <v>3.4E-5</v>
      </c>
      <c r="W456" s="166">
        <v>1.00093710652331E-2</v>
      </c>
      <c r="X456" s="166">
        <v>1.31760976962797E-3</v>
      </c>
    </row>
    <row r="457" spans="1:24">
      <c r="A457" s="4" t="s">
        <v>144</v>
      </c>
      <c r="B457" s="4">
        <v>969</v>
      </c>
      <c r="C457" s="4" t="s">
        <v>2007</v>
      </c>
      <c r="D457" s="4" t="s">
        <v>2008</v>
      </c>
      <c r="E457" s="4" t="s">
        <v>1376</v>
      </c>
      <c r="F457" s="4" t="s">
        <v>2009</v>
      </c>
      <c r="G457" s="4" t="s">
        <v>2010</v>
      </c>
      <c r="H457" s="4" t="s">
        <v>367</v>
      </c>
      <c r="I457" s="4" t="s">
        <v>975</v>
      </c>
      <c r="J457" s="4" t="s">
        <v>31</v>
      </c>
      <c r="K457" s="4" t="s">
        <v>31</v>
      </c>
      <c r="L457" s="2" t="s">
        <v>373</v>
      </c>
      <c r="M457" s="2" t="s">
        <v>32</v>
      </c>
      <c r="N457" s="4" t="s">
        <v>521</v>
      </c>
      <c r="O457" s="4" t="s">
        <v>164</v>
      </c>
      <c r="P457" s="4" t="s">
        <v>35</v>
      </c>
      <c r="Q457" s="152">
        <v>628</v>
      </c>
      <c r="R457" s="152">
        <v>1</v>
      </c>
      <c r="S457" s="152">
        <v>5099</v>
      </c>
      <c r="U457" s="152">
        <v>32.021999999999998</v>
      </c>
      <c r="V457" s="152">
        <v>3.8499999999999998E-4</v>
      </c>
      <c r="W457" s="166">
        <v>3.2981526466067698E-3</v>
      </c>
      <c r="X457" s="166">
        <v>4.3416095982172601E-4</v>
      </c>
    </row>
    <row r="458" spans="1:24">
      <c r="A458" s="4" t="s">
        <v>144</v>
      </c>
      <c r="B458" s="4">
        <v>969</v>
      </c>
      <c r="C458" s="4" t="s">
        <v>2011</v>
      </c>
      <c r="D458" s="4" t="s">
        <v>2012</v>
      </c>
      <c r="E458" s="4" t="s">
        <v>1376</v>
      </c>
      <c r="F458" s="4" t="s">
        <v>2013</v>
      </c>
      <c r="G458" s="4" t="s">
        <v>2014</v>
      </c>
      <c r="H458" s="4" t="s">
        <v>367</v>
      </c>
      <c r="I458" s="4" t="s">
        <v>975</v>
      </c>
      <c r="J458" s="4" t="s">
        <v>31</v>
      </c>
      <c r="K458" s="4" t="s">
        <v>31</v>
      </c>
      <c r="L458" s="2" t="s">
        <v>373</v>
      </c>
      <c r="M458" s="2" t="s">
        <v>32</v>
      </c>
      <c r="N458" s="4" t="s">
        <v>506</v>
      </c>
      <c r="O458" s="4" t="s">
        <v>164</v>
      </c>
      <c r="P458" s="4" t="s">
        <v>35</v>
      </c>
      <c r="Q458" s="152">
        <v>23684</v>
      </c>
      <c r="R458" s="152">
        <v>1</v>
      </c>
      <c r="S458" s="152">
        <v>488.3</v>
      </c>
      <c r="U458" s="152">
        <v>115.649</v>
      </c>
      <c r="V458" s="152">
        <v>8.2000000000000001E-5</v>
      </c>
      <c r="W458" s="166">
        <v>1.1911538889202501E-2</v>
      </c>
      <c r="X458" s="166">
        <v>1.56800661194701E-3</v>
      </c>
    </row>
    <row r="459" spans="1:24">
      <c r="A459" s="4" t="s">
        <v>144</v>
      </c>
      <c r="B459" s="4">
        <v>969</v>
      </c>
      <c r="C459" s="4" t="s">
        <v>2199</v>
      </c>
      <c r="D459" s="4" t="s">
        <v>2200</v>
      </c>
      <c r="E459" s="4" t="s">
        <v>1376</v>
      </c>
      <c r="F459" s="4" t="s">
        <v>2201</v>
      </c>
      <c r="G459" s="4" t="s">
        <v>2202</v>
      </c>
      <c r="H459" s="4" t="s">
        <v>367</v>
      </c>
      <c r="I459" s="4" t="s">
        <v>975</v>
      </c>
      <c r="J459" s="4" t="s">
        <v>31</v>
      </c>
      <c r="K459" s="4" t="s">
        <v>31</v>
      </c>
      <c r="L459" s="2" t="s">
        <v>373</v>
      </c>
      <c r="M459" s="2" t="s">
        <v>32</v>
      </c>
      <c r="N459" s="4" t="s">
        <v>499</v>
      </c>
      <c r="O459" s="4" t="s">
        <v>164</v>
      </c>
      <c r="P459" s="4" t="s">
        <v>35</v>
      </c>
      <c r="Q459" s="152">
        <v>6600</v>
      </c>
      <c r="R459" s="152">
        <v>1</v>
      </c>
      <c r="S459" s="152">
        <v>207.6</v>
      </c>
      <c r="U459" s="152">
        <v>13.702</v>
      </c>
      <c r="V459" s="152">
        <v>7.7000000000000001E-5</v>
      </c>
      <c r="W459" s="166">
        <v>1.4112286380228E-3</v>
      </c>
      <c r="X459" s="166">
        <v>1.8577077705674E-4</v>
      </c>
    </row>
    <row r="460" spans="1:24">
      <c r="A460" s="4" t="s">
        <v>144</v>
      </c>
      <c r="B460" s="4">
        <v>969</v>
      </c>
      <c r="C460" s="4" t="s">
        <v>2015</v>
      </c>
      <c r="D460" s="4" t="s">
        <v>2016</v>
      </c>
      <c r="E460" s="4" t="s">
        <v>1376</v>
      </c>
      <c r="F460" s="4" t="s">
        <v>2017</v>
      </c>
      <c r="G460" s="4" t="s">
        <v>2018</v>
      </c>
      <c r="H460" s="4" t="s">
        <v>367</v>
      </c>
      <c r="I460" s="4" t="s">
        <v>975</v>
      </c>
      <c r="J460" s="4" t="s">
        <v>31</v>
      </c>
      <c r="K460" s="4" t="s">
        <v>31</v>
      </c>
      <c r="L460" s="2" t="s">
        <v>373</v>
      </c>
      <c r="M460" s="2" t="s">
        <v>32</v>
      </c>
      <c r="N460" s="4" t="s">
        <v>507</v>
      </c>
      <c r="O460" s="4" t="s">
        <v>164</v>
      </c>
      <c r="P460" s="4" t="s">
        <v>35</v>
      </c>
      <c r="Q460" s="152">
        <v>12682.2</v>
      </c>
      <c r="R460" s="152">
        <v>1</v>
      </c>
      <c r="S460" s="152">
        <v>344.2</v>
      </c>
      <c r="U460" s="152">
        <v>43.652000000000001</v>
      </c>
      <c r="V460" s="152">
        <v>1.7799999999999999E-4</v>
      </c>
      <c r="W460" s="166">
        <v>4.4960544282158796E-3</v>
      </c>
      <c r="X460" s="166">
        <v>5.91849897539829E-4</v>
      </c>
    </row>
    <row r="461" spans="1:24">
      <c r="A461" s="4" t="s">
        <v>144</v>
      </c>
      <c r="B461" s="4">
        <v>969</v>
      </c>
      <c r="C461" s="4" t="s">
        <v>2155</v>
      </c>
      <c r="D461" s="4" t="s">
        <v>2156</v>
      </c>
      <c r="E461" s="4" t="s">
        <v>1376</v>
      </c>
      <c r="F461" s="4" t="s">
        <v>2157</v>
      </c>
      <c r="G461" s="4" t="s">
        <v>2158</v>
      </c>
      <c r="H461" s="4" t="s">
        <v>367</v>
      </c>
      <c r="I461" s="4" t="s">
        <v>975</v>
      </c>
      <c r="J461" s="4" t="s">
        <v>31</v>
      </c>
      <c r="K461" s="4" t="s">
        <v>31</v>
      </c>
      <c r="L461" s="2" t="s">
        <v>373</v>
      </c>
      <c r="M461" s="2" t="s">
        <v>32</v>
      </c>
      <c r="N461" s="4" t="s">
        <v>519</v>
      </c>
      <c r="O461" s="4" t="s">
        <v>164</v>
      </c>
      <c r="P461" s="4" t="s">
        <v>35</v>
      </c>
      <c r="Q461" s="152">
        <v>184</v>
      </c>
      <c r="R461" s="152">
        <v>1</v>
      </c>
      <c r="S461" s="152">
        <v>19750</v>
      </c>
      <c r="U461" s="152">
        <v>36.340000000000003</v>
      </c>
      <c r="V461" s="152">
        <v>1.2999999999999999E-5</v>
      </c>
      <c r="W461" s="166">
        <v>3.7429240895770102E-3</v>
      </c>
      <c r="X461" s="166">
        <v>4.9270961334748795E-4</v>
      </c>
    </row>
    <row r="462" spans="1:24">
      <c r="A462" s="4" t="s">
        <v>144</v>
      </c>
      <c r="B462" s="4">
        <v>969</v>
      </c>
      <c r="C462" s="4" t="s">
        <v>2019</v>
      </c>
      <c r="D462" s="4" t="s">
        <v>2020</v>
      </c>
      <c r="E462" s="4" t="s">
        <v>1376</v>
      </c>
      <c r="F462" s="4" t="s">
        <v>2021</v>
      </c>
      <c r="G462" s="4" t="s">
        <v>2022</v>
      </c>
      <c r="H462" s="4" t="s">
        <v>367</v>
      </c>
      <c r="I462" s="4" t="s">
        <v>975</v>
      </c>
      <c r="J462" s="4" t="s">
        <v>31</v>
      </c>
      <c r="K462" s="4" t="s">
        <v>31</v>
      </c>
      <c r="L462" s="2" t="s">
        <v>373</v>
      </c>
      <c r="M462" s="2" t="s">
        <v>32</v>
      </c>
      <c r="N462" s="4" t="s">
        <v>502</v>
      </c>
      <c r="O462" s="4" t="s">
        <v>164</v>
      </c>
      <c r="P462" s="4" t="s">
        <v>35</v>
      </c>
      <c r="Q462" s="152">
        <v>2911</v>
      </c>
      <c r="R462" s="152">
        <v>1</v>
      </c>
      <c r="S462" s="152">
        <v>5599</v>
      </c>
      <c r="U462" s="152">
        <v>162.98699999999999</v>
      </c>
      <c r="V462" s="152">
        <v>2.5000000000000001E-5</v>
      </c>
      <c r="W462" s="166">
        <v>1.6787219506500799E-2</v>
      </c>
      <c r="X462" s="166">
        <v>2.2098295969347698E-3</v>
      </c>
    </row>
    <row r="463" spans="1:24">
      <c r="A463" s="4" t="s">
        <v>144</v>
      </c>
      <c r="B463" s="4">
        <v>969</v>
      </c>
      <c r="C463" s="4" t="s">
        <v>2023</v>
      </c>
      <c r="D463" s="4" t="s">
        <v>2024</v>
      </c>
      <c r="E463" s="4" t="s">
        <v>1376</v>
      </c>
      <c r="F463" s="4" t="s">
        <v>2025</v>
      </c>
      <c r="G463" s="4" t="s">
        <v>2026</v>
      </c>
      <c r="H463" s="4" t="s">
        <v>367</v>
      </c>
      <c r="I463" s="4" t="s">
        <v>975</v>
      </c>
      <c r="J463" s="4" t="s">
        <v>31</v>
      </c>
      <c r="K463" s="4" t="s">
        <v>31</v>
      </c>
      <c r="L463" s="2" t="s">
        <v>373</v>
      </c>
      <c r="M463" s="2" t="s">
        <v>32</v>
      </c>
      <c r="N463" s="4" t="s">
        <v>506</v>
      </c>
      <c r="O463" s="4" t="s">
        <v>164</v>
      </c>
      <c r="P463" s="4" t="s">
        <v>35</v>
      </c>
      <c r="Q463" s="152">
        <v>5295</v>
      </c>
      <c r="R463" s="152">
        <v>1</v>
      </c>
      <c r="S463" s="152">
        <v>1920</v>
      </c>
      <c r="U463" s="152">
        <v>101.664</v>
      </c>
      <c r="V463" s="152">
        <v>1.5E-5</v>
      </c>
      <c r="W463" s="166">
        <v>1.0471123683069799E-2</v>
      </c>
      <c r="X463" s="166">
        <v>1.3783937845723499E-3</v>
      </c>
    </row>
    <row r="464" spans="1:24">
      <c r="A464" s="4" t="s">
        <v>144</v>
      </c>
      <c r="B464" s="4">
        <v>969</v>
      </c>
      <c r="C464" s="4" t="s">
        <v>2203</v>
      </c>
      <c r="D464" s="4" t="s">
        <v>2204</v>
      </c>
      <c r="E464" s="4" t="s">
        <v>1376</v>
      </c>
      <c r="F464" s="4" t="s">
        <v>2205</v>
      </c>
      <c r="G464" s="4" t="s">
        <v>2206</v>
      </c>
      <c r="H464" s="4" t="s">
        <v>367</v>
      </c>
      <c r="I464" s="4" t="s">
        <v>975</v>
      </c>
      <c r="J464" s="4" t="s">
        <v>31</v>
      </c>
      <c r="K464" s="4" t="s">
        <v>31</v>
      </c>
      <c r="L464" s="2" t="s">
        <v>373</v>
      </c>
      <c r="M464" s="2" t="s">
        <v>32</v>
      </c>
      <c r="N464" s="4" t="s">
        <v>505</v>
      </c>
      <c r="O464" s="4" t="s">
        <v>164</v>
      </c>
      <c r="P464" s="4" t="s">
        <v>35</v>
      </c>
      <c r="Q464" s="152">
        <v>109</v>
      </c>
      <c r="R464" s="152">
        <v>1</v>
      </c>
      <c r="S464" s="152">
        <v>19430</v>
      </c>
      <c r="U464" s="152">
        <v>21.178999999999998</v>
      </c>
      <c r="V464" s="152">
        <v>1.2999999999999999E-5</v>
      </c>
      <c r="W464" s="166">
        <v>2.1813502040705702E-3</v>
      </c>
      <c r="X464" s="166">
        <v>2.8714774596044198E-4</v>
      </c>
    </row>
    <row r="465" spans="1:24">
      <c r="A465" s="4" t="s">
        <v>144</v>
      </c>
      <c r="B465" s="4">
        <v>969</v>
      </c>
      <c r="C465" s="4" t="s">
        <v>2027</v>
      </c>
      <c r="D465" s="4" t="s">
        <v>2028</v>
      </c>
      <c r="E465" s="4" t="s">
        <v>361</v>
      </c>
      <c r="F465" s="4" t="s">
        <v>2029</v>
      </c>
      <c r="G465" s="4" t="s">
        <v>2030</v>
      </c>
      <c r="H465" s="4" t="s">
        <v>367</v>
      </c>
      <c r="I465" s="4" t="s">
        <v>975</v>
      </c>
      <c r="J465" s="4" t="s">
        <v>94</v>
      </c>
      <c r="K465" s="4" t="s">
        <v>95</v>
      </c>
      <c r="L465" s="2" t="s">
        <v>373</v>
      </c>
      <c r="M465" s="2" t="s">
        <v>392</v>
      </c>
      <c r="N465" s="4" t="s">
        <v>559</v>
      </c>
      <c r="O465" s="4" t="s">
        <v>164</v>
      </c>
      <c r="P465" s="4" t="s">
        <v>99</v>
      </c>
      <c r="Q465" s="152">
        <v>202</v>
      </c>
      <c r="R465" s="152">
        <v>3.7589999999999999</v>
      </c>
      <c r="S465" s="152">
        <v>19325</v>
      </c>
      <c r="U465" s="152">
        <v>146.738</v>
      </c>
      <c r="V465" s="152">
        <v>0</v>
      </c>
      <c r="W465" s="166">
        <v>1.5113647681381501E-2</v>
      </c>
      <c r="X465" s="166">
        <v>1.9895245875011002E-3</v>
      </c>
    </row>
    <row r="466" spans="1:24">
      <c r="A466" s="4" t="s">
        <v>144</v>
      </c>
      <c r="B466" s="4">
        <v>969</v>
      </c>
      <c r="C466" s="4" t="s">
        <v>2031</v>
      </c>
      <c r="D466" s="4" t="s">
        <v>2032</v>
      </c>
      <c r="E466" s="4" t="s">
        <v>361</v>
      </c>
      <c r="F466" s="4" t="s">
        <v>2033</v>
      </c>
      <c r="G466" s="4" t="s">
        <v>2034</v>
      </c>
      <c r="H466" s="4" t="s">
        <v>367</v>
      </c>
      <c r="I466" s="4" t="s">
        <v>975</v>
      </c>
      <c r="J466" s="4" t="s">
        <v>94</v>
      </c>
      <c r="K466" s="4" t="s">
        <v>95</v>
      </c>
      <c r="L466" s="2" t="s">
        <v>373</v>
      </c>
      <c r="M466" s="2" t="s">
        <v>392</v>
      </c>
      <c r="N466" s="4" t="s">
        <v>590</v>
      </c>
      <c r="O466" s="4" t="s">
        <v>164</v>
      </c>
      <c r="P466" s="4" t="s">
        <v>99</v>
      </c>
      <c r="Q466" s="152">
        <v>205</v>
      </c>
      <c r="R466" s="152">
        <v>3.7589999999999999</v>
      </c>
      <c r="S466" s="152">
        <v>21062</v>
      </c>
      <c r="U466" s="152">
        <v>162.303</v>
      </c>
      <c r="V466" s="152">
        <v>0</v>
      </c>
      <c r="W466" s="166">
        <v>1.6716751688900799E-2</v>
      </c>
      <c r="X466" s="166">
        <v>2.2005533812455998E-3</v>
      </c>
    </row>
    <row r="467" spans="1:24">
      <c r="A467" s="4" t="s">
        <v>144</v>
      </c>
      <c r="B467" s="4">
        <v>969</v>
      </c>
      <c r="C467" s="4" t="s">
        <v>2035</v>
      </c>
      <c r="D467" s="4" t="s">
        <v>2036</v>
      </c>
      <c r="E467" s="4" t="s">
        <v>361</v>
      </c>
      <c r="F467" s="4" t="s">
        <v>2037</v>
      </c>
      <c r="G467" s="4" t="s">
        <v>2038</v>
      </c>
      <c r="H467" s="4" t="s">
        <v>367</v>
      </c>
      <c r="I467" s="4" t="s">
        <v>975</v>
      </c>
      <c r="J467" s="4" t="s">
        <v>94</v>
      </c>
      <c r="K467" s="4" t="s">
        <v>95</v>
      </c>
      <c r="L467" s="2" t="s">
        <v>373</v>
      </c>
      <c r="M467" s="2" t="s">
        <v>392</v>
      </c>
      <c r="N467" s="4" t="s">
        <v>578</v>
      </c>
      <c r="O467" s="4" t="s">
        <v>164</v>
      </c>
      <c r="P467" s="4" t="s">
        <v>99</v>
      </c>
      <c r="Q467" s="152">
        <v>105</v>
      </c>
      <c r="R467" s="152">
        <v>3.7589999999999999</v>
      </c>
      <c r="S467" s="152">
        <v>23182</v>
      </c>
      <c r="U467" s="152">
        <v>91.498000000000005</v>
      </c>
      <c r="V467" s="152">
        <v>9.9999999999999995E-7</v>
      </c>
      <c r="W467" s="166">
        <v>9.4240725878927505E-3</v>
      </c>
      <c r="X467" s="166">
        <v>1.2405624719640099E-3</v>
      </c>
    </row>
    <row r="468" spans="1:24">
      <c r="A468" s="4" t="s">
        <v>144</v>
      </c>
      <c r="B468" s="4">
        <v>969</v>
      </c>
      <c r="C468" s="4" t="s">
        <v>2207</v>
      </c>
      <c r="D468" s="4" t="s">
        <v>2208</v>
      </c>
      <c r="E468" s="4" t="s">
        <v>361</v>
      </c>
      <c r="F468" s="4" t="s">
        <v>2207</v>
      </c>
      <c r="G468" s="4" t="s">
        <v>2209</v>
      </c>
      <c r="H468" s="4" t="s">
        <v>367</v>
      </c>
      <c r="I468" s="4" t="s">
        <v>975</v>
      </c>
      <c r="J468" s="4" t="s">
        <v>94</v>
      </c>
      <c r="K468" s="4" t="s">
        <v>95</v>
      </c>
      <c r="L468" s="2" t="s">
        <v>373</v>
      </c>
      <c r="M468" s="2" t="s">
        <v>392</v>
      </c>
      <c r="N468" s="4" t="s">
        <v>574</v>
      </c>
      <c r="O468" s="4" t="s">
        <v>164</v>
      </c>
      <c r="P468" s="4" t="s">
        <v>99</v>
      </c>
      <c r="Q468" s="152">
        <v>8</v>
      </c>
      <c r="R468" s="152">
        <v>3.7589999999999999</v>
      </c>
      <c r="S468" s="152">
        <v>201</v>
      </c>
      <c r="U468" s="152">
        <v>0.06</v>
      </c>
      <c r="V468" s="152">
        <v>1.9999999999999999E-6</v>
      </c>
      <c r="W468" s="166">
        <v>6.2256466311430203E-6</v>
      </c>
      <c r="X468" s="166">
        <v>8.1952929609513495E-7</v>
      </c>
    </row>
    <row r="469" spans="1:24">
      <c r="A469" s="4" t="s">
        <v>144</v>
      </c>
      <c r="B469" s="4">
        <v>969</v>
      </c>
      <c r="C469" s="4" t="s">
        <v>2044</v>
      </c>
      <c r="D469" s="4" t="s">
        <v>2045</v>
      </c>
      <c r="E469" s="4" t="s">
        <v>1376</v>
      </c>
      <c r="F469" s="4" t="s">
        <v>2046</v>
      </c>
      <c r="G469" s="4" t="s">
        <v>2047</v>
      </c>
      <c r="H469" s="4" t="s">
        <v>367</v>
      </c>
      <c r="I469" s="4" t="s">
        <v>975</v>
      </c>
      <c r="J469" s="4" t="s">
        <v>94</v>
      </c>
      <c r="K469" s="4" t="s">
        <v>95</v>
      </c>
      <c r="L469" s="2" t="s">
        <v>373</v>
      </c>
      <c r="M469" s="2" t="s">
        <v>390</v>
      </c>
      <c r="N469" s="4" t="s">
        <v>578</v>
      </c>
      <c r="O469" s="4" t="s">
        <v>164</v>
      </c>
      <c r="P469" s="4" t="s">
        <v>99</v>
      </c>
      <c r="Q469" s="152">
        <v>5928</v>
      </c>
      <c r="R469" s="152">
        <v>3.7589999999999999</v>
      </c>
      <c r="S469" s="152">
        <v>100</v>
      </c>
      <c r="U469" s="152">
        <v>22.283000000000001</v>
      </c>
      <c r="V469" s="152">
        <v>0</v>
      </c>
      <c r="W469" s="166">
        <v>2.2951264446154098E-3</v>
      </c>
      <c r="X469" s="166">
        <v>3.0212497930671398E-4</v>
      </c>
    </row>
    <row r="470" spans="1:24">
      <c r="A470" s="4" t="s">
        <v>144</v>
      </c>
      <c r="B470" s="4">
        <v>969</v>
      </c>
      <c r="C470" s="4" t="s">
        <v>2048</v>
      </c>
      <c r="D470" s="4" t="s">
        <v>2049</v>
      </c>
      <c r="E470" s="4" t="s">
        <v>361</v>
      </c>
      <c r="F470" s="4" t="s">
        <v>2048</v>
      </c>
      <c r="G470" s="4" t="s">
        <v>2050</v>
      </c>
      <c r="H470" s="4" t="s">
        <v>367</v>
      </c>
      <c r="I470" s="4" t="s">
        <v>975</v>
      </c>
      <c r="J470" s="4" t="s">
        <v>94</v>
      </c>
      <c r="K470" s="4" t="s">
        <v>95</v>
      </c>
      <c r="L470" s="2" t="s">
        <v>373</v>
      </c>
      <c r="M470" s="2" t="s">
        <v>32</v>
      </c>
      <c r="N470" s="4" t="s">
        <v>574</v>
      </c>
      <c r="O470" s="4" t="s">
        <v>164</v>
      </c>
      <c r="P470" s="4" t="s">
        <v>99</v>
      </c>
      <c r="Q470" s="152">
        <v>112</v>
      </c>
      <c r="R470" s="152">
        <v>3.7589999999999999</v>
      </c>
      <c r="S470" s="152">
        <v>24985</v>
      </c>
      <c r="T470" s="150">
        <v>2.1000000000000001E-2</v>
      </c>
      <c r="U470" s="152">
        <v>105.268</v>
      </c>
      <c r="V470" s="152">
        <v>0</v>
      </c>
      <c r="W470" s="166">
        <v>1.0842356946816499E-2</v>
      </c>
      <c r="X470" s="166">
        <v>1.4272620473168901E-3</v>
      </c>
    </row>
    <row r="471" spans="1:24">
      <c r="A471" s="4" t="s">
        <v>144</v>
      </c>
      <c r="B471" s="4">
        <v>969</v>
      </c>
      <c r="C471" s="4" t="s">
        <v>2051</v>
      </c>
      <c r="D471" s="4" t="s">
        <v>2052</v>
      </c>
      <c r="E471" s="4" t="s">
        <v>361</v>
      </c>
      <c r="F471" s="4" t="s">
        <v>2053</v>
      </c>
      <c r="G471" s="4" t="s">
        <v>2054</v>
      </c>
      <c r="H471" s="4" t="s">
        <v>367</v>
      </c>
      <c r="I471" s="4" t="s">
        <v>975</v>
      </c>
      <c r="J471" s="4" t="s">
        <v>94</v>
      </c>
      <c r="K471" s="4" t="s">
        <v>95</v>
      </c>
      <c r="L471" s="2" t="s">
        <v>373</v>
      </c>
      <c r="M471" s="2" t="s">
        <v>390</v>
      </c>
      <c r="N471" s="4" t="s">
        <v>2043</v>
      </c>
      <c r="O471" s="4" t="s">
        <v>164</v>
      </c>
      <c r="P471" s="4" t="s">
        <v>99</v>
      </c>
      <c r="Q471" s="152">
        <v>76</v>
      </c>
      <c r="R471" s="152">
        <v>3.7589999999999999</v>
      </c>
      <c r="S471" s="152">
        <v>37363</v>
      </c>
      <c r="U471" s="152">
        <v>106.74</v>
      </c>
      <c r="V471" s="152">
        <v>0</v>
      </c>
      <c r="W471" s="166">
        <v>1.09939499166879E-2</v>
      </c>
      <c r="X471" s="166">
        <v>1.4472173848508699E-3</v>
      </c>
    </row>
    <row r="472" spans="1:24">
      <c r="A472" s="4" t="s">
        <v>144</v>
      </c>
      <c r="B472" s="4">
        <v>969</v>
      </c>
      <c r="C472" s="4" t="s">
        <v>2055</v>
      </c>
      <c r="D472" s="4" t="s">
        <v>2056</v>
      </c>
      <c r="E472" s="4" t="s">
        <v>361</v>
      </c>
      <c r="F472" s="4" t="s">
        <v>2055</v>
      </c>
      <c r="G472" s="4" t="s">
        <v>2057</v>
      </c>
      <c r="H472" s="4" t="s">
        <v>367</v>
      </c>
      <c r="I472" s="4" t="s">
        <v>975</v>
      </c>
      <c r="J472" s="4" t="s">
        <v>94</v>
      </c>
      <c r="K472" s="4" t="s">
        <v>95</v>
      </c>
      <c r="L472" s="2" t="s">
        <v>373</v>
      </c>
      <c r="M472" s="2" t="s">
        <v>392</v>
      </c>
      <c r="N472" s="4" t="s">
        <v>590</v>
      </c>
      <c r="O472" s="4" t="s">
        <v>164</v>
      </c>
      <c r="P472" s="4" t="s">
        <v>99</v>
      </c>
      <c r="Q472" s="152">
        <v>1500</v>
      </c>
      <c r="R472" s="152">
        <v>3.7589999999999999</v>
      </c>
      <c r="S472" s="152">
        <v>2949</v>
      </c>
      <c r="U472" s="152">
        <v>166.279</v>
      </c>
      <c r="V472" s="152">
        <v>3.9999999999999998E-6</v>
      </c>
      <c r="W472" s="166">
        <v>1.7126335741829101E-2</v>
      </c>
      <c r="X472" s="166">
        <v>2.2544700505452899E-3</v>
      </c>
    </row>
    <row r="473" spans="1:24">
      <c r="A473" s="4" t="s">
        <v>144</v>
      </c>
      <c r="B473" s="4">
        <v>969</v>
      </c>
      <c r="C473" s="4" t="s">
        <v>2062</v>
      </c>
      <c r="D473" s="4" t="s">
        <v>2063</v>
      </c>
      <c r="E473" s="4" t="s">
        <v>361</v>
      </c>
      <c r="F473" s="4" t="s">
        <v>2064</v>
      </c>
      <c r="G473" s="4" t="s">
        <v>2065</v>
      </c>
      <c r="H473" s="4" t="s">
        <v>367</v>
      </c>
      <c r="I473" s="4" t="s">
        <v>975</v>
      </c>
      <c r="J473" s="4" t="s">
        <v>94</v>
      </c>
      <c r="K473" s="4" t="s">
        <v>330</v>
      </c>
      <c r="L473" s="2" t="s">
        <v>373</v>
      </c>
      <c r="M473" s="2" t="s">
        <v>412</v>
      </c>
      <c r="N473" s="4" t="s">
        <v>2066</v>
      </c>
      <c r="O473" s="4" t="s">
        <v>164</v>
      </c>
      <c r="P473" s="4" t="s">
        <v>1219</v>
      </c>
      <c r="Q473" s="152">
        <v>32</v>
      </c>
      <c r="R473" s="152">
        <v>4.0199999999999996</v>
      </c>
      <c r="S473" s="152">
        <v>71360</v>
      </c>
      <c r="U473" s="152">
        <v>91.802000000000007</v>
      </c>
      <c r="V473" s="152">
        <v>0</v>
      </c>
      <c r="W473" s="166">
        <v>9.4553710283069893E-3</v>
      </c>
      <c r="X473" s="166">
        <v>1.24468252412265E-3</v>
      </c>
    </row>
    <row r="474" spans="1:24">
      <c r="A474" s="4" t="s">
        <v>144</v>
      </c>
      <c r="B474" s="4">
        <v>969</v>
      </c>
      <c r="C474" s="4" t="s">
        <v>2067</v>
      </c>
      <c r="D474" s="4" t="s">
        <v>2068</v>
      </c>
      <c r="E474" s="4" t="s">
        <v>361</v>
      </c>
      <c r="F474" s="4" t="s">
        <v>2069</v>
      </c>
      <c r="G474" s="4" t="s">
        <v>2070</v>
      </c>
      <c r="H474" s="4" t="s">
        <v>367</v>
      </c>
      <c r="I474" s="4" t="s">
        <v>975</v>
      </c>
      <c r="J474" s="4" t="s">
        <v>94</v>
      </c>
      <c r="K474" s="4" t="s">
        <v>95</v>
      </c>
      <c r="L474" s="2" t="s">
        <v>373</v>
      </c>
      <c r="M474" s="2" t="s">
        <v>390</v>
      </c>
      <c r="N474" s="4" t="s">
        <v>2071</v>
      </c>
      <c r="O474" s="4" t="s">
        <v>164</v>
      </c>
      <c r="P474" s="4" t="s">
        <v>99</v>
      </c>
      <c r="Q474" s="152">
        <v>127</v>
      </c>
      <c r="R474" s="152">
        <v>3.7589999999999999</v>
      </c>
      <c r="S474" s="152">
        <v>44116</v>
      </c>
      <c r="U474" s="152">
        <v>210.607</v>
      </c>
      <c r="V474" s="152">
        <v>0</v>
      </c>
      <c r="W474" s="166">
        <v>2.16919338314659E-2</v>
      </c>
      <c r="X474" s="166">
        <v>2.8554745100557799E-3</v>
      </c>
    </row>
    <row r="475" spans="1:24">
      <c r="A475" s="4" t="s">
        <v>144</v>
      </c>
      <c r="B475" s="4">
        <v>969</v>
      </c>
      <c r="C475" s="4" t="s">
        <v>2076</v>
      </c>
      <c r="D475" s="4" t="s">
        <v>2077</v>
      </c>
      <c r="E475" s="4" t="s">
        <v>361</v>
      </c>
      <c r="F475" s="4" t="s">
        <v>2078</v>
      </c>
      <c r="G475" s="4" t="s">
        <v>2079</v>
      </c>
      <c r="H475" s="4" t="s">
        <v>367</v>
      </c>
      <c r="I475" s="4" t="s">
        <v>975</v>
      </c>
      <c r="J475" s="4" t="s">
        <v>94</v>
      </c>
      <c r="K475" s="4" t="s">
        <v>95</v>
      </c>
      <c r="L475" s="2" t="s">
        <v>373</v>
      </c>
      <c r="M475" s="2" t="s">
        <v>392</v>
      </c>
      <c r="N475" s="4" t="s">
        <v>588</v>
      </c>
      <c r="O475" s="4" t="s">
        <v>164</v>
      </c>
      <c r="P475" s="4" t="s">
        <v>99</v>
      </c>
      <c r="Q475" s="152">
        <v>327</v>
      </c>
      <c r="R475" s="152">
        <v>3.7589999999999999</v>
      </c>
      <c r="S475" s="152">
        <v>44695</v>
      </c>
      <c r="U475" s="152">
        <v>549.38800000000003</v>
      </c>
      <c r="V475" s="152">
        <v>0</v>
      </c>
      <c r="W475" s="166">
        <v>5.65854945960899E-2</v>
      </c>
      <c r="X475" s="166">
        <v>7.4487797498096198E-3</v>
      </c>
    </row>
    <row r="476" spans="1:24">
      <c r="A476" s="4" t="s">
        <v>144</v>
      </c>
      <c r="B476" s="4">
        <v>969</v>
      </c>
      <c r="C476" s="4" t="s">
        <v>2080</v>
      </c>
      <c r="D476" s="4" t="s">
        <v>2081</v>
      </c>
      <c r="E476" s="4" t="s">
        <v>361</v>
      </c>
      <c r="F476" s="4" t="s">
        <v>2080</v>
      </c>
      <c r="G476" s="4" t="s">
        <v>2082</v>
      </c>
      <c r="H476" s="4" t="s">
        <v>367</v>
      </c>
      <c r="I476" s="4" t="s">
        <v>975</v>
      </c>
      <c r="J476" s="4" t="s">
        <v>94</v>
      </c>
      <c r="K476" s="4" t="s">
        <v>95</v>
      </c>
      <c r="L476" s="2" t="s">
        <v>373</v>
      </c>
      <c r="M476" s="2" t="s">
        <v>392</v>
      </c>
      <c r="N476" s="4" t="s">
        <v>578</v>
      </c>
      <c r="O476" s="4" t="s">
        <v>164</v>
      </c>
      <c r="P476" s="4" t="s">
        <v>99</v>
      </c>
      <c r="Q476" s="152">
        <v>323</v>
      </c>
      <c r="R476" s="152">
        <v>3.7589999999999999</v>
      </c>
      <c r="S476" s="152">
        <v>11875</v>
      </c>
      <c r="U476" s="152">
        <v>144.18100000000001</v>
      </c>
      <c r="V476" s="152">
        <v>9.9999999999999995E-7</v>
      </c>
      <c r="W476" s="166">
        <v>1.48502772758569E-2</v>
      </c>
      <c r="X476" s="166">
        <v>1.9548551345366298E-3</v>
      </c>
    </row>
    <row r="477" spans="1:24">
      <c r="A477" s="4" t="s">
        <v>144</v>
      </c>
      <c r="B477" s="4">
        <v>969</v>
      </c>
      <c r="C477" s="4" t="s">
        <v>2083</v>
      </c>
      <c r="D477" s="4" t="s">
        <v>2084</v>
      </c>
      <c r="E477" s="4" t="s">
        <v>361</v>
      </c>
      <c r="F477" s="4" t="s">
        <v>2085</v>
      </c>
      <c r="G477" s="4" t="s">
        <v>2086</v>
      </c>
      <c r="H477" s="4" t="s">
        <v>367</v>
      </c>
      <c r="I477" s="4" t="s">
        <v>975</v>
      </c>
      <c r="J477" s="4" t="s">
        <v>94</v>
      </c>
      <c r="K477" s="4" t="s">
        <v>95</v>
      </c>
      <c r="L477" s="2" t="s">
        <v>373</v>
      </c>
      <c r="M477" s="2" t="s">
        <v>392</v>
      </c>
      <c r="N477" s="4" t="s">
        <v>593</v>
      </c>
      <c r="O477" s="4" t="s">
        <v>164</v>
      </c>
      <c r="P477" s="4" t="s">
        <v>99</v>
      </c>
      <c r="Q477" s="152">
        <v>70</v>
      </c>
      <c r="R477" s="152">
        <v>3.7589999999999999</v>
      </c>
      <c r="S477" s="152">
        <v>67488</v>
      </c>
      <c r="U477" s="152">
        <v>177.58099999999999</v>
      </c>
      <c r="V477" s="152">
        <v>0</v>
      </c>
      <c r="W477" s="166">
        <v>1.8290392281704398E-2</v>
      </c>
      <c r="X477" s="166">
        <v>2.4077036812442699E-3</v>
      </c>
    </row>
    <row r="478" spans="1:24">
      <c r="A478" s="4" t="s">
        <v>144</v>
      </c>
      <c r="B478" s="4">
        <v>969</v>
      </c>
      <c r="C478" s="4" t="s">
        <v>2087</v>
      </c>
      <c r="D478" s="4" t="s">
        <v>2088</v>
      </c>
      <c r="E478" s="4" t="s">
        <v>361</v>
      </c>
      <c r="F478" s="4" t="s">
        <v>2087</v>
      </c>
      <c r="G478" s="4" t="s">
        <v>2089</v>
      </c>
      <c r="H478" s="4" t="s">
        <v>367</v>
      </c>
      <c r="I478" s="4" t="s">
        <v>975</v>
      </c>
      <c r="J478" s="4" t="s">
        <v>94</v>
      </c>
      <c r="K478" s="4" t="s">
        <v>95</v>
      </c>
      <c r="L478" s="2" t="s">
        <v>373</v>
      </c>
      <c r="M478" s="2" t="s">
        <v>390</v>
      </c>
      <c r="N478" s="4" t="s">
        <v>559</v>
      </c>
      <c r="O478" s="4" t="s">
        <v>164</v>
      </c>
      <c r="P478" s="4" t="s">
        <v>99</v>
      </c>
      <c r="Q478" s="152">
        <v>310</v>
      </c>
      <c r="R478" s="152">
        <v>3.7589999999999999</v>
      </c>
      <c r="S478" s="152">
        <v>7537</v>
      </c>
      <c r="T478" s="150">
        <v>0.115</v>
      </c>
      <c r="U478" s="152">
        <v>88.259</v>
      </c>
      <c r="V478" s="152">
        <v>0</v>
      </c>
      <c r="W478" s="166">
        <v>9.0904507158743406E-3</v>
      </c>
      <c r="X478" s="166">
        <v>1.1966452832547301E-3</v>
      </c>
    </row>
    <row r="479" spans="1:24">
      <c r="A479" s="4" t="s">
        <v>144</v>
      </c>
      <c r="B479" s="4">
        <v>969</v>
      </c>
      <c r="C479" s="4" t="s">
        <v>2094</v>
      </c>
      <c r="D479" s="4" t="s">
        <v>2095</v>
      </c>
      <c r="E479" s="4" t="s">
        <v>361</v>
      </c>
      <c r="F479" s="4" t="s">
        <v>2096</v>
      </c>
      <c r="G479" s="4" t="s">
        <v>2097</v>
      </c>
      <c r="H479" s="4" t="s">
        <v>367</v>
      </c>
      <c r="I479" s="4" t="s">
        <v>975</v>
      </c>
      <c r="J479" s="4" t="s">
        <v>94</v>
      </c>
      <c r="K479" s="4" t="s">
        <v>290</v>
      </c>
      <c r="L479" s="2" t="s">
        <v>373</v>
      </c>
      <c r="M479" s="2" t="s">
        <v>412</v>
      </c>
      <c r="N479" s="4" t="s">
        <v>578</v>
      </c>
      <c r="O479" s="4" t="s">
        <v>164</v>
      </c>
      <c r="P479" s="4" t="s">
        <v>99</v>
      </c>
      <c r="Q479" s="152">
        <v>442</v>
      </c>
      <c r="R479" s="152">
        <v>3.7589999999999999</v>
      </c>
      <c r="S479" s="152">
        <v>14274</v>
      </c>
      <c r="U479" s="152">
        <v>237.15899999999999</v>
      </c>
      <c r="V479" s="152">
        <v>0</v>
      </c>
      <c r="W479" s="166">
        <v>2.4426789157784502E-2</v>
      </c>
      <c r="X479" s="166">
        <v>3.2154843521319601E-3</v>
      </c>
    </row>
    <row r="480" spans="1:24">
      <c r="A480" s="4" t="s">
        <v>144</v>
      </c>
      <c r="B480" s="4">
        <v>969</v>
      </c>
      <c r="C480" s="4" t="s">
        <v>2098</v>
      </c>
      <c r="D480" s="4" t="s">
        <v>2099</v>
      </c>
      <c r="E480" s="4" t="s">
        <v>361</v>
      </c>
      <c r="F480" s="4" t="s">
        <v>2100</v>
      </c>
      <c r="G480" s="4" t="s">
        <v>2101</v>
      </c>
      <c r="H480" s="4" t="s">
        <v>367</v>
      </c>
      <c r="I480" s="4" t="s">
        <v>975</v>
      </c>
      <c r="J480" s="4" t="s">
        <v>94</v>
      </c>
      <c r="K480" s="4" t="s">
        <v>95</v>
      </c>
      <c r="L480" s="2" t="s">
        <v>373</v>
      </c>
      <c r="M480" s="2" t="s">
        <v>392</v>
      </c>
      <c r="N480" s="4" t="s">
        <v>592</v>
      </c>
      <c r="O480" s="4" t="s">
        <v>164</v>
      </c>
      <c r="P480" s="4" t="s">
        <v>99</v>
      </c>
      <c r="Q480" s="152">
        <v>660</v>
      </c>
      <c r="R480" s="152">
        <v>3.7589999999999999</v>
      </c>
      <c r="S480" s="152">
        <v>12354</v>
      </c>
      <c r="U480" s="152">
        <v>306.495</v>
      </c>
      <c r="V480" s="152">
        <v>0</v>
      </c>
      <c r="W480" s="166">
        <v>3.1568209824348901E-2</v>
      </c>
      <c r="X480" s="166">
        <v>4.1555639613265801E-3</v>
      </c>
    </row>
    <row r="481" spans="1:24">
      <c r="A481" s="4" t="s">
        <v>144</v>
      </c>
      <c r="B481" s="4">
        <v>969</v>
      </c>
      <c r="C481" s="4" t="s">
        <v>2102</v>
      </c>
      <c r="D481" s="4" t="s">
        <v>2103</v>
      </c>
      <c r="E481" s="4" t="s">
        <v>361</v>
      </c>
      <c r="F481" s="4" t="s">
        <v>2104</v>
      </c>
      <c r="G481" s="4" t="s">
        <v>2105</v>
      </c>
      <c r="H481" s="4" t="s">
        <v>367</v>
      </c>
      <c r="I481" s="4" t="s">
        <v>975</v>
      </c>
      <c r="J481" s="4" t="s">
        <v>94</v>
      </c>
      <c r="K481" s="4" t="s">
        <v>95</v>
      </c>
      <c r="L481" s="2" t="s">
        <v>373</v>
      </c>
      <c r="M481" s="2" t="s">
        <v>392</v>
      </c>
      <c r="N481" s="4" t="s">
        <v>578</v>
      </c>
      <c r="O481" s="4" t="s">
        <v>164</v>
      </c>
      <c r="P481" s="4" t="s">
        <v>99</v>
      </c>
      <c r="Q481" s="152">
        <v>329</v>
      </c>
      <c r="R481" s="152">
        <v>3.7589999999999999</v>
      </c>
      <c r="S481" s="152">
        <v>578</v>
      </c>
      <c r="U481" s="152">
        <v>7.1479999999999997</v>
      </c>
      <c r="V481" s="152">
        <v>1.0000000000000001E-5</v>
      </c>
      <c r="W481" s="166">
        <v>7.3624466086531001E-4</v>
      </c>
      <c r="X481" s="166">
        <v>9.6917493783608898E-5</v>
      </c>
    </row>
    <row r="482" spans="1:24">
      <c r="A482" s="4" t="s">
        <v>144</v>
      </c>
      <c r="B482" s="4">
        <v>969</v>
      </c>
      <c r="C482" s="4" t="s">
        <v>2106</v>
      </c>
      <c r="D482" s="4" t="s">
        <v>2107</v>
      </c>
      <c r="E482" s="4" t="s">
        <v>361</v>
      </c>
      <c r="F482" s="4" t="s">
        <v>2108</v>
      </c>
      <c r="G482" s="4" t="s">
        <v>2109</v>
      </c>
      <c r="H482" s="4" t="s">
        <v>367</v>
      </c>
      <c r="I482" s="4" t="s">
        <v>975</v>
      </c>
      <c r="J482" s="4" t="s">
        <v>94</v>
      </c>
      <c r="K482" s="4" t="s">
        <v>95</v>
      </c>
      <c r="L482" s="2" t="s">
        <v>373</v>
      </c>
      <c r="M482" s="2" t="s">
        <v>390</v>
      </c>
      <c r="N482" s="4" t="s">
        <v>612</v>
      </c>
      <c r="O482" s="4" t="s">
        <v>164</v>
      </c>
      <c r="P482" s="4" t="s">
        <v>99</v>
      </c>
      <c r="Q482" s="152">
        <v>360</v>
      </c>
      <c r="R482" s="152">
        <v>3.7589999999999999</v>
      </c>
      <c r="S482" s="152">
        <v>11231</v>
      </c>
      <c r="U482" s="152">
        <v>151.982</v>
      </c>
      <c r="V482" s="152">
        <v>0</v>
      </c>
      <c r="W482" s="166">
        <v>1.5653784473365798E-2</v>
      </c>
      <c r="X482" s="166">
        <v>2.06062690845771E-3</v>
      </c>
    </row>
    <row r="483" spans="1:24">
      <c r="A483" s="4" t="s">
        <v>144</v>
      </c>
      <c r="B483" s="4">
        <v>969</v>
      </c>
      <c r="C483" s="4" t="s">
        <v>2210</v>
      </c>
      <c r="D483" s="4" t="s">
        <v>2211</v>
      </c>
      <c r="E483" s="4" t="s">
        <v>361</v>
      </c>
      <c r="F483" s="4" t="s">
        <v>2210</v>
      </c>
      <c r="G483" s="4" t="s">
        <v>2212</v>
      </c>
      <c r="H483" s="4" t="s">
        <v>367</v>
      </c>
      <c r="I483" s="4" t="s">
        <v>975</v>
      </c>
      <c r="J483" s="4" t="s">
        <v>94</v>
      </c>
      <c r="K483" s="4" t="s">
        <v>330</v>
      </c>
      <c r="L483" s="2" t="s">
        <v>373</v>
      </c>
      <c r="M483" s="2" t="s">
        <v>412</v>
      </c>
      <c r="N483" s="4" t="s">
        <v>2043</v>
      </c>
      <c r="O483" s="4" t="s">
        <v>164</v>
      </c>
      <c r="P483" s="4" t="s">
        <v>1219</v>
      </c>
      <c r="Q483" s="152">
        <v>175</v>
      </c>
      <c r="R483" s="152">
        <v>4.0199999999999996</v>
      </c>
      <c r="S483" s="152">
        <v>19740</v>
      </c>
      <c r="U483" s="152">
        <v>138.87799999999999</v>
      </c>
      <c r="V483" s="152">
        <v>0</v>
      </c>
      <c r="W483" s="166">
        <v>1.43040477934446E-2</v>
      </c>
      <c r="X483" s="166">
        <v>1.88295078632186E-3</v>
      </c>
    </row>
    <row r="484" spans="1:24">
      <c r="A484" s="4" t="s">
        <v>144</v>
      </c>
      <c r="B484" s="4">
        <v>969</v>
      </c>
      <c r="C484" s="4" t="s">
        <v>2110</v>
      </c>
      <c r="D484" s="4" t="s">
        <v>2111</v>
      </c>
      <c r="E484" s="4" t="s">
        <v>361</v>
      </c>
      <c r="F484" s="4" t="s">
        <v>2112</v>
      </c>
      <c r="G484" s="4" t="s">
        <v>2113</v>
      </c>
      <c r="H484" s="4" t="s">
        <v>367</v>
      </c>
      <c r="I484" s="4" t="s">
        <v>975</v>
      </c>
      <c r="J484" s="4" t="s">
        <v>94</v>
      </c>
      <c r="K484" s="4" t="s">
        <v>95</v>
      </c>
      <c r="L484" s="2" t="s">
        <v>373</v>
      </c>
      <c r="M484" s="2" t="s">
        <v>390</v>
      </c>
      <c r="N484" s="4" t="s">
        <v>530</v>
      </c>
      <c r="O484" s="4" t="s">
        <v>164</v>
      </c>
      <c r="P484" s="4" t="s">
        <v>99</v>
      </c>
      <c r="Q484" s="152">
        <v>727</v>
      </c>
      <c r="R484" s="152">
        <v>3.7589999999999999</v>
      </c>
      <c r="S484" s="152">
        <v>4718</v>
      </c>
      <c r="T484" s="150">
        <v>0.14399999999999999</v>
      </c>
      <c r="U484" s="152">
        <v>129.47300000000001</v>
      </c>
      <c r="V484" s="152">
        <v>9.9999999999999995E-7</v>
      </c>
      <c r="W484" s="166">
        <v>1.33353735534226E-2</v>
      </c>
      <c r="X484" s="166">
        <v>1.7554368162710199E-3</v>
      </c>
    </row>
    <row r="485" spans="1:24">
      <c r="A485" s="4" t="s">
        <v>144</v>
      </c>
      <c r="B485" s="4">
        <v>969</v>
      </c>
      <c r="C485" s="4" t="s">
        <v>2114</v>
      </c>
      <c r="D485" s="4" t="s">
        <v>2115</v>
      </c>
      <c r="E485" s="4" t="s">
        <v>361</v>
      </c>
      <c r="F485" s="4" t="s">
        <v>2114</v>
      </c>
      <c r="G485" s="4" t="s">
        <v>2116</v>
      </c>
      <c r="H485" s="4" t="s">
        <v>367</v>
      </c>
      <c r="I485" s="4" t="s">
        <v>975</v>
      </c>
      <c r="J485" s="4" t="s">
        <v>94</v>
      </c>
      <c r="K485" s="4" t="s">
        <v>95</v>
      </c>
      <c r="L485" s="2" t="s">
        <v>373</v>
      </c>
      <c r="M485" s="2" t="s">
        <v>392</v>
      </c>
      <c r="N485" s="4" t="s">
        <v>559</v>
      </c>
      <c r="O485" s="4" t="s">
        <v>164</v>
      </c>
      <c r="P485" s="4" t="s">
        <v>99</v>
      </c>
      <c r="Q485" s="152">
        <v>1810</v>
      </c>
      <c r="R485" s="152">
        <v>3.7589999999999999</v>
      </c>
      <c r="S485" s="152">
        <v>1476</v>
      </c>
      <c r="U485" s="152">
        <v>100.42400000000001</v>
      </c>
      <c r="V485" s="152">
        <v>1.5E-5</v>
      </c>
      <c r="W485" s="166">
        <v>1.03434008170998E-2</v>
      </c>
      <c r="X485" s="166">
        <v>1.3615806506691E-3</v>
      </c>
    </row>
    <row r="486" spans="1:24">
      <c r="A486" s="4" t="s">
        <v>144</v>
      </c>
      <c r="B486" s="4">
        <v>969</v>
      </c>
      <c r="C486" s="4" t="s">
        <v>2117</v>
      </c>
      <c r="D486" s="4" t="s">
        <v>2118</v>
      </c>
      <c r="E486" s="4" t="s">
        <v>361</v>
      </c>
      <c r="F486" s="4" t="s">
        <v>2119</v>
      </c>
      <c r="G486" s="4" t="s">
        <v>2120</v>
      </c>
      <c r="H486" s="4" t="s">
        <v>367</v>
      </c>
      <c r="I486" s="4" t="s">
        <v>975</v>
      </c>
      <c r="J486" s="4" t="s">
        <v>94</v>
      </c>
      <c r="K486" s="4" t="s">
        <v>317</v>
      </c>
      <c r="L486" s="2" t="s">
        <v>373</v>
      </c>
      <c r="M486" s="2" t="s">
        <v>390</v>
      </c>
      <c r="N486" s="4" t="s">
        <v>592</v>
      </c>
      <c r="O486" s="4" t="s">
        <v>164</v>
      </c>
      <c r="P486" s="4" t="s">
        <v>99</v>
      </c>
      <c r="Q486" s="152">
        <v>500</v>
      </c>
      <c r="R486" s="152">
        <v>3.7589999999999999</v>
      </c>
      <c r="S486" s="152">
        <v>17381</v>
      </c>
      <c r="T486" s="150">
        <v>0.215</v>
      </c>
      <c r="U486" s="152">
        <v>327.483</v>
      </c>
      <c r="V486" s="152">
        <v>0</v>
      </c>
      <c r="W486" s="166">
        <v>3.3729863575330497E-2</v>
      </c>
      <c r="X486" s="166">
        <v>4.4401189131096502E-3</v>
      </c>
    </row>
    <row r="487" spans="1:24">
      <c r="A487" s="4" t="s">
        <v>144</v>
      </c>
      <c r="B487" s="4">
        <v>969</v>
      </c>
      <c r="C487" s="4" t="s">
        <v>2121</v>
      </c>
      <c r="D487" s="4" t="s">
        <v>2122</v>
      </c>
      <c r="E487" s="4" t="s">
        <v>361</v>
      </c>
      <c r="F487" s="4" t="s">
        <v>2121</v>
      </c>
      <c r="G487" s="4" t="s">
        <v>2123</v>
      </c>
      <c r="H487" s="4" t="s">
        <v>367</v>
      </c>
      <c r="I487" s="4" t="s">
        <v>975</v>
      </c>
      <c r="J487" s="4" t="s">
        <v>94</v>
      </c>
      <c r="K487" s="4" t="s">
        <v>95</v>
      </c>
      <c r="L487" s="2" t="s">
        <v>373</v>
      </c>
      <c r="M487" s="2" t="s">
        <v>392</v>
      </c>
      <c r="N487" s="4" t="s">
        <v>556</v>
      </c>
      <c r="O487" s="4" t="s">
        <v>164</v>
      </c>
      <c r="P487" s="4" t="s">
        <v>99</v>
      </c>
      <c r="Q487" s="152">
        <v>229</v>
      </c>
      <c r="R487" s="152">
        <v>3.7589999999999999</v>
      </c>
      <c r="S487" s="152">
        <v>19788</v>
      </c>
      <c r="U487" s="152">
        <v>170.33699999999999</v>
      </c>
      <c r="V487" s="152">
        <v>0</v>
      </c>
      <c r="W487" s="166">
        <v>1.75442903470064E-2</v>
      </c>
      <c r="X487" s="166">
        <v>2.30948859940851E-3</v>
      </c>
    </row>
    <row r="488" spans="1:24">
      <c r="A488" s="4" t="s">
        <v>144</v>
      </c>
      <c r="B488" s="4">
        <v>969</v>
      </c>
      <c r="C488" s="4" t="s">
        <v>2124</v>
      </c>
      <c r="D488" s="4" t="s">
        <v>2125</v>
      </c>
      <c r="E488" s="4" t="s">
        <v>361</v>
      </c>
      <c r="F488" s="4" t="s">
        <v>2126</v>
      </c>
      <c r="G488" s="4" t="s">
        <v>2127</v>
      </c>
      <c r="H488" s="4" t="s">
        <v>367</v>
      </c>
      <c r="I488" s="4" t="s">
        <v>975</v>
      </c>
      <c r="J488" s="4" t="s">
        <v>94</v>
      </c>
      <c r="K488" s="4" t="s">
        <v>321</v>
      </c>
      <c r="L488" s="2" t="s">
        <v>373</v>
      </c>
      <c r="M488" s="2" t="s">
        <v>440</v>
      </c>
      <c r="N488" s="4" t="s">
        <v>612</v>
      </c>
      <c r="O488" s="4" t="s">
        <v>164</v>
      </c>
      <c r="P488" s="4" t="s">
        <v>1219</v>
      </c>
      <c r="Q488" s="152">
        <v>1226</v>
      </c>
      <c r="R488" s="152">
        <v>4.0199999999999996</v>
      </c>
      <c r="S488" s="152">
        <v>560</v>
      </c>
      <c r="U488" s="152">
        <v>27.600999999999999</v>
      </c>
      <c r="V488" s="152">
        <v>6.9399999999999996E-4</v>
      </c>
      <c r="W488" s="166">
        <v>2.8428389211368598E-3</v>
      </c>
      <c r="X488" s="166">
        <v>3.7422454533424102E-4</v>
      </c>
    </row>
    <row r="489" spans="1:24">
      <c r="A489" s="4" t="s">
        <v>144</v>
      </c>
      <c r="B489" s="4">
        <v>969</v>
      </c>
      <c r="C489" s="4" t="s">
        <v>2128</v>
      </c>
      <c r="D489" s="4" t="s">
        <v>2129</v>
      </c>
      <c r="E489" s="4" t="s">
        <v>361</v>
      </c>
      <c r="F489" s="4" t="s">
        <v>2130</v>
      </c>
      <c r="G489" s="4" t="s">
        <v>2131</v>
      </c>
      <c r="H489" s="4" t="s">
        <v>367</v>
      </c>
      <c r="I489" s="4" t="s">
        <v>975</v>
      </c>
      <c r="J489" s="4" t="s">
        <v>94</v>
      </c>
      <c r="K489" s="4" t="s">
        <v>95</v>
      </c>
      <c r="L489" s="2" t="s">
        <v>373</v>
      </c>
      <c r="M489" s="2" t="s">
        <v>390</v>
      </c>
      <c r="N489" s="4" t="s">
        <v>2071</v>
      </c>
      <c r="O489" s="4" t="s">
        <v>164</v>
      </c>
      <c r="P489" s="4" t="s">
        <v>99</v>
      </c>
      <c r="Q489" s="152">
        <v>226</v>
      </c>
      <c r="R489" s="152">
        <v>3.7589999999999999</v>
      </c>
      <c r="S489" s="152">
        <v>26247</v>
      </c>
      <c r="U489" s="152">
        <v>222.977</v>
      </c>
      <c r="V489" s="152">
        <v>0</v>
      </c>
      <c r="W489" s="166">
        <v>2.2966061971915499E-2</v>
      </c>
      <c r="X489" s="166">
        <v>3.0231977041179298E-3</v>
      </c>
    </row>
    <row r="490" spans="1:24">
      <c r="A490" s="4" t="s">
        <v>144</v>
      </c>
      <c r="B490" s="4">
        <v>969</v>
      </c>
      <c r="C490" s="4" t="s">
        <v>2132</v>
      </c>
      <c r="D490" s="4" t="s">
        <v>2133</v>
      </c>
      <c r="E490" s="4" t="s">
        <v>361</v>
      </c>
      <c r="F490" s="4" t="s">
        <v>2134</v>
      </c>
      <c r="G490" s="4" t="s">
        <v>2135</v>
      </c>
      <c r="H490" s="4" t="s">
        <v>367</v>
      </c>
      <c r="I490" s="4" t="s">
        <v>975</v>
      </c>
      <c r="J490" s="4" t="s">
        <v>94</v>
      </c>
      <c r="K490" s="4" t="s">
        <v>95</v>
      </c>
      <c r="L490" s="2" t="s">
        <v>373</v>
      </c>
      <c r="M490" s="2" t="s">
        <v>390</v>
      </c>
      <c r="N490" s="4" t="s">
        <v>593</v>
      </c>
      <c r="O490" s="4" t="s">
        <v>164</v>
      </c>
      <c r="P490" s="4" t="s">
        <v>99</v>
      </c>
      <c r="Q490" s="152">
        <v>314</v>
      </c>
      <c r="R490" s="152">
        <v>3.7589999999999999</v>
      </c>
      <c r="S490" s="152">
        <v>9929</v>
      </c>
      <c r="U490" s="152">
        <v>117.19499999999999</v>
      </c>
      <c r="V490" s="152">
        <v>0</v>
      </c>
      <c r="W490" s="166">
        <v>1.2070731253603501E-2</v>
      </c>
      <c r="X490" s="166">
        <v>1.58896231567884E-3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37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3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614</v>
      </c>
      <c r="N1" s="19" t="s">
        <v>150</v>
      </c>
      <c r="O1" s="19" t="s">
        <v>11</v>
      </c>
      <c r="P1" s="19" t="s">
        <v>17</v>
      </c>
      <c r="Q1" s="19" t="s">
        <v>18</v>
      </c>
      <c r="R1" s="19" t="s">
        <v>19</v>
      </c>
      <c r="S1" s="19" t="s">
        <v>16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20" t="s">
        <v>26</v>
      </c>
      <c r="B2" s="20">
        <v>1182</v>
      </c>
      <c r="C2" s="20" t="s">
        <v>1602</v>
      </c>
      <c r="D2" s="20" t="s">
        <v>1603</v>
      </c>
      <c r="E2" s="18" t="s">
        <v>1376</v>
      </c>
      <c r="F2" s="20" t="s">
        <v>1607</v>
      </c>
      <c r="G2" s="20" t="s">
        <v>1608</v>
      </c>
      <c r="H2" s="18" t="s">
        <v>367</v>
      </c>
      <c r="I2" s="20" t="s">
        <v>1025</v>
      </c>
      <c r="J2" s="18" t="s">
        <v>31</v>
      </c>
      <c r="K2" s="18" t="s">
        <v>95</v>
      </c>
      <c r="L2" s="18" t="s">
        <v>32</v>
      </c>
      <c r="M2" s="20" t="s">
        <v>1609</v>
      </c>
      <c r="N2" s="20" t="s">
        <v>164</v>
      </c>
      <c r="O2" s="18" t="s">
        <v>35</v>
      </c>
      <c r="P2" s="154">
        <v>5380</v>
      </c>
      <c r="Q2" s="153">
        <v>1</v>
      </c>
      <c r="R2" s="153">
        <v>10340</v>
      </c>
      <c r="S2" s="132"/>
      <c r="T2" s="153">
        <v>556.29200000000003</v>
      </c>
      <c r="U2" s="168">
        <v>8.4900000000000004E-4</v>
      </c>
      <c r="V2" s="168">
        <v>6.1987420018316799E-3</v>
      </c>
      <c r="W2" s="168">
        <v>1.4076133363410601E-3</v>
      </c>
    </row>
    <row r="3" spans="1:23">
      <c r="A3" s="20" t="s">
        <v>26</v>
      </c>
      <c r="B3" s="20">
        <v>1182</v>
      </c>
      <c r="C3" s="20" t="s">
        <v>1602</v>
      </c>
      <c r="D3" s="20" t="s">
        <v>1603</v>
      </c>
      <c r="E3" s="18" t="s">
        <v>1376</v>
      </c>
      <c r="F3" s="20" t="s">
        <v>1610</v>
      </c>
      <c r="G3" s="20" t="s">
        <v>1611</v>
      </c>
      <c r="H3" s="18" t="s">
        <v>367</v>
      </c>
      <c r="I3" s="20" t="s">
        <v>1024</v>
      </c>
      <c r="J3" s="18" t="s">
        <v>31</v>
      </c>
      <c r="K3" s="18" t="s">
        <v>31</v>
      </c>
      <c r="L3" s="18" t="s">
        <v>32</v>
      </c>
      <c r="M3" s="20" t="s">
        <v>1606</v>
      </c>
      <c r="N3" s="20" t="s">
        <v>164</v>
      </c>
      <c r="O3" s="18" t="s">
        <v>35</v>
      </c>
      <c r="P3" s="154">
        <v>20580</v>
      </c>
      <c r="Q3" s="153">
        <v>1</v>
      </c>
      <c r="R3" s="153">
        <v>3016</v>
      </c>
      <c r="S3" s="132"/>
      <c r="T3" s="153">
        <v>620.69299999999998</v>
      </c>
      <c r="U3" s="168">
        <v>5.1400000000000003E-4</v>
      </c>
      <c r="V3" s="168">
        <v>6.9163578293315597E-3</v>
      </c>
      <c r="W3" s="168">
        <v>1.57056988605062E-3</v>
      </c>
    </row>
    <row r="4" spans="1:23">
      <c r="A4" s="20" t="s">
        <v>26</v>
      </c>
      <c r="B4" s="20">
        <v>1182</v>
      </c>
      <c r="C4" s="20" t="s">
        <v>1602</v>
      </c>
      <c r="D4" s="20" t="s">
        <v>1603</v>
      </c>
      <c r="E4" s="18" t="s">
        <v>1376</v>
      </c>
      <c r="F4" s="20" t="s">
        <v>1612</v>
      </c>
      <c r="G4" s="20" t="s">
        <v>1613</v>
      </c>
      <c r="H4" s="18" t="s">
        <v>367</v>
      </c>
      <c r="I4" s="20" t="s">
        <v>1024</v>
      </c>
      <c r="J4" s="18" t="s">
        <v>31</v>
      </c>
      <c r="K4" s="18" t="s">
        <v>31</v>
      </c>
      <c r="L4" s="18" t="s">
        <v>32</v>
      </c>
      <c r="M4" s="20" t="s">
        <v>1606</v>
      </c>
      <c r="N4" s="20" t="s">
        <v>164</v>
      </c>
      <c r="O4" s="18" t="s">
        <v>35</v>
      </c>
      <c r="P4" s="154">
        <v>18700</v>
      </c>
      <c r="Q4" s="153">
        <v>1</v>
      </c>
      <c r="R4" s="153">
        <v>2671</v>
      </c>
      <c r="S4" s="132"/>
      <c r="T4" s="153">
        <v>499.47699999999998</v>
      </c>
      <c r="U4" s="168">
        <v>3.6900000000000002E-4</v>
      </c>
      <c r="V4" s="168">
        <v>5.5656544743567802E-3</v>
      </c>
      <c r="W4" s="168">
        <v>1.26385151394524E-3</v>
      </c>
    </row>
    <row r="5" spans="1:23">
      <c r="A5" s="20" t="s">
        <v>26</v>
      </c>
      <c r="B5" s="20">
        <v>1182</v>
      </c>
      <c r="C5" s="20" t="s">
        <v>1602</v>
      </c>
      <c r="D5" s="20" t="s">
        <v>1603</v>
      </c>
      <c r="E5" s="18" t="s">
        <v>1376</v>
      </c>
      <c r="F5" s="20" t="s">
        <v>1614</v>
      </c>
      <c r="G5" s="20" t="s">
        <v>1615</v>
      </c>
      <c r="H5" s="18" t="s">
        <v>367</v>
      </c>
      <c r="I5" s="20" t="s">
        <v>1024</v>
      </c>
      <c r="J5" s="18" t="s">
        <v>31</v>
      </c>
      <c r="K5" s="18" t="s">
        <v>31</v>
      </c>
      <c r="L5" s="18" t="s">
        <v>32</v>
      </c>
      <c r="M5" s="20" t="s">
        <v>1606</v>
      </c>
      <c r="N5" s="20" t="s">
        <v>164</v>
      </c>
      <c r="O5" s="18" t="s">
        <v>35</v>
      </c>
      <c r="P5" s="154">
        <v>21395</v>
      </c>
      <c r="Q5" s="153">
        <v>1</v>
      </c>
      <c r="R5" s="153">
        <v>2678</v>
      </c>
      <c r="S5" s="132"/>
      <c r="T5" s="153">
        <v>572.95799999999997</v>
      </c>
      <c r="U5" s="168">
        <v>5.9400000000000002E-4</v>
      </c>
      <c r="V5" s="168">
        <v>6.3844517623112898E-3</v>
      </c>
      <c r="W5" s="168">
        <v>1.44978439870542E-3</v>
      </c>
    </row>
    <row r="6" spans="1:23">
      <c r="A6" s="20" t="s">
        <v>26</v>
      </c>
      <c r="B6" s="20">
        <v>1182</v>
      </c>
      <c r="C6" s="20" t="s">
        <v>1602</v>
      </c>
      <c r="D6" s="20" t="s">
        <v>1603</v>
      </c>
      <c r="E6" s="18" t="s">
        <v>1376</v>
      </c>
      <c r="F6" s="20" t="s">
        <v>1616</v>
      </c>
      <c r="G6" s="20" t="s">
        <v>1617</v>
      </c>
      <c r="H6" s="18" t="s">
        <v>367</v>
      </c>
      <c r="I6" s="20" t="s">
        <v>1025</v>
      </c>
      <c r="J6" s="18" t="s">
        <v>31</v>
      </c>
      <c r="K6" s="18" t="s">
        <v>95</v>
      </c>
      <c r="L6" s="18" t="s">
        <v>32</v>
      </c>
      <c r="M6" s="20" t="s">
        <v>1609</v>
      </c>
      <c r="N6" s="20" t="s">
        <v>164</v>
      </c>
      <c r="O6" s="18" t="s">
        <v>35</v>
      </c>
      <c r="P6" s="154">
        <v>7580</v>
      </c>
      <c r="Q6" s="153">
        <v>1</v>
      </c>
      <c r="R6" s="153">
        <v>8914</v>
      </c>
      <c r="S6" s="132"/>
      <c r="T6" s="153">
        <v>675.68100000000004</v>
      </c>
      <c r="U6" s="168">
        <v>2.013E-3</v>
      </c>
      <c r="V6" s="168">
        <v>7.5290916178698099E-3</v>
      </c>
      <c r="W6" s="168">
        <v>1.70970977154971E-3</v>
      </c>
    </row>
    <row r="7" spans="1:23">
      <c r="A7" s="20" t="s">
        <v>26</v>
      </c>
      <c r="B7" s="20">
        <v>1182</v>
      </c>
      <c r="C7" s="20" t="s">
        <v>1618</v>
      </c>
      <c r="D7" s="20" t="s">
        <v>1619</v>
      </c>
      <c r="E7" s="18" t="s">
        <v>1376</v>
      </c>
      <c r="F7" s="20" t="s">
        <v>1620</v>
      </c>
      <c r="G7" s="20" t="s">
        <v>1621</v>
      </c>
      <c r="H7" s="18" t="s">
        <v>367</v>
      </c>
      <c r="I7" s="20" t="s">
        <v>1024</v>
      </c>
      <c r="J7" s="18" t="s">
        <v>31</v>
      </c>
      <c r="K7" s="18" t="s">
        <v>31</v>
      </c>
      <c r="L7" s="18" t="s">
        <v>32</v>
      </c>
      <c r="M7" s="20" t="s">
        <v>1606</v>
      </c>
      <c r="N7" s="20" t="s">
        <v>164</v>
      </c>
      <c r="O7" s="18" t="s">
        <v>35</v>
      </c>
      <c r="P7" s="154">
        <v>23567</v>
      </c>
      <c r="Q7" s="153">
        <v>1</v>
      </c>
      <c r="R7" s="153">
        <v>1784</v>
      </c>
      <c r="S7" s="132"/>
      <c r="T7" s="153">
        <v>420.435</v>
      </c>
      <c r="U7" s="168">
        <v>4.8299999999999998E-4</v>
      </c>
      <c r="V7" s="168">
        <v>4.6848953952022699E-3</v>
      </c>
      <c r="W7" s="168">
        <v>1.0638483156261199E-3</v>
      </c>
    </row>
    <row r="8" spans="1:23">
      <c r="A8" s="20" t="s">
        <v>26</v>
      </c>
      <c r="B8" s="20">
        <v>1182</v>
      </c>
      <c r="C8" s="20" t="s">
        <v>1618</v>
      </c>
      <c r="D8" s="20" t="s">
        <v>1619</v>
      </c>
      <c r="E8" s="18" t="s">
        <v>1376</v>
      </c>
      <c r="F8" s="20" t="s">
        <v>1622</v>
      </c>
      <c r="G8" s="20" t="s">
        <v>1623</v>
      </c>
      <c r="H8" s="18" t="s">
        <v>367</v>
      </c>
      <c r="I8" s="20" t="s">
        <v>1024</v>
      </c>
      <c r="J8" s="18" t="s">
        <v>31</v>
      </c>
      <c r="K8" s="18" t="s">
        <v>31</v>
      </c>
      <c r="L8" s="18" t="s">
        <v>32</v>
      </c>
      <c r="M8" s="20" t="s">
        <v>1606</v>
      </c>
      <c r="N8" s="20" t="s">
        <v>164</v>
      </c>
      <c r="O8" s="18" t="s">
        <v>35</v>
      </c>
      <c r="P8" s="154">
        <v>12121</v>
      </c>
      <c r="Q8" s="153">
        <v>1</v>
      </c>
      <c r="R8" s="153">
        <v>1921</v>
      </c>
      <c r="S8" s="132"/>
      <c r="T8" s="153">
        <v>232.84399999999999</v>
      </c>
      <c r="U8" s="168">
        <v>2.13E-4</v>
      </c>
      <c r="V8" s="168">
        <v>2.5945769922248001E-3</v>
      </c>
      <c r="W8" s="168">
        <v>5.8917780016334105E-4</v>
      </c>
    </row>
    <row r="9" spans="1:23">
      <c r="A9" s="20" t="s">
        <v>26</v>
      </c>
      <c r="B9" s="20">
        <v>1182</v>
      </c>
      <c r="C9" s="20" t="s">
        <v>1624</v>
      </c>
      <c r="D9" s="20" t="s">
        <v>1625</v>
      </c>
      <c r="E9" s="18" t="s">
        <v>1376</v>
      </c>
      <c r="F9" s="20" t="s">
        <v>1626</v>
      </c>
      <c r="G9" s="20" t="s">
        <v>1627</v>
      </c>
      <c r="H9" s="18" t="s">
        <v>367</v>
      </c>
      <c r="I9" s="20" t="s">
        <v>1025</v>
      </c>
      <c r="J9" s="18" t="s">
        <v>31</v>
      </c>
      <c r="K9" s="18" t="s">
        <v>95</v>
      </c>
      <c r="L9" s="18" t="s">
        <v>32</v>
      </c>
      <c r="M9" s="20" t="s">
        <v>1609</v>
      </c>
      <c r="N9" s="20" t="s">
        <v>164</v>
      </c>
      <c r="O9" s="18" t="s">
        <v>35</v>
      </c>
      <c r="P9" s="154">
        <v>9311</v>
      </c>
      <c r="Q9" s="153">
        <v>1</v>
      </c>
      <c r="R9" s="153">
        <v>11180</v>
      </c>
      <c r="S9" s="132"/>
      <c r="T9" s="153">
        <v>1040.97</v>
      </c>
      <c r="U9" s="168">
        <v>9.7999999999999997E-4</v>
      </c>
      <c r="V9" s="168">
        <v>1.1599489516114401E-2</v>
      </c>
      <c r="W9" s="168">
        <v>2.6340176979145601E-3</v>
      </c>
    </row>
    <row r="10" spans="1:23">
      <c r="A10" s="20" t="s">
        <v>26</v>
      </c>
      <c r="B10" s="20">
        <v>1182</v>
      </c>
      <c r="C10" s="20" t="s">
        <v>1602</v>
      </c>
      <c r="D10" s="20" t="s">
        <v>1603</v>
      </c>
      <c r="E10" s="18" t="s">
        <v>1376</v>
      </c>
      <c r="F10" s="20" t="s">
        <v>1628</v>
      </c>
      <c r="G10" s="20" t="s">
        <v>1629</v>
      </c>
      <c r="H10" s="18" t="s">
        <v>367</v>
      </c>
      <c r="I10" s="20" t="s">
        <v>1025</v>
      </c>
      <c r="J10" s="18" t="s">
        <v>31</v>
      </c>
      <c r="K10" s="18" t="s">
        <v>95</v>
      </c>
      <c r="L10" s="18" t="s">
        <v>32</v>
      </c>
      <c r="M10" s="20" t="s">
        <v>1609</v>
      </c>
      <c r="N10" s="20" t="s">
        <v>164</v>
      </c>
      <c r="O10" s="18" t="s">
        <v>35</v>
      </c>
      <c r="P10" s="154">
        <v>4108</v>
      </c>
      <c r="Q10" s="153">
        <v>1</v>
      </c>
      <c r="R10" s="153">
        <v>3000</v>
      </c>
      <c r="S10" s="132"/>
      <c r="T10" s="153">
        <v>123.24</v>
      </c>
      <c r="U10" s="168">
        <v>2.05E-4</v>
      </c>
      <c r="V10" s="168">
        <v>1.37325894369456E-3</v>
      </c>
      <c r="W10" s="168">
        <v>3.1184030611742001E-4</v>
      </c>
    </row>
    <row r="11" spans="1:23">
      <c r="A11" s="20" t="s">
        <v>26</v>
      </c>
      <c r="B11" s="20">
        <v>1182</v>
      </c>
      <c r="C11" s="20" t="s">
        <v>1630</v>
      </c>
      <c r="D11" s="20" t="s">
        <v>1631</v>
      </c>
      <c r="E11" s="18" t="s">
        <v>361</v>
      </c>
      <c r="F11" s="20" t="s">
        <v>1632</v>
      </c>
      <c r="G11" s="20" t="s">
        <v>1633</v>
      </c>
      <c r="H11" s="18" t="s">
        <v>367</v>
      </c>
      <c r="I11" s="20" t="s">
        <v>1025</v>
      </c>
      <c r="J11" s="18" t="s">
        <v>94</v>
      </c>
      <c r="K11" s="18" t="s">
        <v>95</v>
      </c>
      <c r="L11" s="18" t="s">
        <v>390</v>
      </c>
      <c r="M11" s="20" t="s">
        <v>780</v>
      </c>
      <c r="N11" s="20" t="s">
        <v>164</v>
      </c>
      <c r="O11" s="18" t="s">
        <v>99</v>
      </c>
      <c r="P11" s="154">
        <v>6240</v>
      </c>
      <c r="Q11" s="153">
        <v>3.7589999999999999</v>
      </c>
      <c r="R11" s="153">
        <v>6814</v>
      </c>
      <c r="S11" s="132"/>
      <c r="T11" s="153">
        <v>1598.3030000000001</v>
      </c>
      <c r="U11" s="168">
        <v>2.8E-5</v>
      </c>
      <c r="V11" s="168">
        <v>1.7809830702145001E-2</v>
      </c>
      <c r="W11" s="168">
        <v>4.0442649826219496E-3</v>
      </c>
    </row>
    <row r="12" spans="1:23">
      <c r="A12" s="20" t="s">
        <v>26</v>
      </c>
      <c r="B12" s="20">
        <v>1182</v>
      </c>
      <c r="C12" s="20" t="s">
        <v>1574</v>
      </c>
      <c r="D12" s="20" t="s">
        <v>1575</v>
      </c>
      <c r="E12" s="18" t="s">
        <v>361</v>
      </c>
      <c r="F12" s="20" t="s">
        <v>1634</v>
      </c>
      <c r="G12" s="20" t="s">
        <v>1635</v>
      </c>
      <c r="H12" s="18" t="s">
        <v>367</v>
      </c>
      <c r="I12" s="20" t="s">
        <v>1025</v>
      </c>
      <c r="J12" s="18" t="s">
        <v>94</v>
      </c>
      <c r="K12" s="18" t="s">
        <v>95</v>
      </c>
      <c r="L12" s="18" t="s">
        <v>390</v>
      </c>
      <c r="M12" s="20" t="s">
        <v>780</v>
      </c>
      <c r="N12" s="20" t="s">
        <v>164</v>
      </c>
      <c r="O12" s="18" t="s">
        <v>99</v>
      </c>
      <c r="P12" s="154">
        <v>1706</v>
      </c>
      <c r="Q12" s="153">
        <v>3.7589999999999999</v>
      </c>
      <c r="R12" s="153">
        <v>10272</v>
      </c>
      <c r="S12" s="132"/>
      <c r="T12" s="153">
        <v>658.72799999999995</v>
      </c>
      <c r="U12" s="168">
        <v>8.7999999999999998E-5</v>
      </c>
      <c r="V12" s="168">
        <v>7.3401867558441896E-3</v>
      </c>
      <c r="W12" s="168">
        <v>1.66681316397863E-3</v>
      </c>
    </row>
    <row r="13" spans="1:23">
      <c r="A13" s="20" t="s">
        <v>26</v>
      </c>
      <c r="B13" s="20">
        <v>1182</v>
      </c>
      <c r="C13" s="20" t="s">
        <v>1636</v>
      </c>
      <c r="D13" s="20" t="s">
        <v>1637</v>
      </c>
      <c r="E13" s="18" t="s">
        <v>361</v>
      </c>
      <c r="F13" s="20" t="s">
        <v>1638</v>
      </c>
      <c r="G13" s="20" t="s">
        <v>1639</v>
      </c>
      <c r="H13" s="18" t="s">
        <v>34</v>
      </c>
      <c r="I13" s="20" t="s">
        <v>1025</v>
      </c>
      <c r="J13" s="18" t="s">
        <v>94</v>
      </c>
      <c r="K13" s="18" t="s">
        <v>330</v>
      </c>
      <c r="L13" s="18" t="s">
        <v>392</v>
      </c>
      <c r="M13" s="20" t="s">
        <v>780</v>
      </c>
      <c r="N13" s="20" t="s">
        <v>164</v>
      </c>
      <c r="O13" s="18" t="s">
        <v>99</v>
      </c>
      <c r="P13" s="154">
        <v>3184</v>
      </c>
      <c r="Q13" s="153">
        <v>3.7589999999999999</v>
      </c>
      <c r="R13" s="153">
        <v>12799.9</v>
      </c>
      <c r="S13" s="132"/>
      <c r="T13" s="153">
        <v>1531.9760000000001</v>
      </c>
      <c r="U13" s="168">
        <v>0</v>
      </c>
      <c r="V13" s="168">
        <v>1.70707541595632E-2</v>
      </c>
      <c r="W13" s="168">
        <v>3.8764351233363699E-3</v>
      </c>
    </row>
    <row r="14" spans="1:23">
      <c r="A14" s="20" t="s">
        <v>26</v>
      </c>
      <c r="B14" s="20">
        <v>1182</v>
      </c>
      <c r="C14" s="20" t="s">
        <v>1640</v>
      </c>
      <c r="D14" s="20" t="s">
        <v>1641</v>
      </c>
      <c r="E14" s="18" t="s">
        <v>361</v>
      </c>
      <c r="F14" s="20" t="s">
        <v>1642</v>
      </c>
      <c r="G14" s="20" t="s">
        <v>1643</v>
      </c>
      <c r="H14" s="18" t="s">
        <v>367</v>
      </c>
      <c r="I14" s="20" t="s">
        <v>1025</v>
      </c>
      <c r="J14" s="18" t="s">
        <v>94</v>
      </c>
      <c r="K14" s="18" t="s">
        <v>1644</v>
      </c>
      <c r="L14" s="18" t="s">
        <v>203</v>
      </c>
      <c r="M14" s="20" t="s">
        <v>780</v>
      </c>
      <c r="N14" s="20" t="s">
        <v>164</v>
      </c>
      <c r="O14" s="18" t="s">
        <v>99</v>
      </c>
      <c r="P14" s="154">
        <v>5610</v>
      </c>
      <c r="Q14" s="153">
        <v>3.7589999999999999</v>
      </c>
      <c r="R14" s="153">
        <v>7095.5</v>
      </c>
      <c r="S14" s="132"/>
      <c r="T14" s="153">
        <v>1496.298</v>
      </c>
      <c r="U14" s="168">
        <v>0</v>
      </c>
      <c r="V14" s="168">
        <v>1.6673199162006699E-2</v>
      </c>
      <c r="W14" s="168">
        <v>3.7861581419223701E-3</v>
      </c>
    </row>
    <row r="15" spans="1:23">
      <c r="A15" s="20" t="s">
        <v>26</v>
      </c>
      <c r="B15" s="20">
        <v>1182</v>
      </c>
      <c r="C15" s="20" t="s">
        <v>1640</v>
      </c>
      <c r="D15" s="20" t="s">
        <v>1641</v>
      </c>
      <c r="E15" s="18" t="s">
        <v>361</v>
      </c>
      <c r="F15" s="20" t="s">
        <v>1645</v>
      </c>
      <c r="G15" s="20" t="s">
        <v>1646</v>
      </c>
      <c r="H15" s="18" t="s">
        <v>367</v>
      </c>
      <c r="I15" s="20" t="s">
        <v>1025</v>
      </c>
      <c r="J15" s="18" t="s">
        <v>94</v>
      </c>
      <c r="K15" s="18" t="s">
        <v>330</v>
      </c>
      <c r="L15" s="18" t="s">
        <v>410</v>
      </c>
      <c r="M15" s="20" t="s">
        <v>780</v>
      </c>
      <c r="N15" s="20" t="s">
        <v>164</v>
      </c>
      <c r="O15" s="18" t="s">
        <v>1219</v>
      </c>
      <c r="P15" s="154">
        <v>3711</v>
      </c>
      <c r="Q15" s="153">
        <v>4.0199999999999996</v>
      </c>
      <c r="R15" s="153">
        <v>11282</v>
      </c>
      <c r="S15" s="132"/>
      <c r="T15" s="153">
        <v>1683.1569999999999</v>
      </c>
      <c r="U15" s="168">
        <v>7.3899999999999997E-4</v>
      </c>
      <c r="V15" s="168">
        <v>1.8755362195906199E-2</v>
      </c>
      <c r="W15" s="168">
        <v>4.2589767322245902E-3</v>
      </c>
    </row>
    <row r="16" spans="1:23">
      <c r="A16" s="20" t="s">
        <v>26</v>
      </c>
      <c r="B16" s="20">
        <v>1182</v>
      </c>
      <c r="C16" s="20" t="s">
        <v>1647</v>
      </c>
      <c r="D16" s="20" t="s">
        <v>1648</v>
      </c>
      <c r="E16" s="18" t="s">
        <v>361</v>
      </c>
      <c r="F16" s="20" t="s">
        <v>1649</v>
      </c>
      <c r="G16" s="20" t="s">
        <v>1650</v>
      </c>
      <c r="H16" s="18" t="s">
        <v>367</v>
      </c>
      <c r="I16" s="20" t="s">
        <v>1025</v>
      </c>
      <c r="J16" s="18" t="s">
        <v>94</v>
      </c>
      <c r="K16" s="18" t="s">
        <v>95</v>
      </c>
      <c r="L16" s="18" t="s">
        <v>1564</v>
      </c>
      <c r="M16" s="20" t="s">
        <v>780</v>
      </c>
      <c r="N16" s="20" t="s">
        <v>164</v>
      </c>
      <c r="O16" s="18" t="s">
        <v>1219</v>
      </c>
      <c r="P16" s="154">
        <v>1956</v>
      </c>
      <c r="Q16" s="153">
        <v>4.0199999999999996</v>
      </c>
      <c r="R16" s="153">
        <v>6412</v>
      </c>
      <c r="S16" s="132"/>
      <c r="T16" s="153">
        <v>504.20800000000003</v>
      </c>
      <c r="U16" s="168">
        <v>0</v>
      </c>
      <c r="V16" s="168">
        <v>5.6183756072835196E-3</v>
      </c>
      <c r="W16" s="168">
        <v>1.27582345434746E-3</v>
      </c>
    </row>
    <row r="17" spans="1:23">
      <c r="A17" s="20" t="s">
        <v>26</v>
      </c>
      <c r="B17" s="20">
        <v>1182</v>
      </c>
      <c r="C17" s="20" t="s">
        <v>1640</v>
      </c>
      <c r="D17" s="20" t="s">
        <v>1641</v>
      </c>
      <c r="E17" s="18" t="s">
        <v>361</v>
      </c>
      <c r="F17" s="20" t="s">
        <v>1651</v>
      </c>
      <c r="G17" s="20" t="s">
        <v>1652</v>
      </c>
      <c r="H17" s="18" t="s">
        <v>367</v>
      </c>
      <c r="I17" s="20" t="s">
        <v>1025</v>
      </c>
      <c r="J17" s="18" t="s">
        <v>94</v>
      </c>
      <c r="K17" s="18" t="s">
        <v>95</v>
      </c>
      <c r="L17" s="18" t="s">
        <v>426</v>
      </c>
      <c r="M17" s="20" t="s">
        <v>780</v>
      </c>
      <c r="N17" s="20" t="s">
        <v>164</v>
      </c>
      <c r="O17" s="18" t="s">
        <v>99</v>
      </c>
      <c r="P17" s="154">
        <v>11407</v>
      </c>
      <c r="Q17" s="153">
        <v>3.7589999999999999</v>
      </c>
      <c r="R17" s="153">
        <v>9337</v>
      </c>
      <c r="S17" s="132"/>
      <c r="T17" s="153">
        <v>4003.6039999999998</v>
      </c>
      <c r="U17" s="168">
        <v>0</v>
      </c>
      <c r="V17" s="168">
        <v>4.4612018392478997E-2</v>
      </c>
      <c r="W17" s="168">
        <v>1.01305187458665E-2</v>
      </c>
    </row>
    <row r="18" spans="1:23">
      <c r="A18" s="20" t="s">
        <v>26</v>
      </c>
      <c r="B18" s="20">
        <v>1182</v>
      </c>
      <c r="C18" s="20" t="s">
        <v>1630</v>
      </c>
      <c r="D18" s="20" t="s">
        <v>1631</v>
      </c>
      <c r="E18" s="18" t="s">
        <v>361</v>
      </c>
      <c r="F18" s="20" t="s">
        <v>1653</v>
      </c>
      <c r="G18" s="20" t="s">
        <v>1654</v>
      </c>
      <c r="H18" s="18" t="s">
        <v>367</v>
      </c>
      <c r="I18" s="20" t="s">
        <v>1025</v>
      </c>
      <c r="J18" s="18" t="s">
        <v>94</v>
      </c>
      <c r="K18" s="18" t="s">
        <v>95</v>
      </c>
      <c r="L18" s="18" t="s">
        <v>390</v>
      </c>
      <c r="M18" s="20" t="s">
        <v>780</v>
      </c>
      <c r="N18" s="20" t="s">
        <v>164</v>
      </c>
      <c r="O18" s="18" t="s">
        <v>99</v>
      </c>
      <c r="P18" s="154">
        <v>4336</v>
      </c>
      <c r="Q18" s="153">
        <v>3.7589999999999999</v>
      </c>
      <c r="R18" s="153">
        <v>8566</v>
      </c>
      <c r="S18" s="132"/>
      <c r="T18" s="153">
        <v>1396.174</v>
      </c>
      <c r="U18" s="168">
        <v>2.5000000000000001E-5</v>
      </c>
      <c r="V18" s="168">
        <v>1.5557521714091501E-2</v>
      </c>
      <c r="W18" s="168">
        <v>3.5328095666346199E-3</v>
      </c>
    </row>
    <row r="19" spans="1:23">
      <c r="A19" s="20" t="s">
        <v>26</v>
      </c>
      <c r="B19" s="20">
        <v>1182</v>
      </c>
      <c r="C19" s="20" t="s">
        <v>1630</v>
      </c>
      <c r="D19" s="20" t="s">
        <v>1631</v>
      </c>
      <c r="E19" s="18" t="s">
        <v>361</v>
      </c>
      <c r="F19" s="20" t="s">
        <v>1655</v>
      </c>
      <c r="G19" s="20" t="s">
        <v>1656</v>
      </c>
      <c r="H19" s="18" t="s">
        <v>367</v>
      </c>
      <c r="I19" s="20" t="s">
        <v>1025</v>
      </c>
      <c r="J19" s="18" t="s">
        <v>94</v>
      </c>
      <c r="K19" s="18" t="s">
        <v>95</v>
      </c>
      <c r="L19" s="18" t="s">
        <v>390</v>
      </c>
      <c r="M19" s="20" t="s">
        <v>780</v>
      </c>
      <c r="N19" s="20" t="s">
        <v>164</v>
      </c>
      <c r="O19" s="18" t="s">
        <v>99</v>
      </c>
      <c r="P19" s="154">
        <v>4164</v>
      </c>
      <c r="Q19" s="153">
        <v>3.7589999999999999</v>
      </c>
      <c r="R19" s="153">
        <v>18240</v>
      </c>
      <c r="S19" s="132"/>
      <c r="T19" s="153">
        <v>2855.0120000000002</v>
      </c>
      <c r="U19" s="168">
        <v>4.3000000000000002E-5</v>
      </c>
      <c r="V19" s="168">
        <v>3.1813293125711802E-2</v>
      </c>
      <c r="W19" s="168">
        <v>7.2241780128043604E-3</v>
      </c>
    </row>
    <row r="20" spans="1:23">
      <c r="A20" s="2" t="s">
        <v>26</v>
      </c>
      <c r="B20" s="2">
        <v>1182</v>
      </c>
      <c r="C20" s="2" t="s">
        <v>1657</v>
      </c>
      <c r="D20" s="2" t="s">
        <v>1658</v>
      </c>
      <c r="E20" s="18" t="s">
        <v>361</v>
      </c>
      <c r="F20" s="2" t="s">
        <v>1659</v>
      </c>
      <c r="G20" s="2" t="s">
        <v>1660</v>
      </c>
      <c r="H20" s="18" t="s">
        <v>367</v>
      </c>
      <c r="I20" s="20" t="s">
        <v>1025</v>
      </c>
      <c r="J20" s="18" t="s">
        <v>94</v>
      </c>
      <c r="K20" s="18" t="s">
        <v>95</v>
      </c>
      <c r="L20" s="18" t="s">
        <v>390</v>
      </c>
      <c r="M20" s="20" t="s">
        <v>780</v>
      </c>
      <c r="N20" s="20" t="s">
        <v>164</v>
      </c>
      <c r="O20" s="2" t="s">
        <v>99</v>
      </c>
      <c r="P20" s="154">
        <v>2975</v>
      </c>
      <c r="Q20" s="150">
        <v>3.7589999999999999</v>
      </c>
      <c r="R20" s="150">
        <v>5242</v>
      </c>
      <c r="T20" s="150">
        <v>586.21400000000006</v>
      </c>
      <c r="U20" s="164">
        <v>5.22E-4</v>
      </c>
      <c r="V20" s="164">
        <v>6.5321636851640302E-3</v>
      </c>
      <c r="W20" s="164">
        <v>1.48332689369596E-3</v>
      </c>
    </row>
    <row r="21" spans="1:23">
      <c r="A21" s="2" t="s">
        <v>26</v>
      </c>
      <c r="B21" s="2">
        <v>1182</v>
      </c>
      <c r="C21" s="2" t="s">
        <v>1630</v>
      </c>
      <c r="D21" s="2" t="s">
        <v>1631</v>
      </c>
      <c r="E21" s="4" t="s">
        <v>361</v>
      </c>
      <c r="F21" s="2" t="s">
        <v>1661</v>
      </c>
      <c r="G21" s="2" t="s">
        <v>1662</v>
      </c>
      <c r="H21" s="4" t="s">
        <v>367</v>
      </c>
      <c r="I21" s="2" t="s">
        <v>1025</v>
      </c>
      <c r="J21" s="2" t="s">
        <v>94</v>
      </c>
      <c r="K21" s="2" t="s">
        <v>95</v>
      </c>
      <c r="L21" s="4" t="s">
        <v>390</v>
      </c>
      <c r="M21" s="2" t="s">
        <v>780</v>
      </c>
      <c r="N21" s="2" t="s">
        <v>164</v>
      </c>
      <c r="O21" s="2" t="s">
        <v>99</v>
      </c>
      <c r="P21" s="152">
        <v>32624</v>
      </c>
      <c r="Q21" s="150">
        <v>3.7589999999999999</v>
      </c>
      <c r="R21" s="150">
        <v>4111</v>
      </c>
      <c r="T21" s="150">
        <v>5041.4679999999998</v>
      </c>
      <c r="U21" s="164">
        <v>3.6000000000000001E-5</v>
      </c>
      <c r="V21" s="164">
        <v>5.6176898384051002E-2</v>
      </c>
      <c r="W21" s="164">
        <v>1.27566772961837E-2</v>
      </c>
    </row>
    <row r="22" spans="1:23">
      <c r="A22" s="2" t="s">
        <v>26</v>
      </c>
      <c r="B22" s="2">
        <v>1182</v>
      </c>
      <c r="C22" s="2" t="s">
        <v>1663</v>
      </c>
      <c r="D22" s="2" t="s">
        <v>1664</v>
      </c>
      <c r="E22" s="4" t="s">
        <v>361</v>
      </c>
      <c r="F22" s="2" t="s">
        <v>1665</v>
      </c>
      <c r="G22" s="2" t="s">
        <v>1666</v>
      </c>
      <c r="H22" s="2" t="s">
        <v>367</v>
      </c>
      <c r="I22" s="2" t="s">
        <v>1025</v>
      </c>
      <c r="J22" s="2" t="s">
        <v>94</v>
      </c>
      <c r="K22" s="2" t="s">
        <v>95</v>
      </c>
      <c r="L22" s="4" t="s">
        <v>392</v>
      </c>
      <c r="M22" s="2" t="s">
        <v>780</v>
      </c>
      <c r="N22" s="2" t="s">
        <v>164</v>
      </c>
      <c r="O22" s="2" t="s">
        <v>99</v>
      </c>
      <c r="P22" s="152">
        <v>1019</v>
      </c>
      <c r="Q22" s="150">
        <v>3.7589999999999999</v>
      </c>
      <c r="R22" s="150">
        <v>19746</v>
      </c>
      <c r="T22" s="150">
        <v>756.35500000000002</v>
      </c>
      <c r="U22" s="164">
        <v>7.3999999999999996E-5</v>
      </c>
      <c r="V22" s="164">
        <v>8.4280361338552896E-3</v>
      </c>
      <c r="W22" s="164">
        <v>1.9138425276731201E-3</v>
      </c>
    </row>
    <row r="23" spans="1:23">
      <c r="A23" s="2" t="s">
        <v>26</v>
      </c>
      <c r="B23" s="2">
        <v>1182</v>
      </c>
      <c r="C23" s="2" t="s">
        <v>1663</v>
      </c>
      <c r="D23" s="2" t="s">
        <v>1664</v>
      </c>
      <c r="E23" s="4" t="s">
        <v>361</v>
      </c>
      <c r="F23" s="2" t="s">
        <v>1667</v>
      </c>
      <c r="G23" s="2" t="s">
        <v>1668</v>
      </c>
      <c r="H23" s="2" t="s">
        <v>367</v>
      </c>
      <c r="I23" s="2" t="s">
        <v>1025</v>
      </c>
      <c r="J23" s="2" t="s">
        <v>94</v>
      </c>
      <c r="K23" s="2" t="s">
        <v>345</v>
      </c>
      <c r="L23" s="2" t="s">
        <v>392</v>
      </c>
      <c r="M23" s="2" t="s">
        <v>780</v>
      </c>
      <c r="N23" s="2" t="s">
        <v>164</v>
      </c>
      <c r="O23" s="2" t="s">
        <v>99</v>
      </c>
      <c r="P23" s="152">
        <v>1866</v>
      </c>
      <c r="Q23" s="150">
        <v>3.7589999999999999</v>
      </c>
      <c r="R23" s="150">
        <v>11558</v>
      </c>
      <c r="T23" s="150">
        <v>810.71199999999999</v>
      </c>
      <c r="U23" s="164">
        <v>2.61E-4</v>
      </c>
      <c r="V23" s="164">
        <v>9.0337361473587802E-3</v>
      </c>
      <c r="W23" s="164">
        <v>2.0513851801302599E-3</v>
      </c>
    </row>
    <row r="24" spans="1:23">
      <c r="A24" s="2" t="s">
        <v>26</v>
      </c>
      <c r="B24" s="2">
        <v>1182</v>
      </c>
      <c r="C24" s="2" t="s">
        <v>1669</v>
      </c>
      <c r="D24" s="2" t="s">
        <v>1670</v>
      </c>
      <c r="E24" s="4" t="s">
        <v>361</v>
      </c>
      <c r="F24" s="2" t="s">
        <v>1671</v>
      </c>
      <c r="G24" s="2" t="s">
        <v>1672</v>
      </c>
      <c r="H24" s="2" t="s">
        <v>367</v>
      </c>
      <c r="I24" s="2" t="s">
        <v>1025</v>
      </c>
      <c r="J24" s="2" t="s">
        <v>94</v>
      </c>
      <c r="K24" s="2" t="s">
        <v>95</v>
      </c>
      <c r="L24" s="2" t="s">
        <v>390</v>
      </c>
      <c r="M24" s="2" t="s">
        <v>780</v>
      </c>
      <c r="N24" s="2" t="s">
        <v>164</v>
      </c>
      <c r="O24" s="2" t="s">
        <v>99</v>
      </c>
      <c r="P24" s="152">
        <v>8535</v>
      </c>
      <c r="Q24" s="150">
        <v>3.7589999999999999</v>
      </c>
      <c r="R24" s="150">
        <v>3393</v>
      </c>
      <c r="T24" s="150">
        <v>1088.578</v>
      </c>
      <c r="U24" s="164">
        <v>2.0000000000000002E-5</v>
      </c>
      <c r="V24" s="164">
        <v>1.2129990404612099E-2</v>
      </c>
      <c r="W24" s="164">
        <v>2.7544840966401999E-3</v>
      </c>
    </row>
    <row r="25" spans="1:23">
      <c r="A25" s="2" t="s">
        <v>26</v>
      </c>
      <c r="B25" s="2">
        <v>1182</v>
      </c>
      <c r="C25" s="2" t="s">
        <v>1673</v>
      </c>
      <c r="D25" s="2" t="s">
        <v>1674</v>
      </c>
      <c r="E25" s="4" t="s">
        <v>361</v>
      </c>
      <c r="F25" s="2" t="s">
        <v>1675</v>
      </c>
      <c r="G25" s="2" t="s">
        <v>1676</v>
      </c>
      <c r="H25" s="2" t="s">
        <v>367</v>
      </c>
      <c r="I25" s="2" t="s">
        <v>1025</v>
      </c>
      <c r="J25" s="2" t="s">
        <v>94</v>
      </c>
      <c r="K25" s="2" t="s">
        <v>338</v>
      </c>
      <c r="L25" s="2" t="s">
        <v>390</v>
      </c>
      <c r="M25" s="2" t="s">
        <v>780</v>
      </c>
      <c r="N25" s="2" t="s">
        <v>164</v>
      </c>
      <c r="O25" s="2" t="s">
        <v>99</v>
      </c>
      <c r="P25" s="152">
        <v>5418</v>
      </c>
      <c r="Q25" s="150">
        <v>3.7589999999999999</v>
      </c>
      <c r="R25" s="150">
        <v>3702</v>
      </c>
      <c r="S25" s="155">
        <v>0.30299999999999999</v>
      </c>
      <c r="T25" s="150">
        <v>755.09900000000005</v>
      </c>
      <c r="U25" s="164">
        <v>3.6000000000000001E-5</v>
      </c>
      <c r="V25" s="164">
        <v>8.4140421146484106E-3</v>
      </c>
      <c r="W25" s="164">
        <v>1.9106647590131499E-3</v>
      </c>
    </row>
    <row r="26" spans="1:23">
      <c r="A26" s="2" t="s">
        <v>26</v>
      </c>
      <c r="B26" s="2">
        <v>1182</v>
      </c>
      <c r="C26" s="2" t="s">
        <v>1630</v>
      </c>
      <c r="D26" s="2" t="s">
        <v>1631</v>
      </c>
      <c r="E26" s="4" t="s">
        <v>361</v>
      </c>
      <c r="F26" s="2" t="s">
        <v>1677</v>
      </c>
      <c r="G26" s="11" t="s">
        <v>1678</v>
      </c>
      <c r="H26" s="2" t="s">
        <v>367</v>
      </c>
      <c r="I26" s="2" t="s">
        <v>1025</v>
      </c>
      <c r="J26" s="2" t="s">
        <v>94</v>
      </c>
      <c r="K26" s="2" t="s">
        <v>95</v>
      </c>
      <c r="L26" s="2" t="s">
        <v>390</v>
      </c>
      <c r="M26" s="2" t="s">
        <v>780</v>
      </c>
      <c r="N26" s="2" t="s">
        <v>164</v>
      </c>
      <c r="O26" s="2" t="s">
        <v>99</v>
      </c>
      <c r="P26" s="152">
        <v>7792</v>
      </c>
      <c r="Q26" s="150">
        <v>3.7589999999999999</v>
      </c>
      <c r="R26" s="150">
        <v>14575</v>
      </c>
      <c r="T26" s="150">
        <v>4269.0360000000001</v>
      </c>
      <c r="U26" s="164">
        <v>2.5999999999999998E-5</v>
      </c>
      <c r="V26" s="164">
        <v>4.7569718290996897E-2</v>
      </c>
      <c r="W26" s="164">
        <v>1.08021546714815E-2</v>
      </c>
    </row>
    <row r="27" spans="1:23">
      <c r="A27" s="2" t="s">
        <v>26</v>
      </c>
      <c r="B27" s="2">
        <v>1182</v>
      </c>
      <c r="C27" s="2" t="s">
        <v>1679</v>
      </c>
      <c r="D27" s="2" t="s">
        <v>1680</v>
      </c>
      <c r="E27" s="4" t="s">
        <v>361</v>
      </c>
      <c r="F27" s="2" t="s">
        <v>1681</v>
      </c>
      <c r="G27" s="2" t="s">
        <v>1682</v>
      </c>
      <c r="H27" s="2" t="s">
        <v>367</v>
      </c>
      <c r="I27" s="2" t="s">
        <v>1025</v>
      </c>
      <c r="J27" s="2" t="s">
        <v>94</v>
      </c>
      <c r="K27" s="2" t="s">
        <v>331</v>
      </c>
      <c r="L27" s="2" t="s">
        <v>1683</v>
      </c>
      <c r="M27" s="2" t="s">
        <v>780</v>
      </c>
      <c r="N27" s="2" t="s">
        <v>164</v>
      </c>
      <c r="O27" s="2" t="s">
        <v>1218</v>
      </c>
      <c r="P27" s="152">
        <v>5000</v>
      </c>
      <c r="Q27" s="150">
        <v>2.7410000000000001</v>
      </c>
      <c r="R27" s="150">
        <v>5597</v>
      </c>
      <c r="T27" s="150">
        <v>767.15300000000002</v>
      </c>
      <c r="U27" s="164">
        <v>6.7000000000000002E-5</v>
      </c>
      <c r="V27" s="164">
        <v>8.5483564641887499E-3</v>
      </c>
      <c r="W27" s="164">
        <v>1.9411649265663601E-3</v>
      </c>
    </row>
    <row r="28" spans="1:23">
      <c r="A28" s="2" t="s">
        <v>26</v>
      </c>
      <c r="B28" s="2">
        <v>1182</v>
      </c>
      <c r="C28" s="2" t="s">
        <v>1657</v>
      </c>
      <c r="D28" s="2" t="s">
        <v>1658</v>
      </c>
      <c r="E28" s="4" t="s">
        <v>361</v>
      </c>
      <c r="F28" s="2" t="s">
        <v>1684</v>
      </c>
      <c r="G28" s="2" t="s">
        <v>1685</v>
      </c>
      <c r="H28" s="2" t="s">
        <v>367</v>
      </c>
      <c r="I28" s="2" t="s">
        <v>1027</v>
      </c>
      <c r="J28" s="2" t="s">
        <v>94</v>
      </c>
      <c r="K28" s="2" t="s">
        <v>1644</v>
      </c>
      <c r="L28" s="2" t="s">
        <v>426</v>
      </c>
      <c r="M28" s="2" t="s">
        <v>777</v>
      </c>
      <c r="N28" s="2" t="s">
        <v>164</v>
      </c>
      <c r="O28" s="2" t="s">
        <v>99</v>
      </c>
      <c r="P28" s="152">
        <v>10452</v>
      </c>
      <c r="Q28" s="150">
        <v>3.7589999999999999</v>
      </c>
      <c r="R28" s="150">
        <v>4331.5</v>
      </c>
      <c r="T28" s="150">
        <v>1701.806</v>
      </c>
      <c r="U28" s="164">
        <v>0</v>
      </c>
      <c r="V28" s="164">
        <v>1.8963163607957301E-2</v>
      </c>
      <c r="W28" s="164">
        <v>4.3061643775286398E-3</v>
      </c>
    </row>
    <row r="29" spans="1:23">
      <c r="A29" s="2" t="s">
        <v>26</v>
      </c>
      <c r="B29" s="2">
        <v>1182</v>
      </c>
      <c r="C29" s="2" t="s">
        <v>1630</v>
      </c>
      <c r="D29" s="2" t="s">
        <v>1631</v>
      </c>
      <c r="E29" s="4" t="s">
        <v>361</v>
      </c>
      <c r="F29" s="2" t="s">
        <v>1686</v>
      </c>
      <c r="G29" s="2" t="s">
        <v>1687</v>
      </c>
      <c r="H29" s="2" t="s">
        <v>367</v>
      </c>
      <c r="I29" s="2" t="s">
        <v>1025</v>
      </c>
      <c r="J29" s="2" t="s">
        <v>94</v>
      </c>
      <c r="K29" s="2" t="s">
        <v>95</v>
      </c>
      <c r="L29" s="2" t="s">
        <v>390</v>
      </c>
      <c r="M29" s="2" t="s">
        <v>780</v>
      </c>
      <c r="N29" s="2" t="s">
        <v>164</v>
      </c>
      <c r="O29" s="2" t="s">
        <v>99</v>
      </c>
      <c r="P29" s="152">
        <v>4823</v>
      </c>
      <c r="Q29" s="150">
        <v>3.7589999999999999</v>
      </c>
      <c r="R29" s="150">
        <v>12187</v>
      </c>
      <c r="T29" s="150">
        <v>2209.4609999999998</v>
      </c>
      <c r="U29" s="164">
        <v>3.4999999999999997E-5</v>
      </c>
      <c r="V29" s="164">
        <v>2.4619948791266801E-2</v>
      </c>
      <c r="W29" s="164">
        <v>5.5907098970050199E-3</v>
      </c>
    </row>
    <row r="30" spans="1:23">
      <c r="A30" s="2" t="s">
        <v>26</v>
      </c>
      <c r="B30" s="2">
        <v>1182</v>
      </c>
      <c r="C30" s="2" t="s">
        <v>1570</v>
      </c>
      <c r="D30" s="2" t="s">
        <v>1571</v>
      </c>
      <c r="E30" s="4" t="s">
        <v>361</v>
      </c>
      <c r="F30" s="2" t="s">
        <v>1688</v>
      </c>
      <c r="G30" s="2" t="s">
        <v>1689</v>
      </c>
      <c r="H30" s="2" t="s">
        <v>367</v>
      </c>
      <c r="I30" s="2" t="s">
        <v>1027</v>
      </c>
      <c r="J30" s="2" t="s">
        <v>94</v>
      </c>
      <c r="K30" s="2" t="s">
        <v>95</v>
      </c>
      <c r="L30" s="2" t="s">
        <v>426</v>
      </c>
      <c r="M30" s="2" t="s">
        <v>777</v>
      </c>
      <c r="N30" s="2" t="s">
        <v>164</v>
      </c>
      <c r="O30" s="2" t="s">
        <v>99</v>
      </c>
      <c r="P30" s="152">
        <v>69735</v>
      </c>
      <c r="Q30" s="150">
        <v>3.7589999999999999</v>
      </c>
      <c r="R30" s="150">
        <v>2742.25</v>
      </c>
      <c r="T30" s="150">
        <v>7188.366</v>
      </c>
      <c r="U30" s="164">
        <v>0</v>
      </c>
      <c r="V30" s="164">
        <v>8.0099706106174007E-2</v>
      </c>
      <c r="W30" s="164">
        <v>1.8189080061524299E-2</v>
      </c>
    </row>
    <row r="31" spans="1:23">
      <c r="A31" s="2" t="s">
        <v>26</v>
      </c>
      <c r="B31" s="2">
        <v>1182</v>
      </c>
      <c r="C31" s="2" t="s">
        <v>1657</v>
      </c>
      <c r="D31" s="2" t="s">
        <v>1658</v>
      </c>
      <c r="E31" s="4" t="s">
        <v>361</v>
      </c>
      <c r="F31" s="2" t="s">
        <v>1690</v>
      </c>
      <c r="G31" s="2" t="s">
        <v>1691</v>
      </c>
      <c r="H31" s="2" t="s">
        <v>367</v>
      </c>
      <c r="I31" s="2" t="s">
        <v>1025</v>
      </c>
      <c r="J31" s="2" t="s">
        <v>94</v>
      </c>
      <c r="K31" s="2" t="s">
        <v>282</v>
      </c>
      <c r="L31" s="2" t="s">
        <v>426</v>
      </c>
      <c r="M31" s="2" t="s">
        <v>780</v>
      </c>
      <c r="N31" s="2" t="s">
        <v>164</v>
      </c>
      <c r="O31" s="2" t="s">
        <v>1221</v>
      </c>
      <c r="P31" s="152">
        <v>117642</v>
      </c>
      <c r="Q31" s="150">
        <v>4.75</v>
      </c>
      <c r="R31" s="150">
        <v>793.9</v>
      </c>
      <c r="T31" s="150">
        <v>4436.7759999999998</v>
      </c>
      <c r="U31" s="164">
        <v>1.9000000000000001E-4</v>
      </c>
      <c r="V31" s="164">
        <v>4.9438839760866299E-2</v>
      </c>
      <c r="W31" s="164">
        <v>1.122659568023E-2</v>
      </c>
    </row>
    <row r="32" spans="1:23">
      <c r="A32" s="2" t="s">
        <v>26</v>
      </c>
      <c r="B32" s="2">
        <v>1182</v>
      </c>
      <c r="C32" s="2" t="s">
        <v>1657</v>
      </c>
      <c r="D32" s="2" t="s">
        <v>1658</v>
      </c>
      <c r="E32" s="4" t="s">
        <v>361</v>
      </c>
      <c r="F32" s="2" t="s">
        <v>1692</v>
      </c>
      <c r="G32" s="2" t="s">
        <v>1693</v>
      </c>
      <c r="H32" s="2" t="s">
        <v>367</v>
      </c>
      <c r="I32" s="2" t="s">
        <v>1027</v>
      </c>
      <c r="J32" s="2" t="s">
        <v>94</v>
      </c>
      <c r="K32" s="2" t="s">
        <v>95</v>
      </c>
      <c r="L32" s="2" t="s">
        <v>426</v>
      </c>
      <c r="M32" s="2" t="s">
        <v>777</v>
      </c>
      <c r="N32" s="2" t="s">
        <v>164</v>
      </c>
      <c r="O32" s="2" t="s">
        <v>99</v>
      </c>
      <c r="P32" s="152">
        <v>15556</v>
      </c>
      <c r="Q32" s="150">
        <v>3.7589999999999999</v>
      </c>
      <c r="R32" s="150">
        <v>9190</v>
      </c>
      <c r="T32" s="150">
        <v>5373.8530000000001</v>
      </c>
      <c r="U32" s="164">
        <v>5.0199999999999995E-4</v>
      </c>
      <c r="V32" s="164">
        <v>5.9880651675838802E-2</v>
      </c>
      <c r="W32" s="164">
        <v>1.3597727387718E-2</v>
      </c>
    </row>
    <row r="33" spans="1:23">
      <c r="A33" s="2" t="s">
        <v>26</v>
      </c>
      <c r="B33" s="2">
        <v>1182</v>
      </c>
      <c r="C33" s="2" t="s">
        <v>1657</v>
      </c>
      <c r="D33" s="2" t="s">
        <v>1658</v>
      </c>
      <c r="E33" s="4" t="s">
        <v>361</v>
      </c>
      <c r="F33" s="2" t="s">
        <v>1694</v>
      </c>
      <c r="G33" s="2" t="s">
        <v>1695</v>
      </c>
      <c r="H33" s="2" t="s">
        <v>367</v>
      </c>
      <c r="I33" s="2" t="s">
        <v>1025</v>
      </c>
      <c r="J33" s="2" t="s">
        <v>94</v>
      </c>
      <c r="K33" s="2" t="s">
        <v>317</v>
      </c>
      <c r="L33" s="2" t="s">
        <v>390</v>
      </c>
      <c r="M33" s="2" t="s">
        <v>780</v>
      </c>
      <c r="N33" s="2" t="s">
        <v>164</v>
      </c>
      <c r="O33" s="2" t="s">
        <v>99</v>
      </c>
      <c r="P33" s="152">
        <v>8638</v>
      </c>
      <c r="Q33" s="150">
        <v>3.7589999999999999</v>
      </c>
      <c r="R33" s="150">
        <v>2599</v>
      </c>
      <c r="T33" s="150">
        <v>843.90200000000004</v>
      </c>
      <c r="U33" s="164">
        <v>5.1E-5</v>
      </c>
      <c r="V33" s="164">
        <v>9.4035654453813195E-3</v>
      </c>
      <c r="W33" s="164">
        <v>2.1353661962642402E-3</v>
      </c>
    </row>
    <row r="34" spans="1:23">
      <c r="A34" s="2" t="s">
        <v>26</v>
      </c>
      <c r="B34" s="2">
        <v>1182</v>
      </c>
      <c r="C34" s="2" t="s">
        <v>1657</v>
      </c>
      <c r="D34" s="2" t="s">
        <v>1658</v>
      </c>
      <c r="E34" s="4" t="s">
        <v>361</v>
      </c>
      <c r="F34" s="2" t="s">
        <v>1696</v>
      </c>
      <c r="G34" s="2" t="s">
        <v>1697</v>
      </c>
      <c r="H34" s="2" t="s">
        <v>367</v>
      </c>
      <c r="I34" s="2" t="s">
        <v>1027</v>
      </c>
      <c r="J34" s="2" t="s">
        <v>94</v>
      </c>
      <c r="K34" s="2" t="s">
        <v>270</v>
      </c>
      <c r="L34" s="2" t="s">
        <v>426</v>
      </c>
      <c r="M34" s="2" t="s">
        <v>777</v>
      </c>
      <c r="N34" s="2" t="s">
        <v>164</v>
      </c>
      <c r="O34" s="2" t="s">
        <v>99</v>
      </c>
      <c r="P34" s="152">
        <v>83057</v>
      </c>
      <c r="Q34" s="150">
        <v>3.7589999999999999</v>
      </c>
      <c r="R34" s="150">
        <v>597.1</v>
      </c>
      <c r="T34" s="150">
        <v>1864.213</v>
      </c>
      <c r="U34" s="164">
        <v>0</v>
      </c>
      <c r="V34" s="164">
        <v>2.07728642896274E-2</v>
      </c>
      <c r="W34" s="164">
        <v>4.71711208491049E-3</v>
      </c>
    </row>
    <row r="35" spans="1:23">
      <c r="A35" s="2" t="s">
        <v>26</v>
      </c>
      <c r="B35" s="2">
        <v>1182</v>
      </c>
      <c r="C35" s="2" t="s">
        <v>1657</v>
      </c>
      <c r="D35" s="2" t="s">
        <v>1658</v>
      </c>
      <c r="E35" s="4" t="s">
        <v>361</v>
      </c>
      <c r="F35" s="2" t="s">
        <v>1698</v>
      </c>
      <c r="G35" s="2" t="s">
        <v>1699</v>
      </c>
      <c r="H35" s="2" t="s">
        <v>367</v>
      </c>
      <c r="I35" s="2" t="s">
        <v>1025</v>
      </c>
      <c r="J35" s="2" t="s">
        <v>94</v>
      </c>
      <c r="K35" s="2" t="s">
        <v>95</v>
      </c>
      <c r="L35" s="2" t="s">
        <v>392</v>
      </c>
      <c r="M35" s="2" t="s">
        <v>780</v>
      </c>
      <c r="N35" s="2" t="s">
        <v>164</v>
      </c>
      <c r="O35" s="2" t="s">
        <v>99</v>
      </c>
      <c r="P35" s="152">
        <v>1887</v>
      </c>
      <c r="Q35" s="150">
        <v>3.7589999999999999</v>
      </c>
      <c r="R35" s="150">
        <v>5920</v>
      </c>
      <c r="T35" s="150">
        <v>419.91899999999998</v>
      </c>
      <c r="U35" s="164">
        <v>0</v>
      </c>
      <c r="V35" s="164">
        <v>4.6791468913664203E-3</v>
      </c>
      <c r="W35" s="164">
        <v>1.0625429425906001E-3</v>
      </c>
    </row>
    <row r="36" spans="1:23">
      <c r="A36" s="2" t="s">
        <v>26</v>
      </c>
      <c r="B36" s="2">
        <v>1182</v>
      </c>
      <c r="C36" s="2" t="s">
        <v>1657</v>
      </c>
      <c r="D36" s="2" t="s">
        <v>1658</v>
      </c>
      <c r="E36" s="4" t="s">
        <v>361</v>
      </c>
      <c r="F36" s="2" t="s">
        <v>1700</v>
      </c>
      <c r="G36" s="2" t="s">
        <v>1701</v>
      </c>
      <c r="H36" s="2" t="s">
        <v>367</v>
      </c>
      <c r="I36" s="2" t="s">
        <v>1025</v>
      </c>
      <c r="J36" s="2" t="s">
        <v>94</v>
      </c>
      <c r="K36" s="2" t="s">
        <v>95</v>
      </c>
      <c r="L36" s="2" t="s">
        <v>390</v>
      </c>
      <c r="M36" s="2" t="s">
        <v>780</v>
      </c>
      <c r="N36" s="2" t="s">
        <v>164</v>
      </c>
      <c r="O36" s="2" t="s">
        <v>99</v>
      </c>
      <c r="P36" s="152">
        <v>3711</v>
      </c>
      <c r="Q36" s="150">
        <v>3.7589999999999999</v>
      </c>
      <c r="R36" s="150">
        <v>11693</v>
      </c>
      <c r="T36" s="150">
        <v>1631.1320000000001</v>
      </c>
      <c r="U36" s="164">
        <v>8.0699999999999999E-4</v>
      </c>
      <c r="V36" s="164">
        <v>1.8175651052486998E-2</v>
      </c>
      <c r="W36" s="164">
        <v>4.1273356449747596E-3</v>
      </c>
    </row>
    <row r="37" spans="1:23">
      <c r="A37" s="2" t="s">
        <v>26</v>
      </c>
      <c r="B37" s="2">
        <v>1182</v>
      </c>
      <c r="C37" s="2" t="s">
        <v>1657</v>
      </c>
      <c r="D37" s="2" t="s">
        <v>1658</v>
      </c>
      <c r="E37" s="4" t="s">
        <v>361</v>
      </c>
      <c r="F37" s="2" t="s">
        <v>1702</v>
      </c>
      <c r="G37" s="2" t="s">
        <v>1703</v>
      </c>
      <c r="H37" s="2" t="s">
        <v>367</v>
      </c>
      <c r="I37" s="2" t="s">
        <v>1027</v>
      </c>
      <c r="J37" s="2" t="s">
        <v>94</v>
      </c>
      <c r="K37" s="2" t="s">
        <v>95</v>
      </c>
      <c r="L37" s="2" t="s">
        <v>426</v>
      </c>
      <c r="M37" s="2" t="s">
        <v>777</v>
      </c>
      <c r="N37" s="2" t="s">
        <v>164</v>
      </c>
      <c r="O37" s="2" t="s">
        <v>99</v>
      </c>
      <c r="P37" s="152">
        <v>222090</v>
      </c>
      <c r="Q37" s="150">
        <v>3.7589999999999999</v>
      </c>
      <c r="R37" s="150">
        <v>576.5</v>
      </c>
      <c r="T37" s="150">
        <v>4812.8310000000001</v>
      </c>
      <c r="U37" s="164">
        <v>0</v>
      </c>
      <c r="V37" s="164">
        <v>5.3629208572720799E-2</v>
      </c>
      <c r="W37" s="164">
        <v>1.2178146659769301E-2</v>
      </c>
    </row>
    <row r="38" spans="1:23">
      <c r="A38" s="2" t="s">
        <v>26</v>
      </c>
      <c r="B38" s="2">
        <v>1182</v>
      </c>
      <c r="C38" s="2" t="s">
        <v>1704</v>
      </c>
      <c r="D38" s="2" t="s">
        <v>1641</v>
      </c>
      <c r="E38" s="4" t="s">
        <v>361</v>
      </c>
      <c r="F38" s="2" t="s">
        <v>1705</v>
      </c>
      <c r="G38" s="2" t="s">
        <v>1706</v>
      </c>
      <c r="H38" s="2" t="s">
        <v>367</v>
      </c>
      <c r="I38" s="2" t="s">
        <v>1025</v>
      </c>
      <c r="J38" s="2" t="s">
        <v>94</v>
      </c>
      <c r="K38" s="2" t="s">
        <v>342</v>
      </c>
      <c r="L38" s="2" t="s">
        <v>410</v>
      </c>
      <c r="M38" s="2" t="s">
        <v>780</v>
      </c>
      <c r="N38" s="2" t="s">
        <v>164</v>
      </c>
      <c r="O38" s="2" t="s">
        <v>1219</v>
      </c>
      <c r="P38" s="152">
        <v>1297</v>
      </c>
      <c r="Q38" s="150">
        <v>4.0199999999999996</v>
      </c>
      <c r="R38" s="150">
        <v>23725</v>
      </c>
      <c r="T38" s="150">
        <v>1237.069</v>
      </c>
      <c r="U38" s="164">
        <v>5.8E-5</v>
      </c>
      <c r="V38" s="164">
        <v>1.3784613794798201E-2</v>
      </c>
      <c r="W38" s="164">
        <v>3.1302167775550801E-3</v>
      </c>
    </row>
    <row r="39" spans="1:23">
      <c r="A39" s="2" t="s">
        <v>26</v>
      </c>
      <c r="B39" s="2">
        <v>1182</v>
      </c>
      <c r="C39" s="2" t="s">
        <v>1704</v>
      </c>
      <c r="D39" s="2" t="s">
        <v>1641</v>
      </c>
      <c r="E39" s="4" t="s">
        <v>361</v>
      </c>
      <c r="F39" s="2" t="s">
        <v>1707</v>
      </c>
      <c r="G39" s="2" t="s">
        <v>1708</v>
      </c>
      <c r="H39" s="2" t="s">
        <v>367</v>
      </c>
      <c r="I39" s="2" t="s">
        <v>1025</v>
      </c>
      <c r="J39" s="2" t="s">
        <v>94</v>
      </c>
      <c r="K39" s="2" t="s">
        <v>330</v>
      </c>
      <c r="L39" s="2" t="s">
        <v>410</v>
      </c>
      <c r="M39" s="2" t="s">
        <v>780</v>
      </c>
      <c r="N39" s="2" t="s">
        <v>164</v>
      </c>
      <c r="O39" s="2" t="s">
        <v>1219</v>
      </c>
      <c r="P39" s="152">
        <v>12880</v>
      </c>
      <c r="Q39" s="150">
        <v>4.0199999999999996</v>
      </c>
      <c r="R39" s="150">
        <v>7566</v>
      </c>
      <c r="T39" s="150">
        <v>3917.6880000000001</v>
      </c>
      <c r="U39" s="164">
        <v>1.9799999999999999E-4</v>
      </c>
      <c r="V39" s="164">
        <v>4.3654659559579902E-2</v>
      </c>
      <c r="W39" s="164">
        <v>9.9131212383634804E-3</v>
      </c>
    </row>
    <row r="40" spans="1:23">
      <c r="A40" s="2" t="s">
        <v>26</v>
      </c>
      <c r="B40" s="2">
        <v>1182</v>
      </c>
      <c r="C40" s="2" t="s">
        <v>1704</v>
      </c>
      <c r="D40" s="2" t="s">
        <v>1641</v>
      </c>
      <c r="E40" s="4" t="s">
        <v>361</v>
      </c>
      <c r="F40" s="2" t="s">
        <v>1709</v>
      </c>
      <c r="G40" s="2" t="s">
        <v>1710</v>
      </c>
      <c r="H40" s="2" t="s">
        <v>367</v>
      </c>
      <c r="I40" s="2" t="s">
        <v>1025</v>
      </c>
      <c r="J40" s="2" t="s">
        <v>94</v>
      </c>
      <c r="K40" s="2" t="s">
        <v>330</v>
      </c>
      <c r="L40" s="2" t="s">
        <v>410</v>
      </c>
      <c r="M40" s="2" t="s">
        <v>780</v>
      </c>
      <c r="N40" s="2" t="s">
        <v>164</v>
      </c>
      <c r="O40" s="2" t="s">
        <v>1219</v>
      </c>
      <c r="P40" s="152">
        <v>919</v>
      </c>
      <c r="Q40" s="150">
        <v>4.0199999999999996</v>
      </c>
      <c r="R40" s="150">
        <v>15668.6</v>
      </c>
      <c r="T40" s="150">
        <v>578.88599999999997</v>
      </c>
      <c r="U40" s="164">
        <v>2.8600000000000001E-4</v>
      </c>
      <c r="V40" s="164">
        <v>6.4505108612988296E-3</v>
      </c>
      <c r="W40" s="164">
        <v>1.4647851309014101E-3</v>
      </c>
    </row>
    <row r="41" spans="1:23">
      <c r="A41" s="2" t="s">
        <v>26</v>
      </c>
      <c r="B41" s="2">
        <v>1182</v>
      </c>
      <c r="C41" s="2" t="s">
        <v>1711</v>
      </c>
      <c r="D41" s="2" t="s">
        <v>1712</v>
      </c>
      <c r="E41" s="4" t="s">
        <v>361</v>
      </c>
      <c r="F41" s="2" t="s">
        <v>1713</v>
      </c>
      <c r="G41" s="2" t="s">
        <v>1714</v>
      </c>
      <c r="H41" s="2" t="s">
        <v>367</v>
      </c>
      <c r="I41" s="2" t="s">
        <v>1025</v>
      </c>
      <c r="J41" s="2" t="s">
        <v>94</v>
      </c>
      <c r="K41" s="2" t="s">
        <v>1715</v>
      </c>
      <c r="L41" s="2" t="s">
        <v>390</v>
      </c>
      <c r="M41" s="2" t="s">
        <v>780</v>
      </c>
      <c r="N41" s="2" t="s">
        <v>164</v>
      </c>
      <c r="O41" s="2" t="s">
        <v>99</v>
      </c>
      <c r="P41" s="152">
        <v>2853</v>
      </c>
      <c r="Q41" s="150">
        <v>3.7589999999999999</v>
      </c>
      <c r="R41" s="150">
        <v>8831</v>
      </c>
      <c r="T41" s="150">
        <v>947.07399999999996</v>
      </c>
      <c r="U41" s="164">
        <v>3.6999999999999998E-5</v>
      </c>
      <c r="V41" s="164">
        <v>1.05532136042763E-2</v>
      </c>
      <c r="W41" s="164">
        <v>2.39642885705612E-3</v>
      </c>
    </row>
    <row r="42" spans="1:23">
      <c r="A42" s="2" t="s">
        <v>26</v>
      </c>
      <c r="B42" s="2">
        <v>1182</v>
      </c>
      <c r="C42" s="2" t="s">
        <v>1657</v>
      </c>
      <c r="D42" s="2" t="s">
        <v>1658</v>
      </c>
      <c r="E42" s="4" t="s">
        <v>361</v>
      </c>
      <c r="F42" s="2" t="s">
        <v>1716</v>
      </c>
      <c r="G42" s="2" t="s">
        <v>1717</v>
      </c>
      <c r="H42" s="2" t="s">
        <v>367</v>
      </c>
      <c r="I42" s="2" t="s">
        <v>1025</v>
      </c>
      <c r="J42" s="2" t="s">
        <v>94</v>
      </c>
      <c r="K42" s="2" t="s">
        <v>317</v>
      </c>
      <c r="L42" s="2" t="s">
        <v>392</v>
      </c>
      <c r="M42" s="2" t="s">
        <v>780</v>
      </c>
      <c r="N42" s="2" t="s">
        <v>164</v>
      </c>
      <c r="O42" s="2" t="s">
        <v>99</v>
      </c>
      <c r="P42" s="152">
        <v>2712</v>
      </c>
      <c r="Q42" s="150">
        <v>3.7589999999999999</v>
      </c>
      <c r="R42" s="150">
        <v>4217</v>
      </c>
      <c r="T42" s="150">
        <v>429.89800000000002</v>
      </c>
      <c r="U42" s="164">
        <v>1.7E-5</v>
      </c>
      <c r="V42" s="164">
        <v>4.7903402135969098E-3</v>
      </c>
      <c r="W42" s="164">
        <v>1.08779277606285E-3</v>
      </c>
    </row>
    <row r="43" spans="1:23">
      <c r="A43" s="2" t="s">
        <v>26</v>
      </c>
      <c r="B43" s="2">
        <v>1182</v>
      </c>
      <c r="C43" s="2" t="s">
        <v>1630</v>
      </c>
      <c r="D43" s="2" t="s">
        <v>1631</v>
      </c>
      <c r="E43" s="4" t="s">
        <v>361</v>
      </c>
      <c r="F43" s="2" t="s">
        <v>1718</v>
      </c>
      <c r="G43" s="2" t="s">
        <v>1719</v>
      </c>
      <c r="H43" s="2" t="s">
        <v>367</v>
      </c>
      <c r="I43" s="2" t="s">
        <v>1025</v>
      </c>
      <c r="J43" s="2" t="s">
        <v>94</v>
      </c>
      <c r="K43" s="2" t="s">
        <v>95</v>
      </c>
      <c r="L43" s="2" t="s">
        <v>390</v>
      </c>
      <c r="M43" s="2" t="s">
        <v>780</v>
      </c>
      <c r="N43" s="2" t="s">
        <v>164</v>
      </c>
      <c r="O43" s="2" t="s">
        <v>99</v>
      </c>
      <c r="P43" s="152">
        <v>4339</v>
      </c>
      <c r="Q43" s="150">
        <v>3.7589999999999999</v>
      </c>
      <c r="R43" s="150">
        <v>9115</v>
      </c>
      <c r="T43" s="150">
        <v>1486.684</v>
      </c>
      <c r="U43" s="164">
        <v>9.0000000000000002E-6</v>
      </c>
      <c r="V43" s="164">
        <v>1.65660663077331E-2</v>
      </c>
      <c r="W43" s="164">
        <v>3.7618303614805901E-3</v>
      </c>
    </row>
    <row r="44" spans="1:23">
      <c r="A44" s="2" t="s">
        <v>26</v>
      </c>
      <c r="B44" s="2">
        <v>1182</v>
      </c>
      <c r="C44" s="2" t="s">
        <v>1574</v>
      </c>
      <c r="D44" s="2" t="s">
        <v>1575</v>
      </c>
      <c r="E44" s="4" t="s">
        <v>361</v>
      </c>
      <c r="F44" s="2" t="s">
        <v>1720</v>
      </c>
      <c r="G44" s="2" t="s">
        <v>1721</v>
      </c>
      <c r="H44" s="2" t="s">
        <v>367</v>
      </c>
      <c r="I44" s="2" t="s">
        <v>1025</v>
      </c>
      <c r="J44" s="2" t="s">
        <v>94</v>
      </c>
      <c r="K44" s="2" t="s">
        <v>95</v>
      </c>
      <c r="L44" s="2" t="s">
        <v>392</v>
      </c>
      <c r="M44" s="2" t="s">
        <v>780</v>
      </c>
      <c r="N44" s="2" t="s">
        <v>164</v>
      </c>
      <c r="O44" s="2" t="s">
        <v>99</v>
      </c>
      <c r="P44" s="152">
        <v>1115</v>
      </c>
      <c r="Q44" s="150">
        <v>3.7589999999999999</v>
      </c>
      <c r="R44" s="150">
        <v>47911</v>
      </c>
      <c r="S44" s="155">
        <v>0.59299999999999997</v>
      </c>
      <c r="T44" s="150">
        <v>2010.317</v>
      </c>
      <c r="U44" s="164">
        <v>1.9999999999999999E-6</v>
      </c>
      <c r="V44" s="164">
        <v>2.2400892685980701E-2</v>
      </c>
      <c r="W44" s="164">
        <v>5.0868055617436401E-3</v>
      </c>
    </row>
    <row r="45" spans="1:23">
      <c r="A45" s="2" t="s">
        <v>26</v>
      </c>
      <c r="B45" s="2">
        <v>1182</v>
      </c>
      <c r="C45" s="2" t="s">
        <v>1630</v>
      </c>
      <c r="D45" s="2" t="s">
        <v>1631</v>
      </c>
      <c r="E45" s="4" t="s">
        <v>361</v>
      </c>
      <c r="F45" s="2" t="s">
        <v>1722</v>
      </c>
      <c r="G45" s="2" t="s">
        <v>1723</v>
      </c>
      <c r="H45" s="2" t="s">
        <v>367</v>
      </c>
      <c r="I45" s="2" t="s">
        <v>1025</v>
      </c>
      <c r="J45" s="2" t="s">
        <v>94</v>
      </c>
      <c r="K45" s="2" t="s">
        <v>95</v>
      </c>
      <c r="L45" s="2" t="s">
        <v>390</v>
      </c>
      <c r="M45" s="2" t="s">
        <v>780</v>
      </c>
      <c r="N45" s="2" t="s">
        <v>164</v>
      </c>
      <c r="O45" s="2" t="s">
        <v>99</v>
      </c>
      <c r="P45" s="152">
        <v>4858</v>
      </c>
      <c r="Q45" s="150">
        <v>3.7589999999999999</v>
      </c>
      <c r="R45" s="150">
        <v>3841</v>
      </c>
      <c r="T45" s="150">
        <v>701.41399999999999</v>
      </c>
      <c r="U45" s="164">
        <v>7.8999999999999996E-5</v>
      </c>
      <c r="V45" s="164">
        <v>7.8158261355173002E-3</v>
      </c>
      <c r="W45" s="164">
        <v>1.77482158470642E-3</v>
      </c>
    </row>
    <row r="46" spans="1:23">
      <c r="A46" s="2" t="s">
        <v>26</v>
      </c>
      <c r="B46" s="2">
        <v>1182</v>
      </c>
      <c r="C46" s="2" t="s">
        <v>1724</v>
      </c>
      <c r="D46" s="2" t="s">
        <v>1725</v>
      </c>
      <c r="E46" s="4" t="s">
        <v>34</v>
      </c>
      <c r="F46" s="2" t="s">
        <v>1726</v>
      </c>
      <c r="G46" s="2" t="s">
        <v>1727</v>
      </c>
      <c r="H46" s="2" t="s">
        <v>367</v>
      </c>
      <c r="I46" s="2" t="s">
        <v>1025</v>
      </c>
      <c r="J46" s="2" t="s">
        <v>94</v>
      </c>
      <c r="K46" s="2" t="s">
        <v>95</v>
      </c>
      <c r="L46" s="2" t="s">
        <v>1564</v>
      </c>
      <c r="M46" s="2" t="s">
        <v>780</v>
      </c>
      <c r="N46" s="2" t="s">
        <v>164</v>
      </c>
      <c r="O46" s="2" t="s">
        <v>1219</v>
      </c>
      <c r="P46" s="152">
        <v>1500</v>
      </c>
      <c r="Q46" s="150">
        <v>4.0199999999999996</v>
      </c>
      <c r="R46" s="150">
        <v>12118</v>
      </c>
      <c r="T46" s="150">
        <v>730.75199999999995</v>
      </c>
      <c r="U46" s="164">
        <v>5.9000000000000003E-4</v>
      </c>
      <c r="V46" s="164">
        <v>8.1427408455127404E-3</v>
      </c>
      <c r="W46" s="164">
        <v>1.84905753540411E-3</v>
      </c>
    </row>
    <row r="47" spans="1:23">
      <c r="A47" s="2" t="s">
        <v>26</v>
      </c>
      <c r="B47" s="2">
        <v>1182</v>
      </c>
      <c r="C47" s="2" t="s">
        <v>1630</v>
      </c>
      <c r="D47" s="2" t="s">
        <v>1631</v>
      </c>
      <c r="E47" s="4" t="s">
        <v>361</v>
      </c>
      <c r="F47" s="2" t="s">
        <v>1728</v>
      </c>
      <c r="G47" s="2" t="s">
        <v>1729</v>
      </c>
      <c r="H47" s="2" t="s">
        <v>367</v>
      </c>
      <c r="I47" s="2" t="s">
        <v>1027</v>
      </c>
      <c r="J47" s="2" t="s">
        <v>94</v>
      </c>
      <c r="K47" s="2" t="s">
        <v>95</v>
      </c>
      <c r="L47" s="2" t="s">
        <v>1564</v>
      </c>
      <c r="M47" s="2" t="s">
        <v>777</v>
      </c>
      <c r="N47" s="2" t="s">
        <v>164</v>
      </c>
      <c r="O47" s="2" t="s">
        <v>99</v>
      </c>
      <c r="P47" s="152">
        <v>124000</v>
      </c>
      <c r="Q47" s="150">
        <v>3.7589999999999999</v>
      </c>
      <c r="R47" s="150">
        <v>1015.5</v>
      </c>
      <c r="T47" s="150">
        <v>4733.4080000000004</v>
      </c>
      <c r="U47" s="164">
        <v>0</v>
      </c>
      <c r="V47" s="164">
        <v>5.2744197035785603E-2</v>
      </c>
      <c r="W47" s="164">
        <v>1.19771778112775E-2</v>
      </c>
    </row>
    <row r="48" spans="1:23">
      <c r="A48" s="2" t="s">
        <v>26</v>
      </c>
      <c r="B48" s="2">
        <v>1182</v>
      </c>
      <c r="C48" s="2" t="s">
        <v>1730</v>
      </c>
      <c r="D48" s="2" t="s">
        <v>1631</v>
      </c>
      <c r="E48" s="4" t="s">
        <v>361</v>
      </c>
      <c r="F48" s="2" t="s">
        <v>1731</v>
      </c>
      <c r="G48" s="2" t="s">
        <v>1732</v>
      </c>
      <c r="H48" s="2" t="s">
        <v>367</v>
      </c>
      <c r="I48" s="2" t="s">
        <v>1025</v>
      </c>
      <c r="J48" s="2" t="s">
        <v>94</v>
      </c>
      <c r="K48" s="2" t="s">
        <v>342</v>
      </c>
      <c r="L48" s="2" t="s">
        <v>410</v>
      </c>
      <c r="M48" s="2" t="s">
        <v>780</v>
      </c>
      <c r="N48" s="2" t="s">
        <v>164</v>
      </c>
      <c r="O48" s="2" t="s">
        <v>1219</v>
      </c>
      <c r="P48" s="152">
        <v>900</v>
      </c>
      <c r="Q48" s="150">
        <v>4.0199999999999996</v>
      </c>
      <c r="R48" s="150">
        <v>17352</v>
      </c>
      <c r="T48" s="150">
        <v>627.827</v>
      </c>
      <c r="U48" s="164">
        <v>1.029E-3</v>
      </c>
      <c r="V48" s="164">
        <v>6.9958494380922796E-3</v>
      </c>
      <c r="W48" s="164">
        <v>1.58862087907239E-3</v>
      </c>
    </row>
    <row r="49" spans="1:23">
      <c r="A49" s="2" t="s">
        <v>26</v>
      </c>
      <c r="B49" s="2">
        <v>1182</v>
      </c>
      <c r="C49" s="2" t="s">
        <v>1669</v>
      </c>
      <c r="D49" s="2" t="s">
        <v>1670</v>
      </c>
      <c r="E49" s="4" t="s">
        <v>361</v>
      </c>
      <c r="F49" s="2" t="s">
        <v>1733</v>
      </c>
      <c r="G49" s="2" t="s">
        <v>1734</v>
      </c>
      <c r="H49" s="2" t="s">
        <v>367</v>
      </c>
      <c r="I49" s="2" t="s">
        <v>1025</v>
      </c>
      <c r="J49" s="2" t="s">
        <v>94</v>
      </c>
      <c r="K49" s="2" t="s">
        <v>95</v>
      </c>
      <c r="L49" s="2" t="s">
        <v>392</v>
      </c>
      <c r="M49" s="2" t="s">
        <v>780</v>
      </c>
      <c r="N49" s="2" t="s">
        <v>164</v>
      </c>
      <c r="O49" s="2" t="s">
        <v>99</v>
      </c>
      <c r="P49" s="152">
        <v>1043</v>
      </c>
      <c r="Q49" s="150">
        <v>3.7589999999999999</v>
      </c>
      <c r="R49" s="150">
        <v>26070</v>
      </c>
      <c r="T49" s="150">
        <v>1022.11</v>
      </c>
      <c r="U49" s="164">
        <v>4.6E-5</v>
      </c>
      <c r="V49" s="164">
        <v>1.13893361687554E-2</v>
      </c>
      <c r="W49" s="164">
        <v>2.5862959740015601E-3</v>
      </c>
    </row>
    <row r="50" spans="1:23">
      <c r="A50" s="2" t="s">
        <v>26</v>
      </c>
      <c r="B50" s="2">
        <v>1182</v>
      </c>
      <c r="C50" s="2" t="s">
        <v>1735</v>
      </c>
      <c r="D50" s="2" t="s">
        <v>1736</v>
      </c>
      <c r="E50" s="4" t="s">
        <v>361</v>
      </c>
      <c r="F50" s="2" t="s">
        <v>1737</v>
      </c>
      <c r="G50" s="2" t="s">
        <v>1738</v>
      </c>
      <c r="H50" s="2" t="s">
        <v>367</v>
      </c>
      <c r="I50" s="2" t="s">
        <v>1025</v>
      </c>
      <c r="J50" s="2" t="s">
        <v>94</v>
      </c>
      <c r="K50" s="2" t="s">
        <v>95</v>
      </c>
      <c r="L50" s="2" t="s">
        <v>390</v>
      </c>
      <c r="M50" s="2" t="s">
        <v>780</v>
      </c>
      <c r="N50" s="2" t="s">
        <v>164</v>
      </c>
      <c r="O50" s="2" t="s">
        <v>99</v>
      </c>
      <c r="P50" s="152">
        <v>8340</v>
      </c>
      <c r="Q50" s="150">
        <v>3.7589999999999999</v>
      </c>
      <c r="R50" s="150">
        <v>9911</v>
      </c>
      <c r="S50" s="155">
        <v>2.1640000000000001</v>
      </c>
      <c r="T50" s="150">
        <v>3115.24</v>
      </c>
      <c r="U50" s="164">
        <v>1.0460000000000001E-3</v>
      </c>
      <c r="V50" s="164">
        <v>3.4713004647133602E-2</v>
      </c>
      <c r="W50" s="164">
        <v>7.8826459096597405E-3</v>
      </c>
    </row>
    <row r="51" spans="1:23">
      <c r="A51" s="2" t="s">
        <v>26</v>
      </c>
      <c r="B51" s="2">
        <v>1182</v>
      </c>
      <c r="C51" s="2" t="s">
        <v>1739</v>
      </c>
      <c r="D51" s="2" t="s">
        <v>1740</v>
      </c>
      <c r="E51" s="4" t="s">
        <v>361</v>
      </c>
      <c r="F51" s="2" t="s">
        <v>1741</v>
      </c>
      <c r="G51" s="2" t="s">
        <v>1742</v>
      </c>
      <c r="H51" s="2" t="s">
        <v>367</v>
      </c>
      <c r="I51" s="2" t="s">
        <v>1025</v>
      </c>
      <c r="J51" s="2" t="s">
        <v>94</v>
      </c>
      <c r="K51" s="2" t="s">
        <v>293</v>
      </c>
      <c r="L51" s="2" t="s">
        <v>390</v>
      </c>
      <c r="M51" s="2" t="s">
        <v>780</v>
      </c>
      <c r="N51" s="2" t="s">
        <v>164</v>
      </c>
      <c r="O51" s="2" t="s">
        <v>99</v>
      </c>
      <c r="P51" s="152">
        <v>17508</v>
      </c>
      <c r="Q51" s="150">
        <v>3.7589999999999999</v>
      </c>
      <c r="R51" s="150">
        <v>4828</v>
      </c>
      <c r="T51" s="150">
        <v>3177.431</v>
      </c>
      <c r="U51" s="164">
        <v>7.9600000000000005E-4</v>
      </c>
      <c r="V51" s="164">
        <v>3.5406000535409501E-2</v>
      </c>
      <c r="W51" s="164">
        <v>8.0400117516448294E-3</v>
      </c>
    </row>
    <row r="52" spans="1:23">
      <c r="A52" s="2" t="s">
        <v>26</v>
      </c>
      <c r="B52" s="2">
        <v>14769</v>
      </c>
      <c r="C52" s="2" t="s">
        <v>1743</v>
      </c>
      <c r="D52" s="2" t="s">
        <v>1744</v>
      </c>
      <c r="E52" s="4" t="s">
        <v>1376</v>
      </c>
      <c r="F52" s="2" t="s">
        <v>1745</v>
      </c>
      <c r="G52" s="2" t="s">
        <v>1746</v>
      </c>
      <c r="H52" s="2" t="s">
        <v>367</v>
      </c>
      <c r="I52" s="2" t="s">
        <v>1025</v>
      </c>
      <c r="J52" s="2" t="s">
        <v>31</v>
      </c>
      <c r="K52" s="2" t="s">
        <v>282</v>
      </c>
      <c r="L52" s="2" t="s">
        <v>32</v>
      </c>
      <c r="M52" s="2" t="s">
        <v>1609</v>
      </c>
      <c r="N52" s="2" t="s">
        <v>164</v>
      </c>
      <c r="O52" s="2" t="s">
        <v>35</v>
      </c>
      <c r="P52" s="152">
        <v>1098</v>
      </c>
      <c r="Q52" s="150">
        <v>1</v>
      </c>
      <c r="R52" s="150">
        <v>4372</v>
      </c>
      <c r="T52" s="150">
        <v>48.005000000000003</v>
      </c>
      <c r="U52" s="164">
        <v>6.9999999999999994E-5</v>
      </c>
      <c r="V52" s="164">
        <v>6.2928878581949002E-3</v>
      </c>
      <c r="W52" s="164">
        <v>4.3069868589670404E-3</v>
      </c>
    </row>
    <row r="53" spans="1:23">
      <c r="A53" s="2" t="s">
        <v>26</v>
      </c>
      <c r="B53" s="2">
        <v>14769</v>
      </c>
      <c r="C53" s="2" t="s">
        <v>1602</v>
      </c>
      <c r="D53" s="2" t="s">
        <v>1603</v>
      </c>
      <c r="E53" s="4" t="s">
        <v>1376</v>
      </c>
      <c r="F53" s="2" t="s">
        <v>1610</v>
      </c>
      <c r="G53" s="2" t="s">
        <v>1611</v>
      </c>
      <c r="H53" s="2" t="s">
        <v>367</v>
      </c>
      <c r="I53" s="2" t="s">
        <v>1024</v>
      </c>
      <c r="J53" s="2" t="s">
        <v>31</v>
      </c>
      <c r="K53" s="2" t="s">
        <v>31</v>
      </c>
      <c r="L53" s="2" t="s">
        <v>32</v>
      </c>
      <c r="M53" s="2" t="s">
        <v>1606</v>
      </c>
      <c r="N53" s="2" t="s">
        <v>164</v>
      </c>
      <c r="O53" s="2" t="s">
        <v>35</v>
      </c>
      <c r="P53" s="152">
        <v>1231</v>
      </c>
      <c r="Q53" s="150">
        <v>1</v>
      </c>
      <c r="R53" s="150">
        <v>3016</v>
      </c>
      <c r="T53" s="150">
        <v>37.127000000000002</v>
      </c>
      <c r="U53" s="164">
        <v>3.1000000000000001E-5</v>
      </c>
      <c r="V53" s="164">
        <v>4.8669500521552004E-3</v>
      </c>
      <c r="W53" s="164">
        <v>3.3310445681284302E-3</v>
      </c>
    </row>
    <row r="54" spans="1:23">
      <c r="A54" s="2" t="s">
        <v>26</v>
      </c>
      <c r="B54" s="2">
        <v>14769</v>
      </c>
      <c r="C54" s="2" t="s">
        <v>1602</v>
      </c>
      <c r="D54" s="2" t="s">
        <v>1603</v>
      </c>
      <c r="E54" s="4" t="s">
        <v>1376</v>
      </c>
      <c r="F54" s="2" t="s">
        <v>1614</v>
      </c>
      <c r="G54" s="2" t="s">
        <v>1615</v>
      </c>
      <c r="H54" s="2" t="s">
        <v>367</v>
      </c>
      <c r="I54" s="2" t="s">
        <v>1024</v>
      </c>
      <c r="J54" s="2" t="s">
        <v>31</v>
      </c>
      <c r="K54" s="2" t="s">
        <v>31</v>
      </c>
      <c r="L54" s="2" t="s">
        <v>32</v>
      </c>
      <c r="M54" s="2" t="s">
        <v>1606</v>
      </c>
      <c r="N54" s="2" t="s">
        <v>164</v>
      </c>
      <c r="O54" s="2" t="s">
        <v>35</v>
      </c>
      <c r="P54" s="152">
        <v>8437</v>
      </c>
      <c r="Q54" s="150">
        <v>1</v>
      </c>
      <c r="R54" s="150">
        <v>2678</v>
      </c>
      <c r="T54" s="150">
        <v>225.94300000000001</v>
      </c>
      <c r="U54" s="164">
        <v>2.34E-4</v>
      </c>
      <c r="V54" s="164">
        <v>2.96187087297505E-2</v>
      </c>
      <c r="W54" s="164">
        <v>2.0271676876059901E-2</v>
      </c>
    </row>
    <row r="55" spans="1:23">
      <c r="A55" s="2" t="s">
        <v>26</v>
      </c>
      <c r="B55" s="2">
        <v>14769</v>
      </c>
      <c r="C55" s="2" t="s">
        <v>1618</v>
      </c>
      <c r="D55" s="2" t="s">
        <v>1619</v>
      </c>
      <c r="E55" s="4" t="s">
        <v>1376</v>
      </c>
      <c r="F55" s="2" t="s">
        <v>1747</v>
      </c>
      <c r="G55" s="2" t="s">
        <v>1748</v>
      </c>
      <c r="H55" s="2" t="s">
        <v>367</v>
      </c>
      <c r="I55" s="2" t="s">
        <v>1025</v>
      </c>
      <c r="J55" s="2" t="s">
        <v>31</v>
      </c>
      <c r="K55" s="2" t="s">
        <v>1644</v>
      </c>
      <c r="L55" s="2" t="s">
        <v>32</v>
      </c>
      <c r="M55" s="2" t="s">
        <v>1609</v>
      </c>
      <c r="N55" s="2" t="s">
        <v>164</v>
      </c>
      <c r="O55" s="2" t="s">
        <v>35</v>
      </c>
      <c r="P55" s="152">
        <v>13977</v>
      </c>
      <c r="Q55" s="150">
        <v>1</v>
      </c>
      <c r="R55" s="150">
        <v>3407</v>
      </c>
      <c r="T55" s="150">
        <v>476.19600000000003</v>
      </c>
      <c r="U55" s="164">
        <v>6.6299999999999996E-4</v>
      </c>
      <c r="V55" s="164">
        <v>6.24242880415369E-2</v>
      </c>
      <c r="W55" s="164">
        <v>4.2724516046341102E-2</v>
      </c>
    </row>
    <row r="56" spans="1:23">
      <c r="A56" s="2" t="s">
        <v>26</v>
      </c>
      <c r="B56" s="2">
        <v>14769</v>
      </c>
      <c r="C56" s="2" t="s">
        <v>1618</v>
      </c>
      <c r="D56" s="2" t="s">
        <v>1619</v>
      </c>
      <c r="E56" s="4" t="s">
        <v>1376</v>
      </c>
      <c r="F56" s="2" t="s">
        <v>1749</v>
      </c>
      <c r="G56" s="2" t="s">
        <v>1750</v>
      </c>
      <c r="H56" s="2" t="s">
        <v>367</v>
      </c>
      <c r="I56" s="2" t="s">
        <v>1025</v>
      </c>
      <c r="J56" s="2" t="s">
        <v>94</v>
      </c>
      <c r="K56" s="2" t="s">
        <v>95</v>
      </c>
      <c r="L56" s="2" t="s">
        <v>32</v>
      </c>
      <c r="M56" s="2" t="s">
        <v>1609</v>
      </c>
      <c r="N56" s="2" t="s">
        <v>164</v>
      </c>
      <c r="O56" s="2" t="s">
        <v>35</v>
      </c>
      <c r="P56" s="152">
        <v>1416</v>
      </c>
      <c r="Q56" s="150">
        <v>1</v>
      </c>
      <c r="R56" s="150">
        <v>7892</v>
      </c>
      <c r="T56" s="150">
        <v>111.751</v>
      </c>
      <c r="U56" s="164">
        <v>1.4E-5</v>
      </c>
      <c r="V56" s="164">
        <v>1.4649332251614E-2</v>
      </c>
      <c r="W56" s="164">
        <v>1.0026315885826399E-2</v>
      </c>
    </row>
    <row r="57" spans="1:23">
      <c r="A57" s="2" t="s">
        <v>26</v>
      </c>
      <c r="B57" s="2">
        <v>14769</v>
      </c>
      <c r="C57" s="2" t="s">
        <v>1618</v>
      </c>
      <c r="D57" s="2" t="s">
        <v>1619</v>
      </c>
      <c r="E57" s="4" t="s">
        <v>1376</v>
      </c>
      <c r="F57" s="2" t="s">
        <v>1620</v>
      </c>
      <c r="G57" s="2" t="s">
        <v>1621</v>
      </c>
      <c r="H57" s="2" t="s">
        <v>367</v>
      </c>
      <c r="I57" s="2" t="s">
        <v>1024</v>
      </c>
      <c r="J57" s="2" t="s">
        <v>31</v>
      </c>
      <c r="K57" s="2" t="s">
        <v>31</v>
      </c>
      <c r="L57" s="2" t="s">
        <v>32</v>
      </c>
      <c r="M57" s="2" t="s">
        <v>1606</v>
      </c>
      <c r="N57" s="2" t="s">
        <v>164</v>
      </c>
      <c r="O57" s="2" t="s">
        <v>35</v>
      </c>
      <c r="P57" s="152">
        <v>4189</v>
      </c>
      <c r="Q57" s="150">
        <v>1</v>
      </c>
      <c r="R57" s="150">
        <v>1784</v>
      </c>
      <c r="T57" s="150">
        <v>74.731999999999999</v>
      </c>
      <c r="U57" s="164">
        <v>8.6000000000000003E-5</v>
      </c>
      <c r="V57" s="164">
        <v>9.7965398521626893E-3</v>
      </c>
      <c r="W57" s="164">
        <v>6.7049611175996398E-3</v>
      </c>
    </row>
    <row r="58" spans="1:23">
      <c r="A58" s="2" t="s">
        <v>26</v>
      </c>
      <c r="B58" s="2">
        <v>14769</v>
      </c>
      <c r="C58" s="2" t="s">
        <v>1618</v>
      </c>
      <c r="D58" s="2" t="s">
        <v>1619</v>
      </c>
      <c r="E58" s="4" t="s">
        <v>1376</v>
      </c>
      <c r="F58" s="2" t="s">
        <v>1622</v>
      </c>
      <c r="G58" s="2" t="s">
        <v>1623</v>
      </c>
      <c r="H58" s="2" t="s">
        <v>367</v>
      </c>
      <c r="I58" s="2" t="s">
        <v>1024</v>
      </c>
      <c r="J58" s="2" t="s">
        <v>31</v>
      </c>
      <c r="K58" s="2" t="s">
        <v>31</v>
      </c>
      <c r="L58" s="2" t="s">
        <v>32</v>
      </c>
      <c r="M58" s="2" t="s">
        <v>1606</v>
      </c>
      <c r="N58" s="2" t="s">
        <v>164</v>
      </c>
      <c r="O58" s="2" t="s">
        <v>35</v>
      </c>
      <c r="P58" s="152">
        <v>5183</v>
      </c>
      <c r="Q58" s="150">
        <v>1</v>
      </c>
      <c r="R58" s="150">
        <v>1921</v>
      </c>
      <c r="T58" s="150">
        <v>99.564999999999998</v>
      </c>
      <c r="U58" s="164">
        <v>9.1000000000000003E-5</v>
      </c>
      <c r="V58" s="164">
        <v>1.3051970178311299E-2</v>
      </c>
      <c r="W58" s="164">
        <v>8.9330471650485507E-3</v>
      </c>
    </row>
    <row r="59" spans="1:23">
      <c r="A59" s="2" t="s">
        <v>26</v>
      </c>
      <c r="B59" s="2">
        <v>14769</v>
      </c>
      <c r="C59" s="2" t="s">
        <v>1624</v>
      </c>
      <c r="D59" s="2" t="s">
        <v>1625</v>
      </c>
      <c r="E59" s="4" t="s">
        <v>1376</v>
      </c>
      <c r="F59" s="2" t="s">
        <v>1626</v>
      </c>
      <c r="G59" s="2" t="s">
        <v>1627</v>
      </c>
      <c r="H59" s="2" t="s">
        <v>367</v>
      </c>
      <c r="I59" s="2" t="s">
        <v>1025</v>
      </c>
      <c r="J59" s="2" t="s">
        <v>31</v>
      </c>
      <c r="K59" s="2" t="s">
        <v>95</v>
      </c>
      <c r="L59" s="2" t="s">
        <v>32</v>
      </c>
      <c r="M59" s="2" t="s">
        <v>1609</v>
      </c>
      <c r="N59" s="2" t="s">
        <v>164</v>
      </c>
      <c r="O59" s="2" t="s">
        <v>35</v>
      </c>
      <c r="P59" s="152">
        <v>1242</v>
      </c>
      <c r="Q59" s="150">
        <v>1</v>
      </c>
      <c r="R59" s="150">
        <v>11180</v>
      </c>
      <c r="T59" s="150">
        <v>138.85599999999999</v>
      </c>
      <c r="U59" s="164">
        <v>1.3100000000000001E-4</v>
      </c>
      <c r="V59" s="164">
        <v>1.8202494081444899E-2</v>
      </c>
      <c r="W59" s="164">
        <v>1.24581757335966E-2</v>
      </c>
    </row>
    <row r="60" spans="1:23">
      <c r="A60" s="2" t="s">
        <v>26</v>
      </c>
      <c r="B60" s="2">
        <v>14769</v>
      </c>
      <c r="C60" s="2" t="s">
        <v>1624</v>
      </c>
      <c r="D60" s="2" t="s">
        <v>1625</v>
      </c>
      <c r="E60" s="4" t="s">
        <v>1376</v>
      </c>
      <c r="F60" s="2" t="s">
        <v>1751</v>
      </c>
      <c r="G60" s="2" t="s">
        <v>1752</v>
      </c>
      <c r="H60" s="2" t="s">
        <v>367</v>
      </c>
      <c r="I60" s="2" t="s">
        <v>1025</v>
      </c>
      <c r="J60" s="2" t="s">
        <v>31</v>
      </c>
      <c r="K60" s="2" t="s">
        <v>95</v>
      </c>
      <c r="L60" s="2" t="s">
        <v>32</v>
      </c>
      <c r="M60" s="2" t="s">
        <v>1609</v>
      </c>
      <c r="N60" s="2" t="s">
        <v>164</v>
      </c>
      <c r="O60" s="2" t="s">
        <v>35</v>
      </c>
      <c r="P60" s="152">
        <v>3195</v>
      </c>
      <c r="Q60" s="150">
        <v>1</v>
      </c>
      <c r="R60" s="150">
        <v>10150</v>
      </c>
      <c r="T60" s="150">
        <v>324.29300000000001</v>
      </c>
      <c r="U60" s="164">
        <v>5.5999999999999999E-5</v>
      </c>
      <c r="V60" s="164">
        <v>4.2511301754534797E-2</v>
      </c>
      <c r="W60" s="164">
        <v>2.90956429131226E-2</v>
      </c>
    </row>
    <row r="61" spans="1:23">
      <c r="A61" s="2" t="s">
        <v>26</v>
      </c>
      <c r="B61" s="2">
        <v>14769</v>
      </c>
      <c r="C61" s="2" t="s">
        <v>1743</v>
      </c>
      <c r="D61" s="2" t="s">
        <v>1744</v>
      </c>
      <c r="E61" s="4" t="s">
        <v>1376</v>
      </c>
      <c r="F61" s="2" t="s">
        <v>1753</v>
      </c>
      <c r="G61" s="2" t="s">
        <v>1754</v>
      </c>
      <c r="H61" s="2" t="s">
        <v>367</v>
      </c>
      <c r="I61" s="2" t="s">
        <v>1025</v>
      </c>
      <c r="J61" s="2" t="s">
        <v>31</v>
      </c>
      <c r="K61" s="2" t="s">
        <v>345</v>
      </c>
      <c r="L61" s="2" t="s">
        <v>32</v>
      </c>
      <c r="M61" s="2" t="s">
        <v>1609</v>
      </c>
      <c r="N61" s="2" t="s">
        <v>164</v>
      </c>
      <c r="O61" s="2" t="s">
        <v>35</v>
      </c>
      <c r="P61" s="152">
        <v>9340</v>
      </c>
      <c r="Q61" s="150">
        <v>1</v>
      </c>
      <c r="R61" s="150">
        <v>1438</v>
      </c>
      <c r="T61" s="150">
        <v>134.309</v>
      </c>
      <c r="U61" s="164">
        <v>1.3799999999999999E-4</v>
      </c>
      <c r="V61" s="164">
        <v>1.76065093383602E-2</v>
      </c>
      <c r="W61" s="164">
        <v>1.20502710458835E-2</v>
      </c>
    </row>
    <row r="62" spans="1:23">
      <c r="A62" s="2" t="s">
        <v>26</v>
      </c>
      <c r="B62" s="2">
        <v>14769</v>
      </c>
      <c r="C62" s="2" t="s">
        <v>1743</v>
      </c>
      <c r="D62" s="2" t="s">
        <v>1744</v>
      </c>
      <c r="E62" s="4" t="s">
        <v>1376</v>
      </c>
      <c r="F62" s="2" t="s">
        <v>1755</v>
      </c>
      <c r="G62" s="2" t="s">
        <v>1756</v>
      </c>
      <c r="H62" s="2" t="s">
        <v>367</v>
      </c>
      <c r="I62" s="2" t="s">
        <v>1025</v>
      </c>
      <c r="J62" s="2" t="s">
        <v>31</v>
      </c>
      <c r="K62" s="2" t="s">
        <v>95</v>
      </c>
      <c r="L62" s="2" t="s">
        <v>32</v>
      </c>
      <c r="M62" s="2" t="s">
        <v>1609</v>
      </c>
      <c r="N62" s="2" t="s">
        <v>164</v>
      </c>
      <c r="O62" s="2" t="s">
        <v>35</v>
      </c>
      <c r="P62" s="152">
        <v>157</v>
      </c>
      <c r="Q62" s="150">
        <v>1</v>
      </c>
      <c r="R62" s="150">
        <v>22530</v>
      </c>
      <c r="T62" s="150">
        <v>35.372</v>
      </c>
      <c r="U62" s="164">
        <v>1.0000000000000001E-5</v>
      </c>
      <c r="V62" s="164">
        <v>4.6369065482290799E-3</v>
      </c>
      <c r="W62" s="164">
        <v>3.1735978805777702E-3</v>
      </c>
    </row>
    <row r="63" spans="1:23">
      <c r="A63" s="2" t="s">
        <v>26</v>
      </c>
      <c r="B63" s="2">
        <v>14769</v>
      </c>
      <c r="C63" s="2" t="s">
        <v>1743</v>
      </c>
      <c r="D63" s="2" t="s">
        <v>1744</v>
      </c>
      <c r="E63" s="4" t="s">
        <v>1376</v>
      </c>
      <c r="F63" s="2" t="s">
        <v>1757</v>
      </c>
      <c r="G63" s="2" t="s">
        <v>1758</v>
      </c>
      <c r="H63" s="2" t="s">
        <v>367</v>
      </c>
      <c r="I63" s="2" t="s">
        <v>1025</v>
      </c>
      <c r="J63" s="2" t="s">
        <v>31</v>
      </c>
      <c r="K63" s="2" t="s">
        <v>31</v>
      </c>
      <c r="L63" s="2" t="s">
        <v>118</v>
      </c>
      <c r="M63" s="2" t="s">
        <v>1609</v>
      </c>
      <c r="N63" s="2" t="s">
        <v>164</v>
      </c>
      <c r="O63" s="2" t="s">
        <v>35</v>
      </c>
      <c r="P63" s="152">
        <v>68</v>
      </c>
      <c r="Q63" s="150">
        <v>1</v>
      </c>
      <c r="R63" s="150">
        <v>47780</v>
      </c>
      <c r="T63" s="150">
        <v>32.49</v>
      </c>
      <c r="U63" s="164">
        <v>3.4999999999999997E-5</v>
      </c>
      <c r="V63" s="164">
        <v>4.2591462908501904E-3</v>
      </c>
      <c r="W63" s="164">
        <v>2.9150506919047498E-3</v>
      </c>
    </row>
    <row r="64" spans="1:23">
      <c r="A64" s="2" t="s">
        <v>26</v>
      </c>
      <c r="B64" s="2">
        <v>14769</v>
      </c>
      <c r="C64" s="2" t="s">
        <v>1630</v>
      </c>
      <c r="D64" s="2" t="s">
        <v>1631</v>
      </c>
      <c r="E64" s="4" t="s">
        <v>361</v>
      </c>
      <c r="F64" s="2" t="s">
        <v>1632</v>
      </c>
      <c r="G64" s="2" t="s">
        <v>1633</v>
      </c>
      <c r="H64" s="2" t="s">
        <v>367</v>
      </c>
      <c r="I64" s="2" t="s">
        <v>1025</v>
      </c>
      <c r="J64" s="2" t="s">
        <v>94</v>
      </c>
      <c r="K64" s="2" t="s">
        <v>95</v>
      </c>
      <c r="L64" s="2" t="s">
        <v>390</v>
      </c>
      <c r="M64" s="2" t="s">
        <v>780</v>
      </c>
      <c r="N64" s="2" t="s">
        <v>164</v>
      </c>
      <c r="O64" s="2" t="s">
        <v>99</v>
      </c>
      <c r="P64" s="152">
        <v>174</v>
      </c>
      <c r="Q64" s="150">
        <v>3.7589999999999999</v>
      </c>
      <c r="R64" s="150">
        <v>6814</v>
      </c>
      <c r="T64" s="150">
        <v>44.567999999999998</v>
      </c>
      <c r="U64" s="164">
        <v>9.9999999999999995E-7</v>
      </c>
      <c r="V64" s="164">
        <v>5.8423988527117297E-3</v>
      </c>
      <c r="W64" s="164">
        <v>3.9986625616893704E-3</v>
      </c>
    </row>
    <row r="65" spans="1:23">
      <c r="A65" s="2" t="s">
        <v>26</v>
      </c>
      <c r="B65" s="2">
        <v>14769</v>
      </c>
      <c r="C65" s="2" t="s">
        <v>1574</v>
      </c>
      <c r="D65" s="2" t="s">
        <v>1575</v>
      </c>
      <c r="E65" s="4" t="s">
        <v>361</v>
      </c>
      <c r="F65" s="2" t="s">
        <v>1634</v>
      </c>
      <c r="G65" s="2" t="s">
        <v>1635</v>
      </c>
      <c r="H65" s="2" t="s">
        <v>367</v>
      </c>
      <c r="I65" s="2" t="s">
        <v>1025</v>
      </c>
      <c r="J65" s="2" t="s">
        <v>94</v>
      </c>
      <c r="K65" s="2" t="s">
        <v>95</v>
      </c>
      <c r="L65" s="2" t="s">
        <v>390</v>
      </c>
      <c r="M65" s="2" t="s">
        <v>780</v>
      </c>
      <c r="N65" s="2" t="s">
        <v>164</v>
      </c>
      <c r="O65" s="2" t="s">
        <v>99</v>
      </c>
      <c r="P65" s="152">
        <v>66</v>
      </c>
      <c r="Q65" s="150">
        <v>3.7589999999999999</v>
      </c>
      <c r="R65" s="150">
        <v>10272</v>
      </c>
      <c r="T65" s="150">
        <v>25.484000000000002</v>
      </c>
      <c r="U65" s="164">
        <v>3.0000000000000001E-6</v>
      </c>
      <c r="V65" s="164">
        <v>3.3407099539771198E-3</v>
      </c>
      <c r="W65" s="164">
        <v>2.2864532462091502E-3</v>
      </c>
    </row>
    <row r="66" spans="1:23">
      <c r="A66" s="2" t="s">
        <v>26</v>
      </c>
      <c r="B66" s="2">
        <v>14769</v>
      </c>
      <c r="C66" s="2" t="s">
        <v>1636</v>
      </c>
      <c r="D66" s="2" t="s">
        <v>1637</v>
      </c>
      <c r="E66" s="4" t="s">
        <v>361</v>
      </c>
      <c r="F66" s="2" t="s">
        <v>1638</v>
      </c>
      <c r="G66" s="2" t="s">
        <v>1639</v>
      </c>
      <c r="H66" s="2" t="s">
        <v>34</v>
      </c>
      <c r="I66" s="2" t="s">
        <v>1025</v>
      </c>
      <c r="J66" s="2" t="s">
        <v>94</v>
      </c>
      <c r="K66" s="2" t="s">
        <v>330</v>
      </c>
      <c r="L66" s="2" t="s">
        <v>392</v>
      </c>
      <c r="M66" s="2" t="s">
        <v>780</v>
      </c>
      <c r="N66" s="2" t="s">
        <v>164</v>
      </c>
      <c r="O66" s="2" t="s">
        <v>99</v>
      </c>
      <c r="P66" s="152">
        <v>602</v>
      </c>
      <c r="Q66" s="150">
        <v>3.7589999999999999</v>
      </c>
      <c r="R66" s="150">
        <v>12799.9</v>
      </c>
      <c r="T66" s="150">
        <v>289.65100000000001</v>
      </c>
      <c r="U66" s="164">
        <v>0</v>
      </c>
      <c r="V66" s="164">
        <v>3.7970200708349403E-2</v>
      </c>
      <c r="W66" s="164">
        <v>2.5987616364438498E-2</v>
      </c>
    </row>
    <row r="67" spans="1:23">
      <c r="A67" s="2" t="s">
        <v>26</v>
      </c>
      <c r="B67" s="2">
        <v>14769</v>
      </c>
      <c r="C67" s="2" t="s">
        <v>1640</v>
      </c>
      <c r="D67" s="2" t="s">
        <v>1641</v>
      </c>
      <c r="E67" s="4" t="s">
        <v>361</v>
      </c>
      <c r="F67" s="2" t="s">
        <v>1759</v>
      </c>
      <c r="G67" s="2" t="s">
        <v>1760</v>
      </c>
      <c r="H67" s="2" t="s">
        <v>367</v>
      </c>
      <c r="I67" s="2" t="s">
        <v>1025</v>
      </c>
      <c r="J67" s="2" t="s">
        <v>94</v>
      </c>
      <c r="K67" s="2" t="s">
        <v>1644</v>
      </c>
      <c r="L67" s="2" t="s">
        <v>392</v>
      </c>
      <c r="M67" s="2" t="s">
        <v>780</v>
      </c>
      <c r="N67" s="2" t="s">
        <v>164</v>
      </c>
      <c r="O67" s="2" t="s">
        <v>99</v>
      </c>
      <c r="P67" s="152">
        <v>403</v>
      </c>
      <c r="Q67" s="150">
        <v>3.7589999999999999</v>
      </c>
      <c r="R67" s="150">
        <v>5215</v>
      </c>
      <c r="T67" s="150">
        <v>79.001000000000005</v>
      </c>
      <c r="U67" s="164">
        <v>0</v>
      </c>
      <c r="V67" s="164">
        <v>1.0356170305901099E-2</v>
      </c>
      <c r="W67" s="164">
        <v>7.0879841531985002E-3</v>
      </c>
    </row>
    <row r="68" spans="1:23">
      <c r="A68" s="2" t="s">
        <v>26</v>
      </c>
      <c r="B68" s="2">
        <v>14769</v>
      </c>
      <c r="C68" s="2" t="s">
        <v>1640</v>
      </c>
      <c r="D68" s="2" t="s">
        <v>1641</v>
      </c>
      <c r="E68" s="4" t="s">
        <v>361</v>
      </c>
      <c r="F68" s="2" t="s">
        <v>1645</v>
      </c>
      <c r="G68" s="2" t="s">
        <v>1646</v>
      </c>
      <c r="H68" s="2" t="s">
        <v>367</v>
      </c>
      <c r="I68" s="2" t="s">
        <v>1025</v>
      </c>
      <c r="J68" s="2" t="s">
        <v>94</v>
      </c>
      <c r="K68" s="2" t="s">
        <v>330</v>
      </c>
      <c r="L68" s="2" t="s">
        <v>410</v>
      </c>
      <c r="M68" s="2" t="s">
        <v>780</v>
      </c>
      <c r="N68" s="2" t="s">
        <v>164</v>
      </c>
      <c r="O68" s="2" t="s">
        <v>1219</v>
      </c>
      <c r="P68" s="152">
        <v>132</v>
      </c>
      <c r="Q68" s="150">
        <v>4.0199999999999996</v>
      </c>
      <c r="R68" s="150">
        <v>11282</v>
      </c>
      <c r="T68" s="150">
        <v>59.87</v>
      </c>
      <c r="U68" s="164">
        <v>2.5999999999999998E-5</v>
      </c>
      <c r="V68" s="164">
        <v>7.8482925804152694E-3</v>
      </c>
      <c r="W68" s="164">
        <v>5.3715390725035603E-3</v>
      </c>
    </row>
    <row r="69" spans="1:23">
      <c r="A69" s="2" t="s">
        <v>26</v>
      </c>
      <c r="B69" s="2">
        <v>14769</v>
      </c>
      <c r="C69" s="2" t="s">
        <v>1647</v>
      </c>
      <c r="D69" s="2" t="s">
        <v>1648</v>
      </c>
      <c r="E69" s="4" t="s">
        <v>361</v>
      </c>
      <c r="F69" s="2" t="s">
        <v>1649</v>
      </c>
      <c r="G69" s="2" t="s">
        <v>1650</v>
      </c>
      <c r="H69" s="2" t="s">
        <v>367</v>
      </c>
      <c r="I69" s="2" t="s">
        <v>1025</v>
      </c>
      <c r="J69" s="2" t="s">
        <v>94</v>
      </c>
      <c r="K69" s="2" t="s">
        <v>95</v>
      </c>
      <c r="L69" s="2" t="s">
        <v>1564</v>
      </c>
      <c r="M69" s="2" t="s">
        <v>780</v>
      </c>
      <c r="N69" s="2" t="s">
        <v>164</v>
      </c>
      <c r="O69" s="2" t="s">
        <v>1219</v>
      </c>
      <c r="P69" s="152">
        <v>180</v>
      </c>
      <c r="Q69" s="150">
        <v>4.0199999999999996</v>
      </c>
      <c r="R69" s="150">
        <v>6412</v>
      </c>
      <c r="T69" s="150">
        <v>46.4</v>
      </c>
      <c r="U69" s="164">
        <v>0</v>
      </c>
      <c r="V69" s="164">
        <v>6.0824868284503099E-3</v>
      </c>
      <c r="W69" s="164">
        <v>4.1629839002868003E-3</v>
      </c>
    </row>
    <row r="70" spans="1:23">
      <c r="A70" s="2" t="s">
        <v>26</v>
      </c>
      <c r="B70" s="2">
        <v>14769</v>
      </c>
      <c r="C70" s="2" t="s">
        <v>1640</v>
      </c>
      <c r="D70" s="2" t="s">
        <v>1641</v>
      </c>
      <c r="E70" s="4" t="s">
        <v>361</v>
      </c>
      <c r="F70" s="2" t="s">
        <v>1651</v>
      </c>
      <c r="G70" s="2" t="s">
        <v>1652</v>
      </c>
      <c r="H70" s="2" t="s">
        <v>367</v>
      </c>
      <c r="I70" s="2" t="s">
        <v>1025</v>
      </c>
      <c r="J70" s="2" t="s">
        <v>94</v>
      </c>
      <c r="K70" s="2" t="s">
        <v>95</v>
      </c>
      <c r="L70" s="2" t="s">
        <v>426</v>
      </c>
      <c r="M70" s="2" t="s">
        <v>780</v>
      </c>
      <c r="N70" s="2" t="s">
        <v>164</v>
      </c>
      <c r="O70" s="2" t="s">
        <v>99</v>
      </c>
      <c r="P70" s="152">
        <v>165</v>
      </c>
      <c r="Q70" s="150">
        <v>3.7589999999999999</v>
      </c>
      <c r="R70" s="150">
        <v>9337</v>
      </c>
      <c r="T70" s="150">
        <v>57.911000000000001</v>
      </c>
      <c r="U70" s="164">
        <v>0</v>
      </c>
      <c r="V70" s="164">
        <v>7.5915617309882197E-3</v>
      </c>
      <c r="W70" s="164">
        <v>5.1958269956811796E-3</v>
      </c>
    </row>
    <row r="71" spans="1:23">
      <c r="A71" s="2" t="s">
        <v>26</v>
      </c>
      <c r="B71" s="2">
        <v>14769</v>
      </c>
      <c r="C71" s="2" t="s">
        <v>1630</v>
      </c>
      <c r="D71" s="2" t="s">
        <v>1631</v>
      </c>
      <c r="E71" s="4" t="s">
        <v>361</v>
      </c>
      <c r="F71" s="2" t="s">
        <v>1653</v>
      </c>
      <c r="G71" s="2" t="s">
        <v>1654</v>
      </c>
      <c r="H71" s="2" t="s">
        <v>367</v>
      </c>
      <c r="I71" s="2" t="s">
        <v>1025</v>
      </c>
      <c r="J71" s="2" t="s">
        <v>94</v>
      </c>
      <c r="K71" s="2" t="s">
        <v>95</v>
      </c>
      <c r="L71" s="2" t="s">
        <v>390</v>
      </c>
      <c r="M71" s="2" t="s">
        <v>780</v>
      </c>
      <c r="N71" s="2" t="s">
        <v>164</v>
      </c>
      <c r="O71" s="2" t="s">
        <v>99</v>
      </c>
      <c r="P71" s="152">
        <v>68</v>
      </c>
      <c r="Q71" s="150">
        <v>3.7589999999999999</v>
      </c>
      <c r="R71" s="150">
        <v>8566</v>
      </c>
      <c r="T71" s="150">
        <v>21.896000000000001</v>
      </c>
      <c r="U71" s="164">
        <v>0</v>
      </c>
      <c r="V71" s="164">
        <v>2.87029680519008E-3</v>
      </c>
      <c r="W71" s="164">
        <v>1.9644924396976099E-3</v>
      </c>
    </row>
    <row r="72" spans="1:23">
      <c r="A72" s="2" t="s">
        <v>26</v>
      </c>
      <c r="B72" s="2">
        <v>14769</v>
      </c>
      <c r="C72" s="2" t="s">
        <v>1630</v>
      </c>
      <c r="D72" s="2" t="s">
        <v>1631</v>
      </c>
      <c r="E72" s="4" t="s">
        <v>361</v>
      </c>
      <c r="F72" s="2" t="s">
        <v>1655</v>
      </c>
      <c r="G72" s="2" t="s">
        <v>1656</v>
      </c>
      <c r="H72" s="2" t="s">
        <v>367</v>
      </c>
      <c r="I72" s="2" t="s">
        <v>1025</v>
      </c>
      <c r="J72" s="2" t="s">
        <v>94</v>
      </c>
      <c r="K72" s="2" t="s">
        <v>95</v>
      </c>
      <c r="L72" s="2" t="s">
        <v>390</v>
      </c>
      <c r="M72" s="2" t="s">
        <v>780</v>
      </c>
      <c r="N72" s="2" t="s">
        <v>164</v>
      </c>
      <c r="O72" s="2" t="s">
        <v>99</v>
      </c>
      <c r="P72" s="152">
        <v>91</v>
      </c>
      <c r="Q72" s="150">
        <v>3.7589999999999999</v>
      </c>
      <c r="R72" s="150">
        <v>18240</v>
      </c>
      <c r="T72" s="150">
        <v>62.393000000000001</v>
      </c>
      <c r="U72" s="164">
        <v>9.9999999999999995E-7</v>
      </c>
      <c r="V72" s="164">
        <v>8.1791100402526795E-3</v>
      </c>
      <c r="W72" s="164">
        <v>5.59795760789524E-3</v>
      </c>
    </row>
    <row r="73" spans="1:23">
      <c r="A73" s="2" t="s">
        <v>26</v>
      </c>
      <c r="B73" s="2">
        <v>14769</v>
      </c>
      <c r="C73" s="2" t="s">
        <v>1657</v>
      </c>
      <c r="D73" s="2" t="s">
        <v>1658</v>
      </c>
      <c r="E73" s="4" t="s">
        <v>361</v>
      </c>
      <c r="F73" s="2" t="s">
        <v>1659</v>
      </c>
      <c r="G73" s="2" t="s">
        <v>1660</v>
      </c>
      <c r="H73" s="2" t="s">
        <v>367</v>
      </c>
      <c r="I73" s="2" t="s">
        <v>1025</v>
      </c>
      <c r="J73" s="2" t="s">
        <v>94</v>
      </c>
      <c r="K73" s="2" t="s">
        <v>95</v>
      </c>
      <c r="L73" s="2" t="s">
        <v>390</v>
      </c>
      <c r="M73" s="2" t="s">
        <v>780</v>
      </c>
      <c r="N73" s="2" t="s">
        <v>164</v>
      </c>
      <c r="O73" s="2" t="s">
        <v>99</v>
      </c>
      <c r="P73" s="152">
        <v>25</v>
      </c>
      <c r="Q73" s="150">
        <v>3.7589999999999999</v>
      </c>
      <c r="R73" s="150">
        <v>5242</v>
      </c>
      <c r="T73" s="150">
        <v>4.9260000000000002</v>
      </c>
      <c r="U73" s="164">
        <v>3.9999999999999998E-6</v>
      </c>
      <c r="V73" s="164">
        <v>6.4576849020093205E-4</v>
      </c>
      <c r="W73" s="164">
        <v>4.4197774756282E-4</v>
      </c>
    </row>
    <row r="74" spans="1:23">
      <c r="A74" s="2" t="s">
        <v>26</v>
      </c>
      <c r="B74" s="2">
        <v>14769</v>
      </c>
      <c r="C74" s="2" t="s">
        <v>1630</v>
      </c>
      <c r="D74" s="2" t="s">
        <v>1631</v>
      </c>
      <c r="E74" s="4" t="s">
        <v>361</v>
      </c>
      <c r="F74" s="2" t="s">
        <v>1661</v>
      </c>
      <c r="G74" s="2" t="s">
        <v>1662</v>
      </c>
      <c r="H74" s="2" t="s">
        <v>367</v>
      </c>
      <c r="I74" s="2" t="s">
        <v>1025</v>
      </c>
      <c r="J74" s="2" t="s">
        <v>94</v>
      </c>
      <c r="K74" s="2" t="s">
        <v>95</v>
      </c>
      <c r="L74" s="2" t="s">
        <v>390</v>
      </c>
      <c r="M74" s="2" t="s">
        <v>780</v>
      </c>
      <c r="N74" s="2" t="s">
        <v>164</v>
      </c>
      <c r="O74" s="2" t="s">
        <v>99</v>
      </c>
      <c r="P74" s="152">
        <v>590</v>
      </c>
      <c r="Q74" s="150">
        <v>3.7589999999999999</v>
      </c>
      <c r="R74" s="150">
        <v>4111</v>
      </c>
      <c r="T74" s="150">
        <v>91.174000000000007</v>
      </c>
      <c r="U74" s="164">
        <v>9.9999999999999995E-7</v>
      </c>
      <c r="V74" s="164">
        <v>1.1951965015623499E-2</v>
      </c>
      <c r="W74" s="164">
        <v>8.1801801368649001E-3</v>
      </c>
    </row>
    <row r="75" spans="1:23">
      <c r="A75" s="2" t="s">
        <v>26</v>
      </c>
      <c r="B75" s="2">
        <v>14769</v>
      </c>
      <c r="C75" s="2" t="s">
        <v>1663</v>
      </c>
      <c r="D75" s="2" t="s">
        <v>1664</v>
      </c>
      <c r="E75" s="4" t="s">
        <v>361</v>
      </c>
      <c r="F75" s="2" t="s">
        <v>1665</v>
      </c>
      <c r="G75" s="2" t="s">
        <v>1666</v>
      </c>
      <c r="H75" s="2" t="s">
        <v>367</v>
      </c>
      <c r="I75" s="2" t="s">
        <v>1025</v>
      </c>
      <c r="J75" s="2" t="s">
        <v>94</v>
      </c>
      <c r="K75" s="2" t="s">
        <v>95</v>
      </c>
      <c r="L75" s="2" t="s">
        <v>392</v>
      </c>
      <c r="M75" s="2" t="s">
        <v>780</v>
      </c>
      <c r="N75" s="2" t="s">
        <v>164</v>
      </c>
      <c r="O75" s="2" t="s">
        <v>99</v>
      </c>
      <c r="P75" s="152">
        <v>40</v>
      </c>
      <c r="Q75" s="150">
        <v>3.7589999999999999</v>
      </c>
      <c r="R75" s="150">
        <v>19746</v>
      </c>
      <c r="T75" s="150">
        <v>29.69</v>
      </c>
      <c r="U75" s="164">
        <v>3.0000000000000001E-6</v>
      </c>
      <c r="V75" s="164">
        <v>3.89205482106298E-3</v>
      </c>
      <c r="W75" s="164">
        <v>2.6638054493324501E-3</v>
      </c>
    </row>
    <row r="76" spans="1:23">
      <c r="A76" s="2" t="s">
        <v>26</v>
      </c>
      <c r="B76" s="2">
        <v>14769</v>
      </c>
      <c r="C76" s="2" t="s">
        <v>1663</v>
      </c>
      <c r="D76" s="2" t="s">
        <v>1664</v>
      </c>
      <c r="E76" s="4" t="s">
        <v>361</v>
      </c>
      <c r="F76" s="2" t="s">
        <v>1667</v>
      </c>
      <c r="G76" s="2" t="s">
        <v>1668</v>
      </c>
      <c r="H76" s="2" t="s">
        <v>367</v>
      </c>
      <c r="I76" s="2" t="s">
        <v>1025</v>
      </c>
      <c r="J76" s="2" t="s">
        <v>94</v>
      </c>
      <c r="K76" s="2" t="s">
        <v>345</v>
      </c>
      <c r="L76" s="2" t="s">
        <v>392</v>
      </c>
      <c r="M76" s="2" t="s">
        <v>780</v>
      </c>
      <c r="N76" s="2" t="s">
        <v>164</v>
      </c>
      <c r="O76" s="2" t="s">
        <v>99</v>
      </c>
      <c r="P76" s="152">
        <v>19</v>
      </c>
      <c r="Q76" s="150">
        <v>3.7589999999999999</v>
      </c>
      <c r="R76" s="150">
        <v>11558</v>
      </c>
      <c r="T76" s="150">
        <v>8.2550000000000008</v>
      </c>
      <c r="U76" s="164">
        <v>3.0000000000000001E-6</v>
      </c>
      <c r="V76" s="164">
        <v>1.0821217244189601E-3</v>
      </c>
      <c r="W76" s="164">
        <v>7.4062722106288002E-4</v>
      </c>
    </row>
    <row r="77" spans="1:23">
      <c r="A77" s="2" t="s">
        <v>26</v>
      </c>
      <c r="B77" s="2">
        <v>14769</v>
      </c>
      <c r="C77" s="2" t="s">
        <v>1761</v>
      </c>
      <c r="D77" s="2" t="s">
        <v>1762</v>
      </c>
      <c r="E77" s="4" t="s">
        <v>361</v>
      </c>
      <c r="F77" s="2" t="s">
        <v>1763</v>
      </c>
      <c r="G77" s="2" t="s">
        <v>1764</v>
      </c>
      <c r="H77" s="2" t="s">
        <v>367</v>
      </c>
      <c r="I77" s="2" t="s">
        <v>1025</v>
      </c>
      <c r="J77" s="2" t="s">
        <v>94</v>
      </c>
      <c r="K77" s="2" t="s">
        <v>95</v>
      </c>
      <c r="L77" s="2" t="s">
        <v>392</v>
      </c>
      <c r="M77" s="2" t="s">
        <v>780</v>
      </c>
      <c r="N77" s="2" t="s">
        <v>164</v>
      </c>
      <c r="O77" s="2" t="s">
        <v>99</v>
      </c>
      <c r="P77" s="152">
        <v>839</v>
      </c>
      <c r="Q77" s="150">
        <v>3.7589999999999999</v>
      </c>
      <c r="R77" s="150">
        <v>2187</v>
      </c>
      <c r="T77" s="150">
        <v>68.974000000000004</v>
      </c>
      <c r="U77" s="164">
        <v>0</v>
      </c>
      <c r="V77" s="164">
        <v>9.0417098992007505E-3</v>
      </c>
      <c r="W77" s="164">
        <v>6.1883393754962697E-3</v>
      </c>
    </row>
    <row r="78" spans="1:23">
      <c r="A78" s="2" t="s">
        <v>26</v>
      </c>
      <c r="B78" s="2">
        <v>14769</v>
      </c>
      <c r="C78" s="2" t="s">
        <v>1669</v>
      </c>
      <c r="D78" s="2" t="s">
        <v>1670</v>
      </c>
      <c r="E78" s="4" t="s">
        <v>361</v>
      </c>
      <c r="F78" s="2" t="s">
        <v>1671</v>
      </c>
      <c r="G78" s="2" t="s">
        <v>1672</v>
      </c>
      <c r="H78" s="2" t="s">
        <v>367</v>
      </c>
      <c r="I78" s="2" t="s">
        <v>1025</v>
      </c>
      <c r="J78" s="2" t="s">
        <v>94</v>
      </c>
      <c r="K78" s="2" t="s">
        <v>95</v>
      </c>
      <c r="L78" s="2" t="s">
        <v>390</v>
      </c>
      <c r="M78" s="2" t="s">
        <v>780</v>
      </c>
      <c r="N78" s="2" t="s">
        <v>164</v>
      </c>
      <c r="O78" s="2" t="s">
        <v>99</v>
      </c>
      <c r="P78" s="152">
        <v>241</v>
      </c>
      <c r="Q78" s="150">
        <v>3.7589999999999999</v>
      </c>
      <c r="R78" s="150">
        <v>3393</v>
      </c>
      <c r="T78" s="150">
        <v>30.738</v>
      </c>
      <c r="U78" s="164">
        <v>9.9999999999999995E-7</v>
      </c>
      <c r="V78" s="164">
        <v>4.0294032005164003E-3</v>
      </c>
      <c r="W78" s="164">
        <v>2.75780961383317E-3</v>
      </c>
    </row>
    <row r="79" spans="1:23">
      <c r="A79" s="2" t="s">
        <v>26</v>
      </c>
      <c r="B79" s="2">
        <v>14769</v>
      </c>
      <c r="C79" s="2" t="s">
        <v>1673</v>
      </c>
      <c r="D79" s="2" t="s">
        <v>1674</v>
      </c>
      <c r="E79" s="4" t="s">
        <v>361</v>
      </c>
      <c r="F79" s="2" t="s">
        <v>1675</v>
      </c>
      <c r="G79" s="2" t="s">
        <v>1676</v>
      </c>
      <c r="H79" s="2" t="s">
        <v>367</v>
      </c>
      <c r="I79" s="2" t="s">
        <v>1025</v>
      </c>
      <c r="J79" s="2" t="s">
        <v>94</v>
      </c>
      <c r="K79" s="2" t="s">
        <v>338</v>
      </c>
      <c r="L79" s="2" t="s">
        <v>390</v>
      </c>
      <c r="M79" s="2" t="s">
        <v>780</v>
      </c>
      <c r="N79" s="2" t="s">
        <v>164</v>
      </c>
      <c r="O79" s="2" t="s">
        <v>99</v>
      </c>
      <c r="P79" s="152">
        <v>336</v>
      </c>
      <c r="Q79" s="150">
        <v>3.7589999999999999</v>
      </c>
      <c r="R79" s="150">
        <v>3702</v>
      </c>
      <c r="S79" s="155">
        <v>0.02</v>
      </c>
      <c r="T79" s="150">
        <v>46.832999999999998</v>
      </c>
      <c r="U79" s="164">
        <v>1.9999999999999999E-6</v>
      </c>
      <c r="V79" s="164">
        <v>6.1392941687203797E-3</v>
      </c>
      <c r="W79" s="164">
        <v>4.2018640573068299E-3</v>
      </c>
    </row>
    <row r="80" spans="1:23">
      <c r="A80" s="2" t="s">
        <v>26</v>
      </c>
      <c r="B80" s="2">
        <v>14769</v>
      </c>
      <c r="C80" s="2" t="s">
        <v>1630</v>
      </c>
      <c r="D80" s="2" t="s">
        <v>1631</v>
      </c>
      <c r="E80" s="4" t="s">
        <v>361</v>
      </c>
      <c r="F80" s="2" t="s">
        <v>1677</v>
      </c>
      <c r="G80" s="2" t="s">
        <v>1678</v>
      </c>
      <c r="H80" s="2" t="s">
        <v>367</v>
      </c>
      <c r="I80" s="2" t="s">
        <v>1025</v>
      </c>
      <c r="J80" s="2" t="s">
        <v>94</v>
      </c>
      <c r="K80" s="2" t="s">
        <v>95</v>
      </c>
      <c r="L80" s="2" t="s">
        <v>390</v>
      </c>
      <c r="M80" s="2" t="s">
        <v>780</v>
      </c>
      <c r="N80" s="2" t="s">
        <v>164</v>
      </c>
      <c r="O80" s="2" t="s">
        <v>99</v>
      </c>
      <c r="P80" s="152">
        <v>344</v>
      </c>
      <c r="Q80" s="150">
        <v>3.7589999999999999</v>
      </c>
      <c r="R80" s="150">
        <v>14575</v>
      </c>
      <c r="T80" s="150">
        <v>188.46899999999999</v>
      </c>
      <c r="U80" s="164">
        <v>9.9999999999999995E-7</v>
      </c>
      <c r="V80" s="164">
        <v>2.4706249951693501E-2</v>
      </c>
      <c r="W80" s="164">
        <v>1.6909485163910502E-2</v>
      </c>
    </row>
    <row r="81" spans="1:23">
      <c r="A81" s="2" t="s">
        <v>26</v>
      </c>
      <c r="B81" s="2">
        <v>14769</v>
      </c>
      <c r="C81" s="2" t="s">
        <v>1679</v>
      </c>
      <c r="D81" s="2" t="s">
        <v>1680</v>
      </c>
      <c r="E81" s="4" t="s">
        <v>361</v>
      </c>
      <c r="F81" s="2" t="s">
        <v>1681</v>
      </c>
      <c r="G81" s="2" t="s">
        <v>1682</v>
      </c>
      <c r="H81" s="2" t="s">
        <v>367</v>
      </c>
      <c r="I81" s="2" t="s">
        <v>1025</v>
      </c>
      <c r="J81" s="2" t="s">
        <v>94</v>
      </c>
      <c r="K81" s="2" t="s">
        <v>331</v>
      </c>
      <c r="L81" s="2" t="s">
        <v>1683</v>
      </c>
      <c r="M81" s="2" t="s">
        <v>780</v>
      </c>
      <c r="N81" s="2" t="s">
        <v>164</v>
      </c>
      <c r="O81" s="2" t="s">
        <v>1218</v>
      </c>
      <c r="P81" s="152">
        <v>95</v>
      </c>
      <c r="Q81" s="150">
        <v>2.7410000000000001</v>
      </c>
      <c r="R81" s="150">
        <v>5597</v>
      </c>
      <c r="T81" s="150">
        <v>14.576000000000001</v>
      </c>
      <c r="U81" s="164">
        <v>9.9999999999999995E-7</v>
      </c>
      <c r="V81" s="164">
        <v>1.9107460805250301E-3</v>
      </c>
      <c r="W81" s="164">
        <v>1.3077554288413299E-3</v>
      </c>
    </row>
    <row r="82" spans="1:23">
      <c r="A82" s="2" t="s">
        <v>26</v>
      </c>
      <c r="B82" s="2">
        <v>14769</v>
      </c>
      <c r="C82" s="2" t="s">
        <v>1657</v>
      </c>
      <c r="D82" s="2" t="s">
        <v>1658</v>
      </c>
      <c r="E82" s="4" t="s">
        <v>361</v>
      </c>
      <c r="F82" s="2" t="s">
        <v>1684</v>
      </c>
      <c r="G82" s="2" t="s">
        <v>1685</v>
      </c>
      <c r="H82" s="2" t="s">
        <v>367</v>
      </c>
      <c r="I82" s="2" t="s">
        <v>1027</v>
      </c>
      <c r="J82" s="2" t="s">
        <v>94</v>
      </c>
      <c r="K82" s="2" t="s">
        <v>1644</v>
      </c>
      <c r="L82" s="2" t="s">
        <v>426</v>
      </c>
      <c r="M82" s="2" t="s">
        <v>777</v>
      </c>
      <c r="N82" s="2" t="s">
        <v>164</v>
      </c>
      <c r="O82" s="2" t="s">
        <v>99</v>
      </c>
      <c r="P82" s="152">
        <v>123</v>
      </c>
      <c r="Q82" s="150">
        <v>3.7589999999999999</v>
      </c>
      <c r="R82" s="150">
        <v>4331.5</v>
      </c>
      <c r="T82" s="150">
        <v>20.027000000000001</v>
      </c>
      <c r="U82" s="164">
        <v>0</v>
      </c>
      <c r="V82" s="164">
        <v>2.62532609296113E-3</v>
      </c>
      <c r="W82" s="164">
        <v>1.79682925195656E-3</v>
      </c>
    </row>
    <row r="83" spans="1:23">
      <c r="A83" s="2" t="s">
        <v>26</v>
      </c>
      <c r="B83" s="2">
        <v>14769</v>
      </c>
      <c r="C83" s="2" t="s">
        <v>1630</v>
      </c>
      <c r="D83" s="2" t="s">
        <v>1631</v>
      </c>
      <c r="E83" s="4" t="s">
        <v>361</v>
      </c>
      <c r="F83" s="2" t="s">
        <v>1686</v>
      </c>
      <c r="G83" s="2" t="s">
        <v>1687</v>
      </c>
      <c r="H83" s="2" t="s">
        <v>367</v>
      </c>
      <c r="I83" s="2" t="s">
        <v>1025</v>
      </c>
      <c r="J83" s="2" t="s">
        <v>94</v>
      </c>
      <c r="K83" s="2" t="s">
        <v>95</v>
      </c>
      <c r="L83" s="2" t="s">
        <v>390</v>
      </c>
      <c r="M83" s="2" t="s">
        <v>780</v>
      </c>
      <c r="N83" s="2" t="s">
        <v>164</v>
      </c>
      <c r="O83" s="2" t="s">
        <v>99</v>
      </c>
      <c r="P83" s="152">
        <v>148</v>
      </c>
      <c r="Q83" s="150">
        <v>3.7589999999999999</v>
      </c>
      <c r="R83" s="150">
        <v>12187</v>
      </c>
      <c r="T83" s="150">
        <v>67.8</v>
      </c>
      <c r="U83" s="164">
        <v>9.9999999999999995E-7</v>
      </c>
      <c r="V83" s="164">
        <v>8.8878834592266698E-3</v>
      </c>
      <c r="W83" s="164">
        <v>6.0830572744228701E-3</v>
      </c>
    </row>
    <row r="84" spans="1:23">
      <c r="A84" s="2" t="s">
        <v>26</v>
      </c>
      <c r="B84" s="2">
        <v>14769</v>
      </c>
      <c r="C84" s="2" t="s">
        <v>1765</v>
      </c>
      <c r="D84" s="2" t="s">
        <v>1575</v>
      </c>
      <c r="E84" s="4" t="s">
        <v>361</v>
      </c>
      <c r="F84" s="2" t="s">
        <v>1766</v>
      </c>
      <c r="G84" s="2" t="s">
        <v>1767</v>
      </c>
      <c r="H84" s="2" t="s">
        <v>367</v>
      </c>
      <c r="I84" s="2" t="s">
        <v>1025</v>
      </c>
      <c r="J84" s="2" t="s">
        <v>94</v>
      </c>
      <c r="K84" s="2" t="s">
        <v>95</v>
      </c>
      <c r="L84" s="2" t="s">
        <v>392</v>
      </c>
      <c r="M84" s="2" t="s">
        <v>780</v>
      </c>
      <c r="N84" s="2" t="s">
        <v>164</v>
      </c>
      <c r="O84" s="2" t="s">
        <v>99</v>
      </c>
      <c r="P84" s="152">
        <v>274</v>
      </c>
      <c r="Q84" s="150">
        <v>3.7589999999999999</v>
      </c>
      <c r="R84" s="150">
        <v>4541</v>
      </c>
      <c r="T84" s="150">
        <v>46.771000000000001</v>
      </c>
      <c r="U84" s="164">
        <v>0</v>
      </c>
      <c r="V84" s="164">
        <v>6.1311492684980196E-3</v>
      </c>
      <c r="W84" s="164">
        <v>4.1962895136289802E-3</v>
      </c>
    </row>
    <row r="85" spans="1:23">
      <c r="A85" s="2" t="s">
        <v>26</v>
      </c>
      <c r="B85" s="2">
        <v>14769</v>
      </c>
      <c r="C85" s="2" t="s">
        <v>1570</v>
      </c>
      <c r="D85" s="2" t="s">
        <v>1571</v>
      </c>
      <c r="E85" s="4" t="s">
        <v>361</v>
      </c>
      <c r="F85" s="2" t="s">
        <v>1688</v>
      </c>
      <c r="G85" s="2" t="s">
        <v>1689</v>
      </c>
      <c r="H85" s="2" t="s">
        <v>367</v>
      </c>
      <c r="I85" s="2" t="s">
        <v>1027</v>
      </c>
      <c r="J85" s="2" t="s">
        <v>94</v>
      </c>
      <c r="K85" s="2" t="s">
        <v>95</v>
      </c>
      <c r="L85" s="2" t="s">
        <v>426</v>
      </c>
      <c r="M85" s="2" t="s">
        <v>777</v>
      </c>
      <c r="N85" s="2" t="s">
        <v>164</v>
      </c>
      <c r="O85" s="2" t="s">
        <v>99</v>
      </c>
      <c r="P85" s="152">
        <v>845</v>
      </c>
      <c r="Q85" s="150">
        <v>3.7589999999999999</v>
      </c>
      <c r="R85" s="150">
        <v>2742.25</v>
      </c>
      <c r="T85" s="150">
        <v>87.103999999999999</v>
      </c>
      <c r="U85" s="164">
        <v>0</v>
      </c>
      <c r="V85" s="164">
        <v>1.14183559916384E-2</v>
      </c>
      <c r="W85" s="164">
        <v>7.8149667235768907E-3</v>
      </c>
    </row>
    <row r="86" spans="1:23">
      <c r="A86" s="2" t="s">
        <v>26</v>
      </c>
      <c r="B86" s="2">
        <v>14769</v>
      </c>
      <c r="C86" s="2" t="s">
        <v>1657</v>
      </c>
      <c r="D86" s="2" t="s">
        <v>1658</v>
      </c>
      <c r="E86" s="4" t="s">
        <v>361</v>
      </c>
      <c r="F86" s="2" t="s">
        <v>1690</v>
      </c>
      <c r="G86" s="2" t="s">
        <v>1691</v>
      </c>
      <c r="H86" s="2" t="s">
        <v>367</v>
      </c>
      <c r="I86" s="2" t="s">
        <v>1025</v>
      </c>
      <c r="J86" s="2" t="s">
        <v>94</v>
      </c>
      <c r="K86" s="2" t="s">
        <v>282</v>
      </c>
      <c r="L86" s="2" t="s">
        <v>426</v>
      </c>
      <c r="M86" s="2" t="s">
        <v>780</v>
      </c>
      <c r="N86" s="2" t="s">
        <v>164</v>
      </c>
      <c r="O86" s="2" t="s">
        <v>1221</v>
      </c>
      <c r="P86" s="152">
        <v>4037</v>
      </c>
      <c r="Q86" s="150">
        <v>4.75</v>
      </c>
      <c r="R86" s="150">
        <v>793.9</v>
      </c>
      <c r="T86" s="150">
        <v>152.25200000000001</v>
      </c>
      <c r="U86" s="164">
        <v>6.9999999999999999E-6</v>
      </c>
      <c r="V86" s="164">
        <v>1.9958659677088701E-2</v>
      </c>
      <c r="W86" s="164">
        <v>1.36601329769246E-2</v>
      </c>
    </row>
    <row r="87" spans="1:23">
      <c r="A87" s="2" t="s">
        <v>26</v>
      </c>
      <c r="B87" s="2">
        <v>14769</v>
      </c>
      <c r="C87" s="2" t="s">
        <v>1657</v>
      </c>
      <c r="D87" s="2" t="s">
        <v>1658</v>
      </c>
      <c r="E87" s="4" t="s">
        <v>361</v>
      </c>
      <c r="F87" s="2" t="s">
        <v>1692</v>
      </c>
      <c r="G87" s="2" t="s">
        <v>1693</v>
      </c>
      <c r="H87" s="2" t="s">
        <v>367</v>
      </c>
      <c r="I87" s="2" t="s">
        <v>1027</v>
      </c>
      <c r="J87" s="2" t="s">
        <v>94</v>
      </c>
      <c r="K87" s="2" t="s">
        <v>95</v>
      </c>
      <c r="L87" s="2" t="s">
        <v>426</v>
      </c>
      <c r="M87" s="2" t="s">
        <v>777</v>
      </c>
      <c r="N87" s="2" t="s">
        <v>164</v>
      </c>
      <c r="O87" s="2" t="s">
        <v>99</v>
      </c>
      <c r="P87" s="152">
        <v>65</v>
      </c>
      <c r="Q87" s="150">
        <v>3.7589999999999999</v>
      </c>
      <c r="R87" s="150">
        <v>9190</v>
      </c>
      <c r="T87" s="150">
        <v>22.454000000000001</v>
      </c>
      <c r="U87" s="164">
        <v>1.9999999999999999E-6</v>
      </c>
      <c r="V87" s="164">
        <v>2.9435315346930699E-3</v>
      </c>
      <c r="W87" s="164">
        <v>2.01461585277872E-3</v>
      </c>
    </row>
    <row r="88" spans="1:23">
      <c r="A88" s="2" t="s">
        <v>26</v>
      </c>
      <c r="B88" s="2">
        <v>14769</v>
      </c>
      <c r="C88" s="2" t="s">
        <v>1657</v>
      </c>
      <c r="D88" s="2" t="s">
        <v>1658</v>
      </c>
      <c r="E88" s="4" t="s">
        <v>361</v>
      </c>
      <c r="F88" s="2" t="s">
        <v>1694</v>
      </c>
      <c r="G88" s="2" t="s">
        <v>1695</v>
      </c>
      <c r="H88" s="2" t="s">
        <v>367</v>
      </c>
      <c r="I88" s="2" t="s">
        <v>1025</v>
      </c>
      <c r="J88" s="2" t="s">
        <v>94</v>
      </c>
      <c r="K88" s="2" t="s">
        <v>317</v>
      </c>
      <c r="L88" s="2" t="s">
        <v>390</v>
      </c>
      <c r="M88" s="2" t="s">
        <v>780</v>
      </c>
      <c r="N88" s="2" t="s">
        <v>164</v>
      </c>
      <c r="O88" s="2" t="s">
        <v>99</v>
      </c>
      <c r="P88" s="152">
        <v>39</v>
      </c>
      <c r="Q88" s="150">
        <v>3.7589999999999999</v>
      </c>
      <c r="R88" s="150">
        <v>2599</v>
      </c>
      <c r="T88" s="150">
        <v>3.81</v>
      </c>
      <c r="U88" s="164">
        <v>0</v>
      </c>
      <c r="V88" s="164">
        <v>4.9947149893366405E-4</v>
      </c>
      <c r="W88" s="164">
        <v>3.4184896200469298E-4</v>
      </c>
    </row>
    <row r="89" spans="1:23">
      <c r="A89" s="2" t="s">
        <v>26</v>
      </c>
      <c r="B89" s="2">
        <v>14769</v>
      </c>
      <c r="C89" s="2" t="s">
        <v>1657</v>
      </c>
      <c r="D89" s="2" t="s">
        <v>1658</v>
      </c>
      <c r="E89" s="4" t="s">
        <v>361</v>
      </c>
      <c r="F89" s="2" t="s">
        <v>1696</v>
      </c>
      <c r="G89" s="2" t="s">
        <v>1697</v>
      </c>
      <c r="H89" s="2" t="s">
        <v>367</v>
      </c>
      <c r="I89" s="2" t="s">
        <v>1027</v>
      </c>
      <c r="J89" s="2" t="s">
        <v>94</v>
      </c>
      <c r="K89" s="2" t="s">
        <v>270</v>
      </c>
      <c r="L89" s="2" t="s">
        <v>426</v>
      </c>
      <c r="M89" s="2" t="s">
        <v>777</v>
      </c>
      <c r="N89" s="2" t="s">
        <v>164</v>
      </c>
      <c r="O89" s="2" t="s">
        <v>99</v>
      </c>
      <c r="P89" s="152">
        <v>1047</v>
      </c>
      <c r="Q89" s="150">
        <v>3.7589999999999999</v>
      </c>
      <c r="R89" s="150">
        <v>597.1</v>
      </c>
      <c r="T89" s="150">
        <v>23.5</v>
      </c>
      <c r="U89" s="164">
        <v>0</v>
      </c>
      <c r="V89" s="164">
        <v>3.0805877045206299E-3</v>
      </c>
      <c r="W89" s="164">
        <v>2.1084200227702299E-3</v>
      </c>
    </row>
    <row r="90" spans="1:23">
      <c r="A90" s="2" t="s">
        <v>26</v>
      </c>
      <c r="B90" s="2">
        <v>14769</v>
      </c>
      <c r="C90" s="2" t="s">
        <v>1657</v>
      </c>
      <c r="D90" s="2" t="s">
        <v>1658</v>
      </c>
      <c r="E90" s="4" t="s">
        <v>361</v>
      </c>
      <c r="F90" s="2" t="s">
        <v>1698</v>
      </c>
      <c r="G90" s="2" t="s">
        <v>1699</v>
      </c>
      <c r="H90" s="2" t="s">
        <v>367</v>
      </c>
      <c r="I90" s="2" t="s">
        <v>1025</v>
      </c>
      <c r="J90" s="2" t="s">
        <v>94</v>
      </c>
      <c r="K90" s="2" t="s">
        <v>95</v>
      </c>
      <c r="L90" s="2" t="s">
        <v>392</v>
      </c>
      <c r="M90" s="2" t="s">
        <v>780</v>
      </c>
      <c r="N90" s="2" t="s">
        <v>164</v>
      </c>
      <c r="O90" s="2" t="s">
        <v>99</v>
      </c>
      <c r="P90" s="152">
        <v>102</v>
      </c>
      <c r="Q90" s="150">
        <v>3.7589999999999999</v>
      </c>
      <c r="R90" s="150">
        <v>5920</v>
      </c>
      <c r="T90" s="150">
        <v>22.698</v>
      </c>
      <c r="U90" s="164">
        <v>0</v>
      </c>
      <c r="V90" s="164">
        <v>2.97551198109829E-3</v>
      </c>
      <c r="W90" s="164">
        <v>2.0365039533638599E-3</v>
      </c>
    </row>
    <row r="91" spans="1:23">
      <c r="A91" s="2" t="s">
        <v>26</v>
      </c>
      <c r="B91" s="2">
        <v>14769</v>
      </c>
      <c r="C91" s="2" t="s">
        <v>1657</v>
      </c>
      <c r="D91" s="2" t="s">
        <v>1658</v>
      </c>
      <c r="E91" s="4" t="s">
        <v>361</v>
      </c>
      <c r="F91" s="2" t="s">
        <v>1700</v>
      </c>
      <c r="G91" s="2" t="s">
        <v>1701</v>
      </c>
      <c r="H91" s="2" t="s">
        <v>367</v>
      </c>
      <c r="I91" s="2" t="s">
        <v>1025</v>
      </c>
      <c r="J91" s="2" t="s">
        <v>94</v>
      </c>
      <c r="K91" s="2" t="s">
        <v>95</v>
      </c>
      <c r="L91" s="2" t="s">
        <v>390</v>
      </c>
      <c r="M91" s="2" t="s">
        <v>780</v>
      </c>
      <c r="N91" s="2" t="s">
        <v>164</v>
      </c>
      <c r="O91" s="2" t="s">
        <v>99</v>
      </c>
      <c r="P91" s="152">
        <v>82</v>
      </c>
      <c r="Q91" s="150">
        <v>3.7589999999999999</v>
      </c>
      <c r="R91" s="150">
        <v>11693</v>
      </c>
      <c r="T91" s="150">
        <v>36.042000000000002</v>
      </c>
      <c r="U91" s="164">
        <v>1.8E-5</v>
      </c>
      <c r="V91" s="164">
        <v>4.72475862941929E-3</v>
      </c>
      <c r="W91" s="164">
        <v>3.2337257213633599E-3</v>
      </c>
    </row>
    <row r="92" spans="1:23">
      <c r="A92" s="2" t="s">
        <v>26</v>
      </c>
      <c r="B92" s="2">
        <v>14769</v>
      </c>
      <c r="C92" s="2" t="s">
        <v>1657</v>
      </c>
      <c r="D92" s="2" t="s">
        <v>1658</v>
      </c>
      <c r="E92" s="4" t="s">
        <v>361</v>
      </c>
      <c r="F92" s="2" t="s">
        <v>1768</v>
      </c>
      <c r="G92" s="2" t="s">
        <v>1769</v>
      </c>
      <c r="H92" s="2" t="s">
        <v>367</v>
      </c>
      <c r="I92" s="2" t="s">
        <v>1025</v>
      </c>
      <c r="J92" s="2" t="s">
        <v>94</v>
      </c>
      <c r="K92" s="2" t="s">
        <v>95</v>
      </c>
      <c r="L92" s="2" t="s">
        <v>390</v>
      </c>
      <c r="M92" s="2" t="s">
        <v>780</v>
      </c>
      <c r="N92" s="2" t="s">
        <v>164</v>
      </c>
      <c r="O92" s="2" t="s">
        <v>99</v>
      </c>
      <c r="P92" s="152">
        <v>234</v>
      </c>
      <c r="Q92" s="150">
        <v>3.7589999999999999</v>
      </c>
      <c r="R92" s="150">
        <v>54723</v>
      </c>
      <c r="T92" s="150">
        <v>481.34699999999998</v>
      </c>
      <c r="U92" s="164">
        <v>0</v>
      </c>
      <c r="V92" s="164">
        <v>6.3099450949165595E-2</v>
      </c>
      <c r="W92" s="164">
        <v>4.3186611961022303E-2</v>
      </c>
    </row>
    <row r="93" spans="1:23">
      <c r="A93" s="2" t="s">
        <v>26</v>
      </c>
      <c r="B93" s="2">
        <v>14769</v>
      </c>
      <c r="C93" s="2" t="s">
        <v>1704</v>
      </c>
      <c r="D93" s="2" t="s">
        <v>1641</v>
      </c>
      <c r="E93" s="4" t="s">
        <v>361</v>
      </c>
      <c r="F93" s="2" t="s">
        <v>1705</v>
      </c>
      <c r="G93" s="2" t="s">
        <v>1706</v>
      </c>
      <c r="H93" s="2" t="s">
        <v>367</v>
      </c>
      <c r="I93" s="2" t="s">
        <v>1025</v>
      </c>
      <c r="J93" s="2" t="s">
        <v>94</v>
      </c>
      <c r="K93" s="2" t="s">
        <v>342</v>
      </c>
      <c r="L93" s="2" t="s">
        <v>410</v>
      </c>
      <c r="M93" s="2" t="s">
        <v>780</v>
      </c>
      <c r="N93" s="2" t="s">
        <v>164</v>
      </c>
      <c r="O93" s="2" t="s">
        <v>1219</v>
      </c>
      <c r="P93" s="152">
        <v>229</v>
      </c>
      <c r="Q93" s="150">
        <v>4.0199999999999996</v>
      </c>
      <c r="R93" s="150">
        <v>23725</v>
      </c>
      <c r="T93" s="150">
        <v>218.41800000000001</v>
      </c>
      <c r="U93" s="164">
        <v>1.0000000000000001E-5</v>
      </c>
      <c r="V93" s="164">
        <v>2.86323412708301E-2</v>
      </c>
      <c r="W93" s="164">
        <v>1.9596585919504798E-2</v>
      </c>
    </row>
    <row r="94" spans="1:23">
      <c r="A94" s="2" t="s">
        <v>26</v>
      </c>
      <c r="B94" s="2">
        <v>14769</v>
      </c>
      <c r="C94" s="2" t="s">
        <v>1704</v>
      </c>
      <c r="D94" s="2" t="s">
        <v>1641</v>
      </c>
      <c r="E94" s="4" t="s">
        <v>361</v>
      </c>
      <c r="F94" s="2" t="s">
        <v>1707</v>
      </c>
      <c r="G94" s="2" t="s">
        <v>1708</v>
      </c>
      <c r="H94" s="2" t="s">
        <v>367</v>
      </c>
      <c r="I94" s="2" t="s">
        <v>1025</v>
      </c>
      <c r="J94" s="2" t="s">
        <v>94</v>
      </c>
      <c r="K94" s="2" t="s">
        <v>330</v>
      </c>
      <c r="L94" s="2" t="s">
        <v>410</v>
      </c>
      <c r="M94" s="2" t="s">
        <v>780</v>
      </c>
      <c r="N94" s="2" t="s">
        <v>164</v>
      </c>
      <c r="O94" s="2" t="s">
        <v>1219</v>
      </c>
      <c r="P94" s="152">
        <v>685</v>
      </c>
      <c r="Q94" s="150">
        <v>4.0199999999999996</v>
      </c>
      <c r="R94" s="150">
        <v>7566</v>
      </c>
      <c r="T94" s="150">
        <v>208.35499999999999</v>
      </c>
      <c r="U94" s="164">
        <v>1.1E-5</v>
      </c>
      <c r="V94" s="164">
        <v>2.7313167421048799E-2</v>
      </c>
      <c r="W94" s="164">
        <v>1.8693715160684299E-2</v>
      </c>
    </row>
    <row r="95" spans="1:23">
      <c r="A95" s="2" t="s">
        <v>26</v>
      </c>
      <c r="B95" s="2">
        <v>14769</v>
      </c>
      <c r="C95" s="2" t="s">
        <v>1704</v>
      </c>
      <c r="D95" s="2" t="s">
        <v>1641</v>
      </c>
      <c r="E95" s="4" t="s">
        <v>361</v>
      </c>
      <c r="F95" s="2" t="s">
        <v>1770</v>
      </c>
      <c r="G95" s="2" t="s">
        <v>1771</v>
      </c>
      <c r="H95" s="2" t="s">
        <v>367</v>
      </c>
      <c r="I95" s="2" t="s">
        <v>1025</v>
      </c>
      <c r="J95" s="2" t="s">
        <v>94</v>
      </c>
      <c r="K95" s="2" t="s">
        <v>95</v>
      </c>
      <c r="L95" s="2" t="s">
        <v>426</v>
      </c>
      <c r="M95" s="2" t="s">
        <v>780</v>
      </c>
      <c r="N95" s="2" t="s">
        <v>164</v>
      </c>
      <c r="O95" s="2" t="s">
        <v>99</v>
      </c>
      <c r="P95" s="152">
        <v>150</v>
      </c>
      <c r="Q95" s="150">
        <v>3.7589999999999999</v>
      </c>
      <c r="R95" s="150">
        <v>39029</v>
      </c>
      <c r="T95" s="150">
        <v>220.065</v>
      </c>
      <c r="U95" s="164">
        <v>1.7E-5</v>
      </c>
      <c r="V95" s="164">
        <v>2.8848185887888799E-2</v>
      </c>
      <c r="W95" s="164">
        <v>1.97443145856116E-2</v>
      </c>
    </row>
    <row r="96" spans="1:23">
      <c r="A96" s="2" t="s">
        <v>26</v>
      </c>
      <c r="B96" s="2">
        <v>14769</v>
      </c>
      <c r="C96" s="2" t="s">
        <v>1704</v>
      </c>
      <c r="D96" s="2" t="s">
        <v>1641</v>
      </c>
      <c r="E96" s="4" t="s">
        <v>361</v>
      </c>
      <c r="F96" s="2" t="s">
        <v>1709</v>
      </c>
      <c r="G96" s="2" t="s">
        <v>1710</v>
      </c>
      <c r="H96" s="2" t="s">
        <v>367</v>
      </c>
      <c r="I96" s="2" t="s">
        <v>1025</v>
      </c>
      <c r="J96" s="2" t="s">
        <v>94</v>
      </c>
      <c r="K96" s="2" t="s">
        <v>330</v>
      </c>
      <c r="L96" s="2" t="s">
        <v>410</v>
      </c>
      <c r="M96" s="2" t="s">
        <v>780</v>
      </c>
      <c r="N96" s="2" t="s">
        <v>164</v>
      </c>
      <c r="O96" s="2" t="s">
        <v>1219</v>
      </c>
      <c r="P96" s="152">
        <v>27</v>
      </c>
      <c r="Q96" s="150">
        <v>4.0199999999999996</v>
      </c>
      <c r="R96" s="150">
        <v>15668.6</v>
      </c>
      <c r="T96" s="150">
        <v>17.007999999999999</v>
      </c>
      <c r="U96" s="164">
        <v>7.9999999999999996E-6</v>
      </c>
      <c r="V96" s="164">
        <v>2.2295084167246499E-3</v>
      </c>
      <c r="W96" s="164">
        <v>1.5259231801317899E-3</v>
      </c>
    </row>
    <row r="97" spans="1:23">
      <c r="A97" s="2" t="s">
        <v>26</v>
      </c>
      <c r="B97" s="2">
        <v>14769</v>
      </c>
      <c r="C97" s="2" t="s">
        <v>1657</v>
      </c>
      <c r="D97" s="2" t="s">
        <v>1658</v>
      </c>
      <c r="E97" s="4" t="s">
        <v>361</v>
      </c>
      <c r="F97" s="2" t="s">
        <v>1716</v>
      </c>
      <c r="G97" s="2" t="s">
        <v>1717</v>
      </c>
      <c r="H97" s="2" t="s">
        <v>367</v>
      </c>
      <c r="I97" s="2" t="s">
        <v>1025</v>
      </c>
      <c r="J97" s="2" t="s">
        <v>94</v>
      </c>
      <c r="K97" s="2" t="s">
        <v>317</v>
      </c>
      <c r="L97" s="2" t="s">
        <v>392</v>
      </c>
      <c r="M97" s="2" t="s">
        <v>780</v>
      </c>
      <c r="N97" s="2" t="s">
        <v>164</v>
      </c>
      <c r="O97" s="2" t="s">
        <v>99</v>
      </c>
      <c r="P97" s="152">
        <v>150</v>
      </c>
      <c r="Q97" s="150">
        <v>3.7589999999999999</v>
      </c>
      <c r="R97" s="150">
        <v>4217</v>
      </c>
      <c r="T97" s="150">
        <v>23.777999999999999</v>
      </c>
      <c r="U97" s="164">
        <v>9.9999999999999995E-7</v>
      </c>
      <c r="V97" s="164">
        <v>3.1169848033315499E-3</v>
      </c>
      <c r="W97" s="164">
        <v>2.1333309745964302E-3</v>
      </c>
    </row>
    <row r="98" spans="1:23">
      <c r="A98" s="2" t="s">
        <v>26</v>
      </c>
      <c r="B98" s="2">
        <v>14769</v>
      </c>
      <c r="C98" s="2" t="s">
        <v>1630</v>
      </c>
      <c r="D98" s="2" t="s">
        <v>1631</v>
      </c>
      <c r="E98" s="4" t="s">
        <v>361</v>
      </c>
      <c r="F98" s="2" t="s">
        <v>1718</v>
      </c>
      <c r="G98" s="2" t="s">
        <v>1719</v>
      </c>
      <c r="H98" s="2" t="s">
        <v>367</v>
      </c>
      <c r="I98" s="2" t="s">
        <v>1025</v>
      </c>
      <c r="J98" s="2" t="s">
        <v>94</v>
      </c>
      <c r="K98" s="2" t="s">
        <v>95</v>
      </c>
      <c r="L98" s="2" t="s">
        <v>390</v>
      </c>
      <c r="M98" s="2" t="s">
        <v>780</v>
      </c>
      <c r="N98" s="2" t="s">
        <v>164</v>
      </c>
      <c r="O98" s="2" t="s">
        <v>99</v>
      </c>
      <c r="P98" s="152">
        <v>194</v>
      </c>
      <c r="Q98" s="150">
        <v>3.7589999999999999</v>
      </c>
      <c r="R98" s="150">
        <v>9115</v>
      </c>
      <c r="T98" s="150">
        <v>66.471000000000004</v>
      </c>
      <c r="U98" s="164">
        <v>0</v>
      </c>
      <c r="V98" s="164">
        <v>8.7136122007417695E-3</v>
      </c>
      <c r="W98" s="164">
        <v>5.9637823028829504E-3</v>
      </c>
    </row>
    <row r="99" spans="1:23">
      <c r="A99" s="2" t="s">
        <v>26</v>
      </c>
      <c r="B99" s="2">
        <v>14769</v>
      </c>
      <c r="C99" s="2" t="s">
        <v>1574</v>
      </c>
      <c r="D99" s="2" t="s">
        <v>1575</v>
      </c>
      <c r="E99" s="4" t="s">
        <v>361</v>
      </c>
      <c r="F99" s="2" t="s">
        <v>1720</v>
      </c>
      <c r="G99" s="2" t="s">
        <v>1721</v>
      </c>
      <c r="H99" s="2" t="s">
        <v>367</v>
      </c>
      <c r="I99" s="2" t="s">
        <v>1025</v>
      </c>
      <c r="J99" s="2" t="s">
        <v>94</v>
      </c>
      <c r="K99" s="2" t="s">
        <v>95</v>
      </c>
      <c r="L99" s="2" t="s">
        <v>392</v>
      </c>
      <c r="M99" s="2" t="s">
        <v>780</v>
      </c>
      <c r="N99" s="2" t="s">
        <v>164</v>
      </c>
      <c r="O99" s="2" t="s">
        <v>99</v>
      </c>
      <c r="P99" s="152">
        <v>100</v>
      </c>
      <c r="Q99" s="150">
        <v>3.7589999999999999</v>
      </c>
      <c r="R99" s="150">
        <v>47911</v>
      </c>
      <c r="S99" s="155">
        <v>5.7000000000000002E-2</v>
      </c>
      <c r="T99" s="150">
        <v>180.31200000000001</v>
      </c>
      <c r="U99" s="164">
        <v>0</v>
      </c>
      <c r="V99" s="164">
        <v>2.3636958754722898E-2</v>
      </c>
      <c r="W99" s="164">
        <v>1.6177639429878501E-2</v>
      </c>
    </row>
    <row r="100" spans="1:23">
      <c r="A100" s="2" t="s">
        <v>26</v>
      </c>
      <c r="B100" s="2">
        <v>14769</v>
      </c>
      <c r="C100" s="2" t="s">
        <v>1630</v>
      </c>
      <c r="D100" s="2" t="s">
        <v>1631</v>
      </c>
      <c r="E100" s="4" t="s">
        <v>361</v>
      </c>
      <c r="F100" s="2" t="s">
        <v>1722</v>
      </c>
      <c r="G100" s="2" t="s">
        <v>1723</v>
      </c>
      <c r="H100" s="2" t="s">
        <v>367</v>
      </c>
      <c r="I100" s="2" t="s">
        <v>1025</v>
      </c>
      <c r="J100" s="2" t="s">
        <v>94</v>
      </c>
      <c r="K100" s="2" t="s">
        <v>95</v>
      </c>
      <c r="L100" s="2" t="s">
        <v>390</v>
      </c>
      <c r="M100" s="2" t="s">
        <v>780</v>
      </c>
      <c r="N100" s="2" t="s">
        <v>164</v>
      </c>
      <c r="O100" s="2" t="s">
        <v>99</v>
      </c>
      <c r="P100" s="152">
        <v>78</v>
      </c>
      <c r="Q100" s="150">
        <v>3.7589999999999999</v>
      </c>
      <c r="R100" s="150">
        <v>3841</v>
      </c>
      <c r="T100" s="150">
        <v>11.262</v>
      </c>
      <c r="U100" s="164">
        <v>9.9999999999999995E-7</v>
      </c>
      <c r="V100" s="164">
        <v>1.4763139879986199E-3</v>
      </c>
      <c r="W100" s="164">
        <v>1.01042082574838E-3</v>
      </c>
    </row>
    <row r="101" spans="1:23">
      <c r="A101" s="2" t="s">
        <v>26</v>
      </c>
      <c r="B101" s="2">
        <v>14769</v>
      </c>
      <c r="C101" s="2" t="s">
        <v>1724</v>
      </c>
      <c r="D101" s="2" t="s">
        <v>1725</v>
      </c>
      <c r="E101" s="4" t="s">
        <v>34</v>
      </c>
      <c r="F101" s="2" t="s">
        <v>1726</v>
      </c>
      <c r="G101" s="2" t="s">
        <v>1727</v>
      </c>
      <c r="H101" s="2" t="s">
        <v>367</v>
      </c>
      <c r="I101" s="2" t="s">
        <v>1025</v>
      </c>
      <c r="J101" s="2" t="s">
        <v>94</v>
      </c>
      <c r="K101" s="2" t="s">
        <v>95</v>
      </c>
      <c r="L101" s="2" t="s">
        <v>1564</v>
      </c>
      <c r="M101" s="2" t="s">
        <v>780</v>
      </c>
      <c r="N101" s="2" t="s">
        <v>164</v>
      </c>
      <c r="O101" s="2" t="s">
        <v>1219</v>
      </c>
      <c r="P101" s="152">
        <v>777</v>
      </c>
      <c r="Q101" s="150">
        <v>4.0199999999999996</v>
      </c>
      <c r="R101" s="150">
        <v>12118</v>
      </c>
      <c r="T101" s="150">
        <v>378.529</v>
      </c>
      <c r="U101" s="164">
        <v>3.0600000000000001E-4</v>
      </c>
      <c r="V101" s="164">
        <v>4.9621184303583497E-2</v>
      </c>
      <c r="W101" s="164">
        <v>3.39617983885733E-2</v>
      </c>
    </row>
    <row r="102" spans="1:23">
      <c r="A102" s="2" t="s">
        <v>26</v>
      </c>
      <c r="B102" s="2">
        <v>14769</v>
      </c>
      <c r="C102" s="2" t="s">
        <v>1574</v>
      </c>
      <c r="D102" s="2" t="s">
        <v>1575</v>
      </c>
      <c r="E102" s="4" t="s">
        <v>361</v>
      </c>
      <c r="F102" s="2" t="s">
        <v>1772</v>
      </c>
      <c r="G102" s="2" t="s">
        <v>1773</v>
      </c>
      <c r="H102" s="2" t="s">
        <v>367</v>
      </c>
      <c r="I102" s="2" t="s">
        <v>1025</v>
      </c>
      <c r="J102" s="2" t="s">
        <v>94</v>
      </c>
      <c r="K102" s="2" t="s">
        <v>95</v>
      </c>
      <c r="L102" s="2" t="s">
        <v>426</v>
      </c>
      <c r="M102" s="2" t="s">
        <v>780</v>
      </c>
      <c r="N102" s="2" t="s">
        <v>164</v>
      </c>
      <c r="O102" s="2" t="s">
        <v>99</v>
      </c>
      <c r="P102" s="152">
        <v>140</v>
      </c>
      <c r="Q102" s="150">
        <v>3.7589999999999999</v>
      </c>
      <c r="R102" s="150">
        <v>107787</v>
      </c>
      <c r="T102" s="150">
        <v>567.24</v>
      </c>
      <c r="U102" s="164">
        <v>2.8E-5</v>
      </c>
      <c r="V102" s="164">
        <v>7.4359120606335705E-2</v>
      </c>
      <c r="W102" s="164">
        <v>5.0892970367932201E-2</v>
      </c>
    </row>
    <row r="103" spans="1:23">
      <c r="A103" s="2" t="s">
        <v>26</v>
      </c>
      <c r="B103" s="2">
        <v>14769</v>
      </c>
      <c r="C103" s="2" t="s">
        <v>1630</v>
      </c>
      <c r="D103" s="2" t="s">
        <v>1631</v>
      </c>
      <c r="E103" s="4" t="s">
        <v>361</v>
      </c>
      <c r="F103" s="2" t="s">
        <v>1774</v>
      </c>
      <c r="G103" s="2" t="s">
        <v>1775</v>
      </c>
      <c r="H103" s="2" t="s">
        <v>367</v>
      </c>
      <c r="I103" s="2" t="s">
        <v>1025</v>
      </c>
      <c r="J103" s="2" t="s">
        <v>94</v>
      </c>
      <c r="K103" s="2" t="s">
        <v>95</v>
      </c>
      <c r="L103" s="2" t="s">
        <v>390</v>
      </c>
      <c r="M103" s="2" t="s">
        <v>780</v>
      </c>
      <c r="N103" s="2" t="s">
        <v>164</v>
      </c>
      <c r="O103" s="2" t="s">
        <v>99</v>
      </c>
      <c r="P103" s="152">
        <v>89</v>
      </c>
      <c r="Q103" s="150">
        <v>3.7589999999999999</v>
      </c>
      <c r="R103" s="150">
        <v>22623</v>
      </c>
      <c r="T103" s="150">
        <v>75.685000000000002</v>
      </c>
      <c r="U103" s="164">
        <v>0</v>
      </c>
      <c r="V103" s="164">
        <v>9.9215614596687898E-3</v>
      </c>
      <c r="W103" s="164">
        <v>6.7905285760939899E-3</v>
      </c>
    </row>
    <row r="104" spans="1:23">
      <c r="A104" s="2" t="s">
        <v>26</v>
      </c>
      <c r="B104" s="2">
        <v>14769</v>
      </c>
      <c r="C104" s="2" t="s">
        <v>1630</v>
      </c>
      <c r="D104" s="2" t="s">
        <v>1631</v>
      </c>
      <c r="E104" s="4" t="s">
        <v>361</v>
      </c>
      <c r="F104" s="2" t="s">
        <v>1728</v>
      </c>
      <c r="G104" s="2" t="s">
        <v>1729</v>
      </c>
      <c r="H104" s="2" t="s">
        <v>367</v>
      </c>
      <c r="I104" s="2" t="s">
        <v>1027</v>
      </c>
      <c r="J104" s="2" t="s">
        <v>94</v>
      </c>
      <c r="K104" s="2" t="s">
        <v>95</v>
      </c>
      <c r="L104" s="2" t="s">
        <v>1564</v>
      </c>
      <c r="M104" s="2" t="s">
        <v>777</v>
      </c>
      <c r="N104" s="2" t="s">
        <v>164</v>
      </c>
      <c r="O104" s="2" t="s">
        <v>99</v>
      </c>
      <c r="P104" s="152">
        <v>5900</v>
      </c>
      <c r="Q104" s="150">
        <v>3.7589999999999999</v>
      </c>
      <c r="R104" s="150">
        <v>1015.5</v>
      </c>
      <c r="T104" s="150">
        <v>225.21899999999999</v>
      </c>
      <c r="U104" s="164">
        <v>0</v>
      </c>
      <c r="V104" s="164">
        <v>2.9523766658636898E-2</v>
      </c>
      <c r="W104" s="164">
        <v>2.02066964947368E-2</v>
      </c>
    </row>
    <row r="105" spans="1:23">
      <c r="A105" s="2" t="s">
        <v>26</v>
      </c>
      <c r="B105" s="2">
        <v>14769</v>
      </c>
      <c r="C105" s="2" t="s">
        <v>1669</v>
      </c>
      <c r="D105" s="2" t="s">
        <v>1670</v>
      </c>
      <c r="E105" s="4" t="s">
        <v>361</v>
      </c>
      <c r="F105" s="2" t="s">
        <v>1733</v>
      </c>
      <c r="G105" s="2" t="s">
        <v>1734</v>
      </c>
      <c r="H105" s="2" t="s">
        <v>367</v>
      </c>
      <c r="I105" s="2" t="s">
        <v>1025</v>
      </c>
      <c r="J105" s="2" t="s">
        <v>94</v>
      </c>
      <c r="K105" s="2" t="s">
        <v>95</v>
      </c>
      <c r="L105" s="2" t="s">
        <v>392</v>
      </c>
      <c r="M105" s="2" t="s">
        <v>780</v>
      </c>
      <c r="N105" s="2" t="s">
        <v>164</v>
      </c>
      <c r="O105" s="2" t="s">
        <v>99</v>
      </c>
      <c r="P105" s="152">
        <v>36</v>
      </c>
      <c r="Q105" s="150">
        <v>3.7589999999999999</v>
      </c>
      <c r="R105" s="150">
        <v>26070</v>
      </c>
      <c r="T105" s="150">
        <v>35.279000000000003</v>
      </c>
      <c r="U105" s="164">
        <v>1.9999999999999999E-6</v>
      </c>
      <c r="V105" s="164">
        <v>4.6246977750734703E-3</v>
      </c>
      <c r="W105" s="164">
        <v>3.1652419354647699E-3</v>
      </c>
    </row>
    <row r="106" spans="1:23">
      <c r="A106" s="2" t="s">
        <v>26</v>
      </c>
      <c r="B106" s="2">
        <v>14769</v>
      </c>
      <c r="C106" s="2" t="s">
        <v>1735</v>
      </c>
      <c r="D106" s="2" t="s">
        <v>1736</v>
      </c>
      <c r="E106" s="4" t="s">
        <v>361</v>
      </c>
      <c r="F106" s="2" t="s">
        <v>1776</v>
      </c>
      <c r="G106" s="2" t="s">
        <v>1777</v>
      </c>
      <c r="H106" s="2" t="s">
        <v>367</v>
      </c>
      <c r="I106" s="2" t="s">
        <v>1025</v>
      </c>
      <c r="J106" s="2" t="s">
        <v>94</v>
      </c>
      <c r="K106" s="2" t="s">
        <v>95</v>
      </c>
      <c r="L106" s="2" t="s">
        <v>390</v>
      </c>
      <c r="M106" s="2" t="s">
        <v>780</v>
      </c>
      <c r="N106" s="2" t="s">
        <v>164</v>
      </c>
      <c r="O106" s="2" t="s">
        <v>99</v>
      </c>
      <c r="P106" s="152">
        <v>101</v>
      </c>
      <c r="Q106" s="150">
        <v>3.7589999999999999</v>
      </c>
      <c r="R106" s="150">
        <v>50013</v>
      </c>
      <c r="S106" s="155">
        <v>0.13500000000000001</v>
      </c>
      <c r="T106" s="150">
        <v>190.386</v>
      </c>
      <c r="U106" s="164">
        <v>0</v>
      </c>
      <c r="V106" s="164">
        <v>2.4957567120798999E-2</v>
      </c>
      <c r="W106" s="164">
        <v>1.70814920022909E-2</v>
      </c>
    </row>
    <row r="107" spans="1:23">
      <c r="A107" s="2" t="s">
        <v>26</v>
      </c>
      <c r="B107" s="2">
        <v>14769</v>
      </c>
      <c r="C107" s="2" t="s">
        <v>1735</v>
      </c>
      <c r="D107" s="2" t="s">
        <v>1736</v>
      </c>
      <c r="E107" s="4" t="s">
        <v>361</v>
      </c>
      <c r="F107" s="2" t="s">
        <v>1778</v>
      </c>
      <c r="G107" s="2" t="s">
        <v>1779</v>
      </c>
      <c r="H107" s="2" t="s">
        <v>367</v>
      </c>
      <c r="I107" s="2" t="s">
        <v>1025</v>
      </c>
      <c r="J107" s="2" t="s">
        <v>94</v>
      </c>
      <c r="K107" s="2" t="s">
        <v>95</v>
      </c>
      <c r="L107" s="2" t="s">
        <v>392</v>
      </c>
      <c r="M107" s="2" t="s">
        <v>780</v>
      </c>
      <c r="N107" s="2" t="s">
        <v>164</v>
      </c>
      <c r="O107" s="2" t="s">
        <v>99</v>
      </c>
      <c r="P107" s="152">
        <v>38</v>
      </c>
      <c r="Q107" s="150">
        <v>3.7589999999999999</v>
      </c>
      <c r="R107" s="150">
        <v>17578</v>
      </c>
      <c r="S107" s="155">
        <v>2.8000000000000001E-2</v>
      </c>
      <c r="T107" s="150">
        <v>25.215</v>
      </c>
      <c r="U107" s="164">
        <v>0</v>
      </c>
      <c r="V107" s="164">
        <v>3.3053566015006598E-3</v>
      </c>
      <c r="W107" s="164">
        <v>2.2622566566674702E-3</v>
      </c>
    </row>
    <row r="108" spans="1:23">
      <c r="A108" s="2" t="s">
        <v>26</v>
      </c>
      <c r="B108" s="2">
        <v>14769</v>
      </c>
      <c r="C108" s="2" t="s">
        <v>1735</v>
      </c>
      <c r="D108" s="2" t="s">
        <v>1736</v>
      </c>
      <c r="E108" s="4" t="s">
        <v>361</v>
      </c>
      <c r="F108" s="2" t="s">
        <v>1737</v>
      </c>
      <c r="G108" s="2" t="s">
        <v>1738</v>
      </c>
      <c r="H108" s="2" t="s">
        <v>367</v>
      </c>
      <c r="I108" s="2" t="s">
        <v>1025</v>
      </c>
      <c r="J108" s="2" t="s">
        <v>94</v>
      </c>
      <c r="K108" s="2" t="s">
        <v>95</v>
      </c>
      <c r="L108" s="2" t="s">
        <v>390</v>
      </c>
      <c r="M108" s="2" t="s">
        <v>780</v>
      </c>
      <c r="N108" s="2" t="s">
        <v>164</v>
      </c>
      <c r="O108" s="2" t="s">
        <v>99</v>
      </c>
      <c r="P108" s="152">
        <v>340</v>
      </c>
      <c r="Q108" s="150">
        <v>3.7589999999999999</v>
      </c>
      <c r="R108" s="150">
        <v>9911</v>
      </c>
      <c r="S108" s="155">
        <v>9.5000000000000001E-2</v>
      </c>
      <c r="T108" s="150">
        <v>127.024</v>
      </c>
      <c r="U108" s="164">
        <v>4.3000000000000002E-5</v>
      </c>
      <c r="V108" s="164">
        <v>1.6651478211637202E-2</v>
      </c>
      <c r="W108" s="164">
        <v>1.13966273443922E-2</v>
      </c>
    </row>
    <row r="109" spans="1:23">
      <c r="A109" s="2" t="s">
        <v>26</v>
      </c>
      <c r="B109" s="2">
        <v>14769</v>
      </c>
      <c r="C109" s="2" t="s">
        <v>1735</v>
      </c>
      <c r="D109" s="2" t="s">
        <v>1736</v>
      </c>
      <c r="E109" s="4" t="s">
        <v>361</v>
      </c>
      <c r="F109" s="2" t="s">
        <v>1780</v>
      </c>
      <c r="G109" s="2" t="s">
        <v>1781</v>
      </c>
      <c r="H109" s="2" t="s">
        <v>367</v>
      </c>
      <c r="I109" s="2" t="s">
        <v>1025</v>
      </c>
      <c r="J109" s="2" t="s">
        <v>94</v>
      </c>
      <c r="K109" s="2" t="s">
        <v>345</v>
      </c>
      <c r="L109" s="2" t="s">
        <v>390</v>
      </c>
      <c r="M109" s="2" t="s">
        <v>780</v>
      </c>
      <c r="N109" s="2" t="s">
        <v>164</v>
      </c>
      <c r="O109" s="2" t="s">
        <v>99</v>
      </c>
      <c r="P109" s="152">
        <v>1347</v>
      </c>
      <c r="Q109" s="150">
        <v>3.7589999999999999</v>
      </c>
      <c r="R109" s="150">
        <v>11263</v>
      </c>
      <c r="T109" s="150">
        <v>570.28800000000001</v>
      </c>
      <c r="U109" s="164">
        <v>5.0000000000000004E-6</v>
      </c>
      <c r="V109" s="164">
        <v>7.4758659369815197E-2</v>
      </c>
      <c r="W109" s="164">
        <v>5.1166423231344203E-2</v>
      </c>
    </row>
    <row r="110" spans="1:23">
      <c r="A110" s="2" t="s">
        <v>26</v>
      </c>
      <c r="B110" s="2">
        <v>14769</v>
      </c>
      <c r="C110" s="2" t="s">
        <v>1739</v>
      </c>
      <c r="D110" s="2" t="s">
        <v>1740</v>
      </c>
      <c r="E110" s="4" t="s">
        <v>361</v>
      </c>
      <c r="F110" s="2" t="s">
        <v>1782</v>
      </c>
      <c r="G110" s="2" t="s">
        <v>1783</v>
      </c>
      <c r="H110" s="2" t="s">
        <v>367</v>
      </c>
      <c r="I110" s="2" t="s">
        <v>1025</v>
      </c>
      <c r="J110" s="2" t="s">
        <v>94</v>
      </c>
      <c r="K110" s="2" t="s">
        <v>345</v>
      </c>
      <c r="L110" s="2" t="s">
        <v>390</v>
      </c>
      <c r="M110" s="2" t="s">
        <v>780</v>
      </c>
      <c r="N110" s="2" t="s">
        <v>164</v>
      </c>
      <c r="O110" s="2" t="s">
        <v>99</v>
      </c>
      <c r="P110" s="152">
        <v>2657</v>
      </c>
      <c r="Q110" s="150">
        <v>3.7589999999999999</v>
      </c>
      <c r="R110" s="150">
        <v>3063</v>
      </c>
      <c r="T110" s="150">
        <v>305.92200000000003</v>
      </c>
      <c r="U110" s="164">
        <v>3.0000000000000001E-5</v>
      </c>
      <c r="V110" s="164">
        <v>4.0103139784317801E-2</v>
      </c>
      <c r="W110" s="164">
        <v>2.7447445425147099E-2</v>
      </c>
    </row>
    <row r="111" spans="1:23">
      <c r="A111" s="2" t="s">
        <v>26</v>
      </c>
      <c r="B111" s="2">
        <v>14769</v>
      </c>
      <c r="C111" s="2" t="s">
        <v>1739</v>
      </c>
      <c r="D111" s="2" t="s">
        <v>1740</v>
      </c>
      <c r="E111" s="4" t="s">
        <v>361</v>
      </c>
      <c r="F111" s="2" t="s">
        <v>1741</v>
      </c>
      <c r="G111" s="2" t="s">
        <v>1742</v>
      </c>
      <c r="H111" s="2" t="s">
        <v>367</v>
      </c>
      <c r="I111" s="2" t="s">
        <v>1025</v>
      </c>
      <c r="J111" s="2" t="s">
        <v>94</v>
      </c>
      <c r="K111" s="2" t="s">
        <v>293</v>
      </c>
      <c r="L111" s="2" t="s">
        <v>390</v>
      </c>
      <c r="M111" s="2" t="s">
        <v>780</v>
      </c>
      <c r="N111" s="2" t="s">
        <v>164</v>
      </c>
      <c r="O111" s="2" t="s">
        <v>99</v>
      </c>
      <c r="P111" s="152">
        <v>1011</v>
      </c>
      <c r="Q111" s="150">
        <v>3.7589999999999999</v>
      </c>
      <c r="R111" s="150">
        <v>4828</v>
      </c>
      <c r="T111" s="150">
        <v>183.48099999999999</v>
      </c>
      <c r="U111" s="164">
        <v>4.6E-5</v>
      </c>
      <c r="V111" s="164">
        <v>2.4052390260722499E-2</v>
      </c>
      <c r="W111" s="164">
        <v>1.6461969625721998E-2</v>
      </c>
    </row>
    <row r="112" spans="1:23">
      <c r="A112" s="2" t="s">
        <v>26</v>
      </c>
      <c r="B112" s="2">
        <v>14769</v>
      </c>
      <c r="C112" s="2" t="s">
        <v>1784</v>
      </c>
      <c r="D112" s="2" t="s">
        <v>1785</v>
      </c>
      <c r="E112" s="4" t="s">
        <v>361</v>
      </c>
      <c r="F112" s="2" t="s">
        <v>1786</v>
      </c>
      <c r="G112" s="2" t="s">
        <v>1787</v>
      </c>
      <c r="H112" s="2" t="s">
        <v>367</v>
      </c>
      <c r="I112" s="2" t="s">
        <v>1025</v>
      </c>
      <c r="J112" s="2" t="s">
        <v>94</v>
      </c>
      <c r="K112" s="2" t="s">
        <v>300</v>
      </c>
      <c r="L112" s="2" t="s">
        <v>414</v>
      </c>
      <c r="M112" s="2" t="s">
        <v>780</v>
      </c>
      <c r="N112" s="2" t="s">
        <v>164</v>
      </c>
      <c r="O112" s="2" t="s">
        <v>1219</v>
      </c>
      <c r="P112" s="152">
        <v>1300</v>
      </c>
      <c r="Q112" s="150">
        <v>4.0199999999999996</v>
      </c>
      <c r="R112" s="150">
        <v>2395.5</v>
      </c>
      <c r="T112" s="150">
        <v>125.19499999999999</v>
      </c>
      <c r="U112" s="164">
        <v>2.1999999999999999E-5</v>
      </c>
      <c r="V112" s="164">
        <v>1.64117421820359E-2</v>
      </c>
      <c r="W112" s="164">
        <v>1.12325468852483E-2</v>
      </c>
    </row>
    <row r="113" spans="1:23">
      <c r="A113" s="2" t="s">
        <v>112</v>
      </c>
      <c r="B113" s="2">
        <v>12905</v>
      </c>
      <c r="C113" s="2" t="s">
        <v>1743</v>
      </c>
      <c r="D113" s="2" t="s">
        <v>1744</v>
      </c>
      <c r="E113" s="4" t="s">
        <v>1376</v>
      </c>
      <c r="F113" s="2" t="s">
        <v>1745</v>
      </c>
      <c r="G113" s="2" t="s">
        <v>1746</v>
      </c>
      <c r="H113" s="2" t="s">
        <v>367</v>
      </c>
      <c r="I113" s="2" t="s">
        <v>1025</v>
      </c>
      <c r="J113" s="2" t="s">
        <v>31</v>
      </c>
      <c r="K113" s="2" t="s">
        <v>282</v>
      </c>
      <c r="L113" s="2" t="s">
        <v>32</v>
      </c>
      <c r="M113" s="2" t="s">
        <v>1609</v>
      </c>
      <c r="N113" s="2" t="s">
        <v>164</v>
      </c>
      <c r="O113" s="2" t="s">
        <v>35</v>
      </c>
      <c r="P113" s="152">
        <v>4225</v>
      </c>
      <c r="Q113" s="150">
        <v>1</v>
      </c>
      <c r="R113" s="150">
        <v>4372</v>
      </c>
      <c r="T113" s="150">
        <v>184.71700000000001</v>
      </c>
      <c r="U113" s="164">
        <v>2.7E-4</v>
      </c>
      <c r="V113" s="164">
        <v>1.53622485823474E-2</v>
      </c>
      <c r="W113" s="164">
        <v>5.9369134592294603E-3</v>
      </c>
    </row>
    <row r="114" spans="1:23">
      <c r="A114" s="2" t="s">
        <v>112</v>
      </c>
      <c r="B114" s="2">
        <v>12905</v>
      </c>
      <c r="C114" s="2" t="s">
        <v>1602</v>
      </c>
      <c r="D114" s="2" t="s">
        <v>1603</v>
      </c>
      <c r="E114" s="4" t="s">
        <v>1376</v>
      </c>
      <c r="F114" s="2" t="s">
        <v>1610</v>
      </c>
      <c r="G114" s="2" t="s">
        <v>1611</v>
      </c>
      <c r="H114" s="2" t="s">
        <v>367</v>
      </c>
      <c r="I114" s="2" t="s">
        <v>1024</v>
      </c>
      <c r="J114" s="2" t="s">
        <v>31</v>
      </c>
      <c r="K114" s="2" t="s">
        <v>31</v>
      </c>
      <c r="L114" s="2" t="s">
        <v>32</v>
      </c>
      <c r="M114" s="2" t="s">
        <v>1606</v>
      </c>
      <c r="N114" s="2" t="s">
        <v>164</v>
      </c>
      <c r="O114" s="2" t="s">
        <v>35</v>
      </c>
      <c r="P114" s="152">
        <v>1088</v>
      </c>
      <c r="Q114" s="150">
        <v>1</v>
      </c>
      <c r="R114" s="150">
        <v>3016</v>
      </c>
      <c r="T114" s="150">
        <v>32.814</v>
      </c>
      <c r="U114" s="164">
        <v>2.6999999999999999E-5</v>
      </c>
      <c r="V114" s="164">
        <v>2.7290290225644299E-3</v>
      </c>
      <c r="W114" s="164">
        <v>1.0546639085965699E-3</v>
      </c>
    </row>
    <row r="115" spans="1:23">
      <c r="A115" s="2" t="s">
        <v>112</v>
      </c>
      <c r="B115" s="2">
        <v>12905</v>
      </c>
      <c r="C115" s="2" t="s">
        <v>1602</v>
      </c>
      <c r="D115" s="2" t="s">
        <v>1603</v>
      </c>
      <c r="E115" s="4" t="s">
        <v>1376</v>
      </c>
      <c r="F115" s="2" t="s">
        <v>1614</v>
      </c>
      <c r="G115" s="2" t="s">
        <v>1615</v>
      </c>
      <c r="H115" s="2" t="s">
        <v>367</v>
      </c>
      <c r="I115" s="2" t="s">
        <v>1024</v>
      </c>
      <c r="J115" s="2" t="s">
        <v>31</v>
      </c>
      <c r="K115" s="2" t="s">
        <v>31</v>
      </c>
      <c r="L115" s="2" t="s">
        <v>32</v>
      </c>
      <c r="M115" s="2" t="s">
        <v>1606</v>
      </c>
      <c r="N115" s="2" t="s">
        <v>164</v>
      </c>
      <c r="O115" s="2" t="s">
        <v>35</v>
      </c>
      <c r="P115" s="152">
        <v>2514</v>
      </c>
      <c r="Q115" s="150">
        <v>1</v>
      </c>
      <c r="R115" s="150">
        <v>2678</v>
      </c>
      <c r="T115" s="150">
        <v>67.325000000000003</v>
      </c>
      <c r="U115" s="164">
        <v>6.9999999999999994E-5</v>
      </c>
      <c r="V115" s="164">
        <v>5.5991714721798803E-3</v>
      </c>
      <c r="W115" s="164">
        <v>2.1638626855652E-3</v>
      </c>
    </row>
    <row r="116" spans="1:23">
      <c r="A116" s="2" t="s">
        <v>112</v>
      </c>
      <c r="B116" s="2">
        <v>12905</v>
      </c>
      <c r="C116" s="2" t="s">
        <v>1602</v>
      </c>
      <c r="D116" s="2" t="s">
        <v>1603</v>
      </c>
      <c r="E116" s="4" t="s">
        <v>1376</v>
      </c>
      <c r="F116" s="2" t="s">
        <v>1788</v>
      </c>
      <c r="G116" s="2" t="s">
        <v>1789</v>
      </c>
      <c r="H116" s="2" t="s">
        <v>367</v>
      </c>
      <c r="I116" s="2" t="s">
        <v>1026</v>
      </c>
      <c r="J116" s="2" t="s">
        <v>31</v>
      </c>
      <c r="K116" s="2" t="s">
        <v>31</v>
      </c>
      <c r="L116" s="2" t="s">
        <v>32</v>
      </c>
      <c r="M116" s="2" t="s">
        <v>1790</v>
      </c>
      <c r="N116" s="2" t="s">
        <v>164</v>
      </c>
      <c r="O116" s="2" t="s">
        <v>35</v>
      </c>
      <c r="P116" s="152">
        <v>107069</v>
      </c>
      <c r="Q116" s="150">
        <v>1</v>
      </c>
      <c r="R116" s="150">
        <v>454.12</v>
      </c>
      <c r="T116" s="150">
        <v>486.22199999999998</v>
      </c>
      <c r="U116" s="164">
        <v>7.3899999999999997E-4</v>
      </c>
      <c r="V116" s="164">
        <v>4.0437313723348599E-2</v>
      </c>
      <c r="W116" s="164">
        <v>1.5627453937641499E-2</v>
      </c>
    </row>
    <row r="117" spans="1:23">
      <c r="A117" s="2" t="s">
        <v>112</v>
      </c>
      <c r="B117" s="2">
        <v>12905</v>
      </c>
      <c r="C117" s="2" t="s">
        <v>1602</v>
      </c>
      <c r="D117" s="2" t="s">
        <v>1603</v>
      </c>
      <c r="E117" s="4" t="s">
        <v>1376</v>
      </c>
      <c r="F117" s="2" t="s">
        <v>1791</v>
      </c>
      <c r="G117" s="2" t="s">
        <v>1792</v>
      </c>
      <c r="H117" s="2" t="s">
        <v>367</v>
      </c>
      <c r="I117" s="2" t="s">
        <v>1025</v>
      </c>
      <c r="J117" s="2" t="s">
        <v>31</v>
      </c>
      <c r="K117" s="2" t="s">
        <v>342</v>
      </c>
      <c r="L117" s="2" t="s">
        <v>32</v>
      </c>
      <c r="M117" s="2" t="s">
        <v>1609</v>
      </c>
      <c r="N117" s="2" t="s">
        <v>164</v>
      </c>
      <c r="O117" s="2" t="s">
        <v>35</v>
      </c>
      <c r="P117" s="152">
        <v>13816</v>
      </c>
      <c r="Q117" s="150">
        <v>1</v>
      </c>
      <c r="R117" s="150">
        <v>4996</v>
      </c>
      <c r="T117" s="150">
        <v>690.24699999999996</v>
      </c>
      <c r="U117" s="164">
        <v>2.199E-3</v>
      </c>
      <c r="V117" s="164">
        <v>5.7405390557604401E-2</v>
      </c>
      <c r="W117" s="164">
        <v>2.2184957755818899E-2</v>
      </c>
    </row>
    <row r="118" spans="1:23">
      <c r="A118" s="2" t="s">
        <v>112</v>
      </c>
      <c r="B118" s="2">
        <v>12905</v>
      </c>
      <c r="C118" s="2" t="s">
        <v>1618</v>
      </c>
      <c r="D118" s="2" t="s">
        <v>1619</v>
      </c>
      <c r="E118" s="4" t="s">
        <v>1376</v>
      </c>
      <c r="F118" s="2" t="s">
        <v>1793</v>
      </c>
      <c r="G118" s="2" t="s">
        <v>1794</v>
      </c>
      <c r="H118" s="2" t="s">
        <v>367</v>
      </c>
      <c r="I118" s="2" t="s">
        <v>1026</v>
      </c>
      <c r="J118" s="2" t="s">
        <v>31</v>
      </c>
      <c r="K118" s="2" t="s">
        <v>31</v>
      </c>
      <c r="L118" s="2" t="s">
        <v>32</v>
      </c>
      <c r="M118" s="2" t="s">
        <v>1790</v>
      </c>
      <c r="N118" s="2" t="s">
        <v>164</v>
      </c>
      <c r="O118" s="2" t="s">
        <v>35</v>
      </c>
      <c r="P118" s="152">
        <v>111655</v>
      </c>
      <c r="Q118" s="150">
        <v>1</v>
      </c>
      <c r="R118" s="150">
        <v>394.12</v>
      </c>
      <c r="T118" s="150">
        <v>440.05500000000001</v>
      </c>
      <c r="U118" s="164">
        <v>1.034E-3</v>
      </c>
      <c r="V118" s="164">
        <v>3.6597765642354597E-2</v>
      </c>
      <c r="W118" s="164">
        <v>1.41436174694825E-2</v>
      </c>
    </row>
    <row r="119" spans="1:23">
      <c r="A119" s="2" t="s">
        <v>112</v>
      </c>
      <c r="B119" s="2">
        <v>12905</v>
      </c>
      <c r="C119" s="2" t="s">
        <v>1618</v>
      </c>
      <c r="D119" s="2" t="s">
        <v>1619</v>
      </c>
      <c r="E119" s="4" t="s">
        <v>1376</v>
      </c>
      <c r="F119" s="2" t="s">
        <v>1620</v>
      </c>
      <c r="G119" s="2" t="s">
        <v>1621</v>
      </c>
      <c r="H119" s="2" t="s">
        <v>367</v>
      </c>
      <c r="I119" s="2" t="s">
        <v>1024</v>
      </c>
      <c r="J119" s="2" t="s">
        <v>31</v>
      </c>
      <c r="K119" s="2" t="s">
        <v>31</v>
      </c>
      <c r="L119" s="2" t="s">
        <v>32</v>
      </c>
      <c r="M119" s="2" t="s">
        <v>1606</v>
      </c>
      <c r="N119" s="2" t="s">
        <v>164</v>
      </c>
      <c r="O119" s="2" t="s">
        <v>35</v>
      </c>
      <c r="P119" s="152">
        <v>2144</v>
      </c>
      <c r="Q119" s="150">
        <v>1</v>
      </c>
      <c r="R119" s="150">
        <v>1784</v>
      </c>
      <c r="T119" s="150">
        <v>38.249000000000002</v>
      </c>
      <c r="U119" s="164">
        <v>4.3999999999999999E-5</v>
      </c>
      <c r="V119" s="164">
        <v>3.1810284464140401E-3</v>
      </c>
      <c r="W119" s="164">
        <v>1.2293441612062201E-3</v>
      </c>
    </row>
    <row r="120" spans="1:23">
      <c r="A120" s="2" t="s">
        <v>112</v>
      </c>
      <c r="B120" s="2">
        <v>12905</v>
      </c>
      <c r="C120" s="2" t="s">
        <v>1618</v>
      </c>
      <c r="D120" s="2" t="s">
        <v>1619</v>
      </c>
      <c r="E120" s="4" t="s">
        <v>1376</v>
      </c>
      <c r="F120" s="2" t="s">
        <v>1795</v>
      </c>
      <c r="G120" s="2" t="s">
        <v>1796</v>
      </c>
      <c r="H120" s="2" t="s">
        <v>367</v>
      </c>
      <c r="I120" s="2" t="s">
        <v>1026</v>
      </c>
      <c r="J120" s="2" t="s">
        <v>31</v>
      </c>
      <c r="K120" s="2" t="s">
        <v>31</v>
      </c>
      <c r="L120" s="2" t="s">
        <v>32</v>
      </c>
      <c r="M120" s="2" t="s">
        <v>1790</v>
      </c>
      <c r="N120" s="2" t="s">
        <v>164</v>
      </c>
      <c r="O120" s="2" t="s">
        <v>35</v>
      </c>
      <c r="P120" s="152">
        <v>58603</v>
      </c>
      <c r="Q120" s="150">
        <v>1</v>
      </c>
      <c r="R120" s="150">
        <v>383.33</v>
      </c>
      <c r="T120" s="150">
        <v>224.643</v>
      </c>
      <c r="U120" s="164">
        <v>2.5700000000000001E-4</v>
      </c>
      <c r="V120" s="164">
        <v>1.8682740426047499E-2</v>
      </c>
      <c r="W120" s="164">
        <v>7.2201548162777497E-3</v>
      </c>
    </row>
    <row r="121" spans="1:23">
      <c r="A121" s="2" t="s">
        <v>112</v>
      </c>
      <c r="B121" s="2">
        <v>12905</v>
      </c>
      <c r="C121" s="2" t="s">
        <v>1618</v>
      </c>
      <c r="D121" s="2" t="s">
        <v>1619</v>
      </c>
      <c r="E121" s="4" t="s">
        <v>1376</v>
      </c>
      <c r="F121" s="2" t="s">
        <v>1622</v>
      </c>
      <c r="G121" s="2" t="s">
        <v>1623</v>
      </c>
      <c r="H121" s="2" t="s">
        <v>367</v>
      </c>
      <c r="I121" s="2" t="s">
        <v>1024</v>
      </c>
      <c r="J121" s="2" t="s">
        <v>31</v>
      </c>
      <c r="K121" s="2" t="s">
        <v>31</v>
      </c>
      <c r="L121" s="2" t="s">
        <v>32</v>
      </c>
      <c r="M121" s="2" t="s">
        <v>1606</v>
      </c>
      <c r="N121" s="2" t="s">
        <v>164</v>
      </c>
      <c r="O121" s="2" t="s">
        <v>35</v>
      </c>
      <c r="P121" s="152">
        <v>4091</v>
      </c>
      <c r="Q121" s="150">
        <v>1</v>
      </c>
      <c r="R121" s="150">
        <v>1921</v>
      </c>
      <c r="T121" s="150">
        <v>78.587999999999994</v>
      </c>
      <c r="U121" s="164">
        <v>7.2000000000000002E-5</v>
      </c>
      <c r="V121" s="164">
        <v>6.5358904780656903E-3</v>
      </c>
      <c r="W121" s="164">
        <v>2.5258682633131002E-3</v>
      </c>
    </row>
    <row r="122" spans="1:23">
      <c r="A122" s="2" t="s">
        <v>112</v>
      </c>
      <c r="B122" s="2">
        <v>12905</v>
      </c>
      <c r="C122" s="2" t="s">
        <v>1624</v>
      </c>
      <c r="D122" s="2" t="s">
        <v>1625</v>
      </c>
      <c r="E122" s="4" t="s">
        <v>1376</v>
      </c>
      <c r="F122" s="2" t="s">
        <v>1626</v>
      </c>
      <c r="G122" s="2" t="s">
        <v>1627</v>
      </c>
      <c r="H122" s="2" t="s">
        <v>367</v>
      </c>
      <c r="I122" s="2" t="s">
        <v>1025</v>
      </c>
      <c r="J122" s="2" t="s">
        <v>31</v>
      </c>
      <c r="K122" s="2" t="s">
        <v>95</v>
      </c>
      <c r="L122" s="2" t="s">
        <v>32</v>
      </c>
      <c r="M122" s="2" t="s">
        <v>1609</v>
      </c>
      <c r="N122" s="2" t="s">
        <v>164</v>
      </c>
      <c r="O122" s="2" t="s">
        <v>35</v>
      </c>
      <c r="P122" s="152">
        <v>932</v>
      </c>
      <c r="Q122" s="150">
        <v>1</v>
      </c>
      <c r="R122" s="150">
        <v>11180</v>
      </c>
      <c r="T122" s="150">
        <v>104.19799999999999</v>
      </c>
      <c r="U122" s="164">
        <v>9.7999999999999997E-5</v>
      </c>
      <c r="V122" s="164">
        <v>8.6657396605834894E-3</v>
      </c>
      <c r="W122" s="164">
        <v>3.34897239484946E-3</v>
      </c>
    </row>
    <row r="123" spans="1:23">
      <c r="A123" s="2" t="s">
        <v>112</v>
      </c>
      <c r="B123" s="2">
        <v>12905</v>
      </c>
      <c r="C123" s="2" t="s">
        <v>1624</v>
      </c>
      <c r="D123" s="2" t="s">
        <v>1625</v>
      </c>
      <c r="E123" s="4" t="s">
        <v>1376</v>
      </c>
      <c r="F123" s="2" t="s">
        <v>1751</v>
      </c>
      <c r="G123" s="2" t="s">
        <v>1752</v>
      </c>
      <c r="H123" s="2" t="s">
        <v>367</v>
      </c>
      <c r="I123" s="2" t="s">
        <v>1025</v>
      </c>
      <c r="J123" s="2" t="s">
        <v>31</v>
      </c>
      <c r="K123" s="2" t="s">
        <v>95</v>
      </c>
      <c r="L123" s="2" t="s">
        <v>32</v>
      </c>
      <c r="M123" s="2" t="s">
        <v>1609</v>
      </c>
      <c r="N123" s="2" t="s">
        <v>164</v>
      </c>
      <c r="O123" s="2" t="s">
        <v>35</v>
      </c>
      <c r="P123" s="152">
        <v>7139</v>
      </c>
      <c r="Q123" s="150">
        <v>1</v>
      </c>
      <c r="R123" s="150">
        <v>10150</v>
      </c>
      <c r="T123" s="150">
        <v>724.60900000000004</v>
      </c>
      <c r="U123" s="164">
        <v>1.25E-4</v>
      </c>
      <c r="V123" s="164">
        <v>6.0263082996593997E-2</v>
      </c>
      <c r="W123" s="164">
        <v>2.3289345086386599E-2</v>
      </c>
    </row>
    <row r="124" spans="1:23">
      <c r="A124" s="2" t="s">
        <v>112</v>
      </c>
      <c r="B124" s="2">
        <v>12905</v>
      </c>
      <c r="C124" s="2" t="s">
        <v>1602</v>
      </c>
      <c r="D124" s="2" t="s">
        <v>1603</v>
      </c>
      <c r="E124" s="4" t="s">
        <v>1376</v>
      </c>
      <c r="F124" s="2" t="s">
        <v>1628</v>
      </c>
      <c r="G124" s="2" t="s">
        <v>1629</v>
      </c>
      <c r="H124" s="2" t="s">
        <v>367</v>
      </c>
      <c r="I124" s="2" t="s">
        <v>1025</v>
      </c>
      <c r="J124" s="2" t="s">
        <v>31</v>
      </c>
      <c r="K124" s="2" t="s">
        <v>95</v>
      </c>
      <c r="L124" s="2" t="s">
        <v>32</v>
      </c>
      <c r="M124" s="2" t="s">
        <v>1609</v>
      </c>
      <c r="N124" s="2" t="s">
        <v>164</v>
      </c>
      <c r="O124" s="2" t="s">
        <v>35</v>
      </c>
      <c r="P124" s="152">
        <v>1710</v>
      </c>
      <c r="Q124" s="150">
        <v>1</v>
      </c>
      <c r="R124" s="150">
        <v>3000</v>
      </c>
      <c r="T124" s="150">
        <v>51.3</v>
      </c>
      <c r="U124" s="164">
        <v>8.6000000000000003E-5</v>
      </c>
      <c r="V124" s="164">
        <v>4.26643650705902E-3</v>
      </c>
      <c r="W124" s="164">
        <v>1.6488122937167199E-3</v>
      </c>
    </row>
    <row r="125" spans="1:23">
      <c r="A125" s="2" t="s">
        <v>112</v>
      </c>
      <c r="B125" s="2">
        <v>12905</v>
      </c>
      <c r="C125" s="2" t="s">
        <v>1743</v>
      </c>
      <c r="D125" s="2" t="s">
        <v>1744</v>
      </c>
      <c r="E125" s="4" t="s">
        <v>1376</v>
      </c>
      <c r="F125" s="2" t="s">
        <v>1797</v>
      </c>
      <c r="G125" s="2" t="s">
        <v>1798</v>
      </c>
      <c r="H125" s="2" t="s">
        <v>367</v>
      </c>
      <c r="I125" s="2" t="s">
        <v>1024</v>
      </c>
      <c r="J125" s="2" t="s">
        <v>31</v>
      </c>
      <c r="K125" s="2" t="s">
        <v>31</v>
      </c>
      <c r="L125" s="2" t="s">
        <v>32</v>
      </c>
      <c r="M125" s="2" t="s">
        <v>1606</v>
      </c>
      <c r="N125" s="2" t="s">
        <v>164</v>
      </c>
      <c r="O125" s="2" t="s">
        <v>35</v>
      </c>
      <c r="P125" s="152">
        <v>218</v>
      </c>
      <c r="Q125" s="150">
        <v>1</v>
      </c>
      <c r="R125" s="150">
        <v>19140</v>
      </c>
      <c r="T125" s="150">
        <v>41.725000000000001</v>
      </c>
      <c r="U125" s="164">
        <v>6.0000000000000002E-6</v>
      </c>
      <c r="V125" s="164">
        <v>3.4701348254257101E-3</v>
      </c>
      <c r="W125" s="164">
        <v>1.34107256759822E-3</v>
      </c>
    </row>
    <row r="126" spans="1:23">
      <c r="A126" s="2" t="s">
        <v>112</v>
      </c>
      <c r="B126" s="2">
        <v>12905</v>
      </c>
      <c r="C126" s="2" t="s">
        <v>1743</v>
      </c>
      <c r="D126" s="2" t="s">
        <v>1744</v>
      </c>
      <c r="E126" s="4" t="s">
        <v>1376</v>
      </c>
      <c r="F126" s="2" t="s">
        <v>1799</v>
      </c>
      <c r="G126" s="2" t="s">
        <v>1800</v>
      </c>
      <c r="H126" s="2" t="s">
        <v>367</v>
      </c>
      <c r="I126" s="2" t="s">
        <v>1024</v>
      </c>
      <c r="J126" s="2" t="s">
        <v>31</v>
      </c>
      <c r="K126" s="2" t="s">
        <v>31</v>
      </c>
      <c r="L126" s="2" t="s">
        <v>32</v>
      </c>
      <c r="M126" s="2" t="s">
        <v>1606</v>
      </c>
      <c r="N126" s="2" t="s">
        <v>164</v>
      </c>
      <c r="O126" s="2" t="s">
        <v>35</v>
      </c>
      <c r="P126" s="152">
        <v>853</v>
      </c>
      <c r="Q126" s="150">
        <v>1</v>
      </c>
      <c r="R126" s="150">
        <v>23410</v>
      </c>
      <c r="T126" s="150">
        <v>199.68700000000001</v>
      </c>
      <c r="U126" s="164">
        <v>2.5500000000000002E-4</v>
      </c>
      <c r="V126" s="164">
        <v>1.6607274594854698E-2</v>
      </c>
      <c r="W126" s="164">
        <v>6.4180677415029003E-3</v>
      </c>
    </row>
    <row r="127" spans="1:23">
      <c r="A127" s="2" t="s">
        <v>112</v>
      </c>
      <c r="B127" s="2">
        <v>12905</v>
      </c>
      <c r="C127" s="2" t="s">
        <v>1630</v>
      </c>
      <c r="D127" s="2" t="s">
        <v>1631</v>
      </c>
      <c r="E127" s="4" t="s">
        <v>361</v>
      </c>
      <c r="F127" s="2" t="s">
        <v>1632</v>
      </c>
      <c r="G127" s="2" t="s">
        <v>1633</v>
      </c>
      <c r="H127" s="2" t="s">
        <v>367</v>
      </c>
      <c r="I127" s="2" t="s">
        <v>1025</v>
      </c>
      <c r="J127" s="2" t="s">
        <v>94</v>
      </c>
      <c r="K127" s="2" t="s">
        <v>95</v>
      </c>
      <c r="L127" s="2" t="s">
        <v>390</v>
      </c>
      <c r="M127" s="2" t="s">
        <v>780</v>
      </c>
      <c r="N127" s="2" t="s">
        <v>164</v>
      </c>
      <c r="O127" s="2" t="s">
        <v>99</v>
      </c>
      <c r="P127" s="152">
        <v>429</v>
      </c>
      <c r="Q127" s="150">
        <v>3.7589999999999999</v>
      </c>
      <c r="R127" s="150">
        <v>6814</v>
      </c>
      <c r="T127" s="150">
        <v>109.883</v>
      </c>
      <c r="U127" s="164">
        <v>1.9999999999999999E-6</v>
      </c>
      <c r="V127" s="164">
        <v>9.1386000078687805E-3</v>
      </c>
      <c r="W127" s="164">
        <v>3.5317145855571302E-3</v>
      </c>
    </row>
    <row r="128" spans="1:23">
      <c r="A128" s="2" t="s">
        <v>112</v>
      </c>
      <c r="B128" s="2">
        <v>12905</v>
      </c>
      <c r="C128" s="2" t="s">
        <v>1574</v>
      </c>
      <c r="D128" s="2" t="s">
        <v>1575</v>
      </c>
      <c r="E128" s="4" t="s">
        <v>361</v>
      </c>
      <c r="F128" s="2" t="s">
        <v>1634</v>
      </c>
      <c r="G128" s="2" t="s">
        <v>1635</v>
      </c>
      <c r="H128" s="2" t="s">
        <v>367</v>
      </c>
      <c r="I128" s="2" t="s">
        <v>1025</v>
      </c>
      <c r="J128" s="2" t="s">
        <v>94</v>
      </c>
      <c r="K128" s="2" t="s">
        <v>95</v>
      </c>
      <c r="L128" s="2" t="s">
        <v>390</v>
      </c>
      <c r="M128" s="2" t="s">
        <v>780</v>
      </c>
      <c r="N128" s="2" t="s">
        <v>164</v>
      </c>
      <c r="O128" s="2" t="s">
        <v>99</v>
      </c>
      <c r="P128" s="152">
        <v>210</v>
      </c>
      <c r="Q128" s="150">
        <v>3.7589999999999999</v>
      </c>
      <c r="R128" s="150">
        <v>10272</v>
      </c>
      <c r="T128" s="150">
        <v>81.085999999999999</v>
      </c>
      <c r="U128" s="164">
        <v>1.1E-5</v>
      </c>
      <c r="V128" s="164">
        <v>6.7436427158995699E-3</v>
      </c>
      <c r="W128" s="164">
        <v>2.60615644836423E-3</v>
      </c>
    </row>
    <row r="129" spans="1:23">
      <c r="A129" s="2" t="s">
        <v>112</v>
      </c>
      <c r="B129" s="2">
        <v>12905</v>
      </c>
      <c r="C129" s="2" t="s">
        <v>1636</v>
      </c>
      <c r="D129" s="2" t="s">
        <v>1637</v>
      </c>
      <c r="E129" s="4" t="s">
        <v>361</v>
      </c>
      <c r="F129" s="2" t="s">
        <v>1638</v>
      </c>
      <c r="G129" s="2" t="s">
        <v>1639</v>
      </c>
      <c r="H129" s="2" t="s">
        <v>34</v>
      </c>
      <c r="I129" s="2" t="s">
        <v>1025</v>
      </c>
      <c r="J129" s="2" t="s">
        <v>94</v>
      </c>
      <c r="K129" s="2" t="s">
        <v>330</v>
      </c>
      <c r="L129" s="2" t="s">
        <v>392</v>
      </c>
      <c r="M129" s="2" t="s">
        <v>780</v>
      </c>
      <c r="N129" s="2" t="s">
        <v>164</v>
      </c>
      <c r="O129" s="2" t="s">
        <v>99</v>
      </c>
      <c r="P129" s="152">
        <v>2234</v>
      </c>
      <c r="Q129" s="150">
        <v>3.7589999999999999</v>
      </c>
      <c r="R129" s="150">
        <v>12799.9</v>
      </c>
      <c r="T129" s="150">
        <v>1074.885</v>
      </c>
      <c r="U129" s="164">
        <v>0</v>
      </c>
      <c r="V129" s="164">
        <v>8.9394333954489605E-2</v>
      </c>
      <c r="W129" s="164">
        <v>3.4547444118507201E-2</v>
      </c>
    </row>
    <row r="130" spans="1:23">
      <c r="A130" s="2" t="s">
        <v>112</v>
      </c>
      <c r="B130" s="2">
        <v>12905</v>
      </c>
      <c r="C130" s="2" t="s">
        <v>1640</v>
      </c>
      <c r="D130" s="2" t="s">
        <v>1641</v>
      </c>
      <c r="E130" s="4" t="s">
        <v>361</v>
      </c>
      <c r="F130" s="2" t="s">
        <v>1645</v>
      </c>
      <c r="G130" s="2" t="s">
        <v>1646</v>
      </c>
      <c r="H130" s="2" t="s">
        <v>367</v>
      </c>
      <c r="I130" s="2" t="s">
        <v>1025</v>
      </c>
      <c r="J130" s="2" t="s">
        <v>94</v>
      </c>
      <c r="K130" s="2" t="s">
        <v>330</v>
      </c>
      <c r="L130" s="2" t="s">
        <v>410</v>
      </c>
      <c r="M130" s="2" t="s">
        <v>780</v>
      </c>
      <c r="N130" s="2" t="s">
        <v>164</v>
      </c>
      <c r="O130" s="2" t="s">
        <v>1219</v>
      </c>
      <c r="P130" s="152">
        <v>150</v>
      </c>
      <c r="Q130" s="150">
        <v>4.0199999999999996</v>
      </c>
      <c r="R130" s="150">
        <v>11282</v>
      </c>
      <c r="T130" s="150">
        <v>68.034000000000006</v>
      </c>
      <c r="U130" s="164">
        <v>3.0000000000000001E-5</v>
      </c>
      <c r="V130" s="164">
        <v>5.6581301816183201E-3</v>
      </c>
      <c r="W130" s="164">
        <v>2.18664794084392E-3</v>
      </c>
    </row>
    <row r="131" spans="1:23">
      <c r="A131" s="2" t="s">
        <v>112</v>
      </c>
      <c r="B131" s="2">
        <v>12905</v>
      </c>
      <c r="C131" s="2" t="s">
        <v>1647</v>
      </c>
      <c r="D131" s="2" t="s">
        <v>1648</v>
      </c>
      <c r="E131" s="4" t="s">
        <v>361</v>
      </c>
      <c r="F131" s="2" t="s">
        <v>1649</v>
      </c>
      <c r="G131" s="2" t="s">
        <v>1650</v>
      </c>
      <c r="H131" s="2" t="s">
        <v>367</v>
      </c>
      <c r="I131" s="2" t="s">
        <v>1025</v>
      </c>
      <c r="J131" s="2" t="s">
        <v>94</v>
      </c>
      <c r="K131" s="2" t="s">
        <v>95</v>
      </c>
      <c r="L131" s="2" t="s">
        <v>1564</v>
      </c>
      <c r="M131" s="2" t="s">
        <v>780</v>
      </c>
      <c r="N131" s="2" t="s">
        <v>164</v>
      </c>
      <c r="O131" s="2" t="s">
        <v>1219</v>
      </c>
      <c r="P131" s="152">
        <v>469</v>
      </c>
      <c r="Q131" s="150">
        <v>4.0199999999999996</v>
      </c>
      <c r="R131" s="150">
        <v>6412</v>
      </c>
      <c r="T131" s="150">
        <v>120.89700000000001</v>
      </c>
      <c r="U131" s="164">
        <v>0</v>
      </c>
      <c r="V131" s="164">
        <v>1.00545337764035E-2</v>
      </c>
      <c r="W131" s="164">
        <v>3.8856874749442598E-3</v>
      </c>
    </row>
    <row r="132" spans="1:23">
      <c r="A132" s="2" t="s">
        <v>112</v>
      </c>
      <c r="B132" s="2">
        <v>12905</v>
      </c>
      <c r="C132" s="2" t="s">
        <v>1640</v>
      </c>
      <c r="D132" s="2" t="s">
        <v>1641</v>
      </c>
      <c r="E132" s="4" t="s">
        <v>361</v>
      </c>
      <c r="F132" s="2" t="s">
        <v>1651</v>
      </c>
      <c r="G132" s="2" t="s">
        <v>1652</v>
      </c>
      <c r="H132" s="2" t="s">
        <v>367</v>
      </c>
      <c r="I132" s="2" t="s">
        <v>1025</v>
      </c>
      <c r="J132" s="2" t="s">
        <v>94</v>
      </c>
      <c r="K132" s="2" t="s">
        <v>95</v>
      </c>
      <c r="L132" s="2" t="s">
        <v>426</v>
      </c>
      <c r="M132" s="2" t="s">
        <v>780</v>
      </c>
      <c r="N132" s="2" t="s">
        <v>164</v>
      </c>
      <c r="O132" s="2" t="s">
        <v>99</v>
      </c>
      <c r="P132" s="152">
        <v>801</v>
      </c>
      <c r="Q132" s="150">
        <v>3.7589999999999999</v>
      </c>
      <c r="R132" s="150">
        <v>9337</v>
      </c>
      <c r="T132" s="150">
        <v>281.13299999999998</v>
      </c>
      <c r="U132" s="164">
        <v>0</v>
      </c>
      <c r="V132" s="164">
        <v>2.3380840668447599E-2</v>
      </c>
      <c r="W132" s="164">
        <v>9.0357884074413197E-3</v>
      </c>
    </row>
    <row r="133" spans="1:23">
      <c r="A133" s="2" t="s">
        <v>112</v>
      </c>
      <c r="B133" s="2">
        <v>12905</v>
      </c>
      <c r="C133" s="2" t="s">
        <v>1630</v>
      </c>
      <c r="D133" s="2" t="s">
        <v>1631</v>
      </c>
      <c r="E133" s="4" t="s">
        <v>361</v>
      </c>
      <c r="F133" s="2" t="s">
        <v>1653</v>
      </c>
      <c r="G133" s="2" t="s">
        <v>1654</v>
      </c>
      <c r="H133" s="2" t="s">
        <v>367</v>
      </c>
      <c r="I133" s="2" t="s">
        <v>1025</v>
      </c>
      <c r="J133" s="2" t="s">
        <v>94</v>
      </c>
      <c r="K133" s="2" t="s">
        <v>95</v>
      </c>
      <c r="L133" s="2" t="s">
        <v>390</v>
      </c>
      <c r="M133" s="2" t="s">
        <v>780</v>
      </c>
      <c r="N133" s="2" t="s">
        <v>164</v>
      </c>
      <c r="O133" s="2" t="s">
        <v>99</v>
      </c>
      <c r="P133" s="152">
        <v>600</v>
      </c>
      <c r="Q133" s="150">
        <v>3.7589999999999999</v>
      </c>
      <c r="R133" s="150">
        <v>8566</v>
      </c>
      <c r="T133" s="150">
        <v>193.19800000000001</v>
      </c>
      <c r="U133" s="164">
        <v>3.0000000000000001E-6</v>
      </c>
      <c r="V133" s="164">
        <v>1.6067546591120301E-2</v>
      </c>
      <c r="W133" s="164">
        <v>6.2094837941388502E-3</v>
      </c>
    </row>
    <row r="134" spans="1:23">
      <c r="A134" s="2" t="s">
        <v>112</v>
      </c>
      <c r="B134" s="2">
        <v>12905</v>
      </c>
      <c r="C134" s="2" t="s">
        <v>1630</v>
      </c>
      <c r="D134" s="2" t="s">
        <v>1631</v>
      </c>
      <c r="E134" s="4" t="s">
        <v>361</v>
      </c>
      <c r="F134" s="2" t="s">
        <v>1655</v>
      </c>
      <c r="G134" s="2" t="s">
        <v>1656</v>
      </c>
      <c r="H134" s="2" t="s">
        <v>367</v>
      </c>
      <c r="I134" s="2" t="s">
        <v>1025</v>
      </c>
      <c r="J134" s="2" t="s">
        <v>94</v>
      </c>
      <c r="K134" s="2" t="s">
        <v>95</v>
      </c>
      <c r="L134" s="2" t="s">
        <v>390</v>
      </c>
      <c r="M134" s="2" t="s">
        <v>780</v>
      </c>
      <c r="N134" s="2" t="s">
        <v>164</v>
      </c>
      <c r="O134" s="2" t="s">
        <v>99</v>
      </c>
      <c r="P134" s="152">
        <v>303</v>
      </c>
      <c r="Q134" s="150">
        <v>3.7589999999999999</v>
      </c>
      <c r="R134" s="150">
        <v>18240</v>
      </c>
      <c r="T134" s="150">
        <v>207.749</v>
      </c>
      <c r="U134" s="164">
        <v>3.0000000000000001E-6</v>
      </c>
      <c r="V134" s="164">
        <v>1.72777708568909E-2</v>
      </c>
      <c r="W134" s="164">
        <v>6.6771885506154297E-3</v>
      </c>
    </row>
    <row r="135" spans="1:23">
      <c r="A135" s="2" t="s">
        <v>112</v>
      </c>
      <c r="B135" s="2">
        <v>12905</v>
      </c>
      <c r="C135" s="2" t="s">
        <v>1657</v>
      </c>
      <c r="D135" s="2" t="s">
        <v>1658</v>
      </c>
      <c r="E135" s="4" t="s">
        <v>361</v>
      </c>
      <c r="F135" s="2" t="s">
        <v>1659</v>
      </c>
      <c r="G135" s="2" t="s">
        <v>1660</v>
      </c>
      <c r="H135" s="2" t="s">
        <v>367</v>
      </c>
      <c r="I135" s="2" t="s">
        <v>1025</v>
      </c>
      <c r="J135" s="2" t="s">
        <v>94</v>
      </c>
      <c r="K135" s="2" t="s">
        <v>95</v>
      </c>
      <c r="L135" s="2" t="s">
        <v>390</v>
      </c>
      <c r="M135" s="2" t="s">
        <v>780</v>
      </c>
      <c r="N135" s="2" t="s">
        <v>164</v>
      </c>
      <c r="O135" s="2" t="s">
        <v>99</v>
      </c>
      <c r="P135" s="152">
        <v>195</v>
      </c>
      <c r="Q135" s="150">
        <v>3.7589999999999999</v>
      </c>
      <c r="R135" s="150">
        <v>5242</v>
      </c>
      <c r="T135" s="150">
        <v>38.423999999999999</v>
      </c>
      <c r="U135" s="164">
        <v>3.4E-5</v>
      </c>
      <c r="V135" s="164">
        <v>3.1955960483261801E-3</v>
      </c>
      <c r="W135" s="164">
        <v>1.23497397453708E-3</v>
      </c>
    </row>
    <row r="136" spans="1:23">
      <c r="A136" s="2" t="s">
        <v>112</v>
      </c>
      <c r="B136" s="2">
        <v>12905</v>
      </c>
      <c r="C136" s="2" t="s">
        <v>1630</v>
      </c>
      <c r="D136" s="2" t="s">
        <v>1631</v>
      </c>
      <c r="E136" s="4" t="s">
        <v>361</v>
      </c>
      <c r="F136" s="2" t="s">
        <v>1661</v>
      </c>
      <c r="G136" s="2" t="s">
        <v>1662</v>
      </c>
      <c r="H136" s="2" t="s">
        <v>367</v>
      </c>
      <c r="I136" s="2" t="s">
        <v>1025</v>
      </c>
      <c r="J136" s="2" t="s">
        <v>94</v>
      </c>
      <c r="K136" s="2" t="s">
        <v>95</v>
      </c>
      <c r="L136" s="2" t="s">
        <v>390</v>
      </c>
      <c r="M136" s="2" t="s">
        <v>780</v>
      </c>
      <c r="N136" s="2" t="s">
        <v>164</v>
      </c>
      <c r="O136" s="2" t="s">
        <v>99</v>
      </c>
      <c r="P136" s="152">
        <v>1335</v>
      </c>
      <c r="Q136" s="150">
        <v>3.7589999999999999</v>
      </c>
      <c r="R136" s="150">
        <v>4111</v>
      </c>
      <c r="T136" s="150">
        <v>206.30099999999999</v>
      </c>
      <c r="U136" s="164">
        <v>9.9999999999999995E-7</v>
      </c>
      <c r="V136" s="164">
        <v>1.7157301772158799E-2</v>
      </c>
      <c r="W136" s="164">
        <v>6.6306319201369602E-3</v>
      </c>
    </row>
    <row r="137" spans="1:23">
      <c r="A137" s="2" t="s">
        <v>112</v>
      </c>
      <c r="B137" s="2">
        <v>12905</v>
      </c>
      <c r="C137" s="2" t="s">
        <v>1663</v>
      </c>
      <c r="D137" s="2" t="s">
        <v>1664</v>
      </c>
      <c r="E137" s="4" t="s">
        <v>361</v>
      </c>
      <c r="F137" s="2" t="s">
        <v>1667</v>
      </c>
      <c r="G137" s="2" t="s">
        <v>1668</v>
      </c>
      <c r="H137" s="2" t="s">
        <v>367</v>
      </c>
      <c r="I137" s="2" t="s">
        <v>1025</v>
      </c>
      <c r="J137" s="2" t="s">
        <v>94</v>
      </c>
      <c r="K137" s="2" t="s">
        <v>345</v>
      </c>
      <c r="L137" s="2" t="s">
        <v>392</v>
      </c>
      <c r="M137" s="2" t="s">
        <v>780</v>
      </c>
      <c r="N137" s="2" t="s">
        <v>164</v>
      </c>
      <c r="O137" s="2" t="s">
        <v>99</v>
      </c>
      <c r="P137" s="152">
        <v>143</v>
      </c>
      <c r="Q137" s="150">
        <v>3.7589999999999999</v>
      </c>
      <c r="R137" s="150">
        <v>11558</v>
      </c>
      <c r="T137" s="150">
        <v>62.128999999999998</v>
      </c>
      <c r="U137" s="164">
        <v>2.0000000000000002E-5</v>
      </c>
      <c r="V137" s="164">
        <v>5.1670061095268303E-3</v>
      </c>
      <c r="W137" s="164">
        <v>1.99684752861116E-3</v>
      </c>
    </row>
    <row r="138" spans="1:23">
      <c r="A138" s="2" t="s">
        <v>112</v>
      </c>
      <c r="B138" s="2">
        <v>12905</v>
      </c>
      <c r="C138" s="2" t="s">
        <v>1761</v>
      </c>
      <c r="D138" s="2" t="s">
        <v>1762</v>
      </c>
      <c r="E138" s="4" t="s">
        <v>361</v>
      </c>
      <c r="F138" s="2" t="s">
        <v>1763</v>
      </c>
      <c r="G138" s="2" t="s">
        <v>1764</v>
      </c>
      <c r="H138" s="2" t="s">
        <v>367</v>
      </c>
      <c r="I138" s="2" t="s">
        <v>1025</v>
      </c>
      <c r="J138" s="2" t="s">
        <v>94</v>
      </c>
      <c r="K138" s="2" t="s">
        <v>95</v>
      </c>
      <c r="L138" s="2" t="s">
        <v>392</v>
      </c>
      <c r="M138" s="2" t="s">
        <v>780</v>
      </c>
      <c r="N138" s="2" t="s">
        <v>164</v>
      </c>
      <c r="O138" s="2" t="s">
        <v>99</v>
      </c>
      <c r="P138" s="152">
        <v>652</v>
      </c>
      <c r="Q138" s="150">
        <v>3.7589999999999999</v>
      </c>
      <c r="R138" s="150">
        <v>2187</v>
      </c>
      <c r="T138" s="150">
        <v>53.6</v>
      </c>
      <c r="U138" s="164">
        <v>0</v>
      </c>
      <c r="V138" s="164">
        <v>4.45775941812527E-3</v>
      </c>
      <c r="W138" s="164">
        <v>1.7227511809622599E-3</v>
      </c>
    </row>
    <row r="139" spans="1:23">
      <c r="A139" s="2" t="s">
        <v>112</v>
      </c>
      <c r="B139" s="2">
        <v>12905</v>
      </c>
      <c r="C139" s="2" t="s">
        <v>1669</v>
      </c>
      <c r="D139" s="2" t="s">
        <v>1670</v>
      </c>
      <c r="E139" s="4" t="s">
        <v>361</v>
      </c>
      <c r="F139" s="2" t="s">
        <v>1671</v>
      </c>
      <c r="G139" s="2" t="s">
        <v>1672</v>
      </c>
      <c r="H139" s="2" t="s">
        <v>367</v>
      </c>
      <c r="I139" s="2" t="s">
        <v>1025</v>
      </c>
      <c r="J139" s="2" t="s">
        <v>94</v>
      </c>
      <c r="K139" s="2" t="s">
        <v>95</v>
      </c>
      <c r="L139" s="2" t="s">
        <v>390</v>
      </c>
      <c r="M139" s="2" t="s">
        <v>780</v>
      </c>
      <c r="N139" s="2" t="s">
        <v>164</v>
      </c>
      <c r="O139" s="2" t="s">
        <v>99</v>
      </c>
      <c r="P139" s="152">
        <v>863</v>
      </c>
      <c r="Q139" s="150">
        <v>3.7589999999999999</v>
      </c>
      <c r="R139" s="150">
        <v>3393</v>
      </c>
      <c r="T139" s="150">
        <v>110.069</v>
      </c>
      <c r="U139" s="164">
        <v>1.9999999999999999E-6</v>
      </c>
      <c r="V139" s="164">
        <v>9.1540842008538108E-3</v>
      </c>
      <c r="W139" s="164">
        <v>3.53769862580003E-3</v>
      </c>
    </row>
    <row r="140" spans="1:23">
      <c r="A140" s="2" t="s">
        <v>112</v>
      </c>
      <c r="B140" s="2">
        <v>12905</v>
      </c>
      <c r="C140" s="2" t="s">
        <v>1673</v>
      </c>
      <c r="D140" s="2" t="s">
        <v>1674</v>
      </c>
      <c r="E140" s="4" t="s">
        <v>361</v>
      </c>
      <c r="F140" s="2" t="s">
        <v>1675</v>
      </c>
      <c r="G140" s="2" t="s">
        <v>1676</v>
      </c>
      <c r="H140" s="2" t="s">
        <v>367</v>
      </c>
      <c r="I140" s="2" t="s">
        <v>1025</v>
      </c>
      <c r="J140" s="2" t="s">
        <v>94</v>
      </c>
      <c r="K140" s="2" t="s">
        <v>338</v>
      </c>
      <c r="L140" s="2" t="s">
        <v>390</v>
      </c>
      <c r="M140" s="2" t="s">
        <v>780</v>
      </c>
      <c r="N140" s="2" t="s">
        <v>164</v>
      </c>
      <c r="O140" s="2" t="s">
        <v>99</v>
      </c>
      <c r="P140" s="152">
        <v>813</v>
      </c>
      <c r="Q140" s="150">
        <v>3.7589999999999999</v>
      </c>
      <c r="R140" s="150">
        <v>3702</v>
      </c>
      <c r="S140" s="155">
        <v>4.9000000000000002E-2</v>
      </c>
      <c r="T140" s="150">
        <v>113.319</v>
      </c>
      <c r="U140" s="164">
        <v>5.0000000000000004E-6</v>
      </c>
      <c r="V140" s="164">
        <v>9.4243254064397403E-3</v>
      </c>
      <c r="W140" s="164">
        <v>3.6421363740945802E-3</v>
      </c>
    </row>
    <row r="141" spans="1:23">
      <c r="A141" s="2" t="s">
        <v>112</v>
      </c>
      <c r="B141" s="2">
        <v>12905</v>
      </c>
      <c r="C141" s="2" t="s">
        <v>1630</v>
      </c>
      <c r="D141" s="2" t="s">
        <v>1631</v>
      </c>
      <c r="E141" s="4" t="s">
        <v>361</v>
      </c>
      <c r="F141" s="2" t="s">
        <v>1677</v>
      </c>
      <c r="G141" s="2" t="s">
        <v>1678</v>
      </c>
      <c r="H141" s="2" t="s">
        <v>367</v>
      </c>
      <c r="I141" s="2" t="s">
        <v>1025</v>
      </c>
      <c r="J141" s="2" t="s">
        <v>94</v>
      </c>
      <c r="K141" s="2" t="s">
        <v>95</v>
      </c>
      <c r="L141" s="2" t="s">
        <v>390</v>
      </c>
      <c r="M141" s="2" t="s">
        <v>780</v>
      </c>
      <c r="N141" s="2" t="s">
        <v>164</v>
      </c>
      <c r="O141" s="2" t="s">
        <v>99</v>
      </c>
      <c r="P141" s="152">
        <v>1013</v>
      </c>
      <c r="Q141" s="150">
        <v>3.7589999999999999</v>
      </c>
      <c r="R141" s="150">
        <v>14575</v>
      </c>
      <c r="T141" s="150">
        <v>554.99699999999996</v>
      </c>
      <c r="U141" s="164">
        <v>3.0000000000000001E-6</v>
      </c>
      <c r="V141" s="164">
        <v>4.6157072526253201E-2</v>
      </c>
      <c r="W141" s="164">
        <v>1.7837918951176798E-2</v>
      </c>
    </row>
    <row r="142" spans="1:23">
      <c r="A142" s="2" t="s">
        <v>112</v>
      </c>
      <c r="B142" s="2">
        <v>12905</v>
      </c>
      <c r="C142" s="2" t="s">
        <v>1679</v>
      </c>
      <c r="D142" s="2" t="s">
        <v>1680</v>
      </c>
      <c r="E142" s="4" t="s">
        <v>361</v>
      </c>
      <c r="F142" s="2" t="s">
        <v>1681</v>
      </c>
      <c r="G142" s="2" t="s">
        <v>1682</v>
      </c>
      <c r="H142" s="2" t="s">
        <v>367</v>
      </c>
      <c r="I142" s="2" t="s">
        <v>1025</v>
      </c>
      <c r="J142" s="2" t="s">
        <v>94</v>
      </c>
      <c r="K142" s="2" t="s">
        <v>331</v>
      </c>
      <c r="L142" s="2" t="s">
        <v>1683</v>
      </c>
      <c r="M142" s="2" t="s">
        <v>780</v>
      </c>
      <c r="N142" s="2" t="s">
        <v>164</v>
      </c>
      <c r="O142" s="2" t="s">
        <v>1218</v>
      </c>
      <c r="P142" s="152">
        <v>430</v>
      </c>
      <c r="Q142" s="150">
        <v>2.7410000000000001</v>
      </c>
      <c r="R142" s="150">
        <v>5597</v>
      </c>
      <c r="T142" s="150">
        <v>65.974999999999994</v>
      </c>
      <c r="U142" s="164">
        <v>6.0000000000000002E-6</v>
      </c>
      <c r="V142" s="164">
        <v>5.48691522616075E-3</v>
      </c>
      <c r="W142" s="164">
        <v>2.12047999882497E-3</v>
      </c>
    </row>
    <row r="143" spans="1:23">
      <c r="A143" s="2" t="s">
        <v>112</v>
      </c>
      <c r="B143" s="2">
        <v>12905</v>
      </c>
      <c r="C143" s="2" t="s">
        <v>1657</v>
      </c>
      <c r="D143" s="2" t="s">
        <v>1658</v>
      </c>
      <c r="E143" s="4" t="s">
        <v>361</v>
      </c>
      <c r="F143" s="2" t="s">
        <v>1684</v>
      </c>
      <c r="G143" s="2" t="s">
        <v>1685</v>
      </c>
      <c r="H143" s="2" t="s">
        <v>367</v>
      </c>
      <c r="I143" s="2" t="s">
        <v>1027</v>
      </c>
      <c r="J143" s="2" t="s">
        <v>94</v>
      </c>
      <c r="K143" s="2" t="s">
        <v>1644</v>
      </c>
      <c r="L143" s="2" t="s">
        <v>426</v>
      </c>
      <c r="M143" s="2" t="s">
        <v>777</v>
      </c>
      <c r="N143" s="2" t="s">
        <v>164</v>
      </c>
      <c r="O143" s="2" t="s">
        <v>99</v>
      </c>
      <c r="P143" s="152">
        <v>871</v>
      </c>
      <c r="Q143" s="150">
        <v>3.7589999999999999</v>
      </c>
      <c r="R143" s="150">
        <v>4331.5</v>
      </c>
      <c r="T143" s="150">
        <v>141.81700000000001</v>
      </c>
      <c r="U143" s="164">
        <v>0</v>
      </c>
      <c r="V143" s="164">
        <v>1.17944235912853E-2</v>
      </c>
      <c r="W143" s="164">
        <v>4.5580874302097703E-3</v>
      </c>
    </row>
    <row r="144" spans="1:23">
      <c r="A144" s="2" t="s">
        <v>112</v>
      </c>
      <c r="B144" s="2">
        <v>12905</v>
      </c>
      <c r="C144" s="2" t="s">
        <v>1630</v>
      </c>
      <c r="D144" s="2" t="s">
        <v>1631</v>
      </c>
      <c r="E144" s="4" t="s">
        <v>361</v>
      </c>
      <c r="F144" s="2" t="s">
        <v>1686</v>
      </c>
      <c r="G144" s="2" t="s">
        <v>1687</v>
      </c>
      <c r="H144" s="2" t="s">
        <v>367</v>
      </c>
      <c r="I144" s="2" t="s">
        <v>1025</v>
      </c>
      <c r="J144" s="2" t="s">
        <v>94</v>
      </c>
      <c r="K144" s="2" t="s">
        <v>95</v>
      </c>
      <c r="L144" s="2" t="s">
        <v>390</v>
      </c>
      <c r="M144" s="2" t="s">
        <v>780</v>
      </c>
      <c r="N144" s="2" t="s">
        <v>164</v>
      </c>
      <c r="O144" s="2" t="s">
        <v>99</v>
      </c>
      <c r="P144" s="152">
        <v>461</v>
      </c>
      <c r="Q144" s="150">
        <v>3.7589999999999999</v>
      </c>
      <c r="R144" s="150">
        <v>12187</v>
      </c>
      <c r="T144" s="150">
        <v>211.18799999999999</v>
      </c>
      <c r="U144" s="164">
        <v>3.0000000000000001E-6</v>
      </c>
      <c r="V144" s="164">
        <v>1.7563779813810101E-2</v>
      </c>
      <c r="W144" s="164">
        <v>6.7877199234604698E-3</v>
      </c>
    </row>
    <row r="145" spans="1:23">
      <c r="A145" s="2" t="s">
        <v>112</v>
      </c>
      <c r="B145" s="2">
        <v>12905</v>
      </c>
      <c r="C145" s="2" t="s">
        <v>1570</v>
      </c>
      <c r="D145" s="2" t="s">
        <v>1571</v>
      </c>
      <c r="E145" s="4" t="s">
        <v>361</v>
      </c>
      <c r="F145" s="2" t="s">
        <v>1688</v>
      </c>
      <c r="G145" s="2" t="s">
        <v>1689</v>
      </c>
      <c r="H145" s="2" t="s">
        <v>367</v>
      </c>
      <c r="I145" s="2" t="s">
        <v>1027</v>
      </c>
      <c r="J145" s="2" t="s">
        <v>94</v>
      </c>
      <c r="K145" s="2" t="s">
        <v>95</v>
      </c>
      <c r="L145" s="2" t="s">
        <v>426</v>
      </c>
      <c r="M145" s="2" t="s">
        <v>777</v>
      </c>
      <c r="N145" s="2" t="s">
        <v>164</v>
      </c>
      <c r="O145" s="2" t="s">
        <v>99</v>
      </c>
      <c r="P145" s="152">
        <v>5261</v>
      </c>
      <c r="Q145" s="150">
        <v>3.7589999999999999</v>
      </c>
      <c r="R145" s="150">
        <v>2742.25</v>
      </c>
      <c r="T145" s="150">
        <v>542.30999999999995</v>
      </c>
      <c r="U145" s="164">
        <v>0</v>
      </c>
      <c r="V145" s="164">
        <v>4.5101978584599502E-2</v>
      </c>
      <c r="W145" s="164">
        <v>1.7430166050331701E-2</v>
      </c>
    </row>
    <row r="146" spans="1:23">
      <c r="A146" s="2" t="s">
        <v>112</v>
      </c>
      <c r="B146" s="2">
        <v>12905</v>
      </c>
      <c r="C146" s="2" t="s">
        <v>1657</v>
      </c>
      <c r="D146" s="2" t="s">
        <v>1658</v>
      </c>
      <c r="E146" s="4" t="s">
        <v>361</v>
      </c>
      <c r="F146" s="2" t="s">
        <v>1690</v>
      </c>
      <c r="G146" s="2" t="s">
        <v>1691</v>
      </c>
      <c r="H146" s="2" t="s">
        <v>367</v>
      </c>
      <c r="I146" s="2" t="s">
        <v>1025</v>
      </c>
      <c r="J146" s="2" t="s">
        <v>94</v>
      </c>
      <c r="K146" s="2" t="s">
        <v>282</v>
      </c>
      <c r="L146" s="2" t="s">
        <v>426</v>
      </c>
      <c r="M146" s="2" t="s">
        <v>780</v>
      </c>
      <c r="N146" s="2" t="s">
        <v>164</v>
      </c>
      <c r="O146" s="2" t="s">
        <v>1221</v>
      </c>
      <c r="P146" s="152">
        <v>5066</v>
      </c>
      <c r="Q146" s="150">
        <v>4.75</v>
      </c>
      <c r="R146" s="150">
        <v>793.9</v>
      </c>
      <c r="T146" s="150">
        <v>191.06</v>
      </c>
      <c r="U146" s="164">
        <v>7.9999999999999996E-6</v>
      </c>
      <c r="V146" s="164">
        <v>1.5889792706866399E-2</v>
      </c>
      <c r="W146" s="164">
        <v>6.1407888096643897E-3</v>
      </c>
    </row>
    <row r="147" spans="1:23">
      <c r="A147" s="2" t="s">
        <v>112</v>
      </c>
      <c r="B147" s="2">
        <v>12905</v>
      </c>
      <c r="C147" s="2" t="s">
        <v>1657</v>
      </c>
      <c r="D147" s="2" t="s">
        <v>1658</v>
      </c>
      <c r="E147" s="4" t="s">
        <v>361</v>
      </c>
      <c r="F147" s="2" t="s">
        <v>1692</v>
      </c>
      <c r="G147" s="2" t="s">
        <v>1693</v>
      </c>
      <c r="H147" s="2" t="s">
        <v>367</v>
      </c>
      <c r="I147" s="2" t="s">
        <v>1027</v>
      </c>
      <c r="J147" s="2" t="s">
        <v>94</v>
      </c>
      <c r="K147" s="2" t="s">
        <v>95</v>
      </c>
      <c r="L147" s="2" t="s">
        <v>426</v>
      </c>
      <c r="M147" s="2" t="s">
        <v>777</v>
      </c>
      <c r="N147" s="2" t="s">
        <v>164</v>
      </c>
      <c r="O147" s="2" t="s">
        <v>99</v>
      </c>
      <c r="P147" s="152">
        <v>1302</v>
      </c>
      <c r="Q147" s="150">
        <v>3.7589999999999999</v>
      </c>
      <c r="R147" s="150">
        <v>9190</v>
      </c>
      <c r="T147" s="150">
        <v>449.779</v>
      </c>
      <c r="U147" s="164">
        <v>4.1999999999999998E-5</v>
      </c>
      <c r="V147" s="164">
        <v>3.7406471443392299E-2</v>
      </c>
      <c r="W147" s="164">
        <v>1.4456150906824099E-2</v>
      </c>
    </row>
    <row r="148" spans="1:23">
      <c r="A148" s="2" t="s">
        <v>112</v>
      </c>
      <c r="B148" s="2">
        <v>12905</v>
      </c>
      <c r="C148" s="2" t="s">
        <v>1657</v>
      </c>
      <c r="D148" s="2" t="s">
        <v>1658</v>
      </c>
      <c r="E148" s="4" t="s">
        <v>361</v>
      </c>
      <c r="F148" s="2" t="s">
        <v>1694</v>
      </c>
      <c r="G148" s="2" t="s">
        <v>1695</v>
      </c>
      <c r="H148" s="2" t="s">
        <v>367</v>
      </c>
      <c r="I148" s="2" t="s">
        <v>1025</v>
      </c>
      <c r="J148" s="2" t="s">
        <v>94</v>
      </c>
      <c r="K148" s="2" t="s">
        <v>317</v>
      </c>
      <c r="L148" s="2" t="s">
        <v>390</v>
      </c>
      <c r="M148" s="2" t="s">
        <v>780</v>
      </c>
      <c r="N148" s="2" t="s">
        <v>164</v>
      </c>
      <c r="O148" s="2" t="s">
        <v>99</v>
      </c>
      <c r="P148" s="152">
        <v>400</v>
      </c>
      <c r="Q148" s="150">
        <v>3.7589999999999999</v>
      </c>
      <c r="R148" s="150">
        <v>2599</v>
      </c>
      <c r="T148" s="150">
        <v>39.079000000000001</v>
      </c>
      <c r="U148" s="164">
        <v>1.9999999999999999E-6</v>
      </c>
      <c r="V148" s="164">
        <v>3.2500236275446802E-3</v>
      </c>
      <c r="W148" s="164">
        <v>1.25600812366463E-3</v>
      </c>
    </row>
    <row r="149" spans="1:23">
      <c r="A149" s="2" t="s">
        <v>112</v>
      </c>
      <c r="B149" s="2">
        <v>12905</v>
      </c>
      <c r="C149" s="2" t="s">
        <v>1657</v>
      </c>
      <c r="D149" s="2" t="s">
        <v>1658</v>
      </c>
      <c r="E149" s="4" t="s">
        <v>361</v>
      </c>
      <c r="F149" s="2" t="s">
        <v>1696</v>
      </c>
      <c r="G149" s="2" t="s">
        <v>1697</v>
      </c>
      <c r="H149" s="2" t="s">
        <v>367</v>
      </c>
      <c r="I149" s="2" t="s">
        <v>1027</v>
      </c>
      <c r="J149" s="2" t="s">
        <v>94</v>
      </c>
      <c r="K149" s="2" t="s">
        <v>270</v>
      </c>
      <c r="L149" s="2" t="s">
        <v>426</v>
      </c>
      <c r="M149" s="2" t="s">
        <v>777</v>
      </c>
      <c r="N149" s="2" t="s">
        <v>164</v>
      </c>
      <c r="O149" s="2" t="s">
        <v>99</v>
      </c>
      <c r="P149" s="152">
        <v>6921</v>
      </c>
      <c r="Q149" s="150">
        <v>3.7589999999999999</v>
      </c>
      <c r="R149" s="150">
        <v>597.1</v>
      </c>
      <c r="T149" s="150">
        <v>155.34200000000001</v>
      </c>
      <c r="U149" s="164">
        <v>0</v>
      </c>
      <c r="V149" s="164">
        <v>1.29192162529011E-2</v>
      </c>
      <c r="W149" s="164">
        <v>4.9927761839943198E-3</v>
      </c>
    </row>
    <row r="150" spans="1:23">
      <c r="A150" s="2" t="s">
        <v>112</v>
      </c>
      <c r="B150" s="2">
        <v>12905</v>
      </c>
      <c r="C150" s="2" t="s">
        <v>1657</v>
      </c>
      <c r="D150" s="2" t="s">
        <v>1658</v>
      </c>
      <c r="E150" s="4" t="s">
        <v>361</v>
      </c>
      <c r="F150" s="2" t="s">
        <v>1698</v>
      </c>
      <c r="G150" s="2" t="s">
        <v>1699</v>
      </c>
      <c r="H150" s="2" t="s">
        <v>367</v>
      </c>
      <c r="I150" s="2" t="s">
        <v>1025</v>
      </c>
      <c r="J150" s="2" t="s">
        <v>94</v>
      </c>
      <c r="K150" s="2" t="s">
        <v>95</v>
      </c>
      <c r="L150" s="2" t="s">
        <v>392</v>
      </c>
      <c r="M150" s="2" t="s">
        <v>780</v>
      </c>
      <c r="N150" s="2" t="s">
        <v>164</v>
      </c>
      <c r="O150" s="2" t="s">
        <v>99</v>
      </c>
      <c r="P150" s="152">
        <v>302</v>
      </c>
      <c r="Q150" s="150">
        <v>3.7589999999999999</v>
      </c>
      <c r="R150" s="150">
        <v>5920</v>
      </c>
      <c r="T150" s="150">
        <v>67.204999999999998</v>
      </c>
      <c r="U150" s="164">
        <v>0</v>
      </c>
      <c r="V150" s="164">
        <v>5.5891903061460997E-3</v>
      </c>
      <c r="W150" s="164">
        <v>2.1600053518782002E-3</v>
      </c>
    </row>
    <row r="151" spans="1:23">
      <c r="A151" s="2" t="s">
        <v>112</v>
      </c>
      <c r="B151" s="2">
        <v>12905</v>
      </c>
      <c r="C151" s="2" t="s">
        <v>1657</v>
      </c>
      <c r="D151" s="2" t="s">
        <v>1658</v>
      </c>
      <c r="E151" s="4" t="s">
        <v>361</v>
      </c>
      <c r="F151" s="2" t="s">
        <v>1700</v>
      </c>
      <c r="G151" s="2" t="s">
        <v>1701</v>
      </c>
      <c r="H151" s="2" t="s">
        <v>367</v>
      </c>
      <c r="I151" s="2" t="s">
        <v>1025</v>
      </c>
      <c r="J151" s="2" t="s">
        <v>94</v>
      </c>
      <c r="K151" s="2" t="s">
        <v>95</v>
      </c>
      <c r="L151" s="2" t="s">
        <v>390</v>
      </c>
      <c r="M151" s="2" t="s">
        <v>780</v>
      </c>
      <c r="N151" s="2" t="s">
        <v>164</v>
      </c>
      <c r="O151" s="2" t="s">
        <v>99</v>
      </c>
      <c r="P151" s="152">
        <v>250</v>
      </c>
      <c r="Q151" s="150">
        <v>3.7589999999999999</v>
      </c>
      <c r="R151" s="150">
        <v>11693</v>
      </c>
      <c r="T151" s="150">
        <v>109.88500000000001</v>
      </c>
      <c r="U151" s="164">
        <v>5.3999999999999998E-5</v>
      </c>
      <c r="V151" s="164">
        <v>9.1387375617737604E-3</v>
      </c>
      <c r="W151" s="164">
        <v>3.5317677448082302E-3</v>
      </c>
    </row>
    <row r="152" spans="1:23">
      <c r="A152" s="2" t="s">
        <v>112</v>
      </c>
      <c r="B152" s="2">
        <v>12905</v>
      </c>
      <c r="C152" s="2" t="s">
        <v>1657</v>
      </c>
      <c r="D152" s="2" t="s">
        <v>1658</v>
      </c>
      <c r="E152" s="4" t="s">
        <v>361</v>
      </c>
      <c r="F152" s="2" t="s">
        <v>1702</v>
      </c>
      <c r="G152" s="2" t="s">
        <v>1703</v>
      </c>
      <c r="H152" s="2" t="s">
        <v>367</v>
      </c>
      <c r="I152" s="2" t="s">
        <v>1027</v>
      </c>
      <c r="J152" s="2" t="s">
        <v>94</v>
      </c>
      <c r="K152" s="2" t="s">
        <v>95</v>
      </c>
      <c r="L152" s="2" t="s">
        <v>426</v>
      </c>
      <c r="M152" s="2" t="s">
        <v>777</v>
      </c>
      <c r="N152" s="2" t="s">
        <v>164</v>
      </c>
      <c r="O152" s="2" t="s">
        <v>99</v>
      </c>
      <c r="P152" s="152">
        <v>6197</v>
      </c>
      <c r="Q152" s="150">
        <v>3.7589999999999999</v>
      </c>
      <c r="R152" s="150">
        <v>576.5</v>
      </c>
      <c r="T152" s="150">
        <v>134.29300000000001</v>
      </c>
      <c r="U152" s="164">
        <v>0</v>
      </c>
      <c r="V152" s="164">
        <v>1.1168659615303099E-2</v>
      </c>
      <c r="W152" s="164">
        <v>4.3162539153180201E-3</v>
      </c>
    </row>
    <row r="153" spans="1:23">
      <c r="A153" s="2" t="s">
        <v>112</v>
      </c>
      <c r="B153" s="2">
        <v>12905</v>
      </c>
      <c r="C153" s="2" t="s">
        <v>1704</v>
      </c>
      <c r="D153" s="2" t="s">
        <v>1641</v>
      </c>
      <c r="E153" s="4" t="s">
        <v>361</v>
      </c>
      <c r="F153" s="2" t="s">
        <v>1705</v>
      </c>
      <c r="G153" s="2" t="s">
        <v>1706</v>
      </c>
      <c r="H153" s="2" t="s">
        <v>367</v>
      </c>
      <c r="I153" s="2" t="s">
        <v>1025</v>
      </c>
      <c r="J153" s="2" t="s">
        <v>94</v>
      </c>
      <c r="K153" s="2" t="s">
        <v>342</v>
      </c>
      <c r="L153" s="2" t="s">
        <v>410</v>
      </c>
      <c r="M153" s="2" t="s">
        <v>780</v>
      </c>
      <c r="N153" s="2" t="s">
        <v>164</v>
      </c>
      <c r="O153" s="2" t="s">
        <v>1219</v>
      </c>
      <c r="P153" s="152">
        <v>125</v>
      </c>
      <c r="Q153" s="150">
        <v>4.0199999999999996</v>
      </c>
      <c r="R153" s="150">
        <v>23725</v>
      </c>
      <c r="T153" s="150">
        <v>119.224</v>
      </c>
      <c r="U153" s="164">
        <v>6.0000000000000002E-6</v>
      </c>
      <c r="V153" s="164">
        <v>9.9154359864455695E-3</v>
      </c>
      <c r="W153" s="164">
        <v>3.8319315721593301E-3</v>
      </c>
    </row>
    <row r="154" spans="1:23">
      <c r="A154" s="2" t="s">
        <v>112</v>
      </c>
      <c r="B154" s="2">
        <v>12905</v>
      </c>
      <c r="C154" s="2" t="s">
        <v>1704</v>
      </c>
      <c r="D154" s="2" t="s">
        <v>1641</v>
      </c>
      <c r="E154" s="4" t="s">
        <v>361</v>
      </c>
      <c r="F154" s="2" t="s">
        <v>1707</v>
      </c>
      <c r="G154" s="2" t="s">
        <v>1708</v>
      </c>
      <c r="H154" s="2" t="s">
        <v>367</v>
      </c>
      <c r="I154" s="2" t="s">
        <v>1025</v>
      </c>
      <c r="J154" s="2" t="s">
        <v>94</v>
      </c>
      <c r="K154" s="2" t="s">
        <v>330</v>
      </c>
      <c r="L154" s="2" t="s">
        <v>410</v>
      </c>
      <c r="M154" s="2" t="s">
        <v>780</v>
      </c>
      <c r="N154" s="2" t="s">
        <v>164</v>
      </c>
      <c r="O154" s="2" t="s">
        <v>1219</v>
      </c>
      <c r="P154" s="152">
        <v>1165</v>
      </c>
      <c r="Q154" s="150">
        <v>4.0199999999999996</v>
      </c>
      <c r="R154" s="150">
        <v>7566</v>
      </c>
      <c r="T154" s="150">
        <v>354.35599999999999</v>
      </c>
      <c r="U154" s="164">
        <v>1.8E-5</v>
      </c>
      <c r="V154" s="164">
        <v>2.9470523011023299E-2</v>
      </c>
      <c r="W154" s="164">
        <v>1.1389214526558699E-2</v>
      </c>
    </row>
    <row r="155" spans="1:23">
      <c r="A155" s="2" t="s">
        <v>112</v>
      </c>
      <c r="B155" s="2">
        <v>12905</v>
      </c>
      <c r="C155" s="2" t="s">
        <v>1704</v>
      </c>
      <c r="D155" s="2" t="s">
        <v>1641</v>
      </c>
      <c r="E155" s="4" t="s">
        <v>361</v>
      </c>
      <c r="F155" s="2" t="s">
        <v>1709</v>
      </c>
      <c r="G155" s="2" t="s">
        <v>1710</v>
      </c>
      <c r="H155" s="2" t="s">
        <v>367</v>
      </c>
      <c r="I155" s="2" t="s">
        <v>1025</v>
      </c>
      <c r="J155" s="2" t="s">
        <v>94</v>
      </c>
      <c r="K155" s="2" t="s">
        <v>330</v>
      </c>
      <c r="L155" s="2" t="s">
        <v>410</v>
      </c>
      <c r="M155" s="2" t="s">
        <v>780</v>
      </c>
      <c r="N155" s="2" t="s">
        <v>164</v>
      </c>
      <c r="O155" s="2" t="s">
        <v>1219</v>
      </c>
      <c r="P155" s="152">
        <v>78</v>
      </c>
      <c r="Q155" s="150">
        <v>4.0199999999999996</v>
      </c>
      <c r="R155" s="150">
        <v>15668.6</v>
      </c>
      <c r="T155" s="150">
        <v>49.133000000000003</v>
      </c>
      <c r="U155" s="164">
        <v>2.4000000000000001E-5</v>
      </c>
      <c r="V155" s="164">
        <v>4.0862071311049903E-3</v>
      </c>
      <c r="W155" s="164">
        <v>1.5791606276787499E-3</v>
      </c>
    </row>
    <row r="156" spans="1:23">
      <c r="A156" s="2" t="s">
        <v>112</v>
      </c>
      <c r="B156" s="2">
        <v>12905</v>
      </c>
      <c r="C156" s="2" t="s">
        <v>1711</v>
      </c>
      <c r="D156" s="2" t="s">
        <v>1712</v>
      </c>
      <c r="E156" s="4" t="s">
        <v>361</v>
      </c>
      <c r="F156" s="2" t="s">
        <v>1713</v>
      </c>
      <c r="G156" s="2" t="s">
        <v>1714</v>
      </c>
      <c r="H156" s="2" t="s">
        <v>367</v>
      </c>
      <c r="I156" s="2" t="s">
        <v>1025</v>
      </c>
      <c r="J156" s="2" t="s">
        <v>94</v>
      </c>
      <c r="K156" s="2" t="s">
        <v>1715</v>
      </c>
      <c r="L156" s="2" t="s">
        <v>390</v>
      </c>
      <c r="M156" s="2" t="s">
        <v>780</v>
      </c>
      <c r="N156" s="2" t="s">
        <v>164</v>
      </c>
      <c r="O156" s="2" t="s">
        <v>99</v>
      </c>
      <c r="P156" s="152">
        <v>136</v>
      </c>
      <c r="Q156" s="150">
        <v>3.7589999999999999</v>
      </c>
      <c r="R156" s="150">
        <v>8831</v>
      </c>
      <c r="T156" s="150">
        <v>45.146000000000001</v>
      </c>
      <c r="U156" s="164">
        <v>1.9999999999999999E-6</v>
      </c>
      <c r="V156" s="164">
        <v>3.7546463803955401E-3</v>
      </c>
      <c r="W156" s="164">
        <v>1.4510252526464E-3</v>
      </c>
    </row>
    <row r="157" spans="1:23">
      <c r="A157" s="2" t="s">
        <v>112</v>
      </c>
      <c r="B157" s="2">
        <v>12905</v>
      </c>
      <c r="C157" s="2" t="s">
        <v>1657</v>
      </c>
      <c r="D157" s="2" t="s">
        <v>1658</v>
      </c>
      <c r="E157" s="4" t="s">
        <v>361</v>
      </c>
      <c r="F157" s="2" t="s">
        <v>1716</v>
      </c>
      <c r="G157" s="2" t="s">
        <v>1717</v>
      </c>
      <c r="H157" s="2" t="s">
        <v>367</v>
      </c>
      <c r="I157" s="2" t="s">
        <v>1025</v>
      </c>
      <c r="J157" s="2" t="s">
        <v>94</v>
      </c>
      <c r="K157" s="2" t="s">
        <v>317</v>
      </c>
      <c r="L157" s="2" t="s">
        <v>392</v>
      </c>
      <c r="M157" s="2" t="s">
        <v>780</v>
      </c>
      <c r="N157" s="2" t="s">
        <v>164</v>
      </c>
      <c r="O157" s="2" t="s">
        <v>99</v>
      </c>
      <c r="P157" s="152">
        <v>419</v>
      </c>
      <c r="Q157" s="150">
        <v>3.7589999999999999</v>
      </c>
      <c r="R157" s="150">
        <v>4217</v>
      </c>
      <c r="T157" s="150">
        <v>66.418999999999997</v>
      </c>
      <c r="U157" s="164">
        <v>3.0000000000000001E-6</v>
      </c>
      <c r="V157" s="164">
        <v>5.5237990554560801E-3</v>
      </c>
      <c r="W157" s="164">
        <v>2.1347341688052E-3</v>
      </c>
    </row>
    <row r="158" spans="1:23">
      <c r="A158" s="2" t="s">
        <v>112</v>
      </c>
      <c r="B158" s="2">
        <v>12905</v>
      </c>
      <c r="C158" s="2" t="s">
        <v>1630</v>
      </c>
      <c r="D158" s="2" t="s">
        <v>1631</v>
      </c>
      <c r="E158" s="4" t="s">
        <v>361</v>
      </c>
      <c r="F158" s="2" t="s">
        <v>1718</v>
      </c>
      <c r="G158" s="2" t="s">
        <v>1719</v>
      </c>
      <c r="H158" s="2" t="s">
        <v>367</v>
      </c>
      <c r="I158" s="2" t="s">
        <v>1025</v>
      </c>
      <c r="J158" s="2" t="s">
        <v>94</v>
      </c>
      <c r="K158" s="2" t="s">
        <v>95</v>
      </c>
      <c r="L158" s="2" t="s">
        <v>390</v>
      </c>
      <c r="M158" s="2" t="s">
        <v>780</v>
      </c>
      <c r="N158" s="2" t="s">
        <v>164</v>
      </c>
      <c r="O158" s="2" t="s">
        <v>99</v>
      </c>
      <c r="P158" s="152">
        <v>194</v>
      </c>
      <c r="Q158" s="150">
        <v>3.7589999999999999</v>
      </c>
      <c r="R158" s="150">
        <v>9115</v>
      </c>
      <c r="T158" s="150">
        <v>66.471000000000004</v>
      </c>
      <c r="U158" s="164">
        <v>0</v>
      </c>
      <c r="V158" s="164">
        <v>5.5281351296879002E-3</v>
      </c>
      <c r="W158" s="164">
        <v>2.1364098933795801E-3</v>
      </c>
    </row>
    <row r="159" spans="1:23">
      <c r="A159" s="2" t="s">
        <v>112</v>
      </c>
      <c r="B159" s="2">
        <v>12905</v>
      </c>
      <c r="C159" s="2" t="s">
        <v>1574</v>
      </c>
      <c r="D159" s="2" t="s">
        <v>1575</v>
      </c>
      <c r="E159" s="4" t="s">
        <v>361</v>
      </c>
      <c r="F159" s="2" t="s">
        <v>1720</v>
      </c>
      <c r="G159" s="2" t="s">
        <v>1721</v>
      </c>
      <c r="H159" s="2" t="s">
        <v>367</v>
      </c>
      <c r="I159" s="2" t="s">
        <v>1025</v>
      </c>
      <c r="J159" s="2" t="s">
        <v>94</v>
      </c>
      <c r="K159" s="2" t="s">
        <v>95</v>
      </c>
      <c r="L159" s="2" t="s">
        <v>392</v>
      </c>
      <c r="M159" s="2" t="s">
        <v>780</v>
      </c>
      <c r="N159" s="2" t="s">
        <v>164</v>
      </c>
      <c r="O159" s="2" t="s">
        <v>99</v>
      </c>
      <c r="P159" s="152">
        <v>262</v>
      </c>
      <c r="Q159" s="150">
        <v>3.7589999999999999</v>
      </c>
      <c r="R159" s="150">
        <v>47911</v>
      </c>
      <c r="S159" s="155">
        <v>0.14899999999999999</v>
      </c>
      <c r="T159" s="150">
        <v>472.41699999999997</v>
      </c>
      <c r="U159" s="164">
        <v>0</v>
      </c>
      <c r="V159" s="164">
        <v>3.9289212630378503E-2</v>
      </c>
      <c r="W159" s="164">
        <v>1.5183757378842E-2</v>
      </c>
    </row>
    <row r="160" spans="1:23">
      <c r="A160" s="2" t="s">
        <v>112</v>
      </c>
      <c r="B160" s="2">
        <v>12905</v>
      </c>
      <c r="C160" s="2" t="s">
        <v>1630</v>
      </c>
      <c r="D160" s="2" t="s">
        <v>1631</v>
      </c>
      <c r="E160" s="4" t="s">
        <v>361</v>
      </c>
      <c r="F160" s="2" t="s">
        <v>1722</v>
      </c>
      <c r="G160" s="2" t="s">
        <v>1723</v>
      </c>
      <c r="H160" s="2" t="s">
        <v>367</v>
      </c>
      <c r="I160" s="2" t="s">
        <v>1025</v>
      </c>
      <c r="J160" s="2" t="s">
        <v>94</v>
      </c>
      <c r="K160" s="2" t="s">
        <v>95</v>
      </c>
      <c r="L160" s="2" t="s">
        <v>390</v>
      </c>
      <c r="M160" s="2" t="s">
        <v>780</v>
      </c>
      <c r="N160" s="2" t="s">
        <v>164</v>
      </c>
      <c r="O160" s="2" t="s">
        <v>99</v>
      </c>
      <c r="P160" s="152">
        <v>324</v>
      </c>
      <c r="Q160" s="150">
        <v>3.7589999999999999</v>
      </c>
      <c r="R160" s="150">
        <v>3841</v>
      </c>
      <c r="T160" s="150">
        <v>46.78</v>
      </c>
      <c r="U160" s="164">
        <v>5.0000000000000004E-6</v>
      </c>
      <c r="V160" s="164">
        <v>3.8905371336103501E-3</v>
      </c>
      <c r="W160" s="164">
        <v>1.5035417600718099E-3</v>
      </c>
    </row>
    <row r="161" spans="1:23">
      <c r="A161" s="2" t="s">
        <v>112</v>
      </c>
      <c r="B161" s="2">
        <v>12905</v>
      </c>
      <c r="C161" s="2" t="s">
        <v>1724</v>
      </c>
      <c r="D161" s="2" t="s">
        <v>1725</v>
      </c>
      <c r="E161" s="4" t="s">
        <v>34</v>
      </c>
      <c r="F161" s="2" t="s">
        <v>1726</v>
      </c>
      <c r="G161" s="2" t="s">
        <v>1727</v>
      </c>
      <c r="H161" s="2" t="s">
        <v>367</v>
      </c>
      <c r="I161" s="2" t="s">
        <v>1025</v>
      </c>
      <c r="J161" s="2" t="s">
        <v>94</v>
      </c>
      <c r="K161" s="2" t="s">
        <v>95</v>
      </c>
      <c r="L161" s="2" t="s">
        <v>1564</v>
      </c>
      <c r="M161" s="2" t="s">
        <v>780</v>
      </c>
      <c r="N161" s="2" t="s">
        <v>164</v>
      </c>
      <c r="O161" s="2" t="s">
        <v>1219</v>
      </c>
      <c r="P161" s="152">
        <v>230</v>
      </c>
      <c r="Q161" s="150">
        <v>4.0199999999999996</v>
      </c>
      <c r="R161" s="150">
        <v>12118</v>
      </c>
      <c r="T161" s="150">
        <v>112.04900000000001</v>
      </c>
      <c r="U161" s="164">
        <v>9.0000000000000006E-5</v>
      </c>
      <c r="V161" s="164">
        <v>9.3186792852305699E-3</v>
      </c>
      <c r="W161" s="164">
        <v>3.60130824430876E-3</v>
      </c>
    </row>
    <row r="162" spans="1:23">
      <c r="A162" s="2" t="s">
        <v>112</v>
      </c>
      <c r="B162" s="2">
        <v>12905</v>
      </c>
      <c r="C162" s="2" t="s">
        <v>1574</v>
      </c>
      <c r="D162" s="2" t="s">
        <v>1575</v>
      </c>
      <c r="E162" s="4" t="s">
        <v>361</v>
      </c>
      <c r="F162" s="2" t="s">
        <v>1772</v>
      </c>
      <c r="G162" s="2" t="s">
        <v>1773</v>
      </c>
      <c r="H162" s="2" t="s">
        <v>367</v>
      </c>
      <c r="I162" s="2" t="s">
        <v>1025</v>
      </c>
      <c r="J162" s="2" t="s">
        <v>94</v>
      </c>
      <c r="K162" s="2" t="s">
        <v>95</v>
      </c>
      <c r="L162" s="2" t="s">
        <v>426</v>
      </c>
      <c r="M162" s="2" t="s">
        <v>780</v>
      </c>
      <c r="N162" s="2" t="s">
        <v>164</v>
      </c>
      <c r="O162" s="2" t="s">
        <v>99</v>
      </c>
      <c r="P162" s="152">
        <v>48</v>
      </c>
      <c r="Q162" s="150">
        <v>3.7589999999999999</v>
      </c>
      <c r="R162" s="150">
        <v>107787</v>
      </c>
      <c r="T162" s="150">
        <v>194.482</v>
      </c>
      <c r="U162" s="164">
        <v>9.0000000000000002E-6</v>
      </c>
      <c r="V162" s="164">
        <v>1.6174388460584499E-2</v>
      </c>
      <c r="W162" s="164">
        <v>6.2507740342642396E-3</v>
      </c>
    </row>
    <row r="163" spans="1:23">
      <c r="A163" s="2" t="s">
        <v>112</v>
      </c>
      <c r="B163" s="2">
        <v>12905</v>
      </c>
      <c r="C163" s="2" t="s">
        <v>1630</v>
      </c>
      <c r="D163" s="2" t="s">
        <v>1631</v>
      </c>
      <c r="E163" s="4" t="s">
        <v>361</v>
      </c>
      <c r="F163" s="2" t="s">
        <v>1728</v>
      </c>
      <c r="G163" s="2" t="s">
        <v>1729</v>
      </c>
      <c r="H163" s="2" t="s">
        <v>367</v>
      </c>
      <c r="I163" s="2" t="s">
        <v>1027</v>
      </c>
      <c r="J163" s="2" t="s">
        <v>94</v>
      </c>
      <c r="K163" s="2" t="s">
        <v>95</v>
      </c>
      <c r="L163" s="2" t="s">
        <v>1564</v>
      </c>
      <c r="M163" s="2" t="s">
        <v>777</v>
      </c>
      <c r="N163" s="2" t="s">
        <v>164</v>
      </c>
      <c r="O163" s="2" t="s">
        <v>99</v>
      </c>
      <c r="P163" s="152">
        <v>12377</v>
      </c>
      <c r="Q163" s="150">
        <v>3.7589999999999999</v>
      </c>
      <c r="R163" s="150">
        <v>1015.5</v>
      </c>
      <c r="T163" s="150">
        <v>472.46300000000002</v>
      </c>
      <c r="U163" s="164">
        <v>0</v>
      </c>
      <c r="V163" s="164">
        <v>3.9293034191911699E-2</v>
      </c>
      <c r="W163" s="164">
        <v>1.5185234264206799E-2</v>
      </c>
    </row>
    <row r="164" spans="1:23">
      <c r="A164" s="2" t="s">
        <v>112</v>
      </c>
      <c r="B164" s="2">
        <v>12905</v>
      </c>
      <c r="C164" s="2" t="s">
        <v>1669</v>
      </c>
      <c r="D164" s="2" t="s">
        <v>1670</v>
      </c>
      <c r="E164" s="4" t="s">
        <v>361</v>
      </c>
      <c r="F164" s="2" t="s">
        <v>1733</v>
      </c>
      <c r="G164" s="2" t="s">
        <v>1734</v>
      </c>
      <c r="H164" s="2" t="s">
        <v>367</v>
      </c>
      <c r="I164" s="2" t="s">
        <v>1025</v>
      </c>
      <c r="J164" s="2" t="s">
        <v>94</v>
      </c>
      <c r="K164" s="2" t="s">
        <v>95</v>
      </c>
      <c r="L164" s="2" t="s">
        <v>392</v>
      </c>
      <c r="M164" s="2" t="s">
        <v>780</v>
      </c>
      <c r="N164" s="2" t="s">
        <v>164</v>
      </c>
      <c r="O164" s="2" t="s">
        <v>99</v>
      </c>
      <c r="P164" s="152">
        <v>87</v>
      </c>
      <c r="Q164" s="150">
        <v>3.7589999999999999</v>
      </c>
      <c r="R164" s="150">
        <v>26070</v>
      </c>
      <c r="T164" s="150">
        <v>85.257999999999996</v>
      </c>
      <c r="U164" s="164">
        <v>3.9999999999999998E-6</v>
      </c>
      <c r="V164" s="164">
        <v>7.0905599166966402E-3</v>
      </c>
      <c r="W164" s="164">
        <v>2.7402264959624101E-3</v>
      </c>
    </row>
    <row r="165" spans="1:23">
      <c r="A165" s="2" t="s">
        <v>112</v>
      </c>
      <c r="B165" s="2">
        <v>12905</v>
      </c>
      <c r="C165" s="2" t="s">
        <v>1735</v>
      </c>
      <c r="D165" s="2" t="s">
        <v>1736</v>
      </c>
      <c r="E165" s="4" t="s">
        <v>361</v>
      </c>
      <c r="F165" s="2" t="s">
        <v>1776</v>
      </c>
      <c r="G165" s="2" t="s">
        <v>1777</v>
      </c>
      <c r="H165" s="2" t="s">
        <v>367</v>
      </c>
      <c r="I165" s="2" t="s">
        <v>1025</v>
      </c>
      <c r="J165" s="2" t="s">
        <v>94</v>
      </c>
      <c r="K165" s="2" t="s">
        <v>95</v>
      </c>
      <c r="L165" s="2" t="s">
        <v>390</v>
      </c>
      <c r="M165" s="2" t="s">
        <v>780</v>
      </c>
      <c r="N165" s="2" t="s">
        <v>164</v>
      </c>
      <c r="O165" s="2" t="s">
        <v>99</v>
      </c>
      <c r="P165" s="152">
        <v>288</v>
      </c>
      <c r="Q165" s="150">
        <v>3.7589999999999999</v>
      </c>
      <c r="R165" s="150">
        <v>50013</v>
      </c>
      <c r="S165" s="155">
        <v>0.38500000000000001</v>
      </c>
      <c r="T165" s="150">
        <v>542.88300000000004</v>
      </c>
      <c r="U165" s="164">
        <v>0</v>
      </c>
      <c r="V165" s="164">
        <v>4.5149589033047298E-2</v>
      </c>
      <c r="W165" s="164">
        <v>1.7448565642726999E-2</v>
      </c>
    </row>
    <row r="166" spans="1:23">
      <c r="A166" s="2" t="s">
        <v>112</v>
      </c>
      <c r="B166" s="2">
        <v>12905</v>
      </c>
      <c r="C166" s="2" t="s">
        <v>1735</v>
      </c>
      <c r="D166" s="2" t="s">
        <v>1736</v>
      </c>
      <c r="E166" s="4" t="s">
        <v>361</v>
      </c>
      <c r="F166" s="2" t="s">
        <v>1737</v>
      </c>
      <c r="G166" s="2" t="s">
        <v>1738</v>
      </c>
      <c r="H166" s="2" t="s">
        <v>367</v>
      </c>
      <c r="I166" s="2" t="s">
        <v>1025</v>
      </c>
      <c r="J166" s="2" t="s">
        <v>94</v>
      </c>
      <c r="K166" s="2" t="s">
        <v>95</v>
      </c>
      <c r="L166" s="2" t="s">
        <v>390</v>
      </c>
      <c r="M166" s="2" t="s">
        <v>780</v>
      </c>
      <c r="N166" s="2" t="s">
        <v>164</v>
      </c>
      <c r="O166" s="2" t="s">
        <v>99</v>
      </c>
      <c r="P166" s="152">
        <v>660</v>
      </c>
      <c r="Q166" s="150">
        <v>3.7589999999999999</v>
      </c>
      <c r="R166" s="150">
        <v>9911</v>
      </c>
      <c r="S166" s="155">
        <v>0.183</v>
      </c>
      <c r="T166" s="150">
        <v>246.57599999999999</v>
      </c>
      <c r="U166" s="164">
        <v>8.2999999999999998E-5</v>
      </c>
      <c r="V166" s="164">
        <v>2.0506816141681199E-2</v>
      </c>
      <c r="W166" s="164">
        <v>7.92508935816791E-3</v>
      </c>
    </row>
    <row r="167" spans="1:23">
      <c r="A167" s="2" t="s">
        <v>112</v>
      </c>
      <c r="B167" s="2">
        <v>12905</v>
      </c>
      <c r="C167" s="2" t="s">
        <v>1739</v>
      </c>
      <c r="D167" s="2" t="s">
        <v>1740</v>
      </c>
      <c r="E167" s="4" t="s">
        <v>361</v>
      </c>
      <c r="F167" s="2" t="s">
        <v>1741</v>
      </c>
      <c r="G167" s="2" t="s">
        <v>1742</v>
      </c>
      <c r="H167" s="2" t="s">
        <v>367</v>
      </c>
      <c r="I167" s="2" t="s">
        <v>1025</v>
      </c>
      <c r="J167" s="2" t="s">
        <v>94</v>
      </c>
      <c r="K167" s="2" t="s">
        <v>293</v>
      </c>
      <c r="L167" s="2" t="s">
        <v>390</v>
      </c>
      <c r="M167" s="2" t="s">
        <v>780</v>
      </c>
      <c r="N167" s="2" t="s">
        <v>164</v>
      </c>
      <c r="O167" s="2" t="s">
        <v>99</v>
      </c>
      <c r="P167" s="152">
        <v>2090</v>
      </c>
      <c r="Q167" s="150">
        <v>3.7589999999999999</v>
      </c>
      <c r="R167" s="150">
        <v>4828</v>
      </c>
      <c r="T167" s="150">
        <v>379.303</v>
      </c>
      <c r="U167" s="164">
        <v>9.5000000000000005E-5</v>
      </c>
      <c r="V167" s="164">
        <v>3.1545237027907097E-2</v>
      </c>
      <c r="W167" s="164">
        <v>1.2191011054252099E-2</v>
      </c>
    </row>
    <row r="168" spans="1:23">
      <c r="A168" s="2" t="s">
        <v>112</v>
      </c>
      <c r="B168" s="2">
        <v>12905</v>
      </c>
      <c r="C168" s="2" t="s">
        <v>1784</v>
      </c>
      <c r="D168" s="2" t="s">
        <v>1785</v>
      </c>
      <c r="E168" s="4" t="s">
        <v>361</v>
      </c>
      <c r="F168" s="2" t="s">
        <v>1786</v>
      </c>
      <c r="G168" s="2" t="s">
        <v>1787</v>
      </c>
      <c r="H168" s="2" t="s">
        <v>367</v>
      </c>
      <c r="I168" s="2" t="s">
        <v>1025</v>
      </c>
      <c r="J168" s="2" t="s">
        <v>94</v>
      </c>
      <c r="K168" s="2" t="s">
        <v>300</v>
      </c>
      <c r="L168" s="2" t="s">
        <v>414</v>
      </c>
      <c r="M168" s="2" t="s">
        <v>780</v>
      </c>
      <c r="N168" s="2" t="s">
        <v>164</v>
      </c>
      <c r="O168" s="2" t="s">
        <v>1219</v>
      </c>
      <c r="P168" s="152">
        <v>240</v>
      </c>
      <c r="Q168" s="150">
        <v>4.0199999999999996</v>
      </c>
      <c r="R168" s="150">
        <v>2395.5</v>
      </c>
      <c r="T168" s="150">
        <v>23.113</v>
      </c>
      <c r="U168" s="164">
        <v>3.9999999999999998E-6</v>
      </c>
      <c r="V168" s="164">
        <v>1.92221958518939E-3</v>
      </c>
      <c r="W168" s="164">
        <v>7.4286334228563795E-4</v>
      </c>
    </row>
    <row r="169" spans="1:23">
      <c r="A169" s="2" t="s">
        <v>112</v>
      </c>
      <c r="B169" s="2">
        <v>13680</v>
      </c>
      <c r="C169" s="2" t="s">
        <v>1743</v>
      </c>
      <c r="D169" s="2" t="s">
        <v>1744</v>
      </c>
      <c r="E169" s="4" t="s">
        <v>1376</v>
      </c>
      <c r="F169" s="2" t="s">
        <v>1745</v>
      </c>
      <c r="G169" s="2" t="s">
        <v>1746</v>
      </c>
      <c r="H169" s="2" t="s">
        <v>367</v>
      </c>
      <c r="I169" s="2" t="s">
        <v>1025</v>
      </c>
      <c r="J169" s="2" t="s">
        <v>31</v>
      </c>
      <c r="K169" s="2" t="s">
        <v>282</v>
      </c>
      <c r="L169" s="2" t="s">
        <v>32</v>
      </c>
      <c r="M169" s="2" t="s">
        <v>1609</v>
      </c>
      <c r="N169" s="2" t="s">
        <v>164</v>
      </c>
      <c r="O169" s="2" t="s">
        <v>35</v>
      </c>
      <c r="P169" s="152">
        <v>10150</v>
      </c>
      <c r="Q169" s="150">
        <v>1</v>
      </c>
      <c r="R169" s="150">
        <v>4372</v>
      </c>
      <c r="T169" s="150">
        <v>443.75799999999998</v>
      </c>
      <c r="U169" s="164">
        <v>6.4899999999999995E-4</v>
      </c>
      <c r="V169" s="164">
        <v>2.0970385818503499E-2</v>
      </c>
      <c r="W169" s="164">
        <v>1.3819792929476601E-2</v>
      </c>
    </row>
    <row r="170" spans="1:23">
      <c r="A170" s="2" t="s">
        <v>112</v>
      </c>
      <c r="B170" s="2">
        <v>13680</v>
      </c>
      <c r="C170" s="2" t="s">
        <v>1602</v>
      </c>
      <c r="D170" s="2" t="s">
        <v>1603</v>
      </c>
      <c r="E170" s="4" t="s">
        <v>1376</v>
      </c>
      <c r="F170" s="2" t="s">
        <v>1607</v>
      </c>
      <c r="G170" s="2" t="s">
        <v>1608</v>
      </c>
      <c r="H170" s="2" t="s">
        <v>367</v>
      </c>
      <c r="I170" s="2" t="s">
        <v>1025</v>
      </c>
      <c r="J170" s="2" t="s">
        <v>31</v>
      </c>
      <c r="K170" s="2" t="s">
        <v>95</v>
      </c>
      <c r="L170" s="2" t="s">
        <v>32</v>
      </c>
      <c r="M170" s="2" t="s">
        <v>1609</v>
      </c>
      <c r="N170" s="2" t="s">
        <v>164</v>
      </c>
      <c r="O170" s="2" t="s">
        <v>35</v>
      </c>
      <c r="P170" s="152">
        <v>2984</v>
      </c>
      <c r="Q170" s="150">
        <v>1</v>
      </c>
      <c r="R170" s="150">
        <v>10340</v>
      </c>
      <c r="T170" s="150">
        <v>308.54599999999999</v>
      </c>
      <c r="U170" s="164">
        <v>4.7100000000000001E-4</v>
      </c>
      <c r="V170" s="164">
        <v>1.4580740571666599E-2</v>
      </c>
      <c r="W170" s="164">
        <v>9.6089226589743098E-3</v>
      </c>
    </row>
    <row r="171" spans="1:23">
      <c r="A171" s="2" t="s">
        <v>112</v>
      </c>
      <c r="B171" s="2">
        <v>13680</v>
      </c>
      <c r="C171" s="2" t="s">
        <v>1602</v>
      </c>
      <c r="D171" s="2" t="s">
        <v>1603</v>
      </c>
      <c r="E171" s="4" t="s">
        <v>1376</v>
      </c>
      <c r="F171" s="2" t="s">
        <v>1610</v>
      </c>
      <c r="G171" s="2" t="s">
        <v>1611</v>
      </c>
      <c r="H171" s="2" t="s">
        <v>367</v>
      </c>
      <c r="I171" s="2" t="s">
        <v>1024</v>
      </c>
      <c r="J171" s="2" t="s">
        <v>31</v>
      </c>
      <c r="K171" s="2" t="s">
        <v>31</v>
      </c>
      <c r="L171" s="2" t="s">
        <v>32</v>
      </c>
      <c r="M171" s="2" t="s">
        <v>1606</v>
      </c>
      <c r="N171" s="2" t="s">
        <v>164</v>
      </c>
      <c r="O171" s="2" t="s">
        <v>35</v>
      </c>
      <c r="P171" s="152">
        <v>2472</v>
      </c>
      <c r="Q171" s="150">
        <v>1</v>
      </c>
      <c r="R171" s="150">
        <v>3016</v>
      </c>
      <c r="T171" s="150">
        <v>74.555999999999997</v>
      </c>
      <c r="U171" s="164">
        <v>6.2000000000000003E-5</v>
      </c>
      <c r="V171" s="164">
        <v>3.5232221600492901E-3</v>
      </c>
      <c r="W171" s="164">
        <v>2.3218552637911901E-3</v>
      </c>
    </row>
    <row r="172" spans="1:23">
      <c r="A172" s="2" t="s">
        <v>112</v>
      </c>
      <c r="B172" s="2">
        <v>13680</v>
      </c>
      <c r="C172" s="2" t="s">
        <v>1602</v>
      </c>
      <c r="D172" s="2" t="s">
        <v>1603</v>
      </c>
      <c r="E172" s="4" t="s">
        <v>1376</v>
      </c>
      <c r="F172" s="2" t="s">
        <v>1614</v>
      </c>
      <c r="G172" s="2" t="s">
        <v>1615</v>
      </c>
      <c r="H172" s="2" t="s">
        <v>367</v>
      </c>
      <c r="I172" s="2" t="s">
        <v>1024</v>
      </c>
      <c r="J172" s="2" t="s">
        <v>31</v>
      </c>
      <c r="K172" s="2" t="s">
        <v>31</v>
      </c>
      <c r="L172" s="2" t="s">
        <v>32</v>
      </c>
      <c r="M172" s="2" t="s">
        <v>1606</v>
      </c>
      <c r="N172" s="2" t="s">
        <v>164</v>
      </c>
      <c r="O172" s="2" t="s">
        <v>35</v>
      </c>
      <c r="P172" s="152">
        <v>20719</v>
      </c>
      <c r="Q172" s="150">
        <v>1</v>
      </c>
      <c r="R172" s="150">
        <v>2678</v>
      </c>
      <c r="T172" s="150">
        <v>554.85500000000002</v>
      </c>
      <c r="U172" s="164">
        <v>5.7499999999999999E-4</v>
      </c>
      <c r="V172" s="164">
        <v>2.6220416642981699E-2</v>
      </c>
      <c r="W172" s="164">
        <v>1.72796405210092E-2</v>
      </c>
    </row>
    <row r="173" spans="1:23">
      <c r="A173" s="2" t="s">
        <v>112</v>
      </c>
      <c r="B173" s="2">
        <v>13680</v>
      </c>
      <c r="C173" s="2" t="s">
        <v>1618</v>
      </c>
      <c r="D173" s="2" t="s">
        <v>1619</v>
      </c>
      <c r="E173" s="4" t="s">
        <v>1376</v>
      </c>
      <c r="F173" s="2" t="s">
        <v>1747</v>
      </c>
      <c r="G173" s="2" t="s">
        <v>1748</v>
      </c>
      <c r="H173" s="2" t="s">
        <v>367</v>
      </c>
      <c r="I173" s="2" t="s">
        <v>1025</v>
      </c>
      <c r="J173" s="2" t="s">
        <v>31</v>
      </c>
      <c r="K173" s="2" t="s">
        <v>1644</v>
      </c>
      <c r="L173" s="2" t="s">
        <v>32</v>
      </c>
      <c r="M173" s="2" t="s">
        <v>1609</v>
      </c>
      <c r="N173" s="2" t="s">
        <v>164</v>
      </c>
      <c r="O173" s="2" t="s">
        <v>35</v>
      </c>
      <c r="P173" s="152">
        <v>15540</v>
      </c>
      <c r="Q173" s="150">
        <v>1</v>
      </c>
      <c r="R173" s="150">
        <v>3407</v>
      </c>
      <c r="T173" s="150">
        <v>529.44799999999998</v>
      </c>
      <c r="U173" s="164">
        <v>7.3700000000000002E-4</v>
      </c>
      <c r="V173" s="164">
        <v>2.5019773472834E-2</v>
      </c>
      <c r="W173" s="164">
        <v>1.6488398998929499E-2</v>
      </c>
    </row>
    <row r="174" spans="1:23">
      <c r="A174" s="2" t="s">
        <v>112</v>
      </c>
      <c r="B174" s="2">
        <v>13680</v>
      </c>
      <c r="C174" s="2" t="s">
        <v>1618</v>
      </c>
      <c r="D174" s="2" t="s">
        <v>1619</v>
      </c>
      <c r="E174" s="4" t="s">
        <v>1376</v>
      </c>
      <c r="F174" s="2" t="s">
        <v>1749</v>
      </c>
      <c r="G174" s="2" t="s">
        <v>1750</v>
      </c>
      <c r="H174" s="2" t="s">
        <v>367</v>
      </c>
      <c r="I174" s="2" t="s">
        <v>1025</v>
      </c>
      <c r="J174" s="2" t="s">
        <v>94</v>
      </c>
      <c r="K174" s="2" t="s">
        <v>95</v>
      </c>
      <c r="L174" s="2" t="s">
        <v>32</v>
      </c>
      <c r="M174" s="2" t="s">
        <v>1609</v>
      </c>
      <c r="N174" s="2" t="s">
        <v>164</v>
      </c>
      <c r="O174" s="2" t="s">
        <v>35</v>
      </c>
      <c r="P174" s="152">
        <v>3812</v>
      </c>
      <c r="Q174" s="150">
        <v>1</v>
      </c>
      <c r="R174" s="150">
        <v>7892</v>
      </c>
      <c r="T174" s="150">
        <v>300.84300000000002</v>
      </c>
      <c r="U174" s="164">
        <v>3.8000000000000002E-5</v>
      </c>
      <c r="V174" s="164">
        <v>1.4216745657794299E-2</v>
      </c>
      <c r="W174" s="164">
        <v>9.36904465288344E-3</v>
      </c>
    </row>
    <row r="175" spans="1:23">
      <c r="A175" s="2" t="s">
        <v>112</v>
      </c>
      <c r="B175" s="2">
        <v>13680</v>
      </c>
      <c r="C175" s="2" t="s">
        <v>1618</v>
      </c>
      <c r="D175" s="2" t="s">
        <v>1619</v>
      </c>
      <c r="E175" s="4" t="s">
        <v>1376</v>
      </c>
      <c r="F175" s="2" t="s">
        <v>1620</v>
      </c>
      <c r="G175" s="2" t="s">
        <v>1621</v>
      </c>
      <c r="H175" s="2" t="s">
        <v>367</v>
      </c>
      <c r="I175" s="2" t="s">
        <v>1024</v>
      </c>
      <c r="J175" s="2" t="s">
        <v>31</v>
      </c>
      <c r="K175" s="2" t="s">
        <v>31</v>
      </c>
      <c r="L175" s="2" t="s">
        <v>32</v>
      </c>
      <c r="M175" s="2" t="s">
        <v>1606</v>
      </c>
      <c r="N175" s="2" t="s">
        <v>164</v>
      </c>
      <c r="O175" s="2" t="s">
        <v>35</v>
      </c>
      <c r="P175" s="152">
        <v>3118</v>
      </c>
      <c r="Q175" s="150">
        <v>1</v>
      </c>
      <c r="R175" s="150">
        <v>1784</v>
      </c>
      <c r="T175" s="150">
        <v>55.625</v>
      </c>
      <c r="U175" s="164">
        <v>6.3999999999999997E-5</v>
      </c>
      <c r="V175" s="164">
        <v>2.6286404472720599E-3</v>
      </c>
      <c r="W175" s="164">
        <v>1.73231274721197E-3</v>
      </c>
    </row>
    <row r="176" spans="1:23">
      <c r="A176" s="2" t="s">
        <v>112</v>
      </c>
      <c r="B176" s="2">
        <v>13680</v>
      </c>
      <c r="C176" s="2" t="s">
        <v>1618</v>
      </c>
      <c r="D176" s="2" t="s">
        <v>1619</v>
      </c>
      <c r="E176" s="4" t="s">
        <v>1376</v>
      </c>
      <c r="F176" s="2" t="s">
        <v>1622</v>
      </c>
      <c r="G176" s="2" t="s">
        <v>1623</v>
      </c>
      <c r="H176" s="2" t="s">
        <v>367</v>
      </c>
      <c r="I176" s="2" t="s">
        <v>1024</v>
      </c>
      <c r="J176" s="2" t="s">
        <v>31</v>
      </c>
      <c r="K176" s="2" t="s">
        <v>31</v>
      </c>
      <c r="L176" s="2" t="s">
        <v>32</v>
      </c>
      <c r="M176" s="2" t="s">
        <v>1606</v>
      </c>
      <c r="N176" s="2" t="s">
        <v>164</v>
      </c>
      <c r="O176" s="2" t="s">
        <v>35</v>
      </c>
      <c r="P176" s="152">
        <v>5713</v>
      </c>
      <c r="Q176" s="150">
        <v>1</v>
      </c>
      <c r="R176" s="150">
        <v>1921</v>
      </c>
      <c r="T176" s="150">
        <v>109.747</v>
      </c>
      <c r="U176" s="164">
        <v>1E-4</v>
      </c>
      <c r="V176" s="164">
        <v>5.1862304914370699E-3</v>
      </c>
      <c r="W176" s="164">
        <v>3.41780223294494E-3</v>
      </c>
    </row>
    <row r="177" spans="1:23">
      <c r="A177" s="2" t="s">
        <v>112</v>
      </c>
      <c r="B177" s="2">
        <v>13680</v>
      </c>
      <c r="C177" s="2" t="s">
        <v>1624</v>
      </c>
      <c r="D177" s="2" t="s">
        <v>1625</v>
      </c>
      <c r="E177" s="4" t="s">
        <v>1376</v>
      </c>
      <c r="F177" s="2" t="s">
        <v>1626</v>
      </c>
      <c r="G177" s="2" t="s">
        <v>1627</v>
      </c>
      <c r="H177" s="2" t="s">
        <v>367</v>
      </c>
      <c r="I177" s="2" t="s">
        <v>1025</v>
      </c>
      <c r="J177" s="2" t="s">
        <v>31</v>
      </c>
      <c r="K177" s="2" t="s">
        <v>95</v>
      </c>
      <c r="L177" s="2" t="s">
        <v>32</v>
      </c>
      <c r="M177" s="2" t="s">
        <v>1609</v>
      </c>
      <c r="N177" s="2" t="s">
        <v>164</v>
      </c>
      <c r="O177" s="2" t="s">
        <v>35</v>
      </c>
      <c r="P177" s="152">
        <v>1365</v>
      </c>
      <c r="Q177" s="150">
        <v>1</v>
      </c>
      <c r="R177" s="150">
        <v>11180</v>
      </c>
      <c r="T177" s="150">
        <v>152.607</v>
      </c>
      <c r="U177" s="164">
        <v>1.44E-4</v>
      </c>
      <c r="V177" s="164">
        <v>7.2116506487868602E-3</v>
      </c>
      <c r="W177" s="164">
        <v>4.7525839299542502E-3</v>
      </c>
    </row>
    <row r="178" spans="1:23">
      <c r="A178" s="2" t="s">
        <v>112</v>
      </c>
      <c r="B178" s="2">
        <v>13680</v>
      </c>
      <c r="C178" s="2" t="s">
        <v>1624</v>
      </c>
      <c r="D178" s="2" t="s">
        <v>1625</v>
      </c>
      <c r="E178" s="4" t="s">
        <v>1376</v>
      </c>
      <c r="F178" s="2" t="s">
        <v>1751</v>
      </c>
      <c r="G178" s="2" t="s">
        <v>1752</v>
      </c>
      <c r="H178" s="2" t="s">
        <v>367</v>
      </c>
      <c r="I178" s="2" t="s">
        <v>1025</v>
      </c>
      <c r="J178" s="2" t="s">
        <v>31</v>
      </c>
      <c r="K178" s="2" t="s">
        <v>95</v>
      </c>
      <c r="L178" s="2" t="s">
        <v>32</v>
      </c>
      <c r="M178" s="2" t="s">
        <v>1609</v>
      </c>
      <c r="N178" s="2" t="s">
        <v>164</v>
      </c>
      <c r="O178" s="2" t="s">
        <v>35</v>
      </c>
      <c r="P178" s="152">
        <v>5021</v>
      </c>
      <c r="Q178" s="150">
        <v>1</v>
      </c>
      <c r="R178" s="150">
        <v>10150</v>
      </c>
      <c r="T178" s="150">
        <v>509.63200000000001</v>
      </c>
      <c r="U178" s="164">
        <v>8.7999999999999998E-5</v>
      </c>
      <c r="V178" s="164">
        <v>2.40833273546903E-2</v>
      </c>
      <c r="W178" s="164">
        <v>1.5871267222987699E-2</v>
      </c>
    </row>
    <row r="179" spans="1:23">
      <c r="A179" s="2" t="s">
        <v>112</v>
      </c>
      <c r="B179" s="2">
        <v>13680</v>
      </c>
      <c r="C179" s="2" t="s">
        <v>1602</v>
      </c>
      <c r="D179" s="2" t="s">
        <v>1603</v>
      </c>
      <c r="E179" s="4" t="s">
        <v>1376</v>
      </c>
      <c r="F179" s="2" t="s">
        <v>1628</v>
      </c>
      <c r="G179" s="2" t="s">
        <v>1629</v>
      </c>
      <c r="H179" s="2" t="s">
        <v>367</v>
      </c>
      <c r="I179" s="2" t="s">
        <v>1025</v>
      </c>
      <c r="J179" s="2" t="s">
        <v>31</v>
      </c>
      <c r="K179" s="2" t="s">
        <v>95</v>
      </c>
      <c r="L179" s="2" t="s">
        <v>32</v>
      </c>
      <c r="M179" s="2" t="s">
        <v>1609</v>
      </c>
      <c r="N179" s="2" t="s">
        <v>164</v>
      </c>
      <c r="O179" s="2" t="s">
        <v>35</v>
      </c>
      <c r="P179" s="152">
        <v>2687</v>
      </c>
      <c r="Q179" s="150">
        <v>1</v>
      </c>
      <c r="R179" s="150">
        <v>3000</v>
      </c>
      <c r="T179" s="150">
        <v>80.61</v>
      </c>
      <c r="U179" s="164">
        <v>1.34E-4</v>
      </c>
      <c r="V179" s="164">
        <v>3.8093348194952301E-3</v>
      </c>
      <c r="W179" s="164">
        <v>2.5104077178216698E-3</v>
      </c>
    </row>
    <row r="180" spans="1:23">
      <c r="A180" s="2" t="s">
        <v>112</v>
      </c>
      <c r="B180" s="2">
        <v>13680</v>
      </c>
      <c r="C180" s="2" t="s">
        <v>1801</v>
      </c>
      <c r="D180" s="2" t="s">
        <v>1802</v>
      </c>
      <c r="E180" s="4" t="s">
        <v>1376</v>
      </c>
      <c r="F180" s="2" t="s">
        <v>1803</v>
      </c>
      <c r="G180" s="2" t="s">
        <v>1804</v>
      </c>
      <c r="H180" s="2" t="s">
        <v>367</v>
      </c>
      <c r="I180" s="2" t="s">
        <v>1025</v>
      </c>
      <c r="J180" s="2" t="s">
        <v>94</v>
      </c>
      <c r="K180" s="2" t="s">
        <v>95</v>
      </c>
      <c r="L180" s="2" t="s">
        <v>32</v>
      </c>
      <c r="M180" s="2" t="s">
        <v>1609</v>
      </c>
      <c r="N180" s="2" t="s">
        <v>164</v>
      </c>
      <c r="O180" s="2" t="s">
        <v>35</v>
      </c>
      <c r="P180" s="152">
        <v>2290</v>
      </c>
      <c r="Q180" s="150">
        <v>1</v>
      </c>
      <c r="R180" s="150">
        <v>20280</v>
      </c>
      <c r="T180" s="150">
        <v>464.41199999999998</v>
      </c>
      <c r="U180" s="164">
        <v>2.3E-5</v>
      </c>
      <c r="V180" s="164">
        <v>2.1946418585676999E-2</v>
      </c>
      <c r="W180" s="164">
        <v>1.44630128898276E-2</v>
      </c>
    </row>
    <row r="181" spans="1:23">
      <c r="A181" s="2" t="s">
        <v>112</v>
      </c>
      <c r="B181" s="2">
        <v>13680</v>
      </c>
      <c r="C181" s="2" t="s">
        <v>1743</v>
      </c>
      <c r="D181" s="2" t="s">
        <v>1744</v>
      </c>
      <c r="E181" s="4" t="s">
        <v>1376</v>
      </c>
      <c r="F181" s="2" t="s">
        <v>1753</v>
      </c>
      <c r="G181" s="2" t="s">
        <v>1754</v>
      </c>
      <c r="H181" s="2" t="s">
        <v>367</v>
      </c>
      <c r="I181" s="2" t="s">
        <v>1025</v>
      </c>
      <c r="J181" s="2" t="s">
        <v>31</v>
      </c>
      <c r="K181" s="2" t="s">
        <v>345</v>
      </c>
      <c r="L181" s="2" t="s">
        <v>32</v>
      </c>
      <c r="M181" s="2" t="s">
        <v>1609</v>
      </c>
      <c r="N181" s="2" t="s">
        <v>164</v>
      </c>
      <c r="O181" s="2" t="s">
        <v>35</v>
      </c>
      <c r="P181" s="152">
        <v>10115</v>
      </c>
      <c r="Q181" s="150">
        <v>1</v>
      </c>
      <c r="R181" s="150">
        <v>1438</v>
      </c>
      <c r="T181" s="150">
        <v>145.45400000000001</v>
      </c>
      <c r="U181" s="164">
        <v>1.4999999999999999E-4</v>
      </c>
      <c r="V181" s="164">
        <v>6.8736117607544204E-3</v>
      </c>
      <c r="W181" s="164">
        <v>4.5298113269534599E-3</v>
      </c>
    </row>
    <row r="182" spans="1:23">
      <c r="A182" s="2" t="s">
        <v>112</v>
      </c>
      <c r="B182" s="2">
        <v>13680</v>
      </c>
      <c r="C182" s="2" t="s">
        <v>1743</v>
      </c>
      <c r="D182" s="2" t="s">
        <v>1744</v>
      </c>
      <c r="E182" s="4" t="s">
        <v>1376</v>
      </c>
      <c r="F182" s="2" t="s">
        <v>1799</v>
      </c>
      <c r="G182" s="2" t="s">
        <v>1800</v>
      </c>
      <c r="H182" s="2" t="s">
        <v>367</v>
      </c>
      <c r="I182" s="2" t="s">
        <v>1024</v>
      </c>
      <c r="J182" s="2" t="s">
        <v>31</v>
      </c>
      <c r="K182" s="2" t="s">
        <v>31</v>
      </c>
      <c r="L182" s="2" t="s">
        <v>32</v>
      </c>
      <c r="M182" s="2" t="s">
        <v>1606</v>
      </c>
      <c r="N182" s="2" t="s">
        <v>164</v>
      </c>
      <c r="O182" s="2" t="s">
        <v>35</v>
      </c>
      <c r="P182" s="152">
        <v>327.81</v>
      </c>
      <c r="Q182" s="150">
        <v>1</v>
      </c>
      <c r="R182" s="150">
        <v>23410</v>
      </c>
      <c r="T182" s="150">
        <v>76.739999999999995</v>
      </c>
      <c r="U182" s="164">
        <v>9.7999999999999997E-5</v>
      </c>
      <c r="V182" s="164">
        <v>3.6264678928736001E-3</v>
      </c>
      <c r="W182" s="164">
        <v>2.3898957214553099E-3</v>
      </c>
    </row>
    <row r="183" spans="1:23">
      <c r="A183" s="2" t="s">
        <v>112</v>
      </c>
      <c r="B183" s="2">
        <v>13680</v>
      </c>
      <c r="C183" s="2" t="s">
        <v>1630</v>
      </c>
      <c r="D183" s="2" t="s">
        <v>1631</v>
      </c>
      <c r="E183" s="4" t="s">
        <v>361</v>
      </c>
      <c r="F183" s="2" t="s">
        <v>1632</v>
      </c>
      <c r="G183" s="2" t="s">
        <v>1633</v>
      </c>
      <c r="H183" s="2" t="s">
        <v>367</v>
      </c>
      <c r="I183" s="2" t="s">
        <v>1025</v>
      </c>
      <c r="J183" s="2" t="s">
        <v>94</v>
      </c>
      <c r="K183" s="2" t="s">
        <v>95</v>
      </c>
      <c r="L183" s="2" t="s">
        <v>390</v>
      </c>
      <c r="M183" s="2" t="s">
        <v>780</v>
      </c>
      <c r="N183" s="2" t="s">
        <v>164</v>
      </c>
      <c r="O183" s="2" t="s">
        <v>99</v>
      </c>
      <c r="P183" s="152">
        <v>558</v>
      </c>
      <c r="Q183" s="150">
        <v>3.7589999999999999</v>
      </c>
      <c r="R183" s="150">
        <v>6814</v>
      </c>
      <c r="T183" s="150">
        <v>142.92500000000001</v>
      </c>
      <c r="U183" s="164">
        <v>1.9999999999999999E-6</v>
      </c>
      <c r="V183" s="164">
        <v>6.7541216594962303E-3</v>
      </c>
      <c r="W183" s="164">
        <v>4.4510655913812796E-3</v>
      </c>
    </row>
    <row r="184" spans="1:23">
      <c r="A184" s="2" t="s">
        <v>112</v>
      </c>
      <c r="B184" s="2">
        <v>13680</v>
      </c>
      <c r="C184" s="2" t="s">
        <v>1574</v>
      </c>
      <c r="D184" s="2" t="s">
        <v>1575</v>
      </c>
      <c r="E184" s="4" t="s">
        <v>361</v>
      </c>
      <c r="F184" s="2" t="s">
        <v>1634</v>
      </c>
      <c r="G184" s="2" t="s">
        <v>1635</v>
      </c>
      <c r="H184" s="2" t="s">
        <v>367</v>
      </c>
      <c r="I184" s="2" t="s">
        <v>1025</v>
      </c>
      <c r="J184" s="2" t="s">
        <v>94</v>
      </c>
      <c r="K184" s="2" t="s">
        <v>95</v>
      </c>
      <c r="L184" s="2" t="s">
        <v>390</v>
      </c>
      <c r="M184" s="2" t="s">
        <v>780</v>
      </c>
      <c r="N184" s="2" t="s">
        <v>164</v>
      </c>
      <c r="O184" s="2" t="s">
        <v>99</v>
      </c>
      <c r="P184" s="152">
        <v>292</v>
      </c>
      <c r="Q184" s="150">
        <v>3.7589999999999999</v>
      </c>
      <c r="R184" s="150">
        <v>10272</v>
      </c>
      <c r="T184" s="150">
        <v>112.748</v>
      </c>
      <c r="U184" s="164">
        <v>1.5E-5</v>
      </c>
      <c r="V184" s="164">
        <v>5.3280760263795897E-3</v>
      </c>
      <c r="W184" s="164">
        <v>3.5112805283774801E-3</v>
      </c>
    </row>
    <row r="185" spans="1:23">
      <c r="A185" s="2" t="s">
        <v>112</v>
      </c>
      <c r="B185" s="2">
        <v>13680</v>
      </c>
      <c r="C185" s="2" t="s">
        <v>1636</v>
      </c>
      <c r="D185" s="2" t="s">
        <v>1637</v>
      </c>
      <c r="E185" s="4" t="s">
        <v>361</v>
      </c>
      <c r="F185" s="2" t="s">
        <v>1638</v>
      </c>
      <c r="G185" s="2" t="s">
        <v>1639</v>
      </c>
      <c r="H185" s="2" t="s">
        <v>34</v>
      </c>
      <c r="I185" s="2" t="s">
        <v>1025</v>
      </c>
      <c r="J185" s="2" t="s">
        <v>94</v>
      </c>
      <c r="K185" s="2" t="s">
        <v>330</v>
      </c>
      <c r="L185" s="2" t="s">
        <v>392</v>
      </c>
      <c r="M185" s="2" t="s">
        <v>780</v>
      </c>
      <c r="N185" s="2" t="s">
        <v>164</v>
      </c>
      <c r="O185" s="2" t="s">
        <v>99</v>
      </c>
      <c r="P185" s="152">
        <v>1373</v>
      </c>
      <c r="Q185" s="150">
        <v>3.7589999999999999</v>
      </c>
      <c r="R185" s="150">
        <v>12799.9</v>
      </c>
      <c r="T185" s="150">
        <v>660.61699999999996</v>
      </c>
      <c r="U185" s="164">
        <v>0</v>
      </c>
      <c r="V185" s="164">
        <v>3.1218329843719E-2</v>
      </c>
      <c r="W185" s="164">
        <v>2.05733388874333E-2</v>
      </c>
    </row>
    <row r="186" spans="1:23">
      <c r="A186" s="2" t="s">
        <v>112</v>
      </c>
      <c r="B186" s="2">
        <v>13680</v>
      </c>
      <c r="C186" s="2" t="s">
        <v>1640</v>
      </c>
      <c r="D186" s="2" t="s">
        <v>1641</v>
      </c>
      <c r="E186" s="4" t="s">
        <v>361</v>
      </c>
      <c r="F186" s="2" t="s">
        <v>1642</v>
      </c>
      <c r="G186" s="2" t="s">
        <v>1643</v>
      </c>
      <c r="H186" s="2" t="s">
        <v>367</v>
      </c>
      <c r="I186" s="2" t="s">
        <v>1025</v>
      </c>
      <c r="J186" s="2" t="s">
        <v>94</v>
      </c>
      <c r="K186" s="2" t="s">
        <v>1644</v>
      </c>
      <c r="L186" s="2" t="s">
        <v>203</v>
      </c>
      <c r="M186" s="2" t="s">
        <v>780</v>
      </c>
      <c r="N186" s="2" t="s">
        <v>164</v>
      </c>
      <c r="O186" s="2" t="s">
        <v>99</v>
      </c>
      <c r="P186" s="152">
        <v>550</v>
      </c>
      <c r="Q186" s="150">
        <v>3.7589999999999999</v>
      </c>
      <c r="R186" s="150">
        <v>7095.5</v>
      </c>
      <c r="T186" s="150">
        <v>146.696</v>
      </c>
      <c r="U186" s="164">
        <v>0</v>
      </c>
      <c r="V186" s="164">
        <v>6.9323143026284399E-3</v>
      </c>
      <c r="W186" s="164">
        <v>4.5684971661246803E-3</v>
      </c>
    </row>
    <row r="187" spans="1:23">
      <c r="A187" s="2" t="s">
        <v>112</v>
      </c>
      <c r="B187" s="2">
        <v>13680</v>
      </c>
      <c r="C187" s="2" t="s">
        <v>1640</v>
      </c>
      <c r="D187" s="2" t="s">
        <v>1641</v>
      </c>
      <c r="E187" s="4" t="s">
        <v>361</v>
      </c>
      <c r="F187" s="2" t="s">
        <v>1759</v>
      </c>
      <c r="G187" s="2" t="s">
        <v>1760</v>
      </c>
      <c r="H187" s="2" t="s">
        <v>367</v>
      </c>
      <c r="I187" s="2" t="s">
        <v>1025</v>
      </c>
      <c r="J187" s="2" t="s">
        <v>94</v>
      </c>
      <c r="K187" s="2" t="s">
        <v>1644</v>
      </c>
      <c r="L187" s="2" t="s">
        <v>392</v>
      </c>
      <c r="M187" s="2" t="s">
        <v>780</v>
      </c>
      <c r="N187" s="2" t="s">
        <v>164</v>
      </c>
      <c r="O187" s="2" t="s">
        <v>99</v>
      </c>
      <c r="P187" s="152">
        <v>721</v>
      </c>
      <c r="Q187" s="150">
        <v>3.7589999999999999</v>
      </c>
      <c r="R187" s="150">
        <v>5215</v>
      </c>
      <c r="T187" s="150">
        <v>141.339</v>
      </c>
      <c r="U187" s="164">
        <v>0</v>
      </c>
      <c r="V187" s="164">
        <v>6.67916432632654E-3</v>
      </c>
      <c r="W187" s="164">
        <v>4.4016676054826802E-3</v>
      </c>
    </row>
    <row r="188" spans="1:23">
      <c r="A188" s="2" t="s">
        <v>112</v>
      </c>
      <c r="B188" s="2">
        <v>13680</v>
      </c>
      <c r="C188" s="2" t="s">
        <v>1640</v>
      </c>
      <c r="D188" s="2" t="s">
        <v>1641</v>
      </c>
      <c r="E188" s="4" t="s">
        <v>361</v>
      </c>
      <c r="F188" s="2" t="s">
        <v>1645</v>
      </c>
      <c r="G188" s="2" t="s">
        <v>1646</v>
      </c>
      <c r="H188" s="2" t="s">
        <v>367</v>
      </c>
      <c r="I188" s="2" t="s">
        <v>1025</v>
      </c>
      <c r="J188" s="2" t="s">
        <v>94</v>
      </c>
      <c r="K188" s="2" t="s">
        <v>330</v>
      </c>
      <c r="L188" s="2" t="s">
        <v>410</v>
      </c>
      <c r="M188" s="2" t="s">
        <v>780</v>
      </c>
      <c r="N188" s="2" t="s">
        <v>164</v>
      </c>
      <c r="O188" s="2" t="s">
        <v>1219</v>
      </c>
      <c r="P188" s="152">
        <v>70</v>
      </c>
      <c r="Q188" s="150">
        <v>4.0199999999999996</v>
      </c>
      <c r="R188" s="150">
        <v>11282</v>
      </c>
      <c r="T188" s="150">
        <v>31.748999999999999</v>
      </c>
      <c r="U188" s="164">
        <v>1.4E-5</v>
      </c>
      <c r="V188" s="164">
        <v>1.50034805604958E-3</v>
      </c>
      <c r="W188" s="164">
        <v>9.8875145341640203E-4</v>
      </c>
    </row>
    <row r="189" spans="1:23">
      <c r="A189" s="2" t="s">
        <v>112</v>
      </c>
      <c r="B189" s="2">
        <v>13680</v>
      </c>
      <c r="C189" s="2" t="s">
        <v>1640</v>
      </c>
      <c r="D189" s="2" t="s">
        <v>1641</v>
      </c>
      <c r="E189" s="4" t="s">
        <v>361</v>
      </c>
      <c r="F189" s="2" t="s">
        <v>1805</v>
      </c>
      <c r="G189" s="2" t="s">
        <v>1806</v>
      </c>
      <c r="H189" s="2" t="s">
        <v>367</v>
      </c>
      <c r="I189" s="2" t="s">
        <v>1025</v>
      </c>
      <c r="J189" s="2" t="s">
        <v>94</v>
      </c>
      <c r="K189" s="2" t="s">
        <v>95</v>
      </c>
      <c r="L189" s="2" t="s">
        <v>410</v>
      </c>
      <c r="M189" s="2" t="s">
        <v>780</v>
      </c>
      <c r="N189" s="2" t="s">
        <v>164</v>
      </c>
      <c r="O189" s="2" t="s">
        <v>99</v>
      </c>
      <c r="P189" s="152">
        <v>555</v>
      </c>
      <c r="Q189" s="150">
        <v>3.7589999999999999</v>
      </c>
      <c r="R189" s="150">
        <v>10745.26</v>
      </c>
      <c r="T189" s="150">
        <v>224.172</v>
      </c>
      <c r="U189" s="164">
        <v>0</v>
      </c>
      <c r="V189" s="164">
        <v>1.0593572973605799E-2</v>
      </c>
      <c r="W189" s="164">
        <v>6.9813205224557003E-3</v>
      </c>
    </row>
    <row r="190" spans="1:23">
      <c r="A190" s="2" t="s">
        <v>112</v>
      </c>
      <c r="B190" s="2">
        <v>13680</v>
      </c>
      <c r="C190" s="2" t="s">
        <v>1647</v>
      </c>
      <c r="D190" s="2" t="s">
        <v>1648</v>
      </c>
      <c r="E190" s="4" t="s">
        <v>361</v>
      </c>
      <c r="F190" s="2" t="s">
        <v>1649</v>
      </c>
      <c r="G190" s="2" t="s">
        <v>1650</v>
      </c>
      <c r="H190" s="2" t="s">
        <v>367</v>
      </c>
      <c r="I190" s="2" t="s">
        <v>1025</v>
      </c>
      <c r="J190" s="2" t="s">
        <v>94</v>
      </c>
      <c r="K190" s="2" t="s">
        <v>95</v>
      </c>
      <c r="L190" s="2" t="s">
        <v>1564</v>
      </c>
      <c r="M190" s="2" t="s">
        <v>780</v>
      </c>
      <c r="N190" s="2" t="s">
        <v>164</v>
      </c>
      <c r="O190" s="2" t="s">
        <v>1219</v>
      </c>
      <c r="P190" s="152">
        <v>595</v>
      </c>
      <c r="Q190" s="150">
        <v>4.0199999999999996</v>
      </c>
      <c r="R190" s="150">
        <v>6412</v>
      </c>
      <c r="T190" s="150">
        <v>153.376</v>
      </c>
      <c r="U190" s="164">
        <v>0</v>
      </c>
      <c r="V190" s="164">
        <v>7.2480029915630503E-3</v>
      </c>
      <c r="W190" s="164">
        <v>4.77654065893465E-3</v>
      </c>
    </row>
    <row r="191" spans="1:23">
      <c r="A191" s="2" t="s">
        <v>112</v>
      </c>
      <c r="B191" s="2">
        <v>13680</v>
      </c>
      <c r="C191" s="2" t="s">
        <v>1640</v>
      </c>
      <c r="D191" s="2" t="s">
        <v>1641</v>
      </c>
      <c r="E191" s="4" t="s">
        <v>361</v>
      </c>
      <c r="F191" s="2" t="s">
        <v>1651</v>
      </c>
      <c r="G191" s="2" t="s">
        <v>1652</v>
      </c>
      <c r="H191" s="2" t="s">
        <v>367</v>
      </c>
      <c r="I191" s="2" t="s">
        <v>1025</v>
      </c>
      <c r="J191" s="2" t="s">
        <v>94</v>
      </c>
      <c r="K191" s="2" t="s">
        <v>95</v>
      </c>
      <c r="L191" s="2" t="s">
        <v>426</v>
      </c>
      <c r="M191" s="2" t="s">
        <v>780</v>
      </c>
      <c r="N191" s="2" t="s">
        <v>164</v>
      </c>
      <c r="O191" s="2" t="s">
        <v>99</v>
      </c>
      <c r="P191" s="152">
        <v>769</v>
      </c>
      <c r="Q191" s="150">
        <v>3.7589999999999999</v>
      </c>
      <c r="R191" s="150">
        <v>9337</v>
      </c>
      <c r="T191" s="150">
        <v>269.90199999999999</v>
      </c>
      <c r="U191" s="164">
        <v>0</v>
      </c>
      <c r="V191" s="164">
        <v>1.27545825681989E-2</v>
      </c>
      <c r="W191" s="164">
        <v>8.4054576544267106E-3</v>
      </c>
    </row>
    <row r="192" spans="1:23">
      <c r="A192" s="2" t="s">
        <v>112</v>
      </c>
      <c r="B192" s="2">
        <v>13680</v>
      </c>
      <c r="C192" s="2" t="s">
        <v>1630</v>
      </c>
      <c r="D192" s="2" t="s">
        <v>1631</v>
      </c>
      <c r="E192" s="4" t="s">
        <v>361</v>
      </c>
      <c r="F192" s="2" t="s">
        <v>1653</v>
      </c>
      <c r="G192" s="2" t="s">
        <v>1654</v>
      </c>
      <c r="H192" s="2" t="s">
        <v>367</v>
      </c>
      <c r="I192" s="2" t="s">
        <v>1025</v>
      </c>
      <c r="J192" s="2" t="s">
        <v>94</v>
      </c>
      <c r="K192" s="2" t="s">
        <v>95</v>
      </c>
      <c r="L192" s="2" t="s">
        <v>390</v>
      </c>
      <c r="M192" s="2" t="s">
        <v>780</v>
      </c>
      <c r="N192" s="2" t="s">
        <v>164</v>
      </c>
      <c r="O192" s="2" t="s">
        <v>99</v>
      </c>
      <c r="P192" s="152">
        <v>666</v>
      </c>
      <c r="Q192" s="150">
        <v>3.7589999999999999</v>
      </c>
      <c r="R192" s="150">
        <v>8566</v>
      </c>
      <c r="T192" s="150">
        <v>214.44900000000001</v>
      </c>
      <c r="U192" s="164">
        <v>3.9999999999999998E-6</v>
      </c>
      <c r="V192" s="164">
        <v>1.01340921774149E-2</v>
      </c>
      <c r="W192" s="164">
        <v>6.6785159144056704E-3</v>
      </c>
    </row>
    <row r="193" spans="1:23">
      <c r="A193" s="2" t="s">
        <v>112</v>
      </c>
      <c r="B193" s="2">
        <v>13680</v>
      </c>
      <c r="C193" s="2" t="s">
        <v>1630</v>
      </c>
      <c r="D193" s="2" t="s">
        <v>1631</v>
      </c>
      <c r="E193" s="4" t="s">
        <v>361</v>
      </c>
      <c r="F193" s="2" t="s">
        <v>1655</v>
      </c>
      <c r="G193" s="2" t="s">
        <v>1656</v>
      </c>
      <c r="H193" s="2" t="s">
        <v>367</v>
      </c>
      <c r="I193" s="2" t="s">
        <v>1025</v>
      </c>
      <c r="J193" s="2" t="s">
        <v>94</v>
      </c>
      <c r="K193" s="2" t="s">
        <v>95</v>
      </c>
      <c r="L193" s="2" t="s">
        <v>390</v>
      </c>
      <c r="M193" s="2" t="s">
        <v>780</v>
      </c>
      <c r="N193" s="2" t="s">
        <v>164</v>
      </c>
      <c r="O193" s="2" t="s">
        <v>99</v>
      </c>
      <c r="P193" s="152">
        <v>540</v>
      </c>
      <c r="Q193" s="150">
        <v>3.7589999999999999</v>
      </c>
      <c r="R193" s="150">
        <v>18240</v>
      </c>
      <c r="T193" s="150">
        <v>370.24599999999998</v>
      </c>
      <c r="U193" s="164">
        <v>6.0000000000000002E-6</v>
      </c>
      <c r="V193" s="164">
        <v>1.7496498537528701E-2</v>
      </c>
      <c r="W193" s="164">
        <v>1.15304500771838E-2</v>
      </c>
    </row>
    <row r="194" spans="1:23">
      <c r="A194" s="2" t="s">
        <v>112</v>
      </c>
      <c r="B194" s="2">
        <v>13680</v>
      </c>
      <c r="C194" s="2" t="s">
        <v>1657</v>
      </c>
      <c r="D194" s="2" t="s">
        <v>1658</v>
      </c>
      <c r="E194" s="4" t="s">
        <v>361</v>
      </c>
      <c r="F194" s="2" t="s">
        <v>1659</v>
      </c>
      <c r="G194" s="2" t="s">
        <v>1660</v>
      </c>
      <c r="H194" s="2" t="s">
        <v>367</v>
      </c>
      <c r="I194" s="2" t="s">
        <v>1025</v>
      </c>
      <c r="J194" s="2" t="s">
        <v>94</v>
      </c>
      <c r="K194" s="2" t="s">
        <v>95</v>
      </c>
      <c r="L194" s="2" t="s">
        <v>390</v>
      </c>
      <c r="M194" s="2" t="s">
        <v>780</v>
      </c>
      <c r="N194" s="2" t="s">
        <v>164</v>
      </c>
      <c r="O194" s="2" t="s">
        <v>99</v>
      </c>
      <c r="P194" s="152">
        <v>220</v>
      </c>
      <c r="Q194" s="150">
        <v>3.7589999999999999</v>
      </c>
      <c r="R194" s="150">
        <v>5242</v>
      </c>
      <c r="T194" s="150">
        <v>43.35</v>
      </c>
      <c r="U194" s="164">
        <v>3.8999999999999999E-5</v>
      </c>
      <c r="V194" s="164">
        <v>2.0485767922981202E-3</v>
      </c>
      <c r="W194" s="164">
        <v>1.3500422602959899E-3</v>
      </c>
    </row>
    <row r="195" spans="1:23">
      <c r="A195" s="2" t="s">
        <v>112</v>
      </c>
      <c r="B195" s="2">
        <v>13680</v>
      </c>
      <c r="C195" s="2" t="s">
        <v>1630</v>
      </c>
      <c r="D195" s="2" t="s">
        <v>1631</v>
      </c>
      <c r="E195" s="4" t="s">
        <v>361</v>
      </c>
      <c r="F195" s="2" t="s">
        <v>1661</v>
      </c>
      <c r="G195" s="2" t="s">
        <v>1662</v>
      </c>
      <c r="H195" s="2" t="s">
        <v>367</v>
      </c>
      <c r="I195" s="2" t="s">
        <v>1025</v>
      </c>
      <c r="J195" s="2" t="s">
        <v>94</v>
      </c>
      <c r="K195" s="2" t="s">
        <v>95</v>
      </c>
      <c r="L195" s="2" t="s">
        <v>390</v>
      </c>
      <c r="M195" s="2" t="s">
        <v>780</v>
      </c>
      <c r="N195" s="2" t="s">
        <v>164</v>
      </c>
      <c r="O195" s="2" t="s">
        <v>99</v>
      </c>
      <c r="P195" s="152">
        <v>4979</v>
      </c>
      <c r="Q195" s="150">
        <v>3.7589999999999999</v>
      </c>
      <c r="R195" s="150">
        <v>4111</v>
      </c>
      <c r="T195" s="150">
        <v>769.41700000000003</v>
      </c>
      <c r="U195" s="164">
        <v>6.0000000000000002E-6</v>
      </c>
      <c r="V195" s="164">
        <v>3.63598559559433E-2</v>
      </c>
      <c r="W195" s="164">
        <v>2.3961680276447701E-2</v>
      </c>
    </row>
    <row r="196" spans="1:23">
      <c r="A196" s="2" t="s">
        <v>112</v>
      </c>
      <c r="B196" s="2">
        <v>13680</v>
      </c>
      <c r="C196" s="2" t="s">
        <v>1663</v>
      </c>
      <c r="D196" s="2" t="s">
        <v>1664</v>
      </c>
      <c r="E196" s="4" t="s">
        <v>361</v>
      </c>
      <c r="F196" s="2" t="s">
        <v>1665</v>
      </c>
      <c r="G196" s="2" t="s">
        <v>1666</v>
      </c>
      <c r="H196" s="2" t="s">
        <v>367</v>
      </c>
      <c r="I196" s="2" t="s">
        <v>1025</v>
      </c>
      <c r="J196" s="2" t="s">
        <v>94</v>
      </c>
      <c r="K196" s="2" t="s">
        <v>95</v>
      </c>
      <c r="L196" s="2" t="s">
        <v>392</v>
      </c>
      <c r="M196" s="2" t="s">
        <v>780</v>
      </c>
      <c r="N196" s="2" t="s">
        <v>164</v>
      </c>
      <c r="O196" s="2" t="s">
        <v>99</v>
      </c>
      <c r="P196" s="152">
        <v>362</v>
      </c>
      <c r="Q196" s="150">
        <v>3.7589999999999999</v>
      </c>
      <c r="R196" s="150">
        <v>19746</v>
      </c>
      <c r="T196" s="150">
        <v>268.69499999999999</v>
      </c>
      <c r="U196" s="164">
        <v>2.5999999999999998E-5</v>
      </c>
      <c r="V196" s="164">
        <v>1.2697559430248801E-2</v>
      </c>
      <c r="W196" s="164">
        <v>8.3678785671614797E-3</v>
      </c>
    </row>
    <row r="197" spans="1:23">
      <c r="A197" s="2" t="s">
        <v>112</v>
      </c>
      <c r="B197" s="2">
        <v>13680</v>
      </c>
      <c r="C197" s="2" t="s">
        <v>1663</v>
      </c>
      <c r="D197" s="2" t="s">
        <v>1664</v>
      </c>
      <c r="E197" s="4" t="s">
        <v>361</v>
      </c>
      <c r="F197" s="2" t="s">
        <v>1667</v>
      </c>
      <c r="G197" s="2" t="s">
        <v>1668</v>
      </c>
      <c r="H197" s="2" t="s">
        <v>367</v>
      </c>
      <c r="I197" s="2" t="s">
        <v>1025</v>
      </c>
      <c r="J197" s="2" t="s">
        <v>94</v>
      </c>
      <c r="K197" s="2" t="s">
        <v>345</v>
      </c>
      <c r="L197" s="2" t="s">
        <v>392</v>
      </c>
      <c r="M197" s="2" t="s">
        <v>780</v>
      </c>
      <c r="N197" s="2" t="s">
        <v>164</v>
      </c>
      <c r="O197" s="2" t="s">
        <v>99</v>
      </c>
      <c r="P197" s="152">
        <v>157</v>
      </c>
      <c r="Q197" s="150">
        <v>3.7589999999999999</v>
      </c>
      <c r="R197" s="150">
        <v>11558</v>
      </c>
      <c r="T197" s="150">
        <v>68.210999999999999</v>
      </c>
      <c r="U197" s="164">
        <v>2.1999999999999999E-5</v>
      </c>
      <c r="V197" s="164">
        <v>3.2234051357609198E-3</v>
      </c>
      <c r="W197" s="164">
        <v>2.1242714316071902E-3</v>
      </c>
    </row>
    <row r="198" spans="1:23">
      <c r="A198" s="2" t="s">
        <v>112</v>
      </c>
      <c r="B198" s="2">
        <v>13680</v>
      </c>
      <c r="C198" s="2" t="s">
        <v>1761</v>
      </c>
      <c r="D198" s="2" t="s">
        <v>1762</v>
      </c>
      <c r="E198" s="4" t="s">
        <v>361</v>
      </c>
      <c r="F198" s="2" t="s">
        <v>1763</v>
      </c>
      <c r="G198" s="2" t="s">
        <v>1764</v>
      </c>
      <c r="H198" s="2" t="s">
        <v>367</v>
      </c>
      <c r="I198" s="2" t="s">
        <v>1025</v>
      </c>
      <c r="J198" s="2" t="s">
        <v>94</v>
      </c>
      <c r="K198" s="2" t="s">
        <v>95</v>
      </c>
      <c r="L198" s="2" t="s">
        <v>392</v>
      </c>
      <c r="M198" s="2" t="s">
        <v>780</v>
      </c>
      <c r="N198" s="2" t="s">
        <v>164</v>
      </c>
      <c r="O198" s="2" t="s">
        <v>99</v>
      </c>
      <c r="P198" s="152">
        <v>3671</v>
      </c>
      <c r="Q198" s="150">
        <v>3.7589999999999999</v>
      </c>
      <c r="R198" s="150">
        <v>2187</v>
      </c>
      <c r="T198" s="150">
        <v>301.79000000000002</v>
      </c>
      <c r="U198" s="164">
        <v>0</v>
      </c>
      <c r="V198" s="164">
        <v>1.4261516821909801E-2</v>
      </c>
      <c r="W198" s="164">
        <v>9.3985495090479002E-3</v>
      </c>
    </row>
    <row r="199" spans="1:23">
      <c r="A199" s="2" t="s">
        <v>112</v>
      </c>
      <c r="B199" s="2">
        <v>13680</v>
      </c>
      <c r="C199" s="2" t="s">
        <v>1669</v>
      </c>
      <c r="D199" s="2" t="s">
        <v>1670</v>
      </c>
      <c r="E199" s="4" t="s">
        <v>361</v>
      </c>
      <c r="F199" s="2" t="s">
        <v>1671</v>
      </c>
      <c r="G199" s="2" t="s">
        <v>1672</v>
      </c>
      <c r="H199" s="2" t="s">
        <v>367</v>
      </c>
      <c r="I199" s="2" t="s">
        <v>1025</v>
      </c>
      <c r="J199" s="2" t="s">
        <v>94</v>
      </c>
      <c r="K199" s="2" t="s">
        <v>95</v>
      </c>
      <c r="L199" s="2" t="s">
        <v>390</v>
      </c>
      <c r="M199" s="2" t="s">
        <v>780</v>
      </c>
      <c r="N199" s="2" t="s">
        <v>164</v>
      </c>
      <c r="O199" s="2" t="s">
        <v>99</v>
      </c>
      <c r="P199" s="152">
        <v>681</v>
      </c>
      <c r="Q199" s="150">
        <v>3.7589999999999999</v>
      </c>
      <c r="R199" s="150">
        <v>3393</v>
      </c>
      <c r="T199" s="150">
        <v>86.856999999999999</v>
      </c>
      <c r="U199" s="164">
        <v>1.9999999999999999E-6</v>
      </c>
      <c r="V199" s="164">
        <v>4.1045308342740304E-3</v>
      </c>
      <c r="W199" s="164">
        <v>2.7049462367195998E-3</v>
      </c>
    </row>
    <row r="200" spans="1:23">
      <c r="A200" s="2" t="s">
        <v>112</v>
      </c>
      <c r="B200" s="2">
        <v>13680</v>
      </c>
      <c r="C200" s="2" t="s">
        <v>1673</v>
      </c>
      <c r="D200" s="2" t="s">
        <v>1674</v>
      </c>
      <c r="E200" s="4" t="s">
        <v>361</v>
      </c>
      <c r="F200" s="2" t="s">
        <v>1675</v>
      </c>
      <c r="G200" s="2" t="s">
        <v>1676</v>
      </c>
      <c r="H200" s="2" t="s">
        <v>367</v>
      </c>
      <c r="I200" s="2" t="s">
        <v>1025</v>
      </c>
      <c r="J200" s="2" t="s">
        <v>94</v>
      </c>
      <c r="K200" s="2" t="s">
        <v>338</v>
      </c>
      <c r="L200" s="2" t="s">
        <v>390</v>
      </c>
      <c r="M200" s="2" t="s">
        <v>780</v>
      </c>
      <c r="N200" s="2" t="s">
        <v>164</v>
      </c>
      <c r="O200" s="2" t="s">
        <v>99</v>
      </c>
      <c r="P200" s="152">
        <v>1083</v>
      </c>
      <c r="Q200" s="150">
        <v>3.7589999999999999</v>
      </c>
      <c r="R200" s="150">
        <v>3702</v>
      </c>
      <c r="S200" s="155">
        <v>6.5000000000000002E-2</v>
      </c>
      <c r="T200" s="150">
        <v>150.952</v>
      </c>
      <c r="U200" s="164">
        <v>6.9999999999999999E-6</v>
      </c>
      <c r="V200" s="164">
        <v>7.1334621230848497E-3</v>
      </c>
      <c r="W200" s="164">
        <v>4.7010565406150704E-3</v>
      </c>
    </row>
    <row r="201" spans="1:23">
      <c r="A201" s="2" t="s">
        <v>112</v>
      </c>
      <c r="B201" s="2">
        <v>13680</v>
      </c>
      <c r="C201" s="2" t="s">
        <v>1630</v>
      </c>
      <c r="D201" s="2" t="s">
        <v>1631</v>
      </c>
      <c r="E201" s="4" t="s">
        <v>361</v>
      </c>
      <c r="F201" s="2" t="s">
        <v>1677</v>
      </c>
      <c r="G201" s="2" t="s">
        <v>1678</v>
      </c>
      <c r="H201" s="2" t="s">
        <v>367</v>
      </c>
      <c r="I201" s="2" t="s">
        <v>1025</v>
      </c>
      <c r="J201" s="2" t="s">
        <v>94</v>
      </c>
      <c r="K201" s="2" t="s">
        <v>95</v>
      </c>
      <c r="L201" s="2" t="s">
        <v>390</v>
      </c>
      <c r="M201" s="2" t="s">
        <v>780</v>
      </c>
      <c r="N201" s="2" t="s">
        <v>164</v>
      </c>
      <c r="O201" s="2" t="s">
        <v>99</v>
      </c>
      <c r="P201" s="152">
        <v>799</v>
      </c>
      <c r="Q201" s="150">
        <v>3.7589999999999999</v>
      </c>
      <c r="R201" s="150">
        <v>14575</v>
      </c>
      <c r="T201" s="150">
        <v>437.75200000000001</v>
      </c>
      <c r="U201" s="164">
        <v>3.0000000000000001E-6</v>
      </c>
      <c r="V201" s="164">
        <v>2.0686541735847101E-2</v>
      </c>
      <c r="W201" s="164">
        <v>1.3632735500943001E-2</v>
      </c>
    </row>
    <row r="202" spans="1:23">
      <c r="A202" s="2" t="s">
        <v>112</v>
      </c>
      <c r="B202" s="2">
        <v>13680</v>
      </c>
      <c r="C202" s="2" t="s">
        <v>1679</v>
      </c>
      <c r="D202" s="2" t="s">
        <v>1680</v>
      </c>
      <c r="E202" s="4" t="s">
        <v>361</v>
      </c>
      <c r="F202" s="2" t="s">
        <v>1681</v>
      </c>
      <c r="G202" s="2" t="s">
        <v>1682</v>
      </c>
      <c r="H202" s="2" t="s">
        <v>367</v>
      </c>
      <c r="I202" s="2" t="s">
        <v>1025</v>
      </c>
      <c r="J202" s="2" t="s">
        <v>94</v>
      </c>
      <c r="K202" s="2" t="s">
        <v>331</v>
      </c>
      <c r="L202" s="2" t="s">
        <v>1683</v>
      </c>
      <c r="M202" s="2" t="s">
        <v>780</v>
      </c>
      <c r="N202" s="2" t="s">
        <v>164</v>
      </c>
      <c r="O202" s="2" t="s">
        <v>1218</v>
      </c>
      <c r="P202" s="152">
        <v>580</v>
      </c>
      <c r="Q202" s="150">
        <v>2.7410000000000001</v>
      </c>
      <c r="R202" s="150">
        <v>5597</v>
      </c>
      <c r="T202" s="150">
        <v>88.99</v>
      </c>
      <c r="U202" s="164">
        <v>7.9999999999999996E-6</v>
      </c>
      <c r="V202" s="164">
        <v>4.2053301013193498E-3</v>
      </c>
      <c r="W202" s="164">
        <v>2.7713744374244301E-3</v>
      </c>
    </row>
    <row r="203" spans="1:23">
      <c r="A203" s="2" t="s">
        <v>112</v>
      </c>
      <c r="B203" s="2">
        <v>13680</v>
      </c>
      <c r="C203" s="2" t="s">
        <v>1657</v>
      </c>
      <c r="D203" s="2" t="s">
        <v>1658</v>
      </c>
      <c r="E203" s="4" t="s">
        <v>361</v>
      </c>
      <c r="F203" s="2" t="s">
        <v>1684</v>
      </c>
      <c r="G203" s="2" t="s">
        <v>1685</v>
      </c>
      <c r="H203" s="2" t="s">
        <v>367</v>
      </c>
      <c r="I203" s="2" t="s">
        <v>1027</v>
      </c>
      <c r="J203" s="2" t="s">
        <v>94</v>
      </c>
      <c r="K203" s="2" t="s">
        <v>1644</v>
      </c>
      <c r="L203" s="2" t="s">
        <v>426</v>
      </c>
      <c r="M203" s="2" t="s">
        <v>777</v>
      </c>
      <c r="N203" s="2" t="s">
        <v>164</v>
      </c>
      <c r="O203" s="2" t="s">
        <v>99</v>
      </c>
      <c r="P203" s="152">
        <v>818</v>
      </c>
      <c r="Q203" s="150">
        <v>3.7589999999999999</v>
      </c>
      <c r="R203" s="150">
        <v>4331.5</v>
      </c>
      <c r="T203" s="150">
        <v>133.18799999999999</v>
      </c>
      <c r="U203" s="164">
        <v>0</v>
      </c>
      <c r="V203" s="164">
        <v>6.2939628242486903E-3</v>
      </c>
      <c r="W203" s="164">
        <v>4.1478141456125104E-3</v>
      </c>
    </row>
    <row r="204" spans="1:23">
      <c r="A204" s="2" t="s">
        <v>112</v>
      </c>
      <c r="B204" s="2">
        <v>13680</v>
      </c>
      <c r="C204" s="2" t="s">
        <v>1630</v>
      </c>
      <c r="D204" s="2" t="s">
        <v>1631</v>
      </c>
      <c r="E204" s="4" t="s">
        <v>361</v>
      </c>
      <c r="F204" s="2" t="s">
        <v>1686</v>
      </c>
      <c r="G204" s="2" t="s">
        <v>1687</v>
      </c>
      <c r="H204" s="2" t="s">
        <v>367</v>
      </c>
      <c r="I204" s="2" t="s">
        <v>1025</v>
      </c>
      <c r="J204" s="2" t="s">
        <v>94</v>
      </c>
      <c r="K204" s="2" t="s">
        <v>95</v>
      </c>
      <c r="L204" s="2" t="s">
        <v>390</v>
      </c>
      <c r="M204" s="2" t="s">
        <v>780</v>
      </c>
      <c r="N204" s="2" t="s">
        <v>164</v>
      </c>
      <c r="O204" s="2" t="s">
        <v>99</v>
      </c>
      <c r="P204" s="152">
        <v>435</v>
      </c>
      <c r="Q204" s="150">
        <v>3.7589999999999999</v>
      </c>
      <c r="R204" s="150">
        <v>12187</v>
      </c>
      <c r="T204" s="150">
        <v>199.27799999999999</v>
      </c>
      <c r="U204" s="164">
        <v>3.0000000000000001E-6</v>
      </c>
      <c r="V204" s="164">
        <v>9.41713115653783E-3</v>
      </c>
      <c r="W204" s="164">
        <v>6.2060280482890504E-3</v>
      </c>
    </row>
    <row r="205" spans="1:23">
      <c r="A205" s="2" t="s">
        <v>112</v>
      </c>
      <c r="B205" s="2">
        <v>13680</v>
      </c>
      <c r="C205" s="2" t="s">
        <v>1765</v>
      </c>
      <c r="D205" s="2" t="s">
        <v>1575</v>
      </c>
      <c r="E205" s="4" t="s">
        <v>361</v>
      </c>
      <c r="F205" s="2" t="s">
        <v>1766</v>
      </c>
      <c r="G205" s="2" t="s">
        <v>1767</v>
      </c>
      <c r="H205" s="2" t="s">
        <v>367</v>
      </c>
      <c r="I205" s="2" t="s">
        <v>1025</v>
      </c>
      <c r="J205" s="2" t="s">
        <v>94</v>
      </c>
      <c r="K205" s="2" t="s">
        <v>95</v>
      </c>
      <c r="L205" s="2" t="s">
        <v>392</v>
      </c>
      <c r="M205" s="2" t="s">
        <v>780</v>
      </c>
      <c r="N205" s="2" t="s">
        <v>164</v>
      </c>
      <c r="O205" s="2" t="s">
        <v>99</v>
      </c>
      <c r="P205" s="152">
        <v>1600</v>
      </c>
      <c r="Q205" s="150">
        <v>3.7589999999999999</v>
      </c>
      <c r="R205" s="150">
        <v>4541</v>
      </c>
      <c r="T205" s="150">
        <v>273.11399999999998</v>
      </c>
      <c r="U205" s="164">
        <v>0</v>
      </c>
      <c r="V205" s="164">
        <v>1.2906367748362201E-2</v>
      </c>
      <c r="W205" s="164">
        <v>8.5054863223670493E-3</v>
      </c>
    </row>
    <row r="206" spans="1:23">
      <c r="A206" s="2" t="s">
        <v>112</v>
      </c>
      <c r="B206" s="2">
        <v>13680</v>
      </c>
      <c r="C206" s="2" t="s">
        <v>1570</v>
      </c>
      <c r="D206" s="2" t="s">
        <v>1571</v>
      </c>
      <c r="E206" s="4" t="s">
        <v>361</v>
      </c>
      <c r="F206" s="2" t="s">
        <v>1688</v>
      </c>
      <c r="G206" s="2" t="s">
        <v>1689</v>
      </c>
      <c r="H206" s="2" t="s">
        <v>367</v>
      </c>
      <c r="I206" s="2" t="s">
        <v>1027</v>
      </c>
      <c r="J206" s="2" t="s">
        <v>94</v>
      </c>
      <c r="K206" s="2" t="s">
        <v>95</v>
      </c>
      <c r="L206" s="2" t="s">
        <v>426</v>
      </c>
      <c r="M206" s="2" t="s">
        <v>777</v>
      </c>
      <c r="N206" s="2" t="s">
        <v>164</v>
      </c>
      <c r="O206" s="2" t="s">
        <v>99</v>
      </c>
      <c r="P206" s="152">
        <v>5256</v>
      </c>
      <c r="Q206" s="150">
        <v>3.7589999999999999</v>
      </c>
      <c r="R206" s="150">
        <v>2742.25</v>
      </c>
      <c r="T206" s="150">
        <v>541.79499999999996</v>
      </c>
      <c r="U206" s="164">
        <v>0</v>
      </c>
      <c r="V206" s="164">
        <v>2.5603241501178899E-2</v>
      </c>
      <c r="W206" s="164">
        <v>1.6872913018007901E-2</v>
      </c>
    </row>
    <row r="207" spans="1:23">
      <c r="A207" s="2" t="s">
        <v>112</v>
      </c>
      <c r="B207" s="2">
        <v>13680</v>
      </c>
      <c r="C207" s="2" t="s">
        <v>1657</v>
      </c>
      <c r="D207" s="2" t="s">
        <v>1658</v>
      </c>
      <c r="E207" s="4" t="s">
        <v>361</v>
      </c>
      <c r="F207" s="2" t="s">
        <v>1690</v>
      </c>
      <c r="G207" s="2" t="s">
        <v>1691</v>
      </c>
      <c r="H207" s="2" t="s">
        <v>367</v>
      </c>
      <c r="I207" s="2" t="s">
        <v>1025</v>
      </c>
      <c r="J207" s="2" t="s">
        <v>94</v>
      </c>
      <c r="K207" s="2" t="s">
        <v>282</v>
      </c>
      <c r="L207" s="2" t="s">
        <v>426</v>
      </c>
      <c r="M207" s="2" t="s">
        <v>780</v>
      </c>
      <c r="N207" s="2" t="s">
        <v>164</v>
      </c>
      <c r="O207" s="2" t="s">
        <v>1221</v>
      </c>
      <c r="P207" s="152">
        <v>11276</v>
      </c>
      <c r="Q207" s="150">
        <v>4.75</v>
      </c>
      <c r="R207" s="150">
        <v>793.9</v>
      </c>
      <c r="T207" s="150">
        <v>425.26600000000002</v>
      </c>
      <c r="U207" s="164">
        <v>1.8E-5</v>
      </c>
      <c r="V207" s="164">
        <v>2.0096499510686899E-2</v>
      </c>
      <c r="W207" s="164">
        <v>1.3243888989394E-2</v>
      </c>
    </row>
    <row r="208" spans="1:23">
      <c r="A208" s="2" t="s">
        <v>112</v>
      </c>
      <c r="B208" s="2">
        <v>13680</v>
      </c>
      <c r="C208" s="2" t="s">
        <v>1657</v>
      </c>
      <c r="D208" s="2" t="s">
        <v>1658</v>
      </c>
      <c r="E208" s="4" t="s">
        <v>361</v>
      </c>
      <c r="F208" s="2" t="s">
        <v>1692</v>
      </c>
      <c r="G208" s="2" t="s">
        <v>1693</v>
      </c>
      <c r="H208" s="2" t="s">
        <v>367</v>
      </c>
      <c r="I208" s="2" t="s">
        <v>1027</v>
      </c>
      <c r="J208" s="2" t="s">
        <v>94</v>
      </c>
      <c r="K208" s="2" t="s">
        <v>95</v>
      </c>
      <c r="L208" s="2" t="s">
        <v>426</v>
      </c>
      <c r="M208" s="2" t="s">
        <v>777</v>
      </c>
      <c r="N208" s="2" t="s">
        <v>164</v>
      </c>
      <c r="O208" s="2" t="s">
        <v>99</v>
      </c>
      <c r="P208" s="152">
        <v>723</v>
      </c>
      <c r="Q208" s="150">
        <v>3.7589999999999999</v>
      </c>
      <c r="R208" s="150">
        <v>9190</v>
      </c>
      <c r="T208" s="150">
        <v>249.762</v>
      </c>
      <c r="U208" s="164">
        <v>2.3E-5</v>
      </c>
      <c r="V208" s="164">
        <v>1.1802835646909499E-2</v>
      </c>
      <c r="W208" s="164">
        <v>7.7782424239905799E-3</v>
      </c>
    </row>
    <row r="209" spans="1:23">
      <c r="A209" s="2" t="s">
        <v>112</v>
      </c>
      <c r="B209" s="2">
        <v>13680</v>
      </c>
      <c r="C209" s="2" t="s">
        <v>1657</v>
      </c>
      <c r="D209" s="2" t="s">
        <v>1658</v>
      </c>
      <c r="E209" s="4" t="s">
        <v>361</v>
      </c>
      <c r="F209" s="2" t="s">
        <v>1694</v>
      </c>
      <c r="G209" s="2" t="s">
        <v>1695</v>
      </c>
      <c r="H209" s="2" t="s">
        <v>367</v>
      </c>
      <c r="I209" s="2" t="s">
        <v>1025</v>
      </c>
      <c r="J209" s="2" t="s">
        <v>94</v>
      </c>
      <c r="K209" s="2" t="s">
        <v>317</v>
      </c>
      <c r="L209" s="2" t="s">
        <v>390</v>
      </c>
      <c r="M209" s="2" t="s">
        <v>780</v>
      </c>
      <c r="N209" s="2" t="s">
        <v>164</v>
      </c>
      <c r="O209" s="2" t="s">
        <v>99</v>
      </c>
      <c r="P209" s="152">
        <v>700</v>
      </c>
      <c r="Q209" s="150">
        <v>3.7589999999999999</v>
      </c>
      <c r="R209" s="150">
        <v>2599</v>
      </c>
      <c r="T209" s="150">
        <v>68.387</v>
      </c>
      <c r="U209" s="164">
        <v>3.9999999999999998E-6</v>
      </c>
      <c r="V209" s="164">
        <v>3.2317433996635302E-3</v>
      </c>
      <c r="W209" s="164">
        <v>2.1297664702546802E-3</v>
      </c>
    </row>
    <row r="210" spans="1:23">
      <c r="A210" s="2" t="s">
        <v>112</v>
      </c>
      <c r="B210" s="2">
        <v>13680</v>
      </c>
      <c r="C210" s="2" t="s">
        <v>1657</v>
      </c>
      <c r="D210" s="2" t="s">
        <v>1658</v>
      </c>
      <c r="E210" s="4" t="s">
        <v>361</v>
      </c>
      <c r="F210" s="2" t="s">
        <v>1696</v>
      </c>
      <c r="G210" s="2" t="s">
        <v>1697</v>
      </c>
      <c r="H210" s="2" t="s">
        <v>367</v>
      </c>
      <c r="I210" s="2" t="s">
        <v>1027</v>
      </c>
      <c r="J210" s="2" t="s">
        <v>94</v>
      </c>
      <c r="K210" s="2" t="s">
        <v>270</v>
      </c>
      <c r="L210" s="2" t="s">
        <v>426</v>
      </c>
      <c r="M210" s="2" t="s">
        <v>777</v>
      </c>
      <c r="N210" s="2" t="s">
        <v>164</v>
      </c>
      <c r="O210" s="2" t="s">
        <v>99</v>
      </c>
      <c r="P210" s="152">
        <v>5687</v>
      </c>
      <c r="Q210" s="150">
        <v>3.7589999999999999</v>
      </c>
      <c r="R210" s="150">
        <v>597.1</v>
      </c>
      <c r="T210" s="150">
        <v>127.645</v>
      </c>
      <c r="U210" s="164">
        <v>0</v>
      </c>
      <c r="V210" s="164">
        <v>6.0320210777011201E-3</v>
      </c>
      <c r="W210" s="164">
        <v>3.9751906789675297E-3</v>
      </c>
    </row>
    <row r="211" spans="1:23">
      <c r="A211" s="2" t="s">
        <v>112</v>
      </c>
      <c r="B211" s="2">
        <v>13680</v>
      </c>
      <c r="C211" s="2" t="s">
        <v>1657</v>
      </c>
      <c r="D211" s="2" t="s">
        <v>1658</v>
      </c>
      <c r="E211" s="4" t="s">
        <v>361</v>
      </c>
      <c r="F211" s="2" t="s">
        <v>1698</v>
      </c>
      <c r="G211" s="2" t="s">
        <v>1699</v>
      </c>
      <c r="H211" s="2" t="s">
        <v>367</v>
      </c>
      <c r="I211" s="2" t="s">
        <v>1025</v>
      </c>
      <c r="J211" s="2" t="s">
        <v>94</v>
      </c>
      <c r="K211" s="2" t="s">
        <v>95</v>
      </c>
      <c r="L211" s="2" t="s">
        <v>392</v>
      </c>
      <c r="M211" s="2" t="s">
        <v>780</v>
      </c>
      <c r="N211" s="2" t="s">
        <v>164</v>
      </c>
      <c r="O211" s="2" t="s">
        <v>99</v>
      </c>
      <c r="P211" s="152">
        <v>830</v>
      </c>
      <c r="Q211" s="150">
        <v>3.7589999999999999</v>
      </c>
      <c r="R211" s="150">
        <v>5920</v>
      </c>
      <c r="T211" s="150">
        <v>184.702</v>
      </c>
      <c r="U211" s="164">
        <v>0</v>
      </c>
      <c r="V211" s="164">
        <v>8.72835396503421E-3</v>
      </c>
      <c r="W211" s="164">
        <v>5.7521137405833998E-3</v>
      </c>
    </row>
    <row r="212" spans="1:23">
      <c r="A212" s="2" t="s">
        <v>112</v>
      </c>
      <c r="B212" s="2">
        <v>13680</v>
      </c>
      <c r="C212" s="2" t="s">
        <v>1657</v>
      </c>
      <c r="D212" s="2" t="s">
        <v>1658</v>
      </c>
      <c r="E212" s="4" t="s">
        <v>361</v>
      </c>
      <c r="F212" s="2" t="s">
        <v>1700</v>
      </c>
      <c r="G212" s="2" t="s">
        <v>1701</v>
      </c>
      <c r="H212" s="2" t="s">
        <v>367</v>
      </c>
      <c r="I212" s="2" t="s">
        <v>1025</v>
      </c>
      <c r="J212" s="2" t="s">
        <v>94</v>
      </c>
      <c r="K212" s="2" t="s">
        <v>95</v>
      </c>
      <c r="L212" s="2" t="s">
        <v>390</v>
      </c>
      <c r="M212" s="2" t="s">
        <v>780</v>
      </c>
      <c r="N212" s="2" t="s">
        <v>164</v>
      </c>
      <c r="O212" s="2" t="s">
        <v>99</v>
      </c>
      <c r="P212" s="152">
        <v>96</v>
      </c>
      <c r="Q212" s="150">
        <v>3.7589999999999999</v>
      </c>
      <c r="R212" s="150">
        <v>11693</v>
      </c>
      <c r="T212" s="150">
        <v>42.195999999999998</v>
      </c>
      <c r="U212" s="164">
        <v>2.0999999999999999E-5</v>
      </c>
      <c r="V212" s="164">
        <v>1.99402102728385E-3</v>
      </c>
      <c r="W212" s="164">
        <v>1.3140892081141299E-3</v>
      </c>
    </row>
    <row r="213" spans="1:23">
      <c r="A213" s="2" t="s">
        <v>112</v>
      </c>
      <c r="B213" s="2">
        <v>13680</v>
      </c>
      <c r="C213" s="2" t="s">
        <v>1657</v>
      </c>
      <c r="D213" s="2" t="s">
        <v>1658</v>
      </c>
      <c r="E213" s="4" t="s">
        <v>361</v>
      </c>
      <c r="F213" s="2" t="s">
        <v>1702</v>
      </c>
      <c r="G213" s="2" t="s">
        <v>1703</v>
      </c>
      <c r="H213" s="2" t="s">
        <v>367</v>
      </c>
      <c r="I213" s="2" t="s">
        <v>1027</v>
      </c>
      <c r="J213" s="2" t="s">
        <v>94</v>
      </c>
      <c r="K213" s="2" t="s">
        <v>95</v>
      </c>
      <c r="L213" s="2" t="s">
        <v>426</v>
      </c>
      <c r="M213" s="2" t="s">
        <v>777</v>
      </c>
      <c r="N213" s="2" t="s">
        <v>164</v>
      </c>
      <c r="O213" s="2" t="s">
        <v>99</v>
      </c>
      <c r="P213" s="152">
        <v>20000</v>
      </c>
      <c r="Q213" s="150">
        <v>3.7589999999999999</v>
      </c>
      <c r="R213" s="150">
        <v>576.5</v>
      </c>
      <c r="T213" s="150">
        <v>433.41300000000001</v>
      </c>
      <c r="U213" s="164">
        <v>0</v>
      </c>
      <c r="V213" s="164">
        <v>2.0481504643610499E-2</v>
      </c>
      <c r="W213" s="164">
        <v>1.3497613039101001E-2</v>
      </c>
    </row>
    <row r="214" spans="1:23">
      <c r="A214" s="2" t="s">
        <v>112</v>
      </c>
      <c r="B214" s="2">
        <v>13680</v>
      </c>
      <c r="C214" s="2" t="s">
        <v>1657</v>
      </c>
      <c r="D214" s="2" t="s">
        <v>1658</v>
      </c>
      <c r="E214" s="4" t="s">
        <v>361</v>
      </c>
      <c r="F214" s="2" t="s">
        <v>1768</v>
      </c>
      <c r="G214" s="2" t="s">
        <v>1769</v>
      </c>
      <c r="H214" s="2" t="s">
        <v>367</v>
      </c>
      <c r="I214" s="2" t="s">
        <v>1025</v>
      </c>
      <c r="J214" s="2" t="s">
        <v>94</v>
      </c>
      <c r="K214" s="2" t="s">
        <v>95</v>
      </c>
      <c r="L214" s="2" t="s">
        <v>390</v>
      </c>
      <c r="M214" s="2" t="s">
        <v>780</v>
      </c>
      <c r="N214" s="2" t="s">
        <v>164</v>
      </c>
      <c r="O214" s="2" t="s">
        <v>99</v>
      </c>
      <c r="P214" s="152">
        <v>665</v>
      </c>
      <c r="Q214" s="150">
        <v>3.7589999999999999</v>
      </c>
      <c r="R214" s="150">
        <v>54723</v>
      </c>
      <c r="T214" s="150">
        <v>1367.93</v>
      </c>
      <c r="U214" s="164">
        <v>9.9999999999999995E-7</v>
      </c>
      <c r="V214" s="164">
        <v>6.4643385670180104E-2</v>
      </c>
      <c r="W214" s="164">
        <v>4.2600942679553402E-2</v>
      </c>
    </row>
    <row r="215" spans="1:23">
      <c r="A215" s="2" t="s">
        <v>112</v>
      </c>
      <c r="B215" s="2">
        <v>13680</v>
      </c>
      <c r="C215" s="2" t="s">
        <v>1704</v>
      </c>
      <c r="D215" s="2" t="s">
        <v>1641</v>
      </c>
      <c r="E215" s="4" t="s">
        <v>361</v>
      </c>
      <c r="F215" s="2" t="s">
        <v>1705</v>
      </c>
      <c r="G215" s="2" t="s">
        <v>1706</v>
      </c>
      <c r="H215" s="2" t="s">
        <v>367</v>
      </c>
      <c r="I215" s="2" t="s">
        <v>1025</v>
      </c>
      <c r="J215" s="2" t="s">
        <v>94</v>
      </c>
      <c r="K215" s="2" t="s">
        <v>342</v>
      </c>
      <c r="L215" s="2" t="s">
        <v>410</v>
      </c>
      <c r="M215" s="2" t="s">
        <v>780</v>
      </c>
      <c r="N215" s="2" t="s">
        <v>164</v>
      </c>
      <c r="O215" s="2" t="s">
        <v>1219</v>
      </c>
      <c r="P215" s="152">
        <v>1012</v>
      </c>
      <c r="Q215" s="150">
        <v>4.0199999999999996</v>
      </c>
      <c r="R215" s="150">
        <v>23725</v>
      </c>
      <c r="T215" s="150">
        <v>965.23800000000006</v>
      </c>
      <c r="U215" s="164">
        <v>4.5000000000000003E-5</v>
      </c>
      <c r="V215" s="164">
        <v>4.5613628183115498E-2</v>
      </c>
      <c r="W215" s="164">
        <v>3.0060052385711501E-2</v>
      </c>
    </row>
    <row r="216" spans="1:23">
      <c r="A216" s="2" t="s">
        <v>112</v>
      </c>
      <c r="B216" s="2">
        <v>13680</v>
      </c>
      <c r="C216" s="2" t="s">
        <v>1704</v>
      </c>
      <c r="D216" s="2" t="s">
        <v>1641</v>
      </c>
      <c r="E216" s="4" t="s">
        <v>361</v>
      </c>
      <c r="F216" s="2" t="s">
        <v>1707</v>
      </c>
      <c r="G216" s="2" t="s">
        <v>1708</v>
      </c>
      <c r="H216" s="2" t="s">
        <v>367</v>
      </c>
      <c r="I216" s="2" t="s">
        <v>1025</v>
      </c>
      <c r="J216" s="2" t="s">
        <v>94</v>
      </c>
      <c r="K216" s="2" t="s">
        <v>330</v>
      </c>
      <c r="L216" s="2" t="s">
        <v>410</v>
      </c>
      <c r="M216" s="2" t="s">
        <v>780</v>
      </c>
      <c r="N216" s="2" t="s">
        <v>164</v>
      </c>
      <c r="O216" s="2" t="s">
        <v>1219</v>
      </c>
      <c r="P216" s="152">
        <v>2526</v>
      </c>
      <c r="Q216" s="150">
        <v>4.0199999999999996</v>
      </c>
      <c r="R216" s="150">
        <v>7566</v>
      </c>
      <c r="T216" s="150">
        <v>768.32899999999995</v>
      </c>
      <c r="U216" s="164">
        <v>3.8999999999999999E-5</v>
      </c>
      <c r="V216" s="164">
        <v>3.6308438154799998E-2</v>
      </c>
      <c r="W216" s="164">
        <v>2.3927795188646302E-2</v>
      </c>
    </row>
    <row r="217" spans="1:23">
      <c r="A217" s="2" t="s">
        <v>112</v>
      </c>
      <c r="B217" s="2">
        <v>13680</v>
      </c>
      <c r="C217" s="2" t="s">
        <v>1704</v>
      </c>
      <c r="D217" s="2" t="s">
        <v>1641</v>
      </c>
      <c r="E217" s="4" t="s">
        <v>361</v>
      </c>
      <c r="F217" s="2" t="s">
        <v>1709</v>
      </c>
      <c r="G217" s="2" t="s">
        <v>1710</v>
      </c>
      <c r="H217" s="2" t="s">
        <v>367</v>
      </c>
      <c r="I217" s="2" t="s">
        <v>1025</v>
      </c>
      <c r="J217" s="2" t="s">
        <v>94</v>
      </c>
      <c r="K217" s="2" t="s">
        <v>330</v>
      </c>
      <c r="L217" s="2" t="s">
        <v>410</v>
      </c>
      <c r="M217" s="2" t="s">
        <v>780</v>
      </c>
      <c r="N217" s="2" t="s">
        <v>164</v>
      </c>
      <c r="O217" s="2" t="s">
        <v>1219</v>
      </c>
      <c r="P217" s="152">
        <v>93</v>
      </c>
      <c r="Q217" s="150">
        <v>4.0199999999999996</v>
      </c>
      <c r="R217" s="150">
        <v>15668.6</v>
      </c>
      <c r="T217" s="150">
        <v>58.582000000000001</v>
      </c>
      <c r="U217" s="164">
        <v>2.9E-5</v>
      </c>
      <c r="V217" s="164">
        <v>2.7683501915120399E-3</v>
      </c>
      <c r="W217" s="164">
        <v>1.8243835251336199E-3</v>
      </c>
    </row>
    <row r="218" spans="1:23">
      <c r="A218" s="2" t="s">
        <v>112</v>
      </c>
      <c r="B218" s="2">
        <v>13680</v>
      </c>
      <c r="C218" s="2" t="s">
        <v>1711</v>
      </c>
      <c r="D218" s="2" t="s">
        <v>1712</v>
      </c>
      <c r="E218" s="4" t="s">
        <v>361</v>
      </c>
      <c r="F218" s="2" t="s">
        <v>1713</v>
      </c>
      <c r="G218" s="2" t="s">
        <v>1714</v>
      </c>
      <c r="H218" s="2" t="s">
        <v>367</v>
      </c>
      <c r="I218" s="2" t="s">
        <v>1025</v>
      </c>
      <c r="J218" s="2" t="s">
        <v>94</v>
      </c>
      <c r="K218" s="2" t="s">
        <v>1715</v>
      </c>
      <c r="L218" s="2" t="s">
        <v>390</v>
      </c>
      <c r="M218" s="2" t="s">
        <v>780</v>
      </c>
      <c r="N218" s="2" t="s">
        <v>164</v>
      </c>
      <c r="O218" s="2" t="s">
        <v>99</v>
      </c>
      <c r="P218" s="152">
        <v>919</v>
      </c>
      <c r="Q218" s="150">
        <v>3.7589999999999999</v>
      </c>
      <c r="R218" s="150">
        <v>8831</v>
      </c>
      <c r="T218" s="150">
        <v>305.06900000000002</v>
      </c>
      <c r="U218" s="164">
        <v>1.2E-5</v>
      </c>
      <c r="V218" s="164">
        <v>1.4416437288777E-2</v>
      </c>
      <c r="W218" s="164">
        <v>9.5006443770761801E-3</v>
      </c>
    </row>
    <row r="219" spans="1:23">
      <c r="A219" s="2" t="s">
        <v>112</v>
      </c>
      <c r="B219" s="2">
        <v>13680</v>
      </c>
      <c r="C219" s="2" t="s">
        <v>1657</v>
      </c>
      <c r="D219" s="2" t="s">
        <v>1658</v>
      </c>
      <c r="E219" s="4" t="s">
        <v>361</v>
      </c>
      <c r="F219" s="2" t="s">
        <v>1716</v>
      </c>
      <c r="G219" s="2" t="s">
        <v>1717</v>
      </c>
      <c r="H219" s="2" t="s">
        <v>367</v>
      </c>
      <c r="I219" s="2" t="s">
        <v>1025</v>
      </c>
      <c r="J219" s="2" t="s">
        <v>94</v>
      </c>
      <c r="K219" s="2" t="s">
        <v>317</v>
      </c>
      <c r="L219" s="2" t="s">
        <v>392</v>
      </c>
      <c r="M219" s="2" t="s">
        <v>780</v>
      </c>
      <c r="N219" s="2" t="s">
        <v>164</v>
      </c>
      <c r="O219" s="2" t="s">
        <v>99</v>
      </c>
      <c r="P219" s="152">
        <v>1171</v>
      </c>
      <c r="Q219" s="150">
        <v>3.7589999999999999</v>
      </c>
      <c r="R219" s="150">
        <v>4217</v>
      </c>
      <c r="T219" s="150">
        <v>185.62299999999999</v>
      </c>
      <c r="U219" s="164">
        <v>6.9999999999999999E-6</v>
      </c>
      <c r="V219" s="164">
        <v>8.7718873765087104E-3</v>
      </c>
      <c r="W219" s="164">
        <v>5.7808028995382302E-3</v>
      </c>
    </row>
    <row r="220" spans="1:23">
      <c r="A220" s="2" t="s">
        <v>112</v>
      </c>
      <c r="B220" s="2">
        <v>13680</v>
      </c>
      <c r="C220" s="2" t="s">
        <v>1630</v>
      </c>
      <c r="D220" s="2" t="s">
        <v>1631</v>
      </c>
      <c r="E220" s="4" t="s">
        <v>361</v>
      </c>
      <c r="F220" s="2" t="s">
        <v>1718</v>
      </c>
      <c r="G220" s="2" t="s">
        <v>1719</v>
      </c>
      <c r="H220" s="2" t="s">
        <v>367</v>
      </c>
      <c r="I220" s="2" t="s">
        <v>1025</v>
      </c>
      <c r="J220" s="2" t="s">
        <v>94</v>
      </c>
      <c r="K220" s="2" t="s">
        <v>95</v>
      </c>
      <c r="L220" s="2" t="s">
        <v>390</v>
      </c>
      <c r="M220" s="2" t="s">
        <v>780</v>
      </c>
      <c r="N220" s="2" t="s">
        <v>164</v>
      </c>
      <c r="O220" s="2" t="s">
        <v>99</v>
      </c>
      <c r="P220" s="152">
        <v>655</v>
      </c>
      <c r="Q220" s="150">
        <v>3.7589999999999999</v>
      </c>
      <c r="R220" s="150">
        <v>9115</v>
      </c>
      <c r="T220" s="150">
        <v>224.42500000000001</v>
      </c>
      <c r="U220" s="164">
        <v>9.9999999999999995E-7</v>
      </c>
      <c r="V220" s="164">
        <v>1.06054847538043E-2</v>
      </c>
      <c r="W220" s="164">
        <v>6.9891705609428003E-3</v>
      </c>
    </row>
    <row r="221" spans="1:23">
      <c r="A221" s="2" t="s">
        <v>112</v>
      </c>
      <c r="B221" s="2">
        <v>13680</v>
      </c>
      <c r="C221" s="2" t="s">
        <v>1574</v>
      </c>
      <c r="D221" s="2" t="s">
        <v>1575</v>
      </c>
      <c r="E221" s="4" t="s">
        <v>361</v>
      </c>
      <c r="F221" s="2" t="s">
        <v>1720</v>
      </c>
      <c r="G221" s="2" t="s">
        <v>1721</v>
      </c>
      <c r="H221" s="2" t="s">
        <v>367</v>
      </c>
      <c r="I221" s="2" t="s">
        <v>1025</v>
      </c>
      <c r="J221" s="2" t="s">
        <v>94</v>
      </c>
      <c r="K221" s="2" t="s">
        <v>95</v>
      </c>
      <c r="L221" s="2" t="s">
        <v>392</v>
      </c>
      <c r="M221" s="2" t="s">
        <v>780</v>
      </c>
      <c r="N221" s="2" t="s">
        <v>164</v>
      </c>
      <c r="O221" s="2" t="s">
        <v>99</v>
      </c>
      <c r="P221" s="152">
        <v>252</v>
      </c>
      <c r="Q221" s="150">
        <v>3.7589999999999999</v>
      </c>
      <c r="R221" s="150">
        <v>47911</v>
      </c>
      <c r="S221" s="155">
        <v>0.14399999999999999</v>
      </c>
      <c r="T221" s="150">
        <v>454.38600000000002</v>
      </c>
      <c r="U221" s="164">
        <v>0</v>
      </c>
      <c r="V221" s="164">
        <v>2.1472612258138301E-2</v>
      </c>
      <c r="W221" s="164">
        <v>1.4150767545753701E-2</v>
      </c>
    </row>
    <row r="222" spans="1:23">
      <c r="A222" s="2" t="s">
        <v>112</v>
      </c>
      <c r="B222" s="2">
        <v>13680</v>
      </c>
      <c r="C222" s="2" t="s">
        <v>1630</v>
      </c>
      <c r="D222" s="2" t="s">
        <v>1631</v>
      </c>
      <c r="E222" s="4" t="s">
        <v>361</v>
      </c>
      <c r="F222" s="2" t="s">
        <v>1722</v>
      </c>
      <c r="G222" s="2" t="s">
        <v>1723</v>
      </c>
      <c r="H222" s="2" t="s">
        <v>367</v>
      </c>
      <c r="I222" s="2" t="s">
        <v>1025</v>
      </c>
      <c r="J222" s="2" t="s">
        <v>94</v>
      </c>
      <c r="K222" s="2" t="s">
        <v>95</v>
      </c>
      <c r="L222" s="2" t="s">
        <v>390</v>
      </c>
      <c r="M222" s="2" t="s">
        <v>780</v>
      </c>
      <c r="N222" s="2" t="s">
        <v>164</v>
      </c>
      <c r="O222" s="2" t="s">
        <v>99</v>
      </c>
      <c r="P222" s="152">
        <v>432</v>
      </c>
      <c r="Q222" s="150">
        <v>3.7589999999999999</v>
      </c>
      <c r="R222" s="150">
        <v>3841</v>
      </c>
      <c r="T222" s="150">
        <v>62.374000000000002</v>
      </c>
      <c r="U222" s="164">
        <v>6.9999999999999999E-6</v>
      </c>
      <c r="V222" s="164">
        <v>2.9475460913442001E-3</v>
      </c>
      <c r="W222" s="164">
        <v>1.9424762608097801E-3</v>
      </c>
    </row>
    <row r="223" spans="1:23">
      <c r="A223" s="2" t="s">
        <v>112</v>
      </c>
      <c r="B223" s="2">
        <v>13680</v>
      </c>
      <c r="C223" s="2" t="s">
        <v>1807</v>
      </c>
      <c r="D223" s="2" t="s">
        <v>1808</v>
      </c>
      <c r="E223" s="4" t="s">
        <v>361</v>
      </c>
      <c r="F223" s="2" t="s">
        <v>1809</v>
      </c>
      <c r="G223" s="2" t="s">
        <v>1810</v>
      </c>
      <c r="H223" s="2" t="s">
        <v>367</v>
      </c>
      <c r="I223" s="2" t="s">
        <v>1025</v>
      </c>
      <c r="J223" s="2" t="s">
        <v>94</v>
      </c>
      <c r="K223" s="2" t="s">
        <v>95</v>
      </c>
      <c r="L223" s="2" t="s">
        <v>390</v>
      </c>
      <c r="M223" s="2" t="s">
        <v>780</v>
      </c>
      <c r="N223" s="2" t="s">
        <v>164</v>
      </c>
      <c r="O223" s="2" t="s">
        <v>99</v>
      </c>
      <c r="P223" s="152">
        <v>639</v>
      </c>
      <c r="Q223" s="150">
        <v>3.7589999999999999</v>
      </c>
      <c r="R223" s="150">
        <v>16428</v>
      </c>
      <c r="T223" s="150">
        <v>394.601</v>
      </c>
      <c r="U223" s="164">
        <v>3.0000000000000001E-6</v>
      </c>
      <c r="V223" s="164">
        <v>1.8647392120057601E-2</v>
      </c>
      <c r="W223" s="164">
        <v>1.2288905888730099E-2</v>
      </c>
    </row>
    <row r="224" spans="1:23">
      <c r="A224" s="2" t="s">
        <v>112</v>
      </c>
      <c r="B224" s="2">
        <v>13680</v>
      </c>
      <c r="C224" s="2" t="s">
        <v>1724</v>
      </c>
      <c r="D224" s="2" t="s">
        <v>1725</v>
      </c>
      <c r="E224" s="4" t="s">
        <v>34</v>
      </c>
      <c r="F224" s="2" t="s">
        <v>1726</v>
      </c>
      <c r="G224" s="2" t="s">
        <v>1727</v>
      </c>
      <c r="H224" s="2" t="s">
        <v>367</v>
      </c>
      <c r="I224" s="2" t="s">
        <v>1025</v>
      </c>
      <c r="J224" s="2" t="s">
        <v>94</v>
      </c>
      <c r="K224" s="2" t="s">
        <v>95</v>
      </c>
      <c r="L224" s="2" t="s">
        <v>1564</v>
      </c>
      <c r="M224" s="2" t="s">
        <v>780</v>
      </c>
      <c r="N224" s="2" t="s">
        <v>164</v>
      </c>
      <c r="O224" s="2" t="s">
        <v>1219</v>
      </c>
      <c r="P224" s="152">
        <v>885</v>
      </c>
      <c r="Q224" s="150">
        <v>4.0199999999999996</v>
      </c>
      <c r="R224" s="150">
        <v>12118</v>
      </c>
      <c r="T224" s="150">
        <v>431.14400000000001</v>
      </c>
      <c r="U224" s="164">
        <v>3.48E-4</v>
      </c>
      <c r="V224" s="164">
        <v>2.03742721689921E-2</v>
      </c>
      <c r="W224" s="164">
        <v>1.3426945259911401E-2</v>
      </c>
    </row>
    <row r="225" spans="1:23">
      <c r="A225" s="2" t="s">
        <v>112</v>
      </c>
      <c r="B225" s="2">
        <v>13680</v>
      </c>
      <c r="C225" s="2" t="s">
        <v>1574</v>
      </c>
      <c r="D225" s="2" t="s">
        <v>1575</v>
      </c>
      <c r="E225" s="4" t="s">
        <v>361</v>
      </c>
      <c r="F225" s="2" t="s">
        <v>1772</v>
      </c>
      <c r="G225" s="2" t="s">
        <v>1773</v>
      </c>
      <c r="H225" s="2" t="s">
        <v>367</v>
      </c>
      <c r="I225" s="2" t="s">
        <v>1025</v>
      </c>
      <c r="J225" s="2" t="s">
        <v>94</v>
      </c>
      <c r="K225" s="2" t="s">
        <v>95</v>
      </c>
      <c r="L225" s="2" t="s">
        <v>426</v>
      </c>
      <c r="M225" s="2" t="s">
        <v>780</v>
      </c>
      <c r="N225" s="2" t="s">
        <v>164</v>
      </c>
      <c r="O225" s="2" t="s">
        <v>99</v>
      </c>
      <c r="P225" s="152">
        <v>67</v>
      </c>
      <c r="Q225" s="150">
        <v>3.7589999999999999</v>
      </c>
      <c r="R225" s="150">
        <v>107787</v>
      </c>
      <c r="T225" s="150">
        <v>271.46499999999997</v>
      </c>
      <c r="U225" s="164">
        <v>1.2999999999999999E-5</v>
      </c>
      <c r="V225" s="164">
        <v>1.28284367778314E-2</v>
      </c>
      <c r="W225" s="164">
        <v>8.4541286656768105E-3</v>
      </c>
    </row>
    <row r="226" spans="1:23">
      <c r="A226" s="2" t="s">
        <v>112</v>
      </c>
      <c r="B226" s="2">
        <v>13680</v>
      </c>
      <c r="C226" s="2" t="s">
        <v>1630</v>
      </c>
      <c r="D226" s="2" t="s">
        <v>1631</v>
      </c>
      <c r="E226" s="4" t="s">
        <v>361</v>
      </c>
      <c r="F226" s="2" t="s">
        <v>1728</v>
      </c>
      <c r="G226" s="2" t="s">
        <v>1729</v>
      </c>
      <c r="H226" s="2" t="s">
        <v>367</v>
      </c>
      <c r="I226" s="2" t="s">
        <v>1027</v>
      </c>
      <c r="J226" s="2" t="s">
        <v>94</v>
      </c>
      <c r="K226" s="2" t="s">
        <v>95</v>
      </c>
      <c r="L226" s="2" t="s">
        <v>1564</v>
      </c>
      <c r="M226" s="2" t="s">
        <v>777</v>
      </c>
      <c r="N226" s="2" t="s">
        <v>164</v>
      </c>
      <c r="O226" s="2" t="s">
        <v>99</v>
      </c>
      <c r="P226" s="152">
        <v>9400</v>
      </c>
      <c r="Q226" s="150">
        <v>3.7589999999999999</v>
      </c>
      <c r="R226" s="150">
        <v>1015.5</v>
      </c>
      <c r="T226" s="150">
        <v>358.82299999999998</v>
      </c>
      <c r="U226" s="164">
        <v>0</v>
      </c>
      <c r="V226" s="164">
        <v>1.6956660787208401E-2</v>
      </c>
      <c r="W226" s="164">
        <v>1.1174689053542601E-2</v>
      </c>
    </row>
    <row r="227" spans="1:23">
      <c r="A227" s="2" t="s">
        <v>112</v>
      </c>
      <c r="B227" s="2">
        <v>13680</v>
      </c>
      <c r="C227" s="2" t="s">
        <v>1669</v>
      </c>
      <c r="D227" s="2" t="s">
        <v>1670</v>
      </c>
      <c r="E227" s="4" t="s">
        <v>361</v>
      </c>
      <c r="F227" s="2" t="s">
        <v>1733</v>
      </c>
      <c r="G227" s="2" t="s">
        <v>1734</v>
      </c>
      <c r="H227" s="2" t="s">
        <v>367</v>
      </c>
      <c r="I227" s="2" t="s">
        <v>1025</v>
      </c>
      <c r="J227" s="2" t="s">
        <v>94</v>
      </c>
      <c r="K227" s="2" t="s">
        <v>95</v>
      </c>
      <c r="L227" s="2" t="s">
        <v>392</v>
      </c>
      <c r="M227" s="2" t="s">
        <v>780</v>
      </c>
      <c r="N227" s="2" t="s">
        <v>164</v>
      </c>
      <c r="O227" s="2" t="s">
        <v>99</v>
      </c>
      <c r="P227" s="152">
        <v>122</v>
      </c>
      <c r="Q227" s="150">
        <v>3.7589999999999999</v>
      </c>
      <c r="R227" s="150">
        <v>26070</v>
      </c>
      <c r="T227" s="150">
        <v>119.556</v>
      </c>
      <c r="U227" s="164">
        <v>5.0000000000000004E-6</v>
      </c>
      <c r="V227" s="164">
        <v>5.6498044040926999E-3</v>
      </c>
      <c r="W227" s="164">
        <v>3.7233042649941202E-3</v>
      </c>
    </row>
    <row r="228" spans="1:23">
      <c r="A228" s="2" t="s">
        <v>112</v>
      </c>
      <c r="B228" s="2">
        <v>13680</v>
      </c>
      <c r="C228" s="2" t="s">
        <v>1735</v>
      </c>
      <c r="D228" s="2" t="s">
        <v>1736</v>
      </c>
      <c r="E228" s="4" t="s">
        <v>361</v>
      </c>
      <c r="F228" s="2" t="s">
        <v>1776</v>
      </c>
      <c r="G228" s="2" t="s">
        <v>1777</v>
      </c>
      <c r="H228" s="2" t="s">
        <v>367</v>
      </c>
      <c r="I228" s="2" t="s">
        <v>1025</v>
      </c>
      <c r="J228" s="2" t="s">
        <v>94</v>
      </c>
      <c r="K228" s="2" t="s">
        <v>95</v>
      </c>
      <c r="L228" s="2" t="s">
        <v>390</v>
      </c>
      <c r="M228" s="2" t="s">
        <v>780</v>
      </c>
      <c r="N228" s="2" t="s">
        <v>164</v>
      </c>
      <c r="O228" s="2" t="s">
        <v>99</v>
      </c>
      <c r="P228" s="152">
        <v>610</v>
      </c>
      <c r="Q228" s="150">
        <v>3.7589999999999999</v>
      </c>
      <c r="R228" s="150">
        <v>50013</v>
      </c>
      <c r="S228" s="155">
        <v>0.81499999999999995</v>
      </c>
      <c r="T228" s="150">
        <v>1149.855</v>
      </c>
      <c r="U228" s="164">
        <v>9.9999999999999995E-7</v>
      </c>
      <c r="V228" s="164">
        <v>5.4337973169405002E-2</v>
      </c>
      <c r="W228" s="164">
        <v>3.5809524150291698E-2</v>
      </c>
    </row>
    <row r="229" spans="1:23">
      <c r="A229" s="2" t="s">
        <v>112</v>
      </c>
      <c r="B229" s="2">
        <v>13680</v>
      </c>
      <c r="C229" s="2" t="s">
        <v>1735</v>
      </c>
      <c r="D229" s="2" t="s">
        <v>1736</v>
      </c>
      <c r="E229" s="4" t="s">
        <v>361</v>
      </c>
      <c r="F229" s="2" t="s">
        <v>1778</v>
      </c>
      <c r="G229" s="2" t="s">
        <v>1779</v>
      </c>
      <c r="H229" s="2" t="s">
        <v>367</v>
      </c>
      <c r="I229" s="2" t="s">
        <v>1025</v>
      </c>
      <c r="J229" s="2" t="s">
        <v>94</v>
      </c>
      <c r="K229" s="2" t="s">
        <v>95</v>
      </c>
      <c r="L229" s="2" t="s">
        <v>392</v>
      </c>
      <c r="M229" s="2" t="s">
        <v>780</v>
      </c>
      <c r="N229" s="2" t="s">
        <v>164</v>
      </c>
      <c r="O229" s="2" t="s">
        <v>99</v>
      </c>
      <c r="P229" s="152">
        <v>205</v>
      </c>
      <c r="Q229" s="150">
        <v>3.7589999999999999</v>
      </c>
      <c r="R229" s="150">
        <v>17578</v>
      </c>
      <c r="S229" s="155">
        <v>0.152</v>
      </c>
      <c r="T229" s="150">
        <v>136.02600000000001</v>
      </c>
      <c r="U229" s="164">
        <v>0</v>
      </c>
      <c r="V229" s="164">
        <v>6.4280835238964499E-3</v>
      </c>
      <c r="W229" s="164">
        <v>4.2362016608795501E-3</v>
      </c>
    </row>
    <row r="230" spans="1:23">
      <c r="A230" s="2" t="s">
        <v>112</v>
      </c>
      <c r="B230" s="2">
        <v>13680</v>
      </c>
      <c r="C230" s="2" t="s">
        <v>1735</v>
      </c>
      <c r="D230" s="2" t="s">
        <v>1736</v>
      </c>
      <c r="E230" s="4" t="s">
        <v>361</v>
      </c>
      <c r="F230" s="2" t="s">
        <v>1737</v>
      </c>
      <c r="G230" s="2" t="s">
        <v>1738</v>
      </c>
      <c r="H230" s="2" t="s">
        <v>367</v>
      </c>
      <c r="I230" s="2" t="s">
        <v>1025</v>
      </c>
      <c r="J230" s="2" t="s">
        <v>94</v>
      </c>
      <c r="K230" s="2" t="s">
        <v>95</v>
      </c>
      <c r="L230" s="2" t="s">
        <v>390</v>
      </c>
      <c r="M230" s="2" t="s">
        <v>780</v>
      </c>
      <c r="N230" s="2" t="s">
        <v>164</v>
      </c>
      <c r="O230" s="2" t="s">
        <v>99</v>
      </c>
      <c r="P230" s="152">
        <v>1330</v>
      </c>
      <c r="Q230" s="150">
        <v>3.7589999999999999</v>
      </c>
      <c r="R230" s="150">
        <v>9911</v>
      </c>
      <c r="S230" s="155">
        <v>0.37</v>
      </c>
      <c r="T230" s="150">
        <v>496.887</v>
      </c>
      <c r="U230" s="164">
        <v>1.6699999999999999E-4</v>
      </c>
      <c r="V230" s="164">
        <v>2.3481091022426001E-2</v>
      </c>
      <c r="W230" s="164">
        <v>1.54743846153651E-2</v>
      </c>
    </row>
    <row r="231" spans="1:23">
      <c r="A231" s="2" t="s">
        <v>112</v>
      </c>
      <c r="B231" s="2">
        <v>13680</v>
      </c>
      <c r="C231" s="2" t="s">
        <v>1735</v>
      </c>
      <c r="D231" s="2" t="s">
        <v>1736</v>
      </c>
      <c r="E231" s="4" t="s">
        <v>361</v>
      </c>
      <c r="F231" s="2" t="s">
        <v>1780</v>
      </c>
      <c r="G231" s="2" t="s">
        <v>1781</v>
      </c>
      <c r="H231" s="2" t="s">
        <v>367</v>
      </c>
      <c r="I231" s="2" t="s">
        <v>1025</v>
      </c>
      <c r="J231" s="2" t="s">
        <v>94</v>
      </c>
      <c r="K231" s="2" t="s">
        <v>345</v>
      </c>
      <c r="L231" s="2" t="s">
        <v>390</v>
      </c>
      <c r="M231" s="2" t="s">
        <v>780</v>
      </c>
      <c r="N231" s="2" t="s">
        <v>164</v>
      </c>
      <c r="O231" s="2" t="s">
        <v>99</v>
      </c>
      <c r="P231" s="152">
        <v>2230</v>
      </c>
      <c r="Q231" s="150">
        <v>3.7589999999999999</v>
      </c>
      <c r="R231" s="150">
        <v>11263</v>
      </c>
      <c r="T231" s="150">
        <v>944.12900000000002</v>
      </c>
      <c r="U231" s="164">
        <v>9.0000000000000002E-6</v>
      </c>
      <c r="V231" s="164">
        <v>4.4616089034362198E-2</v>
      </c>
      <c r="W231" s="164">
        <v>2.94026594033347E-2</v>
      </c>
    </row>
    <row r="232" spans="1:23">
      <c r="A232" s="2" t="s">
        <v>112</v>
      </c>
      <c r="B232" s="2">
        <v>13680</v>
      </c>
      <c r="C232" s="2" t="s">
        <v>1739</v>
      </c>
      <c r="D232" s="2" t="s">
        <v>1740</v>
      </c>
      <c r="E232" s="4" t="s">
        <v>361</v>
      </c>
      <c r="F232" s="2" t="s">
        <v>1741</v>
      </c>
      <c r="G232" s="2" t="s">
        <v>1742</v>
      </c>
      <c r="H232" s="2" t="s">
        <v>367</v>
      </c>
      <c r="I232" s="2" t="s">
        <v>1025</v>
      </c>
      <c r="J232" s="2" t="s">
        <v>94</v>
      </c>
      <c r="K232" s="2" t="s">
        <v>293</v>
      </c>
      <c r="L232" s="2" t="s">
        <v>390</v>
      </c>
      <c r="M232" s="2" t="s">
        <v>780</v>
      </c>
      <c r="N232" s="2" t="s">
        <v>164</v>
      </c>
      <c r="O232" s="2" t="s">
        <v>99</v>
      </c>
      <c r="P232" s="152">
        <v>2355</v>
      </c>
      <c r="Q232" s="150">
        <v>3.7589999999999999</v>
      </c>
      <c r="R232" s="150">
        <v>4828</v>
      </c>
      <c r="T232" s="150">
        <v>427.39600000000002</v>
      </c>
      <c r="U232" s="164">
        <v>1.07E-4</v>
      </c>
      <c r="V232" s="164">
        <v>2.019717943691E-2</v>
      </c>
      <c r="W232" s="164">
        <v>1.3310238542740299E-2</v>
      </c>
    </row>
    <row r="233" spans="1:23">
      <c r="A233" s="2" t="s">
        <v>112</v>
      </c>
      <c r="B233" s="2">
        <v>13680</v>
      </c>
      <c r="C233" s="2" t="s">
        <v>1784</v>
      </c>
      <c r="D233" s="2" t="s">
        <v>1785</v>
      </c>
      <c r="E233" s="4" t="s">
        <v>361</v>
      </c>
      <c r="F233" s="2" t="s">
        <v>1786</v>
      </c>
      <c r="G233" s="2" t="s">
        <v>1787</v>
      </c>
      <c r="H233" s="2" t="s">
        <v>367</v>
      </c>
      <c r="I233" s="2" t="s">
        <v>1025</v>
      </c>
      <c r="J233" s="2" t="s">
        <v>94</v>
      </c>
      <c r="K233" s="2" t="s">
        <v>300</v>
      </c>
      <c r="L233" s="2" t="s">
        <v>414</v>
      </c>
      <c r="M233" s="2" t="s">
        <v>780</v>
      </c>
      <c r="N233" s="2" t="s">
        <v>164</v>
      </c>
      <c r="O233" s="2" t="s">
        <v>1219</v>
      </c>
      <c r="P233" s="152">
        <v>9029</v>
      </c>
      <c r="Q233" s="150">
        <v>4.0199999999999996</v>
      </c>
      <c r="R233" s="150">
        <v>2395.5</v>
      </c>
      <c r="T233" s="150">
        <v>869.52800000000002</v>
      </c>
      <c r="U233" s="164">
        <v>1.5200000000000001E-4</v>
      </c>
      <c r="V233" s="164">
        <v>4.1090716367007799E-2</v>
      </c>
      <c r="W233" s="164">
        <v>2.7079386923574901E-2</v>
      </c>
    </row>
    <row r="234" spans="1:23">
      <c r="A234" s="2" t="s">
        <v>128</v>
      </c>
      <c r="B234" s="2">
        <v>7228</v>
      </c>
      <c r="C234" s="2" t="s">
        <v>1602</v>
      </c>
      <c r="D234" s="2" t="s">
        <v>1603</v>
      </c>
      <c r="E234" s="4" t="s">
        <v>1376</v>
      </c>
      <c r="F234" s="2" t="s">
        <v>1610</v>
      </c>
      <c r="G234" s="2" t="s">
        <v>1611</v>
      </c>
      <c r="H234" s="2" t="s">
        <v>367</v>
      </c>
      <c r="I234" s="2" t="s">
        <v>1024</v>
      </c>
      <c r="J234" s="2" t="s">
        <v>31</v>
      </c>
      <c r="K234" s="2" t="s">
        <v>31</v>
      </c>
      <c r="L234" s="2" t="s">
        <v>32</v>
      </c>
      <c r="M234" s="2" t="s">
        <v>1606</v>
      </c>
      <c r="N234" s="2" t="s">
        <v>164</v>
      </c>
      <c r="O234" s="2" t="s">
        <v>35</v>
      </c>
      <c r="P234" s="152">
        <v>2143</v>
      </c>
      <c r="Q234" s="150">
        <v>1</v>
      </c>
      <c r="R234" s="150">
        <v>3016</v>
      </c>
      <c r="T234" s="150">
        <v>64.632999999999996</v>
      </c>
      <c r="U234" s="164">
        <v>5.3000000000000001E-5</v>
      </c>
      <c r="V234" s="164">
        <v>1.3131706065118301E-4</v>
      </c>
      <c r="W234" s="164">
        <v>2.76172441623148E-5</v>
      </c>
    </row>
    <row r="235" spans="1:23">
      <c r="A235" s="2" t="s">
        <v>128</v>
      </c>
      <c r="B235" s="2">
        <v>7228</v>
      </c>
      <c r="C235" s="2" t="s">
        <v>1602</v>
      </c>
      <c r="D235" s="2" t="s">
        <v>1603</v>
      </c>
      <c r="E235" s="4" t="s">
        <v>1376</v>
      </c>
      <c r="F235" s="2" t="s">
        <v>1628</v>
      </c>
      <c r="G235" s="2" t="s">
        <v>1629</v>
      </c>
      <c r="H235" s="2" t="s">
        <v>367</v>
      </c>
      <c r="I235" s="2" t="s">
        <v>1025</v>
      </c>
      <c r="J235" s="2" t="s">
        <v>31</v>
      </c>
      <c r="K235" s="2" t="s">
        <v>95</v>
      </c>
      <c r="L235" s="2" t="s">
        <v>32</v>
      </c>
      <c r="M235" s="2" t="s">
        <v>1609</v>
      </c>
      <c r="N235" s="2" t="s">
        <v>164</v>
      </c>
      <c r="O235" s="2" t="s">
        <v>35</v>
      </c>
      <c r="P235" s="152">
        <v>125683</v>
      </c>
      <c r="Q235" s="150">
        <v>1</v>
      </c>
      <c r="R235" s="150">
        <v>3000</v>
      </c>
      <c r="T235" s="150">
        <v>3770.49</v>
      </c>
      <c r="U235" s="164">
        <v>6.2839999999999997E-3</v>
      </c>
      <c r="V235" s="164">
        <v>7.6606467793896996E-3</v>
      </c>
      <c r="W235" s="164">
        <v>1.61110789031165E-3</v>
      </c>
    </row>
    <row r="236" spans="1:23">
      <c r="A236" s="2" t="s">
        <v>128</v>
      </c>
      <c r="B236" s="2">
        <v>7228</v>
      </c>
      <c r="C236" s="2" t="s">
        <v>1743</v>
      </c>
      <c r="D236" s="2" t="s">
        <v>1744</v>
      </c>
      <c r="E236" s="4" t="s">
        <v>1376</v>
      </c>
      <c r="F236" s="2" t="s">
        <v>1753</v>
      </c>
      <c r="G236" s="2" t="s">
        <v>1754</v>
      </c>
      <c r="H236" s="2" t="s">
        <v>367</v>
      </c>
      <c r="I236" s="2" t="s">
        <v>1025</v>
      </c>
      <c r="J236" s="2" t="s">
        <v>31</v>
      </c>
      <c r="K236" s="2" t="s">
        <v>345</v>
      </c>
      <c r="L236" s="2" t="s">
        <v>32</v>
      </c>
      <c r="M236" s="2" t="s">
        <v>1609</v>
      </c>
      <c r="N236" s="2" t="s">
        <v>164</v>
      </c>
      <c r="O236" s="2" t="s">
        <v>35</v>
      </c>
      <c r="P236" s="152">
        <v>935828</v>
      </c>
      <c r="Q236" s="150">
        <v>1</v>
      </c>
      <c r="R236" s="150">
        <v>1438</v>
      </c>
      <c r="T236" s="150">
        <v>13457.207</v>
      </c>
      <c r="U236" s="164">
        <v>1.3842E-2</v>
      </c>
      <c r="V236" s="164">
        <v>2.7341514420220599E-2</v>
      </c>
      <c r="W236" s="164">
        <v>5.7501841403261597E-3</v>
      </c>
    </row>
    <row r="237" spans="1:23">
      <c r="A237" s="2" t="s">
        <v>128</v>
      </c>
      <c r="B237" s="2">
        <v>7228</v>
      </c>
      <c r="C237" s="2" t="s">
        <v>1630</v>
      </c>
      <c r="D237" s="2" t="s">
        <v>1631</v>
      </c>
      <c r="E237" s="4" t="s">
        <v>361</v>
      </c>
      <c r="F237" s="2" t="s">
        <v>1632</v>
      </c>
      <c r="G237" s="2" t="s">
        <v>1633</v>
      </c>
      <c r="H237" s="2" t="s">
        <v>367</v>
      </c>
      <c r="I237" s="2" t="s">
        <v>1025</v>
      </c>
      <c r="J237" s="2" t="s">
        <v>94</v>
      </c>
      <c r="K237" s="2" t="s">
        <v>95</v>
      </c>
      <c r="L237" s="2" t="s">
        <v>390</v>
      </c>
      <c r="M237" s="2" t="s">
        <v>780</v>
      </c>
      <c r="N237" s="2" t="s">
        <v>164</v>
      </c>
      <c r="O237" s="2" t="s">
        <v>99</v>
      </c>
      <c r="P237" s="152">
        <v>32000</v>
      </c>
      <c r="Q237" s="150">
        <v>3.7589999999999999</v>
      </c>
      <c r="R237" s="150">
        <v>6814</v>
      </c>
      <c r="T237" s="150">
        <v>8196.4240000000009</v>
      </c>
      <c r="U237" s="164">
        <v>1.4200000000000001E-4</v>
      </c>
      <c r="V237" s="164">
        <v>1.6652984511169502E-2</v>
      </c>
      <c r="W237" s="164">
        <v>3.5022832295787299E-3</v>
      </c>
    </row>
    <row r="238" spans="1:23">
      <c r="A238" s="2" t="s">
        <v>128</v>
      </c>
      <c r="B238" s="2">
        <v>7228</v>
      </c>
      <c r="C238" s="2" t="s">
        <v>1574</v>
      </c>
      <c r="D238" s="2" t="s">
        <v>1575</v>
      </c>
      <c r="E238" s="4" t="s">
        <v>361</v>
      </c>
      <c r="F238" s="2" t="s">
        <v>1634</v>
      </c>
      <c r="G238" s="2" t="s">
        <v>1635</v>
      </c>
      <c r="H238" s="2" t="s">
        <v>367</v>
      </c>
      <c r="I238" s="2" t="s">
        <v>1025</v>
      </c>
      <c r="J238" s="2" t="s">
        <v>94</v>
      </c>
      <c r="K238" s="2" t="s">
        <v>95</v>
      </c>
      <c r="L238" s="2" t="s">
        <v>390</v>
      </c>
      <c r="M238" s="2" t="s">
        <v>780</v>
      </c>
      <c r="N238" s="2" t="s">
        <v>164</v>
      </c>
      <c r="O238" s="2" t="s">
        <v>99</v>
      </c>
      <c r="P238" s="152">
        <v>15319</v>
      </c>
      <c r="Q238" s="150">
        <v>3.7589999999999999</v>
      </c>
      <c r="R238" s="150">
        <v>10272</v>
      </c>
      <c r="T238" s="150">
        <v>5915.0410000000002</v>
      </c>
      <c r="U238" s="164">
        <v>7.94E-4</v>
      </c>
      <c r="V238" s="164">
        <v>1.20178117672792E-2</v>
      </c>
      <c r="W238" s="164">
        <v>2.5274617039693602E-3</v>
      </c>
    </row>
    <row r="239" spans="1:23">
      <c r="A239" s="2" t="s">
        <v>128</v>
      </c>
      <c r="B239" s="2">
        <v>7228</v>
      </c>
      <c r="C239" s="2" t="s">
        <v>1640</v>
      </c>
      <c r="D239" s="2" t="s">
        <v>1641</v>
      </c>
      <c r="E239" s="4" t="s">
        <v>361</v>
      </c>
      <c r="F239" s="2" t="s">
        <v>1645</v>
      </c>
      <c r="G239" s="2" t="s">
        <v>1646</v>
      </c>
      <c r="H239" s="2" t="s">
        <v>367</v>
      </c>
      <c r="I239" s="2" t="s">
        <v>1025</v>
      </c>
      <c r="J239" s="2" t="s">
        <v>94</v>
      </c>
      <c r="K239" s="2" t="s">
        <v>330</v>
      </c>
      <c r="L239" s="2" t="s">
        <v>410</v>
      </c>
      <c r="M239" s="2" t="s">
        <v>780</v>
      </c>
      <c r="N239" s="2" t="s">
        <v>164</v>
      </c>
      <c r="O239" s="2" t="s">
        <v>1219</v>
      </c>
      <c r="P239" s="152">
        <v>29929</v>
      </c>
      <c r="Q239" s="150">
        <v>4.0199999999999996</v>
      </c>
      <c r="R239" s="150">
        <v>11282</v>
      </c>
      <c r="T239" s="150">
        <v>13574.566000000001</v>
      </c>
      <c r="U239" s="164">
        <v>5.9569999999999996E-3</v>
      </c>
      <c r="V239" s="164">
        <v>2.7579958333983901E-2</v>
      </c>
      <c r="W239" s="164">
        <v>5.8003311947360204E-3</v>
      </c>
    </row>
    <row r="240" spans="1:23">
      <c r="A240" s="2" t="s">
        <v>128</v>
      </c>
      <c r="B240" s="2">
        <v>7228</v>
      </c>
      <c r="C240" s="2" t="s">
        <v>1647</v>
      </c>
      <c r="D240" s="2" t="s">
        <v>1648</v>
      </c>
      <c r="E240" s="4" t="s">
        <v>361</v>
      </c>
      <c r="F240" s="2" t="s">
        <v>1649</v>
      </c>
      <c r="G240" s="2" t="s">
        <v>1650</v>
      </c>
      <c r="H240" s="2" t="s">
        <v>367</v>
      </c>
      <c r="I240" s="2" t="s">
        <v>1025</v>
      </c>
      <c r="J240" s="2" t="s">
        <v>94</v>
      </c>
      <c r="K240" s="2" t="s">
        <v>95</v>
      </c>
      <c r="L240" s="2" t="s">
        <v>1564</v>
      </c>
      <c r="M240" s="2" t="s">
        <v>780</v>
      </c>
      <c r="N240" s="2" t="s">
        <v>164</v>
      </c>
      <c r="O240" s="2" t="s">
        <v>1219</v>
      </c>
      <c r="P240" s="152">
        <v>13615</v>
      </c>
      <c r="Q240" s="150">
        <v>4.0199999999999996</v>
      </c>
      <c r="R240" s="150">
        <v>6412</v>
      </c>
      <c r="T240" s="150">
        <v>3509.61</v>
      </c>
      <c r="U240" s="164">
        <v>0</v>
      </c>
      <c r="V240" s="164">
        <v>7.1306063805672802E-3</v>
      </c>
      <c r="W240" s="164">
        <v>1.4996352831913001E-3</v>
      </c>
    </row>
    <row r="241" spans="1:23">
      <c r="A241" s="2" t="s">
        <v>128</v>
      </c>
      <c r="B241" s="2">
        <v>7228</v>
      </c>
      <c r="C241" s="2" t="s">
        <v>1640</v>
      </c>
      <c r="D241" s="2" t="s">
        <v>1641</v>
      </c>
      <c r="E241" s="4" t="s">
        <v>361</v>
      </c>
      <c r="F241" s="2" t="s">
        <v>1651</v>
      </c>
      <c r="G241" s="2" t="s">
        <v>1652</v>
      </c>
      <c r="H241" s="2" t="s">
        <v>367</v>
      </c>
      <c r="I241" s="2" t="s">
        <v>1025</v>
      </c>
      <c r="J241" s="2" t="s">
        <v>94</v>
      </c>
      <c r="K241" s="2" t="s">
        <v>95</v>
      </c>
      <c r="L241" s="2" t="s">
        <v>426</v>
      </c>
      <c r="M241" s="2" t="s">
        <v>780</v>
      </c>
      <c r="N241" s="2" t="s">
        <v>164</v>
      </c>
      <c r="O241" s="2" t="s">
        <v>99</v>
      </c>
      <c r="P241" s="152">
        <v>65051</v>
      </c>
      <c r="Q241" s="150">
        <v>3.7589999999999999</v>
      </c>
      <c r="R241" s="150">
        <v>9337</v>
      </c>
      <c r="T241" s="150">
        <v>22831.458999999999</v>
      </c>
      <c r="U241" s="164">
        <v>0</v>
      </c>
      <c r="V241" s="164">
        <v>4.6387536228200799E-2</v>
      </c>
      <c r="W241" s="164">
        <v>9.7557461897918099E-3</v>
      </c>
    </row>
    <row r="242" spans="1:23">
      <c r="A242" s="2" t="s">
        <v>128</v>
      </c>
      <c r="B242" s="2">
        <v>7228</v>
      </c>
      <c r="C242" s="2" t="s">
        <v>1630</v>
      </c>
      <c r="D242" s="2" t="s">
        <v>1631</v>
      </c>
      <c r="E242" s="4" t="s">
        <v>361</v>
      </c>
      <c r="F242" s="2" t="s">
        <v>1655</v>
      </c>
      <c r="G242" s="2" t="s">
        <v>1656</v>
      </c>
      <c r="H242" s="2" t="s">
        <v>367</v>
      </c>
      <c r="I242" s="2" t="s">
        <v>1025</v>
      </c>
      <c r="J242" s="2" t="s">
        <v>94</v>
      </c>
      <c r="K242" s="2" t="s">
        <v>95</v>
      </c>
      <c r="L242" s="2" t="s">
        <v>390</v>
      </c>
      <c r="M242" s="2" t="s">
        <v>780</v>
      </c>
      <c r="N242" s="2" t="s">
        <v>164</v>
      </c>
      <c r="O242" s="2" t="s">
        <v>99</v>
      </c>
      <c r="P242" s="152">
        <v>15457</v>
      </c>
      <c r="Q242" s="150">
        <v>3.7589999999999999</v>
      </c>
      <c r="R242" s="150">
        <v>18240</v>
      </c>
      <c r="T242" s="150">
        <v>10597.962</v>
      </c>
      <c r="U242" s="164">
        <v>1.5899999999999999E-4</v>
      </c>
      <c r="V242" s="164">
        <v>2.1532279645702E-2</v>
      </c>
      <c r="W242" s="164">
        <v>4.5284460480438998E-3</v>
      </c>
    </row>
    <row r="243" spans="1:23">
      <c r="A243" s="2" t="s">
        <v>128</v>
      </c>
      <c r="B243" s="2">
        <v>7228</v>
      </c>
      <c r="C243" s="2" t="s">
        <v>1657</v>
      </c>
      <c r="D243" s="2" t="s">
        <v>1658</v>
      </c>
      <c r="E243" s="4" t="s">
        <v>361</v>
      </c>
      <c r="F243" s="2" t="s">
        <v>1659</v>
      </c>
      <c r="G243" s="2" t="s">
        <v>1660</v>
      </c>
      <c r="H243" s="2" t="s">
        <v>367</v>
      </c>
      <c r="I243" s="2" t="s">
        <v>1025</v>
      </c>
      <c r="J243" s="2" t="s">
        <v>94</v>
      </c>
      <c r="K243" s="2" t="s">
        <v>95</v>
      </c>
      <c r="L243" s="2" t="s">
        <v>390</v>
      </c>
      <c r="M243" s="2" t="s">
        <v>780</v>
      </c>
      <c r="N243" s="2" t="s">
        <v>164</v>
      </c>
      <c r="O243" s="2" t="s">
        <v>99</v>
      </c>
      <c r="P243" s="152">
        <v>21500</v>
      </c>
      <c r="Q243" s="150">
        <v>3.7589999999999999</v>
      </c>
      <c r="R243" s="150">
        <v>5242</v>
      </c>
      <c r="T243" s="150">
        <v>4236.5060000000003</v>
      </c>
      <c r="U243" s="164">
        <v>3.7720000000000002E-3</v>
      </c>
      <c r="V243" s="164">
        <v>8.6074686003188901E-3</v>
      </c>
      <c r="W243" s="164">
        <v>1.8102336495781301E-3</v>
      </c>
    </row>
    <row r="244" spans="1:23">
      <c r="A244" s="2" t="s">
        <v>128</v>
      </c>
      <c r="B244" s="2">
        <v>7228</v>
      </c>
      <c r="C244" s="2" t="s">
        <v>1630</v>
      </c>
      <c r="D244" s="2" t="s">
        <v>1631</v>
      </c>
      <c r="E244" s="4" t="s">
        <v>361</v>
      </c>
      <c r="F244" s="2" t="s">
        <v>1661</v>
      </c>
      <c r="G244" s="2" t="s">
        <v>1662</v>
      </c>
      <c r="H244" s="2" t="s">
        <v>367</v>
      </c>
      <c r="I244" s="2" t="s">
        <v>1025</v>
      </c>
      <c r="J244" s="2" t="s">
        <v>94</v>
      </c>
      <c r="K244" s="2" t="s">
        <v>95</v>
      </c>
      <c r="L244" s="2" t="s">
        <v>390</v>
      </c>
      <c r="M244" s="2" t="s">
        <v>780</v>
      </c>
      <c r="N244" s="2" t="s">
        <v>164</v>
      </c>
      <c r="O244" s="2" t="s">
        <v>99</v>
      </c>
      <c r="P244" s="152">
        <v>155238</v>
      </c>
      <c r="Q244" s="150">
        <v>3.7589999999999999</v>
      </c>
      <c r="R244" s="150">
        <v>4111</v>
      </c>
      <c r="T244" s="150">
        <v>23989.314999999999</v>
      </c>
      <c r="U244" s="164">
        <v>1.7200000000000001E-4</v>
      </c>
      <c r="V244" s="164">
        <v>4.8739995667188799E-2</v>
      </c>
      <c r="W244" s="164">
        <v>1.02504910948811E-2</v>
      </c>
    </row>
    <row r="245" spans="1:23">
      <c r="A245" s="2" t="s">
        <v>128</v>
      </c>
      <c r="B245" s="2">
        <v>7228</v>
      </c>
      <c r="C245" s="2" t="s">
        <v>1663</v>
      </c>
      <c r="D245" s="2" t="s">
        <v>1664</v>
      </c>
      <c r="E245" s="4" t="s">
        <v>361</v>
      </c>
      <c r="F245" s="2" t="s">
        <v>1665</v>
      </c>
      <c r="G245" s="2" t="s">
        <v>1666</v>
      </c>
      <c r="H245" s="2" t="s">
        <v>367</v>
      </c>
      <c r="I245" s="2" t="s">
        <v>1025</v>
      </c>
      <c r="J245" s="2" t="s">
        <v>94</v>
      </c>
      <c r="K245" s="2" t="s">
        <v>95</v>
      </c>
      <c r="L245" s="2" t="s">
        <v>392</v>
      </c>
      <c r="M245" s="2" t="s">
        <v>780</v>
      </c>
      <c r="N245" s="2" t="s">
        <v>164</v>
      </c>
      <c r="O245" s="2" t="s">
        <v>99</v>
      </c>
      <c r="P245" s="152">
        <v>8901</v>
      </c>
      <c r="Q245" s="150">
        <v>3.7589999999999999</v>
      </c>
      <c r="R245" s="150">
        <v>19746</v>
      </c>
      <c r="T245" s="150">
        <v>6606.7860000000001</v>
      </c>
      <c r="U245" s="164">
        <v>6.4300000000000002E-4</v>
      </c>
      <c r="V245" s="164">
        <v>1.3423256971099799E-2</v>
      </c>
      <c r="W245" s="164">
        <v>2.8230403832224102E-3</v>
      </c>
    </row>
    <row r="246" spans="1:23">
      <c r="A246" s="2" t="s">
        <v>128</v>
      </c>
      <c r="B246" s="2">
        <v>7228</v>
      </c>
      <c r="C246" s="2" t="s">
        <v>1663</v>
      </c>
      <c r="D246" s="2" t="s">
        <v>1664</v>
      </c>
      <c r="E246" s="4" t="s">
        <v>361</v>
      </c>
      <c r="F246" s="2" t="s">
        <v>1667</v>
      </c>
      <c r="G246" s="2" t="s">
        <v>1668</v>
      </c>
      <c r="H246" s="2" t="s">
        <v>367</v>
      </c>
      <c r="I246" s="2" t="s">
        <v>1025</v>
      </c>
      <c r="J246" s="2" t="s">
        <v>94</v>
      </c>
      <c r="K246" s="2" t="s">
        <v>345</v>
      </c>
      <c r="L246" s="2" t="s">
        <v>392</v>
      </c>
      <c r="M246" s="2" t="s">
        <v>780</v>
      </c>
      <c r="N246" s="2" t="s">
        <v>164</v>
      </c>
      <c r="O246" s="2" t="s">
        <v>99</v>
      </c>
      <c r="P246" s="152">
        <v>9000</v>
      </c>
      <c r="Q246" s="150">
        <v>3.7589999999999999</v>
      </c>
      <c r="R246" s="150">
        <v>11558</v>
      </c>
      <c r="T246" s="150">
        <v>3910.1869999999999</v>
      </c>
      <c r="U246" s="164">
        <v>1.2589999999999999E-3</v>
      </c>
      <c r="V246" s="164">
        <v>7.9444744038967095E-3</v>
      </c>
      <c r="W246" s="164">
        <v>1.67079957673191E-3</v>
      </c>
    </row>
    <row r="247" spans="1:23">
      <c r="A247" s="2" t="s">
        <v>128</v>
      </c>
      <c r="B247" s="2">
        <v>7228</v>
      </c>
      <c r="C247" s="2" t="s">
        <v>1669</v>
      </c>
      <c r="D247" s="2" t="s">
        <v>1670</v>
      </c>
      <c r="E247" s="4" t="s">
        <v>361</v>
      </c>
      <c r="F247" s="2" t="s">
        <v>1671</v>
      </c>
      <c r="G247" s="2" t="s">
        <v>1672</v>
      </c>
      <c r="H247" s="2" t="s">
        <v>367</v>
      </c>
      <c r="I247" s="2" t="s">
        <v>1025</v>
      </c>
      <c r="J247" s="2" t="s">
        <v>94</v>
      </c>
      <c r="K247" s="2" t="s">
        <v>95</v>
      </c>
      <c r="L247" s="2" t="s">
        <v>390</v>
      </c>
      <c r="M247" s="2" t="s">
        <v>780</v>
      </c>
      <c r="N247" s="2" t="s">
        <v>164</v>
      </c>
      <c r="O247" s="2" t="s">
        <v>99</v>
      </c>
      <c r="P247" s="152">
        <v>63060</v>
      </c>
      <c r="Q247" s="150">
        <v>3.7589999999999999</v>
      </c>
      <c r="R247" s="150">
        <v>3393</v>
      </c>
      <c r="T247" s="150">
        <v>8042.8530000000001</v>
      </c>
      <c r="U247" s="164">
        <v>1.4799999999999999E-4</v>
      </c>
      <c r="V247" s="164">
        <v>1.6340968643188E-2</v>
      </c>
      <c r="W247" s="164">
        <v>3.4366632837329299E-3</v>
      </c>
    </row>
    <row r="248" spans="1:23">
      <c r="A248" s="2" t="s">
        <v>128</v>
      </c>
      <c r="B248" s="2">
        <v>7228</v>
      </c>
      <c r="C248" s="2" t="s">
        <v>1630</v>
      </c>
      <c r="D248" s="2" t="s">
        <v>1631</v>
      </c>
      <c r="E248" s="4" t="s">
        <v>361</v>
      </c>
      <c r="F248" s="2" t="s">
        <v>1677</v>
      </c>
      <c r="G248" s="2" t="s">
        <v>1678</v>
      </c>
      <c r="H248" s="2" t="s">
        <v>367</v>
      </c>
      <c r="I248" s="2" t="s">
        <v>1025</v>
      </c>
      <c r="J248" s="2" t="s">
        <v>94</v>
      </c>
      <c r="K248" s="2" t="s">
        <v>95</v>
      </c>
      <c r="L248" s="2" t="s">
        <v>390</v>
      </c>
      <c r="M248" s="2" t="s">
        <v>780</v>
      </c>
      <c r="N248" s="2" t="s">
        <v>164</v>
      </c>
      <c r="O248" s="2" t="s">
        <v>99</v>
      </c>
      <c r="P248" s="152">
        <v>55598</v>
      </c>
      <c r="Q248" s="150">
        <v>3.7589999999999999</v>
      </c>
      <c r="R248" s="150">
        <v>14575</v>
      </c>
      <c r="T248" s="150">
        <v>30460.713</v>
      </c>
      <c r="U248" s="164">
        <v>1.85E-4</v>
      </c>
      <c r="V248" s="164">
        <v>6.1888178858865502E-2</v>
      </c>
      <c r="W248" s="164">
        <v>1.30156808097189E-2</v>
      </c>
    </row>
    <row r="249" spans="1:23">
      <c r="A249" s="2" t="s">
        <v>128</v>
      </c>
      <c r="B249" s="2">
        <v>7228</v>
      </c>
      <c r="C249" s="2" t="s">
        <v>1679</v>
      </c>
      <c r="D249" s="2" t="s">
        <v>1680</v>
      </c>
      <c r="E249" s="4" t="s">
        <v>361</v>
      </c>
      <c r="F249" s="2" t="s">
        <v>1681</v>
      </c>
      <c r="G249" s="2" t="s">
        <v>1682</v>
      </c>
      <c r="H249" s="2" t="s">
        <v>367</v>
      </c>
      <c r="I249" s="2" t="s">
        <v>1025</v>
      </c>
      <c r="J249" s="2" t="s">
        <v>94</v>
      </c>
      <c r="K249" s="2" t="s">
        <v>331</v>
      </c>
      <c r="L249" s="2" t="s">
        <v>1683</v>
      </c>
      <c r="M249" s="2" t="s">
        <v>780</v>
      </c>
      <c r="N249" s="2" t="s">
        <v>164</v>
      </c>
      <c r="O249" s="2" t="s">
        <v>1218</v>
      </c>
      <c r="P249" s="152">
        <v>35420</v>
      </c>
      <c r="Q249" s="150">
        <v>2.7410000000000001</v>
      </c>
      <c r="R249" s="150">
        <v>5597</v>
      </c>
      <c r="T249" s="150">
        <v>5434.51</v>
      </c>
      <c r="U249" s="164">
        <v>4.7600000000000002E-4</v>
      </c>
      <c r="V249" s="164">
        <v>1.10414999467747E-2</v>
      </c>
      <c r="W249" s="164">
        <v>2.3221339134163401E-3</v>
      </c>
    </row>
    <row r="250" spans="1:23">
      <c r="A250" s="2" t="s">
        <v>128</v>
      </c>
      <c r="B250" s="2">
        <v>7228</v>
      </c>
      <c r="C250" s="2" t="s">
        <v>1657</v>
      </c>
      <c r="D250" s="2" t="s">
        <v>1658</v>
      </c>
      <c r="E250" s="4" t="s">
        <v>361</v>
      </c>
      <c r="F250" s="2" t="s">
        <v>1684</v>
      </c>
      <c r="G250" s="2" t="s">
        <v>1685</v>
      </c>
      <c r="H250" s="2" t="s">
        <v>367</v>
      </c>
      <c r="I250" s="2" t="s">
        <v>1027</v>
      </c>
      <c r="J250" s="2" t="s">
        <v>94</v>
      </c>
      <c r="K250" s="2" t="s">
        <v>1644</v>
      </c>
      <c r="L250" s="2" t="s">
        <v>426</v>
      </c>
      <c r="M250" s="2" t="s">
        <v>777</v>
      </c>
      <c r="N250" s="2" t="s">
        <v>164</v>
      </c>
      <c r="O250" s="2" t="s">
        <v>99</v>
      </c>
      <c r="P250" s="152">
        <v>65328</v>
      </c>
      <c r="Q250" s="150">
        <v>3.7589999999999999</v>
      </c>
      <c r="R250" s="150">
        <v>4331.5</v>
      </c>
      <c r="T250" s="150">
        <v>10636.776</v>
      </c>
      <c r="U250" s="164">
        <v>0</v>
      </c>
      <c r="V250" s="164">
        <v>2.1611138761414999E-2</v>
      </c>
      <c r="W250" s="164">
        <v>4.5450308805269702E-3</v>
      </c>
    </row>
    <row r="251" spans="1:23">
      <c r="A251" s="2" t="s">
        <v>128</v>
      </c>
      <c r="B251" s="2">
        <v>7228</v>
      </c>
      <c r="C251" s="2" t="s">
        <v>1630</v>
      </c>
      <c r="D251" s="2" t="s">
        <v>1631</v>
      </c>
      <c r="E251" s="4" t="s">
        <v>361</v>
      </c>
      <c r="F251" s="2" t="s">
        <v>1686</v>
      </c>
      <c r="G251" s="2" t="s">
        <v>1687</v>
      </c>
      <c r="H251" s="2" t="s">
        <v>367</v>
      </c>
      <c r="I251" s="2" t="s">
        <v>1025</v>
      </c>
      <c r="J251" s="2" t="s">
        <v>94</v>
      </c>
      <c r="K251" s="2" t="s">
        <v>95</v>
      </c>
      <c r="L251" s="2" t="s">
        <v>390</v>
      </c>
      <c r="M251" s="2" t="s">
        <v>780</v>
      </c>
      <c r="N251" s="2" t="s">
        <v>164</v>
      </c>
      <c r="O251" s="2" t="s">
        <v>99</v>
      </c>
      <c r="P251" s="152">
        <v>39632</v>
      </c>
      <c r="Q251" s="150">
        <v>3.7589999999999999</v>
      </c>
      <c r="R251" s="150">
        <v>12187</v>
      </c>
      <c r="T251" s="150">
        <v>18155.789000000001</v>
      </c>
      <c r="U251" s="164">
        <v>2.8600000000000001E-4</v>
      </c>
      <c r="V251" s="164">
        <v>3.6887801392911E-2</v>
      </c>
      <c r="W251" s="164">
        <v>7.7578603467607799E-3</v>
      </c>
    </row>
    <row r="252" spans="1:23">
      <c r="A252" s="2" t="s">
        <v>128</v>
      </c>
      <c r="B252" s="2">
        <v>7228</v>
      </c>
      <c r="C252" s="2" t="s">
        <v>1570</v>
      </c>
      <c r="D252" s="2" t="s">
        <v>1571</v>
      </c>
      <c r="E252" s="4" t="s">
        <v>361</v>
      </c>
      <c r="F252" s="2" t="s">
        <v>1688</v>
      </c>
      <c r="G252" s="2" t="s">
        <v>1689</v>
      </c>
      <c r="H252" s="2" t="s">
        <v>367</v>
      </c>
      <c r="I252" s="2" t="s">
        <v>1027</v>
      </c>
      <c r="J252" s="2" t="s">
        <v>94</v>
      </c>
      <c r="K252" s="2" t="s">
        <v>95</v>
      </c>
      <c r="L252" s="2" t="s">
        <v>426</v>
      </c>
      <c r="M252" s="2" t="s">
        <v>777</v>
      </c>
      <c r="N252" s="2" t="s">
        <v>164</v>
      </c>
      <c r="O252" s="2" t="s">
        <v>99</v>
      </c>
      <c r="P252" s="152">
        <v>505650</v>
      </c>
      <c r="Q252" s="150">
        <v>3.7589999999999999</v>
      </c>
      <c r="R252" s="150">
        <v>2742.25</v>
      </c>
      <c r="T252" s="150">
        <v>52122.997000000003</v>
      </c>
      <c r="U252" s="164">
        <v>0</v>
      </c>
      <c r="V252" s="164">
        <v>0.10590026022784101</v>
      </c>
      <c r="W252" s="164">
        <v>2.2271845935797702E-2</v>
      </c>
    </row>
    <row r="253" spans="1:23">
      <c r="A253" s="2" t="s">
        <v>128</v>
      </c>
      <c r="B253" s="2">
        <v>7228</v>
      </c>
      <c r="C253" s="2" t="s">
        <v>1657</v>
      </c>
      <c r="D253" s="2" t="s">
        <v>1658</v>
      </c>
      <c r="E253" s="4" t="s">
        <v>361</v>
      </c>
      <c r="F253" s="2" t="s">
        <v>1690</v>
      </c>
      <c r="G253" s="2" t="s">
        <v>1691</v>
      </c>
      <c r="H253" s="2" t="s">
        <v>367</v>
      </c>
      <c r="I253" s="2" t="s">
        <v>1025</v>
      </c>
      <c r="J253" s="2" t="s">
        <v>94</v>
      </c>
      <c r="K253" s="2" t="s">
        <v>282</v>
      </c>
      <c r="L253" s="2" t="s">
        <v>426</v>
      </c>
      <c r="M253" s="2" t="s">
        <v>780</v>
      </c>
      <c r="N253" s="2" t="s">
        <v>164</v>
      </c>
      <c r="O253" s="2" t="s">
        <v>1221</v>
      </c>
      <c r="P253" s="152">
        <v>832298</v>
      </c>
      <c r="Q253" s="150">
        <v>4.75</v>
      </c>
      <c r="R253" s="150">
        <v>793.9</v>
      </c>
      <c r="T253" s="150">
        <v>31389.469000000001</v>
      </c>
      <c r="U253" s="164">
        <v>1.343E-3</v>
      </c>
      <c r="V253" s="164">
        <v>6.3775169311232602E-2</v>
      </c>
      <c r="W253" s="164">
        <v>1.34125330983442E-2</v>
      </c>
    </row>
    <row r="254" spans="1:23">
      <c r="A254" s="2" t="s">
        <v>128</v>
      </c>
      <c r="B254" s="2">
        <v>7228</v>
      </c>
      <c r="C254" s="2" t="s">
        <v>1657</v>
      </c>
      <c r="D254" s="2" t="s">
        <v>1658</v>
      </c>
      <c r="E254" s="4" t="s">
        <v>361</v>
      </c>
      <c r="F254" s="2" t="s">
        <v>1692</v>
      </c>
      <c r="G254" s="2" t="s">
        <v>1693</v>
      </c>
      <c r="H254" s="2" t="s">
        <v>367</v>
      </c>
      <c r="I254" s="2" t="s">
        <v>1027</v>
      </c>
      <c r="J254" s="2" t="s">
        <v>94</v>
      </c>
      <c r="K254" s="2" t="s">
        <v>95</v>
      </c>
      <c r="L254" s="2" t="s">
        <v>426</v>
      </c>
      <c r="M254" s="2" t="s">
        <v>777</v>
      </c>
      <c r="N254" s="2" t="s">
        <v>164</v>
      </c>
      <c r="O254" s="2" t="s">
        <v>99</v>
      </c>
      <c r="P254" s="152">
        <v>89283</v>
      </c>
      <c r="Q254" s="150">
        <v>3.7589999999999999</v>
      </c>
      <c r="R254" s="150">
        <v>9190</v>
      </c>
      <c r="T254" s="150">
        <v>30843</v>
      </c>
      <c r="U254" s="164">
        <v>2.8800000000000002E-3</v>
      </c>
      <c r="V254" s="164">
        <v>6.2664886373907297E-2</v>
      </c>
      <c r="W254" s="164">
        <v>1.3179029890023E-2</v>
      </c>
    </row>
    <row r="255" spans="1:23">
      <c r="A255" s="2" t="s">
        <v>128</v>
      </c>
      <c r="B255" s="2">
        <v>7228</v>
      </c>
      <c r="C255" s="2" t="s">
        <v>1657</v>
      </c>
      <c r="D255" s="2" t="s">
        <v>1658</v>
      </c>
      <c r="E255" s="4" t="s">
        <v>361</v>
      </c>
      <c r="F255" s="2" t="s">
        <v>1694</v>
      </c>
      <c r="G255" s="2" t="s">
        <v>1695</v>
      </c>
      <c r="H255" s="2" t="s">
        <v>367</v>
      </c>
      <c r="I255" s="2" t="s">
        <v>1025</v>
      </c>
      <c r="J255" s="2" t="s">
        <v>94</v>
      </c>
      <c r="K255" s="2" t="s">
        <v>317</v>
      </c>
      <c r="L255" s="2" t="s">
        <v>390</v>
      </c>
      <c r="M255" s="2" t="s">
        <v>780</v>
      </c>
      <c r="N255" s="2" t="s">
        <v>164</v>
      </c>
      <c r="O255" s="2" t="s">
        <v>99</v>
      </c>
      <c r="P255" s="152">
        <v>16250</v>
      </c>
      <c r="Q255" s="150">
        <v>3.7589999999999999</v>
      </c>
      <c r="R255" s="150">
        <v>2599</v>
      </c>
      <c r="T255" s="150">
        <v>1587.567</v>
      </c>
      <c r="U255" s="164">
        <v>9.5000000000000005E-5</v>
      </c>
      <c r="V255" s="164">
        <v>3.22551908111335E-3</v>
      </c>
      <c r="W255" s="164">
        <v>6.7835776685510002E-4</v>
      </c>
    </row>
    <row r="256" spans="1:23">
      <c r="A256" s="2" t="s">
        <v>128</v>
      </c>
      <c r="B256" s="2">
        <v>7228</v>
      </c>
      <c r="C256" s="2" t="s">
        <v>1657</v>
      </c>
      <c r="D256" s="2" t="s">
        <v>1658</v>
      </c>
      <c r="E256" s="4" t="s">
        <v>361</v>
      </c>
      <c r="F256" s="2" t="s">
        <v>1696</v>
      </c>
      <c r="G256" s="2" t="s">
        <v>1697</v>
      </c>
      <c r="H256" s="2" t="s">
        <v>367</v>
      </c>
      <c r="I256" s="2" t="s">
        <v>1027</v>
      </c>
      <c r="J256" s="2" t="s">
        <v>94</v>
      </c>
      <c r="K256" s="2" t="s">
        <v>270</v>
      </c>
      <c r="L256" s="2" t="s">
        <v>426</v>
      </c>
      <c r="M256" s="2" t="s">
        <v>777</v>
      </c>
      <c r="N256" s="2" t="s">
        <v>164</v>
      </c>
      <c r="O256" s="2" t="s">
        <v>99</v>
      </c>
      <c r="P256" s="152">
        <v>519103</v>
      </c>
      <c r="Q256" s="150">
        <v>3.7589999999999999</v>
      </c>
      <c r="R256" s="150">
        <v>597.1</v>
      </c>
      <c r="T256" s="150">
        <v>11651.261</v>
      </c>
      <c r="U256" s="164">
        <v>0</v>
      </c>
      <c r="V256" s="164">
        <v>2.3672306785601002E-2</v>
      </c>
      <c r="W256" s="164">
        <v>4.9785143921226797E-3</v>
      </c>
    </row>
    <row r="257" spans="1:23">
      <c r="A257" s="2" t="s">
        <v>128</v>
      </c>
      <c r="B257" s="2">
        <v>7228</v>
      </c>
      <c r="C257" s="2" t="s">
        <v>1657</v>
      </c>
      <c r="D257" s="2" t="s">
        <v>1658</v>
      </c>
      <c r="E257" s="4" t="s">
        <v>361</v>
      </c>
      <c r="F257" s="2" t="s">
        <v>1698</v>
      </c>
      <c r="G257" s="2" t="s">
        <v>1699</v>
      </c>
      <c r="H257" s="2" t="s">
        <v>367</v>
      </c>
      <c r="I257" s="2" t="s">
        <v>1025</v>
      </c>
      <c r="J257" s="2" t="s">
        <v>94</v>
      </c>
      <c r="K257" s="2" t="s">
        <v>95</v>
      </c>
      <c r="L257" s="2" t="s">
        <v>392</v>
      </c>
      <c r="M257" s="2" t="s">
        <v>780</v>
      </c>
      <c r="N257" s="2" t="s">
        <v>164</v>
      </c>
      <c r="O257" s="2" t="s">
        <v>99</v>
      </c>
      <c r="P257" s="152">
        <v>39623</v>
      </c>
      <c r="Q257" s="150">
        <v>3.7589999999999999</v>
      </c>
      <c r="R257" s="150">
        <v>5920</v>
      </c>
      <c r="T257" s="150">
        <v>8817.4169999999995</v>
      </c>
      <c r="U257" s="164">
        <v>0</v>
      </c>
      <c r="V257" s="164">
        <v>1.79146790399064E-2</v>
      </c>
      <c r="W257" s="164">
        <v>3.7676297556553701E-3</v>
      </c>
    </row>
    <row r="258" spans="1:23">
      <c r="A258" s="2" t="s">
        <v>128</v>
      </c>
      <c r="B258" s="2">
        <v>7228</v>
      </c>
      <c r="C258" s="2" t="s">
        <v>1657</v>
      </c>
      <c r="D258" s="2" t="s">
        <v>1658</v>
      </c>
      <c r="E258" s="4" t="s">
        <v>361</v>
      </c>
      <c r="F258" s="2" t="s">
        <v>1700</v>
      </c>
      <c r="G258" s="2" t="s">
        <v>1701</v>
      </c>
      <c r="H258" s="2" t="s">
        <v>367</v>
      </c>
      <c r="I258" s="2" t="s">
        <v>1025</v>
      </c>
      <c r="J258" s="2" t="s">
        <v>94</v>
      </c>
      <c r="K258" s="2" t="s">
        <v>95</v>
      </c>
      <c r="L258" s="2" t="s">
        <v>390</v>
      </c>
      <c r="M258" s="2" t="s">
        <v>780</v>
      </c>
      <c r="N258" s="2" t="s">
        <v>164</v>
      </c>
      <c r="O258" s="2" t="s">
        <v>99</v>
      </c>
      <c r="P258" s="152">
        <v>20384</v>
      </c>
      <c r="Q258" s="150">
        <v>3.7589999999999999</v>
      </c>
      <c r="R258" s="150">
        <v>11693</v>
      </c>
      <c r="T258" s="150">
        <v>8959.5810000000001</v>
      </c>
      <c r="U258" s="164">
        <v>4.431E-3</v>
      </c>
      <c r="V258" s="164">
        <v>1.82035181399119E-2</v>
      </c>
      <c r="W258" s="164">
        <v>3.82837540369924E-3</v>
      </c>
    </row>
    <row r="259" spans="1:23">
      <c r="A259" s="2" t="s">
        <v>128</v>
      </c>
      <c r="B259" s="2">
        <v>7228</v>
      </c>
      <c r="C259" s="2" t="s">
        <v>1657</v>
      </c>
      <c r="D259" s="2" t="s">
        <v>1658</v>
      </c>
      <c r="E259" s="4" t="s">
        <v>361</v>
      </c>
      <c r="F259" s="2" t="s">
        <v>1702</v>
      </c>
      <c r="G259" s="2" t="s">
        <v>1703</v>
      </c>
      <c r="H259" s="2" t="s">
        <v>367</v>
      </c>
      <c r="I259" s="2" t="s">
        <v>1027</v>
      </c>
      <c r="J259" s="2" t="s">
        <v>94</v>
      </c>
      <c r="K259" s="2" t="s">
        <v>95</v>
      </c>
      <c r="L259" s="2" t="s">
        <v>426</v>
      </c>
      <c r="M259" s="2" t="s">
        <v>777</v>
      </c>
      <c r="N259" s="2" t="s">
        <v>164</v>
      </c>
      <c r="O259" s="2" t="s">
        <v>99</v>
      </c>
      <c r="P259" s="152">
        <v>811990</v>
      </c>
      <c r="Q259" s="150">
        <v>3.7589999999999999</v>
      </c>
      <c r="R259" s="150">
        <v>576.5</v>
      </c>
      <c r="T259" s="150">
        <v>17596.339</v>
      </c>
      <c r="U259" s="164">
        <v>0</v>
      </c>
      <c r="V259" s="164">
        <v>3.5751145614469799E-2</v>
      </c>
      <c r="W259" s="164">
        <v>7.5188106756361901E-3</v>
      </c>
    </row>
    <row r="260" spans="1:23">
      <c r="A260" s="2" t="s">
        <v>128</v>
      </c>
      <c r="B260" s="2">
        <v>7228</v>
      </c>
      <c r="C260" s="2" t="s">
        <v>1704</v>
      </c>
      <c r="D260" s="2" t="s">
        <v>1641</v>
      </c>
      <c r="E260" s="4" t="s">
        <v>361</v>
      </c>
      <c r="F260" s="2" t="s">
        <v>1707</v>
      </c>
      <c r="G260" s="2" t="s">
        <v>1708</v>
      </c>
      <c r="H260" s="2" t="s">
        <v>367</v>
      </c>
      <c r="I260" s="2" t="s">
        <v>1025</v>
      </c>
      <c r="J260" s="2" t="s">
        <v>94</v>
      </c>
      <c r="K260" s="2" t="s">
        <v>330</v>
      </c>
      <c r="L260" s="2" t="s">
        <v>410</v>
      </c>
      <c r="M260" s="2" t="s">
        <v>780</v>
      </c>
      <c r="N260" s="2" t="s">
        <v>164</v>
      </c>
      <c r="O260" s="2" t="s">
        <v>1219</v>
      </c>
      <c r="P260" s="152">
        <v>82805</v>
      </c>
      <c r="Q260" s="150">
        <v>4.0199999999999996</v>
      </c>
      <c r="R260" s="150">
        <v>7566</v>
      </c>
      <c r="T260" s="150">
        <v>25186.659</v>
      </c>
      <c r="U260" s="164">
        <v>1.274E-3</v>
      </c>
      <c r="V260" s="164">
        <v>5.1172684742093001E-2</v>
      </c>
      <c r="W260" s="164">
        <v>1.0762109066068301E-2</v>
      </c>
    </row>
    <row r="261" spans="1:23">
      <c r="A261" s="2" t="s">
        <v>128</v>
      </c>
      <c r="B261" s="2">
        <v>7228</v>
      </c>
      <c r="C261" s="2" t="s">
        <v>1704</v>
      </c>
      <c r="D261" s="2" t="s">
        <v>1641</v>
      </c>
      <c r="E261" s="4" t="s">
        <v>361</v>
      </c>
      <c r="F261" s="2" t="s">
        <v>1709</v>
      </c>
      <c r="G261" s="2" t="s">
        <v>1710</v>
      </c>
      <c r="H261" s="2" t="s">
        <v>367</v>
      </c>
      <c r="I261" s="2" t="s">
        <v>1025</v>
      </c>
      <c r="J261" s="2" t="s">
        <v>94</v>
      </c>
      <c r="K261" s="2" t="s">
        <v>330</v>
      </c>
      <c r="L261" s="2" t="s">
        <v>410</v>
      </c>
      <c r="M261" s="2" t="s">
        <v>780</v>
      </c>
      <c r="N261" s="2" t="s">
        <v>164</v>
      </c>
      <c r="O261" s="2" t="s">
        <v>1219</v>
      </c>
      <c r="P261" s="152">
        <v>5533</v>
      </c>
      <c r="Q261" s="150">
        <v>4.0199999999999996</v>
      </c>
      <c r="R261" s="150">
        <v>15668.6</v>
      </c>
      <c r="T261" s="150">
        <v>3485.2869999999998</v>
      </c>
      <c r="U261" s="164">
        <v>1.7240000000000001E-3</v>
      </c>
      <c r="V261" s="164">
        <v>7.0811887057101799E-3</v>
      </c>
      <c r="W261" s="164">
        <v>1.48924226962783E-3</v>
      </c>
    </row>
    <row r="262" spans="1:23">
      <c r="A262" s="2" t="s">
        <v>128</v>
      </c>
      <c r="B262" s="2">
        <v>7228</v>
      </c>
      <c r="C262" s="2" t="s">
        <v>1711</v>
      </c>
      <c r="D262" s="2" t="s">
        <v>1712</v>
      </c>
      <c r="E262" s="4" t="s">
        <v>361</v>
      </c>
      <c r="F262" s="2" t="s">
        <v>1713</v>
      </c>
      <c r="G262" s="2" t="s">
        <v>1714</v>
      </c>
      <c r="H262" s="2" t="s">
        <v>367</v>
      </c>
      <c r="I262" s="2" t="s">
        <v>1025</v>
      </c>
      <c r="J262" s="2" t="s">
        <v>94</v>
      </c>
      <c r="K262" s="2" t="s">
        <v>1715</v>
      </c>
      <c r="L262" s="2" t="s">
        <v>390</v>
      </c>
      <c r="M262" s="2" t="s">
        <v>780</v>
      </c>
      <c r="N262" s="2" t="s">
        <v>164</v>
      </c>
      <c r="O262" s="2" t="s">
        <v>99</v>
      </c>
      <c r="P262" s="152">
        <v>25118</v>
      </c>
      <c r="Q262" s="150">
        <v>3.7589999999999999</v>
      </c>
      <c r="R262" s="150">
        <v>8831</v>
      </c>
      <c r="T262" s="150">
        <v>8338.1029999999992</v>
      </c>
      <c r="U262" s="164">
        <v>3.2299999999999999E-4</v>
      </c>
      <c r="V262" s="164">
        <v>1.69408388574405E-2</v>
      </c>
      <c r="W262" s="164">
        <v>3.56282177441615E-3</v>
      </c>
    </row>
    <row r="263" spans="1:23">
      <c r="A263" s="2" t="s">
        <v>128</v>
      </c>
      <c r="B263" s="2">
        <v>7228</v>
      </c>
      <c r="C263" s="2" t="s">
        <v>1657</v>
      </c>
      <c r="D263" s="2" t="s">
        <v>1658</v>
      </c>
      <c r="E263" s="4" t="s">
        <v>361</v>
      </c>
      <c r="F263" s="2" t="s">
        <v>1716</v>
      </c>
      <c r="G263" s="2" t="s">
        <v>1717</v>
      </c>
      <c r="H263" s="2" t="s">
        <v>367</v>
      </c>
      <c r="I263" s="2" t="s">
        <v>1025</v>
      </c>
      <c r="J263" s="2" t="s">
        <v>94</v>
      </c>
      <c r="K263" s="2" t="s">
        <v>317</v>
      </c>
      <c r="L263" s="2" t="s">
        <v>392</v>
      </c>
      <c r="M263" s="2" t="s">
        <v>780</v>
      </c>
      <c r="N263" s="2" t="s">
        <v>164</v>
      </c>
      <c r="O263" s="2" t="s">
        <v>99</v>
      </c>
      <c r="P263" s="152">
        <v>57155</v>
      </c>
      <c r="Q263" s="150">
        <v>3.7589999999999999</v>
      </c>
      <c r="R263" s="150">
        <v>4217</v>
      </c>
      <c r="T263" s="150">
        <v>9060.0409999999993</v>
      </c>
      <c r="U263" s="164">
        <v>3.6099999999999999E-4</v>
      </c>
      <c r="V263" s="164">
        <v>1.8407626795459001E-2</v>
      </c>
      <c r="W263" s="164">
        <v>3.8713014222069302E-3</v>
      </c>
    </row>
    <row r="264" spans="1:23">
      <c r="A264" s="2" t="s">
        <v>128</v>
      </c>
      <c r="B264" s="2">
        <v>7228</v>
      </c>
      <c r="C264" s="2" t="s">
        <v>1630</v>
      </c>
      <c r="D264" s="2" t="s">
        <v>1631</v>
      </c>
      <c r="E264" s="4" t="s">
        <v>361</v>
      </c>
      <c r="F264" s="2" t="s">
        <v>1718</v>
      </c>
      <c r="G264" s="2" t="s">
        <v>1719</v>
      </c>
      <c r="H264" s="2" t="s">
        <v>367</v>
      </c>
      <c r="I264" s="2" t="s">
        <v>1025</v>
      </c>
      <c r="J264" s="2" t="s">
        <v>94</v>
      </c>
      <c r="K264" s="2" t="s">
        <v>95</v>
      </c>
      <c r="L264" s="2" t="s">
        <v>390</v>
      </c>
      <c r="M264" s="2" t="s">
        <v>780</v>
      </c>
      <c r="N264" s="2" t="s">
        <v>164</v>
      </c>
      <c r="O264" s="2" t="s">
        <v>99</v>
      </c>
      <c r="P264" s="152">
        <v>31272</v>
      </c>
      <c r="Q264" s="150">
        <v>3.7589999999999999</v>
      </c>
      <c r="R264" s="150">
        <v>9115</v>
      </c>
      <c r="T264" s="150">
        <v>10714.814</v>
      </c>
      <c r="U264" s="164">
        <v>6.7000000000000002E-5</v>
      </c>
      <c r="V264" s="164">
        <v>2.1769692819184099E-2</v>
      </c>
      <c r="W264" s="164">
        <v>4.57837632783307E-3</v>
      </c>
    </row>
    <row r="265" spans="1:23">
      <c r="A265" s="2" t="s">
        <v>128</v>
      </c>
      <c r="B265" s="2">
        <v>7228</v>
      </c>
      <c r="C265" s="2" t="s">
        <v>1574</v>
      </c>
      <c r="D265" s="2" t="s">
        <v>1575</v>
      </c>
      <c r="E265" s="4" t="s">
        <v>361</v>
      </c>
      <c r="F265" s="2" t="s">
        <v>1720</v>
      </c>
      <c r="G265" s="2" t="s">
        <v>1721</v>
      </c>
      <c r="H265" s="2" t="s">
        <v>367</v>
      </c>
      <c r="I265" s="2" t="s">
        <v>1025</v>
      </c>
      <c r="J265" s="2" t="s">
        <v>94</v>
      </c>
      <c r="K265" s="2" t="s">
        <v>95</v>
      </c>
      <c r="L265" s="2" t="s">
        <v>392</v>
      </c>
      <c r="M265" s="2" t="s">
        <v>780</v>
      </c>
      <c r="N265" s="2" t="s">
        <v>164</v>
      </c>
      <c r="O265" s="2" t="s">
        <v>99</v>
      </c>
      <c r="P265" s="152">
        <v>6346</v>
      </c>
      <c r="Q265" s="150">
        <v>3.7589999999999999</v>
      </c>
      <c r="R265" s="150">
        <v>47911</v>
      </c>
      <c r="S265" s="155">
        <v>3.3769999999999998</v>
      </c>
      <c r="T265" s="150">
        <v>11441.68</v>
      </c>
      <c r="U265" s="164">
        <v>1.1E-5</v>
      </c>
      <c r="V265" s="164">
        <v>2.3246491959777699E-2</v>
      </c>
      <c r="W265" s="164">
        <v>4.8889614280646903E-3</v>
      </c>
    </row>
    <row r="266" spans="1:23">
      <c r="A266" s="2" t="s">
        <v>128</v>
      </c>
      <c r="B266" s="2">
        <v>7228</v>
      </c>
      <c r="C266" s="2" t="s">
        <v>1630</v>
      </c>
      <c r="D266" s="2" t="s">
        <v>1631</v>
      </c>
      <c r="E266" s="4" t="s">
        <v>361</v>
      </c>
      <c r="F266" s="2" t="s">
        <v>1722</v>
      </c>
      <c r="G266" s="2" t="s">
        <v>1723</v>
      </c>
      <c r="H266" s="2" t="s">
        <v>367</v>
      </c>
      <c r="I266" s="2" t="s">
        <v>1025</v>
      </c>
      <c r="J266" s="2" t="s">
        <v>94</v>
      </c>
      <c r="K266" s="2" t="s">
        <v>95</v>
      </c>
      <c r="L266" s="2" t="s">
        <v>390</v>
      </c>
      <c r="M266" s="2" t="s">
        <v>780</v>
      </c>
      <c r="N266" s="2" t="s">
        <v>164</v>
      </c>
      <c r="O266" s="2" t="s">
        <v>99</v>
      </c>
      <c r="P266" s="152">
        <v>36972</v>
      </c>
      <c r="Q266" s="150">
        <v>3.7589999999999999</v>
      </c>
      <c r="R266" s="150">
        <v>3841</v>
      </c>
      <c r="T266" s="150">
        <v>5338.1350000000002</v>
      </c>
      <c r="U266" s="164">
        <v>6.02E-4</v>
      </c>
      <c r="V266" s="164">
        <v>1.0845690878135399E-2</v>
      </c>
      <c r="W266" s="164">
        <v>2.2809533780693502E-3</v>
      </c>
    </row>
    <row r="267" spans="1:23">
      <c r="A267" s="2" t="s">
        <v>128</v>
      </c>
      <c r="B267" s="2">
        <v>7228</v>
      </c>
      <c r="C267" s="2" t="s">
        <v>1574</v>
      </c>
      <c r="D267" s="2" t="s">
        <v>1575</v>
      </c>
      <c r="E267" s="4" t="s">
        <v>361</v>
      </c>
      <c r="F267" s="2" t="s">
        <v>1772</v>
      </c>
      <c r="G267" s="2" t="s">
        <v>1773</v>
      </c>
      <c r="H267" s="2" t="s">
        <v>367</v>
      </c>
      <c r="I267" s="2" t="s">
        <v>1025</v>
      </c>
      <c r="J267" s="2" t="s">
        <v>94</v>
      </c>
      <c r="K267" s="2" t="s">
        <v>95</v>
      </c>
      <c r="L267" s="2" t="s">
        <v>426</v>
      </c>
      <c r="M267" s="2" t="s">
        <v>780</v>
      </c>
      <c r="N267" s="2" t="s">
        <v>164</v>
      </c>
      <c r="O267" s="2" t="s">
        <v>99</v>
      </c>
      <c r="P267" s="152">
        <v>192</v>
      </c>
      <c r="Q267" s="150">
        <v>3.7589999999999999</v>
      </c>
      <c r="R267" s="150">
        <v>107787</v>
      </c>
      <c r="T267" s="150">
        <v>777.92899999999997</v>
      </c>
      <c r="U267" s="164">
        <v>3.8000000000000002E-5</v>
      </c>
      <c r="V267" s="164">
        <v>1.5805476150620101E-3</v>
      </c>
      <c r="W267" s="164">
        <v>3.3240440487226599E-4</v>
      </c>
    </row>
    <row r="268" spans="1:23">
      <c r="A268" s="2" t="s">
        <v>128</v>
      </c>
      <c r="B268" s="2">
        <v>7228</v>
      </c>
      <c r="C268" s="2" t="s">
        <v>1630</v>
      </c>
      <c r="D268" s="2" t="s">
        <v>1631</v>
      </c>
      <c r="E268" s="4" t="s">
        <v>361</v>
      </c>
      <c r="F268" s="2" t="s">
        <v>1774</v>
      </c>
      <c r="G268" s="2" t="s">
        <v>1775</v>
      </c>
      <c r="H268" s="2" t="s">
        <v>367</v>
      </c>
      <c r="I268" s="2" t="s">
        <v>1025</v>
      </c>
      <c r="J268" s="2" t="s">
        <v>94</v>
      </c>
      <c r="K268" s="2" t="s">
        <v>95</v>
      </c>
      <c r="L268" s="2" t="s">
        <v>390</v>
      </c>
      <c r="M268" s="2" t="s">
        <v>780</v>
      </c>
      <c r="N268" s="2" t="s">
        <v>164</v>
      </c>
      <c r="O268" s="2" t="s">
        <v>99</v>
      </c>
      <c r="P268" s="152">
        <v>16663</v>
      </c>
      <c r="Q268" s="150">
        <v>3.7589999999999999</v>
      </c>
      <c r="R268" s="150">
        <v>22623</v>
      </c>
      <c r="T268" s="150">
        <v>14170.191000000001</v>
      </c>
      <c r="U268" s="164">
        <v>5.5000000000000002E-5</v>
      </c>
      <c r="V268" s="164">
        <v>2.8790112398271301E-2</v>
      </c>
      <c r="W268" s="164">
        <v>6.0548382641275496E-3</v>
      </c>
    </row>
    <row r="269" spans="1:23">
      <c r="A269" s="2" t="s">
        <v>128</v>
      </c>
      <c r="B269" s="2">
        <v>7228</v>
      </c>
      <c r="C269" s="2" t="s">
        <v>1630</v>
      </c>
      <c r="D269" s="2" t="s">
        <v>1631</v>
      </c>
      <c r="E269" s="4" t="s">
        <v>361</v>
      </c>
      <c r="F269" s="2" t="s">
        <v>1728</v>
      </c>
      <c r="G269" s="2" t="s">
        <v>1729</v>
      </c>
      <c r="H269" s="2" t="s">
        <v>367</v>
      </c>
      <c r="I269" s="2" t="s">
        <v>1027</v>
      </c>
      <c r="J269" s="2" t="s">
        <v>94</v>
      </c>
      <c r="K269" s="2" t="s">
        <v>95</v>
      </c>
      <c r="L269" s="2" t="s">
        <v>1564</v>
      </c>
      <c r="M269" s="2" t="s">
        <v>777</v>
      </c>
      <c r="N269" s="2" t="s">
        <v>164</v>
      </c>
      <c r="O269" s="2" t="s">
        <v>99</v>
      </c>
      <c r="P269" s="152">
        <v>446917</v>
      </c>
      <c r="Q269" s="150">
        <v>3.7589999999999999</v>
      </c>
      <c r="R269" s="150">
        <v>1015.5</v>
      </c>
      <c r="T269" s="150">
        <v>17060.004000000001</v>
      </c>
      <c r="U269" s="164">
        <v>0</v>
      </c>
      <c r="V269" s="164">
        <v>3.4661453706979199E-2</v>
      </c>
      <c r="W269" s="164">
        <v>7.2896379594511304E-3</v>
      </c>
    </row>
    <row r="270" spans="1:23">
      <c r="A270" s="2" t="s">
        <v>128</v>
      </c>
      <c r="B270" s="2">
        <v>7228</v>
      </c>
      <c r="C270" s="2" t="s">
        <v>1730</v>
      </c>
      <c r="D270" s="2" t="s">
        <v>1631</v>
      </c>
      <c r="E270" s="4" t="s">
        <v>361</v>
      </c>
      <c r="F270" s="2" t="s">
        <v>1731</v>
      </c>
      <c r="G270" s="2" t="s">
        <v>1732</v>
      </c>
      <c r="H270" s="2" t="s">
        <v>367</v>
      </c>
      <c r="I270" s="2" t="s">
        <v>1025</v>
      </c>
      <c r="J270" s="2" t="s">
        <v>94</v>
      </c>
      <c r="K270" s="2" t="s">
        <v>342</v>
      </c>
      <c r="L270" s="2" t="s">
        <v>410</v>
      </c>
      <c r="M270" s="2" t="s">
        <v>780</v>
      </c>
      <c r="N270" s="2" t="s">
        <v>164</v>
      </c>
      <c r="O270" s="2" t="s">
        <v>1219</v>
      </c>
      <c r="P270" s="152">
        <v>8000</v>
      </c>
      <c r="Q270" s="150">
        <v>4.0199999999999996</v>
      </c>
      <c r="R270" s="150">
        <v>17352</v>
      </c>
      <c r="T270" s="150">
        <v>5580.6809999999996</v>
      </c>
      <c r="U270" s="164">
        <v>9.1430000000000001E-3</v>
      </c>
      <c r="V270" s="164">
        <v>1.13384797844478E-2</v>
      </c>
      <c r="W270" s="164">
        <v>2.3845916370938999E-3</v>
      </c>
    </row>
    <row r="271" spans="1:23">
      <c r="A271" s="2" t="s">
        <v>128</v>
      </c>
      <c r="B271" s="2">
        <v>7228</v>
      </c>
      <c r="C271" s="2" t="s">
        <v>1669</v>
      </c>
      <c r="D271" s="2" t="s">
        <v>1670</v>
      </c>
      <c r="E271" s="4" t="s">
        <v>361</v>
      </c>
      <c r="F271" s="2" t="s">
        <v>1733</v>
      </c>
      <c r="G271" s="2" t="s">
        <v>1734</v>
      </c>
      <c r="H271" s="2" t="s">
        <v>367</v>
      </c>
      <c r="I271" s="2" t="s">
        <v>1025</v>
      </c>
      <c r="J271" s="2" t="s">
        <v>94</v>
      </c>
      <c r="K271" s="2" t="s">
        <v>95</v>
      </c>
      <c r="L271" s="2" t="s">
        <v>392</v>
      </c>
      <c r="M271" s="2" t="s">
        <v>780</v>
      </c>
      <c r="N271" s="2" t="s">
        <v>164</v>
      </c>
      <c r="O271" s="2" t="s">
        <v>99</v>
      </c>
      <c r="P271" s="152">
        <v>7617</v>
      </c>
      <c r="Q271" s="150">
        <v>3.7589999999999999</v>
      </c>
      <c r="R271" s="150">
        <v>26070</v>
      </c>
      <c r="T271" s="150">
        <v>7464.4409999999998</v>
      </c>
      <c r="U271" s="164">
        <v>3.3300000000000002E-4</v>
      </c>
      <c r="V271" s="164">
        <v>1.5165787181595501E-2</v>
      </c>
      <c r="W271" s="164">
        <v>3.18951128993346E-3</v>
      </c>
    </row>
    <row r="272" spans="1:23">
      <c r="A272" s="2" t="s">
        <v>128</v>
      </c>
      <c r="B272" s="2">
        <v>7228</v>
      </c>
      <c r="C272" s="2" t="s">
        <v>1735</v>
      </c>
      <c r="D272" s="2" t="s">
        <v>1736</v>
      </c>
      <c r="E272" s="4" t="s">
        <v>361</v>
      </c>
      <c r="F272" s="2" t="s">
        <v>1737</v>
      </c>
      <c r="G272" s="2" t="s">
        <v>1738</v>
      </c>
      <c r="H272" s="2" t="s">
        <v>367</v>
      </c>
      <c r="I272" s="2" t="s">
        <v>1025</v>
      </c>
      <c r="J272" s="2" t="s">
        <v>94</v>
      </c>
      <c r="K272" s="2" t="s">
        <v>95</v>
      </c>
      <c r="L272" s="2" t="s">
        <v>390</v>
      </c>
      <c r="M272" s="2" t="s">
        <v>780</v>
      </c>
      <c r="N272" s="2" t="s">
        <v>164</v>
      </c>
      <c r="O272" s="2" t="s">
        <v>99</v>
      </c>
      <c r="P272" s="152">
        <v>4400</v>
      </c>
      <c r="Q272" s="150">
        <v>3.7589999999999999</v>
      </c>
      <c r="R272" s="150">
        <v>9911</v>
      </c>
      <c r="S272" s="155">
        <v>1.1419999999999999</v>
      </c>
      <c r="T272" s="150">
        <v>1643.5319999999999</v>
      </c>
      <c r="U272" s="164">
        <v>5.5199999999999997E-4</v>
      </c>
      <c r="V272" s="164">
        <v>3.3392253307078998E-3</v>
      </c>
      <c r="W272" s="164">
        <v>7.0227128762888E-4</v>
      </c>
    </row>
    <row r="273" spans="1:23">
      <c r="A273" s="2" t="s">
        <v>128</v>
      </c>
      <c r="B273" s="2">
        <v>7228</v>
      </c>
      <c r="C273" s="2" t="s">
        <v>1739</v>
      </c>
      <c r="D273" s="2" t="s">
        <v>1740</v>
      </c>
      <c r="E273" s="4" t="s">
        <v>361</v>
      </c>
      <c r="F273" s="2" t="s">
        <v>1741</v>
      </c>
      <c r="G273" s="2" t="s">
        <v>1742</v>
      </c>
      <c r="H273" s="2" t="s">
        <v>367</v>
      </c>
      <c r="I273" s="2" t="s">
        <v>1025</v>
      </c>
      <c r="J273" s="2" t="s">
        <v>94</v>
      </c>
      <c r="K273" s="2" t="s">
        <v>293</v>
      </c>
      <c r="L273" s="2" t="s">
        <v>390</v>
      </c>
      <c r="M273" s="2" t="s">
        <v>780</v>
      </c>
      <c r="N273" s="2" t="s">
        <v>164</v>
      </c>
      <c r="O273" s="2" t="s">
        <v>99</v>
      </c>
      <c r="P273" s="152">
        <v>85790</v>
      </c>
      <c r="Q273" s="150">
        <v>3.7589999999999999</v>
      </c>
      <c r="R273" s="150">
        <v>4828</v>
      </c>
      <c r="T273" s="150">
        <v>15569.557000000001</v>
      </c>
      <c r="U273" s="164">
        <v>3.8999999999999998E-3</v>
      </c>
      <c r="V273" s="164">
        <v>3.1633256278330801E-2</v>
      </c>
      <c r="W273" s="164">
        <v>6.6527788389075899E-3</v>
      </c>
    </row>
    <row r="274" spans="1:23">
      <c r="A274" s="2" t="s">
        <v>128</v>
      </c>
      <c r="B274" s="2">
        <v>7229</v>
      </c>
      <c r="C274" s="2" t="s">
        <v>1602</v>
      </c>
      <c r="D274" s="2" t="s">
        <v>1603</v>
      </c>
      <c r="E274" s="4" t="s">
        <v>1376</v>
      </c>
      <c r="F274" s="2" t="s">
        <v>1811</v>
      </c>
      <c r="G274" s="2" t="s">
        <v>1812</v>
      </c>
      <c r="H274" s="2" t="s">
        <v>367</v>
      </c>
      <c r="I274" s="2" t="s">
        <v>1025</v>
      </c>
      <c r="J274" s="2" t="s">
        <v>31</v>
      </c>
      <c r="K274" s="2" t="s">
        <v>95</v>
      </c>
      <c r="L274" s="2" t="s">
        <v>32</v>
      </c>
      <c r="M274" s="2" t="s">
        <v>1609</v>
      </c>
      <c r="N274" s="2" t="s">
        <v>164</v>
      </c>
      <c r="O274" s="2" t="s">
        <v>35</v>
      </c>
      <c r="P274" s="152">
        <v>6772</v>
      </c>
      <c r="Q274" s="150">
        <v>1</v>
      </c>
      <c r="R274" s="150">
        <v>8781</v>
      </c>
      <c r="T274" s="150">
        <v>594.649</v>
      </c>
      <c r="U274" s="164">
        <v>9.1000000000000003E-5</v>
      </c>
      <c r="V274" s="164">
        <v>2.2533091945248201E-2</v>
      </c>
      <c r="W274" s="164">
        <v>4.2053079575289504E-3</v>
      </c>
    </row>
    <row r="275" spans="1:23">
      <c r="A275" s="2" t="s">
        <v>128</v>
      </c>
      <c r="B275" s="2">
        <v>7229</v>
      </c>
      <c r="C275" s="2" t="s">
        <v>1602</v>
      </c>
      <c r="D275" s="2" t="s">
        <v>1603</v>
      </c>
      <c r="E275" s="4" t="s">
        <v>1376</v>
      </c>
      <c r="F275" s="2" t="s">
        <v>1616</v>
      </c>
      <c r="G275" s="2" t="s">
        <v>1617</v>
      </c>
      <c r="H275" s="2" t="s">
        <v>367</v>
      </c>
      <c r="I275" s="2" t="s">
        <v>1025</v>
      </c>
      <c r="J275" s="2" t="s">
        <v>31</v>
      </c>
      <c r="K275" s="2" t="s">
        <v>95</v>
      </c>
      <c r="L275" s="2" t="s">
        <v>32</v>
      </c>
      <c r="M275" s="2" t="s">
        <v>1609</v>
      </c>
      <c r="N275" s="2" t="s">
        <v>164</v>
      </c>
      <c r="O275" s="2" t="s">
        <v>35</v>
      </c>
      <c r="P275" s="152">
        <v>2034</v>
      </c>
      <c r="Q275" s="150">
        <v>1</v>
      </c>
      <c r="R275" s="150">
        <v>8914</v>
      </c>
      <c r="T275" s="150">
        <v>181.31100000000001</v>
      </c>
      <c r="U275" s="164">
        <v>5.4000000000000001E-4</v>
      </c>
      <c r="V275" s="164">
        <v>6.8704224293787697E-3</v>
      </c>
      <c r="W275" s="164">
        <v>1.2822138295115199E-3</v>
      </c>
    </row>
    <row r="276" spans="1:23">
      <c r="A276" s="2" t="s">
        <v>128</v>
      </c>
      <c r="B276" s="2">
        <v>7229</v>
      </c>
      <c r="C276" s="2" t="s">
        <v>1602</v>
      </c>
      <c r="D276" s="2" t="s">
        <v>1603</v>
      </c>
      <c r="E276" s="4" t="s">
        <v>1376</v>
      </c>
      <c r="F276" s="2" t="s">
        <v>1628</v>
      </c>
      <c r="G276" s="2" t="s">
        <v>1629</v>
      </c>
      <c r="H276" s="2" t="s">
        <v>367</v>
      </c>
      <c r="I276" s="2" t="s">
        <v>1025</v>
      </c>
      <c r="J276" s="2" t="s">
        <v>31</v>
      </c>
      <c r="K276" s="2" t="s">
        <v>95</v>
      </c>
      <c r="L276" s="2" t="s">
        <v>32</v>
      </c>
      <c r="M276" s="2" t="s">
        <v>1609</v>
      </c>
      <c r="N276" s="2" t="s">
        <v>164</v>
      </c>
      <c r="O276" s="2" t="s">
        <v>35</v>
      </c>
      <c r="P276" s="152">
        <v>9975</v>
      </c>
      <c r="Q276" s="150">
        <v>1</v>
      </c>
      <c r="R276" s="150">
        <v>3000</v>
      </c>
      <c r="T276" s="150">
        <v>299.25</v>
      </c>
      <c r="U276" s="164">
        <v>4.9899999999999999E-4</v>
      </c>
      <c r="V276" s="164">
        <v>1.1339503027793799E-2</v>
      </c>
      <c r="W276" s="164">
        <v>2.1162698147717302E-3</v>
      </c>
    </row>
    <row r="277" spans="1:23">
      <c r="A277" s="2" t="s">
        <v>128</v>
      </c>
      <c r="B277" s="2">
        <v>7229</v>
      </c>
      <c r="C277" s="2" t="s">
        <v>1630</v>
      </c>
      <c r="D277" s="2" t="s">
        <v>1631</v>
      </c>
      <c r="E277" s="4" t="s">
        <v>361</v>
      </c>
      <c r="F277" s="2" t="s">
        <v>1632</v>
      </c>
      <c r="G277" s="2" t="s">
        <v>1633</v>
      </c>
      <c r="H277" s="2" t="s">
        <v>367</v>
      </c>
      <c r="I277" s="2" t="s">
        <v>1025</v>
      </c>
      <c r="J277" s="2" t="s">
        <v>94</v>
      </c>
      <c r="K277" s="2" t="s">
        <v>95</v>
      </c>
      <c r="L277" s="2" t="s">
        <v>390</v>
      </c>
      <c r="M277" s="2" t="s">
        <v>780</v>
      </c>
      <c r="N277" s="2" t="s">
        <v>164</v>
      </c>
      <c r="O277" s="2" t="s">
        <v>99</v>
      </c>
      <c r="P277" s="152">
        <v>1355</v>
      </c>
      <c r="Q277" s="150">
        <v>3.7589999999999999</v>
      </c>
      <c r="R277" s="150">
        <v>6814</v>
      </c>
      <c r="T277" s="150">
        <v>347.06700000000001</v>
      </c>
      <c r="U277" s="164">
        <v>6.0000000000000002E-6</v>
      </c>
      <c r="V277" s="164">
        <v>1.31514492192454E-2</v>
      </c>
      <c r="W277" s="164">
        <v>2.4544298753635401E-3</v>
      </c>
    </row>
    <row r="278" spans="1:23">
      <c r="A278" s="2" t="s">
        <v>128</v>
      </c>
      <c r="B278" s="2">
        <v>7229</v>
      </c>
      <c r="C278" s="2" t="s">
        <v>1574</v>
      </c>
      <c r="D278" s="2" t="s">
        <v>1575</v>
      </c>
      <c r="E278" s="4" t="s">
        <v>361</v>
      </c>
      <c r="F278" s="2" t="s">
        <v>1634</v>
      </c>
      <c r="G278" s="2" t="s">
        <v>1635</v>
      </c>
      <c r="H278" s="2" t="s">
        <v>367</v>
      </c>
      <c r="I278" s="2" t="s">
        <v>1025</v>
      </c>
      <c r="J278" s="2" t="s">
        <v>94</v>
      </c>
      <c r="K278" s="2" t="s">
        <v>95</v>
      </c>
      <c r="L278" s="2" t="s">
        <v>390</v>
      </c>
      <c r="M278" s="2" t="s">
        <v>780</v>
      </c>
      <c r="N278" s="2" t="s">
        <v>164</v>
      </c>
      <c r="O278" s="2" t="s">
        <v>99</v>
      </c>
      <c r="P278" s="152">
        <v>620</v>
      </c>
      <c r="Q278" s="150">
        <v>3.7589999999999999</v>
      </c>
      <c r="R278" s="150">
        <v>10272</v>
      </c>
      <c r="T278" s="150">
        <v>239.39699999999999</v>
      </c>
      <c r="U278" s="164">
        <v>3.1999999999999999E-5</v>
      </c>
      <c r="V278" s="164">
        <v>9.0714954728170101E-3</v>
      </c>
      <c r="W278" s="164">
        <v>1.6929958920515601E-3</v>
      </c>
    </row>
    <row r="279" spans="1:23">
      <c r="A279" s="2" t="s">
        <v>128</v>
      </c>
      <c r="B279" s="2">
        <v>7229</v>
      </c>
      <c r="C279" s="2" t="s">
        <v>1636</v>
      </c>
      <c r="D279" s="2" t="s">
        <v>1637</v>
      </c>
      <c r="E279" s="4" t="s">
        <v>361</v>
      </c>
      <c r="F279" s="2" t="s">
        <v>1638</v>
      </c>
      <c r="G279" s="2" t="s">
        <v>1639</v>
      </c>
      <c r="H279" s="2" t="s">
        <v>34</v>
      </c>
      <c r="I279" s="2" t="s">
        <v>1025</v>
      </c>
      <c r="J279" s="2" t="s">
        <v>94</v>
      </c>
      <c r="K279" s="2" t="s">
        <v>330</v>
      </c>
      <c r="L279" s="2" t="s">
        <v>392</v>
      </c>
      <c r="M279" s="2" t="s">
        <v>780</v>
      </c>
      <c r="N279" s="2" t="s">
        <v>164</v>
      </c>
      <c r="O279" s="2" t="s">
        <v>99</v>
      </c>
      <c r="P279" s="152">
        <v>3050</v>
      </c>
      <c r="Q279" s="150">
        <v>3.7589999999999999</v>
      </c>
      <c r="R279" s="150">
        <v>12799.9</v>
      </c>
      <c r="T279" s="150">
        <v>1467.502</v>
      </c>
      <c r="U279" s="164">
        <v>0</v>
      </c>
      <c r="V279" s="164">
        <v>5.5608170104238401E-2</v>
      </c>
      <c r="W279" s="164">
        <v>1.0378046688452399E-2</v>
      </c>
    </row>
    <row r="280" spans="1:23">
      <c r="A280" s="2" t="s">
        <v>128</v>
      </c>
      <c r="B280" s="2">
        <v>7229</v>
      </c>
      <c r="C280" s="2" t="s">
        <v>1640</v>
      </c>
      <c r="D280" s="2" t="s">
        <v>1641</v>
      </c>
      <c r="E280" s="4" t="s">
        <v>361</v>
      </c>
      <c r="F280" s="2" t="s">
        <v>1645</v>
      </c>
      <c r="G280" s="2" t="s">
        <v>1646</v>
      </c>
      <c r="H280" s="2" t="s">
        <v>367</v>
      </c>
      <c r="I280" s="2" t="s">
        <v>1025</v>
      </c>
      <c r="J280" s="2" t="s">
        <v>94</v>
      </c>
      <c r="K280" s="2" t="s">
        <v>330</v>
      </c>
      <c r="L280" s="2" t="s">
        <v>410</v>
      </c>
      <c r="M280" s="2" t="s">
        <v>780</v>
      </c>
      <c r="N280" s="2" t="s">
        <v>164</v>
      </c>
      <c r="O280" s="2" t="s">
        <v>1219</v>
      </c>
      <c r="P280" s="152">
        <v>2420</v>
      </c>
      <c r="Q280" s="150">
        <v>4.0199999999999996</v>
      </c>
      <c r="R280" s="150">
        <v>11282</v>
      </c>
      <c r="T280" s="150">
        <v>1097.6130000000001</v>
      </c>
      <c r="U280" s="164">
        <v>4.8200000000000001E-4</v>
      </c>
      <c r="V280" s="164">
        <v>4.1591921317486E-2</v>
      </c>
      <c r="W280" s="164">
        <v>7.7622209198070597E-3</v>
      </c>
    </row>
    <row r="281" spans="1:23">
      <c r="A281" s="2" t="s">
        <v>128</v>
      </c>
      <c r="B281" s="2">
        <v>7229</v>
      </c>
      <c r="C281" s="2" t="s">
        <v>1640</v>
      </c>
      <c r="D281" s="2" t="s">
        <v>1641</v>
      </c>
      <c r="E281" s="4" t="s">
        <v>361</v>
      </c>
      <c r="F281" s="2" t="s">
        <v>1651</v>
      </c>
      <c r="G281" s="2" t="s">
        <v>1652</v>
      </c>
      <c r="H281" s="2" t="s">
        <v>367</v>
      </c>
      <c r="I281" s="2" t="s">
        <v>1025</v>
      </c>
      <c r="J281" s="2" t="s">
        <v>94</v>
      </c>
      <c r="K281" s="2" t="s">
        <v>95</v>
      </c>
      <c r="L281" s="2" t="s">
        <v>426</v>
      </c>
      <c r="M281" s="2" t="s">
        <v>780</v>
      </c>
      <c r="N281" s="2" t="s">
        <v>164</v>
      </c>
      <c r="O281" s="2" t="s">
        <v>99</v>
      </c>
      <c r="P281" s="152">
        <v>4112</v>
      </c>
      <c r="Q281" s="150">
        <v>3.7589999999999999</v>
      </c>
      <c r="R281" s="150">
        <v>9337</v>
      </c>
      <c r="T281" s="150">
        <v>1443.221</v>
      </c>
      <c r="U281" s="164">
        <v>0</v>
      </c>
      <c r="V281" s="164">
        <v>5.4688077027512202E-2</v>
      </c>
      <c r="W281" s="164">
        <v>1.02063314730428E-2</v>
      </c>
    </row>
    <row r="282" spans="1:23">
      <c r="A282" s="2" t="s">
        <v>128</v>
      </c>
      <c r="B282" s="2">
        <v>7229</v>
      </c>
      <c r="C282" s="2" t="s">
        <v>1630</v>
      </c>
      <c r="D282" s="2" t="s">
        <v>1631</v>
      </c>
      <c r="E282" s="4" t="s">
        <v>361</v>
      </c>
      <c r="F282" s="2" t="s">
        <v>1655</v>
      </c>
      <c r="G282" s="2" t="s">
        <v>1656</v>
      </c>
      <c r="H282" s="2" t="s">
        <v>367</v>
      </c>
      <c r="I282" s="2" t="s">
        <v>1025</v>
      </c>
      <c r="J282" s="2" t="s">
        <v>94</v>
      </c>
      <c r="K282" s="2" t="s">
        <v>95</v>
      </c>
      <c r="L282" s="2" t="s">
        <v>390</v>
      </c>
      <c r="M282" s="2" t="s">
        <v>780</v>
      </c>
      <c r="N282" s="2" t="s">
        <v>164</v>
      </c>
      <c r="O282" s="2" t="s">
        <v>99</v>
      </c>
      <c r="P282" s="152">
        <v>960</v>
      </c>
      <c r="Q282" s="150">
        <v>3.7589999999999999</v>
      </c>
      <c r="R282" s="150">
        <v>18240</v>
      </c>
      <c r="T282" s="150">
        <v>658.21600000000001</v>
      </c>
      <c r="U282" s="164">
        <v>1.0000000000000001E-5</v>
      </c>
      <c r="V282" s="164">
        <v>2.49418265637899E-2</v>
      </c>
      <c r="W282" s="164">
        <v>4.6548455036207999E-3</v>
      </c>
    </row>
    <row r="283" spans="1:23">
      <c r="A283" s="2" t="s">
        <v>128</v>
      </c>
      <c r="B283" s="2">
        <v>7229</v>
      </c>
      <c r="C283" s="2" t="s">
        <v>1657</v>
      </c>
      <c r="D283" s="2" t="s">
        <v>1658</v>
      </c>
      <c r="E283" s="4" t="s">
        <v>361</v>
      </c>
      <c r="F283" s="2" t="s">
        <v>1659</v>
      </c>
      <c r="G283" s="2" t="s">
        <v>1660</v>
      </c>
      <c r="H283" s="2" t="s">
        <v>367</v>
      </c>
      <c r="I283" s="2" t="s">
        <v>1025</v>
      </c>
      <c r="J283" s="2" t="s">
        <v>94</v>
      </c>
      <c r="K283" s="2" t="s">
        <v>95</v>
      </c>
      <c r="L283" s="2" t="s">
        <v>390</v>
      </c>
      <c r="M283" s="2" t="s">
        <v>780</v>
      </c>
      <c r="N283" s="2" t="s">
        <v>164</v>
      </c>
      <c r="O283" s="2" t="s">
        <v>99</v>
      </c>
      <c r="P283" s="152">
        <v>825</v>
      </c>
      <c r="Q283" s="150">
        <v>3.7589999999999999</v>
      </c>
      <c r="R283" s="150">
        <v>5242</v>
      </c>
      <c r="T283" s="150">
        <v>162.56399999999999</v>
      </c>
      <c r="U283" s="164">
        <v>1.45E-4</v>
      </c>
      <c r="V283" s="164">
        <v>6.1600346222298796E-3</v>
      </c>
      <c r="W283" s="164">
        <v>1.1496355084540399E-3</v>
      </c>
    </row>
    <row r="284" spans="1:23">
      <c r="A284" s="2" t="s">
        <v>128</v>
      </c>
      <c r="B284" s="2">
        <v>7229</v>
      </c>
      <c r="C284" s="2" t="s">
        <v>1630</v>
      </c>
      <c r="D284" s="2" t="s">
        <v>1631</v>
      </c>
      <c r="E284" s="4" t="s">
        <v>361</v>
      </c>
      <c r="F284" s="2" t="s">
        <v>1661</v>
      </c>
      <c r="G284" s="2" t="s">
        <v>1662</v>
      </c>
      <c r="H284" s="2" t="s">
        <v>367</v>
      </c>
      <c r="I284" s="2" t="s">
        <v>1025</v>
      </c>
      <c r="J284" s="2" t="s">
        <v>94</v>
      </c>
      <c r="K284" s="2" t="s">
        <v>95</v>
      </c>
      <c r="L284" s="2" t="s">
        <v>390</v>
      </c>
      <c r="M284" s="2" t="s">
        <v>780</v>
      </c>
      <c r="N284" s="2" t="s">
        <v>164</v>
      </c>
      <c r="O284" s="2" t="s">
        <v>99</v>
      </c>
      <c r="P284" s="152">
        <v>5202</v>
      </c>
      <c r="Q284" s="150">
        <v>3.7589999999999999</v>
      </c>
      <c r="R284" s="150">
        <v>4111</v>
      </c>
      <c r="T284" s="150">
        <v>803.87800000000004</v>
      </c>
      <c r="U284" s="164">
        <v>6.0000000000000002E-6</v>
      </c>
      <c r="V284" s="164">
        <v>3.0461410734047002E-2</v>
      </c>
      <c r="W284" s="164">
        <v>5.6849549661762899E-3</v>
      </c>
    </row>
    <row r="285" spans="1:23">
      <c r="A285" s="2" t="s">
        <v>128</v>
      </c>
      <c r="B285" s="2">
        <v>7229</v>
      </c>
      <c r="C285" s="2" t="s">
        <v>1663</v>
      </c>
      <c r="D285" s="2" t="s">
        <v>1664</v>
      </c>
      <c r="E285" s="4" t="s">
        <v>361</v>
      </c>
      <c r="F285" s="2" t="s">
        <v>1667</v>
      </c>
      <c r="G285" s="2" t="s">
        <v>1668</v>
      </c>
      <c r="H285" s="2" t="s">
        <v>367</v>
      </c>
      <c r="I285" s="2" t="s">
        <v>1025</v>
      </c>
      <c r="J285" s="2" t="s">
        <v>94</v>
      </c>
      <c r="K285" s="2" t="s">
        <v>345</v>
      </c>
      <c r="L285" s="2" t="s">
        <v>392</v>
      </c>
      <c r="M285" s="2" t="s">
        <v>780</v>
      </c>
      <c r="N285" s="2" t="s">
        <v>164</v>
      </c>
      <c r="O285" s="2" t="s">
        <v>99</v>
      </c>
      <c r="P285" s="152">
        <v>569</v>
      </c>
      <c r="Q285" s="150">
        <v>3.7589999999999999</v>
      </c>
      <c r="R285" s="150">
        <v>11558</v>
      </c>
      <c r="T285" s="150">
        <v>247.21100000000001</v>
      </c>
      <c r="U285" s="164">
        <v>8.0000000000000007E-5</v>
      </c>
      <c r="V285" s="164">
        <v>9.3675742576079107E-3</v>
      </c>
      <c r="W285" s="164">
        <v>1.7482525107509401E-3</v>
      </c>
    </row>
    <row r="286" spans="1:23">
      <c r="A286" s="2" t="s">
        <v>128</v>
      </c>
      <c r="B286" s="2">
        <v>7229</v>
      </c>
      <c r="C286" s="2" t="s">
        <v>1669</v>
      </c>
      <c r="D286" s="2" t="s">
        <v>1670</v>
      </c>
      <c r="E286" s="4" t="s">
        <v>361</v>
      </c>
      <c r="F286" s="2" t="s">
        <v>1671</v>
      </c>
      <c r="G286" s="2" t="s">
        <v>1672</v>
      </c>
      <c r="H286" s="2" t="s">
        <v>367</v>
      </c>
      <c r="I286" s="2" t="s">
        <v>1025</v>
      </c>
      <c r="J286" s="2" t="s">
        <v>94</v>
      </c>
      <c r="K286" s="2" t="s">
        <v>95</v>
      </c>
      <c r="L286" s="2" t="s">
        <v>390</v>
      </c>
      <c r="M286" s="2" t="s">
        <v>780</v>
      </c>
      <c r="N286" s="2" t="s">
        <v>164</v>
      </c>
      <c r="O286" s="2" t="s">
        <v>99</v>
      </c>
      <c r="P286" s="152">
        <v>1299</v>
      </c>
      <c r="Q286" s="150">
        <v>3.7589999999999999</v>
      </c>
      <c r="R286" s="150">
        <v>3393</v>
      </c>
      <c r="T286" s="150">
        <v>165.678</v>
      </c>
      <c r="U286" s="164">
        <v>3.0000000000000001E-6</v>
      </c>
      <c r="V286" s="164">
        <v>6.2780561936158002E-3</v>
      </c>
      <c r="W286" s="164">
        <v>1.17166164914149E-3</v>
      </c>
    </row>
    <row r="287" spans="1:23">
      <c r="A287" s="2" t="s">
        <v>128</v>
      </c>
      <c r="B287" s="2">
        <v>7229</v>
      </c>
      <c r="C287" s="2" t="s">
        <v>1630</v>
      </c>
      <c r="D287" s="2" t="s">
        <v>1631</v>
      </c>
      <c r="E287" s="4" t="s">
        <v>361</v>
      </c>
      <c r="F287" s="2" t="s">
        <v>1677</v>
      </c>
      <c r="G287" s="2" t="s">
        <v>1678</v>
      </c>
      <c r="H287" s="2" t="s">
        <v>367</v>
      </c>
      <c r="I287" s="2" t="s">
        <v>1025</v>
      </c>
      <c r="J287" s="2" t="s">
        <v>94</v>
      </c>
      <c r="K287" s="2" t="s">
        <v>95</v>
      </c>
      <c r="L287" s="2" t="s">
        <v>390</v>
      </c>
      <c r="M287" s="2" t="s">
        <v>780</v>
      </c>
      <c r="N287" s="2" t="s">
        <v>164</v>
      </c>
      <c r="O287" s="2" t="s">
        <v>99</v>
      </c>
      <c r="P287" s="152">
        <v>1343</v>
      </c>
      <c r="Q287" s="150">
        <v>3.7589999999999999</v>
      </c>
      <c r="R287" s="150">
        <v>14575</v>
      </c>
      <c r="T287" s="150">
        <v>735.79499999999996</v>
      </c>
      <c r="U287" s="164">
        <v>3.9999999999999998E-6</v>
      </c>
      <c r="V287" s="164">
        <v>2.78815404028806E-2</v>
      </c>
      <c r="W287" s="164">
        <v>5.2034786885571897E-3</v>
      </c>
    </row>
    <row r="288" spans="1:23">
      <c r="A288" s="2" t="s">
        <v>128</v>
      </c>
      <c r="B288" s="2">
        <v>7229</v>
      </c>
      <c r="C288" s="2" t="s">
        <v>1657</v>
      </c>
      <c r="D288" s="2" t="s">
        <v>1658</v>
      </c>
      <c r="E288" s="4" t="s">
        <v>361</v>
      </c>
      <c r="F288" s="2" t="s">
        <v>1684</v>
      </c>
      <c r="G288" s="2" t="s">
        <v>1685</v>
      </c>
      <c r="H288" s="2" t="s">
        <v>367</v>
      </c>
      <c r="I288" s="2" t="s">
        <v>1027</v>
      </c>
      <c r="J288" s="2" t="s">
        <v>94</v>
      </c>
      <c r="K288" s="2" t="s">
        <v>1644</v>
      </c>
      <c r="L288" s="2" t="s">
        <v>426</v>
      </c>
      <c r="M288" s="2" t="s">
        <v>777</v>
      </c>
      <c r="N288" s="2" t="s">
        <v>164</v>
      </c>
      <c r="O288" s="2" t="s">
        <v>99</v>
      </c>
      <c r="P288" s="152">
        <v>5662</v>
      </c>
      <c r="Q288" s="150">
        <v>3.7589999999999999</v>
      </c>
      <c r="R288" s="150">
        <v>4331.5</v>
      </c>
      <c r="T288" s="150">
        <v>921.89300000000003</v>
      </c>
      <c r="U288" s="164">
        <v>0</v>
      </c>
      <c r="V288" s="164">
        <v>3.4933360986105402E-2</v>
      </c>
      <c r="W288" s="164">
        <v>6.5195465094207697E-3</v>
      </c>
    </row>
    <row r="289" spans="1:23">
      <c r="A289" s="2" t="s">
        <v>128</v>
      </c>
      <c r="B289" s="2">
        <v>7229</v>
      </c>
      <c r="C289" s="2" t="s">
        <v>1630</v>
      </c>
      <c r="D289" s="2" t="s">
        <v>1631</v>
      </c>
      <c r="E289" s="4" t="s">
        <v>361</v>
      </c>
      <c r="F289" s="2" t="s">
        <v>1686</v>
      </c>
      <c r="G289" s="2" t="s">
        <v>1687</v>
      </c>
      <c r="H289" s="2" t="s">
        <v>367</v>
      </c>
      <c r="I289" s="2" t="s">
        <v>1025</v>
      </c>
      <c r="J289" s="2" t="s">
        <v>94</v>
      </c>
      <c r="K289" s="2" t="s">
        <v>95</v>
      </c>
      <c r="L289" s="2" t="s">
        <v>390</v>
      </c>
      <c r="M289" s="2" t="s">
        <v>780</v>
      </c>
      <c r="N289" s="2" t="s">
        <v>164</v>
      </c>
      <c r="O289" s="2" t="s">
        <v>99</v>
      </c>
      <c r="P289" s="152">
        <v>3515</v>
      </c>
      <c r="Q289" s="150">
        <v>3.7589999999999999</v>
      </c>
      <c r="R289" s="150">
        <v>12187</v>
      </c>
      <c r="T289" s="150">
        <v>1610.2539999999999</v>
      </c>
      <c r="U289" s="164">
        <v>2.5000000000000001E-5</v>
      </c>
      <c r="V289" s="164">
        <v>6.1017488565091101E-2</v>
      </c>
      <c r="W289" s="164">
        <v>1.13875774720442E-2</v>
      </c>
    </row>
    <row r="290" spans="1:23">
      <c r="A290" s="2" t="s">
        <v>128</v>
      </c>
      <c r="B290" s="2">
        <v>7229</v>
      </c>
      <c r="C290" s="2" t="s">
        <v>1570</v>
      </c>
      <c r="D290" s="2" t="s">
        <v>1571</v>
      </c>
      <c r="E290" s="4" t="s">
        <v>361</v>
      </c>
      <c r="F290" s="2" t="s">
        <v>1688</v>
      </c>
      <c r="G290" s="2" t="s">
        <v>1689</v>
      </c>
      <c r="H290" s="2" t="s">
        <v>367</v>
      </c>
      <c r="I290" s="2" t="s">
        <v>1027</v>
      </c>
      <c r="J290" s="2" t="s">
        <v>94</v>
      </c>
      <c r="K290" s="2" t="s">
        <v>95</v>
      </c>
      <c r="L290" s="2" t="s">
        <v>426</v>
      </c>
      <c r="M290" s="2" t="s">
        <v>777</v>
      </c>
      <c r="N290" s="2" t="s">
        <v>164</v>
      </c>
      <c r="O290" s="2" t="s">
        <v>99</v>
      </c>
      <c r="P290" s="152">
        <v>27602</v>
      </c>
      <c r="Q290" s="150">
        <v>3.7589999999999999</v>
      </c>
      <c r="R290" s="150">
        <v>2742.25</v>
      </c>
      <c r="T290" s="150">
        <v>2845.2469999999998</v>
      </c>
      <c r="U290" s="164">
        <v>0</v>
      </c>
      <c r="V290" s="164">
        <v>0.10781514830828801</v>
      </c>
      <c r="W290" s="164">
        <v>2.0121335421906899E-2</v>
      </c>
    </row>
    <row r="291" spans="1:23">
      <c r="A291" s="2" t="s">
        <v>128</v>
      </c>
      <c r="B291" s="2">
        <v>7229</v>
      </c>
      <c r="C291" s="2" t="s">
        <v>1657</v>
      </c>
      <c r="D291" s="2" t="s">
        <v>1658</v>
      </c>
      <c r="E291" s="4" t="s">
        <v>361</v>
      </c>
      <c r="F291" s="2" t="s">
        <v>1690</v>
      </c>
      <c r="G291" s="2" t="s">
        <v>1691</v>
      </c>
      <c r="H291" s="2" t="s">
        <v>367</v>
      </c>
      <c r="I291" s="2" t="s">
        <v>1025</v>
      </c>
      <c r="J291" s="2" t="s">
        <v>94</v>
      </c>
      <c r="K291" s="2" t="s">
        <v>282</v>
      </c>
      <c r="L291" s="2" t="s">
        <v>426</v>
      </c>
      <c r="M291" s="2" t="s">
        <v>780</v>
      </c>
      <c r="N291" s="2" t="s">
        <v>164</v>
      </c>
      <c r="O291" s="2" t="s">
        <v>1221</v>
      </c>
      <c r="P291" s="152">
        <v>28000</v>
      </c>
      <c r="Q291" s="150">
        <v>4.75</v>
      </c>
      <c r="R291" s="150">
        <v>793.9</v>
      </c>
      <c r="T291" s="150">
        <v>1055.998</v>
      </c>
      <c r="U291" s="164">
        <v>4.5000000000000003E-5</v>
      </c>
      <c r="V291" s="164">
        <v>4.0015018125018002E-2</v>
      </c>
      <c r="W291" s="164">
        <v>7.4679264856632099E-3</v>
      </c>
    </row>
    <row r="292" spans="1:23">
      <c r="A292" s="2" t="s">
        <v>128</v>
      </c>
      <c r="B292" s="2">
        <v>7229</v>
      </c>
      <c r="C292" s="2" t="s">
        <v>1657</v>
      </c>
      <c r="D292" s="2" t="s">
        <v>1658</v>
      </c>
      <c r="E292" s="4" t="s">
        <v>361</v>
      </c>
      <c r="F292" s="2" t="s">
        <v>1692</v>
      </c>
      <c r="G292" s="2" t="s">
        <v>1693</v>
      </c>
      <c r="H292" s="2" t="s">
        <v>367</v>
      </c>
      <c r="I292" s="2" t="s">
        <v>1027</v>
      </c>
      <c r="J292" s="2" t="s">
        <v>94</v>
      </c>
      <c r="K292" s="2" t="s">
        <v>95</v>
      </c>
      <c r="L292" s="2" t="s">
        <v>426</v>
      </c>
      <c r="M292" s="2" t="s">
        <v>777</v>
      </c>
      <c r="N292" s="2" t="s">
        <v>164</v>
      </c>
      <c r="O292" s="2" t="s">
        <v>99</v>
      </c>
      <c r="P292" s="152">
        <v>5570</v>
      </c>
      <c r="Q292" s="150">
        <v>3.7589999999999999</v>
      </c>
      <c r="R292" s="150">
        <v>9190</v>
      </c>
      <c r="T292" s="150">
        <v>1924.1679999999999</v>
      </c>
      <c r="U292" s="164">
        <v>1.8000000000000001E-4</v>
      </c>
      <c r="V292" s="164">
        <v>7.2912651949427101E-2</v>
      </c>
      <c r="W292" s="164">
        <v>1.36075491189803E-2</v>
      </c>
    </row>
    <row r="293" spans="1:23">
      <c r="A293" s="2" t="s">
        <v>128</v>
      </c>
      <c r="B293" s="2">
        <v>7229</v>
      </c>
      <c r="C293" s="2" t="s">
        <v>1657</v>
      </c>
      <c r="D293" s="2" t="s">
        <v>1658</v>
      </c>
      <c r="E293" s="4" t="s">
        <v>361</v>
      </c>
      <c r="F293" s="2" t="s">
        <v>1694</v>
      </c>
      <c r="G293" s="2" t="s">
        <v>1695</v>
      </c>
      <c r="H293" s="2" t="s">
        <v>367</v>
      </c>
      <c r="I293" s="2" t="s">
        <v>1025</v>
      </c>
      <c r="J293" s="2" t="s">
        <v>94</v>
      </c>
      <c r="K293" s="2" t="s">
        <v>317</v>
      </c>
      <c r="L293" s="2" t="s">
        <v>390</v>
      </c>
      <c r="M293" s="2" t="s">
        <v>780</v>
      </c>
      <c r="N293" s="2" t="s">
        <v>164</v>
      </c>
      <c r="O293" s="2" t="s">
        <v>99</v>
      </c>
      <c r="P293" s="152">
        <v>3540</v>
      </c>
      <c r="Q293" s="150">
        <v>3.7589999999999999</v>
      </c>
      <c r="R293" s="150">
        <v>2599</v>
      </c>
      <c r="T293" s="150">
        <v>345.84500000000003</v>
      </c>
      <c r="U293" s="164">
        <v>2.0999999999999999E-5</v>
      </c>
      <c r="V293" s="164">
        <v>1.31051419514738E-2</v>
      </c>
      <c r="W293" s="164">
        <v>2.4457876383316801E-3</v>
      </c>
    </row>
    <row r="294" spans="1:23">
      <c r="A294" s="2" t="s">
        <v>128</v>
      </c>
      <c r="B294" s="2">
        <v>7229</v>
      </c>
      <c r="C294" s="2" t="s">
        <v>1657</v>
      </c>
      <c r="D294" s="2" t="s">
        <v>1658</v>
      </c>
      <c r="E294" s="4" t="s">
        <v>361</v>
      </c>
      <c r="F294" s="2" t="s">
        <v>1696</v>
      </c>
      <c r="G294" s="2" t="s">
        <v>1697</v>
      </c>
      <c r="H294" s="2" t="s">
        <v>367</v>
      </c>
      <c r="I294" s="2" t="s">
        <v>1027</v>
      </c>
      <c r="J294" s="2" t="s">
        <v>94</v>
      </c>
      <c r="K294" s="2" t="s">
        <v>270</v>
      </c>
      <c r="L294" s="2" t="s">
        <v>426</v>
      </c>
      <c r="M294" s="2" t="s">
        <v>777</v>
      </c>
      <c r="N294" s="2" t="s">
        <v>164</v>
      </c>
      <c r="O294" s="2" t="s">
        <v>99</v>
      </c>
      <c r="P294" s="152">
        <v>44989</v>
      </c>
      <c r="Q294" s="150">
        <v>3.7589999999999999</v>
      </c>
      <c r="R294" s="150">
        <v>597.1</v>
      </c>
      <c r="T294" s="150">
        <v>1009.778</v>
      </c>
      <c r="U294" s="164">
        <v>0</v>
      </c>
      <c r="V294" s="164">
        <v>3.8263579840820301E-2</v>
      </c>
      <c r="W294" s="164">
        <v>7.1410589003555996E-3</v>
      </c>
    </row>
    <row r="295" spans="1:23">
      <c r="A295" s="2" t="s">
        <v>128</v>
      </c>
      <c r="B295" s="2">
        <v>7229</v>
      </c>
      <c r="C295" s="2" t="s">
        <v>1657</v>
      </c>
      <c r="D295" s="2" t="s">
        <v>1658</v>
      </c>
      <c r="E295" s="4" t="s">
        <v>361</v>
      </c>
      <c r="F295" s="2" t="s">
        <v>1698</v>
      </c>
      <c r="G295" s="2" t="s">
        <v>1699</v>
      </c>
      <c r="H295" s="2" t="s">
        <v>367</v>
      </c>
      <c r="I295" s="2" t="s">
        <v>1025</v>
      </c>
      <c r="J295" s="2" t="s">
        <v>94</v>
      </c>
      <c r="K295" s="2" t="s">
        <v>95</v>
      </c>
      <c r="L295" s="2" t="s">
        <v>392</v>
      </c>
      <c r="M295" s="2" t="s">
        <v>780</v>
      </c>
      <c r="N295" s="2" t="s">
        <v>164</v>
      </c>
      <c r="O295" s="2" t="s">
        <v>99</v>
      </c>
      <c r="P295" s="152">
        <v>943</v>
      </c>
      <c r="Q295" s="150">
        <v>3.7589999999999999</v>
      </c>
      <c r="R295" s="150">
        <v>5920</v>
      </c>
      <c r="T295" s="150">
        <v>209.84800000000001</v>
      </c>
      <c r="U295" s="164">
        <v>0</v>
      </c>
      <c r="V295" s="164">
        <v>7.9518025460269901E-3</v>
      </c>
      <c r="W295" s="164">
        <v>1.48402973745279E-3</v>
      </c>
    </row>
    <row r="296" spans="1:23">
      <c r="A296" s="2" t="s">
        <v>128</v>
      </c>
      <c r="B296" s="2">
        <v>7229</v>
      </c>
      <c r="C296" s="2" t="s">
        <v>1657</v>
      </c>
      <c r="D296" s="2" t="s">
        <v>1658</v>
      </c>
      <c r="E296" s="4" t="s">
        <v>361</v>
      </c>
      <c r="F296" s="2" t="s">
        <v>1700</v>
      </c>
      <c r="G296" s="2" t="s">
        <v>1701</v>
      </c>
      <c r="H296" s="2" t="s">
        <v>367</v>
      </c>
      <c r="I296" s="2" t="s">
        <v>1025</v>
      </c>
      <c r="J296" s="2" t="s">
        <v>94</v>
      </c>
      <c r="K296" s="2" t="s">
        <v>95</v>
      </c>
      <c r="L296" s="2" t="s">
        <v>390</v>
      </c>
      <c r="M296" s="2" t="s">
        <v>780</v>
      </c>
      <c r="N296" s="2" t="s">
        <v>164</v>
      </c>
      <c r="O296" s="2" t="s">
        <v>99</v>
      </c>
      <c r="P296" s="152">
        <v>773</v>
      </c>
      <c r="Q296" s="150">
        <v>3.7589999999999999</v>
      </c>
      <c r="R296" s="150">
        <v>11693</v>
      </c>
      <c r="T296" s="150">
        <v>339.76400000000001</v>
      </c>
      <c r="U296" s="164">
        <v>1.6799999999999999E-4</v>
      </c>
      <c r="V296" s="164">
        <v>1.28747152207851E-2</v>
      </c>
      <c r="W296" s="164">
        <v>2.4027835372279799E-3</v>
      </c>
    </row>
    <row r="297" spans="1:23">
      <c r="A297" s="2" t="s">
        <v>128</v>
      </c>
      <c r="B297" s="2">
        <v>7229</v>
      </c>
      <c r="C297" s="2" t="s">
        <v>1657</v>
      </c>
      <c r="D297" s="2" t="s">
        <v>1658</v>
      </c>
      <c r="E297" s="4" t="s">
        <v>361</v>
      </c>
      <c r="F297" s="2" t="s">
        <v>1702</v>
      </c>
      <c r="G297" s="2" t="s">
        <v>1703</v>
      </c>
      <c r="H297" s="2" t="s">
        <v>367</v>
      </c>
      <c r="I297" s="2" t="s">
        <v>1027</v>
      </c>
      <c r="J297" s="2" t="s">
        <v>94</v>
      </c>
      <c r="K297" s="2" t="s">
        <v>95</v>
      </c>
      <c r="L297" s="2" t="s">
        <v>426</v>
      </c>
      <c r="M297" s="2" t="s">
        <v>777</v>
      </c>
      <c r="N297" s="2" t="s">
        <v>164</v>
      </c>
      <c r="O297" s="2" t="s">
        <v>99</v>
      </c>
      <c r="P297" s="152">
        <v>79342</v>
      </c>
      <c r="Q297" s="150">
        <v>3.7589999999999999</v>
      </c>
      <c r="R297" s="150">
        <v>576.5</v>
      </c>
      <c r="T297" s="150">
        <v>1719.3920000000001</v>
      </c>
      <c r="U297" s="164">
        <v>0</v>
      </c>
      <c r="V297" s="164">
        <v>6.5153033823257198E-2</v>
      </c>
      <c r="W297" s="164">
        <v>1.21593863931255E-2</v>
      </c>
    </row>
    <row r="298" spans="1:23">
      <c r="A298" s="2" t="s">
        <v>128</v>
      </c>
      <c r="B298" s="2">
        <v>7229</v>
      </c>
      <c r="C298" s="2" t="s">
        <v>1704</v>
      </c>
      <c r="D298" s="2" t="s">
        <v>1641</v>
      </c>
      <c r="E298" s="4" t="s">
        <v>361</v>
      </c>
      <c r="F298" s="2" t="s">
        <v>1707</v>
      </c>
      <c r="G298" s="2" t="s">
        <v>1708</v>
      </c>
      <c r="H298" s="2" t="s">
        <v>367</v>
      </c>
      <c r="I298" s="2" t="s">
        <v>1025</v>
      </c>
      <c r="J298" s="2" t="s">
        <v>94</v>
      </c>
      <c r="K298" s="2" t="s">
        <v>330</v>
      </c>
      <c r="L298" s="2" t="s">
        <v>410</v>
      </c>
      <c r="M298" s="2" t="s">
        <v>780</v>
      </c>
      <c r="N298" s="2" t="s">
        <v>164</v>
      </c>
      <c r="O298" s="2" t="s">
        <v>1219</v>
      </c>
      <c r="P298" s="152">
        <v>3560</v>
      </c>
      <c r="Q298" s="150">
        <v>4.0199999999999996</v>
      </c>
      <c r="R298" s="150">
        <v>7566</v>
      </c>
      <c r="T298" s="150">
        <v>1082.8389999999999</v>
      </c>
      <c r="U298" s="164">
        <v>5.5000000000000002E-5</v>
      </c>
      <c r="V298" s="164">
        <v>4.1032110573620197E-2</v>
      </c>
      <c r="W298" s="164">
        <v>7.6577445087752704E-3</v>
      </c>
    </row>
    <row r="299" spans="1:23">
      <c r="A299" s="2" t="s">
        <v>128</v>
      </c>
      <c r="B299" s="2">
        <v>7229</v>
      </c>
      <c r="C299" s="2" t="s">
        <v>1704</v>
      </c>
      <c r="D299" s="2" t="s">
        <v>1641</v>
      </c>
      <c r="E299" s="4" t="s">
        <v>361</v>
      </c>
      <c r="F299" s="2" t="s">
        <v>1709</v>
      </c>
      <c r="G299" s="2" t="s">
        <v>1710</v>
      </c>
      <c r="H299" s="2" t="s">
        <v>367</v>
      </c>
      <c r="I299" s="2" t="s">
        <v>1025</v>
      </c>
      <c r="J299" s="2" t="s">
        <v>94</v>
      </c>
      <c r="K299" s="2" t="s">
        <v>330</v>
      </c>
      <c r="L299" s="2" t="s">
        <v>410</v>
      </c>
      <c r="M299" s="2" t="s">
        <v>780</v>
      </c>
      <c r="N299" s="2" t="s">
        <v>164</v>
      </c>
      <c r="O299" s="2" t="s">
        <v>1219</v>
      </c>
      <c r="P299" s="152">
        <v>562</v>
      </c>
      <c r="Q299" s="150">
        <v>4.0199999999999996</v>
      </c>
      <c r="R299" s="150">
        <v>15668.6</v>
      </c>
      <c r="T299" s="150">
        <v>354.00900000000001</v>
      </c>
      <c r="U299" s="164">
        <v>1.75E-4</v>
      </c>
      <c r="V299" s="164">
        <v>1.3414485820153799E-2</v>
      </c>
      <c r="W299" s="164">
        <v>2.50351989432805E-3</v>
      </c>
    </row>
    <row r="300" spans="1:23">
      <c r="A300" s="2" t="s">
        <v>128</v>
      </c>
      <c r="B300" s="2">
        <v>7229</v>
      </c>
      <c r="C300" s="2" t="s">
        <v>1711</v>
      </c>
      <c r="D300" s="2" t="s">
        <v>1712</v>
      </c>
      <c r="E300" s="4" t="s">
        <v>361</v>
      </c>
      <c r="F300" s="2" t="s">
        <v>1713</v>
      </c>
      <c r="G300" s="2" t="s">
        <v>1714</v>
      </c>
      <c r="H300" s="2" t="s">
        <v>367</v>
      </c>
      <c r="I300" s="2" t="s">
        <v>1025</v>
      </c>
      <c r="J300" s="2" t="s">
        <v>94</v>
      </c>
      <c r="K300" s="2" t="s">
        <v>1715</v>
      </c>
      <c r="L300" s="2" t="s">
        <v>390</v>
      </c>
      <c r="M300" s="2" t="s">
        <v>780</v>
      </c>
      <c r="N300" s="2" t="s">
        <v>164</v>
      </c>
      <c r="O300" s="2" t="s">
        <v>99</v>
      </c>
      <c r="P300" s="152">
        <v>867</v>
      </c>
      <c r="Q300" s="150">
        <v>3.7589999999999999</v>
      </c>
      <c r="R300" s="150">
        <v>8831</v>
      </c>
      <c r="T300" s="150">
        <v>287.80700000000002</v>
      </c>
      <c r="U300" s="164">
        <v>1.1E-5</v>
      </c>
      <c r="V300" s="164">
        <v>1.09058914372971E-2</v>
      </c>
      <c r="W300" s="164">
        <v>2.0353457109504101E-3</v>
      </c>
    </row>
    <row r="301" spans="1:23">
      <c r="A301" s="2" t="s">
        <v>128</v>
      </c>
      <c r="B301" s="2">
        <v>7229</v>
      </c>
      <c r="C301" s="2" t="s">
        <v>1657</v>
      </c>
      <c r="D301" s="2" t="s">
        <v>1658</v>
      </c>
      <c r="E301" s="4" t="s">
        <v>361</v>
      </c>
      <c r="F301" s="2" t="s">
        <v>1716</v>
      </c>
      <c r="G301" s="2" t="s">
        <v>1717</v>
      </c>
      <c r="H301" s="2" t="s">
        <v>367</v>
      </c>
      <c r="I301" s="2" t="s">
        <v>1025</v>
      </c>
      <c r="J301" s="2" t="s">
        <v>94</v>
      </c>
      <c r="K301" s="2" t="s">
        <v>317</v>
      </c>
      <c r="L301" s="2" t="s">
        <v>392</v>
      </c>
      <c r="M301" s="2" t="s">
        <v>780</v>
      </c>
      <c r="N301" s="2" t="s">
        <v>164</v>
      </c>
      <c r="O301" s="2" t="s">
        <v>99</v>
      </c>
      <c r="P301" s="152">
        <v>1369</v>
      </c>
      <c r="Q301" s="150">
        <v>3.7589999999999999</v>
      </c>
      <c r="R301" s="150">
        <v>4217</v>
      </c>
      <c r="T301" s="150">
        <v>217.01</v>
      </c>
      <c r="U301" s="164">
        <v>9.0000000000000002E-6</v>
      </c>
      <c r="V301" s="164">
        <v>8.2231694025321194E-3</v>
      </c>
      <c r="W301" s="164">
        <v>1.53467441612554E-3</v>
      </c>
    </row>
    <row r="302" spans="1:23">
      <c r="A302" s="2" t="s">
        <v>128</v>
      </c>
      <c r="B302" s="2">
        <v>7229</v>
      </c>
      <c r="C302" s="2" t="s">
        <v>1630</v>
      </c>
      <c r="D302" s="2" t="s">
        <v>1631</v>
      </c>
      <c r="E302" s="4" t="s">
        <v>361</v>
      </c>
      <c r="F302" s="2" t="s">
        <v>1718</v>
      </c>
      <c r="G302" s="2" t="s">
        <v>1719</v>
      </c>
      <c r="H302" s="2" t="s">
        <v>367</v>
      </c>
      <c r="I302" s="2" t="s">
        <v>1025</v>
      </c>
      <c r="J302" s="2" t="s">
        <v>94</v>
      </c>
      <c r="K302" s="2" t="s">
        <v>95</v>
      </c>
      <c r="L302" s="2" t="s">
        <v>390</v>
      </c>
      <c r="M302" s="2" t="s">
        <v>780</v>
      </c>
      <c r="N302" s="2" t="s">
        <v>164</v>
      </c>
      <c r="O302" s="2" t="s">
        <v>99</v>
      </c>
      <c r="P302" s="152">
        <v>800</v>
      </c>
      <c r="Q302" s="150">
        <v>3.7589999999999999</v>
      </c>
      <c r="R302" s="150">
        <v>9115</v>
      </c>
      <c r="T302" s="150">
        <v>274.10599999999999</v>
      </c>
      <c r="U302" s="164">
        <v>1.9999999999999999E-6</v>
      </c>
      <c r="V302" s="164">
        <v>1.03867301319876E-2</v>
      </c>
      <c r="W302" s="164">
        <v>1.93845562707893E-3</v>
      </c>
    </row>
    <row r="303" spans="1:23">
      <c r="A303" s="2" t="s">
        <v>128</v>
      </c>
      <c r="B303" s="2">
        <v>7229</v>
      </c>
      <c r="C303" s="2" t="s">
        <v>1574</v>
      </c>
      <c r="D303" s="2" t="s">
        <v>1575</v>
      </c>
      <c r="E303" s="4" t="s">
        <v>361</v>
      </c>
      <c r="F303" s="2" t="s">
        <v>1720</v>
      </c>
      <c r="G303" s="2" t="s">
        <v>1721</v>
      </c>
      <c r="H303" s="2" t="s">
        <v>367</v>
      </c>
      <c r="I303" s="2" t="s">
        <v>1025</v>
      </c>
      <c r="J303" s="2" t="s">
        <v>94</v>
      </c>
      <c r="K303" s="2" t="s">
        <v>95</v>
      </c>
      <c r="L303" s="2" t="s">
        <v>392</v>
      </c>
      <c r="M303" s="2" t="s">
        <v>780</v>
      </c>
      <c r="N303" s="2" t="s">
        <v>164</v>
      </c>
      <c r="O303" s="2" t="s">
        <v>99</v>
      </c>
      <c r="P303" s="152">
        <v>476</v>
      </c>
      <c r="Q303" s="150">
        <v>3.7589999999999999</v>
      </c>
      <c r="R303" s="150">
        <v>47911</v>
      </c>
      <c r="S303" s="155">
        <v>0.253</v>
      </c>
      <c r="T303" s="150">
        <v>858.21600000000001</v>
      </c>
      <c r="U303" s="164">
        <v>9.9999999999999995E-7</v>
      </c>
      <c r="V303" s="164">
        <v>3.2520448275854298E-2</v>
      </c>
      <c r="W303" s="164">
        <v>6.0692292140448198E-3</v>
      </c>
    </row>
    <row r="304" spans="1:23">
      <c r="A304" s="2" t="s">
        <v>128</v>
      </c>
      <c r="B304" s="2">
        <v>7229</v>
      </c>
      <c r="C304" s="2" t="s">
        <v>1630</v>
      </c>
      <c r="D304" s="2" t="s">
        <v>1631</v>
      </c>
      <c r="E304" s="4" t="s">
        <v>361</v>
      </c>
      <c r="F304" s="2" t="s">
        <v>1722</v>
      </c>
      <c r="G304" s="2" t="s">
        <v>1723</v>
      </c>
      <c r="H304" s="2" t="s">
        <v>367</v>
      </c>
      <c r="I304" s="2" t="s">
        <v>1025</v>
      </c>
      <c r="J304" s="2" t="s">
        <v>94</v>
      </c>
      <c r="K304" s="2" t="s">
        <v>95</v>
      </c>
      <c r="L304" s="2" t="s">
        <v>390</v>
      </c>
      <c r="M304" s="2" t="s">
        <v>780</v>
      </c>
      <c r="N304" s="2" t="s">
        <v>164</v>
      </c>
      <c r="O304" s="2" t="s">
        <v>99</v>
      </c>
      <c r="P304" s="152">
        <v>1646</v>
      </c>
      <c r="Q304" s="150">
        <v>3.7589999999999999</v>
      </c>
      <c r="R304" s="150">
        <v>3841</v>
      </c>
      <c r="T304" s="150">
        <v>237.655</v>
      </c>
      <c r="U304" s="164">
        <v>2.6999999999999999E-5</v>
      </c>
      <c r="V304" s="164">
        <v>9.0054688013224797E-3</v>
      </c>
      <c r="W304" s="164">
        <v>1.6806734603267001E-3</v>
      </c>
    </row>
    <row r="305" spans="1:23">
      <c r="A305" s="2" t="s">
        <v>128</v>
      </c>
      <c r="B305" s="2">
        <v>7229</v>
      </c>
      <c r="C305" s="2" t="s">
        <v>1630</v>
      </c>
      <c r="D305" s="2" t="s">
        <v>1631</v>
      </c>
      <c r="E305" s="4" t="s">
        <v>361</v>
      </c>
      <c r="F305" s="2" t="s">
        <v>1728</v>
      </c>
      <c r="G305" s="2" t="s">
        <v>1729</v>
      </c>
      <c r="H305" s="2" t="s">
        <v>367</v>
      </c>
      <c r="I305" s="2" t="s">
        <v>1027</v>
      </c>
      <c r="J305" s="2" t="s">
        <v>94</v>
      </c>
      <c r="K305" s="2" t="s">
        <v>95</v>
      </c>
      <c r="L305" s="2" t="s">
        <v>1564</v>
      </c>
      <c r="M305" s="2" t="s">
        <v>777</v>
      </c>
      <c r="N305" s="2" t="s">
        <v>164</v>
      </c>
      <c r="O305" s="2" t="s">
        <v>99</v>
      </c>
      <c r="P305" s="152">
        <v>25000</v>
      </c>
      <c r="Q305" s="150">
        <v>3.7589999999999999</v>
      </c>
      <c r="R305" s="150">
        <v>1015.5</v>
      </c>
      <c r="T305" s="150">
        <v>954.31600000000003</v>
      </c>
      <c r="U305" s="164">
        <v>0</v>
      </c>
      <c r="V305" s="164">
        <v>3.6161973563608903E-2</v>
      </c>
      <c r="W305" s="164">
        <v>6.7488401306179798E-3</v>
      </c>
    </row>
    <row r="306" spans="1:23">
      <c r="A306" s="2" t="s">
        <v>128</v>
      </c>
      <c r="B306" s="2">
        <v>7229</v>
      </c>
      <c r="C306" s="2" t="s">
        <v>1730</v>
      </c>
      <c r="D306" s="2" t="s">
        <v>1631</v>
      </c>
      <c r="E306" s="4" t="s">
        <v>361</v>
      </c>
      <c r="F306" s="2" t="s">
        <v>1731</v>
      </c>
      <c r="G306" s="2" t="s">
        <v>1732</v>
      </c>
      <c r="H306" s="2" t="s">
        <v>367</v>
      </c>
      <c r="I306" s="2" t="s">
        <v>1025</v>
      </c>
      <c r="J306" s="2" t="s">
        <v>94</v>
      </c>
      <c r="K306" s="2" t="s">
        <v>342</v>
      </c>
      <c r="L306" s="2" t="s">
        <v>410</v>
      </c>
      <c r="M306" s="2" t="s">
        <v>780</v>
      </c>
      <c r="N306" s="2" t="s">
        <v>164</v>
      </c>
      <c r="O306" s="2" t="s">
        <v>1219</v>
      </c>
      <c r="P306" s="152">
        <v>98</v>
      </c>
      <c r="Q306" s="150">
        <v>4.0199999999999996</v>
      </c>
      <c r="R306" s="150">
        <v>17352</v>
      </c>
      <c r="T306" s="150">
        <v>68.363</v>
      </c>
      <c r="U306" s="164">
        <v>1.12E-4</v>
      </c>
      <c r="V306" s="164">
        <v>2.5904972534579202E-3</v>
      </c>
      <c r="W306" s="164">
        <v>4.8345955985062999E-4</v>
      </c>
    </row>
    <row r="307" spans="1:23">
      <c r="A307" s="2" t="s">
        <v>128</v>
      </c>
      <c r="B307" s="2">
        <v>7229</v>
      </c>
      <c r="C307" s="2" t="s">
        <v>1669</v>
      </c>
      <c r="D307" s="2" t="s">
        <v>1670</v>
      </c>
      <c r="E307" s="4" t="s">
        <v>361</v>
      </c>
      <c r="F307" s="2" t="s">
        <v>1733</v>
      </c>
      <c r="G307" s="2" t="s">
        <v>1734</v>
      </c>
      <c r="H307" s="2" t="s">
        <v>367</v>
      </c>
      <c r="I307" s="2" t="s">
        <v>1025</v>
      </c>
      <c r="J307" s="2" t="s">
        <v>94</v>
      </c>
      <c r="K307" s="2" t="s">
        <v>95</v>
      </c>
      <c r="L307" s="2" t="s">
        <v>392</v>
      </c>
      <c r="M307" s="2" t="s">
        <v>780</v>
      </c>
      <c r="N307" s="2" t="s">
        <v>164</v>
      </c>
      <c r="O307" s="2" t="s">
        <v>99</v>
      </c>
      <c r="P307" s="152">
        <v>404</v>
      </c>
      <c r="Q307" s="150">
        <v>3.7589999999999999</v>
      </c>
      <c r="R307" s="150">
        <v>26070</v>
      </c>
      <c r="T307" s="150">
        <v>395.90800000000002</v>
      </c>
      <c r="U307" s="164">
        <v>1.8E-5</v>
      </c>
      <c r="V307" s="164">
        <v>1.5002187333314701E-2</v>
      </c>
      <c r="W307" s="164">
        <v>2.7998295984600699E-3</v>
      </c>
    </row>
    <row r="308" spans="1:23">
      <c r="A308" s="2" t="s">
        <v>128</v>
      </c>
      <c r="B308" s="2">
        <v>7229</v>
      </c>
      <c r="C308" s="2" t="s">
        <v>1739</v>
      </c>
      <c r="D308" s="2" t="s">
        <v>1740</v>
      </c>
      <c r="E308" s="4" t="s">
        <v>361</v>
      </c>
      <c r="F308" s="2" t="s">
        <v>1741</v>
      </c>
      <c r="G308" s="2" t="s">
        <v>1742</v>
      </c>
      <c r="H308" s="2" t="s">
        <v>367</v>
      </c>
      <c r="I308" s="2" t="s">
        <v>1025</v>
      </c>
      <c r="J308" s="2" t="s">
        <v>94</v>
      </c>
      <c r="K308" s="2" t="s">
        <v>293</v>
      </c>
      <c r="L308" s="2" t="s">
        <v>390</v>
      </c>
      <c r="M308" s="2" t="s">
        <v>780</v>
      </c>
      <c r="N308" s="2" t="s">
        <v>164</v>
      </c>
      <c r="O308" s="2" t="s">
        <v>99</v>
      </c>
      <c r="P308" s="152">
        <v>6801</v>
      </c>
      <c r="Q308" s="150">
        <v>3.7589999999999999</v>
      </c>
      <c r="R308" s="150">
        <v>4828</v>
      </c>
      <c r="T308" s="150">
        <v>1234.2760000000001</v>
      </c>
      <c r="U308" s="164">
        <v>3.0899999999999998E-4</v>
      </c>
      <c r="V308" s="164">
        <v>4.6770522772666398E-2</v>
      </c>
      <c r="W308" s="164">
        <v>8.7286934288287998E-3</v>
      </c>
    </row>
    <row r="309" spans="1:23">
      <c r="A309" s="2" t="s">
        <v>128</v>
      </c>
      <c r="B309" s="2">
        <v>9817</v>
      </c>
      <c r="C309" s="2" t="s">
        <v>1602</v>
      </c>
      <c r="D309" s="2" t="s">
        <v>1603</v>
      </c>
      <c r="E309" s="4" t="s">
        <v>1376</v>
      </c>
      <c r="F309" s="2" t="s">
        <v>1614</v>
      </c>
      <c r="G309" s="2" t="s">
        <v>1615</v>
      </c>
      <c r="H309" s="2" t="s">
        <v>367</v>
      </c>
      <c r="I309" s="2" t="s">
        <v>1024</v>
      </c>
      <c r="J309" s="2" t="s">
        <v>31</v>
      </c>
      <c r="K309" s="2" t="s">
        <v>31</v>
      </c>
      <c r="L309" s="2" t="s">
        <v>32</v>
      </c>
      <c r="M309" s="2" t="s">
        <v>1606</v>
      </c>
      <c r="N309" s="2" t="s">
        <v>164</v>
      </c>
      <c r="O309" s="2" t="s">
        <v>35</v>
      </c>
      <c r="P309" s="152">
        <v>534</v>
      </c>
      <c r="Q309" s="150">
        <v>1</v>
      </c>
      <c r="R309" s="150">
        <v>2678</v>
      </c>
      <c r="T309" s="150">
        <v>14.301</v>
      </c>
      <c r="U309" s="164">
        <v>1.5E-5</v>
      </c>
      <c r="V309" s="164">
        <v>1.5770092175942801E-2</v>
      </c>
      <c r="W309" s="164">
        <v>9.6977720048019092E-3</v>
      </c>
    </row>
    <row r="310" spans="1:23">
      <c r="A310" s="2" t="s">
        <v>128</v>
      </c>
      <c r="B310" s="2">
        <v>9817</v>
      </c>
      <c r="C310" s="2" t="s">
        <v>1602</v>
      </c>
      <c r="D310" s="2" t="s">
        <v>1603</v>
      </c>
      <c r="E310" s="4" t="s">
        <v>1376</v>
      </c>
      <c r="F310" s="2" t="s">
        <v>1788</v>
      </c>
      <c r="G310" s="2" t="s">
        <v>1789</v>
      </c>
      <c r="H310" s="2" t="s">
        <v>367</v>
      </c>
      <c r="I310" s="2" t="s">
        <v>1026</v>
      </c>
      <c r="J310" s="2" t="s">
        <v>31</v>
      </c>
      <c r="K310" s="2" t="s">
        <v>31</v>
      </c>
      <c r="L310" s="2" t="s">
        <v>32</v>
      </c>
      <c r="M310" s="2" t="s">
        <v>1790</v>
      </c>
      <c r="N310" s="2" t="s">
        <v>164</v>
      </c>
      <c r="O310" s="2" t="s">
        <v>35</v>
      </c>
      <c r="P310" s="152">
        <v>16615</v>
      </c>
      <c r="Q310" s="150">
        <v>1</v>
      </c>
      <c r="R310" s="150">
        <v>454.12</v>
      </c>
      <c r="T310" s="150">
        <v>75.451999999999998</v>
      </c>
      <c r="U310" s="164">
        <v>1.15E-4</v>
      </c>
      <c r="V310" s="164">
        <v>8.3205757141889602E-2</v>
      </c>
      <c r="W310" s="164">
        <v>5.1167136707032303E-2</v>
      </c>
    </row>
    <row r="311" spans="1:23">
      <c r="A311" s="2" t="s">
        <v>128</v>
      </c>
      <c r="B311" s="2">
        <v>9817</v>
      </c>
      <c r="C311" s="2" t="s">
        <v>1618</v>
      </c>
      <c r="D311" s="2" t="s">
        <v>1619</v>
      </c>
      <c r="E311" s="4" t="s">
        <v>1376</v>
      </c>
      <c r="F311" s="2" t="s">
        <v>1747</v>
      </c>
      <c r="G311" s="2" t="s">
        <v>1748</v>
      </c>
      <c r="H311" s="2" t="s">
        <v>367</v>
      </c>
      <c r="I311" s="2" t="s">
        <v>1025</v>
      </c>
      <c r="J311" s="2" t="s">
        <v>31</v>
      </c>
      <c r="K311" s="2" t="s">
        <v>1644</v>
      </c>
      <c r="L311" s="2" t="s">
        <v>32</v>
      </c>
      <c r="M311" s="2" t="s">
        <v>1609</v>
      </c>
      <c r="N311" s="2" t="s">
        <v>164</v>
      </c>
      <c r="O311" s="2" t="s">
        <v>35</v>
      </c>
      <c r="P311" s="152">
        <v>1061</v>
      </c>
      <c r="Q311" s="150">
        <v>1</v>
      </c>
      <c r="R311" s="150">
        <v>3407</v>
      </c>
      <c r="T311" s="150">
        <v>36.148000000000003</v>
      </c>
      <c r="U311" s="164">
        <v>5.0000000000000002E-5</v>
      </c>
      <c r="V311" s="164">
        <v>3.9862994485575801E-2</v>
      </c>
      <c r="W311" s="164">
        <v>2.45136317300364E-2</v>
      </c>
    </row>
    <row r="312" spans="1:23">
      <c r="A312" s="2" t="s">
        <v>128</v>
      </c>
      <c r="B312" s="2">
        <v>9817</v>
      </c>
      <c r="C312" s="2" t="s">
        <v>1618</v>
      </c>
      <c r="D312" s="2" t="s">
        <v>1619</v>
      </c>
      <c r="E312" s="4" t="s">
        <v>1376</v>
      </c>
      <c r="F312" s="2" t="s">
        <v>1813</v>
      </c>
      <c r="G312" s="2" t="s">
        <v>1814</v>
      </c>
      <c r="H312" s="2" t="s">
        <v>367</v>
      </c>
      <c r="I312" s="2" t="s">
        <v>1026</v>
      </c>
      <c r="J312" s="2" t="s">
        <v>31</v>
      </c>
      <c r="K312" s="2" t="s">
        <v>31</v>
      </c>
      <c r="L312" s="2" t="s">
        <v>32</v>
      </c>
      <c r="M312" s="2" t="s">
        <v>1790</v>
      </c>
      <c r="N312" s="2" t="s">
        <v>164</v>
      </c>
      <c r="O312" s="2" t="s">
        <v>35</v>
      </c>
      <c r="P312" s="152">
        <v>20069</v>
      </c>
      <c r="Q312" s="150">
        <v>1</v>
      </c>
      <c r="R312" s="150">
        <v>355.84</v>
      </c>
      <c r="T312" s="150">
        <v>71.414000000000001</v>
      </c>
      <c r="U312" s="164">
        <v>6.4999999999999994E-5</v>
      </c>
      <c r="V312" s="164">
        <v>7.8752237289372404E-2</v>
      </c>
      <c r="W312" s="164">
        <v>4.8428457714752501E-2</v>
      </c>
    </row>
    <row r="313" spans="1:23">
      <c r="A313" s="2" t="s">
        <v>128</v>
      </c>
      <c r="B313" s="2">
        <v>9817</v>
      </c>
      <c r="C313" s="2" t="s">
        <v>1624</v>
      </c>
      <c r="D313" s="2" t="s">
        <v>1625</v>
      </c>
      <c r="E313" s="4" t="s">
        <v>1376</v>
      </c>
      <c r="F313" s="2" t="s">
        <v>1815</v>
      </c>
      <c r="G313" s="2" t="s">
        <v>1816</v>
      </c>
      <c r="H313" s="2" t="s">
        <v>367</v>
      </c>
      <c r="I313" s="2" t="s">
        <v>1024</v>
      </c>
      <c r="J313" s="2" t="s">
        <v>31</v>
      </c>
      <c r="K313" s="2" t="s">
        <v>31</v>
      </c>
      <c r="L313" s="2" t="s">
        <v>32</v>
      </c>
      <c r="M313" s="2" t="s">
        <v>1606</v>
      </c>
      <c r="N313" s="2" t="s">
        <v>164</v>
      </c>
      <c r="O313" s="2" t="s">
        <v>35</v>
      </c>
      <c r="P313" s="152">
        <v>317</v>
      </c>
      <c r="Q313" s="150">
        <v>1</v>
      </c>
      <c r="R313" s="150">
        <v>5316</v>
      </c>
      <c r="T313" s="150">
        <v>16.852</v>
      </c>
      <c r="U313" s="164">
        <v>0</v>
      </c>
      <c r="V313" s="164">
        <v>1.8583462540045999E-2</v>
      </c>
      <c r="W313" s="164">
        <v>1.14278458719515E-2</v>
      </c>
    </row>
    <row r="314" spans="1:23">
      <c r="A314" s="2" t="s">
        <v>128</v>
      </c>
      <c r="B314" s="2">
        <v>9817</v>
      </c>
      <c r="C314" s="2" t="s">
        <v>1624</v>
      </c>
      <c r="D314" s="2" t="s">
        <v>1625</v>
      </c>
      <c r="E314" s="4" t="s">
        <v>1376</v>
      </c>
      <c r="F314" s="2" t="s">
        <v>1626</v>
      </c>
      <c r="G314" s="2" t="s">
        <v>1627</v>
      </c>
      <c r="H314" s="2" t="s">
        <v>367</v>
      </c>
      <c r="I314" s="2" t="s">
        <v>1025</v>
      </c>
      <c r="J314" s="2" t="s">
        <v>31</v>
      </c>
      <c r="K314" s="2" t="s">
        <v>95</v>
      </c>
      <c r="L314" s="2" t="s">
        <v>32</v>
      </c>
      <c r="M314" s="2" t="s">
        <v>1609</v>
      </c>
      <c r="N314" s="2" t="s">
        <v>164</v>
      </c>
      <c r="O314" s="2" t="s">
        <v>35</v>
      </c>
      <c r="P314" s="152">
        <v>451</v>
      </c>
      <c r="Q314" s="150">
        <v>1</v>
      </c>
      <c r="R314" s="150">
        <v>11180</v>
      </c>
      <c r="T314" s="150">
        <v>50.421999999999997</v>
      </c>
      <c r="U314" s="164">
        <v>4.6999999999999997E-5</v>
      </c>
      <c r="V314" s="164">
        <v>5.5603323073353299E-2</v>
      </c>
      <c r="W314" s="164">
        <v>3.4193100703451398E-2</v>
      </c>
    </row>
    <row r="315" spans="1:23">
      <c r="A315" s="2" t="s">
        <v>128</v>
      </c>
      <c r="B315" s="2">
        <v>9817</v>
      </c>
      <c r="C315" s="2" t="s">
        <v>1624</v>
      </c>
      <c r="D315" s="2" t="s">
        <v>1625</v>
      </c>
      <c r="E315" s="4" t="s">
        <v>1376</v>
      </c>
      <c r="F315" s="2" t="s">
        <v>1751</v>
      </c>
      <c r="G315" s="2" t="s">
        <v>1752</v>
      </c>
      <c r="H315" s="2" t="s">
        <v>367</v>
      </c>
      <c r="I315" s="2" t="s">
        <v>1025</v>
      </c>
      <c r="J315" s="2" t="s">
        <v>31</v>
      </c>
      <c r="K315" s="2" t="s">
        <v>95</v>
      </c>
      <c r="L315" s="2" t="s">
        <v>32</v>
      </c>
      <c r="M315" s="2" t="s">
        <v>1609</v>
      </c>
      <c r="N315" s="2" t="s">
        <v>164</v>
      </c>
      <c r="O315" s="2" t="s">
        <v>35</v>
      </c>
      <c r="P315" s="152">
        <v>730</v>
      </c>
      <c r="Q315" s="150">
        <v>1</v>
      </c>
      <c r="R315" s="150">
        <v>10150</v>
      </c>
      <c r="T315" s="150">
        <v>74.094999999999999</v>
      </c>
      <c r="U315" s="164">
        <v>1.2999999999999999E-5</v>
      </c>
      <c r="V315" s="164">
        <v>8.1709265102001799E-2</v>
      </c>
      <c r="W315" s="164">
        <v>5.0246873309208198E-2</v>
      </c>
    </row>
    <row r="316" spans="1:23">
      <c r="A316" s="2" t="s">
        <v>128</v>
      </c>
      <c r="B316" s="2">
        <v>9817</v>
      </c>
      <c r="C316" s="2" t="s">
        <v>1602</v>
      </c>
      <c r="D316" s="2" t="s">
        <v>1603</v>
      </c>
      <c r="E316" s="4" t="s">
        <v>1376</v>
      </c>
      <c r="F316" s="2" t="s">
        <v>1628</v>
      </c>
      <c r="G316" s="2" t="s">
        <v>1629</v>
      </c>
      <c r="H316" s="2" t="s">
        <v>367</v>
      </c>
      <c r="I316" s="2" t="s">
        <v>1025</v>
      </c>
      <c r="J316" s="2" t="s">
        <v>31</v>
      </c>
      <c r="K316" s="2" t="s">
        <v>95</v>
      </c>
      <c r="L316" s="2" t="s">
        <v>32</v>
      </c>
      <c r="M316" s="2" t="s">
        <v>1609</v>
      </c>
      <c r="N316" s="2" t="s">
        <v>164</v>
      </c>
      <c r="O316" s="2" t="s">
        <v>35</v>
      </c>
      <c r="P316" s="152">
        <v>235</v>
      </c>
      <c r="Q316" s="150">
        <v>1</v>
      </c>
      <c r="R316" s="150">
        <v>3000</v>
      </c>
      <c r="T316" s="150">
        <v>7.05</v>
      </c>
      <c r="U316" s="164">
        <v>1.2E-5</v>
      </c>
      <c r="V316" s="164">
        <v>7.7744830146313903E-3</v>
      </c>
      <c r="W316" s="164">
        <v>4.780895564207E-3</v>
      </c>
    </row>
    <row r="317" spans="1:23">
      <c r="A317" s="2" t="s">
        <v>128</v>
      </c>
      <c r="B317" s="2">
        <v>9817</v>
      </c>
      <c r="C317" s="2" t="s">
        <v>1801</v>
      </c>
      <c r="D317" s="2" t="s">
        <v>1802</v>
      </c>
      <c r="E317" s="4" t="s">
        <v>1376</v>
      </c>
      <c r="F317" s="2" t="s">
        <v>1817</v>
      </c>
      <c r="G317" s="2" t="s">
        <v>1818</v>
      </c>
      <c r="H317" s="2" t="s">
        <v>367</v>
      </c>
      <c r="I317" s="2" t="s">
        <v>1026</v>
      </c>
      <c r="J317" s="2" t="s">
        <v>31</v>
      </c>
      <c r="K317" s="2" t="s">
        <v>31</v>
      </c>
      <c r="L317" s="2" t="s">
        <v>32</v>
      </c>
      <c r="M317" s="2" t="s">
        <v>1790</v>
      </c>
      <c r="N317" s="2" t="s">
        <v>164</v>
      </c>
      <c r="O317" s="2" t="s">
        <v>35</v>
      </c>
      <c r="P317" s="152">
        <v>1702</v>
      </c>
      <c r="Q317" s="150">
        <v>1</v>
      </c>
      <c r="R317" s="150">
        <v>3739.89</v>
      </c>
      <c r="T317" s="150">
        <v>63.652999999999999</v>
      </c>
      <c r="U317" s="164">
        <v>1.1E-4</v>
      </c>
      <c r="V317" s="164">
        <v>7.0194128512433798E-2</v>
      </c>
      <c r="W317" s="164">
        <v>4.31656737826678E-2</v>
      </c>
    </row>
    <row r="318" spans="1:23">
      <c r="A318" s="2" t="s">
        <v>128</v>
      </c>
      <c r="B318" s="2">
        <v>9817</v>
      </c>
      <c r="C318" s="2" t="s">
        <v>1743</v>
      </c>
      <c r="D318" s="2" t="s">
        <v>1744</v>
      </c>
      <c r="E318" s="4" t="s">
        <v>1376</v>
      </c>
      <c r="F318" s="2" t="s">
        <v>1819</v>
      </c>
      <c r="G318" s="2" t="s">
        <v>1820</v>
      </c>
      <c r="H318" s="2" t="s">
        <v>367</v>
      </c>
      <c r="I318" s="2" t="s">
        <v>1027</v>
      </c>
      <c r="J318" s="2" t="s">
        <v>31</v>
      </c>
      <c r="K318" s="2" t="s">
        <v>95</v>
      </c>
      <c r="L318" s="2" t="s">
        <v>32</v>
      </c>
      <c r="M318" s="2" t="s">
        <v>777</v>
      </c>
      <c r="N318" s="2" t="s">
        <v>164</v>
      </c>
      <c r="O318" s="2" t="s">
        <v>35</v>
      </c>
      <c r="P318" s="152">
        <v>371</v>
      </c>
      <c r="Q318" s="150">
        <v>1</v>
      </c>
      <c r="R318" s="150">
        <v>10230</v>
      </c>
      <c r="T318" s="150">
        <v>37.953000000000003</v>
      </c>
      <c r="U318" s="164">
        <v>1.6000000000000001E-4</v>
      </c>
      <c r="V318" s="164">
        <v>4.18535157729375E-2</v>
      </c>
      <c r="W318" s="164">
        <v>2.57376969669528E-2</v>
      </c>
    </row>
    <row r="319" spans="1:23">
      <c r="A319" s="2" t="s">
        <v>128</v>
      </c>
      <c r="B319" s="2">
        <v>9817</v>
      </c>
      <c r="C319" s="2" t="s">
        <v>1743</v>
      </c>
      <c r="D319" s="2" t="s">
        <v>1744</v>
      </c>
      <c r="E319" s="4" t="s">
        <v>1376</v>
      </c>
      <c r="F319" s="2" t="s">
        <v>1753</v>
      </c>
      <c r="G319" s="2" t="s">
        <v>1754</v>
      </c>
      <c r="H319" s="2" t="s">
        <v>367</v>
      </c>
      <c r="I319" s="2" t="s">
        <v>1025</v>
      </c>
      <c r="J319" s="2" t="s">
        <v>31</v>
      </c>
      <c r="K319" s="2" t="s">
        <v>345</v>
      </c>
      <c r="L319" s="2" t="s">
        <v>32</v>
      </c>
      <c r="M319" s="2" t="s">
        <v>1609</v>
      </c>
      <c r="N319" s="2" t="s">
        <v>164</v>
      </c>
      <c r="O319" s="2" t="s">
        <v>35</v>
      </c>
      <c r="P319" s="152">
        <v>7663</v>
      </c>
      <c r="Q319" s="150">
        <v>1</v>
      </c>
      <c r="R319" s="150">
        <v>1438</v>
      </c>
      <c r="T319" s="150">
        <v>110.194</v>
      </c>
      <c r="U319" s="164">
        <v>1.13E-4</v>
      </c>
      <c r="V319" s="164">
        <v>0.12151786026174601</v>
      </c>
      <c r="W319" s="164">
        <v>7.4727052333119395E-2</v>
      </c>
    </row>
    <row r="320" spans="1:23">
      <c r="A320" s="2" t="s">
        <v>128</v>
      </c>
      <c r="B320" s="2">
        <v>9817</v>
      </c>
      <c r="C320" s="2" t="s">
        <v>1743</v>
      </c>
      <c r="D320" s="2" t="s">
        <v>1744</v>
      </c>
      <c r="E320" s="4" t="s">
        <v>1376</v>
      </c>
      <c r="F320" s="2" t="s">
        <v>1821</v>
      </c>
      <c r="G320" s="2" t="s">
        <v>1822</v>
      </c>
      <c r="H320" s="2" t="s">
        <v>367</v>
      </c>
      <c r="I320" s="2" t="s">
        <v>1024</v>
      </c>
      <c r="J320" s="2" t="s">
        <v>31</v>
      </c>
      <c r="K320" s="2" t="s">
        <v>31</v>
      </c>
      <c r="L320" s="2" t="s">
        <v>32</v>
      </c>
      <c r="M320" s="2" t="s">
        <v>1606</v>
      </c>
      <c r="N320" s="2" t="s">
        <v>164</v>
      </c>
      <c r="O320" s="2" t="s">
        <v>35</v>
      </c>
      <c r="P320" s="152">
        <v>68.180000000000007</v>
      </c>
      <c r="Q320" s="150">
        <v>1</v>
      </c>
      <c r="R320" s="150">
        <v>17150</v>
      </c>
      <c r="T320" s="150">
        <v>11.693</v>
      </c>
      <c r="U320" s="164">
        <v>6.0000000000000002E-6</v>
      </c>
      <c r="V320" s="164">
        <v>1.2894470809545099E-2</v>
      </c>
      <c r="W320" s="164">
        <v>7.9294170660778908E-3</v>
      </c>
    </row>
    <row r="321" spans="1:23">
      <c r="A321" s="2" t="s">
        <v>128</v>
      </c>
      <c r="B321" s="2">
        <v>9817</v>
      </c>
      <c r="C321" s="2" t="s">
        <v>1743</v>
      </c>
      <c r="D321" s="2" t="s">
        <v>1744</v>
      </c>
      <c r="E321" s="4" t="s">
        <v>1376</v>
      </c>
      <c r="F321" s="2" t="s">
        <v>1799</v>
      </c>
      <c r="G321" s="2" t="s">
        <v>1800</v>
      </c>
      <c r="H321" s="2" t="s">
        <v>367</v>
      </c>
      <c r="I321" s="2" t="s">
        <v>1024</v>
      </c>
      <c r="J321" s="2" t="s">
        <v>31</v>
      </c>
      <c r="K321" s="2" t="s">
        <v>31</v>
      </c>
      <c r="L321" s="2" t="s">
        <v>32</v>
      </c>
      <c r="M321" s="2" t="s">
        <v>1606</v>
      </c>
      <c r="N321" s="2" t="s">
        <v>164</v>
      </c>
      <c r="O321" s="2" t="s">
        <v>35</v>
      </c>
      <c r="P321" s="152">
        <v>35</v>
      </c>
      <c r="Q321" s="150">
        <v>1</v>
      </c>
      <c r="R321" s="150">
        <v>23410</v>
      </c>
      <c r="T321" s="150">
        <v>8.1940000000000008</v>
      </c>
      <c r="U321" s="164">
        <v>1.0000000000000001E-5</v>
      </c>
      <c r="V321" s="164">
        <v>9.03549313196912E-3</v>
      </c>
      <c r="W321" s="164">
        <v>5.5563500433092302E-3</v>
      </c>
    </row>
    <row r="322" spans="1:23">
      <c r="A322" s="2" t="s">
        <v>128</v>
      </c>
      <c r="B322" s="2">
        <v>9817</v>
      </c>
      <c r="C322" s="2" t="s">
        <v>1636</v>
      </c>
      <c r="D322" s="2" t="s">
        <v>1637</v>
      </c>
      <c r="E322" s="4" t="s">
        <v>361</v>
      </c>
      <c r="F322" s="2" t="s">
        <v>1638</v>
      </c>
      <c r="G322" s="2" t="s">
        <v>1639</v>
      </c>
      <c r="H322" s="2" t="s">
        <v>34</v>
      </c>
      <c r="I322" s="2" t="s">
        <v>1025</v>
      </c>
      <c r="J322" s="2" t="s">
        <v>94</v>
      </c>
      <c r="K322" s="2" t="s">
        <v>330</v>
      </c>
      <c r="L322" s="2" t="s">
        <v>392</v>
      </c>
      <c r="M322" s="2" t="s">
        <v>780</v>
      </c>
      <c r="N322" s="2" t="s">
        <v>164</v>
      </c>
      <c r="O322" s="2" t="s">
        <v>99</v>
      </c>
      <c r="P322" s="152">
        <v>135</v>
      </c>
      <c r="Q322" s="150">
        <v>3.7589999999999999</v>
      </c>
      <c r="R322" s="150">
        <v>12799.9</v>
      </c>
      <c r="T322" s="150">
        <v>64.954999999999998</v>
      </c>
      <c r="U322" s="164">
        <v>0</v>
      </c>
      <c r="V322" s="164">
        <v>7.1630020094826399E-2</v>
      </c>
      <c r="W322" s="164">
        <v>4.4048671106608699E-2</v>
      </c>
    </row>
    <row r="323" spans="1:23">
      <c r="A323" s="2" t="s">
        <v>128</v>
      </c>
      <c r="B323" s="2">
        <v>9817</v>
      </c>
      <c r="C323" s="2" t="s">
        <v>1640</v>
      </c>
      <c r="D323" s="2" t="s">
        <v>1641</v>
      </c>
      <c r="E323" s="4" t="s">
        <v>361</v>
      </c>
      <c r="F323" s="2" t="s">
        <v>1645</v>
      </c>
      <c r="G323" s="2" t="s">
        <v>1646</v>
      </c>
      <c r="H323" s="2" t="s">
        <v>367</v>
      </c>
      <c r="I323" s="2" t="s">
        <v>1025</v>
      </c>
      <c r="J323" s="2" t="s">
        <v>94</v>
      </c>
      <c r="K323" s="2" t="s">
        <v>330</v>
      </c>
      <c r="L323" s="2" t="s">
        <v>410</v>
      </c>
      <c r="M323" s="2" t="s">
        <v>780</v>
      </c>
      <c r="N323" s="2" t="s">
        <v>164</v>
      </c>
      <c r="O323" s="2" t="s">
        <v>1219</v>
      </c>
      <c r="P323" s="152">
        <v>15</v>
      </c>
      <c r="Q323" s="150">
        <v>4.0199999999999996</v>
      </c>
      <c r="R323" s="150">
        <v>11282</v>
      </c>
      <c r="T323" s="150">
        <v>6.8029999999999999</v>
      </c>
      <c r="U323" s="164">
        <v>3.0000000000000001E-6</v>
      </c>
      <c r="V323" s="164">
        <v>7.5025243867059797E-3</v>
      </c>
      <c r="W323" s="164">
        <v>4.6136554023274903E-3</v>
      </c>
    </row>
    <row r="324" spans="1:23">
      <c r="A324" s="2" t="s">
        <v>128</v>
      </c>
      <c r="B324" s="2">
        <v>9817</v>
      </c>
      <c r="C324" s="2" t="s">
        <v>1630</v>
      </c>
      <c r="D324" s="2" t="s">
        <v>1631</v>
      </c>
      <c r="E324" s="4" t="s">
        <v>361</v>
      </c>
      <c r="F324" s="2" t="s">
        <v>1677</v>
      </c>
      <c r="G324" s="2" t="s">
        <v>1678</v>
      </c>
      <c r="H324" s="2" t="s">
        <v>367</v>
      </c>
      <c r="I324" s="2" t="s">
        <v>1025</v>
      </c>
      <c r="J324" s="2" t="s">
        <v>94</v>
      </c>
      <c r="K324" s="2" t="s">
        <v>95</v>
      </c>
      <c r="L324" s="2" t="s">
        <v>390</v>
      </c>
      <c r="M324" s="2" t="s">
        <v>780</v>
      </c>
      <c r="N324" s="2" t="s">
        <v>164</v>
      </c>
      <c r="O324" s="2" t="s">
        <v>99</v>
      </c>
      <c r="P324" s="152">
        <v>65</v>
      </c>
      <c r="Q324" s="150">
        <v>3.7589999999999999</v>
      </c>
      <c r="R324" s="150">
        <v>14575</v>
      </c>
      <c r="T324" s="150">
        <v>35.612000000000002</v>
      </c>
      <c r="U324" s="164">
        <v>0</v>
      </c>
      <c r="V324" s="164">
        <v>3.9271423872429698E-2</v>
      </c>
      <c r="W324" s="164">
        <v>2.4149847113749699E-2</v>
      </c>
    </row>
    <row r="325" spans="1:23">
      <c r="A325" s="2" t="s">
        <v>128</v>
      </c>
      <c r="B325" s="2">
        <v>9817</v>
      </c>
      <c r="C325" s="2" t="s">
        <v>1657</v>
      </c>
      <c r="D325" s="2" t="s">
        <v>1658</v>
      </c>
      <c r="E325" s="4" t="s">
        <v>361</v>
      </c>
      <c r="F325" s="2" t="s">
        <v>1690</v>
      </c>
      <c r="G325" s="2" t="s">
        <v>1691</v>
      </c>
      <c r="H325" s="2" t="s">
        <v>367</v>
      </c>
      <c r="I325" s="2" t="s">
        <v>1025</v>
      </c>
      <c r="J325" s="2" t="s">
        <v>94</v>
      </c>
      <c r="K325" s="2" t="s">
        <v>282</v>
      </c>
      <c r="L325" s="2" t="s">
        <v>426</v>
      </c>
      <c r="M325" s="2" t="s">
        <v>780</v>
      </c>
      <c r="N325" s="2" t="s">
        <v>164</v>
      </c>
      <c r="O325" s="2" t="s">
        <v>1221</v>
      </c>
      <c r="P325" s="152">
        <v>545</v>
      </c>
      <c r="Q325" s="150">
        <v>4.75</v>
      </c>
      <c r="R325" s="150">
        <v>793.9</v>
      </c>
      <c r="T325" s="150">
        <v>20.553999999999998</v>
      </c>
      <c r="U325" s="164">
        <v>9.9999999999999995E-7</v>
      </c>
      <c r="V325" s="164">
        <v>2.2666477249289701E-2</v>
      </c>
      <c r="W325" s="164">
        <v>1.3938683811307501E-2</v>
      </c>
    </row>
    <row r="326" spans="1:23">
      <c r="A326" s="2" t="s">
        <v>128</v>
      </c>
      <c r="B326" s="2">
        <v>9817</v>
      </c>
      <c r="C326" s="2" t="s">
        <v>1657</v>
      </c>
      <c r="D326" s="2" t="s">
        <v>1658</v>
      </c>
      <c r="E326" s="4" t="s">
        <v>361</v>
      </c>
      <c r="F326" s="2" t="s">
        <v>1823</v>
      </c>
      <c r="G326" s="2" t="s">
        <v>1824</v>
      </c>
      <c r="H326" s="2" t="s">
        <v>367</v>
      </c>
      <c r="I326" s="2" t="s">
        <v>1025</v>
      </c>
      <c r="J326" s="2" t="s">
        <v>94</v>
      </c>
      <c r="K326" s="2" t="s">
        <v>1644</v>
      </c>
      <c r="L326" s="2" t="s">
        <v>392</v>
      </c>
      <c r="M326" s="2" t="s">
        <v>780</v>
      </c>
      <c r="N326" s="2" t="s">
        <v>164</v>
      </c>
      <c r="O326" s="2" t="s">
        <v>99</v>
      </c>
      <c r="P326" s="152">
        <v>21</v>
      </c>
      <c r="Q326" s="150">
        <v>3.7589999999999999</v>
      </c>
      <c r="R326" s="150">
        <v>7198</v>
      </c>
      <c r="T326" s="150">
        <v>5.6820000000000004</v>
      </c>
      <c r="U326" s="164">
        <v>0</v>
      </c>
      <c r="V326" s="164">
        <v>6.2659347034793198E-3</v>
      </c>
      <c r="W326" s="164">
        <v>3.8532181976727001E-3</v>
      </c>
    </row>
    <row r="327" spans="1:23">
      <c r="A327" s="2" t="s">
        <v>128</v>
      </c>
      <c r="B327" s="2">
        <v>9817</v>
      </c>
      <c r="C327" s="2" t="s">
        <v>1657</v>
      </c>
      <c r="D327" s="2" t="s">
        <v>1658</v>
      </c>
      <c r="E327" s="4" t="s">
        <v>361</v>
      </c>
      <c r="F327" s="2" t="s">
        <v>1825</v>
      </c>
      <c r="G327" s="2" t="s">
        <v>1826</v>
      </c>
      <c r="H327" s="2" t="s">
        <v>367</v>
      </c>
      <c r="I327" s="2" t="s">
        <v>1025</v>
      </c>
      <c r="J327" s="2" t="s">
        <v>94</v>
      </c>
      <c r="K327" s="2" t="s">
        <v>345</v>
      </c>
      <c r="L327" s="2" t="s">
        <v>392</v>
      </c>
      <c r="M327" s="2" t="s">
        <v>780</v>
      </c>
      <c r="N327" s="2" t="s">
        <v>164</v>
      </c>
      <c r="O327" s="2" t="s">
        <v>99</v>
      </c>
      <c r="P327" s="152">
        <v>75</v>
      </c>
      <c r="Q327" s="150">
        <v>3.7589999999999999</v>
      </c>
      <c r="R327" s="150">
        <v>5313</v>
      </c>
      <c r="T327" s="150">
        <v>14.978999999999999</v>
      </c>
      <c r="U327" s="164">
        <v>9.9999999999999995E-7</v>
      </c>
      <c r="V327" s="164">
        <v>1.6517937065645999E-2</v>
      </c>
      <c r="W327" s="164">
        <v>1.0157657029847099E-2</v>
      </c>
    </row>
    <row r="328" spans="1:23">
      <c r="A328" s="2" t="s">
        <v>128</v>
      </c>
      <c r="B328" s="2">
        <v>9817</v>
      </c>
      <c r="C328" s="2" t="s">
        <v>1657</v>
      </c>
      <c r="D328" s="2" t="s">
        <v>1658</v>
      </c>
      <c r="E328" s="4" t="s">
        <v>361</v>
      </c>
      <c r="F328" s="2" t="s">
        <v>1827</v>
      </c>
      <c r="G328" s="2" t="s">
        <v>1828</v>
      </c>
      <c r="H328" s="2" t="s">
        <v>367</v>
      </c>
      <c r="I328" s="2" t="s">
        <v>1025</v>
      </c>
      <c r="J328" s="2" t="s">
        <v>94</v>
      </c>
      <c r="K328" s="2" t="s">
        <v>342</v>
      </c>
      <c r="L328" s="2" t="s">
        <v>414</v>
      </c>
      <c r="M328" s="2" t="s">
        <v>780</v>
      </c>
      <c r="N328" s="2" t="s">
        <v>164</v>
      </c>
      <c r="O328" s="2" t="s">
        <v>1219</v>
      </c>
      <c r="P328" s="152">
        <v>93</v>
      </c>
      <c r="Q328" s="150">
        <v>4.0199999999999996</v>
      </c>
      <c r="R328" s="150">
        <v>8518</v>
      </c>
      <c r="T328" s="150">
        <v>31.847000000000001</v>
      </c>
      <c r="U328" s="164">
        <v>1.9000000000000001E-5</v>
      </c>
      <c r="V328" s="164">
        <v>3.5119687723892998E-2</v>
      </c>
      <c r="W328" s="164">
        <v>2.1596749126534202E-2</v>
      </c>
    </row>
    <row r="329" spans="1:23">
      <c r="A329" s="2" t="s">
        <v>128</v>
      </c>
      <c r="B329" s="2">
        <v>9817</v>
      </c>
      <c r="C329" s="2" t="s">
        <v>1657</v>
      </c>
      <c r="D329" s="2" t="s">
        <v>1658</v>
      </c>
      <c r="E329" s="4" t="s">
        <v>361</v>
      </c>
      <c r="F329" s="2" t="s">
        <v>1716</v>
      </c>
      <c r="G329" s="2" t="s">
        <v>1717</v>
      </c>
      <c r="H329" s="2" t="s">
        <v>367</v>
      </c>
      <c r="I329" s="2" t="s">
        <v>1025</v>
      </c>
      <c r="J329" s="2" t="s">
        <v>94</v>
      </c>
      <c r="K329" s="2" t="s">
        <v>317</v>
      </c>
      <c r="L329" s="2" t="s">
        <v>392</v>
      </c>
      <c r="M329" s="2" t="s">
        <v>780</v>
      </c>
      <c r="N329" s="2" t="s">
        <v>164</v>
      </c>
      <c r="O329" s="2" t="s">
        <v>99</v>
      </c>
      <c r="P329" s="152">
        <v>19</v>
      </c>
      <c r="Q329" s="150">
        <v>3.7589999999999999</v>
      </c>
      <c r="R329" s="150">
        <v>4217</v>
      </c>
      <c r="T329" s="150">
        <v>3.012</v>
      </c>
      <c r="U329" s="164">
        <v>0</v>
      </c>
      <c r="V329" s="164">
        <v>3.3213292465292901E-3</v>
      </c>
      <c r="W329" s="164">
        <v>2.04244169446625E-3</v>
      </c>
    </row>
    <row r="330" spans="1:23">
      <c r="A330" s="2" t="s">
        <v>128</v>
      </c>
      <c r="B330" s="2">
        <v>9817</v>
      </c>
      <c r="C330" s="2" t="s">
        <v>1574</v>
      </c>
      <c r="D330" s="2" t="s">
        <v>1575</v>
      </c>
      <c r="E330" s="4" t="s">
        <v>361</v>
      </c>
      <c r="F330" s="2" t="s">
        <v>1772</v>
      </c>
      <c r="G330" s="2" t="s">
        <v>1773</v>
      </c>
      <c r="H330" s="2" t="s">
        <v>367</v>
      </c>
      <c r="I330" s="2" t="s">
        <v>1025</v>
      </c>
      <c r="J330" s="2" t="s">
        <v>94</v>
      </c>
      <c r="K330" s="2" t="s">
        <v>95</v>
      </c>
      <c r="L330" s="2" t="s">
        <v>426</v>
      </c>
      <c r="M330" s="2" t="s">
        <v>780</v>
      </c>
      <c r="N330" s="2" t="s">
        <v>164</v>
      </c>
      <c r="O330" s="2" t="s">
        <v>99</v>
      </c>
      <c r="P330" s="152">
        <v>10</v>
      </c>
      <c r="Q330" s="150">
        <v>3.7589999999999999</v>
      </c>
      <c r="R330" s="150">
        <v>107787</v>
      </c>
      <c r="T330" s="150">
        <v>40.517000000000003</v>
      </c>
      <c r="U330" s="164">
        <v>1.9999999999999999E-6</v>
      </c>
      <c r="V330" s="164">
        <v>4.4680817679773902E-2</v>
      </c>
      <c r="W330" s="164">
        <v>2.7476337995511201E-2</v>
      </c>
    </row>
    <row r="331" spans="1:23">
      <c r="A331" s="2" t="s">
        <v>128</v>
      </c>
      <c r="B331" s="2">
        <v>9817</v>
      </c>
      <c r="C331" s="2" t="s">
        <v>1630</v>
      </c>
      <c r="D331" s="2" t="s">
        <v>1631</v>
      </c>
      <c r="E331" s="4" t="s">
        <v>361</v>
      </c>
      <c r="F331" s="2" t="s">
        <v>1829</v>
      </c>
      <c r="G331" s="2" t="s">
        <v>1830</v>
      </c>
      <c r="H331" s="2" t="s">
        <v>367</v>
      </c>
      <c r="I331" s="2" t="s">
        <v>1025</v>
      </c>
      <c r="J331" s="2" t="s">
        <v>94</v>
      </c>
      <c r="K331" s="2" t="s">
        <v>95</v>
      </c>
      <c r="L331" s="2" t="s">
        <v>390</v>
      </c>
      <c r="M331" s="2" t="s">
        <v>780</v>
      </c>
      <c r="N331" s="2" t="s">
        <v>164</v>
      </c>
      <c r="O331" s="2" t="s">
        <v>99</v>
      </c>
      <c r="P331" s="152">
        <v>9</v>
      </c>
      <c r="Q331" s="150">
        <v>3.7589999999999999</v>
      </c>
      <c r="R331" s="150">
        <v>54422</v>
      </c>
      <c r="S331" s="155">
        <v>1.0999999999999999E-2</v>
      </c>
      <c r="T331" s="150">
        <v>18.452999999999999</v>
      </c>
      <c r="U331" s="164">
        <v>0</v>
      </c>
      <c r="V331" s="164">
        <v>2.0349391496398299E-2</v>
      </c>
      <c r="W331" s="164">
        <v>1.2513798712576501E-2</v>
      </c>
    </row>
    <row r="332" spans="1:23">
      <c r="A332" s="2" t="s">
        <v>128</v>
      </c>
      <c r="B332" s="2">
        <v>9817</v>
      </c>
      <c r="C332" s="2" t="s">
        <v>1735</v>
      </c>
      <c r="D332" s="2" t="s">
        <v>1736</v>
      </c>
      <c r="E332" s="4" t="s">
        <v>361</v>
      </c>
      <c r="F332" s="2" t="s">
        <v>1831</v>
      </c>
      <c r="G332" s="2" t="s">
        <v>1832</v>
      </c>
      <c r="H332" s="2" t="s">
        <v>367</v>
      </c>
      <c r="I332" s="2" t="s">
        <v>1025</v>
      </c>
      <c r="J332" s="2" t="s">
        <v>94</v>
      </c>
      <c r="K332" s="2" t="s">
        <v>345</v>
      </c>
      <c r="L332" s="2" t="s">
        <v>390</v>
      </c>
      <c r="M332" s="2" t="s">
        <v>780</v>
      </c>
      <c r="N332" s="2" t="s">
        <v>164</v>
      </c>
      <c r="O332" s="2" t="s">
        <v>99</v>
      </c>
      <c r="P332" s="152">
        <v>67</v>
      </c>
      <c r="Q332" s="150">
        <v>3.7589999999999999</v>
      </c>
      <c r="R332" s="150">
        <v>5864</v>
      </c>
      <c r="T332" s="150">
        <v>14.769</v>
      </c>
      <c r="U332" s="164">
        <v>0</v>
      </c>
      <c r="V332" s="164">
        <v>1.62863398151642E-2</v>
      </c>
      <c r="W332" s="164">
        <v>1.0015236978838301E-2</v>
      </c>
    </row>
    <row r="333" spans="1:23">
      <c r="A333" s="2" t="s">
        <v>128</v>
      </c>
      <c r="B333" s="2">
        <v>9817</v>
      </c>
      <c r="C333" s="2" t="s">
        <v>1735</v>
      </c>
      <c r="D333" s="2" t="s">
        <v>1736</v>
      </c>
      <c r="E333" s="4" t="s">
        <v>361</v>
      </c>
      <c r="F333" s="2" t="s">
        <v>1776</v>
      </c>
      <c r="G333" s="2" t="s">
        <v>1777</v>
      </c>
      <c r="H333" s="2" t="s">
        <v>367</v>
      </c>
      <c r="I333" s="2" t="s">
        <v>1025</v>
      </c>
      <c r="J333" s="2" t="s">
        <v>94</v>
      </c>
      <c r="K333" s="2" t="s">
        <v>95</v>
      </c>
      <c r="L333" s="2" t="s">
        <v>390</v>
      </c>
      <c r="M333" s="2" t="s">
        <v>780</v>
      </c>
      <c r="N333" s="2" t="s">
        <v>164</v>
      </c>
      <c r="O333" s="2" t="s">
        <v>99</v>
      </c>
      <c r="P333" s="152">
        <v>14</v>
      </c>
      <c r="Q333" s="150">
        <v>3.7589999999999999</v>
      </c>
      <c r="R333" s="150">
        <v>50013</v>
      </c>
      <c r="S333" s="155">
        <v>1.7000000000000001E-2</v>
      </c>
      <c r="T333" s="150">
        <v>26.385000000000002</v>
      </c>
      <c r="U333" s="164">
        <v>0</v>
      </c>
      <c r="V333" s="164">
        <v>2.9096902956363399E-2</v>
      </c>
      <c r="W333" s="164">
        <v>1.78930552699696E-2</v>
      </c>
    </row>
    <row r="334" spans="1:23">
      <c r="A334" s="2" t="s">
        <v>128</v>
      </c>
      <c r="B334" s="2">
        <v>9817</v>
      </c>
      <c r="C334" s="2" t="s">
        <v>1739</v>
      </c>
      <c r="D334" s="2" t="s">
        <v>1740</v>
      </c>
      <c r="E334" s="4" t="s">
        <v>361</v>
      </c>
      <c r="F334" s="2" t="s">
        <v>1782</v>
      </c>
      <c r="G334" s="2" t="s">
        <v>1783</v>
      </c>
      <c r="H334" s="2" t="s">
        <v>367</v>
      </c>
      <c r="I334" s="2" t="s">
        <v>1025</v>
      </c>
      <c r="J334" s="2" t="s">
        <v>94</v>
      </c>
      <c r="K334" s="2" t="s">
        <v>345</v>
      </c>
      <c r="L334" s="2" t="s">
        <v>390</v>
      </c>
      <c r="M334" s="2" t="s">
        <v>780</v>
      </c>
      <c r="N334" s="2" t="s">
        <v>164</v>
      </c>
      <c r="O334" s="2" t="s">
        <v>99</v>
      </c>
      <c r="P334" s="152">
        <v>398</v>
      </c>
      <c r="Q334" s="150">
        <v>3.7589999999999999</v>
      </c>
      <c r="R334" s="150">
        <v>3063</v>
      </c>
      <c r="T334" s="150">
        <v>45.825000000000003</v>
      </c>
      <c r="U334" s="164">
        <v>5.0000000000000004E-6</v>
      </c>
      <c r="V334" s="164">
        <v>5.0534130398056001E-2</v>
      </c>
      <c r="W334" s="164">
        <v>3.10758155116478E-2</v>
      </c>
    </row>
    <row r="335" spans="1:23">
      <c r="A335" s="2" t="s">
        <v>144</v>
      </c>
      <c r="B335" s="2">
        <v>969</v>
      </c>
      <c r="C335" s="2" t="s">
        <v>1602</v>
      </c>
      <c r="D335" s="2" t="s">
        <v>1603</v>
      </c>
      <c r="E335" s="4" t="s">
        <v>1376</v>
      </c>
      <c r="F335" s="2" t="s">
        <v>1616</v>
      </c>
      <c r="G335" s="2" t="s">
        <v>1617</v>
      </c>
      <c r="H335" s="2" t="s">
        <v>367</v>
      </c>
      <c r="I335" s="2" t="s">
        <v>1025</v>
      </c>
      <c r="J335" s="2" t="s">
        <v>31</v>
      </c>
      <c r="K335" s="2" t="s">
        <v>95</v>
      </c>
      <c r="L335" s="2" t="s">
        <v>32</v>
      </c>
      <c r="M335" s="2" t="s">
        <v>1609</v>
      </c>
      <c r="N335" s="2" t="s">
        <v>164</v>
      </c>
      <c r="O335" s="2" t="s">
        <v>35</v>
      </c>
      <c r="P335" s="152">
        <v>7424</v>
      </c>
      <c r="Q335" s="150">
        <v>1</v>
      </c>
      <c r="R335" s="150">
        <v>8914</v>
      </c>
      <c r="T335" s="150">
        <v>661.77499999999998</v>
      </c>
      <c r="U335" s="164">
        <v>1.9710000000000001E-3</v>
      </c>
      <c r="V335" s="164">
        <v>3.31433591194875E-2</v>
      </c>
      <c r="W335" s="164">
        <v>8.97256691657939E-3</v>
      </c>
    </row>
    <row r="336" spans="1:23">
      <c r="A336" s="2" t="s">
        <v>144</v>
      </c>
      <c r="B336" s="2">
        <v>969</v>
      </c>
      <c r="C336" s="2" t="s">
        <v>1618</v>
      </c>
      <c r="D336" s="2" t="s">
        <v>1619</v>
      </c>
      <c r="E336" s="4" t="s">
        <v>1376</v>
      </c>
      <c r="F336" s="2" t="s">
        <v>1813</v>
      </c>
      <c r="G336" s="2" t="s">
        <v>1814</v>
      </c>
      <c r="H336" s="2" t="s">
        <v>367</v>
      </c>
      <c r="I336" s="2" t="s">
        <v>1026</v>
      </c>
      <c r="J336" s="2" t="s">
        <v>31</v>
      </c>
      <c r="K336" s="2" t="s">
        <v>31</v>
      </c>
      <c r="L336" s="2" t="s">
        <v>32</v>
      </c>
      <c r="M336" s="2" t="s">
        <v>1790</v>
      </c>
      <c r="N336" s="2" t="s">
        <v>164</v>
      </c>
      <c r="O336" s="2" t="s">
        <v>35</v>
      </c>
      <c r="P336" s="152">
        <v>481259</v>
      </c>
      <c r="Q336" s="150">
        <v>1</v>
      </c>
      <c r="R336" s="150">
        <v>355.84</v>
      </c>
      <c r="T336" s="150">
        <v>1712.5119999999999</v>
      </c>
      <c r="U336" s="164">
        <v>1.5579999999999999E-3</v>
      </c>
      <c r="V336" s="164">
        <v>8.5766869683545993E-2</v>
      </c>
      <c r="W336" s="164">
        <v>2.3218798513657098E-2</v>
      </c>
    </row>
    <row r="337" spans="1:23">
      <c r="A337" s="2" t="s">
        <v>144</v>
      </c>
      <c r="B337" s="2">
        <v>969</v>
      </c>
      <c r="C337" s="2" t="s">
        <v>1602</v>
      </c>
      <c r="D337" s="2" t="s">
        <v>1603</v>
      </c>
      <c r="E337" s="4" t="s">
        <v>1376</v>
      </c>
      <c r="F337" s="2" t="s">
        <v>1628</v>
      </c>
      <c r="G337" s="2" t="s">
        <v>1629</v>
      </c>
      <c r="H337" s="2" t="s">
        <v>367</v>
      </c>
      <c r="I337" s="2" t="s">
        <v>1025</v>
      </c>
      <c r="J337" s="2" t="s">
        <v>31</v>
      </c>
      <c r="K337" s="2" t="s">
        <v>95</v>
      </c>
      <c r="L337" s="2" t="s">
        <v>32</v>
      </c>
      <c r="M337" s="2" t="s">
        <v>1609</v>
      </c>
      <c r="N337" s="2" t="s">
        <v>164</v>
      </c>
      <c r="O337" s="2" t="s">
        <v>35</v>
      </c>
      <c r="P337" s="152">
        <v>4783</v>
      </c>
      <c r="Q337" s="150">
        <v>1</v>
      </c>
      <c r="R337" s="150">
        <v>3000</v>
      </c>
      <c r="T337" s="150">
        <v>143.49</v>
      </c>
      <c r="U337" s="164">
        <v>2.3900000000000001E-4</v>
      </c>
      <c r="V337" s="164">
        <v>7.1863367654777296E-3</v>
      </c>
      <c r="W337" s="164">
        <v>1.94548438137675E-3</v>
      </c>
    </row>
    <row r="338" spans="1:23">
      <c r="A338" s="2" t="s">
        <v>144</v>
      </c>
      <c r="B338" s="2">
        <v>969</v>
      </c>
      <c r="C338" s="2" t="s">
        <v>1743</v>
      </c>
      <c r="D338" s="2" t="s">
        <v>1744</v>
      </c>
      <c r="E338" s="4" t="s">
        <v>1376</v>
      </c>
      <c r="F338" s="2" t="s">
        <v>1755</v>
      </c>
      <c r="G338" s="2" t="s">
        <v>1756</v>
      </c>
      <c r="H338" s="2" t="s">
        <v>367</v>
      </c>
      <c r="I338" s="2" t="s">
        <v>1025</v>
      </c>
      <c r="J338" s="2" t="s">
        <v>31</v>
      </c>
      <c r="K338" s="2" t="s">
        <v>95</v>
      </c>
      <c r="L338" s="2" t="s">
        <v>32</v>
      </c>
      <c r="M338" s="2" t="s">
        <v>1609</v>
      </c>
      <c r="N338" s="2" t="s">
        <v>164</v>
      </c>
      <c r="O338" s="2" t="s">
        <v>35</v>
      </c>
      <c r="P338" s="152">
        <v>2440</v>
      </c>
      <c r="Q338" s="150">
        <v>1</v>
      </c>
      <c r="R338" s="150">
        <v>22530</v>
      </c>
      <c r="T338" s="150">
        <v>549.73199999999997</v>
      </c>
      <c r="U338" s="164">
        <v>1.56E-4</v>
      </c>
      <c r="V338" s="164">
        <v>2.75319484476939E-2</v>
      </c>
      <c r="W338" s="164">
        <v>7.4534463721722998E-3</v>
      </c>
    </row>
    <row r="339" spans="1:23">
      <c r="A339" s="2" t="s">
        <v>144</v>
      </c>
      <c r="B339" s="2">
        <v>969</v>
      </c>
      <c r="C339" s="2" t="s">
        <v>1630</v>
      </c>
      <c r="D339" s="2" t="s">
        <v>1631</v>
      </c>
      <c r="E339" s="4" t="s">
        <v>361</v>
      </c>
      <c r="F339" s="2" t="s">
        <v>1632</v>
      </c>
      <c r="G339" s="2" t="s">
        <v>1633</v>
      </c>
      <c r="H339" s="2" t="s">
        <v>367</v>
      </c>
      <c r="I339" s="2" t="s">
        <v>1025</v>
      </c>
      <c r="J339" s="2" t="s">
        <v>94</v>
      </c>
      <c r="K339" s="2" t="s">
        <v>95</v>
      </c>
      <c r="L339" s="2" t="s">
        <v>390</v>
      </c>
      <c r="M339" s="2" t="s">
        <v>780</v>
      </c>
      <c r="N339" s="2" t="s">
        <v>164</v>
      </c>
      <c r="O339" s="2" t="s">
        <v>99</v>
      </c>
      <c r="P339" s="152">
        <v>1107</v>
      </c>
      <c r="Q339" s="150">
        <v>3.7589999999999999</v>
      </c>
      <c r="R339" s="150">
        <v>6814</v>
      </c>
      <c r="T339" s="150">
        <v>283.54500000000002</v>
      </c>
      <c r="U339" s="164">
        <v>5.0000000000000004E-6</v>
      </c>
      <c r="V339" s="164">
        <v>1.42006428666529E-2</v>
      </c>
      <c r="W339" s="164">
        <v>3.8443966382565998E-3</v>
      </c>
    </row>
    <row r="340" spans="1:23">
      <c r="A340" s="2" t="s">
        <v>144</v>
      </c>
      <c r="B340" s="2">
        <v>969</v>
      </c>
      <c r="C340" s="2" t="s">
        <v>1574</v>
      </c>
      <c r="D340" s="2" t="s">
        <v>1575</v>
      </c>
      <c r="E340" s="4" t="s">
        <v>361</v>
      </c>
      <c r="F340" s="2" t="s">
        <v>1634</v>
      </c>
      <c r="G340" s="2" t="s">
        <v>1635</v>
      </c>
      <c r="H340" s="2" t="s">
        <v>367</v>
      </c>
      <c r="I340" s="2" t="s">
        <v>1025</v>
      </c>
      <c r="J340" s="2" t="s">
        <v>94</v>
      </c>
      <c r="K340" s="2" t="s">
        <v>95</v>
      </c>
      <c r="L340" s="2" t="s">
        <v>390</v>
      </c>
      <c r="M340" s="2" t="s">
        <v>780</v>
      </c>
      <c r="N340" s="2" t="s">
        <v>164</v>
      </c>
      <c r="O340" s="2" t="s">
        <v>99</v>
      </c>
      <c r="P340" s="152">
        <v>587</v>
      </c>
      <c r="Q340" s="150">
        <v>3.7589999999999999</v>
      </c>
      <c r="R340" s="150">
        <v>10272</v>
      </c>
      <c r="T340" s="150">
        <v>226.655</v>
      </c>
      <c r="U340" s="164">
        <v>3.0000000000000001E-5</v>
      </c>
      <c r="V340" s="164">
        <v>1.13514506996878E-2</v>
      </c>
      <c r="W340" s="164">
        <v>3.0730636154292102E-3</v>
      </c>
    </row>
    <row r="341" spans="1:23">
      <c r="A341" s="2" t="s">
        <v>144</v>
      </c>
      <c r="B341" s="2">
        <v>969</v>
      </c>
      <c r="C341" s="2" t="s">
        <v>1640</v>
      </c>
      <c r="D341" s="2" t="s">
        <v>1641</v>
      </c>
      <c r="E341" s="4" t="s">
        <v>361</v>
      </c>
      <c r="F341" s="2" t="s">
        <v>1645</v>
      </c>
      <c r="G341" s="2" t="s">
        <v>1646</v>
      </c>
      <c r="H341" s="2" t="s">
        <v>367</v>
      </c>
      <c r="I341" s="2" t="s">
        <v>1025</v>
      </c>
      <c r="J341" s="2" t="s">
        <v>94</v>
      </c>
      <c r="K341" s="2" t="s">
        <v>330</v>
      </c>
      <c r="L341" s="2" t="s">
        <v>410</v>
      </c>
      <c r="M341" s="2" t="s">
        <v>780</v>
      </c>
      <c r="N341" s="2" t="s">
        <v>164</v>
      </c>
      <c r="O341" s="2" t="s">
        <v>1219</v>
      </c>
      <c r="P341" s="152">
        <v>1130</v>
      </c>
      <c r="Q341" s="150">
        <v>4.0199999999999996</v>
      </c>
      <c r="R341" s="150">
        <v>11282</v>
      </c>
      <c r="T341" s="150">
        <v>512.52200000000005</v>
      </c>
      <c r="U341" s="164">
        <v>2.2499999999999999E-4</v>
      </c>
      <c r="V341" s="164">
        <v>2.5668360358804598E-2</v>
      </c>
      <c r="W341" s="164">
        <v>6.9489359882906401E-3</v>
      </c>
    </row>
    <row r="342" spans="1:23">
      <c r="A342" s="2" t="s">
        <v>144</v>
      </c>
      <c r="B342" s="2">
        <v>969</v>
      </c>
      <c r="C342" s="2" t="s">
        <v>1640</v>
      </c>
      <c r="D342" s="2" t="s">
        <v>1641</v>
      </c>
      <c r="E342" s="4" t="s">
        <v>361</v>
      </c>
      <c r="F342" s="2" t="s">
        <v>1651</v>
      </c>
      <c r="G342" s="2" t="s">
        <v>1652</v>
      </c>
      <c r="H342" s="2" t="s">
        <v>367</v>
      </c>
      <c r="I342" s="2" t="s">
        <v>1025</v>
      </c>
      <c r="J342" s="2" t="s">
        <v>94</v>
      </c>
      <c r="K342" s="2" t="s">
        <v>95</v>
      </c>
      <c r="L342" s="2" t="s">
        <v>426</v>
      </c>
      <c r="M342" s="2" t="s">
        <v>780</v>
      </c>
      <c r="N342" s="2" t="s">
        <v>164</v>
      </c>
      <c r="O342" s="2" t="s">
        <v>99</v>
      </c>
      <c r="P342" s="152">
        <v>2062</v>
      </c>
      <c r="Q342" s="150">
        <v>3.7589999999999999</v>
      </c>
      <c r="R342" s="150">
        <v>9337</v>
      </c>
      <c r="T342" s="150">
        <v>723.71600000000001</v>
      </c>
      <c r="U342" s="164">
        <v>0</v>
      </c>
      <c r="V342" s="164">
        <v>3.6245515018302102E-2</v>
      </c>
      <c r="W342" s="164">
        <v>9.8123822559790103E-3</v>
      </c>
    </row>
    <row r="343" spans="1:23">
      <c r="A343" s="2" t="s">
        <v>144</v>
      </c>
      <c r="B343" s="2">
        <v>969</v>
      </c>
      <c r="C343" s="2" t="s">
        <v>1630</v>
      </c>
      <c r="D343" s="2" t="s">
        <v>1631</v>
      </c>
      <c r="E343" s="4" t="s">
        <v>361</v>
      </c>
      <c r="F343" s="2" t="s">
        <v>1655</v>
      </c>
      <c r="G343" s="2" t="s">
        <v>1656</v>
      </c>
      <c r="H343" s="2" t="s">
        <v>367</v>
      </c>
      <c r="I343" s="2" t="s">
        <v>1025</v>
      </c>
      <c r="J343" s="2" t="s">
        <v>94</v>
      </c>
      <c r="K343" s="2" t="s">
        <v>95</v>
      </c>
      <c r="L343" s="2" t="s">
        <v>390</v>
      </c>
      <c r="M343" s="2" t="s">
        <v>780</v>
      </c>
      <c r="N343" s="2" t="s">
        <v>164</v>
      </c>
      <c r="O343" s="2" t="s">
        <v>99</v>
      </c>
      <c r="P343" s="152">
        <v>510</v>
      </c>
      <c r="Q343" s="150">
        <v>3.7589999999999999</v>
      </c>
      <c r="R343" s="150">
        <v>18240</v>
      </c>
      <c r="T343" s="150">
        <v>349.67700000000002</v>
      </c>
      <c r="U343" s="164">
        <v>5.0000000000000004E-6</v>
      </c>
      <c r="V343" s="164">
        <v>1.75127063446282E-2</v>
      </c>
      <c r="W343" s="164">
        <v>4.74103813681305E-3</v>
      </c>
    </row>
    <row r="344" spans="1:23">
      <c r="A344" s="2" t="s">
        <v>144</v>
      </c>
      <c r="B344" s="2">
        <v>969</v>
      </c>
      <c r="C344" s="2" t="s">
        <v>1657</v>
      </c>
      <c r="D344" s="2" t="s">
        <v>1658</v>
      </c>
      <c r="E344" s="4" t="s">
        <v>361</v>
      </c>
      <c r="F344" s="2" t="s">
        <v>1659</v>
      </c>
      <c r="G344" s="2" t="s">
        <v>1660</v>
      </c>
      <c r="H344" s="2" t="s">
        <v>367</v>
      </c>
      <c r="I344" s="2" t="s">
        <v>1025</v>
      </c>
      <c r="J344" s="2" t="s">
        <v>94</v>
      </c>
      <c r="K344" s="2" t="s">
        <v>95</v>
      </c>
      <c r="L344" s="2" t="s">
        <v>390</v>
      </c>
      <c r="M344" s="2" t="s">
        <v>780</v>
      </c>
      <c r="N344" s="2" t="s">
        <v>164</v>
      </c>
      <c r="O344" s="2" t="s">
        <v>99</v>
      </c>
      <c r="P344" s="152">
        <v>1125</v>
      </c>
      <c r="Q344" s="150">
        <v>3.7589999999999999</v>
      </c>
      <c r="R344" s="150">
        <v>5242</v>
      </c>
      <c r="T344" s="150">
        <v>221.678</v>
      </c>
      <c r="U344" s="164">
        <v>1.9699999999999999E-4</v>
      </c>
      <c r="V344" s="164">
        <v>1.1102167987923401E-2</v>
      </c>
      <c r="W344" s="164">
        <v>3.00557782425189E-3</v>
      </c>
    </row>
    <row r="345" spans="1:23">
      <c r="A345" s="2" t="s">
        <v>144</v>
      </c>
      <c r="B345" s="2">
        <v>969</v>
      </c>
      <c r="C345" s="2" t="s">
        <v>1630</v>
      </c>
      <c r="D345" s="2" t="s">
        <v>1631</v>
      </c>
      <c r="E345" s="4" t="s">
        <v>361</v>
      </c>
      <c r="F345" s="2" t="s">
        <v>1661</v>
      </c>
      <c r="G345" s="2" t="s">
        <v>1662</v>
      </c>
      <c r="H345" s="2" t="s">
        <v>367</v>
      </c>
      <c r="I345" s="2" t="s">
        <v>1025</v>
      </c>
      <c r="J345" s="2" t="s">
        <v>94</v>
      </c>
      <c r="K345" s="2" t="s">
        <v>95</v>
      </c>
      <c r="L345" s="2" t="s">
        <v>390</v>
      </c>
      <c r="M345" s="2" t="s">
        <v>780</v>
      </c>
      <c r="N345" s="2" t="s">
        <v>164</v>
      </c>
      <c r="O345" s="2" t="s">
        <v>99</v>
      </c>
      <c r="P345" s="152">
        <v>10594</v>
      </c>
      <c r="Q345" s="150">
        <v>3.7589999999999999</v>
      </c>
      <c r="R345" s="150">
        <v>4111</v>
      </c>
      <c r="T345" s="150">
        <v>1637.117</v>
      </c>
      <c r="U345" s="164">
        <v>1.2E-5</v>
      </c>
      <c r="V345" s="164">
        <v>8.1990908892611403E-2</v>
      </c>
      <c r="W345" s="164">
        <v>2.2196570780225001E-2</v>
      </c>
    </row>
    <row r="346" spans="1:23">
      <c r="A346" s="2" t="s">
        <v>144</v>
      </c>
      <c r="B346" s="2">
        <v>969</v>
      </c>
      <c r="C346" s="2" t="s">
        <v>1663</v>
      </c>
      <c r="D346" s="2" t="s">
        <v>1664</v>
      </c>
      <c r="E346" s="4" t="s">
        <v>361</v>
      </c>
      <c r="F346" s="2" t="s">
        <v>1667</v>
      </c>
      <c r="G346" s="2" t="s">
        <v>1668</v>
      </c>
      <c r="H346" s="2" t="s">
        <v>367</v>
      </c>
      <c r="I346" s="2" t="s">
        <v>1025</v>
      </c>
      <c r="J346" s="2" t="s">
        <v>94</v>
      </c>
      <c r="K346" s="2" t="s">
        <v>345</v>
      </c>
      <c r="L346" s="2" t="s">
        <v>392</v>
      </c>
      <c r="M346" s="2" t="s">
        <v>780</v>
      </c>
      <c r="N346" s="2" t="s">
        <v>164</v>
      </c>
      <c r="O346" s="2" t="s">
        <v>99</v>
      </c>
      <c r="P346" s="152">
        <v>853</v>
      </c>
      <c r="Q346" s="150">
        <v>3.7589999999999999</v>
      </c>
      <c r="R346" s="150">
        <v>11558</v>
      </c>
      <c r="T346" s="150">
        <v>370.59899999999999</v>
      </c>
      <c r="U346" s="164">
        <v>1.1900000000000001E-4</v>
      </c>
      <c r="V346" s="164">
        <v>1.8560513041937999E-2</v>
      </c>
      <c r="W346" s="164">
        <v>5.0247002627115903E-3</v>
      </c>
    </row>
    <row r="347" spans="1:23">
      <c r="A347" s="2" t="s">
        <v>144</v>
      </c>
      <c r="B347" s="2">
        <v>969</v>
      </c>
      <c r="C347" s="2" t="s">
        <v>1669</v>
      </c>
      <c r="D347" s="2" t="s">
        <v>1670</v>
      </c>
      <c r="E347" s="4" t="s">
        <v>361</v>
      </c>
      <c r="F347" s="2" t="s">
        <v>1671</v>
      </c>
      <c r="G347" s="2" t="s">
        <v>1672</v>
      </c>
      <c r="H347" s="2" t="s">
        <v>367</v>
      </c>
      <c r="I347" s="2" t="s">
        <v>1025</v>
      </c>
      <c r="J347" s="2" t="s">
        <v>94</v>
      </c>
      <c r="K347" s="2" t="s">
        <v>95</v>
      </c>
      <c r="L347" s="2" t="s">
        <v>390</v>
      </c>
      <c r="M347" s="2" t="s">
        <v>780</v>
      </c>
      <c r="N347" s="2" t="s">
        <v>164</v>
      </c>
      <c r="O347" s="2" t="s">
        <v>99</v>
      </c>
      <c r="P347" s="152">
        <v>957</v>
      </c>
      <c r="Q347" s="150">
        <v>3.7589999999999999</v>
      </c>
      <c r="R347" s="150">
        <v>3393</v>
      </c>
      <c r="T347" s="150">
        <v>122.059</v>
      </c>
      <c r="U347" s="164">
        <v>1.9999999999999999E-6</v>
      </c>
      <c r="V347" s="164">
        <v>6.11299517160609E-3</v>
      </c>
      <c r="W347" s="164">
        <v>1.6549094507958999E-3</v>
      </c>
    </row>
    <row r="348" spans="1:23">
      <c r="A348" s="2" t="s">
        <v>144</v>
      </c>
      <c r="B348" s="2">
        <v>969</v>
      </c>
      <c r="C348" s="2" t="s">
        <v>1630</v>
      </c>
      <c r="D348" s="2" t="s">
        <v>1631</v>
      </c>
      <c r="E348" s="4" t="s">
        <v>361</v>
      </c>
      <c r="F348" s="2" t="s">
        <v>1677</v>
      </c>
      <c r="G348" s="2" t="s">
        <v>1678</v>
      </c>
      <c r="H348" s="2" t="s">
        <v>367</v>
      </c>
      <c r="I348" s="2" t="s">
        <v>1025</v>
      </c>
      <c r="J348" s="2" t="s">
        <v>94</v>
      </c>
      <c r="K348" s="2" t="s">
        <v>95</v>
      </c>
      <c r="L348" s="2" t="s">
        <v>390</v>
      </c>
      <c r="M348" s="2" t="s">
        <v>780</v>
      </c>
      <c r="N348" s="2" t="s">
        <v>164</v>
      </c>
      <c r="O348" s="2" t="s">
        <v>99</v>
      </c>
      <c r="P348" s="152">
        <v>2262</v>
      </c>
      <c r="Q348" s="150">
        <v>3.7589999999999999</v>
      </c>
      <c r="R348" s="150">
        <v>14575</v>
      </c>
      <c r="T348" s="150">
        <v>1239.2919999999999</v>
      </c>
      <c r="U348" s="164">
        <v>7.9999999999999996E-6</v>
      </c>
      <c r="V348" s="164">
        <v>6.2066809213625097E-2</v>
      </c>
      <c r="W348" s="164">
        <v>1.6802720477429599E-2</v>
      </c>
    </row>
    <row r="349" spans="1:23">
      <c r="A349" s="2" t="s">
        <v>144</v>
      </c>
      <c r="B349" s="2">
        <v>969</v>
      </c>
      <c r="C349" s="2" t="s">
        <v>1679</v>
      </c>
      <c r="D349" s="2" t="s">
        <v>1680</v>
      </c>
      <c r="E349" s="4" t="s">
        <v>361</v>
      </c>
      <c r="F349" s="2" t="s">
        <v>1681</v>
      </c>
      <c r="G349" s="2" t="s">
        <v>1682</v>
      </c>
      <c r="H349" s="2" t="s">
        <v>367</v>
      </c>
      <c r="I349" s="2" t="s">
        <v>1025</v>
      </c>
      <c r="J349" s="2" t="s">
        <v>94</v>
      </c>
      <c r="K349" s="2" t="s">
        <v>331</v>
      </c>
      <c r="L349" s="2" t="s">
        <v>1683</v>
      </c>
      <c r="M349" s="2" t="s">
        <v>780</v>
      </c>
      <c r="N349" s="2" t="s">
        <v>164</v>
      </c>
      <c r="O349" s="2" t="s">
        <v>1218</v>
      </c>
      <c r="P349" s="152">
        <v>880</v>
      </c>
      <c r="Q349" s="150">
        <v>2.7410000000000001</v>
      </c>
      <c r="R349" s="150">
        <v>5597</v>
      </c>
      <c r="T349" s="150">
        <v>135.01900000000001</v>
      </c>
      <c r="U349" s="164">
        <v>1.2E-5</v>
      </c>
      <c r="V349" s="164">
        <v>6.7620826516601399E-3</v>
      </c>
      <c r="W349" s="164">
        <v>1.83063034946831E-3</v>
      </c>
    </row>
    <row r="350" spans="1:23">
      <c r="A350" s="2" t="s">
        <v>144</v>
      </c>
      <c r="B350" s="2">
        <v>969</v>
      </c>
      <c r="C350" s="2" t="s">
        <v>1657</v>
      </c>
      <c r="D350" s="2" t="s">
        <v>1658</v>
      </c>
      <c r="E350" s="4" t="s">
        <v>361</v>
      </c>
      <c r="F350" s="2" t="s">
        <v>1684</v>
      </c>
      <c r="G350" s="2" t="s">
        <v>1685</v>
      </c>
      <c r="H350" s="2" t="s">
        <v>367</v>
      </c>
      <c r="I350" s="2" t="s">
        <v>1027</v>
      </c>
      <c r="J350" s="2" t="s">
        <v>94</v>
      </c>
      <c r="K350" s="2" t="s">
        <v>1644</v>
      </c>
      <c r="L350" s="2" t="s">
        <v>426</v>
      </c>
      <c r="M350" s="2" t="s">
        <v>777</v>
      </c>
      <c r="N350" s="2" t="s">
        <v>164</v>
      </c>
      <c r="O350" s="2" t="s">
        <v>99</v>
      </c>
      <c r="P350" s="152">
        <v>2091</v>
      </c>
      <c r="Q350" s="150">
        <v>3.7589999999999999</v>
      </c>
      <c r="R350" s="150">
        <v>4331.5</v>
      </c>
      <c r="T350" s="150">
        <v>340.459</v>
      </c>
      <c r="U350" s="164">
        <v>0</v>
      </c>
      <c r="V350" s="164">
        <v>1.7051029543870801E-2</v>
      </c>
      <c r="W350" s="164">
        <v>4.6160530387819899E-3</v>
      </c>
    </row>
    <row r="351" spans="1:23">
      <c r="A351" s="2" t="s">
        <v>144</v>
      </c>
      <c r="B351" s="2">
        <v>969</v>
      </c>
      <c r="C351" s="2" t="s">
        <v>1630</v>
      </c>
      <c r="D351" s="2" t="s">
        <v>1631</v>
      </c>
      <c r="E351" s="4" t="s">
        <v>361</v>
      </c>
      <c r="F351" s="2" t="s">
        <v>1686</v>
      </c>
      <c r="G351" s="2" t="s">
        <v>1687</v>
      </c>
      <c r="H351" s="2" t="s">
        <v>367</v>
      </c>
      <c r="I351" s="2" t="s">
        <v>1025</v>
      </c>
      <c r="J351" s="2" t="s">
        <v>94</v>
      </c>
      <c r="K351" s="2" t="s">
        <v>95</v>
      </c>
      <c r="L351" s="2" t="s">
        <v>390</v>
      </c>
      <c r="M351" s="2" t="s">
        <v>780</v>
      </c>
      <c r="N351" s="2" t="s">
        <v>164</v>
      </c>
      <c r="O351" s="2" t="s">
        <v>99</v>
      </c>
      <c r="P351" s="152">
        <v>1213</v>
      </c>
      <c r="Q351" s="150">
        <v>3.7589999999999999</v>
      </c>
      <c r="R351" s="150">
        <v>12187</v>
      </c>
      <c r="T351" s="150">
        <v>555.68700000000001</v>
      </c>
      <c r="U351" s="164">
        <v>9.0000000000000002E-6</v>
      </c>
      <c r="V351" s="164">
        <v>2.7830170520002001E-2</v>
      </c>
      <c r="W351" s="164">
        <v>7.5341810222160103E-3</v>
      </c>
    </row>
    <row r="352" spans="1:23">
      <c r="A352" s="2" t="s">
        <v>144</v>
      </c>
      <c r="B352" s="2">
        <v>969</v>
      </c>
      <c r="C352" s="2" t="s">
        <v>1570</v>
      </c>
      <c r="D352" s="2" t="s">
        <v>1571</v>
      </c>
      <c r="E352" s="4" t="s">
        <v>361</v>
      </c>
      <c r="F352" s="2" t="s">
        <v>1688</v>
      </c>
      <c r="G352" s="2" t="s">
        <v>1689</v>
      </c>
      <c r="H352" s="2" t="s">
        <v>367</v>
      </c>
      <c r="I352" s="2" t="s">
        <v>1027</v>
      </c>
      <c r="J352" s="2" t="s">
        <v>94</v>
      </c>
      <c r="K352" s="2" t="s">
        <v>95</v>
      </c>
      <c r="L352" s="2" t="s">
        <v>426</v>
      </c>
      <c r="M352" s="2" t="s">
        <v>777</v>
      </c>
      <c r="N352" s="2" t="s">
        <v>164</v>
      </c>
      <c r="O352" s="2" t="s">
        <v>99</v>
      </c>
      <c r="P352" s="152">
        <v>9779</v>
      </c>
      <c r="Q352" s="150">
        <v>3.7589999999999999</v>
      </c>
      <c r="R352" s="150">
        <v>2742.25</v>
      </c>
      <c r="T352" s="150">
        <v>1008.0309999999999</v>
      </c>
      <c r="U352" s="164">
        <v>0</v>
      </c>
      <c r="V352" s="164">
        <v>5.0484696136739997E-2</v>
      </c>
      <c r="W352" s="164">
        <v>1.36672119659632E-2</v>
      </c>
    </row>
    <row r="353" spans="1:23">
      <c r="A353" s="2" t="s">
        <v>144</v>
      </c>
      <c r="B353" s="2">
        <v>969</v>
      </c>
      <c r="C353" s="2" t="s">
        <v>1657</v>
      </c>
      <c r="D353" s="2" t="s">
        <v>1658</v>
      </c>
      <c r="E353" s="4" t="s">
        <v>361</v>
      </c>
      <c r="F353" s="2" t="s">
        <v>1690</v>
      </c>
      <c r="G353" s="2" t="s">
        <v>1691</v>
      </c>
      <c r="H353" s="2" t="s">
        <v>367</v>
      </c>
      <c r="I353" s="2" t="s">
        <v>1025</v>
      </c>
      <c r="J353" s="2" t="s">
        <v>94</v>
      </c>
      <c r="K353" s="2" t="s">
        <v>282</v>
      </c>
      <c r="L353" s="2" t="s">
        <v>426</v>
      </c>
      <c r="M353" s="2" t="s">
        <v>780</v>
      </c>
      <c r="N353" s="2" t="s">
        <v>164</v>
      </c>
      <c r="O353" s="2" t="s">
        <v>1221</v>
      </c>
      <c r="P353" s="152">
        <v>30122</v>
      </c>
      <c r="Q353" s="150">
        <v>4.75</v>
      </c>
      <c r="R353" s="150">
        <v>793.9</v>
      </c>
      <c r="T353" s="150">
        <v>1136.028</v>
      </c>
      <c r="U353" s="164">
        <v>4.8999999999999998E-5</v>
      </c>
      <c r="V353" s="164">
        <v>5.6895099095753403E-2</v>
      </c>
      <c r="W353" s="164">
        <v>1.54026356236747E-2</v>
      </c>
    </row>
    <row r="354" spans="1:23">
      <c r="A354" s="2" t="s">
        <v>144</v>
      </c>
      <c r="B354" s="2">
        <v>969</v>
      </c>
      <c r="C354" s="2" t="s">
        <v>1657</v>
      </c>
      <c r="D354" s="2" t="s">
        <v>1658</v>
      </c>
      <c r="E354" s="4" t="s">
        <v>361</v>
      </c>
      <c r="F354" s="2" t="s">
        <v>1692</v>
      </c>
      <c r="G354" s="2" t="s">
        <v>1693</v>
      </c>
      <c r="H354" s="2" t="s">
        <v>367</v>
      </c>
      <c r="I354" s="2" t="s">
        <v>1027</v>
      </c>
      <c r="J354" s="2" t="s">
        <v>94</v>
      </c>
      <c r="K354" s="2" t="s">
        <v>95</v>
      </c>
      <c r="L354" s="2" t="s">
        <v>426</v>
      </c>
      <c r="M354" s="2" t="s">
        <v>777</v>
      </c>
      <c r="N354" s="2" t="s">
        <v>164</v>
      </c>
      <c r="O354" s="2" t="s">
        <v>99</v>
      </c>
      <c r="P354" s="152">
        <v>3451</v>
      </c>
      <c r="Q354" s="150">
        <v>3.7589999999999999</v>
      </c>
      <c r="R354" s="150">
        <v>9190</v>
      </c>
      <c r="T354" s="150">
        <v>1192.155</v>
      </c>
      <c r="U354" s="164">
        <v>1.11E-4</v>
      </c>
      <c r="V354" s="164">
        <v>5.9706103025124302E-2</v>
      </c>
      <c r="W354" s="164">
        <v>1.6163630330581699E-2</v>
      </c>
    </row>
    <row r="355" spans="1:23">
      <c r="A355" s="2" t="s">
        <v>144</v>
      </c>
      <c r="B355" s="2">
        <v>969</v>
      </c>
      <c r="C355" s="2" t="s">
        <v>1657</v>
      </c>
      <c r="D355" s="2" t="s">
        <v>1658</v>
      </c>
      <c r="E355" s="4" t="s">
        <v>361</v>
      </c>
      <c r="F355" s="2" t="s">
        <v>1694</v>
      </c>
      <c r="G355" s="2" t="s">
        <v>1695</v>
      </c>
      <c r="H355" s="2" t="s">
        <v>367</v>
      </c>
      <c r="I355" s="2" t="s">
        <v>1025</v>
      </c>
      <c r="J355" s="2" t="s">
        <v>94</v>
      </c>
      <c r="K355" s="2" t="s">
        <v>317</v>
      </c>
      <c r="L355" s="2" t="s">
        <v>390</v>
      </c>
      <c r="M355" s="2" t="s">
        <v>780</v>
      </c>
      <c r="N355" s="2" t="s">
        <v>164</v>
      </c>
      <c r="O355" s="2" t="s">
        <v>99</v>
      </c>
      <c r="P355" s="152">
        <v>780</v>
      </c>
      <c r="Q355" s="150">
        <v>3.7589999999999999</v>
      </c>
      <c r="R355" s="150">
        <v>2599</v>
      </c>
      <c r="T355" s="150">
        <v>76.203000000000003</v>
      </c>
      <c r="U355" s="164">
        <v>5.0000000000000004E-6</v>
      </c>
      <c r="V355" s="164">
        <v>3.8164461381962902E-3</v>
      </c>
      <c r="W355" s="164">
        <v>1.0331879226554599E-3</v>
      </c>
    </row>
    <row r="356" spans="1:23">
      <c r="A356" s="2" t="s">
        <v>144</v>
      </c>
      <c r="B356" s="2">
        <v>969</v>
      </c>
      <c r="C356" s="2" t="s">
        <v>1657</v>
      </c>
      <c r="D356" s="2" t="s">
        <v>1658</v>
      </c>
      <c r="E356" s="4" t="s">
        <v>361</v>
      </c>
      <c r="F356" s="2" t="s">
        <v>1696</v>
      </c>
      <c r="G356" s="2" t="s">
        <v>1697</v>
      </c>
      <c r="H356" s="2" t="s">
        <v>367</v>
      </c>
      <c r="I356" s="2" t="s">
        <v>1027</v>
      </c>
      <c r="J356" s="2" t="s">
        <v>94</v>
      </c>
      <c r="K356" s="2" t="s">
        <v>270</v>
      </c>
      <c r="L356" s="2" t="s">
        <v>426</v>
      </c>
      <c r="M356" s="2" t="s">
        <v>777</v>
      </c>
      <c r="N356" s="2" t="s">
        <v>164</v>
      </c>
      <c r="O356" s="2" t="s">
        <v>99</v>
      </c>
      <c r="P356" s="152">
        <v>16611</v>
      </c>
      <c r="Q356" s="150">
        <v>3.7589999999999999</v>
      </c>
      <c r="R356" s="150">
        <v>597.1</v>
      </c>
      <c r="T356" s="150">
        <v>372.834</v>
      </c>
      <c r="U356" s="164">
        <v>0</v>
      </c>
      <c r="V356" s="164">
        <v>1.86724413823969E-2</v>
      </c>
      <c r="W356" s="164">
        <v>5.0550014920169202E-3</v>
      </c>
    </row>
    <row r="357" spans="1:23">
      <c r="A357" s="2" t="s">
        <v>144</v>
      </c>
      <c r="B357" s="2">
        <v>969</v>
      </c>
      <c r="C357" s="2" t="s">
        <v>1657</v>
      </c>
      <c r="D357" s="2" t="s">
        <v>1658</v>
      </c>
      <c r="E357" s="4" t="s">
        <v>361</v>
      </c>
      <c r="F357" s="2" t="s">
        <v>1698</v>
      </c>
      <c r="G357" s="2" t="s">
        <v>1699</v>
      </c>
      <c r="H357" s="2" t="s">
        <v>367</v>
      </c>
      <c r="I357" s="2" t="s">
        <v>1025</v>
      </c>
      <c r="J357" s="2" t="s">
        <v>94</v>
      </c>
      <c r="K357" s="2" t="s">
        <v>95</v>
      </c>
      <c r="L357" s="2" t="s">
        <v>392</v>
      </c>
      <c r="M357" s="2" t="s">
        <v>780</v>
      </c>
      <c r="N357" s="2" t="s">
        <v>164</v>
      </c>
      <c r="O357" s="2" t="s">
        <v>99</v>
      </c>
      <c r="P357" s="152">
        <v>1396</v>
      </c>
      <c r="Q357" s="150">
        <v>3.7589999999999999</v>
      </c>
      <c r="R357" s="150">
        <v>5920</v>
      </c>
      <c r="T357" s="150">
        <v>310.65600000000001</v>
      </c>
      <c r="U357" s="164">
        <v>0</v>
      </c>
      <c r="V357" s="164">
        <v>1.55584160322108E-2</v>
      </c>
      <c r="W357" s="164">
        <v>4.2119728559110404E-3</v>
      </c>
    </row>
    <row r="358" spans="1:23">
      <c r="A358" s="2" t="s">
        <v>144</v>
      </c>
      <c r="B358" s="2">
        <v>969</v>
      </c>
      <c r="C358" s="2" t="s">
        <v>1657</v>
      </c>
      <c r="D358" s="2" t="s">
        <v>1658</v>
      </c>
      <c r="E358" s="4" t="s">
        <v>361</v>
      </c>
      <c r="F358" s="2" t="s">
        <v>1700</v>
      </c>
      <c r="G358" s="2" t="s">
        <v>1701</v>
      </c>
      <c r="H358" s="2" t="s">
        <v>367</v>
      </c>
      <c r="I358" s="2" t="s">
        <v>1025</v>
      </c>
      <c r="J358" s="2" t="s">
        <v>94</v>
      </c>
      <c r="K358" s="2" t="s">
        <v>95</v>
      </c>
      <c r="L358" s="2" t="s">
        <v>390</v>
      </c>
      <c r="M358" s="2" t="s">
        <v>780</v>
      </c>
      <c r="N358" s="2" t="s">
        <v>164</v>
      </c>
      <c r="O358" s="2" t="s">
        <v>99</v>
      </c>
      <c r="P358" s="152">
        <v>771</v>
      </c>
      <c r="Q358" s="150">
        <v>3.7589999999999999</v>
      </c>
      <c r="R358" s="150">
        <v>11693</v>
      </c>
      <c r="T358" s="150">
        <v>338.88499999999999</v>
      </c>
      <c r="U358" s="164">
        <v>1.6799999999999999E-4</v>
      </c>
      <c r="V358" s="164">
        <v>1.69722172822976E-2</v>
      </c>
      <c r="W358" s="164">
        <v>4.5947169910910196E-3</v>
      </c>
    </row>
    <row r="359" spans="1:23">
      <c r="A359" s="2" t="s">
        <v>144</v>
      </c>
      <c r="B359" s="2">
        <v>969</v>
      </c>
      <c r="C359" s="2" t="s">
        <v>1657</v>
      </c>
      <c r="D359" s="2" t="s">
        <v>1658</v>
      </c>
      <c r="E359" s="4" t="s">
        <v>361</v>
      </c>
      <c r="F359" s="2" t="s">
        <v>1702</v>
      </c>
      <c r="G359" s="2" t="s">
        <v>1703</v>
      </c>
      <c r="H359" s="2" t="s">
        <v>367</v>
      </c>
      <c r="I359" s="2" t="s">
        <v>1027</v>
      </c>
      <c r="J359" s="2" t="s">
        <v>94</v>
      </c>
      <c r="K359" s="2" t="s">
        <v>95</v>
      </c>
      <c r="L359" s="2" t="s">
        <v>426</v>
      </c>
      <c r="M359" s="2" t="s">
        <v>777</v>
      </c>
      <c r="N359" s="2" t="s">
        <v>164</v>
      </c>
      <c r="O359" s="2" t="s">
        <v>99</v>
      </c>
      <c r="P359" s="152">
        <v>27676</v>
      </c>
      <c r="Q359" s="150">
        <v>3.7589999999999999</v>
      </c>
      <c r="R359" s="150">
        <v>576.5</v>
      </c>
      <c r="T359" s="150">
        <v>599.75599999999997</v>
      </c>
      <c r="U359" s="164">
        <v>0</v>
      </c>
      <c r="V359" s="164">
        <v>3.00372997772296E-2</v>
      </c>
      <c r="W359" s="164">
        <v>8.1316948373552495E-3</v>
      </c>
    </row>
    <row r="360" spans="1:23">
      <c r="A360" s="2" t="s">
        <v>144</v>
      </c>
      <c r="B360" s="2">
        <v>969</v>
      </c>
      <c r="C360" s="2" t="s">
        <v>1704</v>
      </c>
      <c r="D360" s="2" t="s">
        <v>1641</v>
      </c>
      <c r="E360" s="4" t="s">
        <v>361</v>
      </c>
      <c r="F360" s="2" t="s">
        <v>1707</v>
      </c>
      <c r="G360" s="2" t="s">
        <v>1708</v>
      </c>
      <c r="H360" s="2" t="s">
        <v>367</v>
      </c>
      <c r="I360" s="2" t="s">
        <v>1025</v>
      </c>
      <c r="J360" s="2" t="s">
        <v>94</v>
      </c>
      <c r="K360" s="2" t="s">
        <v>330</v>
      </c>
      <c r="L360" s="2" t="s">
        <v>410</v>
      </c>
      <c r="M360" s="2" t="s">
        <v>780</v>
      </c>
      <c r="N360" s="2" t="s">
        <v>164</v>
      </c>
      <c r="O360" s="2" t="s">
        <v>1219</v>
      </c>
      <c r="P360" s="152">
        <v>1990</v>
      </c>
      <c r="Q360" s="150">
        <v>4.0199999999999996</v>
      </c>
      <c r="R360" s="150">
        <v>7566</v>
      </c>
      <c r="T360" s="150">
        <v>605.29499999999996</v>
      </c>
      <c r="U360" s="164">
        <v>3.1000000000000001E-5</v>
      </c>
      <c r="V360" s="164">
        <v>3.03146809786035E-2</v>
      </c>
      <c r="W360" s="164">
        <v>8.2067874488722693E-3</v>
      </c>
    </row>
    <row r="361" spans="1:23">
      <c r="A361" s="2" t="s">
        <v>144</v>
      </c>
      <c r="B361" s="2">
        <v>969</v>
      </c>
      <c r="C361" s="2" t="s">
        <v>1704</v>
      </c>
      <c r="D361" s="2" t="s">
        <v>1641</v>
      </c>
      <c r="E361" s="4" t="s">
        <v>361</v>
      </c>
      <c r="F361" s="2" t="s">
        <v>1709</v>
      </c>
      <c r="G361" s="2" t="s">
        <v>1710</v>
      </c>
      <c r="H361" s="2" t="s">
        <v>367</v>
      </c>
      <c r="I361" s="2" t="s">
        <v>1025</v>
      </c>
      <c r="J361" s="2" t="s">
        <v>94</v>
      </c>
      <c r="K361" s="2" t="s">
        <v>330</v>
      </c>
      <c r="L361" s="2" t="s">
        <v>410</v>
      </c>
      <c r="M361" s="2" t="s">
        <v>780</v>
      </c>
      <c r="N361" s="2" t="s">
        <v>164</v>
      </c>
      <c r="O361" s="2" t="s">
        <v>1219</v>
      </c>
      <c r="P361" s="152">
        <v>156</v>
      </c>
      <c r="Q361" s="150">
        <v>4.0199999999999996</v>
      </c>
      <c r="R361" s="150">
        <v>15668.6</v>
      </c>
      <c r="T361" s="150">
        <v>98.266000000000005</v>
      </c>
      <c r="U361" s="164">
        <v>4.8999999999999998E-5</v>
      </c>
      <c r="V361" s="164">
        <v>4.9213967816541197E-3</v>
      </c>
      <c r="W361" s="164">
        <v>1.3323200520271501E-3</v>
      </c>
    </row>
    <row r="362" spans="1:23">
      <c r="A362" s="2" t="s">
        <v>144</v>
      </c>
      <c r="B362" s="2">
        <v>969</v>
      </c>
      <c r="C362" s="2" t="s">
        <v>1711</v>
      </c>
      <c r="D362" s="2" t="s">
        <v>1712</v>
      </c>
      <c r="E362" s="4" t="s">
        <v>361</v>
      </c>
      <c r="F362" s="2" t="s">
        <v>1713</v>
      </c>
      <c r="G362" s="2" t="s">
        <v>1714</v>
      </c>
      <c r="H362" s="2" t="s">
        <v>367</v>
      </c>
      <c r="I362" s="2" t="s">
        <v>1025</v>
      </c>
      <c r="J362" s="2" t="s">
        <v>94</v>
      </c>
      <c r="K362" s="2" t="s">
        <v>1715</v>
      </c>
      <c r="L362" s="2" t="s">
        <v>390</v>
      </c>
      <c r="M362" s="2" t="s">
        <v>780</v>
      </c>
      <c r="N362" s="2" t="s">
        <v>164</v>
      </c>
      <c r="O362" s="2" t="s">
        <v>99</v>
      </c>
      <c r="P362" s="152">
        <v>400</v>
      </c>
      <c r="Q362" s="150">
        <v>3.7589999999999999</v>
      </c>
      <c r="R362" s="150">
        <v>8831</v>
      </c>
      <c r="T362" s="150">
        <v>132.78299999999999</v>
      </c>
      <c r="U362" s="164">
        <v>5.0000000000000004E-6</v>
      </c>
      <c r="V362" s="164">
        <v>6.6500993175701503E-3</v>
      </c>
      <c r="W362" s="164">
        <v>1.8003142322925701E-3</v>
      </c>
    </row>
    <row r="363" spans="1:23">
      <c r="A363" s="2" t="s">
        <v>144</v>
      </c>
      <c r="B363" s="2">
        <v>969</v>
      </c>
      <c r="C363" s="2" t="s">
        <v>1657</v>
      </c>
      <c r="D363" s="2" t="s">
        <v>1658</v>
      </c>
      <c r="E363" s="4" t="s">
        <v>361</v>
      </c>
      <c r="F363" s="2" t="s">
        <v>1716</v>
      </c>
      <c r="G363" s="2" t="s">
        <v>1717</v>
      </c>
      <c r="H363" s="2" t="s">
        <v>367</v>
      </c>
      <c r="I363" s="2" t="s">
        <v>1025</v>
      </c>
      <c r="J363" s="2" t="s">
        <v>94</v>
      </c>
      <c r="K363" s="2" t="s">
        <v>317</v>
      </c>
      <c r="L363" s="2" t="s">
        <v>392</v>
      </c>
      <c r="M363" s="2" t="s">
        <v>780</v>
      </c>
      <c r="N363" s="2" t="s">
        <v>164</v>
      </c>
      <c r="O363" s="2" t="s">
        <v>99</v>
      </c>
      <c r="P363" s="152">
        <v>2000</v>
      </c>
      <c r="Q363" s="150">
        <v>3.7589999999999999</v>
      </c>
      <c r="R363" s="150">
        <v>4217</v>
      </c>
      <c r="T363" s="150">
        <v>317.03399999999999</v>
      </c>
      <c r="U363" s="164">
        <v>1.2999999999999999E-5</v>
      </c>
      <c r="V363" s="164">
        <v>1.5877855748042902E-2</v>
      </c>
      <c r="W363" s="164">
        <v>4.29845154431988E-3</v>
      </c>
    </row>
    <row r="364" spans="1:23">
      <c r="A364" s="2" t="s">
        <v>144</v>
      </c>
      <c r="B364" s="2">
        <v>969</v>
      </c>
      <c r="C364" s="2" t="s">
        <v>1574</v>
      </c>
      <c r="D364" s="2" t="s">
        <v>1575</v>
      </c>
      <c r="E364" s="4" t="s">
        <v>361</v>
      </c>
      <c r="F364" s="2" t="s">
        <v>1720</v>
      </c>
      <c r="G364" s="2" t="s">
        <v>1721</v>
      </c>
      <c r="H364" s="2" t="s">
        <v>367</v>
      </c>
      <c r="I364" s="2" t="s">
        <v>1025</v>
      </c>
      <c r="J364" s="2" t="s">
        <v>94</v>
      </c>
      <c r="K364" s="2" t="s">
        <v>95</v>
      </c>
      <c r="L364" s="2" t="s">
        <v>392</v>
      </c>
      <c r="M364" s="2" t="s">
        <v>780</v>
      </c>
      <c r="N364" s="2" t="s">
        <v>164</v>
      </c>
      <c r="O364" s="2" t="s">
        <v>99</v>
      </c>
      <c r="P364" s="152">
        <v>251</v>
      </c>
      <c r="Q364" s="150">
        <v>3.7589999999999999</v>
      </c>
      <c r="R364" s="150">
        <v>47911</v>
      </c>
      <c r="S364" s="155">
        <v>0.13400000000000001</v>
      </c>
      <c r="T364" s="150">
        <v>452.54700000000003</v>
      </c>
      <c r="U364" s="164">
        <v>0</v>
      </c>
      <c r="V364" s="164">
        <v>2.2664668799160799E-2</v>
      </c>
      <c r="W364" s="164">
        <v>6.1357769050937403E-3</v>
      </c>
    </row>
    <row r="365" spans="1:23">
      <c r="A365" s="2" t="s">
        <v>144</v>
      </c>
      <c r="B365" s="2">
        <v>969</v>
      </c>
      <c r="C365" s="2" t="s">
        <v>1630</v>
      </c>
      <c r="D365" s="2" t="s">
        <v>1631</v>
      </c>
      <c r="E365" s="4" t="s">
        <v>361</v>
      </c>
      <c r="F365" s="2" t="s">
        <v>1722</v>
      </c>
      <c r="G365" s="2" t="s">
        <v>1723</v>
      </c>
      <c r="H365" s="2" t="s">
        <v>367</v>
      </c>
      <c r="I365" s="2" t="s">
        <v>1025</v>
      </c>
      <c r="J365" s="2" t="s">
        <v>94</v>
      </c>
      <c r="K365" s="2" t="s">
        <v>95</v>
      </c>
      <c r="L365" s="2" t="s">
        <v>390</v>
      </c>
      <c r="M365" s="2" t="s">
        <v>780</v>
      </c>
      <c r="N365" s="2" t="s">
        <v>164</v>
      </c>
      <c r="O365" s="2" t="s">
        <v>99</v>
      </c>
      <c r="P365" s="152">
        <v>1268</v>
      </c>
      <c r="Q365" s="150">
        <v>3.7589999999999999</v>
      </c>
      <c r="R365" s="150">
        <v>3841</v>
      </c>
      <c r="T365" s="150">
        <v>183.078</v>
      </c>
      <c r="U365" s="164">
        <v>2.0999999999999999E-5</v>
      </c>
      <c r="V365" s="164">
        <v>9.1689966920795694E-3</v>
      </c>
      <c r="W365" s="164">
        <v>2.48222988143669E-3</v>
      </c>
    </row>
    <row r="366" spans="1:23">
      <c r="A366" s="2" t="s">
        <v>144</v>
      </c>
      <c r="B366" s="2">
        <v>969</v>
      </c>
      <c r="C366" s="2" t="s">
        <v>1807</v>
      </c>
      <c r="D366" s="2" t="s">
        <v>1808</v>
      </c>
      <c r="E366" s="4" t="s">
        <v>361</v>
      </c>
      <c r="F366" s="2" t="s">
        <v>1809</v>
      </c>
      <c r="G366" s="2" t="s">
        <v>1810</v>
      </c>
      <c r="H366" s="2" t="s">
        <v>367</v>
      </c>
      <c r="I366" s="2" t="s">
        <v>1025</v>
      </c>
      <c r="J366" s="2" t="s">
        <v>94</v>
      </c>
      <c r="K366" s="2" t="s">
        <v>95</v>
      </c>
      <c r="L366" s="2" t="s">
        <v>390</v>
      </c>
      <c r="M366" s="2" t="s">
        <v>780</v>
      </c>
      <c r="N366" s="2" t="s">
        <v>164</v>
      </c>
      <c r="O366" s="2" t="s">
        <v>99</v>
      </c>
      <c r="P366" s="152">
        <v>102</v>
      </c>
      <c r="Q366" s="150">
        <v>3.7589999999999999</v>
      </c>
      <c r="R366" s="150">
        <v>16428</v>
      </c>
      <c r="T366" s="150">
        <v>62.988</v>
      </c>
      <c r="U366" s="164">
        <v>9.9999999999999995E-7</v>
      </c>
      <c r="V366" s="164">
        <v>3.1545914454994702E-3</v>
      </c>
      <c r="W366" s="164">
        <v>8.5401068543382395E-4</v>
      </c>
    </row>
    <row r="367" spans="1:23">
      <c r="A367" s="2" t="s">
        <v>144</v>
      </c>
      <c r="B367" s="2">
        <v>969</v>
      </c>
      <c r="C367" s="2" t="s">
        <v>1630</v>
      </c>
      <c r="D367" s="2" t="s">
        <v>1631</v>
      </c>
      <c r="E367" s="4" t="s">
        <v>361</v>
      </c>
      <c r="F367" s="2" t="s">
        <v>1774</v>
      </c>
      <c r="G367" s="2" t="s">
        <v>1775</v>
      </c>
      <c r="H367" s="2" t="s">
        <v>367</v>
      </c>
      <c r="I367" s="2" t="s">
        <v>1025</v>
      </c>
      <c r="J367" s="2" t="s">
        <v>94</v>
      </c>
      <c r="K367" s="2" t="s">
        <v>95</v>
      </c>
      <c r="L367" s="2" t="s">
        <v>390</v>
      </c>
      <c r="M367" s="2" t="s">
        <v>780</v>
      </c>
      <c r="N367" s="2" t="s">
        <v>164</v>
      </c>
      <c r="O367" s="2" t="s">
        <v>99</v>
      </c>
      <c r="P367" s="152">
        <v>1170</v>
      </c>
      <c r="Q367" s="150">
        <v>3.7589999999999999</v>
      </c>
      <c r="R367" s="150">
        <v>22623</v>
      </c>
      <c r="T367" s="150">
        <v>994.96600000000001</v>
      </c>
      <c r="U367" s="164">
        <v>3.9999999999999998E-6</v>
      </c>
      <c r="V367" s="164">
        <v>4.9830393026788003E-2</v>
      </c>
      <c r="W367" s="164">
        <v>1.3490079092478501E-2</v>
      </c>
    </row>
    <row r="368" spans="1:23">
      <c r="A368" s="2" t="s">
        <v>144</v>
      </c>
      <c r="B368" s="2">
        <v>969</v>
      </c>
      <c r="C368" s="2" t="s">
        <v>1630</v>
      </c>
      <c r="D368" s="2" t="s">
        <v>1631</v>
      </c>
      <c r="E368" s="4" t="s">
        <v>361</v>
      </c>
      <c r="F368" s="2" t="s">
        <v>1728</v>
      </c>
      <c r="G368" s="2" t="s">
        <v>1729</v>
      </c>
      <c r="H368" s="2" t="s">
        <v>367</v>
      </c>
      <c r="I368" s="2" t="s">
        <v>1027</v>
      </c>
      <c r="J368" s="2" t="s">
        <v>94</v>
      </c>
      <c r="K368" s="2" t="s">
        <v>95</v>
      </c>
      <c r="L368" s="2" t="s">
        <v>1564</v>
      </c>
      <c r="M368" s="2" t="s">
        <v>777</v>
      </c>
      <c r="N368" s="2" t="s">
        <v>164</v>
      </c>
      <c r="O368" s="2" t="s">
        <v>99</v>
      </c>
      <c r="P368" s="152">
        <v>14000</v>
      </c>
      <c r="Q368" s="150">
        <v>3.7589999999999999</v>
      </c>
      <c r="R368" s="150">
        <v>1015.5</v>
      </c>
      <c r="T368" s="150">
        <v>534.41700000000003</v>
      </c>
      <c r="U368" s="164">
        <v>0</v>
      </c>
      <c r="V368" s="164">
        <v>2.6764936586427E-2</v>
      </c>
      <c r="W368" s="164">
        <v>7.2458009966321702E-3</v>
      </c>
    </row>
    <row r="369" spans="1:23">
      <c r="A369" s="2" t="s">
        <v>144</v>
      </c>
      <c r="B369" s="2">
        <v>969</v>
      </c>
      <c r="C369" s="2" t="s">
        <v>1730</v>
      </c>
      <c r="D369" s="2" t="s">
        <v>1631</v>
      </c>
      <c r="E369" s="4" t="s">
        <v>361</v>
      </c>
      <c r="F369" s="2" t="s">
        <v>1731</v>
      </c>
      <c r="G369" s="2" t="s">
        <v>1732</v>
      </c>
      <c r="H369" s="2" t="s">
        <v>367</v>
      </c>
      <c r="I369" s="2" t="s">
        <v>1025</v>
      </c>
      <c r="J369" s="2" t="s">
        <v>94</v>
      </c>
      <c r="K369" s="2" t="s">
        <v>342</v>
      </c>
      <c r="L369" s="2" t="s">
        <v>410</v>
      </c>
      <c r="M369" s="2" t="s">
        <v>780</v>
      </c>
      <c r="N369" s="2" t="s">
        <v>164</v>
      </c>
      <c r="O369" s="2" t="s">
        <v>1219</v>
      </c>
      <c r="P369" s="152">
        <v>300</v>
      </c>
      <c r="Q369" s="150">
        <v>4.0199999999999996</v>
      </c>
      <c r="R369" s="150">
        <v>17352</v>
      </c>
      <c r="T369" s="150">
        <v>209.27600000000001</v>
      </c>
      <c r="U369" s="164">
        <v>3.4299999999999999E-4</v>
      </c>
      <c r="V369" s="164">
        <v>1.0481040100198199E-2</v>
      </c>
      <c r="W369" s="164">
        <v>2.8374261436610402E-3</v>
      </c>
    </row>
    <row r="370" spans="1:23">
      <c r="A370" s="2" t="s">
        <v>144</v>
      </c>
      <c r="B370" s="2">
        <v>969</v>
      </c>
      <c r="C370" s="2" t="s">
        <v>1669</v>
      </c>
      <c r="D370" s="2" t="s">
        <v>1670</v>
      </c>
      <c r="E370" s="4" t="s">
        <v>361</v>
      </c>
      <c r="F370" s="2" t="s">
        <v>1733</v>
      </c>
      <c r="G370" s="2" t="s">
        <v>1734</v>
      </c>
      <c r="H370" s="2" t="s">
        <v>367</v>
      </c>
      <c r="I370" s="2" t="s">
        <v>1025</v>
      </c>
      <c r="J370" s="2" t="s">
        <v>94</v>
      </c>
      <c r="K370" s="2" t="s">
        <v>95</v>
      </c>
      <c r="L370" s="2" t="s">
        <v>392</v>
      </c>
      <c r="M370" s="2" t="s">
        <v>780</v>
      </c>
      <c r="N370" s="2" t="s">
        <v>164</v>
      </c>
      <c r="O370" s="2" t="s">
        <v>99</v>
      </c>
      <c r="P370" s="152">
        <v>249</v>
      </c>
      <c r="Q370" s="150">
        <v>3.7589999999999999</v>
      </c>
      <c r="R370" s="150">
        <v>26070</v>
      </c>
      <c r="T370" s="150">
        <v>244.01300000000001</v>
      </c>
      <c r="U370" s="164">
        <v>1.1E-5</v>
      </c>
      <c r="V370" s="164">
        <v>1.22207717735971E-2</v>
      </c>
      <c r="W370" s="164">
        <v>3.3084061309395802E-3</v>
      </c>
    </row>
    <row r="371" spans="1:23">
      <c r="A371" s="2" t="s">
        <v>144</v>
      </c>
      <c r="B371" s="2">
        <v>969</v>
      </c>
      <c r="C371" s="2" t="s">
        <v>1739</v>
      </c>
      <c r="D371" s="2" t="s">
        <v>1740</v>
      </c>
      <c r="E371" s="4" t="s">
        <v>361</v>
      </c>
      <c r="F371" s="2" t="s">
        <v>1741</v>
      </c>
      <c r="G371" s="2" t="s">
        <v>1742</v>
      </c>
      <c r="H371" s="2" t="s">
        <v>367</v>
      </c>
      <c r="I371" s="2" t="s">
        <v>1025</v>
      </c>
      <c r="J371" s="2" t="s">
        <v>94</v>
      </c>
      <c r="K371" s="2" t="s">
        <v>293</v>
      </c>
      <c r="L371" s="2" t="s">
        <v>390</v>
      </c>
      <c r="M371" s="2" t="s">
        <v>780</v>
      </c>
      <c r="N371" s="2" t="s">
        <v>164</v>
      </c>
      <c r="O371" s="2" t="s">
        <v>99</v>
      </c>
      <c r="P371" s="152">
        <v>7231</v>
      </c>
      <c r="Q371" s="150">
        <v>3.7589999999999999</v>
      </c>
      <c r="R371" s="150">
        <v>4828</v>
      </c>
      <c r="T371" s="150">
        <v>1312.3150000000001</v>
      </c>
      <c r="U371" s="164">
        <v>3.2899999999999997E-4</v>
      </c>
      <c r="V371" s="164">
        <v>6.5723983552912701E-2</v>
      </c>
      <c r="W371" s="164">
        <v>1.7792790354371001E-2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A13" zoomScale="70" zoomScaleNormal="70" workbookViewId="0">
      <selection activeCell="H36" sqref="H36:Q37"/>
    </sheetView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1154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372</v>
      </c>
      <c r="M1" s="19" t="s">
        <v>8</v>
      </c>
      <c r="N1" s="19" t="s">
        <v>614</v>
      </c>
      <c r="O1" s="19" t="s">
        <v>150</v>
      </c>
      <c r="P1" s="19" t="s">
        <v>11</v>
      </c>
      <c r="Q1" s="19" t="s">
        <v>17</v>
      </c>
      <c r="R1" s="19" t="s">
        <v>18</v>
      </c>
      <c r="S1" s="19" t="s">
        <v>19</v>
      </c>
      <c r="T1" s="19" t="s">
        <v>20</v>
      </c>
      <c r="U1" s="163" t="s">
        <v>23</v>
      </c>
      <c r="V1" s="163" t="s">
        <v>24</v>
      </c>
      <c r="W1" s="163" t="s">
        <v>25</v>
      </c>
    </row>
    <row r="2" spans="1:23">
      <c r="A2" s="18" t="s">
        <v>26</v>
      </c>
      <c r="B2" s="18">
        <v>1182</v>
      </c>
      <c r="C2" s="18" t="s">
        <v>1560</v>
      </c>
      <c r="D2" s="18" t="s">
        <v>1561</v>
      </c>
      <c r="E2" s="18" t="s">
        <v>361</v>
      </c>
      <c r="F2" s="18" t="s">
        <v>1562</v>
      </c>
      <c r="G2" s="18" t="s">
        <v>1563</v>
      </c>
      <c r="H2" s="18" t="s">
        <v>367</v>
      </c>
      <c r="I2" s="18" t="s">
        <v>1030</v>
      </c>
      <c r="J2" s="18" t="s">
        <v>94</v>
      </c>
      <c r="K2" s="18" t="s">
        <v>340</v>
      </c>
      <c r="L2" s="4" t="s">
        <v>373</v>
      </c>
      <c r="M2" s="18" t="s">
        <v>1564</v>
      </c>
      <c r="N2" s="20" t="s">
        <v>777</v>
      </c>
      <c r="O2" s="20" t="s">
        <v>164</v>
      </c>
      <c r="P2" s="18" t="s">
        <v>99</v>
      </c>
      <c r="Q2" s="154">
        <v>387.13</v>
      </c>
      <c r="R2" s="154">
        <v>3.7589999999999999</v>
      </c>
      <c r="S2" s="154">
        <v>132683.1</v>
      </c>
      <c r="T2" s="154">
        <v>1930.8330000000001</v>
      </c>
      <c r="U2" s="169">
        <v>5.4799999999999998E-4</v>
      </c>
      <c r="V2" s="169">
        <v>0.103863617849001</v>
      </c>
      <c r="W2" s="169">
        <v>4.8856834105628797E-3</v>
      </c>
    </row>
    <row r="3" spans="1:23">
      <c r="A3" s="18" t="s">
        <v>26</v>
      </c>
      <c r="B3" s="18">
        <v>1182</v>
      </c>
      <c r="C3" s="18" t="s">
        <v>1565</v>
      </c>
      <c r="D3" s="18" t="s">
        <v>1566</v>
      </c>
      <c r="E3" s="18" t="s">
        <v>361</v>
      </c>
      <c r="F3" s="18" t="s">
        <v>1567</v>
      </c>
      <c r="G3" s="18" t="s">
        <v>1568</v>
      </c>
      <c r="H3" s="18" t="s">
        <v>367</v>
      </c>
      <c r="I3" s="18" t="s">
        <v>975</v>
      </c>
      <c r="J3" s="18" t="s">
        <v>94</v>
      </c>
      <c r="K3" s="18" t="s">
        <v>342</v>
      </c>
      <c r="L3" s="4" t="s">
        <v>373</v>
      </c>
      <c r="M3" s="18" t="s">
        <v>1569</v>
      </c>
      <c r="N3" s="20" t="s">
        <v>780</v>
      </c>
      <c r="O3" s="20" t="s">
        <v>164</v>
      </c>
      <c r="P3" s="18" t="s">
        <v>1219</v>
      </c>
      <c r="Q3" s="154">
        <v>5997.08</v>
      </c>
      <c r="R3" s="154">
        <v>4.0199999999999996</v>
      </c>
      <c r="S3" s="154">
        <v>4889</v>
      </c>
      <c r="T3" s="154">
        <v>1178.712</v>
      </c>
      <c r="U3" s="169">
        <v>2.2000000000000001E-4</v>
      </c>
      <c r="V3" s="169">
        <v>6.3405396379611997E-2</v>
      </c>
      <c r="W3" s="169">
        <v>2.9825525015159502E-3</v>
      </c>
    </row>
    <row r="4" spans="1:23">
      <c r="A4" s="18" t="s">
        <v>26</v>
      </c>
      <c r="B4" s="18">
        <v>1182</v>
      </c>
      <c r="C4" s="18" t="s">
        <v>1570</v>
      </c>
      <c r="D4" s="18" t="s">
        <v>1571</v>
      </c>
      <c r="E4" s="18" t="s">
        <v>361</v>
      </c>
      <c r="F4" s="18" t="s">
        <v>1572</v>
      </c>
      <c r="G4" s="18" t="s">
        <v>1573</v>
      </c>
      <c r="H4" s="18" t="s">
        <v>367</v>
      </c>
      <c r="I4" s="18" t="s">
        <v>1030</v>
      </c>
      <c r="J4" s="18" t="s">
        <v>94</v>
      </c>
      <c r="K4" s="18" t="s">
        <v>302</v>
      </c>
      <c r="L4" s="4" t="s">
        <v>373</v>
      </c>
      <c r="M4" s="18" t="s">
        <v>203</v>
      </c>
      <c r="N4" s="20" t="s">
        <v>777</v>
      </c>
      <c r="O4" s="20" t="s">
        <v>164</v>
      </c>
      <c r="P4" s="18" t="s">
        <v>99</v>
      </c>
      <c r="Q4" s="154">
        <v>6970.12</v>
      </c>
      <c r="R4" s="154">
        <v>3.7589999999999999</v>
      </c>
      <c r="S4" s="154">
        <v>3346</v>
      </c>
      <c r="T4" s="154">
        <v>876.67499999999995</v>
      </c>
      <c r="U4" s="169">
        <v>1.6100000000000001E-4</v>
      </c>
      <c r="V4" s="169">
        <v>4.7158197891843903E-2</v>
      </c>
      <c r="W4" s="169">
        <v>2.21829385384191E-3</v>
      </c>
    </row>
    <row r="5" spans="1:23">
      <c r="A5" s="18" t="s">
        <v>26</v>
      </c>
      <c r="B5" s="18">
        <v>1182</v>
      </c>
      <c r="C5" s="18" t="s">
        <v>1574</v>
      </c>
      <c r="D5" s="18" t="s">
        <v>1575</v>
      </c>
      <c r="E5" s="18" t="s">
        <v>361</v>
      </c>
      <c r="F5" s="18" t="s">
        <v>1576</v>
      </c>
      <c r="G5" s="18" t="s">
        <v>1577</v>
      </c>
      <c r="H5" s="18" t="s">
        <v>367</v>
      </c>
      <c r="I5" s="18" t="s">
        <v>1030</v>
      </c>
      <c r="J5" s="18" t="s">
        <v>94</v>
      </c>
      <c r="K5" s="18" t="s">
        <v>345</v>
      </c>
      <c r="L5" s="4" t="s">
        <v>373</v>
      </c>
      <c r="M5" s="18" t="s">
        <v>1569</v>
      </c>
      <c r="N5" s="20" t="s">
        <v>777</v>
      </c>
      <c r="O5" s="20" t="s">
        <v>164</v>
      </c>
      <c r="P5" s="18" t="s">
        <v>99</v>
      </c>
      <c r="Q5" s="154">
        <v>2848.35</v>
      </c>
      <c r="R5" s="154">
        <v>3.7589999999999999</v>
      </c>
      <c r="S5" s="154">
        <v>18018</v>
      </c>
      <c r="T5" s="154">
        <v>1929.1780000000001</v>
      </c>
      <c r="U5" s="169">
        <v>3.1300000000000002E-4</v>
      </c>
      <c r="V5" s="169">
        <v>0.103774570581375</v>
      </c>
      <c r="W5" s="169">
        <v>4.8814946795403399E-3</v>
      </c>
    </row>
    <row r="6" spans="1:23">
      <c r="A6" s="18" t="s">
        <v>26</v>
      </c>
      <c r="B6" s="18">
        <v>1182</v>
      </c>
      <c r="C6" s="18" t="s">
        <v>1578</v>
      </c>
      <c r="D6" s="18" t="s">
        <v>1579</v>
      </c>
      <c r="E6" s="18" t="s">
        <v>361</v>
      </c>
      <c r="F6" s="18" t="s">
        <v>1580</v>
      </c>
      <c r="G6" s="18" t="s">
        <v>1581</v>
      </c>
      <c r="H6" s="18" t="s">
        <v>367</v>
      </c>
      <c r="I6" s="18" t="s">
        <v>975</v>
      </c>
      <c r="J6" s="18" t="s">
        <v>94</v>
      </c>
      <c r="K6" s="18" t="s">
        <v>345</v>
      </c>
      <c r="L6" s="4" t="s">
        <v>373</v>
      </c>
      <c r="M6" s="18" t="s">
        <v>1569</v>
      </c>
      <c r="N6" s="20" t="s">
        <v>780</v>
      </c>
      <c r="O6" s="20" t="s">
        <v>164</v>
      </c>
      <c r="P6" s="18" t="s">
        <v>99</v>
      </c>
      <c r="Q6" s="154">
        <v>50522.63</v>
      </c>
      <c r="R6" s="154">
        <v>3.7589999999999999</v>
      </c>
      <c r="S6" s="154">
        <v>980.9</v>
      </c>
      <c r="T6" s="154">
        <v>1862.8720000000001</v>
      </c>
      <c r="U6" s="169">
        <v>3.999E-3</v>
      </c>
      <c r="V6" s="169">
        <v>0.100207838263348</v>
      </c>
      <c r="W6" s="169">
        <v>4.7137176920158397E-3</v>
      </c>
    </row>
    <row r="7" spans="1:23">
      <c r="A7" s="18" t="s">
        <v>26</v>
      </c>
      <c r="B7" s="18">
        <v>1182</v>
      </c>
      <c r="C7" s="18" t="s">
        <v>1582</v>
      </c>
      <c r="D7" s="18" t="s">
        <v>1583</v>
      </c>
      <c r="E7" s="18" t="s">
        <v>361</v>
      </c>
      <c r="F7" s="18" t="s">
        <v>1584</v>
      </c>
      <c r="G7" s="18" t="s">
        <v>1585</v>
      </c>
      <c r="H7" s="18" t="s">
        <v>367</v>
      </c>
      <c r="I7" s="18" t="s">
        <v>975</v>
      </c>
      <c r="J7" s="18" t="s">
        <v>94</v>
      </c>
      <c r="K7" s="18" t="s">
        <v>302</v>
      </c>
      <c r="L7" s="4" t="s">
        <v>373</v>
      </c>
      <c r="M7" s="18" t="s">
        <v>203</v>
      </c>
      <c r="N7" s="20" t="s">
        <v>780</v>
      </c>
      <c r="O7" s="20" t="s">
        <v>164</v>
      </c>
      <c r="P7" s="18" t="s">
        <v>99</v>
      </c>
      <c r="Q7" s="154">
        <v>28772.31</v>
      </c>
      <c r="R7" s="154">
        <v>3.7589999999999999</v>
      </c>
      <c r="S7" s="154">
        <v>1507.24</v>
      </c>
      <c r="T7" s="154">
        <v>1630.1569999999999</v>
      </c>
      <c r="U7" s="169">
        <v>0</v>
      </c>
      <c r="V7" s="169">
        <v>8.7689612476998705E-2</v>
      </c>
      <c r="W7" s="169">
        <v>4.1248677239455701E-3</v>
      </c>
    </row>
    <row r="8" spans="1:23">
      <c r="A8" s="18" t="s">
        <v>26</v>
      </c>
      <c r="B8" s="18">
        <v>1182</v>
      </c>
      <c r="C8" s="18" t="s">
        <v>1586</v>
      </c>
      <c r="D8" s="18" t="s">
        <v>1587</v>
      </c>
      <c r="E8" s="18" t="s">
        <v>361</v>
      </c>
      <c r="F8" s="18" t="s">
        <v>1588</v>
      </c>
      <c r="G8" s="18" t="s">
        <v>1589</v>
      </c>
      <c r="H8" s="18" t="s">
        <v>367</v>
      </c>
      <c r="I8" s="18" t="s">
        <v>1030</v>
      </c>
      <c r="J8" s="18" t="s">
        <v>94</v>
      </c>
      <c r="K8" s="18" t="s">
        <v>338</v>
      </c>
      <c r="L8" s="4" t="s">
        <v>373</v>
      </c>
      <c r="M8" s="18" t="s">
        <v>203</v>
      </c>
      <c r="N8" s="20" t="s">
        <v>777</v>
      </c>
      <c r="O8" s="20" t="s">
        <v>164</v>
      </c>
      <c r="P8" s="18" t="s">
        <v>99</v>
      </c>
      <c r="Q8" s="154">
        <v>29128.48</v>
      </c>
      <c r="R8" s="154">
        <v>3.7589999999999999</v>
      </c>
      <c r="S8" s="154">
        <v>1058.0899999999999</v>
      </c>
      <c r="T8" s="154">
        <v>1158.5450000000001</v>
      </c>
      <c r="U8" s="169">
        <v>0</v>
      </c>
      <c r="V8" s="169">
        <v>6.23205735093691E-2</v>
      </c>
      <c r="W8" s="169">
        <v>2.9315230726330598E-3</v>
      </c>
    </row>
    <row r="9" spans="1:23">
      <c r="A9" s="18" t="s">
        <v>26</v>
      </c>
      <c r="B9" s="18">
        <v>1182</v>
      </c>
      <c r="C9" s="18" t="s">
        <v>1590</v>
      </c>
      <c r="D9" s="18" t="s">
        <v>1591</v>
      </c>
      <c r="E9" s="18" t="s">
        <v>34</v>
      </c>
      <c r="F9" s="18" t="s">
        <v>1590</v>
      </c>
      <c r="G9" s="18" t="s">
        <v>1592</v>
      </c>
      <c r="H9" s="18" t="s">
        <v>367</v>
      </c>
      <c r="I9" s="18" t="s">
        <v>975</v>
      </c>
      <c r="J9" s="18" t="s">
        <v>94</v>
      </c>
      <c r="K9" s="18" t="s">
        <v>95</v>
      </c>
      <c r="L9" s="4" t="s">
        <v>373</v>
      </c>
      <c r="M9" s="18" t="s">
        <v>203</v>
      </c>
      <c r="N9" s="20" t="s">
        <v>780</v>
      </c>
      <c r="O9" s="20" t="s">
        <v>164</v>
      </c>
      <c r="P9" s="18" t="s">
        <v>99</v>
      </c>
      <c r="Q9" s="154">
        <v>4000</v>
      </c>
      <c r="R9" s="154">
        <v>3.7589999999999999</v>
      </c>
      <c r="S9" s="154">
        <v>11473</v>
      </c>
      <c r="T9" s="154">
        <v>1725.08</v>
      </c>
      <c r="U9" s="169">
        <v>0</v>
      </c>
      <c r="V9" s="169">
        <v>9.2795730241333696E-2</v>
      </c>
      <c r="W9" s="169">
        <v>4.3650564962051698E-3</v>
      </c>
    </row>
    <row r="10" spans="1:23">
      <c r="A10" s="18" t="s">
        <v>26</v>
      </c>
      <c r="B10" s="18">
        <v>1182</v>
      </c>
      <c r="C10" s="18"/>
      <c r="D10" s="18" t="s">
        <v>1593</v>
      </c>
      <c r="E10" s="18" t="s">
        <v>361</v>
      </c>
      <c r="F10" s="18" t="s">
        <v>1594</v>
      </c>
      <c r="G10" s="18" t="s">
        <v>1595</v>
      </c>
      <c r="H10" s="18" t="s">
        <v>367</v>
      </c>
      <c r="I10" s="18" t="s">
        <v>1030</v>
      </c>
      <c r="J10" s="18" t="s">
        <v>94</v>
      </c>
      <c r="K10" s="18" t="s">
        <v>345</v>
      </c>
      <c r="L10" s="4" t="s">
        <v>373</v>
      </c>
      <c r="M10" s="18" t="s">
        <v>203</v>
      </c>
      <c r="N10" s="20" t="s">
        <v>777</v>
      </c>
      <c r="O10" s="20" t="s">
        <v>164</v>
      </c>
      <c r="P10" s="18" t="s">
        <v>99</v>
      </c>
      <c r="Q10" s="154">
        <v>59547.05</v>
      </c>
      <c r="R10" s="154">
        <v>3.7589999999999999</v>
      </c>
      <c r="S10" s="154">
        <v>1195.6300000000001</v>
      </c>
      <c r="T10" s="154">
        <v>2676.2669999999998</v>
      </c>
      <c r="U10" s="169">
        <v>0</v>
      </c>
      <c r="V10" s="169">
        <v>0.143962063644449</v>
      </c>
      <c r="W10" s="169">
        <v>6.7718906838064499E-3</v>
      </c>
    </row>
    <row r="11" spans="1:23">
      <c r="A11" s="18" t="s">
        <v>26</v>
      </c>
      <c r="B11" s="18">
        <v>1182</v>
      </c>
      <c r="C11" s="18" t="s">
        <v>1596</v>
      </c>
      <c r="D11" s="18" t="s">
        <v>1597</v>
      </c>
      <c r="E11" s="18" t="s">
        <v>361</v>
      </c>
      <c r="F11" s="18" t="s">
        <v>1598</v>
      </c>
      <c r="G11" s="18" t="s">
        <v>1599</v>
      </c>
      <c r="H11" s="18" t="s">
        <v>367</v>
      </c>
      <c r="I11" s="18" t="s">
        <v>1030</v>
      </c>
      <c r="J11" s="18" t="s">
        <v>94</v>
      </c>
      <c r="K11" s="18" t="s">
        <v>270</v>
      </c>
      <c r="L11" s="4" t="s">
        <v>373</v>
      </c>
      <c r="M11" s="18" t="s">
        <v>1569</v>
      </c>
      <c r="N11" s="20" t="s">
        <v>777</v>
      </c>
      <c r="O11" s="20" t="s">
        <v>164</v>
      </c>
      <c r="P11" s="18" t="s">
        <v>99</v>
      </c>
      <c r="Q11" s="154">
        <v>85932.42</v>
      </c>
      <c r="R11" s="154">
        <v>3.7589999999999999</v>
      </c>
      <c r="S11" s="154">
        <v>1121.22</v>
      </c>
      <c r="T11" s="154">
        <v>3621.7640000000001</v>
      </c>
      <c r="U11" s="169">
        <v>3.48E-3</v>
      </c>
      <c r="V11" s="169">
        <v>0.19482239916267</v>
      </c>
      <c r="W11" s="169">
        <v>9.1643309111273594E-3</v>
      </c>
    </row>
    <row r="12" spans="1:23">
      <c r="A12" s="18" t="s">
        <v>26</v>
      </c>
      <c r="B12" s="18">
        <v>14769</v>
      </c>
      <c r="C12" s="18" t="s">
        <v>1560</v>
      </c>
      <c r="D12" s="18" t="s">
        <v>1561</v>
      </c>
      <c r="E12" s="18" t="s">
        <v>361</v>
      </c>
      <c r="F12" s="18" t="s">
        <v>1562</v>
      </c>
      <c r="G12" s="18" t="s">
        <v>1563</v>
      </c>
      <c r="H12" s="18" t="s">
        <v>367</v>
      </c>
      <c r="I12" s="18" t="s">
        <v>1030</v>
      </c>
      <c r="J12" s="18" t="s">
        <v>94</v>
      </c>
      <c r="K12" s="18" t="s">
        <v>340</v>
      </c>
      <c r="L12" s="4" t="s">
        <v>373</v>
      </c>
      <c r="M12" s="18" t="s">
        <v>1564</v>
      </c>
      <c r="N12" s="20" t="s">
        <v>777</v>
      </c>
      <c r="O12" s="20" t="s">
        <v>164</v>
      </c>
      <c r="P12" s="18" t="s">
        <v>99</v>
      </c>
      <c r="Q12" s="154">
        <v>2.3199999999999998</v>
      </c>
      <c r="R12" s="154">
        <v>3.7589999999999999</v>
      </c>
      <c r="S12" s="154">
        <v>132683.1</v>
      </c>
      <c r="T12" s="154">
        <v>11.571</v>
      </c>
      <c r="U12" s="169">
        <v>3.0000000000000001E-6</v>
      </c>
      <c r="V12" s="169">
        <v>6.4959543047806406E-2</v>
      </c>
      <c r="W12" s="169">
        <v>1.0381664113861401E-3</v>
      </c>
    </row>
    <row r="13" spans="1:23">
      <c r="A13" s="18" t="s">
        <v>26</v>
      </c>
      <c r="B13" s="18">
        <v>14769</v>
      </c>
      <c r="C13" s="18" t="s">
        <v>1574</v>
      </c>
      <c r="D13" s="18" t="s">
        <v>1575</v>
      </c>
      <c r="E13" s="18" t="s">
        <v>361</v>
      </c>
      <c r="F13" s="18" t="s">
        <v>1576</v>
      </c>
      <c r="G13" s="18" t="s">
        <v>1577</v>
      </c>
      <c r="H13" s="18" t="s">
        <v>367</v>
      </c>
      <c r="I13" s="18" t="s">
        <v>1030</v>
      </c>
      <c r="J13" s="18" t="s">
        <v>94</v>
      </c>
      <c r="K13" s="18" t="s">
        <v>345</v>
      </c>
      <c r="L13" s="4" t="s">
        <v>373</v>
      </c>
      <c r="M13" s="18" t="s">
        <v>1569</v>
      </c>
      <c r="N13" s="20" t="s">
        <v>777</v>
      </c>
      <c r="O13" s="20" t="s">
        <v>164</v>
      </c>
      <c r="P13" s="18" t="s">
        <v>99</v>
      </c>
      <c r="Q13" s="154">
        <v>17.09</v>
      </c>
      <c r="R13" s="154">
        <v>3.7589999999999999</v>
      </c>
      <c r="S13" s="154">
        <v>18018</v>
      </c>
      <c r="T13" s="154">
        <v>11.574999999999999</v>
      </c>
      <c r="U13" s="169">
        <v>1.9999999999999999E-6</v>
      </c>
      <c r="V13" s="169">
        <v>6.4981242599194397E-2</v>
      </c>
      <c r="W13" s="169">
        <v>1.03851320793575E-3</v>
      </c>
    </row>
    <row r="14" spans="1:23">
      <c r="A14" s="18" t="s">
        <v>26</v>
      </c>
      <c r="B14" s="18">
        <v>14769</v>
      </c>
      <c r="C14" s="18" t="s">
        <v>1578</v>
      </c>
      <c r="D14" s="18" t="s">
        <v>1579</v>
      </c>
      <c r="E14" s="18" t="s">
        <v>361</v>
      </c>
      <c r="F14" s="18" t="s">
        <v>1580</v>
      </c>
      <c r="G14" s="18" t="s">
        <v>1581</v>
      </c>
      <c r="H14" s="18" t="s">
        <v>367</v>
      </c>
      <c r="I14" s="18" t="s">
        <v>975</v>
      </c>
      <c r="J14" s="18" t="s">
        <v>94</v>
      </c>
      <c r="K14" s="18" t="s">
        <v>345</v>
      </c>
      <c r="L14" s="4" t="s">
        <v>373</v>
      </c>
      <c r="M14" s="18" t="s">
        <v>1569</v>
      </c>
      <c r="N14" s="20" t="s">
        <v>780</v>
      </c>
      <c r="O14" s="20" t="s">
        <v>164</v>
      </c>
      <c r="P14" s="18" t="s">
        <v>99</v>
      </c>
      <c r="Q14" s="154">
        <v>2605.02</v>
      </c>
      <c r="R14" s="154">
        <v>3.7589999999999999</v>
      </c>
      <c r="S14" s="154">
        <v>980.9</v>
      </c>
      <c r="T14" s="154">
        <v>96.052000000000007</v>
      </c>
      <c r="U14" s="169">
        <v>2.0599999999999999E-4</v>
      </c>
      <c r="V14" s="169">
        <v>0.53923138676801596</v>
      </c>
      <c r="W14" s="169">
        <v>8.6178548592272895E-3</v>
      </c>
    </row>
    <row r="15" spans="1:23">
      <c r="A15" s="18" t="s">
        <v>26</v>
      </c>
      <c r="B15" s="18">
        <v>14769</v>
      </c>
      <c r="C15" s="18" t="s">
        <v>1582</v>
      </c>
      <c r="D15" s="18" t="s">
        <v>1583</v>
      </c>
      <c r="E15" s="18" t="s">
        <v>361</v>
      </c>
      <c r="F15" s="18" t="s">
        <v>1584</v>
      </c>
      <c r="G15" s="18" t="s">
        <v>1585</v>
      </c>
      <c r="H15" s="18" t="s">
        <v>367</v>
      </c>
      <c r="I15" s="18" t="s">
        <v>975</v>
      </c>
      <c r="J15" s="18" t="s">
        <v>94</v>
      </c>
      <c r="K15" s="18" t="s">
        <v>302</v>
      </c>
      <c r="L15" s="4" t="s">
        <v>373</v>
      </c>
      <c r="M15" s="18" t="s">
        <v>203</v>
      </c>
      <c r="N15" s="20" t="s">
        <v>780</v>
      </c>
      <c r="O15" s="20" t="s">
        <v>164</v>
      </c>
      <c r="P15" s="18" t="s">
        <v>99</v>
      </c>
      <c r="Q15" s="154">
        <v>801.55</v>
      </c>
      <c r="R15" s="154">
        <v>3.7589999999999999</v>
      </c>
      <c r="S15" s="154">
        <v>1507.24</v>
      </c>
      <c r="T15" s="154">
        <v>45.414000000000001</v>
      </c>
      <c r="U15" s="169">
        <v>0</v>
      </c>
      <c r="V15" s="169">
        <v>0.25494846186488701</v>
      </c>
      <c r="W15" s="169">
        <v>4.0745195751746297E-3</v>
      </c>
    </row>
    <row r="16" spans="1:23">
      <c r="A16" s="18" t="s">
        <v>26</v>
      </c>
      <c r="B16" s="18">
        <v>14769</v>
      </c>
      <c r="C16" s="18" t="s">
        <v>1586</v>
      </c>
      <c r="D16" s="18" t="s">
        <v>1587</v>
      </c>
      <c r="E16" s="18" t="s">
        <v>361</v>
      </c>
      <c r="F16" s="18" t="s">
        <v>1588</v>
      </c>
      <c r="G16" s="18" t="s">
        <v>1589</v>
      </c>
      <c r="H16" s="18" t="s">
        <v>367</v>
      </c>
      <c r="I16" s="18" t="s">
        <v>1030</v>
      </c>
      <c r="J16" s="18" t="s">
        <v>94</v>
      </c>
      <c r="K16" s="18" t="s">
        <v>338</v>
      </c>
      <c r="L16" s="4" t="s">
        <v>373</v>
      </c>
      <c r="M16" s="18" t="s">
        <v>203</v>
      </c>
      <c r="N16" s="20" t="s">
        <v>777</v>
      </c>
      <c r="O16" s="20" t="s">
        <v>164</v>
      </c>
      <c r="P16" s="18" t="s">
        <v>99</v>
      </c>
      <c r="Q16" s="154">
        <v>339.83</v>
      </c>
      <c r="R16" s="154">
        <v>3.7589999999999999</v>
      </c>
      <c r="S16" s="154">
        <v>1058.0899999999999</v>
      </c>
      <c r="T16" s="154">
        <v>13.516</v>
      </c>
      <c r="U16" s="169">
        <v>0</v>
      </c>
      <c r="V16" s="169">
        <v>7.5879365720096403E-2</v>
      </c>
      <c r="W16" s="169">
        <v>1.21268415866034E-3</v>
      </c>
    </row>
    <row r="17" spans="1:23">
      <c r="A17" s="18" t="s">
        <v>112</v>
      </c>
      <c r="B17" s="18">
        <v>12905</v>
      </c>
      <c r="C17" s="18" t="s">
        <v>1560</v>
      </c>
      <c r="D17" s="18" t="s">
        <v>1561</v>
      </c>
      <c r="E17" s="18" t="s">
        <v>361</v>
      </c>
      <c r="F17" s="18" t="s">
        <v>1562</v>
      </c>
      <c r="G17" s="18" t="s">
        <v>1563</v>
      </c>
      <c r="H17" s="18" t="s">
        <v>367</v>
      </c>
      <c r="I17" s="18" t="s">
        <v>1030</v>
      </c>
      <c r="J17" s="18" t="s">
        <v>94</v>
      </c>
      <c r="K17" s="18" t="s">
        <v>340</v>
      </c>
      <c r="L17" s="4" t="s">
        <v>373</v>
      </c>
      <c r="M17" s="18" t="s">
        <v>1564</v>
      </c>
      <c r="N17" s="20" t="s">
        <v>777</v>
      </c>
      <c r="O17" s="20" t="s">
        <v>164</v>
      </c>
      <c r="P17" s="18" t="s">
        <v>99</v>
      </c>
      <c r="Q17" s="154">
        <v>28.65</v>
      </c>
      <c r="R17" s="154">
        <v>3.7589999999999999</v>
      </c>
      <c r="S17" s="154">
        <v>132683.1</v>
      </c>
      <c r="T17" s="154">
        <v>142.89400000000001</v>
      </c>
      <c r="U17" s="169">
        <v>4.1E-5</v>
      </c>
      <c r="V17" s="169">
        <v>0.129468718389808</v>
      </c>
      <c r="W17" s="169">
        <v>4.5926824015983499E-3</v>
      </c>
    </row>
    <row r="18" spans="1:23">
      <c r="A18" s="18" t="s">
        <v>112</v>
      </c>
      <c r="B18" s="18">
        <v>12905</v>
      </c>
      <c r="C18" s="18" t="s">
        <v>1574</v>
      </c>
      <c r="D18" s="18" t="s">
        <v>1575</v>
      </c>
      <c r="E18" s="18" t="s">
        <v>361</v>
      </c>
      <c r="F18" s="18" t="s">
        <v>1600</v>
      </c>
      <c r="G18" s="18" t="s">
        <v>1601</v>
      </c>
      <c r="H18" s="18" t="s">
        <v>367</v>
      </c>
      <c r="I18" s="18" t="s">
        <v>1030</v>
      </c>
      <c r="J18" s="18" t="s">
        <v>94</v>
      </c>
      <c r="K18" s="18" t="s">
        <v>345</v>
      </c>
      <c r="L18" s="4" t="s">
        <v>373</v>
      </c>
      <c r="M18" s="18" t="s">
        <v>203</v>
      </c>
      <c r="N18" s="20" t="s">
        <v>777</v>
      </c>
      <c r="O18" s="20" t="s">
        <v>164</v>
      </c>
      <c r="P18" s="18" t="s">
        <v>99</v>
      </c>
      <c r="Q18" s="154">
        <v>2821.86</v>
      </c>
      <c r="R18" s="154">
        <v>3.7589999999999999</v>
      </c>
      <c r="S18" s="154">
        <v>1249.51</v>
      </c>
      <c r="T18" s="154">
        <v>132.54</v>
      </c>
      <c r="U18" s="169">
        <v>0</v>
      </c>
      <c r="V18" s="169">
        <v>0.120088055450983</v>
      </c>
      <c r="W18" s="169">
        <v>4.2599193517259201E-3</v>
      </c>
    </row>
    <row r="19" spans="1:23">
      <c r="A19" s="18" t="s">
        <v>112</v>
      </c>
      <c r="B19" s="18">
        <v>12905</v>
      </c>
      <c r="C19" s="18" t="s">
        <v>1574</v>
      </c>
      <c r="D19" s="18" t="s">
        <v>1575</v>
      </c>
      <c r="E19" s="18" t="s">
        <v>361</v>
      </c>
      <c r="F19" s="18" t="s">
        <v>1576</v>
      </c>
      <c r="G19" s="18" t="s">
        <v>1577</v>
      </c>
      <c r="H19" s="18" t="s">
        <v>367</v>
      </c>
      <c r="I19" s="18" t="s">
        <v>1030</v>
      </c>
      <c r="J19" s="18" t="s">
        <v>94</v>
      </c>
      <c r="K19" s="18" t="s">
        <v>345</v>
      </c>
      <c r="L19" s="4" t="s">
        <v>373</v>
      </c>
      <c r="M19" s="18" t="s">
        <v>1569</v>
      </c>
      <c r="N19" s="20" t="s">
        <v>777</v>
      </c>
      <c r="O19" s="20" t="s">
        <v>164</v>
      </c>
      <c r="P19" s="18" t="s">
        <v>99</v>
      </c>
      <c r="Q19" s="154">
        <v>210.78</v>
      </c>
      <c r="R19" s="154">
        <v>3.7589999999999999</v>
      </c>
      <c r="S19" s="154">
        <v>18018</v>
      </c>
      <c r="T19" s="154">
        <v>142.761</v>
      </c>
      <c r="U19" s="169">
        <v>2.3E-5</v>
      </c>
      <c r="V19" s="169">
        <v>0.12934826138922301</v>
      </c>
      <c r="W19" s="169">
        <v>4.5884093945460502E-3</v>
      </c>
    </row>
    <row r="20" spans="1:23">
      <c r="A20" s="4" t="s">
        <v>112</v>
      </c>
      <c r="B20" s="4">
        <v>12905</v>
      </c>
      <c r="C20" s="4" t="s">
        <v>1578</v>
      </c>
      <c r="D20" s="4" t="s">
        <v>1579</v>
      </c>
      <c r="E20" s="18" t="s">
        <v>361</v>
      </c>
      <c r="F20" s="4" t="s">
        <v>1580</v>
      </c>
      <c r="G20" s="4" t="s">
        <v>1581</v>
      </c>
      <c r="H20" s="18" t="s">
        <v>367</v>
      </c>
      <c r="I20" s="18" t="s">
        <v>975</v>
      </c>
      <c r="J20" s="18" t="s">
        <v>94</v>
      </c>
      <c r="K20" s="18" t="s">
        <v>345</v>
      </c>
      <c r="L20" s="4" t="s">
        <v>373</v>
      </c>
      <c r="M20" s="18" t="s">
        <v>1569</v>
      </c>
      <c r="N20" s="20" t="s">
        <v>780</v>
      </c>
      <c r="O20" s="20" t="s">
        <v>164</v>
      </c>
      <c r="P20" s="4" t="s">
        <v>99</v>
      </c>
      <c r="Q20" s="152">
        <v>4059.24</v>
      </c>
      <c r="R20" s="152">
        <v>3.7589999999999999</v>
      </c>
      <c r="S20" s="152">
        <v>980.9</v>
      </c>
      <c r="T20" s="152">
        <v>149.672</v>
      </c>
      <c r="U20" s="166">
        <v>3.21E-4</v>
      </c>
      <c r="V20" s="166">
        <v>0.135610737193578</v>
      </c>
      <c r="W20" s="166">
        <v>4.8105600636404802E-3</v>
      </c>
    </row>
    <row r="21" spans="1:23">
      <c r="A21" s="4" t="s">
        <v>112</v>
      </c>
      <c r="B21" s="4">
        <v>12905</v>
      </c>
      <c r="C21" s="4" t="s">
        <v>1582</v>
      </c>
      <c r="D21" s="4" t="s">
        <v>1583</v>
      </c>
      <c r="E21" s="4" t="s">
        <v>361</v>
      </c>
      <c r="F21" s="4" t="s">
        <v>1584</v>
      </c>
      <c r="G21" s="4" t="s">
        <v>1585</v>
      </c>
      <c r="H21" s="4" t="s">
        <v>367</v>
      </c>
      <c r="I21" s="4" t="s">
        <v>975</v>
      </c>
      <c r="J21" s="4" t="s">
        <v>94</v>
      </c>
      <c r="K21" s="4" t="s">
        <v>302</v>
      </c>
      <c r="L21" s="4" t="s">
        <v>373</v>
      </c>
      <c r="M21" s="4" t="s">
        <v>203</v>
      </c>
      <c r="N21" s="4" t="s">
        <v>780</v>
      </c>
      <c r="O21" s="4" t="s">
        <v>164</v>
      </c>
      <c r="P21" s="4" t="s">
        <v>99</v>
      </c>
      <c r="Q21" s="152">
        <v>837.01</v>
      </c>
      <c r="R21" s="152">
        <v>3.7589999999999999</v>
      </c>
      <c r="S21" s="152">
        <v>1507.24</v>
      </c>
      <c r="T21" s="152">
        <v>47.423000000000002</v>
      </c>
      <c r="U21" s="166">
        <v>0</v>
      </c>
      <c r="V21" s="166">
        <v>4.2967261072085199E-2</v>
      </c>
      <c r="W21" s="166">
        <v>1.52419044712026E-3</v>
      </c>
    </row>
    <row r="22" spans="1:23">
      <c r="A22" s="4" t="s">
        <v>112</v>
      </c>
      <c r="B22" s="4">
        <v>12905</v>
      </c>
      <c r="C22" s="4" t="s">
        <v>1586</v>
      </c>
      <c r="D22" s="4" t="s">
        <v>1587</v>
      </c>
      <c r="E22" s="4" t="s">
        <v>361</v>
      </c>
      <c r="F22" s="4" t="s">
        <v>1588</v>
      </c>
      <c r="G22" s="4" t="s">
        <v>1589</v>
      </c>
      <c r="H22" s="2" t="s">
        <v>367</v>
      </c>
      <c r="I22" s="4" t="s">
        <v>1030</v>
      </c>
      <c r="J22" s="4" t="s">
        <v>94</v>
      </c>
      <c r="K22" s="4" t="s">
        <v>338</v>
      </c>
      <c r="L22" s="4" t="s">
        <v>373</v>
      </c>
      <c r="M22" s="4" t="s">
        <v>203</v>
      </c>
      <c r="N22" s="4" t="s">
        <v>777</v>
      </c>
      <c r="O22" s="4" t="s">
        <v>164</v>
      </c>
      <c r="P22" s="4" t="s">
        <v>99</v>
      </c>
      <c r="Q22" s="152">
        <v>2233.1799999999998</v>
      </c>
      <c r="R22" s="152">
        <v>3.7589999999999999</v>
      </c>
      <c r="S22" s="152">
        <v>1058.0899999999999</v>
      </c>
      <c r="T22" s="152">
        <v>88.822000000000003</v>
      </c>
      <c r="U22" s="166">
        <v>0</v>
      </c>
      <c r="V22" s="166">
        <v>8.0476846930923801E-2</v>
      </c>
      <c r="W22" s="166">
        <v>2.8547791561739501E-3</v>
      </c>
    </row>
    <row r="23" spans="1:23">
      <c r="A23" s="4" t="s">
        <v>112</v>
      </c>
      <c r="B23" s="4">
        <v>12905</v>
      </c>
      <c r="D23" s="4" t="s">
        <v>1593</v>
      </c>
      <c r="E23" s="4" t="s">
        <v>361</v>
      </c>
      <c r="F23" s="4" t="s">
        <v>1594</v>
      </c>
      <c r="G23" s="4" t="s">
        <v>1595</v>
      </c>
      <c r="H23" s="2" t="s">
        <v>367</v>
      </c>
      <c r="I23" s="4" t="s">
        <v>1030</v>
      </c>
      <c r="J23" s="4" t="s">
        <v>94</v>
      </c>
      <c r="K23" s="4" t="s">
        <v>345</v>
      </c>
      <c r="L23" s="4" t="s">
        <v>373</v>
      </c>
      <c r="M23" s="2" t="s">
        <v>203</v>
      </c>
      <c r="N23" s="4" t="s">
        <v>777</v>
      </c>
      <c r="O23" s="4" t="s">
        <v>164</v>
      </c>
      <c r="P23" s="4" t="s">
        <v>99</v>
      </c>
      <c r="Q23" s="152">
        <v>4425.79</v>
      </c>
      <c r="R23" s="152">
        <v>3.7589999999999999</v>
      </c>
      <c r="S23" s="152">
        <v>1195.6300000000001</v>
      </c>
      <c r="T23" s="152">
        <v>198.91200000000001</v>
      </c>
      <c r="U23" s="166">
        <v>0</v>
      </c>
      <c r="V23" s="166">
        <v>0.18022383197977301</v>
      </c>
      <c r="W23" s="166">
        <v>6.3931336602099402E-3</v>
      </c>
    </row>
    <row r="24" spans="1:23">
      <c r="A24" s="4" t="s">
        <v>112</v>
      </c>
      <c r="B24" s="4">
        <v>12905</v>
      </c>
      <c r="C24" s="4" t="s">
        <v>1596</v>
      </c>
      <c r="D24" s="4" t="s">
        <v>1597</v>
      </c>
      <c r="E24" s="4" t="s">
        <v>361</v>
      </c>
      <c r="F24" s="4" t="s">
        <v>1598</v>
      </c>
      <c r="G24" s="4" t="s">
        <v>1599</v>
      </c>
      <c r="H24" s="2" t="s">
        <v>367</v>
      </c>
      <c r="I24" s="4" t="s">
        <v>1030</v>
      </c>
      <c r="J24" s="4" t="s">
        <v>94</v>
      </c>
      <c r="K24" s="4" t="s">
        <v>270</v>
      </c>
      <c r="L24" s="4" t="s">
        <v>373</v>
      </c>
      <c r="M24" s="2" t="s">
        <v>1569</v>
      </c>
      <c r="N24" s="4" t="s">
        <v>777</v>
      </c>
      <c r="O24" s="4" t="s">
        <v>164</v>
      </c>
      <c r="P24" s="4" t="s">
        <v>99</v>
      </c>
      <c r="Q24" s="152">
        <v>4761.21</v>
      </c>
      <c r="R24" s="152">
        <v>3.7589999999999999</v>
      </c>
      <c r="S24" s="152">
        <v>1121.22</v>
      </c>
      <c r="T24" s="152">
        <v>200.66900000000001</v>
      </c>
      <c r="U24" s="166">
        <v>1.93E-4</v>
      </c>
      <c r="V24" s="166">
        <v>0.181816287593627</v>
      </c>
      <c r="W24" s="166">
        <v>6.4496233124134404E-3</v>
      </c>
    </row>
    <row r="25" spans="1:23">
      <c r="A25" s="4" t="s">
        <v>112</v>
      </c>
      <c r="B25" s="4">
        <v>13680</v>
      </c>
      <c r="C25" s="4" t="s">
        <v>1560</v>
      </c>
      <c r="D25" s="4" t="s">
        <v>1561</v>
      </c>
      <c r="E25" s="4" t="s">
        <v>361</v>
      </c>
      <c r="F25" s="4" t="s">
        <v>1562</v>
      </c>
      <c r="G25" s="4" t="s">
        <v>1563</v>
      </c>
      <c r="H25" s="2" t="s">
        <v>367</v>
      </c>
      <c r="I25" s="4" t="s">
        <v>1030</v>
      </c>
      <c r="J25" s="4" t="s">
        <v>94</v>
      </c>
      <c r="K25" s="4" t="s">
        <v>340</v>
      </c>
      <c r="L25" s="4" t="s">
        <v>373</v>
      </c>
      <c r="M25" s="2" t="s">
        <v>1564</v>
      </c>
      <c r="N25" s="4" t="s">
        <v>777</v>
      </c>
      <c r="O25" s="4" t="s">
        <v>164</v>
      </c>
      <c r="P25" s="4" t="s">
        <v>99</v>
      </c>
      <c r="Q25" s="152">
        <v>13.16</v>
      </c>
      <c r="R25" s="152">
        <v>3.7589999999999999</v>
      </c>
      <c r="S25" s="152">
        <v>132683.1</v>
      </c>
      <c r="T25" s="152">
        <v>65.635999999999996</v>
      </c>
      <c r="U25" s="166">
        <v>1.9000000000000001E-5</v>
      </c>
      <c r="V25" s="166">
        <v>9.8070386460311604E-2</v>
      </c>
      <c r="W25" s="166">
        <v>2.0440860061291398E-3</v>
      </c>
    </row>
    <row r="26" spans="1:23">
      <c r="A26" s="4" t="s">
        <v>112</v>
      </c>
      <c r="B26" s="4">
        <v>13680</v>
      </c>
      <c r="C26" s="4" t="s">
        <v>1574</v>
      </c>
      <c r="D26" s="4" t="s">
        <v>1575</v>
      </c>
      <c r="E26" s="4" t="s">
        <v>361</v>
      </c>
      <c r="F26" s="4" t="s">
        <v>1576</v>
      </c>
      <c r="G26" s="4" t="s">
        <v>1577</v>
      </c>
      <c r="H26" s="2" t="s">
        <v>367</v>
      </c>
      <c r="I26" s="4" t="s">
        <v>1030</v>
      </c>
      <c r="J26" s="4" t="s">
        <v>94</v>
      </c>
      <c r="K26" s="4" t="s">
        <v>345</v>
      </c>
      <c r="L26" s="4" t="s">
        <v>373</v>
      </c>
      <c r="M26" s="2" t="s">
        <v>1569</v>
      </c>
      <c r="N26" s="4" t="s">
        <v>777</v>
      </c>
      <c r="O26" s="4" t="s">
        <v>164</v>
      </c>
      <c r="P26" s="4" t="s">
        <v>99</v>
      </c>
      <c r="Q26" s="152">
        <v>96.84</v>
      </c>
      <c r="R26" s="152">
        <v>3.7589999999999999</v>
      </c>
      <c r="S26" s="152">
        <v>18018</v>
      </c>
      <c r="T26" s="152">
        <v>65.588999999999999</v>
      </c>
      <c r="U26" s="166">
        <v>1.1E-5</v>
      </c>
      <c r="V26" s="166">
        <v>9.8000378035116797E-2</v>
      </c>
      <c r="W26" s="166">
        <v>2.0426268169955299E-3</v>
      </c>
    </row>
    <row r="27" spans="1:23">
      <c r="A27" s="4" t="s">
        <v>112</v>
      </c>
      <c r="B27" s="4">
        <v>13680</v>
      </c>
      <c r="C27" s="4" t="s">
        <v>1578</v>
      </c>
      <c r="D27" s="4" t="s">
        <v>1579</v>
      </c>
      <c r="E27" s="4" t="s">
        <v>361</v>
      </c>
      <c r="F27" s="4" t="s">
        <v>1580</v>
      </c>
      <c r="G27" s="4" t="s">
        <v>1581</v>
      </c>
      <c r="H27" s="2" t="s">
        <v>367</v>
      </c>
      <c r="I27" s="4" t="s">
        <v>975</v>
      </c>
      <c r="J27" s="4" t="s">
        <v>94</v>
      </c>
      <c r="K27" s="4" t="s">
        <v>345</v>
      </c>
      <c r="L27" s="4" t="s">
        <v>373</v>
      </c>
      <c r="M27" s="2" t="s">
        <v>1569</v>
      </c>
      <c r="N27" s="4" t="s">
        <v>780</v>
      </c>
      <c r="O27" s="4" t="s">
        <v>164</v>
      </c>
      <c r="P27" s="4" t="s">
        <v>99</v>
      </c>
      <c r="Q27" s="152">
        <v>8079.27</v>
      </c>
      <c r="R27" s="152">
        <v>3.7589999999999999</v>
      </c>
      <c r="S27" s="152">
        <v>980.9</v>
      </c>
      <c r="T27" s="152">
        <v>297.899</v>
      </c>
      <c r="U27" s="166">
        <v>6.4000000000000005E-4</v>
      </c>
      <c r="V27" s="166">
        <v>0.44510579049068599</v>
      </c>
      <c r="W27" s="166">
        <v>9.27736241721922E-3</v>
      </c>
    </row>
    <row r="28" spans="1:23">
      <c r="A28" s="4" t="s">
        <v>112</v>
      </c>
      <c r="B28" s="4">
        <v>13680</v>
      </c>
      <c r="C28" s="4" t="s">
        <v>1582</v>
      </c>
      <c r="D28" s="4" t="s">
        <v>1583</v>
      </c>
      <c r="E28" s="4" t="s">
        <v>361</v>
      </c>
      <c r="F28" s="4" t="s">
        <v>1584</v>
      </c>
      <c r="G28" s="4" t="s">
        <v>1585</v>
      </c>
      <c r="H28" s="2" t="s">
        <v>367</v>
      </c>
      <c r="I28" s="4" t="s">
        <v>975</v>
      </c>
      <c r="J28" s="4" t="s">
        <v>94</v>
      </c>
      <c r="K28" s="4" t="s">
        <v>302</v>
      </c>
      <c r="L28" s="4" t="s">
        <v>373</v>
      </c>
      <c r="M28" s="2" t="s">
        <v>203</v>
      </c>
      <c r="N28" s="4" t="s">
        <v>780</v>
      </c>
      <c r="O28" s="4" t="s">
        <v>164</v>
      </c>
      <c r="P28" s="4" t="s">
        <v>99</v>
      </c>
      <c r="Q28" s="152">
        <v>2875.47</v>
      </c>
      <c r="R28" s="152">
        <v>3.7589999999999999</v>
      </c>
      <c r="S28" s="152">
        <v>1507.24</v>
      </c>
      <c r="T28" s="152">
        <v>162.916</v>
      </c>
      <c r="U28" s="166">
        <v>0</v>
      </c>
      <c r="V28" s="166">
        <v>0.24342077439715901</v>
      </c>
      <c r="W28" s="166">
        <v>5.0736314651693001E-3</v>
      </c>
    </row>
    <row r="29" spans="1:23">
      <c r="A29" s="4" t="s">
        <v>112</v>
      </c>
      <c r="B29" s="4">
        <v>13680</v>
      </c>
      <c r="C29" s="4" t="s">
        <v>1586</v>
      </c>
      <c r="D29" s="4" t="s">
        <v>1587</v>
      </c>
      <c r="E29" s="4" t="s">
        <v>361</v>
      </c>
      <c r="F29" s="4" t="s">
        <v>1588</v>
      </c>
      <c r="G29" s="4" t="s">
        <v>1589</v>
      </c>
      <c r="H29" s="4" t="s">
        <v>367</v>
      </c>
      <c r="I29" s="4" t="s">
        <v>1030</v>
      </c>
      <c r="J29" s="4" t="s">
        <v>94</v>
      </c>
      <c r="K29" s="4" t="s">
        <v>338</v>
      </c>
      <c r="L29" s="4" t="s">
        <v>373</v>
      </c>
      <c r="M29" s="2" t="s">
        <v>203</v>
      </c>
      <c r="N29" s="4" t="s">
        <v>777</v>
      </c>
      <c r="O29" s="4" t="s">
        <v>164</v>
      </c>
      <c r="P29" s="4" t="s">
        <v>99</v>
      </c>
      <c r="Q29" s="152">
        <v>1941.9</v>
      </c>
      <c r="R29" s="152">
        <v>3.7589999999999999</v>
      </c>
      <c r="S29" s="152">
        <v>1058.0899999999999</v>
      </c>
      <c r="T29" s="152">
        <v>77.236000000000004</v>
      </c>
      <c r="U29" s="166">
        <v>0</v>
      </c>
      <c r="V29" s="166">
        <v>0.115402670616726</v>
      </c>
      <c r="W29" s="166">
        <v>2.40534367806376E-3</v>
      </c>
    </row>
    <row r="30" spans="1:23">
      <c r="A30" s="4" t="s">
        <v>128</v>
      </c>
      <c r="B30" s="4">
        <v>7228</v>
      </c>
      <c r="C30" s="4" t="s">
        <v>1560</v>
      </c>
      <c r="D30" s="4" t="s">
        <v>1561</v>
      </c>
      <c r="E30" s="4" t="s">
        <v>361</v>
      </c>
      <c r="F30" s="4" t="s">
        <v>1562</v>
      </c>
      <c r="G30" s="4" t="s">
        <v>1563</v>
      </c>
      <c r="H30" s="4" t="s">
        <v>367</v>
      </c>
      <c r="I30" s="4" t="s">
        <v>1030</v>
      </c>
      <c r="J30" s="4" t="s">
        <v>94</v>
      </c>
      <c r="K30" s="4" t="s">
        <v>340</v>
      </c>
      <c r="L30" s="4" t="s">
        <v>373</v>
      </c>
      <c r="M30" s="2" t="s">
        <v>1564</v>
      </c>
      <c r="N30" s="4" t="s">
        <v>777</v>
      </c>
      <c r="O30" s="4" t="s">
        <v>164</v>
      </c>
      <c r="P30" s="4" t="s">
        <v>99</v>
      </c>
      <c r="Q30" s="152">
        <v>2322.77</v>
      </c>
      <c r="R30" s="152">
        <v>3.7589999999999999</v>
      </c>
      <c r="S30" s="152">
        <v>132683.1</v>
      </c>
      <c r="T30" s="152">
        <v>11584.949000000001</v>
      </c>
      <c r="U30" s="166">
        <v>3.287E-3</v>
      </c>
      <c r="V30" s="166">
        <v>0.10483963310951901</v>
      </c>
      <c r="W30" s="166">
        <v>4.9501798158433996E-3</v>
      </c>
    </row>
    <row r="31" spans="1:23">
      <c r="A31" s="4" t="s">
        <v>128</v>
      </c>
      <c r="B31" s="4">
        <v>7228</v>
      </c>
      <c r="C31" s="4" t="s">
        <v>1565</v>
      </c>
      <c r="D31" s="4" t="s">
        <v>1566</v>
      </c>
      <c r="E31" s="4" t="s">
        <v>361</v>
      </c>
      <c r="F31" s="4" t="s">
        <v>1567</v>
      </c>
      <c r="G31" s="4" t="s">
        <v>1568</v>
      </c>
      <c r="H31" s="4" t="s">
        <v>367</v>
      </c>
      <c r="I31" s="4" t="s">
        <v>975</v>
      </c>
      <c r="J31" s="4" t="s">
        <v>94</v>
      </c>
      <c r="K31" s="4" t="s">
        <v>342</v>
      </c>
      <c r="L31" s="4" t="s">
        <v>373</v>
      </c>
      <c r="M31" s="2" t="s">
        <v>1569</v>
      </c>
      <c r="N31" s="4" t="s">
        <v>780</v>
      </c>
      <c r="O31" s="4" t="s">
        <v>164</v>
      </c>
      <c r="P31" s="4" t="s">
        <v>1219</v>
      </c>
      <c r="Q31" s="152">
        <v>54973.29</v>
      </c>
      <c r="R31" s="152">
        <v>4.0199999999999996</v>
      </c>
      <c r="S31" s="152">
        <v>4889</v>
      </c>
      <c r="T31" s="152">
        <v>10804.867</v>
      </c>
      <c r="U31" s="166">
        <v>2.0119999999999999E-3</v>
      </c>
      <c r="V31" s="166">
        <v>9.7780166915929195E-2</v>
      </c>
      <c r="W31" s="166">
        <v>4.6168552321372404E-3</v>
      </c>
    </row>
    <row r="32" spans="1:23">
      <c r="A32" s="4" t="s">
        <v>128</v>
      </c>
      <c r="B32" s="4">
        <v>7228</v>
      </c>
      <c r="C32" s="4" t="s">
        <v>1570</v>
      </c>
      <c r="D32" s="4" t="s">
        <v>1571</v>
      </c>
      <c r="E32" s="4" t="s">
        <v>361</v>
      </c>
      <c r="F32" s="4" t="s">
        <v>1572</v>
      </c>
      <c r="G32" s="4" t="s">
        <v>1573</v>
      </c>
      <c r="H32" s="4" t="s">
        <v>367</v>
      </c>
      <c r="I32" s="4" t="s">
        <v>1030</v>
      </c>
      <c r="J32" s="4" t="s">
        <v>94</v>
      </c>
      <c r="K32" s="4" t="s">
        <v>302</v>
      </c>
      <c r="L32" s="4" t="s">
        <v>373</v>
      </c>
      <c r="M32" s="2" t="s">
        <v>203</v>
      </c>
      <c r="N32" s="4" t="s">
        <v>777</v>
      </c>
      <c r="O32" s="4" t="s">
        <v>164</v>
      </c>
      <c r="P32" s="4" t="s">
        <v>99</v>
      </c>
      <c r="Q32" s="152">
        <v>71123.75</v>
      </c>
      <c r="R32" s="152">
        <v>3.7589999999999999</v>
      </c>
      <c r="S32" s="152">
        <v>3346</v>
      </c>
      <c r="T32" s="152">
        <v>8945.6710000000003</v>
      </c>
      <c r="U32" s="166">
        <v>1.6410000000000001E-3</v>
      </c>
      <c r="V32" s="166">
        <v>8.095510824254E-2</v>
      </c>
      <c r="W32" s="166">
        <v>3.8224317552982201E-3</v>
      </c>
    </row>
    <row r="33" spans="1:23">
      <c r="A33" s="4" t="s">
        <v>128</v>
      </c>
      <c r="B33" s="4">
        <v>7228</v>
      </c>
      <c r="C33" s="4" t="s">
        <v>1574</v>
      </c>
      <c r="D33" s="4" t="s">
        <v>1575</v>
      </c>
      <c r="E33" s="4" t="s">
        <v>361</v>
      </c>
      <c r="F33" s="4" t="s">
        <v>1576</v>
      </c>
      <c r="G33" s="4" t="s">
        <v>1577</v>
      </c>
      <c r="H33" s="4" t="s">
        <v>367</v>
      </c>
      <c r="I33" s="4" t="s">
        <v>1030</v>
      </c>
      <c r="J33" s="4" t="s">
        <v>94</v>
      </c>
      <c r="K33" s="4" t="s">
        <v>345</v>
      </c>
      <c r="L33" s="4" t="s">
        <v>373</v>
      </c>
      <c r="M33" s="2" t="s">
        <v>1569</v>
      </c>
      <c r="N33" s="4" t="s">
        <v>777</v>
      </c>
      <c r="O33" s="4" t="s">
        <v>164</v>
      </c>
      <c r="P33" s="4" t="s">
        <v>99</v>
      </c>
      <c r="Q33" s="152">
        <v>17090.12</v>
      </c>
      <c r="R33" s="152">
        <v>3.7589999999999999</v>
      </c>
      <c r="S33" s="152">
        <v>18018</v>
      </c>
      <c r="T33" s="152">
        <v>11575.081</v>
      </c>
      <c r="U33" s="166">
        <v>1.8749999999999999E-3</v>
      </c>
      <c r="V33" s="166">
        <v>0.10475032261205899</v>
      </c>
      <c r="W33" s="166">
        <v>4.9459628703166303E-3</v>
      </c>
    </row>
    <row r="34" spans="1:23">
      <c r="A34" s="4" t="s">
        <v>128</v>
      </c>
      <c r="B34" s="4">
        <v>7228</v>
      </c>
      <c r="C34" s="4" t="s">
        <v>1578</v>
      </c>
      <c r="D34" s="4" t="s">
        <v>1579</v>
      </c>
      <c r="E34" s="4" t="s">
        <v>361</v>
      </c>
      <c r="F34" s="4" t="s">
        <v>1580</v>
      </c>
      <c r="G34" s="4" t="s">
        <v>1581</v>
      </c>
      <c r="H34" s="4" t="s">
        <v>367</v>
      </c>
      <c r="I34" s="4" t="s">
        <v>975</v>
      </c>
      <c r="J34" s="4" t="s">
        <v>94</v>
      </c>
      <c r="K34" s="4" t="s">
        <v>345</v>
      </c>
      <c r="L34" s="4" t="s">
        <v>373</v>
      </c>
      <c r="M34" s="2" t="s">
        <v>1569</v>
      </c>
      <c r="N34" s="4" t="s">
        <v>780</v>
      </c>
      <c r="O34" s="4" t="s">
        <v>164</v>
      </c>
      <c r="P34" s="4" t="s">
        <v>99</v>
      </c>
      <c r="Q34" s="152">
        <v>349645.04</v>
      </c>
      <c r="R34" s="152">
        <v>3.7589999999999999</v>
      </c>
      <c r="S34" s="152">
        <v>980.9</v>
      </c>
      <c r="T34" s="152">
        <v>12892.123</v>
      </c>
      <c r="U34" s="166">
        <v>2.7677E-2</v>
      </c>
      <c r="V34" s="166">
        <v>0.116669082024391</v>
      </c>
      <c r="W34" s="166">
        <v>5.5087271658687299E-3</v>
      </c>
    </row>
    <row r="35" spans="1:23">
      <c r="A35" s="4" t="s">
        <v>128</v>
      </c>
      <c r="B35" s="4">
        <v>7228</v>
      </c>
      <c r="C35" s="4" t="s">
        <v>1582</v>
      </c>
      <c r="D35" s="4" t="s">
        <v>1583</v>
      </c>
      <c r="E35" s="4" t="s">
        <v>361</v>
      </c>
      <c r="F35" s="4" t="s">
        <v>1584</v>
      </c>
      <c r="G35" s="4" t="s">
        <v>1585</v>
      </c>
      <c r="H35" s="4" t="s">
        <v>367</v>
      </c>
      <c r="I35" s="4" t="s">
        <v>975</v>
      </c>
      <c r="J35" s="4" t="s">
        <v>94</v>
      </c>
      <c r="K35" s="4" t="s">
        <v>302</v>
      </c>
      <c r="L35" s="4" t="s">
        <v>373</v>
      </c>
      <c r="M35" s="2" t="s">
        <v>203</v>
      </c>
      <c r="N35" s="4" t="s">
        <v>780</v>
      </c>
      <c r="O35" s="4" t="s">
        <v>164</v>
      </c>
      <c r="P35" s="4" t="s">
        <v>99</v>
      </c>
      <c r="Q35" s="152">
        <v>262821.98</v>
      </c>
      <c r="R35" s="152">
        <v>3.7589999999999999</v>
      </c>
      <c r="S35" s="152">
        <v>1507.24</v>
      </c>
      <c r="T35" s="152">
        <v>14890.745000000001</v>
      </c>
      <c r="U35" s="166">
        <v>0</v>
      </c>
      <c r="V35" s="166">
        <v>0.13475589361972701</v>
      </c>
      <c r="W35" s="166">
        <v>6.3627264315726196E-3</v>
      </c>
    </row>
    <row r="36" spans="1:23">
      <c r="A36" s="4" t="s">
        <v>128</v>
      </c>
      <c r="B36" s="4">
        <v>7228</v>
      </c>
      <c r="C36" s="4" t="s">
        <v>1586</v>
      </c>
      <c r="D36" s="4" t="s">
        <v>1587</v>
      </c>
      <c r="E36" s="4" t="s">
        <v>361</v>
      </c>
      <c r="F36" s="4" t="s">
        <v>1588</v>
      </c>
      <c r="G36" s="4" t="s">
        <v>1589</v>
      </c>
      <c r="H36" s="4" t="s">
        <v>367</v>
      </c>
      <c r="I36" s="4" t="s">
        <v>1030</v>
      </c>
      <c r="J36" s="4" t="s">
        <v>94</v>
      </c>
      <c r="K36" s="4" t="s">
        <v>338</v>
      </c>
      <c r="L36" s="4" t="s">
        <v>373</v>
      </c>
      <c r="M36" s="2" t="s">
        <v>203</v>
      </c>
      <c r="N36" s="4" t="s">
        <v>777</v>
      </c>
      <c r="O36" s="4" t="s">
        <v>164</v>
      </c>
      <c r="P36" s="4" t="s">
        <v>99</v>
      </c>
      <c r="Q36" s="152">
        <v>174770.86</v>
      </c>
      <c r="R36" s="152">
        <v>3.7589999999999999</v>
      </c>
      <c r="S36" s="152">
        <v>1058.0899999999999</v>
      </c>
      <c r="T36" s="152">
        <v>6951.2669999999998</v>
      </c>
      <c r="U36" s="166">
        <v>0</v>
      </c>
      <c r="V36" s="166">
        <v>6.2906468870341098E-2</v>
      </c>
      <c r="W36" s="166">
        <v>2.9702348553876301E-3</v>
      </c>
    </row>
    <row r="37" spans="1:23">
      <c r="A37" s="4" t="s">
        <v>128</v>
      </c>
      <c r="B37" s="4">
        <v>7228</v>
      </c>
      <c r="C37" s="4" t="s">
        <v>1590</v>
      </c>
      <c r="D37" s="4" t="s">
        <v>1591</v>
      </c>
      <c r="E37" s="4" t="s">
        <v>34</v>
      </c>
      <c r="F37" s="4" t="s">
        <v>1590</v>
      </c>
      <c r="G37" s="4" t="s">
        <v>1592</v>
      </c>
      <c r="H37" s="4" t="s">
        <v>367</v>
      </c>
      <c r="I37" s="4" t="s">
        <v>975</v>
      </c>
      <c r="J37" s="4" t="s">
        <v>94</v>
      </c>
      <c r="K37" s="4" t="s">
        <v>95</v>
      </c>
      <c r="L37" s="4" t="s">
        <v>373</v>
      </c>
      <c r="M37" s="2" t="s">
        <v>203</v>
      </c>
      <c r="N37" s="4" t="s">
        <v>780</v>
      </c>
      <c r="O37" s="4" t="s">
        <v>164</v>
      </c>
      <c r="P37" s="4" t="s">
        <v>99</v>
      </c>
      <c r="Q37" s="152">
        <v>10000</v>
      </c>
      <c r="R37" s="152">
        <v>3.7589999999999999</v>
      </c>
      <c r="S37" s="152">
        <v>11473</v>
      </c>
      <c r="T37" s="152">
        <v>4312.701</v>
      </c>
      <c r="U37" s="166">
        <v>0</v>
      </c>
      <c r="V37" s="166">
        <v>3.9028392865997498E-2</v>
      </c>
      <c r="W37" s="166">
        <v>1.8427912887509601E-3</v>
      </c>
    </row>
    <row r="38" spans="1:23">
      <c r="A38" s="4" t="s">
        <v>128</v>
      </c>
      <c r="B38" s="4">
        <v>7228</v>
      </c>
      <c r="D38" s="4" t="s">
        <v>1593</v>
      </c>
      <c r="E38" s="4" t="s">
        <v>361</v>
      </c>
      <c r="F38" s="4" t="s">
        <v>1594</v>
      </c>
      <c r="G38" s="4" t="s">
        <v>1595</v>
      </c>
      <c r="H38" s="4" t="s">
        <v>367</v>
      </c>
      <c r="I38" s="4" t="s">
        <v>1030</v>
      </c>
      <c r="J38" s="4" t="s">
        <v>94</v>
      </c>
      <c r="K38" s="4" t="s">
        <v>345</v>
      </c>
      <c r="L38" s="4" t="s">
        <v>373</v>
      </c>
      <c r="M38" s="2" t="s">
        <v>203</v>
      </c>
      <c r="N38" s="4" t="s">
        <v>777</v>
      </c>
      <c r="O38" s="4" t="s">
        <v>164</v>
      </c>
      <c r="P38" s="4" t="s">
        <v>99</v>
      </c>
      <c r="Q38" s="152">
        <v>211763.91</v>
      </c>
      <c r="R38" s="152">
        <v>3.7589999999999999</v>
      </c>
      <c r="S38" s="152">
        <v>1195.6300000000001</v>
      </c>
      <c r="T38" s="152">
        <v>9517.4599999999991</v>
      </c>
      <c r="U38" s="166">
        <v>0</v>
      </c>
      <c r="V38" s="166">
        <v>8.6129598980292196E-2</v>
      </c>
      <c r="W38" s="166">
        <v>4.0667540487626698E-3</v>
      </c>
    </row>
    <row r="39" spans="1:23">
      <c r="A39" s="4" t="s">
        <v>128</v>
      </c>
      <c r="B39" s="4">
        <v>7228</v>
      </c>
      <c r="C39" s="4" t="s">
        <v>1596</v>
      </c>
      <c r="D39" s="4" t="s">
        <v>1597</v>
      </c>
      <c r="E39" s="4" t="s">
        <v>361</v>
      </c>
      <c r="F39" s="4" t="s">
        <v>1598</v>
      </c>
      <c r="G39" s="4" t="s">
        <v>1599</v>
      </c>
      <c r="H39" s="4" t="s">
        <v>367</v>
      </c>
      <c r="I39" s="4" t="s">
        <v>1030</v>
      </c>
      <c r="J39" s="4" t="s">
        <v>94</v>
      </c>
      <c r="K39" s="4" t="s">
        <v>270</v>
      </c>
      <c r="L39" s="4" t="s">
        <v>373</v>
      </c>
      <c r="M39" s="2" t="s">
        <v>1569</v>
      </c>
      <c r="N39" s="4" t="s">
        <v>777</v>
      </c>
      <c r="O39" s="4" t="s">
        <v>164</v>
      </c>
      <c r="P39" s="4" t="s">
        <v>99</v>
      </c>
      <c r="Q39" s="152">
        <v>451441.67</v>
      </c>
      <c r="R39" s="152">
        <v>3.7589999999999999</v>
      </c>
      <c r="S39" s="152">
        <v>1121.22</v>
      </c>
      <c r="T39" s="152">
        <v>19026.758000000002</v>
      </c>
      <c r="U39" s="166">
        <v>1.8280999999999999E-2</v>
      </c>
      <c r="V39" s="166">
        <v>0.172185332759204</v>
      </c>
      <c r="W39" s="166">
        <v>8.1300204276611894E-3</v>
      </c>
    </row>
    <row r="40" spans="1:23">
      <c r="A40" s="4" t="s">
        <v>128</v>
      </c>
      <c r="B40" s="4">
        <v>7229</v>
      </c>
      <c r="C40" s="4" t="s">
        <v>1560</v>
      </c>
      <c r="D40" s="4" t="s">
        <v>1561</v>
      </c>
      <c r="E40" s="4" t="s">
        <v>361</v>
      </c>
      <c r="F40" s="4" t="s">
        <v>1562</v>
      </c>
      <c r="G40" s="4" t="s">
        <v>1563</v>
      </c>
      <c r="H40" s="4" t="s">
        <v>367</v>
      </c>
      <c r="I40" s="4" t="s">
        <v>1030</v>
      </c>
      <c r="J40" s="4" t="s">
        <v>94</v>
      </c>
      <c r="K40" s="4" t="s">
        <v>340</v>
      </c>
      <c r="L40" s="4" t="s">
        <v>373</v>
      </c>
      <c r="M40" s="2" t="s">
        <v>1564</v>
      </c>
      <c r="N40" s="4" t="s">
        <v>777</v>
      </c>
      <c r="O40" s="4" t="s">
        <v>164</v>
      </c>
      <c r="P40" s="4" t="s">
        <v>99</v>
      </c>
      <c r="Q40" s="152">
        <v>73.55</v>
      </c>
      <c r="R40" s="152">
        <v>3.7589999999999999</v>
      </c>
      <c r="S40" s="152">
        <v>132683.1</v>
      </c>
      <c r="T40" s="152">
        <v>366.83499999999998</v>
      </c>
      <c r="U40" s="166">
        <v>1.0399999999999999E-4</v>
      </c>
      <c r="V40" s="166">
        <v>5.7521416395215998E-2</v>
      </c>
      <c r="W40" s="166">
        <v>2.59422410838816E-3</v>
      </c>
    </row>
    <row r="41" spans="1:23">
      <c r="A41" s="4" t="s">
        <v>128</v>
      </c>
      <c r="B41" s="4">
        <v>7229</v>
      </c>
      <c r="C41" s="4" t="s">
        <v>1570</v>
      </c>
      <c r="D41" s="4" t="s">
        <v>1571</v>
      </c>
      <c r="E41" s="4" t="s">
        <v>361</v>
      </c>
      <c r="F41" s="4" t="s">
        <v>1572</v>
      </c>
      <c r="G41" s="4" t="s">
        <v>1573</v>
      </c>
      <c r="H41" s="4" t="s">
        <v>367</v>
      </c>
      <c r="I41" s="4" t="s">
        <v>1030</v>
      </c>
      <c r="J41" s="4" t="s">
        <v>94</v>
      </c>
      <c r="K41" s="4" t="s">
        <v>302</v>
      </c>
      <c r="L41" s="4" t="s">
        <v>373</v>
      </c>
      <c r="M41" s="2" t="s">
        <v>203</v>
      </c>
      <c r="N41" s="4" t="s">
        <v>777</v>
      </c>
      <c r="O41" s="4" t="s">
        <v>164</v>
      </c>
      <c r="P41" s="4" t="s">
        <v>99</v>
      </c>
      <c r="Q41" s="152">
        <v>6543.38</v>
      </c>
      <c r="R41" s="152">
        <v>3.7589999999999999</v>
      </c>
      <c r="S41" s="152">
        <v>3346</v>
      </c>
      <c r="T41" s="152">
        <v>823.00099999999998</v>
      </c>
      <c r="U41" s="166">
        <v>1.5100000000000001E-4</v>
      </c>
      <c r="V41" s="166">
        <v>0.12905040251834499</v>
      </c>
      <c r="W41" s="166">
        <v>5.8201916154159601E-3</v>
      </c>
    </row>
    <row r="42" spans="1:23">
      <c r="A42" s="4" t="s">
        <v>128</v>
      </c>
      <c r="B42" s="4">
        <v>7229</v>
      </c>
      <c r="C42" s="4" t="s">
        <v>1574</v>
      </c>
      <c r="D42" s="4" t="s">
        <v>1575</v>
      </c>
      <c r="E42" s="4" t="s">
        <v>361</v>
      </c>
      <c r="F42" s="4" t="s">
        <v>1576</v>
      </c>
      <c r="G42" s="4" t="s">
        <v>1577</v>
      </c>
      <c r="H42" s="4" t="s">
        <v>367</v>
      </c>
      <c r="I42" s="4" t="s">
        <v>1030</v>
      </c>
      <c r="J42" s="4" t="s">
        <v>94</v>
      </c>
      <c r="K42" s="4" t="s">
        <v>345</v>
      </c>
      <c r="L42" s="4" t="s">
        <v>373</v>
      </c>
      <c r="M42" s="2" t="s">
        <v>1569</v>
      </c>
      <c r="N42" s="4" t="s">
        <v>777</v>
      </c>
      <c r="O42" s="4" t="s">
        <v>164</v>
      </c>
      <c r="P42" s="4" t="s">
        <v>99</v>
      </c>
      <c r="Q42" s="152">
        <v>541.19000000000005</v>
      </c>
      <c r="R42" s="152">
        <v>3.7589999999999999</v>
      </c>
      <c r="S42" s="152">
        <v>18018</v>
      </c>
      <c r="T42" s="152">
        <v>366.54599999999999</v>
      </c>
      <c r="U42" s="166">
        <v>5.8999999999999998E-5</v>
      </c>
      <c r="V42" s="166">
        <v>5.74761448222448E-2</v>
      </c>
      <c r="W42" s="166">
        <v>2.5921823539706498E-3</v>
      </c>
    </row>
    <row r="43" spans="1:23">
      <c r="A43" s="4" t="s">
        <v>128</v>
      </c>
      <c r="B43" s="4">
        <v>7229</v>
      </c>
      <c r="C43" s="4" t="s">
        <v>1578</v>
      </c>
      <c r="D43" s="4" t="s">
        <v>1579</v>
      </c>
      <c r="E43" s="4" t="s">
        <v>361</v>
      </c>
      <c r="F43" s="4" t="s">
        <v>1580</v>
      </c>
      <c r="G43" s="4" t="s">
        <v>1581</v>
      </c>
      <c r="H43" s="4" t="s">
        <v>367</v>
      </c>
      <c r="I43" s="4" t="s">
        <v>975</v>
      </c>
      <c r="J43" s="4" t="s">
        <v>94</v>
      </c>
      <c r="K43" s="4" t="s">
        <v>345</v>
      </c>
      <c r="L43" s="4" t="s">
        <v>373</v>
      </c>
      <c r="M43" s="2" t="s">
        <v>1569</v>
      </c>
      <c r="N43" s="4" t="s">
        <v>780</v>
      </c>
      <c r="O43" s="4" t="s">
        <v>164</v>
      </c>
      <c r="P43" s="4" t="s">
        <v>99</v>
      </c>
      <c r="Q43" s="152">
        <v>28821.46</v>
      </c>
      <c r="R43" s="152">
        <v>3.7589999999999999</v>
      </c>
      <c r="S43" s="152">
        <v>980.9</v>
      </c>
      <c r="T43" s="152">
        <v>1062.7059999999999</v>
      </c>
      <c r="U43" s="166">
        <v>2.281E-3</v>
      </c>
      <c r="V43" s="166">
        <v>0.166637214025078</v>
      </c>
      <c r="W43" s="166">
        <v>7.5153621915062399E-3</v>
      </c>
    </row>
    <row r="44" spans="1:23">
      <c r="A44" s="4" t="s">
        <v>128</v>
      </c>
      <c r="B44" s="4">
        <v>7229</v>
      </c>
      <c r="C44" s="4" t="s">
        <v>1582</v>
      </c>
      <c r="D44" s="4" t="s">
        <v>1583</v>
      </c>
      <c r="E44" s="4" t="s">
        <v>361</v>
      </c>
      <c r="F44" s="4" t="s">
        <v>1584</v>
      </c>
      <c r="G44" s="4" t="s">
        <v>1585</v>
      </c>
      <c r="H44" s="4" t="s">
        <v>367</v>
      </c>
      <c r="I44" s="4" t="s">
        <v>975</v>
      </c>
      <c r="J44" s="4" t="s">
        <v>94</v>
      </c>
      <c r="K44" s="4" t="s">
        <v>302</v>
      </c>
      <c r="L44" s="4" t="s">
        <v>373</v>
      </c>
      <c r="M44" s="2" t="s">
        <v>203</v>
      </c>
      <c r="N44" s="4" t="s">
        <v>780</v>
      </c>
      <c r="O44" s="4" t="s">
        <v>164</v>
      </c>
      <c r="P44" s="4" t="s">
        <v>99</v>
      </c>
      <c r="Q44" s="152">
        <v>1177.04</v>
      </c>
      <c r="R44" s="152">
        <v>3.7589999999999999</v>
      </c>
      <c r="S44" s="152">
        <v>1507.24</v>
      </c>
      <c r="T44" s="152">
        <v>66.688000000000002</v>
      </c>
      <c r="U44" s="166">
        <v>0</v>
      </c>
      <c r="V44" s="166">
        <v>1.04569472623943E-2</v>
      </c>
      <c r="W44" s="166">
        <v>4.7160981749578499E-4</v>
      </c>
    </row>
    <row r="45" spans="1:23">
      <c r="A45" s="4" t="s">
        <v>128</v>
      </c>
      <c r="B45" s="4">
        <v>7229</v>
      </c>
      <c r="C45" s="4" t="s">
        <v>1586</v>
      </c>
      <c r="D45" s="4" t="s">
        <v>1587</v>
      </c>
      <c r="E45" s="4" t="s">
        <v>361</v>
      </c>
      <c r="F45" s="4" t="s">
        <v>1588</v>
      </c>
      <c r="G45" s="4" t="s">
        <v>1589</v>
      </c>
      <c r="H45" s="4" t="s">
        <v>367</v>
      </c>
      <c r="I45" s="4" t="s">
        <v>1030</v>
      </c>
      <c r="J45" s="4" t="s">
        <v>94</v>
      </c>
      <c r="K45" s="4" t="s">
        <v>338</v>
      </c>
      <c r="L45" s="4" t="s">
        <v>373</v>
      </c>
      <c r="M45" s="2" t="s">
        <v>203</v>
      </c>
      <c r="N45" s="4" t="s">
        <v>777</v>
      </c>
      <c r="O45" s="4" t="s">
        <v>164</v>
      </c>
      <c r="P45" s="4" t="s">
        <v>99</v>
      </c>
      <c r="Q45" s="152">
        <v>11165.92</v>
      </c>
      <c r="R45" s="152">
        <v>3.7589999999999999</v>
      </c>
      <c r="S45" s="152">
        <v>1058.0899999999999</v>
      </c>
      <c r="T45" s="152">
        <v>444.10899999999998</v>
      </c>
      <c r="U45" s="166">
        <v>0</v>
      </c>
      <c r="V45" s="166">
        <v>6.9638339418072903E-2</v>
      </c>
      <c r="W45" s="166">
        <v>3.1406990701555002E-3</v>
      </c>
    </row>
    <row r="46" spans="1:23">
      <c r="A46" s="4" t="s">
        <v>128</v>
      </c>
      <c r="B46" s="4">
        <v>7229</v>
      </c>
      <c r="D46" s="4" t="s">
        <v>1593</v>
      </c>
      <c r="E46" s="4" t="s">
        <v>361</v>
      </c>
      <c r="F46" s="4" t="s">
        <v>1594</v>
      </c>
      <c r="G46" s="4" t="s">
        <v>1595</v>
      </c>
      <c r="H46" s="4" t="s">
        <v>367</v>
      </c>
      <c r="I46" s="4" t="s">
        <v>1030</v>
      </c>
      <c r="J46" s="4" t="s">
        <v>94</v>
      </c>
      <c r="K46" s="4" t="s">
        <v>345</v>
      </c>
      <c r="L46" s="4" t="s">
        <v>373</v>
      </c>
      <c r="M46" s="2" t="s">
        <v>203</v>
      </c>
      <c r="N46" s="4" t="s">
        <v>777</v>
      </c>
      <c r="O46" s="4" t="s">
        <v>164</v>
      </c>
      <c r="P46" s="4" t="s">
        <v>99</v>
      </c>
      <c r="Q46" s="152">
        <v>26395.85</v>
      </c>
      <c r="R46" s="152">
        <v>3.7589999999999999</v>
      </c>
      <c r="S46" s="152">
        <v>1195.6300000000001</v>
      </c>
      <c r="T46" s="152">
        <v>1186.328</v>
      </c>
      <c r="U46" s="166">
        <v>0</v>
      </c>
      <c r="V46" s="166">
        <v>0.18602175608844301</v>
      </c>
      <c r="W46" s="166">
        <v>8.3896078116997806E-3</v>
      </c>
    </row>
    <row r="47" spans="1:23">
      <c r="A47" s="4" t="s">
        <v>128</v>
      </c>
      <c r="B47" s="4">
        <v>7229</v>
      </c>
      <c r="C47" s="4" t="s">
        <v>1596</v>
      </c>
      <c r="D47" s="4" t="s">
        <v>1597</v>
      </c>
      <c r="E47" s="4" t="s">
        <v>361</v>
      </c>
      <c r="F47" s="4" t="s">
        <v>1598</v>
      </c>
      <c r="G47" s="4" t="s">
        <v>1599</v>
      </c>
      <c r="H47" s="4" t="s">
        <v>367</v>
      </c>
      <c r="I47" s="4" t="s">
        <v>1030</v>
      </c>
      <c r="J47" s="4" t="s">
        <v>94</v>
      </c>
      <c r="K47" s="4" t="s">
        <v>270</v>
      </c>
      <c r="L47" s="4" t="s">
        <v>373</v>
      </c>
      <c r="M47" s="2" t="s">
        <v>1569</v>
      </c>
      <c r="N47" s="4" t="s">
        <v>777</v>
      </c>
      <c r="O47" s="4" t="s">
        <v>164</v>
      </c>
      <c r="P47" s="4" t="s">
        <v>99</v>
      </c>
      <c r="Q47" s="152">
        <v>48904.21</v>
      </c>
      <c r="R47" s="152">
        <v>3.7589999999999999</v>
      </c>
      <c r="S47" s="152">
        <v>1121.22</v>
      </c>
      <c r="T47" s="152">
        <v>2061.1489999999999</v>
      </c>
      <c r="U47" s="166">
        <v>1.98E-3</v>
      </c>
      <c r="V47" s="166">
        <v>0.323197779470207</v>
      </c>
      <c r="W47" s="166">
        <v>1.45762660905002E-2</v>
      </c>
    </row>
    <row r="48" spans="1:23">
      <c r="A48" s="4" t="s">
        <v>128</v>
      </c>
      <c r="B48" s="4">
        <v>9817</v>
      </c>
      <c r="C48" s="4" t="s">
        <v>1602</v>
      </c>
      <c r="D48" s="4" t="s">
        <v>1603</v>
      </c>
      <c r="E48" s="4" t="s">
        <v>1376</v>
      </c>
      <c r="F48" s="4" t="s">
        <v>1604</v>
      </c>
      <c r="G48" s="4" t="s">
        <v>1605</v>
      </c>
      <c r="H48" s="4" t="s">
        <v>367</v>
      </c>
      <c r="I48" s="4" t="s">
        <v>975</v>
      </c>
      <c r="J48" s="4" t="s">
        <v>31</v>
      </c>
      <c r="K48" s="4" t="s">
        <v>31</v>
      </c>
      <c r="L48" s="4" t="s">
        <v>373</v>
      </c>
      <c r="M48" s="2" t="s">
        <v>32</v>
      </c>
      <c r="N48" s="4" t="s">
        <v>1606</v>
      </c>
      <c r="O48" s="4" t="s">
        <v>164</v>
      </c>
      <c r="P48" s="4" t="s">
        <v>35</v>
      </c>
      <c r="Q48" s="152">
        <v>590</v>
      </c>
      <c r="R48" s="152">
        <v>1</v>
      </c>
      <c r="S48" s="152">
        <v>2604.2399999999998</v>
      </c>
      <c r="T48" s="152">
        <v>15.365</v>
      </c>
      <c r="U48" s="166">
        <v>0</v>
      </c>
      <c r="V48" s="166">
        <v>1</v>
      </c>
      <c r="W48" s="166">
        <v>1.04196506153716E-2</v>
      </c>
    </row>
    <row r="49" spans="1:23">
      <c r="A49" s="4" t="s">
        <v>144</v>
      </c>
      <c r="B49" s="4">
        <v>969</v>
      </c>
      <c r="C49" s="4" t="s">
        <v>1560</v>
      </c>
      <c r="D49" s="4" t="s">
        <v>1561</v>
      </c>
      <c r="E49" s="4" t="s">
        <v>361</v>
      </c>
      <c r="F49" s="4" t="s">
        <v>1562</v>
      </c>
      <c r="G49" s="4" t="s">
        <v>1563</v>
      </c>
      <c r="H49" s="4" t="s">
        <v>367</v>
      </c>
      <c r="I49" s="4" t="s">
        <v>1030</v>
      </c>
      <c r="J49" s="4" t="s">
        <v>94</v>
      </c>
      <c r="K49" s="4" t="s">
        <v>340</v>
      </c>
      <c r="L49" s="4" t="s">
        <v>373</v>
      </c>
      <c r="M49" s="2" t="s">
        <v>1564</v>
      </c>
      <c r="N49" s="4" t="s">
        <v>777</v>
      </c>
      <c r="O49" s="4" t="s">
        <v>164</v>
      </c>
      <c r="P49" s="4" t="s">
        <v>99</v>
      </c>
      <c r="Q49" s="152">
        <v>75.099999999999994</v>
      </c>
      <c r="R49" s="152">
        <v>3.7589999999999999</v>
      </c>
      <c r="S49" s="152">
        <v>132683.1</v>
      </c>
      <c r="T49" s="152">
        <v>374.56599999999997</v>
      </c>
      <c r="U49" s="166">
        <v>1.06E-4</v>
      </c>
      <c r="V49" s="166">
        <v>9.5384132465796898E-2</v>
      </c>
      <c r="W49" s="166">
        <v>5.0784827952479496E-3</v>
      </c>
    </row>
    <row r="50" spans="1:23">
      <c r="A50" s="4" t="s">
        <v>144</v>
      </c>
      <c r="B50" s="4">
        <v>969</v>
      </c>
      <c r="C50" s="4" t="s">
        <v>1570</v>
      </c>
      <c r="D50" s="4" t="s">
        <v>1571</v>
      </c>
      <c r="E50" s="4" t="s">
        <v>361</v>
      </c>
      <c r="F50" s="4" t="s">
        <v>1572</v>
      </c>
      <c r="G50" s="4" t="s">
        <v>1573</v>
      </c>
      <c r="H50" s="4" t="s">
        <v>367</v>
      </c>
      <c r="I50" s="4" t="s">
        <v>1030</v>
      </c>
      <c r="J50" s="4" t="s">
        <v>94</v>
      </c>
      <c r="K50" s="4" t="s">
        <v>302</v>
      </c>
      <c r="L50" s="4" t="s">
        <v>373</v>
      </c>
      <c r="M50" s="2" t="s">
        <v>203</v>
      </c>
      <c r="N50" s="4" t="s">
        <v>777</v>
      </c>
      <c r="O50" s="4" t="s">
        <v>164</v>
      </c>
      <c r="P50" s="4" t="s">
        <v>99</v>
      </c>
      <c r="Q50" s="152">
        <v>3129.44</v>
      </c>
      <c r="R50" s="152">
        <v>3.7589999999999999</v>
      </c>
      <c r="S50" s="152">
        <v>3346</v>
      </c>
      <c r="T50" s="152">
        <v>393.60899999999998</v>
      </c>
      <c r="U50" s="166">
        <v>7.2000000000000002E-5</v>
      </c>
      <c r="V50" s="166">
        <v>0.100233559483206</v>
      </c>
      <c r="W50" s="166">
        <v>5.3366780635600601E-3</v>
      </c>
    </row>
    <row r="51" spans="1:23">
      <c r="A51" s="4" t="s">
        <v>144</v>
      </c>
      <c r="B51" s="4">
        <v>969</v>
      </c>
      <c r="C51" s="4" t="s">
        <v>1574</v>
      </c>
      <c r="D51" s="4" t="s">
        <v>1575</v>
      </c>
      <c r="E51" s="4" t="s">
        <v>361</v>
      </c>
      <c r="F51" s="4" t="s">
        <v>1576</v>
      </c>
      <c r="G51" s="4" t="s">
        <v>1577</v>
      </c>
      <c r="H51" s="4" t="s">
        <v>367</v>
      </c>
      <c r="I51" s="4" t="s">
        <v>1030</v>
      </c>
      <c r="J51" s="4" t="s">
        <v>94</v>
      </c>
      <c r="K51" s="4" t="s">
        <v>345</v>
      </c>
      <c r="L51" s="4" t="s">
        <v>373</v>
      </c>
      <c r="M51" s="2" t="s">
        <v>1569</v>
      </c>
      <c r="N51" s="4" t="s">
        <v>777</v>
      </c>
      <c r="O51" s="4" t="s">
        <v>164</v>
      </c>
      <c r="P51" s="4" t="s">
        <v>99</v>
      </c>
      <c r="Q51" s="152">
        <v>552.58000000000004</v>
      </c>
      <c r="R51" s="152">
        <v>3.7589999999999999</v>
      </c>
      <c r="S51" s="152">
        <v>18018</v>
      </c>
      <c r="T51" s="152">
        <v>374.26100000000002</v>
      </c>
      <c r="U51" s="166">
        <v>6.0999999999999999E-5</v>
      </c>
      <c r="V51" s="166">
        <v>9.5306458515268505E-2</v>
      </c>
      <c r="W51" s="166">
        <v>5.0743472455375303E-3</v>
      </c>
    </row>
    <row r="52" spans="1:23">
      <c r="A52" s="4" t="s">
        <v>144</v>
      </c>
      <c r="B52" s="4">
        <v>969</v>
      </c>
      <c r="C52" s="4" t="s">
        <v>1578</v>
      </c>
      <c r="D52" s="4" t="s">
        <v>1579</v>
      </c>
      <c r="E52" s="4" t="s">
        <v>361</v>
      </c>
      <c r="F52" s="4" t="s">
        <v>1580</v>
      </c>
      <c r="G52" s="4" t="s">
        <v>1581</v>
      </c>
      <c r="H52" s="4" t="s">
        <v>367</v>
      </c>
      <c r="I52" s="4" t="s">
        <v>975</v>
      </c>
      <c r="J52" s="4" t="s">
        <v>94</v>
      </c>
      <c r="K52" s="4" t="s">
        <v>345</v>
      </c>
      <c r="L52" s="4" t="s">
        <v>373</v>
      </c>
      <c r="M52" s="2" t="s">
        <v>1569</v>
      </c>
      <c r="N52" s="4" t="s">
        <v>780</v>
      </c>
      <c r="O52" s="4" t="s">
        <v>164</v>
      </c>
      <c r="P52" s="4" t="s">
        <v>99</v>
      </c>
      <c r="Q52" s="152">
        <v>13191.1</v>
      </c>
      <c r="R52" s="152">
        <v>3.7589999999999999</v>
      </c>
      <c r="S52" s="152">
        <v>980.9</v>
      </c>
      <c r="T52" s="152">
        <v>486.38299999999998</v>
      </c>
      <c r="U52" s="166">
        <v>1.044E-3</v>
      </c>
      <c r="V52" s="166">
        <v>0.12385864783134801</v>
      </c>
      <c r="W52" s="166">
        <v>6.5945351264764104E-3</v>
      </c>
    </row>
    <row r="53" spans="1:23">
      <c r="A53" s="4" t="s">
        <v>144</v>
      </c>
      <c r="B53" s="4">
        <v>969</v>
      </c>
      <c r="C53" s="4" t="s">
        <v>1582</v>
      </c>
      <c r="D53" s="4" t="s">
        <v>1583</v>
      </c>
      <c r="E53" s="4" t="s">
        <v>361</v>
      </c>
      <c r="F53" s="4" t="s">
        <v>1584</v>
      </c>
      <c r="G53" s="4" t="s">
        <v>1585</v>
      </c>
      <c r="H53" s="4" t="s">
        <v>367</v>
      </c>
      <c r="I53" s="4" t="s">
        <v>975</v>
      </c>
      <c r="J53" s="4" t="s">
        <v>94</v>
      </c>
      <c r="K53" s="4" t="s">
        <v>302</v>
      </c>
      <c r="L53" s="4" t="s">
        <v>373</v>
      </c>
      <c r="M53" s="2" t="s">
        <v>203</v>
      </c>
      <c r="N53" s="4" t="s">
        <v>780</v>
      </c>
      <c r="O53" s="4" t="s">
        <v>164</v>
      </c>
      <c r="P53" s="4" t="s">
        <v>99</v>
      </c>
      <c r="Q53" s="152">
        <v>10462.65</v>
      </c>
      <c r="R53" s="152">
        <v>3.7589999999999999</v>
      </c>
      <c r="S53" s="152">
        <v>1507.24</v>
      </c>
      <c r="T53" s="152">
        <v>592.78399999999999</v>
      </c>
      <c r="U53" s="166">
        <v>0</v>
      </c>
      <c r="V53" s="166">
        <v>0.150954024445521</v>
      </c>
      <c r="W53" s="166">
        <v>8.0371587621758198E-3</v>
      </c>
    </row>
    <row r="54" spans="1:23">
      <c r="A54" s="4" t="s">
        <v>144</v>
      </c>
      <c r="B54" s="4">
        <v>969</v>
      </c>
      <c r="C54" s="4" t="s">
        <v>1586</v>
      </c>
      <c r="D54" s="4" t="s">
        <v>1587</v>
      </c>
      <c r="E54" s="4" t="s">
        <v>361</v>
      </c>
      <c r="F54" s="4" t="s">
        <v>1588</v>
      </c>
      <c r="G54" s="4" t="s">
        <v>1589</v>
      </c>
      <c r="H54" s="4" t="s">
        <v>367</v>
      </c>
      <c r="I54" s="4" t="s">
        <v>1030</v>
      </c>
      <c r="J54" s="4" t="s">
        <v>94</v>
      </c>
      <c r="K54" s="4" t="s">
        <v>338</v>
      </c>
      <c r="L54" s="4" t="s">
        <v>373</v>
      </c>
      <c r="M54" s="2" t="s">
        <v>203</v>
      </c>
      <c r="N54" s="4" t="s">
        <v>777</v>
      </c>
      <c r="O54" s="4" t="s">
        <v>164</v>
      </c>
      <c r="P54" s="4" t="s">
        <v>99</v>
      </c>
      <c r="Q54" s="152">
        <v>5825.7</v>
      </c>
      <c r="R54" s="152">
        <v>3.7589999999999999</v>
      </c>
      <c r="S54" s="152">
        <v>1058.0899999999999</v>
      </c>
      <c r="T54" s="152">
        <v>231.709</v>
      </c>
      <c r="U54" s="166">
        <v>0</v>
      </c>
      <c r="V54" s="166">
        <v>5.9005339515445898E-2</v>
      </c>
      <c r="W54" s="166">
        <v>3.14158753463956E-3</v>
      </c>
    </row>
    <row r="55" spans="1:23">
      <c r="A55" s="4" t="s">
        <v>144</v>
      </c>
      <c r="B55" s="4">
        <v>969</v>
      </c>
      <c r="D55" s="4" t="s">
        <v>1593</v>
      </c>
      <c r="E55" s="4" t="s">
        <v>361</v>
      </c>
      <c r="F55" s="4" t="s">
        <v>1594</v>
      </c>
      <c r="G55" s="4" t="s">
        <v>1595</v>
      </c>
      <c r="H55" s="4" t="s">
        <v>367</v>
      </c>
      <c r="I55" s="4" t="s">
        <v>1030</v>
      </c>
      <c r="J55" s="4" t="s">
        <v>94</v>
      </c>
      <c r="K55" s="4" t="s">
        <v>345</v>
      </c>
      <c r="L55" s="4" t="s">
        <v>373</v>
      </c>
      <c r="M55" s="2" t="s">
        <v>203</v>
      </c>
      <c r="N55" s="4" t="s">
        <v>777</v>
      </c>
      <c r="O55" s="4" t="s">
        <v>164</v>
      </c>
      <c r="P55" s="4" t="s">
        <v>99</v>
      </c>
      <c r="Q55" s="152">
        <v>11740</v>
      </c>
      <c r="R55" s="152">
        <v>3.7589999999999999</v>
      </c>
      <c r="S55" s="152">
        <v>1195.6300000000001</v>
      </c>
      <c r="T55" s="152">
        <v>527.63900000000001</v>
      </c>
      <c r="U55" s="166">
        <v>0</v>
      </c>
      <c r="V55" s="166">
        <v>0.13436479310426699</v>
      </c>
      <c r="W55" s="166">
        <v>7.1539078086363499E-3</v>
      </c>
    </row>
    <row r="56" spans="1:23">
      <c r="A56" s="4" t="s">
        <v>144</v>
      </c>
      <c r="B56" s="4">
        <v>969</v>
      </c>
      <c r="C56" s="4" t="s">
        <v>1596</v>
      </c>
      <c r="D56" s="4" t="s">
        <v>1597</v>
      </c>
      <c r="E56" s="4" t="s">
        <v>361</v>
      </c>
      <c r="F56" s="4" t="s">
        <v>1598</v>
      </c>
      <c r="G56" s="4" t="s">
        <v>1599</v>
      </c>
      <c r="H56" s="4" t="s">
        <v>367</v>
      </c>
      <c r="I56" s="4" t="s">
        <v>1030</v>
      </c>
      <c r="J56" s="4" t="s">
        <v>94</v>
      </c>
      <c r="K56" s="4" t="s">
        <v>270</v>
      </c>
      <c r="L56" s="4" t="s">
        <v>373</v>
      </c>
      <c r="M56" s="2" t="s">
        <v>1569</v>
      </c>
      <c r="N56" s="4" t="s">
        <v>777</v>
      </c>
      <c r="O56" s="4" t="s">
        <v>164</v>
      </c>
      <c r="P56" s="4" t="s">
        <v>99</v>
      </c>
      <c r="Q56" s="152">
        <v>22444.65</v>
      </c>
      <c r="R56" s="152">
        <v>3.7589999999999999</v>
      </c>
      <c r="S56" s="152">
        <v>1121.22</v>
      </c>
      <c r="T56" s="152">
        <v>945.96699999999998</v>
      </c>
      <c r="U56" s="166">
        <v>9.0899999999999998E-4</v>
      </c>
      <c r="V56" s="166">
        <v>0.24089304463914599</v>
      </c>
      <c r="W56" s="166">
        <v>1.28257305598861E-2</v>
      </c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6</v>
      </c>
      <c r="J1" s="19" t="s">
        <v>7</v>
      </c>
      <c r="K1" s="19" t="s">
        <v>372</v>
      </c>
      <c r="L1" s="19" t="s">
        <v>8</v>
      </c>
      <c r="M1" s="19" t="s">
        <v>1160</v>
      </c>
      <c r="N1" s="19" t="s">
        <v>185</v>
      </c>
      <c r="O1" s="19" t="s">
        <v>1161</v>
      </c>
      <c r="P1" s="19" t="s">
        <v>150</v>
      </c>
      <c r="Q1" s="19" t="s">
        <v>11</v>
      </c>
      <c r="R1" s="19" t="s">
        <v>1162</v>
      </c>
      <c r="S1" s="19" t="s">
        <v>1163</v>
      </c>
      <c r="T1" s="19" t="s">
        <v>17</v>
      </c>
      <c r="U1" s="19" t="s">
        <v>18</v>
      </c>
      <c r="V1" s="19" t="s">
        <v>19</v>
      </c>
      <c r="W1" s="19" t="s">
        <v>20</v>
      </c>
      <c r="X1" s="163" t="s">
        <v>24</v>
      </c>
      <c r="Y1" s="163" t="s">
        <v>25</v>
      </c>
    </row>
    <row r="2" spans="1:25">
      <c r="A2" s="27" t="s">
        <v>26</v>
      </c>
      <c r="B2" s="20">
        <v>1182</v>
      </c>
      <c r="C2" s="20" t="s">
        <v>1983</v>
      </c>
      <c r="D2" s="20" t="s">
        <v>1984</v>
      </c>
      <c r="E2" s="18" t="s">
        <v>1376</v>
      </c>
      <c r="F2" s="20" t="s">
        <v>2633</v>
      </c>
      <c r="G2" s="20" t="s">
        <v>2634</v>
      </c>
      <c r="H2" s="18" t="s">
        <v>367</v>
      </c>
      <c r="I2" s="18" t="s">
        <v>31</v>
      </c>
      <c r="J2" s="18" t="s">
        <v>31</v>
      </c>
      <c r="K2" s="20" t="s">
        <v>373</v>
      </c>
      <c r="L2" s="18" t="s">
        <v>32</v>
      </c>
      <c r="M2" s="20" t="s">
        <v>2634</v>
      </c>
      <c r="N2" s="20" t="s">
        <v>524</v>
      </c>
      <c r="O2" s="20" t="s">
        <v>2635</v>
      </c>
      <c r="P2" s="20" t="s">
        <v>164</v>
      </c>
      <c r="Q2" s="18" t="s">
        <v>35</v>
      </c>
      <c r="R2" s="154">
        <v>0</v>
      </c>
      <c r="S2" s="154">
        <v>0</v>
      </c>
      <c r="T2" s="153">
        <v>18000</v>
      </c>
      <c r="U2" s="153">
        <v>1</v>
      </c>
      <c r="V2" s="153">
        <v>12.4</v>
      </c>
      <c r="W2" s="153">
        <v>2.2320000000000002</v>
      </c>
      <c r="X2" s="168">
        <v>0.75767452498033605</v>
      </c>
      <c r="Y2" s="168">
        <v>5.6477406950185196E-6</v>
      </c>
    </row>
    <row r="3" spans="1:25">
      <c r="A3" s="20" t="s">
        <v>26</v>
      </c>
      <c r="B3" s="20">
        <v>1182</v>
      </c>
      <c r="C3" s="20" t="s">
        <v>2015</v>
      </c>
      <c r="D3" s="20" t="s">
        <v>2016</v>
      </c>
      <c r="E3" s="18" t="s">
        <v>1376</v>
      </c>
      <c r="F3" s="20" t="s">
        <v>2636</v>
      </c>
      <c r="G3" s="20" t="s">
        <v>2637</v>
      </c>
      <c r="H3" s="18" t="s">
        <v>367</v>
      </c>
      <c r="I3" s="18" t="s">
        <v>31</v>
      </c>
      <c r="J3" s="18" t="s">
        <v>31</v>
      </c>
      <c r="K3" s="20" t="s">
        <v>373</v>
      </c>
      <c r="L3" s="18" t="s">
        <v>32</v>
      </c>
      <c r="M3" s="20" t="s">
        <v>2637</v>
      </c>
      <c r="N3" s="20" t="s">
        <v>507</v>
      </c>
      <c r="O3" s="20" t="s">
        <v>2638</v>
      </c>
      <c r="P3" s="20" t="s">
        <v>164</v>
      </c>
      <c r="Q3" s="18" t="s">
        <v>35</v>
      </c>
      <c r="R3" s="154">
        <v>550</v>
      </c>
      <c r="S3" s="154">
        <v>0</v>
      </c>
      <c r="T3" s="153">
        <v>4489.66</v>
      </c>
      <c r="U3" s="153">
        <v>1</v>
      </c>
      <c r="V3" s="153">
        <v>15.9</v>
      </c>
      <c r="W3" s="153">
        <v>0.71399999999999997</v>
      </c>
      <c r="X3" s="168">
        <v>0.24232547501966401</v>
      </c>
      <c r="Y3" s="168">
        <v>1.8063052162718199E-6</v>
      </c>
    </row>
    <row r="4" spans="1:25">
      <c r="A4" s="20" t="s">
        <v>128</v>
      </c>
      <c r="B4" s="20">
        <v>7228</v>
      </c>
      <c r="C4" s="20" t="s">
        <v>1983</v>
      </c>
      <c r="D4" s="20" t="s">
        <v>1984</v>
      </c>
      <c r="E4" s="18" t="s">
        <v>1376</v>
      </c>
      <c r="F4" s="20" t="s">
        <v>2633</v>
      </c>
      <c r="G4" s="20" t="s">
        <v>2634</v>
      </c>
      <c r="H4" s="18" t="s">
        <v>367</v>
      </c>
      <c r="I4" s="18" t="s">
        <v>31</v>
      </c>
      <c r="J4" s="18" t="s">
        <v>31</v>
      </c>
      <c r="K4" s="20" t="s">
        <v>373</v>
      </c>
      <c r="L4" s="18" t="s">
        <v>32</v>
      </c>
      <c r="M4" s="20" t="s">
        <v>2634</v>
      </c>
      <c r="N4" s="20" t="s">
        <v>524</v>
      </c>
      <c r="O4" s="20" t="s">
        <v>2635</v>
      </c>
      <c r="P4" s="20" t="s">
        <v>164</v>
      </c>
      <c r="Q4" s="18" t="s">
        <v>35</v>
      </c>
      <c r="R4" s="154">
        <v>0</v>
      </c>
      <c r="S4" s="154">
        <v>0</v>
      </c>
      <c r="T4" s="153">
        <v>162225</v>
      </c>
      <c r="U4" s="153">
        <v>1</v>
      </c>
      <c r="V4" s="153">
        <v>12.4</v>
      </c>
      <c r="W4" s="153">
        <v>20.116</v>
      </c>
      <c r="X4" s="168">
        <v>0.75543132766854704</v>
      </c>
      <c r="Y4" s="168">
        <v>8.5954041015146998E-6</v>
      </c>
    </row>
    <row r="5" spans="1:25">
      <c r="A5" s="20" t="s">
        <v>128</v>
      </c>
      <c r="B5" s="20">
        <v>7228</v>
      </c>
      <c r="C5" s="20" t="s">
        <v>2015</v>
      </c>
      <c r="D5" s="20" t="s">
        <v>2016</v>
      </c>
      <c r="E5" s="18" t="s">
        <v>1376</v>
      </c>
      <c r="F5" s="20" t="s">
        <v>2636</v>
      </c>
      <c r="G5" s="20" t="s">
        <v>2637</v>
      </c>
      <c r="H5" s="18" t="s">
        <v>367</v>
      </c>
      <c r="I5" s="18" t="s">
        <v>31</v>
      </c>
      <c r="J5" s="18" t="s">
        <v>31</v>
      </c>
      <c r="K5" s="20" t="s">
        <v>373</v>
      </c>
      <c r="L5" s="18" t="s">
        <v>32</v>
      </c>
      <c r="M5" s="20" t="s">
        <v>2637</v>
      </c>
      <c r="N5" s="20" t="s">
        <v>507</v>
      </c>
      <c r="O5" s="20" t="s">
        <v>2638</v>
      </c>
      <c r="P5" s="20" t="s">
        <v>164</v>
      </c>
      <c r="Q5" s="18" t="s">
        <v>35</v>
      </c>
      <c r="R5" s="154">
        <v>550</v>
      </c>
      <c r="S5" s="154">
        <v>0</v>
      </c>
      <c r="T5" s="153">
        <v>40958.89</v>
      </c>
      <c r="U5" s="153">
        <v>1</v>
      </c>
      <c r="V5" s="153">
        <v>15.9</v>
      </c>
      <c r="W5" s="153">
        <v>6.5119999999999996</v>
      </c>
      <c r="X5" s="168">
        <v>0.24456867233145299</v>
      </c>
      <c r="Y5" s="168">
        <v>2.7827368183784399E-6</v>
      </c>
    </row>
    <row r="6" spans="1:25">
      <c r="A6" s="20" t="s">
        <v>128</v>
      </c>
      <c r="B6" s="20">
        <v>7229</v>
      </c>
      <c r="C6" s="20" t="s">
        <v>1983</v>
      </c>
      <c r="D6" s="20" t="s">
        <v>1984</v>
      </c>
      <c r="E6" s="18" t="s">
        <v>1376</v>
      </c>
      <c r="F6" s="20" t="s">
        <v>2633</v>
      </c>
      <c r="G6" s="20" t="s">
        <v>2634</v>
      </c>
      <c r="H6" s="18" t="s">
        <v>367</v>
      </c>
      <c r="I6" s="18" t="s">
        <v>31</v>
      </c>
      <c r="J6" s="18" t="s">
        <v>31</v>
      </c>
      <c r="K6" s="20" t="s">
        <v>373</v>
      </c>
      <c r="L6" s="18" t="s">
        <v>32</v>
      </c>
      <c r="M6" s="20" t="s">
        <v>2634</v>
      </c>
      <c r="N6" s="20" t="s">
        <v>524</v>
      </c>
      <c r="O6" s="20" t="s">
        <v>2635</v>
      </c>
      <c r="P6" s="20" t="s">
        <v>164</v>
      </c>
      <c r="Q6" s="18" t="s">
        <v>35</v>
      </c>
      <c r="R6" s="154">
        <v>0</v>
      </c>
      <c r="S6" s="154">
        <v>0</v>
      </c>
      <c r="T6" s="153">
        <v>7200</v>
      </c>
      <c r="U6" s="153">
        <v>1</v>
      </c>
      <c r="V6" s="153">
        <v>12.4</v>
      </c>
      <c r="W6" s="153">
        <v>0.89300000000000002</v>
      </c>
      <c r="X6" s="168">
        <v>1</v>
      </c>
      <c r="Y6" s="168">
        <v>6.3138034774543199E-6</v>
      </c>
    </row>
    <row r="7" spans="1:25">
      <c r="A7" s="20" t="s">
        <v>128</v>
      </c>
      <c r="B7" s="20">
        <v>9817</v>
      </c>
      <c r="C7" s="20" t="s">
        <v>2015</v>
      </c>
      <c r="D7" s="20" t="s">
        <v>2016</v>
      </c>
      <c r="E7" s="18" t="s">
        <v>1376</v>
      </c>
      <c r="F7" s="20" t="s">
        <v>2636</v>
      </c>
      <c r="G7" s="20" t="s">
        <v>2637</v>
      </c>
      <c r="H7" s="18" t="s">
        <v>367</v>
      </c>
      <c r="I7" s="18" t="s">
        <v>31</v>
      </c>
      <c r="J7" s="18" t="s">
        <v>31</v>
      </c>
      <c r="K7" s="20" t="s">
        <v>373</v>
      </c>
      <c r="L7" s="18" t="s">
        <v>32</v>
      </c>
      <c r="M7" s="20" t="s">
        <v>2637</v>
      </c>
      <c r="N7" s="20" t="s">
        <v>507</v>
      </c>
      <c r="O7" s="20" t="s">
        <v>2638</v>
      </c>
      <c r="P7" s="20" t="s">
        <v>164</v>
      </c>
      <c r="Q7" s="18" t="s">
        <v>35</v>
      </c>
      <c r="R7" s="154">
        <v>550</v>
      </c>
      <c r="S7" s="154">
        <v>0</v>
      </c>
      <c r="T7" s="153">
        <v>40.81</v>
      </c>
      <c r="U7" s="153">
        <v>1</v>
      </c>
      <c r="V7" s="153">
        <v>15.9</v>
      </c>
      <c r="W7" s="153">
        <v>6.0000000000000001E-3</v>
      </c>
      <c r="X7" s="168">
        <v>1</v>
      </c>
      <c r="Y7" s="168">
        <v>4.4003159330596804E-6</v>
      </c>
    </row>
    <row r="8" spans="1:25">
      <c r="A8" s="20" t="s">
        <v>144</v>
      </c>
      <c r="B8" s="20">
        <v>969</v>
      </c>
      <c r="C8" s="20" t="s">
        <v>1983</v>
      </c>
      <c r="D8" s="20" t="s">
        <v>1984</v>
      </c>
      <c r="E8" s="18" t="s">
        <v>1376</v>
      </c>
      <c r="F8" s="20" t="s">
        <v>2633</v>
      </c>
      <c r="G8" s="20" t="s">
        <v>2634</v>
      </c>
      <c r="H8" s="18" t="s">
        <v>367</v>
      </c>
      <c r="I8" s="18" t="s">
        <v>31</v>
      </c>
      <c r="J8" s="18" t="s">
        <v>31</v>
      </c>
      <c r="K8" s="20" t="s">
        <v>373</v>
      </c>
      <c r="L8" s="18" t="s">
        <v>32</v>
      </c>
      <c r="M8" s="20" t="s">
        <v>2634</v>
      </c>
      <c r="N8" s="20" t="s">
        <v>524</v>
      </c>
      <c r="O8" s="20" t="s">
        <v>2635</v>
      </c>
      <c r="P8" s="20" t="s">
        <v>164</v>
      </c>
      <c r="Q8" s="18" t="s">
        <v>35</v>
      </c>
      <c r="R8" s="154">
        <v>0</v>
      </c>
      <c r="S8" s="154">
        <v>0</v>
      </c>
      <c r="T8" s="153">
        <v>7200</v>
      </c>
      <c r="U8" s="153">
        <v>1</v>
      </c>
      <c r="V8" s="153">
        <v>12.4</v>
      </c>
      <c r="W8" s="153">
        <v>0.89300000000000002</v>
      </c>
      <c r="X8" s="168">
        <v>0.70062441267380604</v>
      </c>
      <c r="Y8" s="168">
        <v>1.2104874595394501E-5</v>
      </c>
    </row>
    <row r="9" spans="1:25">
      <c r="A9" s="20" t="s">
        <v>144</v>
      </c>
      <c r="B9" s="20">
        <v>969</v>
      </c>
      <c r="C9" s="20" t="s">
        <v>2015</v>
      </c>
      <c r="D9" s="20" t="s">
        <v>2016</v>
      </c>
      <c r="E9" s="18" t="s">
        <v>1376</v>
      </c>
      <c r="F9" s="20" t="s">
        <v>2636</v>
      </c>
      <c r="G9" s="20" t="s">
        <v>2637</v>
      </c>
      <c r="H9" s="18" t="s">
        <v>367</v>
      </c>
      <c r="I9" s="18" t="s">
        <v>31</v>
      </c>
      <c r="J9" s="18" t="s">
        <v>31</v>
      </c>
      <c r="K9" s="20" t="s">
        <v>373</v>
      </c>
      <c r="L9" s="18" t="s">
        <v>32</v>
      </c>
      <c r="M9" s="20" t="s">
        <v>2637</v>
      </c>
      <c r="N9" s="20" t="s">
        <v>507</v>
      </c>
      <c r="O9" s="20" t="s">
        <v>2638</v>
      </c>
      <c r="P9" s="20" t="s">
        <v>164</v>
      </c>
      <c r="Q9" s="18" t="s">
        <v>35</v>
      </c>
      <c r="R9" s="154">
        <v>550</v>
      </c>
      <c r="S9" s="154">
        <v>0</v>
      </c>
      <c r="T9" s="153">
        <v>2399.3200000000002</v>
      </c>
      <c r="U9" s="153">
        <v>1</v>
      </c>
      <c r="V9" s="153">
        <v>15.9</v>
      </c>
      <c r="W9" s="153">
        <v>0.38100000000000001</v>
      </c>
      <c r="X9" s="168">
        <v>0.29937558732619401</v>
      </c>
      <c r="Y9" s="168">
        <v>5.1723917636215296E-6</v>
      </c>
    </row>
    <row r="10" spans="1:25">
      <c r="A10" s="20"/>
      <c r="B10" s="20"/>
      <c r="C10" s="20"/>
      <c r="D10" s="20"/>
      <c r="E10" s="18"/>
      <c r="F10" s="20"/>
      <c r="G10" s="20"/>
      <c r="H10" s="18"/>
      <c r="I10" s="18"/>
      <c r="J10" s="18"/>
      <c r="K10" s="20"/>
      <c r="L10" s="18"/>
      <c r="M10" s="20"/>
      <c r="N10" s="20"/>
      <c r="O10" s="20"/>
      <c r="P10" s="20"/>
      <c r="Q10" s="18"/>
      <c r="R10" s="18"/>
      <c r="S10" s="18"/>
      <c r="T10" s="20"/>
      <c r="U10" s="20"/>
      <c r="V10" s="20"/>
      <c r="W10" s="20"/>
      <c r="X10" s="20"/>
      <c r="Y10" s="20"/>
    </row>
    <row r="11" spans="1:25">
      <c r="A11" s="27"/>
      <c r="B11" s="20"/>
      <c r="C11" s="20"/>
      <c r="D11" s="20"/>
      <c r="E11" s="18"/>
      <c r="F11" s="20"/>
      <c r="G11" s="20"/>
      <c r="H11" s="18"/>
      <c r="I11" s="18"/>
      <c r="J11" s="18"/>
      <c r="K11" s="20"/>
      <c r="L11" s="18"/>
      <c r="M11" s="20"/>
      <c r="N11" s="20"/>
      <c r="O11" s="20"/>
      <c r="P11" s="20"/>
      <c r="Q11" s="18"/>
      <c r="R11" s="18"/>
      <c r="S11" s="18"/>
      <c r="T11" s="20"/>
      <c r="U11" s="20"/>
      <c r="V11" s="20"/>
      <c r="W11" s="20"/>
      <c r="X11" s="20"/>
      <c r="Y11" s="20"/>
    </row>
    <row r="12" spans="1:25">
      <c r="A12" s="20"/>
      <c r="B12" s="20"/>
      <c r="C12" s="20"/>
      <c r="D12" s="20"/>
      <c r="E12" s="18"/>
      <c r="F12" s="20"/>
      <c r="G12" s="20"/>
      <c r="H12" s="18"/>
      <c r="I12" s="18"/>
      <c r="J12" s="18"/>
      <c r="K12" s="20"/>
      <c r="L12" s="18"/>
      <c r="M12" s="20"/>
      <c r="N12" s="20"/>
      <c r="O12" s="20"/>
      <c r="P12" s="20"/>
      <c r="Q12" s="18"/>
      <c r="R12" s="18"/>
      <c r="S12" s="18"/>
      <c r="T12" s="20"/>
      <c r="U12" s="20"/>
      <c r="V12" s="20"/>
      <c r="W12" s="20"/>
      <c r="X12" s="20"/>
      <c r="Y12" s="20"/>
    </row>
    <row r="13" spans="1:25">
      <c r="A13" s="20"/>
      <c r="B13" s="20"/>
      <c r="C13" s="20"/>
      <c r="D13" s="20"/>
      <c r="E13" s="18"/>
      <c r="F13" s="20"/>
      <c r="G13" s="20"/>
      <c r="H13" s="18"/>
      <c r="I13" s="18"/>
      <c r="J13" s="18"/>
      <c r="K13" s="20"/>
      <c r="L13" s="18"/>
      <c r="M13" s="20"/>
      <c r="N13" s="20"/>
      <c r="O13" s="20"/>
      <c r="P13" s="20"/>
      <c r="Q13" s="18"/>
      <c r="R13" s="18"/>
      <c r="S13" s="18"/>
      <c r="T13" s="20"/>
      <c r="U13" s="20"/>
      <c r="V13" s="20"/>
      <c r="W13" s="20"/>
      <c r="X13" s="20"/>
      <c r="Y13" s="20"/>
    </row>
    <row r="14" spans="1:25">
      <c r="A14" s="20"/>
      <c r="B14" s="20"/>
      <c r="C14" s="20"/>
      <c r="D14" s="20"/>
      <c r="E14" s="18"/>
      <c r="F14" s="20"/>
      <c r="G14" s="20"/>
      <c r="H14" s="18"/>
      <c r="I14" s="18"/>
      <c r="J14" s="18"/>
      <c r="K14" s="20"/>
      <c r="L14" s="18"/>
      <c r="M14" s="20"/>
      <c r="N14" s="20"/>
      <c r="O14" s="20"/>
      <c r="P14" s="20"/>
      <c r="Q14" s="18"/>
      <c r="R14" s="18"/>
      <c r="S14" s="18"/>
      <c r="T14" s="20"/>
      <c r="U14" s="20"/>
      <c r="V14" s="20"/>
      <c r="W14" s="20"/>
      <c r="X14" s="20"/>
      <c r="Y14" s="20"/>
    </row>
    <row r="15" spans="1:25">
      <c r="A15" s="20"/>
      <c r="B15" s="20"/>
      <c r="C15" s="20"/>
      <c r="D15" s="20"/>
      <c r="E15" s="18"/>
      <c r="F15" s="20"/>
      <c r="G15" s="20"/>
      <c r="H15" s="18"/>
      <c r="I15" s="18"/>
      <c r="J15" s="18"/>
      <c r="K15" s="20"/>
      <c r="L15" s="18"/>
      <c r="M15" s="20"/>
      <c r="N15" s="20"/>
      <c r="O15" s="20"/>
      <c r="P15" s="20"/>
      <c r="Q15" s="18"/>
      <c r="R15" s="18"/>
      <c r="S15" s="18"/>
      <c r="T15" s="20"/>
      <c r="U15" s="20"/>
      <c r="V15" s="20"/>
      <c r="W15" s="20"/>
      <c r="X15" s="20"/>
      <c r="Y15" s="20"/>
    </row>
    <row r="16" spans="1:25">
      <c r="A16" s="20"/>
      <c r="B16" s="20"/>
      <c r="C16" s="20"/>
      <c r="D16" s="20"/>
      <c r="E16" s="18"/>
      <c r="F16" s="20"/>
      <c r="G16" s="20"/>
      <c r="H16" s="18"/>
      <c r="I16" s="18"/>
      <c r="J16" s="18"/>
      <c r="K16" s="20"/>
      <c r="L16" s="18"/>
      <c r="M16" s="20"/>
      <c r="N16" s="20"/>
      <c r="O16" s="20"/>
      <c r="P16" s="20"/>
      <c r="Q16" s="18"/>
      <c r="R16" s="18"/>
      <c r="S16" s="18"/>
      <c r="T16" s="20"/>
      <c r="U16" s="20"/>
      <c r="V16" s="20"/>
      <c r="W16" s="20"/>
      <c r="X16" s="20"/>
      <c r="Y16" s="20"/>
    </row>
    <row r="17" spans="1:25">
      <c r="A17" s="20"/>
      <c r="B17" s="20"/>
      <c r="C17" s="20"/>
      <c r="D17" s="20"/>
      <c r="E17" s="18"/>
      <c r="F17" s="20"/>
      <c r="G17" s="20"/>
      <c r="H17" s="18"/>
      <c r="I17" s="18"/>
      <c r="J17" s="18"/>
      <c r="K17" s="20"/>
      <c r="L17" s="18"/>
      <c r="M17" s="20"/>
      <c r="N17" s="20"/>
      <c r="O17" s="20"/>
      <c r="P17" s="20"/>
      <c r="Q17" s="18"/>
      <c r="R17" s="18"/>
      <c r="S17" s="18"/>
      <c r="T17" s="20"/>
      <c r="U17" s="20"/>
      <c r="V17" s="20"/>
      <c r="W17" s="20"/>
      <c r="X17" s="20"/>
      <c r="Y17" s="20"/>
    </row>
    <row r="18" spans="1:25">
      <c r="A18" s="20"/>
      <c r="B18" s="20"/>
      <c r="C18" s="20"/>
      <c r="D18" s="20"/>
      <c r="E18" s="18"/>
      <c r="F18" s="20"/>
      <c r="G18" s="20"/>
      <c r="H18" s="18"/>
      <c r="I18" s="18"/>
      <c r="J18" s="18"/>
      <c r="K18" s="20"/>
      <c r="L18" s="18"/>
      <c r="M18" s="20"/>
      <c r="N18" s="20"/>
      <c r="O18" s="20"/>
      <c r="P18" s="20"/>
      <c r="Q18" s="18"/>
      <c r="R18" s="18"/>
      <c r="S18" s="18"/>
      <c r="T18" s="20"/>
      <c r="U18" s="20"/>
      <c r="V18" s="20"/>
      <c r="W18" s="20"/>
      <c r="X18" s="20"/>
      <c r="Y18" s="20"/>
    </row>
    <row r="19" spans="1:25">
      <c r="A19" s="20"/>
      <c r="B19" s="20"/>
      <c r="C19" s="20"/>
      <c r="D19" s="20"/>
      <c r="E19" s="18"/>
      <c r="F19" s="20"/>
      <c r="G19" s="20"/>
      <c r="H19" s="18"/>
      <c r="I19" s="18"/>
      <c r="J19" s="18"/>
      <c r="K19" s="20"/>
      <c r="L19" s="18"/>
      <c r="M19" s="20"/>
      <c r="N19" s="20"/>
      <c r="O19" s="20"/>
      <c r="P19" s="20"/>
      <c r="Q19" s="18"/>
      <c r="R19" s="18"/>
      <c r="S19" s="18"/>
      <c r="T19" s="20"/>
      <c r="U19" s="20"/>
      <c r="V19" s="20"/>
      <c r="W19" s="20"/>
      <c r="X19" s="20"/>
      <c r="Y19" s="20"/>
    </row>
    <row r="20" spans="1:25">
      <c r="E20" s="18"/>
      <c r="H20" s="18"/>
      <c r="I20" s="18"/>
      <c r="J20" s="18"/>
      <c r="K20" s="20"/>
      <c r="L20" s="18"/>
      <c r="N20" s="20"/>
      <c r="P20" s="20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8</v>
      </c>
      <c r="M1" s="19" t="s">
        <v>185</v>
      </c>
      <c r="N1" s="19" t="s">
        <v>221</v>
      </c>
      <c r="O1" s="19" t="s">
        <v>1161</v>
      </c>
      <c r="P1" s="19" t="s">
        <v>150</v>
      </c>
      <c r="Q1" s="19" t="s">
        <v>11</v>
      </c>
      <c r="R1" s="19" t="s">
        <v>1162</v>
      </c>
      <c r="S1" s="19" t="s">
        <v>17</v>
      </c>
      <c r="T1" s="19" t="s">
        <v>18</v>
      </c>
      <c r="U1" s="19" t="s">
        <v>19</v>
      </c>
      <c r="V1" s="19" t="s">
        <v>20</v>
      </c>
      <c r="W1" s="19" t="s">
        <v>24</v>
      </c>
      <c r="X1" s="19" t="s">
        <v>25</v>
      </c>
    </row>
    <row r="2" spans="1:24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18"/>
      <c r="M2" s="20"/>
      <c r="N2" s="20"/>
      <c r="O2" s="20"/>
      <c r="P2" s="20"/>
      <c r="Q2" s="18"/>
      <c r="R2" s="18"/>
      <c r="S2" s="20"/>
      <c r="T2" s="20"/>
      <c r="U2" s="20"/>
      <c r="V2" s="20"/>
      <c r="W2" s="20"/>
      <c r="X2" s="20"/>
    </row>
    <row r="3" spans="1:24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18"/>
      <c r="M3" s="20"/>
      <c r="N3" s="20"/>
      <c r="O3" s="20"/>
      <c r="P3" s="20"/>
      <c r="Q3" s="18"/>
      <c r="R3" s="18"/>
      <c r="S3" s="20"/>
      <c r="T3" s="20"/>
      <c r="U3" s="20"/>
      <c r="V3" s="20"/>
      <c r="W3" s="20"/>
      <c r="X3" s="20"/>
    </row>
    <row r="4" spans="1:24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18"/>
      <c r="M4" s="20"/>
      <c r="N4" s="20"/>
      <c r="O4" s="20"/>
      <c r="P4" s="20"/>
      <c r="Q4" s="18"/>
      <c r="R4" s="18"/>
      <c r="S4" s="20"/>
      <c r="T4" s="20"/>
      <c r="U4" s="20"/>
      <c r="V4" s="20"/>
      <c r="W4" s="20"/>
      <c r="X4" s="20"/>
    </row>
    <row r="5" spans="1:24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18"/>
      <c r="M5" s="20"/>
      <c r="N5" s="20"/>
      <c r="O5" s="20"/>
      <c r="P5" s="20"/>
      <c r="Q5" s="18"/>
      <c r="R5" s="18"/>
      <c r="S5" s="20"/>
      <c r="T5" s="20"/>
      <c r="U5" s="20"/>
      <c r="V5" s="20"/>
      <c r="W5" s="20"/>
      <c r="X5" s="20"/>
    </row>
    <row r="6" spans="1:24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18"/>
      <c r="M6" s="20"/>
      <c r="N6" s="20"/>
      <c r="O6" s="20"/>
      <c r="P6" s="20"/>
      <c r="Q6" s="18"/>
      <c r="R6" s="18"/>
      <c r="S6" s="20"/>
      <c r="T6" s="20"/>
      <c r="U6" s="20"/>
      <c r="V6" s="20"/>
      <c r="W6" s="20"/>
      <c r="X6" s="20"/>
    </row>
    <row r="7" spans="1:24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18"/>
      <c r="M7" s="20"/>
      <c r="N7" s="20"/>
      <c r="O7" s="20"/>
      <c r="P7" s="20"/>
      <c r="Q7" s="18"/>
      <c r="R7" s="18"/>
      <c r="S7" s="20"/>
      <c r="T7" s="20"/>
      <c r="U7" s="20"/>
      <c r="V7" s="20"/>
      <c r="W7" s="20"/>
      <c r="X7" s="20"/>
    </row>
    <row r="8" spans="1:24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18"/>
      <c r="M8" s="20"/>
      <c r="N8" s="20"/>
      <c r="O8" s="20"/>
      <c r="P8" s="20"/>
      <c r="Q8" s="18"/>
      <c r="R8" s="18"/>
      <c r="S8" s="20"/>
      <c r="T8" s="20"/>
      <c r="U8" s="20"/>
      <c r="V8" s="20"/>
      <c r="W8" s="20"/>
      <c r="X8" s="20"/>
    </row>
    <row r="9" spans="1:24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18"/>
      <c r="M9" s="20"/>
      <c r="N9" s="20"/>
      <c r="O9" s="20"/>
      <c r="P9" s="20"/>
      <c r="Q9" s="18"/>
      <c r="R9" s="18"/>
      <c r="S9" s="20"/>
      <c r="T9" s="20"/>
      <c r="U9" s="20"/>
      <c r="V9" s="20"/>
      <c r="W9" s="20"/>
      <c r="X9" s="20"/>
    </row>
    <row r="10" spans="1:24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18"/>
      <c r="M10" s="20"/>
      <c r="N10" s="20"/>
      <c r="O10" s="20"/>
      <c r="P10" s="20"/>
      <c r="Q10" s="18"/>
      <c r="R10" s="18"/>
      <c r="S10" s="20"/>
      <c r="T10" s="20"/>
      <c r="U10" s="20"/>
      <c r="V10" s="20"/>
      <c r="W10" s="20"/>
      <c r="X10" s="20"/>
    </row>
    <row r="11" spans="1:24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18"/>
      <c r="M11" s="20"/>
      <c r="N11" s="20"/>
      <c r="O11" s="20"/>
      <c r="P11" s="20"/>
      <c r="Q11" s="18"/>
      <c r="R11" s="18"/>
      <c r="S11" s="20"/>
      <c r="T11" s="20"/>
      <c r="U11" s="20"/>
      <c r="V11" s="20"/>
      <c r="W11" s="20"/>
      <c r="X11" s="20"/>
    </row>
    <row r="12" spans="1:24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18"/>
      <c r="M12" s="20"/>
      <c r="N12" s="20"/>
      <c r="O12" s="20"/>
      <c r="P12" s="20"/>
      <c r="Q12" s="18"/>
      <c r="R12" s="18"/>
      <c r="S12" s="20"/>
      <c r="T12" s="20"/>
      <c r="U12" s="20"/>
      <c r="V12" s="20"/>
      <c r="W12" s="20"/>
      <c r="X12" s="20"/>
    </row>
    <row r="13" spans="1:24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18"/>
      <c r="M13" s="20"/>
      <c r="N13" s="20"/>
      <c r="O13" s="20"/>
      <c r="P13" s="20"/>
      <c r="Q13" s="18"/>
      <c r="R13" s="18"/>
      <c r="S13" s="20"/>
      <c r="T13" s="20"/>
      <c r="U13" s="20"/>
      <c r="V13" s="20"/>
      <c r="W13" s="20"/>
      <c r="X13" s="20"/>
    </row>
    <row r="14" spans="1:24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18"/>
      <c r="M14" s="20"/>
      <c r="N14" s="20"/>
      <c r="O14" s="20"/>
      <c r="P14" s="20"/>
      <c r="Q14" s="18"/>
      <c r="R14" s="18"/>
      <c r="S14" s="20"/>
      <c r="T14" s="20"/>
      <c r="U14" s="20"/>
      <c r="V14" s="20"/>
      <c r="W14" s="20"/>
      <c r="X14" s="20"/>
    </row>
    <row r="15" spans="1:24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18"/>
      <c r="M15" s="20"/>
      <c r="N15" s="20"/>
      <c r="O15" s="20"/>
      <c r="P15" s="20"/>
      <c r="Q15" s="18"/>
      <c r="R15" s="18"/>
      <c r="S15" s="20"/>
      <c r="T15" s="20"/>
      <c r="U15" s="20"/>
      <c r="V15" s="20"/>
      <c r="W15" s="20"/>
      <c r="X15" s="20"/>
    </row>
    <row r="16" spans="1:24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18"/>
      <c r="M16" s="20"/>
      <c r="N16" s="20"/>
      <c r="O16" s="20"/>
      <c r="P16" s="20"/>
      <c r="Q16" s="18"/>
      <c r="R16" s="18"/>
      <c r="S16" s="20"/>
      <c r="T16" s="20"/>
      <c r="U16" s="20"/>
      <c r="V16" s="20"/>
      <c r="W16" s="20"/>
      <c r="X16" s="20"/>
    </row>
    <row r="17" spans="1:24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18"/>
      <c r="M17" s="20"/>
      <c r="N17" s="20"/>
      <c r="O17" s="20"/>
      <c r="P17" s="20"/>
      <c r="Q17" s="18"/>
      <c r="R17" s="18"/>
      <c r="S17" s="20"/>
      <c r="T17" s="20"/>
      <c r="U17" s="20"/>
      <c r="V17" s="20"/>
      <c r="W17" s="20"/>
      <c r="X17" s="20"/>
    </row>
    <row r="18" spans="1:24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18"/>
      <c r="M18" s="20"/>
      <c r="N18" s="20"/>
      <c r="O18" s="20"/>
      <c r="P18" s="20"/>
      <c r="Q18" s="18"/>
      <c r="R18" s="18"/>
      <c r="S18" s="20"/>
      <c r="T18" s="20"/>
      <c r="U18" s="20"/>
      <c r="V18" s="20"/>
      <c r="W18" s="20"/>
      <c r="X18" s="20"/>
    </row>
    <row r="19" spans="1:24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18"/>
      <c r="M19" s="20"/>
      <c r="N19" s="20"/>
      <c r="O19" s="20"/>
      <c r="P19" s="20"/>
      <c r="Q19" s="18"/>
      <c r="R19" s="18"/>
      <c r="S19" s="20"/>
      <c r="T19" s="20"/>
      <c r="U19" s="20"/>
      <c r="V19" s="20"/>
      <c r="W19" s="20"/>
      <c r="X19" s="20"/>
    </row>
    <row r="20" spans="1:24">
      <c r="E20" s="18"/>
      <c r="H20" s="18"/>
      <c r="I20" s="20"/>
      <c r="J20" s="18"/>
      <c r="K20" s="18"/>
      <c r="L20" s="18"/>
      <c r="M20" s="20"/>
      <c r="P20" s="20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6</v>
      </c>
      <c r="J1" s="19" t="s">
        <v>7</v>
      </c>
      <c r="K1" s="19" t="s">
        <v>8</v>
      </c>
      <c r="L1" s="19" t="s">
        <v>221</v>
      </c>
      <c r="M1" s="19" t="s">
        <v>150</v>
      </c>
      <c r="N1" s="19" t="s">
        <v>11</v>
      </c>
      <c r="O1" s="19" t="s">
        <v>17</v>
      </c>
      <c r="P1" s="19" t="s">
        <v>18</v>
      </c>
      <c r="Q1" s="19" t="s">
        <v>19</v>
      </c>
      <c r="R1" s="19" t="s">
        <v>20</v>
      </c>
      <c r="S1" s="163" t="s">
        <v>24</v>
      </c>
      <c r="T1" s="163" t="s">
        <v>25</v>
      </c>
    </row>
    <row r="2" spans="1:20">
      <c r="A2" s="20" t="s">
        <v>26</v>
      </c>
      <c r="B2" s="20">
        <v>1182</v>
      </c>
      <c r="C2" s="2" t="s">
        <v>2624</v>
      </c>
      <c r="D2" s="2" t="s">
        <v>2625</v>
      </c>
      <c r="E2" s="18" t="s">
        <v>34</v>
      </c>
      <c r="F2" s="20" t="s">
        <v>2626</v>
      </c>
      <c r="G2" s="20" t="s">
        <v>2627</v>
      </c>
      <c r="H2" s="18" t="s">
        <v>203</v>
      </c>
      <c r="I2" s="18" t="s">
        <v>94</v>
      </c>
      <c r="J2" s="18" t="s">
        <v>95</v>
      </c>
      <c r="K2" s="18" t="s">
        <v>2628</v>
      </c>
      <c r="L2" s="20" t="s">
        <v>792</v>
      </c>
      <c r="M2" s="20" t="s">
        <v>164</v>
      </c>
      <c r="N2" s="18" t="s">
        <v>99</v>
      </c>
      <c r="O2" s="153">
        <v>2</v>
      </c>
      <c r="P2" s="153">
        <v>3.7589999999999999</v>
      </c>
      <c r="Q2" s="153">
        <v>19927.25</v>
      </c>
      <c r="R2" s="153">
        <v>-3.278</v>
      </c>
      <c r="S2" s="168">
        <v>-2.70782225258503E-2</v>
      </c>
      <c r="T2" s="168">
        <v>-8.2941019451988093E-6</v>
      </c>
    </row>
    <row r="3" spans="1:20">
      <c r="A3" s="20" t="s">
        <v>26</v>
      </c>
      <c r="B3" s="20">
        <v>1182</v>
      </c>
      <c r="C3" s="2" t="s">
        <v>2624</v>
      </c>
      <c r="D3" s="2" t="s">
        <v>2625</v>
      </c>
      <c r="E3" s="18" t="s">
        <v>34</v>
      </c>
      <c r="F3" s="20" t="s">
        <v>2629</v>
      </c>
      <c r="G3" s="20" t="s">
        <v>2630</v>
      </c>
      <c r="H3" s="18" t="s">
        <v>203</v>
      </c>
      <c r="I3" s="18" t="s">
        <v>94</v>
      </c>
      <c r="J3" s="18" t="s">
        <v>95</v>
      </c>
      <c r="K3" s="18" t="s">
        <v>2628</v>
      </c>
      <c r="L3" s="20" t="s">
        <v>792</v>
      </c>
      <c r="M3" s="20" t="s">
        <v>164</v>
      </c>
      <c r="N3" s="18" t="s">
        <v>99</v>
      </c>
      <c r="O3" s="153">
        <v>35</v>
      </c>
      <c r="P3" s="153">
        <v>3.7589999999999999</v>
      </c>
      <c r="Q3" s="153">
        <v>5521.5</v>
      </c>
      <c r="R3" s="153">
        <v>124.32899999999999</v>
      </c>
      <c r="S3" s="168">
        <v>1.0270782225258499</v>
      </c>
      <c r="T3" s="168">
        <v>3.1459566724479802E-4</v>
      </c>
    </row>
    <row r="4" spans="1:20">
      <c r="A4" s="20" t="s">
        <v>26</v>
      </c>
      <c r="B4" s="20">
        <v>14769</v>
      </c>
      <c r="C4" s="2" t="s">
        <v>2624</v>
      </c>
      <c r="D4" s="2" t="s">
        <v>2625</v>
      </c>
      <c r="E4" s="18" t="s">
        <v>34</v>
      </c>
      <c r="F4" s="20" t="s">
        <v>2629</v>
      </c>
      <c r="G4" s="20" t="s">
        <v>2630</v>
      </c>
      <c r="H4" s="18" t="s">
        <v>203</v>
      </c>
      <c r="I4" s="18" t="s">
        <v>94</v>
      </c>
      <c r="J4" s="18" t="s">
        <v>95</v>
      </c>
      <c r="K4" s="18" t="s">
        <v>2628</v>
      </c>
      <c r="L4" s="20" t="s">
        <v>792</v>
      </c>
      <c r="M4" s="20" t="s">
        <v>164</v>
      </c>
      <c r="N4" s="18" t="s">
        <v>99</v>
      </c>
      <c r="O4" s="153">
        <v>1</v>
      </c>
      <c r="P4" s="153">
        <v>3.7589999999999999</v>
      </c>
      <c r="Q4" s="153">
        <v>5521.5</v>
      </c>
      <c r="R4" s="153">
        <v>3.552</v>
      </c>
      <c r="S4" s="168">
        <v>1</v>
      </c>
      <c r="T4" s="168">
        <v>3.1870963101629301E-4</v>
      </c>
    </row>
    <row r="5" spans="1:20">
      <c r="A5" s="20" t="s">
        <v>112</v>
      </c>
      <c r="B5" s="20">
        <v>12905</v>
      </c>
      <c r="C5" s="2" t="s">
        <v>2624</v>
      </c>
      <c r="D5" s="2" t="s">
        <v>2625</v>
      </c>
      <c r="E5" s="18" t="s">
        <v>34</v>
      </c>
      <c r="F5" s="20" t="s">
        <v>2629</v>
      </c>
      <c r="G5" s="20" t="s">
        <v>2630</v>
      </c>
      <c r="H5" s="18" t="s">
        <v>203</v>
      </c>
      <c r="I5" s="18" t="s">
        <v>94</v>
      </c>
      <c r="J5" s="18" t="s">
        <v>95</v>
      </c>
      <c r="K5" s="18" t="s">
        <v>2628</v>
      </c>
      <c r="L5" s="20" t="s">
        <v>792</v>
      </c>
      <c r="M5" s="20" t="s">
        <v>164</v>
      </c>
      <c r="N5" s="18" t="s">
        <v>99</v>
      </c>
      <c r="O5" s="153">
        <v>1</v>
      </c>
      <c r="P5" s="153">
        <v>3.7589999999999999</v>
      </c>
      <c r="Q5" s="153">
        <v>5521.5</v>
      </c>
      <c r="R5" s="153">
        <v>3.552</v>
      </c>
      <c r="S5" s="168">
        <v>1</v>
      </c>
      <c r="T5" s="168">
        <v>1.14171573380439E-4</v>
      </c>
    </row>
    <row r="6" spans="1:20">
      <c r="A6" s="20" t="s">
        <v>112</v>
      </c>
      <c r="B6" s="20">
        <v>13680</v>
      </c>
      <c r="C6" s="2" t="s">
        <v>2624</v>
      </c>
      <c r="D6" s="2" t="s">
        <v>2625</v>
      </c>
      <c r="E6" s="18" t="s">
        <v>34</v>
      </c>
      <c r="F6" s="20" t="s">
        <v>2626</v>
      </c>
      <c r="G6" s="20" t="s">
        <v>2627</v>
      </c>
      <c r="H6" s="18" t="s">
        <v>203</v>
      </c>
      <c r="I6" s="18" t="s">
        <v>94</v>
      </c>
      <c r="J6" s="18" t="s">
        <v>95</v>
      </c>
      <c r="K6" s="18" t="s">
        <v>2628</v>
      </c>
      <c r="L6" s="20" t="s">
        <v>792</v>
      </c>
      <c r="M6" s="20" t="s">
        <v>164</v>
      </c>
      <c r="N6" s="18" t="s">
        <v>99</v>
      </c>
      <c r="O6" s="153">
        <v>1</v>
      </c>
      <c r="P6" s="153">
        <v>3.7589999999999999</v>
      </c>
      <c r="Q6" s="153">
        <v>19927.25</v>
      </c>
      <c r="R6" s="153">
        <v>-1.639</v>
      </c>
      <c r="S6" s="168">
        <v>-0.29986244841814103</v>
      </c>
      <c r="T6" s="168">
        <v>-5.1040410104489199E-5</v>
      </c>
    </row>
    <row r="7" spans="1:20">
      <c r="A7" s="20" t="s">
        <v>112</v>
      </c>
      <c r="B7" s="20">
        <v>13680</v>
      </c>
      <c r="C7" s="2" t="s">
        <v>2624</v>
      </c>
      <c r="D7" s="2" t="s">
        <v>2625</v>
      </c>
      <c r="E7" s="18" t="s">
        <v>34</v>
      </c>
      <c r="F7" s="20" t="s">
        <v>2629</v>
      </c>
      <c r="G7" s="20" t="s">
        <v>2630</v>
      </c>
      <c r="H7" s="18" t="s">
        <v>203</v>
      </c>
      <c r="I7" s="18" t="s">
        <v>94</v>
      </c>
      <c r="J7" s="18" t="s">
        <v>95</v>
      </c>
      <c r="K7" s="18" t="s">
        <v>2628</v>
      </c>
      <c r="L7" s="20" t="s">
        <v>792</v>
      </c>
      <c r="M7" s="20" t="s">
        <v>164</v>
      </c>
      <c r="N7" s="18" t="s">
        <v>99</v>
      </c>
      <c r="O7" s="153">
        <v>2</v>
      </c>
      <c r="P7" s="153">
        <v>3.7589999999999999</v>
      </c>
      <c r="Q7" s="153">
        <v>5521.5</v>
      </c>
      <c r="R7" s="153">
        <v>7.1050000000000004</v>
      </c>
      <c r="S7" s="168">
        <v>1.29986244841814</v>
      </c>
      <c r="T7" s="168">
        <v>2.21253153893322E-4</v>
      </c>
    </row>
    <row r="8" spans="1:20">
      <c r="A8" s="20" t="s">
        <v>128</v>
      </c>
      <c r="B8" s="20">
        <v>7228</v>
      </c>
      <c r="C8" s="2" t="s">
        <v>2624</v>
      </c>
      <c r="D8" s="2" t="s">
        <v>2625</v>
      </c>
      <c r="E8" s="18" t="s">
        <v>34</v>
      </c>
      <c r="F8" s="20" t="s">
        <v>2626</v>
      </c>
      <c r="G8" s="20" t="s">
        <v>2627</v>
      </c>
      <c r="H8" s="18" t="s">
        <v>203</v>
      </c>
      <c r="I8" s="18" t="s">
        <v>94</v>
      </c>
      <c r="J8" s="18" t="s">
        <v>95</v>
      </c>
      <c r="K8" s="18" t="s">
        <v>2628</v>
      </c>
      <c r="L8" s="20" t="s">
        <v>792</v>
      </c>
      <c r="M8" s="20" t="s">
        <v>164</v>
      </c>
      <c r="N8" s="18" t="s">
        <v>99</v>
      </c>
      <c r="O8" s="153">
        <v>9</v>
      </c>
      <c r="P8" s="153">
        <v>3.7589999999999999</v>
      </c>
      <c r="Q8" s="153">
        <v>19927.25</v>
      </c>
      <c r="R8" s="153">
        <v>-14.75</v>
      </c>
      <c r="S8" s="168">
        <v>-1.3272136293069101E-2</v>
      </c>
      <c r="T8" s="168">
        <v>-6.3027220579260599E-6</v>
      </c>
    </row>
    <row r="9" spans="1:20">
      <c r="A9" s="20" t="s">
        <v>128</v>
      </c>
      <c r="B9" s="20">
        <v>7228</v>
      </c>
      <c r="C9" s="2" t="s">
        <v>2624</v>
      </c>
      <c r="D9" s="2" t="s">
        <v>2625</v>
      </c>
      <c r="E9" s="18" t="s">
        <v>34</v>
      </c>
      <c r="F9" s="20" t="s">
        <v>2629</v>
      </c>
      <c r="G9" s="20" t="s">
        <v>2630</v>
      </c>
      <c r="H9" s="18" t="s">
        <v>203</v>
      </c>
      <c r="I9" s="18" t="s">
        <v>94</v>
      </c>
      <c r="J9" s="18" t="s">
        <v>95</v>
      </c>
      <c r="K9" s="18" t="s">
        <v>2628</v>
      </c>
      <c r="L9" s="20" t="s">
        <v>792</v>
      </c>
      <c r="M9" s="20" t="s">
        <v>164</v>
      </c>
      <c r="N9" s="18" t="s">
        <v>99</v>
      </c>
      <c r="O9" s="153">
        <v>257</v>
      </c>
      <c r="P9" s="153">
        <v>3.7589999999999999</v>
      </c>
      <c r="Q9" s="153">
        <v>5521.5</v>
      </c>
      <c r="R9" s="153">
        <v>912.93</v>
      </c>
      <c r="S9" s="168">
        <v>0.82144173823044997</v>
      </c>
      <c r="T9" s="168">
        <v>3.9008934571820698E-4</v>
      </c>
    </row>
    <row r="10" spans="1:20">
      <c r="A10" s="20" t="s">
        <v>128</v>
      </c>
      <c r="B10" s="20">
        <v>7228</v>
      </c>
      <c r="C10" s="2" t="s">
        <v>2624</v>
      </c>
      <c r="D10" s="2" t="s">
        <v>2625</v>
      </c>
      <c r="E10" s="18" t="s">
        <v>34</v>
      </c>
      <c r="F10" s="20" t="s">
        <v>2631</v>
      </c>
      <c r="G10" s="20" t="s">
        <v>2632</v>
      </c>
      <c r="H10" s="18" t="s">
        <v>203</v>
      </c>
      <c r="I10" s="18" t="s">
        <v>94</v>
      </c>
      <c r="J10" s="18" t="s">
        <v>95</v>
      </c>
      <c r="K10" s="18" t="s">
        <v>2628</v>
      </c>
      <c r="L10" s="20" t="s">
        <v>796</v>
      </c>
      <c r="M10" s="20" t="s">
        <v>164</v>
      </c>
      <c r="N10" s="18" t="s">
        <v>99</v>
      </c>
      <c r="O10" s="153">
        <v>55</v>
      </c>
      <c r="P10" s="153">
        <v>3.7589999999999999</v>
      </c>
      <c r="Q10" s="153">
        <v>113.53100000000001</v>
      </c>
      <c r="R10" s="153">
        <v>213.19499999999999</v>
      </c>
      <c r="S10" s="168">
        <v>0.19183039806261901</v>
      </c>
      <c r="T10" s="168">
        <v>9.1097141752635196E-5</v>
      </c>
    </row>
    <row r="11" spans="1:20">
      <c r="A11" s="20" t="s">
        <v>128</v>
      </c>
      <c r="B11" s="20">
        <v>7229</v>
      </c>
      <c r="C11" s="2" t="s">
        <v>2624</v>
      </c>
      <c r="D11" s="2" t="s">
        <v>2625</v>
      </c>
      <c r="E11" s="18" t="s">
        <v>34</v>
      </c>
      <c r="F11" s="20" t="s">
        <v>2629</v>
      </c>
      <c r="G11" s="20" t="s">
        <v>2630</v>
      </c>
      <c r="H11" s="18" t="s">
        <v>203</v>
      </c>
      <c r="I11" s="18" t="s">
        <v>94</v>
      </c>
      <c r="J11" s="18" t="s">
        <v>95</v>
      </c>
      <c r="K11" s="18" t="s">
        <v>2628</v>
      </c>
      <c r="L11" s="20" t="s">
        <v>792</v>
      </c>
      <c r="M11" s="20" t="s">
        <v>164</v>
      </c>
      <c r="N11" s="18" t="s">
        <v>99</v>
      </c>
      <c r="O11" s="153">
        <v>6</v>
      </c>
      <c r="P11" s="153">
        <v>3.7589999999999999</v>
      </c>
      <c r="Q11" s="153">
        <v>5521.5</v>
      </c>
      <c r="R11" s="153">
        <v>21.314</v>
      </c>
      <c r="S11" s="168">
        <v>1</v>
      </c>
      <c r="T11" s="168">
        <v>1.5072741916534799E-4</v>
      </c>
    </row>
    <row r="12" spans="1:20">
      <c r="A12" s="20" t="s">
        <v>144</v>
      </c>
      <c r="B12" s="20">
        <v>969</v>
      </c>
      <c r="C12" s="2" t="s">
        <v>2624</v>
      </c>
      <c r="D12" s="2" t="s">
        <v>2625</v>
      </c>
      <c r="E12" s="18" t="s">
        <v>34</v>
      </c>
      <c r="F12" s="20" t="s">
        <v>2629</v>
      </c>
      <c r="G12" s="20" t="s">
        <v>2630</v>
      </c>
      <c r="H12" s="18" t="s">
        <v>203</v>
      </c>
      <c r="I12" s="18" t="s">
        <v>94</v>
      </c>
      <c r="J12" s="18" t="s">
        <v>95</v>
      </c>
      <c r="K12" s="18" t="s">
        <v>2628</v>
      </c>
      <c r="L12" s="20" t="s">
        <v>792</v>
      </c>
      <c r="M12" s="20" t="s">
        <v>164</v>
      </c>
      <c r="N12" s="18" t="s">
        <v>99</v>
      </c>
      <c r="O12" s="153">
        <v>7</v>
      </c>
      <c r="P12" s="153">
        <v>3.7589999999999999</v>
      </c>
      <c r="Q12" s="153">
        <v>5521.5</v>
      </c>
      <c r="R12" s="153">
        <v>24.866</v>
      </c>
      <c r="S12" s="168">
        <v>1</v>
      </c>
      <c r="T12" s="168">
        <v>3.3713845109882801E-4</v>
      </c>
    </row>
    <row r="13" spans="1:20">
      <c r="A13" s="20"/>
      <c r="B13" s="20"/>
      <c r="E13" s="18"/>
      <c r="F13" s="20"/>
      <c r="G13" s="20"/>
      <c r="H13" s="18"/>
      <c r="I13" s="18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</row>
    <row r="14" spans="1:20">
      <c r="A14" s="20"/>
      <c r="B14" s="20"/>
      <c r="E14" s="18"/>
      <c r="F14" s="20"/>
      <c r="G14" s="20"/>
      <c r="H14" s="18"/>
      <c r="I14" s="18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</row>
    <row r="15" spans="1:20">
      <c r="A15" s="20"/>
      <c r="B15" s="20"/>
      <c r="E15" s="18"/>
      <c r="F15" s="20"/>
      <c r="G15" s="20"/>
      <c r="H15" s="18"/>
      <c r="I15" s="18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</row>
    <row r="16" spans="1:20">
      <c r="A16" s="20"/>
      <c r="B16" s="20"/>
      <c r="E16" s="18"/>
      <c r="F16" s="20"/>
      <c r="G16" s="20"/>
      <c r="H16" s="18"/>
      <c r="I16" s="18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</row>
    <row r="17" spans="1:20">
      <c r="A17" s="20"/>
      <c r="B17" s="20"/>
      <c r="E17" s="18"/>
      <c r="F17" s="20"/>
      <c r="G17" s="20"/>
      <c r="H17" s="18"/>
      <c r="I17" s="18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</row>
    <row r="18" spans="1:20">
      <c r="A18" s="20"/>
      <c r="B18" s="20"/>
      <c r="E18" s="18"/>
      <c r="F18" s="20"/>
      <c r="G18" s="20"/>
      <c r="H18" s="18"/>
      <c r="I18" s="18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</row>
    <row r="19" spans="1:20">
      <c r="A19" s="20"/>
      <c r="B19" s="20"/>
      <c r="E19" s="18"/>
      <c r="F19" s="20"/>
      <c r="G19" s="20"/>
      <c r="H19" s="18"/>
      <c r="I19" s="18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</row>
    <row r="20" spans="1:20">
      <c r="E20" s="18"/>
      <c r="H20" s="18"/>
      <c r="J20" s="18"/>
      <c r="K20" s="18"/>
      <c r="L20" s="20"/>
      <c r="M20" s="20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5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372</v>
      </c>
      <c r="M1" s="19" t="s">
        <v>8</v>
      </c>
      <c r="N1" s="19" t="s">
        <v>221</v>
      </c>
      <c r="O1" s="19" t="s">
        <v>150</v>
      </c>
      <c r="P1" s="19" t="s">
        <v>12</v>
      </c>
      <c r="Q1" s="143" t="s">
        <v>14</v>
      </c>
      <c r="R1" s="19" t="s">
        <v>15</v>
      </c>
      <c r="S1" s="19" t="s">
        <v>9</v>
      </c>
      <c r="T1" s="19" t="s">
        <v>10</v>
      </c>
      <c r="U1" s="19" t="s">
        <v>222</v>
      </c>
      <c r="V1" s="19" t="s">
        <v>11</v>
      </c>
      <c r="W1" s="19" t="s">
        <v>17</v>
      </c>
      <c r="X1" s="19" t="s">
        <v>18</v>
      </c>
      <c r="Y1" s="19" t="s">
        <v>19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18"/>
      <c r="N2" s="20"/>
      <c r="O2" s="20"/>
      <c r="P2" s="20"/>
      <c r="Q2" s="148"/>
      <c r="R2" s="20"/>
      <c r="S2" s="20"/>
      <c r="T2" s="20"/>
      <c r="U2" s="20"/>
      <c r="V2" s="18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18"/>
      <c r="N3" s="20"/>
      <c r="O3" s="20"/>
      <c r="P3" s="20"/>
      <c r="Q3" s="148"/>
      <c r="R3" s="20"/>
      <c r="S3" s="20"/>
      <c r="T3" s="20"/>
      <c r="U3" s="20"/>
      <c r="V3" s="18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18"/>
      <c r="N4" s="20"/>
      <c r="O4" s="20"/>
      <c r="P4" s="20"/>
      <c r="Q4" s="148"/>
      <c r="R4" s="20"/>
      <c r="S4" s="20"/>
      <c r="T4" s="20"/>
      <c r="U4" s="20"/>
      <c r="V4" s="18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18"/>
      <c r="N5" s="20"/>
      <c r="O5" s="20"/>
      <c r="P5" s="20"/>
      <c r="Q5" s="148"/>
      <c r="R5" s="20"/>
      <c r="S5" s="20"/>
      <c r="T5" s="20"/>
      <c r="U5" s="20"/>
      <c r="V5" s="18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18"/>
      <c r="N6" s="20"/>
      <c r="O6" s="20"/>
      <c r="P6" s="20"/>
      <c r="Q6" s="148"/>
      <c r="R6" s="20"/>
      <c r="S6" s="20"/>
      <c r="T6" s="20"/>
      <c r="U6" s="20"/>
      <c r="V6" s="18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18"/>
      <c r="N7" s="20"/>
      <c r="O7" s="20"/>
      <c r="P7" s="20"/>
      <c r="Q7" s="148"/>
      <c r="R7" s="20"/>
      <c r="S7" s="20"/>
      <c r="T7" s="20"/>
      <c r="U7" s="20"/>
      <c r="V7" s="18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18"/>
      <c r="N8" s="20"/>
      <c r="O8" s="20"/>
      <c r="P8" s="20"/>
      <c r="Q8" s="148"/>
      <c r="R8" s="20"/>
      <c r="S8" s="20"/>
      <c r="T8" s="20"/>
      <c r="U8" s="20"/>
      <c r="V8" s="18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18"/>
      <c r="N9" s="20"/>
      <c r="O9" s="20"/>
      <c r="P9" s="20"/>
      <c r="Q9" s="148"/>
      <c r="R9" s="20"/>
      <c r="S9" s="20"/>
      <c r="T9" s="20"/>
      <c r="U9" s="20"/>
      <c r="V9" s="18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18"/>
      <c r="N10" s="20"/>
      <c r="O10" s="20"/>
      <c r="P10" s="20"/>
      <c r="Q10" s="148"/>
      <c r="R10" s="20"/>
      <c r="S10" s="20"/>
      <c r="T10" s="20"/>
      <c r="U10" s="20"/>
      <c r="V10" s="18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18"/>
      <c r="N11" s="20"/>
      <c r="O11" s="20"/>
      <c r="P11" s="20"/>
      <c r="Q11" s="148"/>
      <c r="R11" s="20"/>
      <c r="S11" s="20"/>
      <c r="T11" s="20"/>
      <c r="U11" s="20"/>
      <c r="V11" s="18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18"/>
      <c r="N12" s="20"/>
      <c r="O12" s="20"/>
      <c r="P12" s="20"/>
      <c r="Q12" s="148"/>
      <c r="R12" s="20"/>
      <c r="S12" s="20"/>
      <c r="T12" s="20"/>
      <c r="U12" s="20"/>
      <c r="V12" s="18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18"/>
      <c r="N13" s="20"/>
      <c r="O13" s="20"/>
      <c r="P13" s="20"/>
      <c r="Q13" s="148"/>
      <c r="R13" s="20"/>
      <c r="S13" s="20"/>
      <c r="T13" s="20"/>
      <c r="U13" s="20"/>
      <c r="V13" s="18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18"/>
      <c r="N14" s="20"/>
      <c r="O14" s="20"/>
      <c r="P14" s="20"/>
      <c r="Q14" s="148"/>
      <c r="R14" s="20"/>
      <c r="S14" s="20"/>
      <c r="T14" s="20"/>
      <c r="U14" s="20"/>
      <c r="V14" s="18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18"/>
      <c r="N15" s="20"/>
      <c r="O15" s="20"/>
      <c r="P15" s="20"/>
      <c r="Q15" s="148"/>
      <c r="R15" s="20"/>
      <c r="S15" s="20"/>
      <c r="T15" s="20"/>
      <c r="U15" s="20"/>
      <c r="V15" s="18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18"/>
      <c r="N16" s="20"/>
      <c r="O16" s="20"/>
      <c r="P16" s="20"/>
      <c r="Q16" s="148"/>
      <c r="R16" s="20"/>
      <c r="S16" s="20"/>
      <c r="T16" s="20"/>
      <c r="U16" s="20"/>
      <c r="V16" s="18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18"/>
      <c r="N17" s="20"/>
      <c r="O17" s="20"/>
      <c r="P17" s="20"/>
      <c r="Q17" s="148"/>
      <c r="R17" s="20"/>
      <c r="S17" s="20"/>
      <c r="T17" s="20"/>
      <c r="U17" s="20"/>
      <c r="V17" s="18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18"/>
      <c r="N18" s="20"/>
      <c r="O18" s="20"/>
      <c r="P18" s="20"/>
      <c r="Q18" s="148"/>
      <c r="R18" s="20"/>
      <c r="S18" s="20"/>
      <c r="T18" s="20"/>
      <c r="U18" s="20"/>
      <c r="V18" s="18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18"/>
      <c r="N19" s="20"/>
      <c r="O19" s="20"/>
      <c r="P19" s="20"/>
      <c r="Q19" s="148"/>
      <c r="R19" s="20"/>
      <c r="S19" s="20"/>
      <c r="T19" s="20"/>
      <c r="U19" s="20"/>
      <c r="V19" s="18"/>
      <c r="W19" s="20"/>
      <c r="X19" s="20"/>
      <c r="Y19" s="20"/>
      <c r="Z19" s="20"/>
      <c r="AA19" s="20"/>
      <c r="AB19" s="20"/>
    </row>
    <row r="20" spans="1:28">
      <c r="E20" s="18"/>
      <c r="H20" s="18"/>
      <c r="I20" s="20"/>
      <c r="J20" s="18"/>
      <c r="K20" s="18"/>
      <c r="L20" s="20"/>
      <c r="M20" s="18"/>
      <c r="N20" s="20"/>
      <c r="O20" s="20"/>
      <c r="T20" s="20"/>
      <c r="U20" s="20"/>
    </row>
    <row r="21" spans="1:28">
      <c r="H21" s="4"/>
      <c r="M21" s="4"/>
      <c r="N21" s="20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4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184</v>
      </c>
      <c r="G1" s="19" t="s">
        <v>5</v>
      </c>
      <c r="H1" s="19" t="s">
        <v>6</v>
      </c>
      <c r="I1" s="19" t="s">
        <v>7</v>
      </c>
      <c r="J1" s="19" t="s">
        <v>193</v>
      </c>
      <c r="K1" s="19" t="s">
        <v>9</v>
      </c>
      <c r="L1" s="19" t="s">
        <v>10</v>
      </c>
      <c r="M1" s="19" t="s">
        <v>11</v>
      </c>
      <c r="N1" s="19" t="s">
        <v>12</v>
      </c>
      <c r="O1" s="19" t="s">
        <v>13</v>
      </c>
      <c r="P1" s="143" t="s">
        <v>14</v>
      </c>
      <c r="Q1" s="19" t="s">
        <v>15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24</v>
      </c>
      <c r="Y1" s="19" t="s">
        <v>25</v>
      </c>
    </row>
    <row r="2" spans="1:27">
      <c r="A2" s="20"/>
      <c r="B2" s="20"/>
      <c r="C2" s="20"/>
      <c r="D2" s="20"/>
      <c r="E2" s="20"/>
      <c r="F2" s="20"/>
      <c r="G2" s="20"/>
      <c r="H2" s="18"/>
      <c r="I2" s="18"/>
      <c r="J2" s="20"/>
      <c r="K2" s="27"/>
      <c r="L2" s="20"/>
      <c r="M2" s="18"/>
      <c r="N2" s="20"/>
      <c r="O2" s="20"/>
      <c r="P2" s="148"/>
      <c r="Q2" s="20"/>
      <c r="R2" s="20"/>
      <c r="S2" s="20"/>
      <c r="T2" s="20"/>
      <c r="U2" s="20"/>
      <c r="V2" s="20"/>
      <c r="W2" s="18"/>
      <c r="X2" s="20"/>
      <c r="Y2" s="20"/>
    </row>
    <row r="3" spans="1:27">
      <c r="A3" s="20"/>
      <c r="B3" s="20"/>
      <c r="C3" s="20"/>
      <c r="D3" s="20"/>
      <c r="E3" s="20"/>
      <c r="F3" s="20"/>
      <c r="G3" s="20"/>
      <c r="H3" s="18"/>
      <c r="I3" s="18"/>
      <c r="J3" s="20"/>
      <c r="K3" s="20"/>
      <c r="L3" s="20"/>
      <c r="M3" s="18"/>
      <c r="N3" s="20"/>
      <c r="O3" s="20"/>
      <c r="P3" s="148"/>
      <c r="Q3" s="20"/>
      <c r="R3" s="20"/>
      <c r="S3" s="20"/>
      <c r="T3" s="20"/>
      <c r="U3" s="20"/>
      <c r="V3" s="20"/>
      <c r="W3" s="18"/>
      <c r="X3" s="20"/>
      <c r="Y3" s="20"/>
    </row>
    <row r="4" spans="1:27">
      <c r="A4" s="20"/>
      <c r="B4" s="20"/>
      <c r="C4" s="20"/>
      <c r="D4" s="20"/>
      <c r="E4" s="20"/>
      <c r="F4" s="20"/>
      <c r="G4" s="20"/>
      <c r="H4" s="18"/>
      <c r="I4" s="18"/>
      <c r="J4" s="20"/>
      <c r="K4" s="20"/>
      <c r="L4" s="20"/>
      <c r="M4" s="18"/>
      <c r="N4" s="20"/>
      <c r="O4" s="20"/>
      <c r="P4" s="148"/>
      <c r="Q4" s="20"/>
      <c r="R4" s="20"/>
      <c r="S4" s="20"/>
      <c r="T4" s="20"/>
      <c r="U4" s="20"/>
      <c r="V4" s="20"/>
      <c r="W4" s="18"/>
      <c r="X4" s="20"/>
      <c r="Y4" s="20"/>
    </row>
    <row r="5" spans="1:27">
      <c r="A5" s="20"/>
      <c r="B5" s="20"/>
      <c r="C5" s="20"/>
      <c r="D5" s="20"/>
      <c r="E5" s="20"/>
      <c r="F5" s="20"/>
      <c r="G5" s="20"/>
      <c r="H5" s="18"/>
      <c r="I5" s="18"/>
      <c r="J5" s="20"/>
      <c r="K5" s="18"/>
      <c r="L5" s="20"/>
      <c r="N5" s="20"/>
      <c r="O5" s="20"/>
      <c r="P5" s="147"/>
      <c r="Q5" s="18"/>
      <c r="R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18"/>
      <c r="I6" s="18"/>
      <c r="J6" s="20"/>
      <c r="K6" s="20"/>
      <c r="L6" s="20"/>
      <c r="M6" s="18"/>
      <c r="N6" s="20"/>
      <c r="O6" s="20"/>
      <c r="P6" s="148"/>
      <c r="Q6" s="20"/>
      <c r="R6" s="20"/>
      <c r="S6" s="20"/>
      <c r="T6" s="20"/>
      <c r="U6" s="20"/>
      <c r="V6" s="20"/>
      <c r="W6" s="18"/>
      <c r="X6" s="20"/>
      <c r="Y6" s="20"/>
    </row>
    <row r="7" spans="1:27">
      <c r="A7" s="20"/>
      <c r="B7" s="20"/>
      <c r="C7" s="20"/>
      <c r="D7" s="20"/>
      <c r="E7" s="20"/>
      <c r="F7" s="20"/>
      <c r="G7" s="20"/>
      <c r="H7" s="18"/>
      <c r="I7" s="18"/>
      <c r="J7" s="20"/>
      <c r="K7" s="20"/>
      <c r="L7" s="20"/>
      <c r="M7" s="18"/>
      <c r="N7" s="20"/>
      <c r="O7" s="20"/>
      <c r="P7" s="148"/>
      <c r="Q7" s="20"/>
      <c r="R7" s="20"/>
      <c r="S7" s="20"/>
      <c r="T7" s="20"/>
      <c r="U7" s="20"/>
      <c r="V7" s="20"/>
      <c r="W7" s="18"/>
      <c r="X7" s="20"/>
      <c r="Y7" s="20"/>
    </row>
    <row r="8" spans="1:27">
      <c r="A8" s="20"/>
      <c r="B8" s="20"/>
      <c r="C8" s="20"/>
      <c r="D8" s="20"/>
      <c r="E8" s="20"/>
      <c r="F8" s="20"/>
      <c r="G8" s="20"/>
      <c r="H8" s="18"/>
      <c r="I8" s="18"/>
      <c r="J8" s="20"/>
      <c r="K8" s="20"/>
      <c r="L8" s="20"/>
      <c r="M8" s="18"/>
      <c r="N8" s="20"/>
      <c r="O8" s="20"/>
      <c r="P8" s="148"/>
      <c r="Q8" s="20"/>
      <c r="R8" s="20"/>
      <c r="S8" s="20"/>
      <c r="T8" s="20"/>
      <c r="U8" s="20"/>
      <c r="V8" s="20"/>
      <c r="W8" s="18"/>
      <c r="X8" s="20"/>
      <c r="Y8" s="20"/>
    </row>
    <row r="9" spans="1:27">
      <c r="A9" s="20"/>
      <c r="B9" s="20"/>
      <c r="C9" s="20"/>
      <c r="D9" s="20"/>
      <c r="E9" s="20"/>
      <c r="F9" s="20"/>
      <c r="G9" s="20"/>
      <c r="H9" s="18"/>
      <c r="I9" s="18"/>
      <c r="J9" s="20"/>
      <c r="K9" s="20"/>
      <c r="L9" s="20"/>
      <c r="M9" s="18"/>
      <c r="N9" s="20"/>
      <c r="O9" s="20"/>
      <c r="P9" s="148"/>
      <c r="Q9" s="20"/>
      <c r="R9" s="20"/>
      <c r="S9" s="20"/>
      <c r="T9" s="20"/>
      <c r="U9" s="20"/>
      <c r="V9" s="20"/>
      <c r="W9" s="18"/>
      <c r="X9" s="20"/>
      <c r="Y9" s="20"/>
    </row>
    <row r="10" spans="1:27">
      <c r="A10" s="20"/>
      <c r="B10" s="20"/>
      <c r="C10" s="20"/>
      <c r="D10" s="20"/>
      <c r="E10" s="20"/>
      <c r="F10" s="20"/>
      <c r="G10" s="20"/>
      <c r="H10" s="18"/>
      <c r="I10" s="18"/>
      <c r="J10" s="20"/>
      <c r="K10" s="20"/>
      <c r="L10" s="20"/>
      <c r="M10" s="18"/>
      <c r="N10" s="20"/>
      <c r="O10" s="20"/>
      <c r="P10" s="148"/>
      <c r="Q10" s="20"/>
      <c r="R10" s="20"/>
      <c r="S10" s="20"/>
      <c r="T10" s="20"/>
      <c r="U10" s="20"/>
      <c r="V10" s="20"/>
      <c r="W10" s="18"/>
      <c r="X10" s="20"/>
      <c r="Y10" s="20"/>
    </row>
    <row r="11" spans="1:27">
      <c r="A11" s="20"/>
      <c r="B11" s="20"/>
      <c r="C11" s="20"/>
      <c r="D11" s="20"/>
      <c r="E11" s="20"/>
      <c r="F11" s="20"/>
      <c r="G11" s="20"/>
      <c r="H11" s="18"/>
      <c r="I11" s="18"/>
      <c r="J11" s="20"/>
      <c r="K11" s="20"/>
      <c r="L11" s="20"/>
      <c r="M11" s="18"/>
      <c r="N11" s="20"/>
      <c r="O11" s="20"/>
      <c r="P11" s="148"/>
      <c r="Q11" s="20"/>
      <c r="R11" s="20"/>
      <c r="S11" s="20"/>
      <c r="T11" s="20"/>
      <c r="U11" s="20"/>
      <c r="V11" s="20"/>
      <c r="W11" s="18"/>
      <c r="X11" s="20"/>
      <c r="Y11" s="20"/>
    </row>
    <row r="12" spans="1:27">
      <c r="A12" s="20"/>
      <c r="B12" s="20"/>
      <c r="C12" s="20"/>
      <c r="D12" s="20"/>
      <c r="E12" s="20"/>
      <c r="F12" s="20"/>
      <c r="G12" s="20"/>
      <c r="H12" s="18"/>
      <c r="I12" s="18"/>
      <c r="J12" s="20"/>
      <c r="K12" s="20"/>
      <c r="L12" s="20"/>
      <c r="M12" s="18"/>
      <c r="N12" s="20"/>
      <c r="O12" s="20"/>
      <c r="P12" s="148"/>
      <c r="Q12" s="20"/>
      <c r="R12" s="20"/>
      <c r="S12" s="20"/>
      <c r="T12" s="20"/>
      <c r="U12" s="20"/>
      <c r="V12" s="20"/>
      <c r="W12" s="18"/>
      <c r="X12" s="20"/>
      <c r="Y12" s="20"/>
    </row>
    <row r="13" spans="1:27">
      <c r="A13" s="20"/>
      <c r="B13" s="20"/>
      <c r="C13" s="20"/>
      <c r="D13" s="20"/>
      <c r="E13" s="20"/>
      <c r="F13" s="20"/>
      <c r="G13" s="20"/>
      <c r="H13" s="18"/>
      <c r="I13" s="18"/>
      <c r="J13" s="20"/>
      <c r="K13" s="20"/>
      <c r="L13" s="20"/>
      <c r="M13" s="18"/>
      <c r="N13" s="20"/>
      <c r="O13" s="20"/>
      <c r="P13" s="148"/>
      <c r="Q13" s="20"/>
      <c r="R13" s="20"/>
      <c r="S13" s="20"/>
      <c r="T13" s="20"/>
      <c r="U13" s="20"/>
      <c r="V13" s="20"/>
      <c r="W13" s="18"/>
      <c r="X13" s="20"/>
      <c r="Y13" s="20"/>
    </row>
    <row r="14" spans="1:27">
      <c r="A14" s="20"/>
      <c r="B14" s="20"/>
      <c r="C14" s="20"/>
      <c r="D14" s="20"/>
      <c r="E14" s="20"/>
      <c r="F14" s="20"/>
      <c r="G14" s="20"/>
      <c r="H14" s="18"/>
      <c r="I14" s="18"/>
      <c r="J14" s="20"/>
      <c r="K14" s="20"/>
      <c r="L14" s="20"/>
      <c r="M14" s="18"/>
      <c r="N14" s="20"/>
      <c r="O14" s="20"/>
      <c r="P14" s="148"/>
      <c r="Q14" s="20"/>
      <c r="R14" s="20"/>
      <c r="S14" s="20"/>
      <c r="T14" s="20"/>
      <c r="U14" s="20"/>
      <c r="V14" s="20"/>
      <c r="W14" s="18"/>
      <c r="X14" s="20"/>
      <c r="Y14" s="20"/>
    </row>
    <row r="15" spans="1:27">
      <c r="A15" s="20"/>
      <c r="B15" s="20"/>
      <c r="C15" s="20"/>
      <c r="D15" s="20"/>
      <c r="E15" s="20"/>
      <c r="F15" s="20"/>
      <c r="G15" s="20"/>
      <c r="H15" s="18"/>
      <c r="I15" s="18"/>
      <c r="J15" s="20"/>
      <c r="K15" s="20"/>
      <c r="L15" s="20"/>
      <c r="M15" s="18"/>
      <c r="N15" s="20"/>
      <c r="O15" s="20"/>
      <c r="P15" s="148"/>
      <c r="Q15" s="20"/>
      <c r="R15" s="20"/>
      <c r="S15" s="20"/>
      <c r="T15" s="20"/>
      <c r="U15" s="20"/>
      <c r="V15" s="20"/>
      <c r="W15" s="18"/>
      <c r="X15" s="20"/>
      <c r="Y15" s="20"/>
    </row>
    <row r="16" spans="1:27">
      <c r="A16" s="20"/>
      <c r="B16" s="20"/>
      <c r="C16" s="20"/>
      <c r="D16" s="20"/>
      <c r="E16" s="20"/>
      <c r="F16" s="20"/>
      <c r="G16" s="20"/>
      <c r="H16" s="18"/>
      <c r="I16" s="18"/>
      <c r="J16" s="20"/>
      <c r="K16" s="20"/>
      <c r="L16" s="20"/>
      <c r="M16" s="18"/>
      <c r="N16" s="20"/>
      <c r="O16" s="20"/>
      <c r="P16" s="148"/>
      <c r="Q16" s="20"/>
      <c r="R16" s="20"/>
      <c r="S16" s="20"/>
      <c r="T16" s="20"/>
      <c r="U16" s="20"/>
      <c r="V16" s="20"/>
      <c r="W16" s="18"/>
      <c r="X16" s="20"/>
      <c r="Y16" s="20"/>
    </row>
    <row r="17" spans="1:25">
      <c r="A17" s="20"/>
      <c r="B17" s="20"/>
      <c r="C17" s="20"/>
      <c r="D17" s="20"/>
      <c r="E17" s="20"/>
      <c r="F17" s="20"/>
      <c r="G17" s="20"/>
      <c r="H17" s="18"/>
      <c r="I17" s="18"/>
      <c r="J17" s="20"/>
      <c r="K17" s="20"/>
      <c r="L17" s="20"/>
      <c r="M17" s="18"/>
      <c r="N17" s="20"/>
      <c r="O17" s="20"/>
      <c r="P17" s="148"/>
      <c r="Q17" s="20"/>
      <c r="R17" s="20"/>
      <c r="S17" s="20"/>
      <c r="T17" s="20"/>
      <c r="U17" s="20"/>
      <c r="V17" s="20"/>
      <c r="W17" s="18"/>
      <c r="X17" s="20"/>
      <c r="Y17" s="20"/>
    </row>
    <row r="18" spans="1:25">
      <c r="A18" s="20"/>
      <c r="B18" s="20"/>
      <c r="C18" s="20"/>
      <c r="D18" s="20"/>
      <c r="E18" s="20"/>
      <c r="F18" s="20"/>
      <c r="G18" s="20"/>
      <c r="H18" s="18"/>
      <c r="I18" s="18"/>
      <c r="J18" s="20"/>
      <c r="K18" s="20"/>
      <c r="L18" s="20"/>
      <c r="M18" s="18"/>
      <c r="N18" s="20"/>
      <c r="O18" s="20"/>
      <c r="P18" s="148"/>
      <c r="Q18" s="20"/>
      <c r="R18" s="20"/>
      <c r="S18" s="20"/>
      <c r="T18" s="20"/>
      <c r="U18" s="20"/>
      <c r="V18" s="20"/>
      <c r="W18" s="18"/>
      <c r="X18" s="20"/>
      <c r="Y18" s="20"/>
    </row>
    <row r="19" spans="1:25">
      <c r="A19" s="20"/>
      <c r="B19" s="20"/>
      <c r="C19" s="20"/>
      <c r="D19" s="20"/>
      <c r="E19" s="20"/>
      <c r="F19" s="20"/>
      <c r="G19" s="20"/>
      <c r="H19" s="18"/>
      <c r="I19" s="18"/>
      <c r="J19" s="20"/>
      <c r="K19" s="20"/>
      <c r="L19" s="20"/>
      <c r="M19" s="18"/>
      <c r="N19" s="20"/>
      <c r="O19" s="20"/>
      <c r="P19" s="148"/>
      <c r="Q19" s="20"/>
      <c r="R19" s="20"/>
      <c r="S19" s="20"/>
      <c r="T19" s="20"/>
      <c r="U19" s="20"/>
      <c r="V19" s="20"/>
      <c r="W19" s="18"/>
      <c r="X19" s="20"/>
      <c r="Y19" s="20"/>
    </row>
    <row r="20" spans="1:25">
      <c r="F20" s="20"/>
      <c r="G20" s="20"/>
      <c r="H20" s="18"/>
      <c r="I20" s="18"/>
      <c r="L20" s="20"/>
      <c r="W20" s="1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5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19" t="s">
        <v>0</v>
      </c>
      <c r="B1" s="19" t="s">
        <v>1</v>
      </c>
      <c r="C1" s="19" t="s">
        <v>5</v>
      </c>
      <c r="D1" s="19" t="s">
        <v>3</v>
      </c>
      <c r="E1" s="19" t="s">
        <v>4</v>
      </c>
      <c r="F1" s="19" t="s">
        <v>193</v>
      </c>
      <c r="G1" s="19" t="s">
        <v>12</v>
      </c>
      <c r="H1" s="19" t="s">
        <v>798</v>
      </c>
      <c r="I1" s="19" t="s">
        <v>13</v>
      </c>
      <c r="J1" s="143" t="s">
        <v>14</v>
      </c>
      <c r="K1" s="19" t="s">
        <v>15</v>
      </c>
      <c r="L1" s="19" t="s">
        <v>17</v>
      </c>
      <c r="M1" s="19" t="s">
        <v>19</v>
      </c>
      <c r="N1" s="19" t="s">
        <v>20</v>
      </c>
      <c r="O1" s="19" t="s">
        <v>21</v>
      </c>
      <c r="P1" s="19" t="s">
        <v>22</v>
      </c>
      <c r="Q1" s="19" t="s">
        <v>24</v>
      </c>
      <c r="R1" s="19" t="s">
        <v>25</v>
      </c>
      <c r="S1" s="11"/>
    </row>
    <row r="2" spans="1:19">
      <c r="A2" s="20"/>
      <c r="B2" s="20"/>
      <c r="C2" s="20"/>
      <c r="D2" s="20"/>
      <c r="E2" s="20"/>
      <c r="F2" s="20"/>
      <c r="G2" s="20"/>
      <c r="H2" s="20"/>
      <c r="I2" s="20"/>
      <c r="J2" s="148"/>
      <c r="K2" s="20"/>
      <c r="L2" s="20"/>
      <c r="M2" s="20"/>
      <c r="N2" s="20"/>
      <c r="O2" s="20"/>
      <c r="P2" s="18"/>
      <c r="Q2" s="20"/>
      <c r="R2" s="20"/>
    </row>
    <row r="3" spans="1:19">
      <c r="A3" s="20"/>
      <c r="B3" s="20"/>
      <c r="C3" s="20"/>
      <c r="D3" s="20"/>
      <c r="E3" s="20"/>
      <c r="F3" s="20"/>
      <c r="G3" s="20"/>
      <c r="H3" s="20"/>
      <c r="I3" s="20"/>
      <c r="J3" s="148"/>
      <c r="K3" s="20"/>
      <c r="L3" s="20"/>
      <c r="M3" s="20"/>
      <c r="N3" s="20"/>
      <c r="O3" s="20"/>
      <c r="P3" s="18"/>
      <c r="Q3" s="20"/>
      <c r="R3" s="20"/>
    </row>
    <row r="4" spans="1:19">
      <c r="A4" s="20"/>
      <c r="B4" s="20"/>
      <c r="C4" s="20"/>
      <c r="D4" s="20"/>
      <c r="E4" s="20"/>
      <c r="F4" s="20"/>
      <c r="G4" s="20"/>
      <c r="H4" s="20"/>
      <c r="I4" s="20"/>
      <c r="J4" s="148"/>
      <c r="K4" s="20"/>
      <c r="L4" s="20"/>
      <c r="M4" s="20"/>
      <c r="N4" s="20"/>
      <c r="O4" s="20"/>
      <c r="P4" s="18"/>
      <c r="Q4" s="20"/>
      <c r="R4" s="20"/>
    </row>
    <row r="5" spans="1:19">
      <c r="A5" s="20"/>
      <c r="B5" s="20"/>
      <c r="C5" s="20"/>
      <c r="D5" s="20"/>
      <c r="E5" s="20"/>
      <c r="F5" s="20"/>
      <c r="G5" s="20"/>
      <c r="H5" s="20"/>
      <c r="I5" s="20"/>
      <c r="J5" s="148"/>
      <c r="K5" s="20"/>
      <c r="L5" s="20"/>
      <c r="M5" s="20"/>
      <c r="N5" s="20"/>
      <c r="O5" s="20"/>
      <c r="P5" s="20"/>
      <c r="Q5" s="20"/>
      <c r="R5" s="20"/>
    </row>
    <row r="6" spans="1:19">
      <c r="A6" s="20"/>
      <c r="B6" s="20"/>
      <c r="C6" s="20"/>
      <c r="D6" s="20"/>
      <c r="E6" s="20"/>
      <c r="F6" s="20"/>
      <c r="G6" s="20"/>
      <c r="H6" s="20"/>
      <c r="I6" s="20"/>
      <c r="J6" s="148"/>
      <c r="K6" s="20"/>
      <c r="L6" s="20"/>
      <c r="M6" s="20"/>
      <c r="N6" s="20"/>
      <c r="O6" s="20"/>
      <c r="P6" s="18"/>
      <c r="Q6" s="20"/>
      <c r="R6" s="20"/>
    </row>
    <row r="7" spans="1:19">
      <c r="A7" s="20"/>
      <c r="B7" s="20"/>
      <c r="C7" s="20"/>
      <c r="D7" s="20"/>
      <c r="E7" s="20"/>
      <c r="F7" s="20"/>
      <c r="G7" s="20"/>
      <c r="H7" s="20"/>
      <c r="I7" s="20"/>
      <c r="J7" s="148"/>
      <c r="K7" s="20"/>
      <c r="L7" s="20"/>
      <c r="M7" s="20"/>
      <c r="N7" s="20"/>
      <c r="O7" s="20"/>
      <c r="P7" s="18"/>
      <c r="Q7" s="20"/>
      <c r="R7" s="20"/>
    </row>
    <row r="8" spans="1:19">
      <c r="A8" s="20"/>
      <c r="B8" s="20"/>
      <c r="C8" s="20"/>
      <c r="D8" s="20"/>
      <c r="E8" s="20"/>
      <c r="F8" s="20"/>
      <c r="G8" s="20"/>
      <c r="H8" s="20"/>
      <c r="I8" s="20"/>
      <c r="J8" s="148"/>
      <c r="K8" s="20"/>
      <c r="L8" s="20"/>
      <c r="M8" s="20"/>
      <c r="N8" s="20"/>
      <c r="O8" s="20"/>
      <c r="P8" s="18"/>
      <c r="Q8" s="20"/>
      <c r="R8" s="20"/>
    </row>
    <row r="9" spans="1:19">
      <c r="A9" s="20"/>
      <c r="B9" s="20"/>
      <c r="C9" s="20"/>
      <c r="D9" s="20"/>
      <c r="E9" s="20"/>
      <c r="F9" s="20"/>
      <c r="G9" s="20"/>
      <c r="H9" s="20"/>
      <c r="I9" s="20"/>
      <c r="J9" s="148"/>
      <c r="K9" s="20"/>
      <c r="L9" s="20"/>
      <c r="M9" s="20"/>
      <c r="N9" s="20"/>
      <c r="O9" s="20"/>
      <c r="P9" s="18"/>
      <c r="Q9" s="20"/>
      <c r="R9" s="20"/>
    </row>
    <row r="10" spans="1:19">
      <c r="A10" s="20"/>
      <c r="B10" s="20"/>
      <c r="C10" s="20"/>
      <c r="D10" s="20"/>
      <c r="E10" s="20"/>
      <c r="F10" s="20"/>
      <c r="G10" s="20"/>
      <c r="H10" s="20"/>
      <c r="I10" s="20"/>
      <c r="J10" s="148"/>
      <c r="K10" s="20"/>
      <c r="L10" s="20"/>
      <c r="M10" s="20"/>
      <c r="N10" s="20"/>
      <c r="O10" s="20"/>
      <c r="P10" s="18"/>
      <c r="Q10" s="20"/>
      <c r="R10" s="20"/>
    </row>
    <row r="11" spans="1:19">
      <c r="A11" s="20"/>
      <c r="B11" s="20"/>
      <c r="C11" s="20"/>
      <c r="D11" s="20"/>
      <c r="E11" s="20"/>
      <c r="F11" s="20"/>
      <c r="G11" s="20"/>
      <c r="H11" s="20"/>
      <c r="I11" s="20"/>
      <c r="J11" s="148"/>
      <c r="K11" s="20"/>
      <c r="L11" s="20"/>
      <c r="M11" s="20"/>
      <c r="N11" s="20"/>
      <c r="O11" s="20"/>
      <c r="P11" s="18"/>
      <c r="Q11" s="20"/>
      <c r="R11" s="20"/>
    </row>
    <row r="12" spans="1:19">
      <c r="A12" s="20"/>
      <c r="B12" s="20"/>
      <c r="C12" s="20"/>
      <c r="D12" s="20"/>
      <c r="E12" s="20"/>
      <c r="F12" s="20"/>
      <c r="G12" s="20"/>
      <c r="H12" s="20"/>
      <c r="I12" s="20"/>
      <c r="J12" s="148"/>
      <c r="K12" s="20"/>
      <c r="L12" s="20"/>
      <c r="M12" s="20"/>
      <c r="N12" s="20"/>
      <c r="O12" s="20"/>
      <c r="P12" s="18"/>
      <c r="Q12" s="20"/>
      <c r="R12" s="20"/>
    </row>
    <row r="13" spans="1:19">
      <c r="A13" s="20"/>
      <c r="B13" s="20"/>
      <c r="C13" s="20"/>
      <c r="D13" s="20"/>
      <c r="E13" s="20"/>
      <c r="F13" s="20"/>
      <c r="G13" s="20"/>
      <c r="H13" s="20"/>
      <c r="I13" s="20"/>
      <c r="J13" s="148"/>
      <c r="K13" s="20"/>
      <c r="L13" s="20"/>
      <c r="M13" s="20"/>
      <c r="N13" s="20"/>
      <c r="O13" s="20"/>
      <c r="P13" s="18"/>
      <c r="Q13" s="20"/>
      <c r="R13" s="20"/>
    </row>
    <row r="14" spans="1:19">
      <c r="A14" s="20"/>
      <c r="B14" s="20"/>
      <c r="C14" s="20"/>
      <c r="D14" s="20"/>
      <c r="E14" s="20"/>
      <c r="F14" s="20"/>
      <c r="G14" s="20"/>
      <c r="H14" s="20"/>
      <c r="I14" s="20"/>
      <c r="J14" s="148"/>
      <c r="K14" s="20"/>
      <c r="L14" s="20"/>
      <c r="M14" s="20"/>
      <c r="N14" s="20"/>
      <c r="O14" s="20"/>
      <c r="P14" s="18"/>
      <c r="Q14" s="20"/>
      <c r="R14" s="20"/>
    </row>
    <row r="15" spans="1:19">
      <c r="A15" s="20"/>
      <c r="B15" s="20"/>
      <c r="C15" s="20"/>
      <c r="D15" s="20"/>
      <c r="E15" s="20"/>
      <c r="F15" s="20"/>
      <c r="G15" s="20"/>
      <c r="H15" s="20"/>
      <c r="I15" s="20"/>
      <c r="J15" s="148"/>
      <c r="K15" s="20"/>
      <c r="L15" s="20"/>
      <c r="M15" s="20"/>
      <c r="N15" s="20"/>
      <c r="O15" s="20"/>
      <c r="P15" s="18"/>
      <c r="Q15" s="20"/>
      <c r="R15" s="20"/>
    </row>
    <row r="16" spans="1:19">
      <c r="A16" s="20"/>
      <c r="B16" s="20"/>
      <c r="C16" s="20"/>
      <c r="D16" s="20"/>
      <c r="E16" s="20"/>
      <c r="F16" s="20"/>
      <c r="G16" s="20"/>
      <c r="H16" s="20"/>
      <c r="I16" s="20"/>
      <c r="J16" s="148"/>
      <c r="K16" s="20"/>
      <c r="L16" s="20"/>
      <c r="M16" s="20"/>
      <c r="N16" s="20"/>
      <c r="O16" s="20"/>
      <c r="P16" s="18"/>
      <c r="Q16" s="20"/>
      <c r="R16" s="20"/>
    </row>
    <row r="17" spans="1:18">
      <c r="A17" s="20"/>
      <c r="B17" s="20"/>
      <c r="C17" s="20"/>
      <c r="D17" s="20"/>
      <c r="E17" s="20"/>
      <c r="F17" s="20"/>
      <c r="G17" s="20"/>
      <c r="H17" s="20"/>
      <c r="I17" s="20"/>
      <c r="J17" s="148"/>
      <c r="K17" s="20"/>
      <c r="L17" s="20"/>
      <c r="M17" s="20"/>
      <c r="N17" s="20"/>
      <c r="O17" s="20"/>
      <c r="P17" s="18"/>
      <c r="Q17" s="20"/>
      <c r="R17" s="20"/>
    </row>
    <row r="18" spans="1:18">
      <c r="A18" s="20"/>
      <c r="B18" s="20"/>
      <c r="C18" s="20"/>
      <c r="D18" s="20"/>
      <c r="E18" s="20"/>
      <c r="F18" s="20"/>
      <c r="G18" s="20"/>
      <c r="H18" s="20"/>
      <c r="I18" s="20"/>
      <c r="J18" s="148"/>
      <c r="K18" s="20"/>
      <c r="L18" s="20"/>
      <c r="M18" s="20"/>
      <c r="N18" s="20"/>
      <c r="O18" s="20"/>
      <c r="P18" s="18"/>
      <c r="Q18" s="20"/>
      <c r="R18" s="20"/>
    </row>
    <row r="19" spans="1:18">
      <c r="A19" s="20"/>
      <c r="B19" s="20"/>
      <c r="C19" s="20"/>
      <c r="D19" s="20"/>
      <c r="E19" s="20"/>
      <c r="F19" s="20"/>
      <c r="G19" s="20"/>
      <c r="H19" s="20"/>
      <c r="I19" s="20"/>
      <c r="J19" s="148"/>
      <c r="K19" s="20"/>
      <c r="L19" s="20"/>
      <c r="M19" s="20"/>
      <c r="N19" s="20"/>
      <c r="O19" s="20"/>
      <c r="P19" s="18"/>
      <c r="Q19" s="20"/>
      <c r="R19" s="20"/>
    </row>
    <row r="20" spans="1:18">
      <c r="C20" s="20"/>
      <c r="H20" s="20"/>
      <c r="P20" s="18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19" t="s">
        <v>1165</v>
      </c>
      <c r="B1" s="19" t="s">
        <v>1</v>
      </c>
      <c r="C1" s="19" t="s">
        <v>5</v>
      </c>
      <c r="D1" s="19" t="s">
        <v>1166</v>
      </c>
      <c r="E1" s="19" t="s">
        <v>1167</v>
      </c>
      <c r="F1" s="19" t="s">
        <v>1168</v>
      </c>
      <c r="G1" s="19" t="s">
        <v>25</v>
      </c>
      <c r="H1" s="11"/>
    </row>
    <row r="2" spans="1:8">
      <c r="A2" s="20"/>
      <c r="B2" s="20"/>
      <c r="C2" s="20"/>
      <c r="D2" s="125"/>
      <c r="G2" s="27"/>
    </row>
    <row r="3" spans="1:8">
      <c r="A3" s="20"/>
      <c r="B3" s="20"/>
      <c r="C3" s="20"/>
      <c r="G3" s="20"/>
    </row>
    <row r="4" spans="1:8">
      <c r="A4" s="20"/>
      <c r="B4" s="20"/>
      <c r="C4" s="20"/>
      <c r="G4" s="20"/>
    </row>
    <row r="5" spans="1:8">
      <c r="A5" s="20"/>
      <c r="B5" s="20"/>
      <c r="C5" s="20"/>
      <c r="G5" s="20"/>
    </row>
    <row r="6" spans="1:8">
      <c r="A6" s="20"/>
      <c r="B6" s="20"/>
      <c r="C6" s="20"/>
      <c r="G6" s="20"/>
    </row>
    <row r="7" spans="1:8">
      <c r="A7" s="20"/>
      <c r="B7" s="20"/>
      <c r="C7" s="20"/>
      <c r="G7" s="20"/>
    </row>
    <row r="8" spans="1:8">
      <c r="A8" s="20"/>
      <c r="B8" s="20"/>
      <c r="C8" s="20"/>
      <c r="G8" s="20"/>
    </row>
    <row r="9" spans="1:8">
      <c r="A9" s="20"/>
      <c r="B9" s="20"/>
      <c r="C9" s="20"/>
      <c r="G9" s="20"/>
    </row>
    <row r="10" spans="1:8">
      <c r="A10" s="20"/>
      <c r="B10" s="20"/>
      <c r="C10" s="20"/>
      <c r="G10" s="20"/>
    </row>
    <row r="11" spans="1:8">
      <c r="A11" s="20"/>
      <c r="B11" s="20"/>
      <c r="C11" s="20"/>
      <c r="G11" s="20"/>
    </row>
    <row r="12" spans="1:8">
      <c r="A12" s="20"/>
      <c r="B12" s="20"/>
      <c r="C12" s="20"/>
      <c r="G12" s="20"/>
    </row>
    <row r="13" spans="1:8">
      <c r="A13" s="20"/>
      <c r="B13" s="20"/>
      <c r="C13" s="20"/>
      <c r="G13" s="20"/>
    </row>
    <row r="14" spans="1:8">
      <c r="A14" s="20"/>
      <c r="B14" s="20"/>
      <c r="C14" s="20"/>
      <c r="G14" s="20"/>
    </row>
    <row r="15" spans="1:8">
      <c r="A15" s="20"/>
      <c r="B15" s="20"/>
      <c r="C15" s="20"/>
      <c r="G15" s="20"/>
    </row>
    <row r="16" spans="1:8">
      <c r="A16" s="20"/>
      <c r="B16" s="20"/>
      <c r="C16" s="20"/>
      <c r="G16" s="20"/>
    </row>
    <row r="17" spans="1:7">
      <c r="A17" s="20"/>
      <c r="B17" s="20"/>
      <c r="C17" s="20"/>
      <c r="G17" s="20"/>
    </row>
    <row r="18" spans="1:7">
      <c r="A18" s="20"/>
      <c r="B18" s="20"/>
      <c r="C18" s="20"/>
      <c r="G18" s="20"/>
    </row>
    <row r="19" spans="1:7">
      <c r="A19" s="20"/>
      <c r="B19" s="20"/>
      <c r="C19" s="20"/>
      <c r="G19" s="20"/>
    </row>
    <row r="20" spans="1:7">
      <c r="C20" s="20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185</v>
      </c>
      <c r="M1" s="19" t="s">
        <v>150</v>
      </c>
      <c r="N1" s="19" t="s">
        <v>193</v>
      </c>
      <c r="O1" s="19" t="s">
        <v>9</v>
      </c>
      <c r="P1" s="19" t="s">
        <v>10</v>
      </c>
      <c r="Q1" s="19" t="s">
        <v>222</v>
      </c>
      <c r="R1" s="19" t="s">
        <v>11</v>
      </c>
      <c r="S1" s="19" t="s">
        <v>12</v>
      </c>
      <c r="T1" s="19" t="s">
        <v>798</v>
      </c>
      <c r="U1" s="19" t="s">
        <v>953</v>
      </c>
      <c r="V1" s="19" t="s">
        <v>13</v>
      </c>
      <c r="W1" s="19" t="s">
        <v>14</v>
      </c>
      <c r="X1" s="19" t="s">
        <v>15</v>
      </c>
      <c r="Y1" s="19" t="s">
        <v>456</v>
      </c>
      <c r="Z1" s="19" t="s">
        <v>874</v>
      </c>
      <c r="AA1" s="19" t="s">
        <v>186</v>
      </c>
      <c r="AB1" s="19" t="s">
        <v>187</v>
      </c>
      <c r="AC1" s="19" t="s">
        <v>199</v>
      </c>
      <c r="AD1" s="19" t="s">
        <v>159</v>
      </c>
      <c r="AE1" s="19" t="s">
        <v>188</v>
      </c>
      <c r="AF1" s="19" t="s">
        <v>17</v>
      </c>
      <c r="AG1" s="19" t="s">
        <v>18</v>
      </c>
      <c r="AH1" s="19" t="s">
        <v>19</v>
      </c>
      <c r="AI1" s="19" t="s">
        <v>20</v>
      </c>
      <c r="AJ1" s="19" t="s">
        <v>21</v>
      </c>
      <c r="AK1" s="19" t="s">
        <v>201</v>
      </c>
      <c r="AL1" s="19" t="s">
        <v>22</v>
      </c>
      <c r="AM1" s="19" t="s">
        <v>24</v>
      </c>
      <c r="AN1" s="19" t="s">
        <v>25</v>
      </c>
    </row>
    <row r="2" spans="1:40">
      <c r="A2" s="27"/>
      <c r="B2" s="20"/>
      <c r="C2" s="20"/>
      <c r="D2" s="20"/>
      <c r="E2" s="18"/>
      <c r="F2" s="20"/>
      <c r="G2" s="20"/>
      <c r="H2" s="18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20"/>
      <c r="U2" s="20"/>
      <c r="V2" s="20"/>
      <c r="W2" s="20"/>
      <c r="X2" s="20"/>
      <c r="Y2" s="18"/>
      <c r="Z2" s="20"/>
      <c r="AA2" s="20"/>
      <c r="AB2" s="20"/>
      <c r="AC2" s="20"/>
      <c r="AD2" s="20"/>
      <c r="AE2" s="20"/>
      <c r="AF2" s="20"/>
      <c r="AG2" s="20"/>
      <c r="AH2" s="20"/>
      <c r="AI2" s="20"/>
      <c r="AK2" s="27"/>
      <c r="AL2" s="20"/>
    </row>
    <row r="3" spans="1:40">
      <c r="A3" s="20"/>
      <c r="B3" s="20"/>
      <c r="C3" s="20"/>
      <c r="D3" s="20"/>
      <c r="E3" s="18"/>
      <c r="F3" s="20"/>
      <c r="G3" s="20"/>
      <c r="H3" s="18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20"/>
      <c r="U3" s="20"/>
      <c r="V3" s="20"/>
      <c r="W3" s="20"/>
      <c r="X3" s="20"/>
      <c r="Y3" s="18"/>
      <c r="Z3" s="18"/>
      <c r="AA3" s="20"/>
      <c r="AB3" s="20"/>
      <c r="AF3" s="20"/>
      <c r="AG3" s="20"/>
      <c r="AH3" s="20"/>
      <c r="AI3" s="20"/>
      <c r="AK3" s="20"/>
      <c r="AL3" s="20"/>
    </row>
    <row r="4" spans="1:40">
      <c r="A4" s="20"/>
      <c r="B4" s="20"/>
      <c r="C4" s="20"/>
      <c r="D4" s="20"/>
      <c r="E4" s="18"/>
      <c r="F4" s="20"/>
      <c r="G4" s="20"/>
      <c r="H4" s="18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20"/>
      <c r="U4" s="20"/>
      <c r="V4" s="20"/>
      <c r="W4" s="20"/>
      <c r="X4" s="20"/>
      <c r="Y4" s="18"/>
      <c r="Z4" s="18"/>
      <c r="AA4" s="20"/>
      <c r="AB4" s="20"/>
      <c r="AD4" s="20"/>
      <c r="AE4" s="20"/>
      <c r="AF4" s="20"/>
      <c r="AG4" s="20"/>
      <c r="AH4" s="20"/>
      <c r="AI4" s="20"/>
      <c r="AK4" s="20"/>
      <c r="AL4" s="20"/>
    </row>
    <row r="5" spans="1:40">
      <c r="A5" s="20"/>
      <c r="B5" s="20"/>
      <c r="C5" s="20"/>
      <c r="D5" s="20"/>
      <c r="E5" s="18"/>
      <c r="F5" s="20"/>
      <c r="G5" s="20"/>
      <c r="H5" s="18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20"/>
      <c r="U5" s="20"/>
      <c r="V5" s="20"/>
      <c r="W5" s="20"/>
      <c r="X5" s="20"/>
      <c r="Y5" s="18"/>
      <c r="Z5" s="18"/>
      <c r="AA5" s="20"/>
      <c r="AB5" s="20"/>
      <c r="AD5" s="20"/>
      <c r="AE5" s="20"/>
      <c r="AF5" s="20"/>
      <c r="AG5" s="20"/>
      <c r="AH5" s="20"/>
      <c r="AI5" s="20"/>
      <c r="AK5" s="20"/>
      <c r="AL5" s="20"/>
    </row>
    <row r="6" spans="1:40">
      <c r="A6" s="20"/>
      <c r="B6" s="20"/>
      <c r="C6" s="20"/>
      <c r="D6" s="20"/>
      <c r="E6" s="18"/>
      <c r="F6" s="20"/>
      <c r="G6" s="20"/>
      <c r="H6" s="18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20"/>
      <c r="U6" s="20"/>
      <c r="V6" s="20"/>
      <c r="W6" s="20"/>
      <c r="X6" s="20"/>
      <c r="Y6" s="18"/>
      <c r="Z6" s="18"/>
      <c r="AA6" s="20"/>
      <c r="AB6" s="20"/>
      <c r="AD6" s="20"/>
      <c r="AE6" s="20"/>
      <c r="AF6" s="20"/>
      <c r="AG6" s="20"/>
      <c r="AH6" s="20"/>
      <c r="AI6" s="20"/>
      <c r="AK6" s="20"/>
      <c r="AL6" s="20"/>
    </row>
    <row r="7" spans="1:40">
      <c r="A7" s="20"/>
      <c r="B7" s="20"/>
      <c r="C7" s="20"/>
      <c r="D7" s="20"/>
      <c r="E7" s="18"/>
      <c r="F7" s="20"/>
      <c r="G7" s="20"/>
      <c r="H7" s="18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20"/>
      <c r="U7" s="20"/>
      <c r="V7" s="20"/>
      <c r="W7" s="20"/>
      <c r="X7" s="20"/>
      <c r="Y7" s="18"/>
      <c r="Z7" s="18"/>
      <c r="AA7" s="20"/>
      <c r="AB7" s="20"/>
      <c r="AD7" s="20"/>
      <c r="AE7" s="20"/>
      <c r="AF7" s="20"/>
      <c r="AG7" s="20"/>
      <c r="AH7" s="20"/>
      <c r="AI7" s="20"/>
      <c r="AK7" s="20"/>
      <c r="AL7" s="20"/>
    </row>
    <row r="8" spans="1:40">
      <c r="A8" s="20"/>
      <c r="B8" s="20"/>
      <c r="C8" s="20"/>
      <c r="D8" s="20"/>
      <c r="E8" s="18"/>
      <c r="F8" s="20"/>
      <c r="G8" s="20"/>
      <c r="H8" s="18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20"/>
      <c r="U8" s="20"/>
      <c r="V8" s="20"/>
      <c r="W8" s="20"/>
      <c r="X8" s="20"/>
      <c r="Y8" s="18"/>
      <c r="Z8" s="18"/>
      <c r="AA8" s="20"/>
      <c r="AB8" s="20"/>
      <c r="AD8" s="20"/>
      <c r="AE8" s="20"/>
      <c r="AF8" s="20"/>
      <c r="AG8" s="20"/>
      <c r="AH8" s="20"/>
      <c r="AI8" s="20"/>
      <c r="AK8" s="20"/>
      <c r="AL8" s="20"/>
    </row>
    <row r="9" spans="1:40">
      <c r="A9" s="20"/>
      <c r="B9" s="20"/>
      <c r="C9" s="20"/>
      <c r="D9" s="20"/>
      <c r="E9" s="18"/>
      <c r="F9" s="20"/>
      <c r="G9" s="20"/>
      <c r="H9" s="18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20"/>
      <c r="U9" s="20"/>
      <c r="V9" s="20"/>
      <c r="W9" s="20"/>
      <c r="X9" s="20"/>
      <c r="Y9" s="18"/>
      <c r="Z9" s="18"/>
      <c r="AA9" s="20"/>
      <c r="AB9" s="20"/>
      <c r="AD9" s="20"/>
      <c r="AE9" s="20"/>
      <c r="AF9" s="20"/>
      <c r="AG9" s="20"/>
      <c r="AH9" s="20"/>
      <c r="AL9" s="20"/>
    </row>
    <row r="10" spans="1:40">
      <c r="A10" s="20"/>
      <c r="B10" s="20"/>
      <c r="C10" s="20"/>
      <c r="D10" s="20"/>
      <c r="E10" s="18"/>
      <c r="F10" s="20"/>
      <c r="G10" s="20"/>
      <c r="H10" s="18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20"/>
      <c r="U10" s="20"/>
      <c r="V10" s="20"/>
      <c r="W10" s="20"/>
      <c r="X10" s="20"/>
      <c r="Y10" s="18"/>
      <c r="Z10" s="18"/>
      <c r="AA10" s="20"/>
      <c r="AB10" s="20"/>
      <c r="AD10" s="20"/>
      <c r="AE10" s="20"/>
      <c r="AF10" s="20"/>
      <c r="AG10" s="20"/>
      <c r="AH10" s="20"/>
      <c r="AL10" s="20"/>
    </row>
    <row r="11" spans="1:40">
      <c r="A11" s="20"/>
      <c r="B11" s="20"/>
      <c r="C11" s="20"/>
      <c r="D11" s="20"/>
      <c r="E11" s="18"/>
      <c r="F11" s="20"/>
      <c r="G11" s="20"/>
      <c r="H11" s="18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20"/>
      <c r="U11" s="20"/>
      <c r="V11" s="20"/>
      <c r="W11" s="20"/>
      <c r="X11" s="20"/>
      <c r="Y11" s="18"/>
      <c r="Z11" s="18"/>
      <c r="AA11" s="20"/>
      <c r="AB11" s="20"/>
      <c r="AD11" s="20"/>
      <c r="AE11" s="20"/>
      <c r="AF11" s="20"/>
      <c r="AG11" s="20"/>
      <c r="AH11" s="20"/>
      <c r="AI11" s="20"/>
      <c r="AK11" s="20"/>
      <c r="AL11" s="20"/>
    </row>
    <row r="12" spans="1:40">
      <c r="A12" s="20"/>
      <c r="B12" s="20"/>
      <c r="C12" s="20"/>
      <c r="D12" s="20"/>
      <c r="E12" s="18"/>
      <c r="F12" s="20"/>
      <c r="G12" s="20"/>
      <c r="H12" s="18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20"/>
      <c r="U12" s="20"/>
      <c r="V12" s="20"/>
      <c r="W12" s="20"/>
      <c r="X12" s="20"/>
      <c r="Y12" s="18"/>
      <c r="Z12" s="18"/>
      <c r="AA12" s="20"/>
      <c r="AB12" s="20"/>
      <c r="AD12" s="20"/>
      <c r="AE12" s="20"/>
      <c r="AF12" s="20"/>
      <c r="AG12" s="20"/>
      <c r="AH12" s="20"/>
      <c r="AI12" s="20"/>
      <c r="AK12" s="20"/>
      <c r="AL12" s="20"/>
    </row>
    <row r="13" spans="1:40">
      <c r="A13" s="20"/>
      <c r="B13" s="20"/>
      <c r="C13" s="20"/>
      <c r="D13" s="20"/>
      <c r="E13" s="18"/>
      <c r="F13" s="20"/>
      <c r="G13" s="20"/>
      <c r="H13" s="18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20"/>
      <c r="U13" s="20"/>
      <c r="V13" s="20"/>
      <c r="W13" s="20"/>
      <c r="X13" s="20"/>
      <c r="Y13" s="18"/>
      <c r="Z13" s="18"/>
      <c r="AA13" s="20"/>
      <c r="AB13" s="20"/>
      <c r="AD13" s="20"/>
      <c r="AE13" s="20"/>
      <c r="AF13" s="20"/>
      <c r="AG13" s="20"/>
      <c r="AH13" s="20"/>
      <c r="AI13" s="20"/>
      <c r="AK13" s="20"/>
      <c r="AL13" s="20"/>
    </row>
    <row r="14" spans="1:40">
      <c r="A14" s="20"/>
      <c r="B14" s="20"/>
      <c r="C14" s="20"/>
      <c r="D14" s="20"/>
      <c r="E14" s="18"/>
      <c r="F14" s="20"/>
      <c r="G14" s="20"/>
      <c r="H14" s="18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20"/>
      <c r="U14" s="20"/>
      <c r="V14" s="20"/>
      <c r="W14" s="20"/>
      <c r="X14" s="20"/>
      <c r="Y14" s="18"/>
      <c r="Z14" s="18"/>
      <c r="AA14" s="20"/>
      <c r="AB14" s="20"/>
      <c r="AD14" s="20"/>
      <c r="AE14" s="20"/>
      <c r="AF14" s="20"/>
      <c r="AG14" s="20"/>
      <c r="AH14" s="20"/>
      <c r="AI14" s="20"/>
      <c r="AK14" s="20"/>
      <c r="AL14" s="20"/>
    </row>
    <row r="15" spans="1:40">
      <c r="A15" s="20"/>
      <c r="B15" s="20"/>
      <c r="C15" s="20"/>
      <c r="D15" s="20"/>
      <c r="E15" s="18"/>
      <c r="F15" s="20"/>
      <c r="G15" s="20"/>
      <c r="H15" s="18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20"/>
      <c r="U15" s="20"/>
      <c r="V15" s="20"/>
      <c r="W15" s="20"/>
      <c r="X15" s="20"/>
      <c r="Y15" s="18"/>
      <c r="Z15" s="18"/>
      <c r="AA15" s="20"/>
      <c r="AB15" s="20"/>
      <c r="AD15" s="20"/>
      <c r="AE15" s="20"/>
      <c r="AF15" s="20"/>
      <c r="AG15" s="20"/>
      <c r="AH15" s="20"/>
      <c r="AI15" s="20"/>
      <c r="AK15" s="20"/>
      <c r="AL15" s="20"/>
    </row>
    <row r="16" spans="1:40">
      <c r="A16" s="20"/>
      <c r="B16" s="20"/>
      <c r="C16" s="20"/>
      <c r="D16" s="20"/>
      <c r="E16" s="18"/>
      <c r="F16" s="20"/>
      <c r="G16" s="20"/>
      <c r="H16" s="18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18"/>
      <c r="Z16" s="18"/>
      <c r="AA16" s="20"/>
      <c r="AB16" s="20"/>
      <c r="AD16" s="20"/>
      <c r="AE16" s="20"/>
      <c r="AF16" s="20"/>
      <c r="AG16" s="20"/>
      <c r="AH16" s="20"/>
      <c r="AI16" s="20"/>
      <c r="AK16" s="20"/>
      <c r="AL16" s="20"/>
    </row>
    <row r="17" spans="1:38">
      <c r="A17" s="20"/>
      <c r="B17" s="20"/>
      <c r="C17" s="20"/>
      <c r="D17" s="20"/>
      <c r="E17" s="18"/>
      <c r="F17" s="20"/>
      <c r="G17" s="20"/>
      <c r="H17" s="18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20"/>
      <c r="U17" s="20"/>
      <c r="V17" s="20"/>
      <c r="W17" s="20"/>
      <c r="X17" s="20"/>
      <c r="Y17" s="18"/>
      <c r="Z17" s="18"/>
      <c r="AA17" s="20"/>
      <c r="AB17" s="20"/>
      <c r="AD17" s="20"/>
      <c r="AE17" s="20"/>
      <c r="AF17" s="20"/>
      <c r="AG17" s="20"/>
      <c r="AH17" s="20"/>
      <c r="AI17" s="20"/>
      <c r="AK17" s="20"/>
      <c r="AL17" s="20"/>
    </row>
    <row r="18" spans="1:38">
      <c r="A18" s="20"/>
      <c r="B18" s="20"/>
      <c r="C18" s="20"/>
      <c r="D18" s="20"/>
      <c r="E18" s="18"/>
      <c r="F18" s="20"/>
      <c r="G18" s="20"/>
      <c r="H18" s="18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20"/>
      <c r="U18" s="20"/>
      <c r="V18" s="20"/>
      <c r="W18" s="20"/>
      <c r="X18" s="20"/>
      <c r="Y18" s="18"/>
      <c r="Z18" s="18"/>
      <c r="AA18" s="20"/>
      <c r="AB18" s="20"/>
      <c r="AD18" s="20"/>
      <c r="AE18" s="20"/>
      <c r="AF18" s="20"/>
      <c r="AG18" s="20"/>
      <c r="AH18" s="20"/>
      <c r="AI18" s="20"/>
      <c r="AK18" s="20"/>
      <c r="AL18" s="20"/>
    </row>
    <row r="19" spans="1:38">
      <c r="A19" s="20"/>
      <c r="B19" s="20"/>
      <c r="C19" s="20"/>
      <c r="D19" s="20"/>
      <c r="E19" s="18"/>
      <c r="F19" s="20"/>
      <c r="G19" s="20"/>
      <c r="H19" s="18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20"/>
      <c r="U19" s="20"/>
      <c r="V19" s="20"/>
      <c r="W19" s="20"/>
      <c r="X19" s="20"/>
      <c r="Y19" s="18"/>
      <c r="Z19" s="18"/>
      <c r="AA19" s="20"/>
      <c r="AB19" s="20"/>
      <c r="AD19" s="20"/>
      <c r="AE19" s="20"/>
      <c r="AF19" s="20"/>
      <c r="AG19" s="20"/>
      <c r="AH19" s="20"/>
      <c r="AI19" s="20"/>
      <c r="AK19" s="20"/>
      <c r="AL19" s="20"/>
    </row>
    <row r="20" spans="1:38">
      <c r="E20" s="18"/>
      <c r="H20" s="18"/>
      <c r="I20" s="20"/>
      <c r="J20" s="18"/>
      <c r="K20" s="18"/>
      <c r="L20" s="20"/>
      <c r="M20" s="20"/>
      <c r="P20" s="20"/>
      <c r="Q20" s="20"/>
      <c r="T20" s="20"/>
      <c r="U20" s="20"/>
      <c r="Y20" s="18"/>
      <c r="Z20" s="18"/>
      <c r="AA20" s="20"/>
      <c r="AB20" s="20"/>
      <c r="AL20" s="20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9"/>
  <sheetViews>
    <sheetView rightToLeft="1" zoomScale="70" zoomScaleNormal="70" workbookViewId="0">
      <selection activeCell="A5" sqref="A5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372</v>
      </c>
      <c r="M1" s="19" t="s">
        <v>185</v>
      </c>
      <c r="N1" s="19" t="s">
        <v>150</v>
      </c>
      <c r="O1" s="19" t="s">
        <v>193</v>
      </c>
      <c r="P1" s="19" t="s">
        <v>9</v>
      </c>
      <c r="Q1" s="19" t="s">
        <v>10</v>
      </c>
      <c r="R1" s="19" t="s">
        <v>222</v>
      </c>
      <c r="S1" s="19" t="s">
        <v>11</v>
      </c>
      <c r="T1" s="19" t="s">
        <v>12</v>
      </c>
      <c r="U1" s="19" t="s">
        <v>13</v>
      </c>
      <c r="V1" s="163" t="s">
        <v>15</v>
      </c>
      <c r="W1" s="163" t="s">
        <v>14</v>
      </c>
      <c r="X1" s="19" t="s">
        <v>456</v>
      </c>
      <c r="Y1" s="19" t="s">
        <v>874</v>
      </c>
      <c r="Z1" s="19" t="s">
        <v>186</v>
      </c>
      <c r="AA1" s="19" t="s">
        <v>187</v>
      </c>
      <c r="AB1" s="19" t="s">
        <v>159</v>
      </c>
      <c r="AC1" s="19" t="s">
        <v>188</v>
      </c>
      <c r="AD1" s="19" t="s">
        <v>17</v>
      </c>
      <c r="AE1" s="19" t="s">
        <v>18</v>
      </c>
      <c r="AF1" s="19" t="s">
        <v>19</v>
      </c>
      <c r="AG1" s="19" t="s">
        <v>20</v>
      </c>
      <c r="AH1" s="19" t="s">
        <v>21</v>
      </c>
      <c r="AI1" s="19" t="s">
        <v>201</v>
      </c>
      <c r="AJ1" s="19" t="s">
        <v>22</v>
      </c>
      <c r="AK1" s="163" t="s">
        <v>24</v>
      </c>
      <c r="AL1" s="163" t="s">
        <v>25</v>
      </c>
    </row>
    <row r="2" spans="1:38">
      <c r="A2" s="2" t="s">
        <v>26</v>
      </c>
      <c r="B2" s="20">
        <v>1182</v>
      </c>
      <c r="C2" s="20" t="s">
        <v>3107</v>
      </c>
      <c r="D2" s="20" t="s">
        <v>3108</v>
      </c>
      <c r="E2" s="18" t="s">
        <v>1376</v>
      </c>
      <c r="F2" s="20" t="s">
        <v>3109</v>
      </c>
      <c r="G2" s="20" t="s">
        <v>3110</v>
      </c>
      <c r="H2" s="20" t="s">
        <v>367</v>
      </c>
      <c r="I2" s="20" t="s">
        <v>219</v>
      </c>
      <c r="J2" s="18" t="s">
        <v>31</v>
      </c>
      <c r="K2" s="18" t="s">
        <v>31</v>
      </c>
      <c r="L2" s="20" t="s">
        <v>203</v>
      </c>
      <c r="M2" s="20" t="s">
        <v>490</v>
      </c>
      <c r="N2" s="20" t="s">
        <v>164</v>
      </c>
      <c r="O2" s="20"/>
      <c r="P2" s="20" t="s">
        <v>1523</v>
      </c>
      <c r="Q2" s="20" t="s">
        <v>203</v>
      </c>
      <c r="R2" s="20" t="s">
        <v>454</v>
      </c>
      <c r="S2" s="18" t="s">
        <v>35</v>
      </c>
      <c r="T2" s="153">
        <v>0.01</v>
      </c>
      <c r="U2" s="20" t="s">
        <v>3111</v>
      </c>
      <c r="V2" s="168">
        <v>0</v>
      </c>
      <c r="W2" s="164">
        <v>5.1499999999999997E-2</v>
      </c>
      <c r="X2" s="18" t="s">
        <v>458</v>
      </c>
      <c r="Y2" s="18" t="s">
        <v>164</v>
      </c>
      <c r="Z2" s="20" t="s">
        <v>203</v>
      </c>
      <c r="AA2" s="20"/>
      <c r="AB2" s="2" t="s">
        <v>3112</v>
      </c>
      <c r="AC2" s="20"/>
      <c r="AD2" s="153">
        <v>13377</v>
      </c>
      <c r="AE2" s="153">
        <v>1</v>
      </c>
      <c r="AF2" s="153">
        <v>0</v>
      </c>
      <c r="AG2" s="153">
        <v>0</v>
      </c>
      <c r="AH2" s="20"/>
      <c r="AI2" s="27"/>
      <c r="AJ2" s="20" t="s">
        <v>37</v>
      </c>
      <c r="AK2" s="164">
        <v>1.9283885559248198E-8</v>
      </c>
      <c r="AL2" s="164">
        <v>3.3848488923504797E-11</v>
      </c>
    </row>
    <row r="3" spans="1:38">
      <c r="A3" s="20" t="s">
        <v>26</v>
      </c>
      <c r="B3" s="20">
        <v>1182</v>
      </c>
      <c r="C3" s="20" t="s">
        <v>3113</v>
      </c>
      <c r="D3" s="20" t="s">
        <v>3114</v>
      </c>
      <c r="E3" s="18" t="s">
        <v>1376</v>
      </c>
      <c r="F3" s="20" t="s">
        <v>3115</v>
      </c>
      <c r="G3" s="20" t="s">
        <v>3116</v>
      </c>
      <c r="H3" s="20" t="s">
        <v>367</v>
      </c>
      <c r="I3" s="20" t="s">
        <v>1012</v>
      </c>
      <c r="J3" s="18" t="s">
        <v>31</v>
      </c>
      <c r="K3" s="18" t="s">
        <v>31</v>
      </c>
      <c r="L3" s="20" t="s">
        <v>203</v>
      </c>
      <c r="M3" s="20" t="s">
        <v>490</v>
      </c>
      <c r="N3" s="20" t="s">
        <v>164</v>
      </c>
      <c r="O3" s="20" t="s">
        <v>2686</v>
      </c>
      <c r="P3" s="20" t="s">
        <v>1523</v>
      </c>
      <c r="Q3" s="20" t="s">
        <v>203</v>
      </c>
      <c r="R3" s="20" t="s">
        <v>454</v>
      </c>
      <c r="S3" s="18" t="s">
        <v>35</v>
      </c>
      <c r="T3" s="153">
        <v>0.01</v>
      </c>
      <c r="U3" s="20" t="s">
        <v>3117</v>
      </c>
      <c r="V3" s="168">
        <v>0</v>
      </c>
      <c r="W3" s="164">
        <v>5.7000000000000002E-2</v>
      </c>
      <c r="X3" s="18" t="s">
        <v>457</v>
      </c>
      <c r="Y3" s="18" t="s">
        <v>386</v>
      </c>
      <c r="Z3" s="20" t="s">
        <v>935</v>
      </c>
      <c r="AA3" s="20"/>
      <c r="AB3" s="2" t="s">
        <v>3118</v>
      </c>
      <c r="AC3" s="20"/>
      <c r="AD3" s="153">
        <v>1380.01</v>
      </c>
      <c r="AE3" s="153">
        <v>1</v>
      </c>
      <c r="AF3" s="153">
        <v>0.01</v>
      </c>
      <c r="AG3" s="153">
        <v>0</v>
      </c>
      <c r="AH3" s="20"/>
      <c r="AI3" s="20"/>
      <c r="AJ3" s="20" t="s">
        <v>37</v>
      </c>
      <c r="AK3" s="164">
        <v>1.9893813942302499E-7</v>
      </c>
      <c r="AL3" s="164">
        <v>3.4919079912780102E-10</v>
      </c>
    </row>
    <row r="4" spans="1:38">
      <c r="A4" s="20" t="s">
        <v>26</v>
      </c>
      <c r="B4" s="20">
        <v>1182</v>
      </c>
      <c r="C4" s="20" t="s">
        <v>3119</v>
      </c>
      <c r="D4" s="20" t="s">
        <v>3120</v>
      </c>
      <c r="E4" s="18" t="s">
        <v>1376</v>
      </c>
      <c r="F4" s="20" t="s">
        <v>3121</v>
      </c>
      <c r="G4" s="20" t="s">
        <v>3122</v>
      </c>
      <c r="H4" s="20" t="s">
        <v>367</v>
      </c>
      <c r="I4" s="20" t="s">
        <v>1012</v>
      </c>
      <c r="J4" s="18" t="s">
        <v>31</v>
      </c>
      <c r="K4" s="18" t="s">
        <v>31</v>
      </c>
      <c r="L4" s="20" t="s">
        <v>203</v>
      </c>
      <c r="M4" s="20" t="s">
        <v>490</v>
      </c>
      <c r="N4" s="20" t="s">
        <v>164</v>
      </c>
      <c r="O4" s="2" t="s">
        <v>2686</v>
      </c>
      <c r="P4" s="20" t="s">
        <v>1523</v>
      </c>
      <c r="Q4" s="20" t="s">
        <v>203</v>
      </c>
      <c r="R4" s="20" t="s">
        <v>452</v>
      </c>
      <c r="S4" s="20" t="s">
        <v>35</v>
      </c>
      <c r="T4" s="153">
        <v>2.92</v>
      </c>
      <c r="U4" s="20" t="s">
        <v>3123</v>
      </c>
      <c r="V4" s="168">
        <v>1E-4</v>
      </c>
      <c r="W4" s="164">
        <v>6.5000000000000002E-2</v>
      </c>
      <c r="X4" s="18" t="s">
        <v>457</v>
      </c>
      <c r="Y4" s="18" t="s">
        <v>386</v>
      </c>
      <c r="Z4" s="20" t="s">
        <v>935</v>
      </c>
      <c r="AA4" s="20"/>
      <c r="AB4" s="2" t="s">
        <v>3124</v>
      </c>
      <c r="AD4" s="150">
        <v>39.99</v>
      </c>
      <c r="AE4" s="153">
        <v>1</v>
      </c>
      <c r="AF4" s="153">
        <v>73</v>
      </c>
      <c r="AG4" s="153">
        <v>2.9000000000000001E-2</v>
      </c>
      <c r="AH4" s="20"/>
      <c r="AI4" s="20"/>
      <c r="AJ4" s="20" t="s">
        <v>37</v>
      </c>
      <c r="AK4" s="164">
        <v>4.2083328546420203E-5</v>
      </c>
      <c r="AL4" s="164">
        <v>7.38677418402631E-8</v>
      </c>
    </row>
    <row r="5" spans="1:38">
      <c r="A5" s="20" t="s">
        <v>26</v>
      </c>
      <c r="B5" s="20">
        <v>1182</v>
      </c>
      <c r="C5" s="20" t="s">
        <v>3125</v>
      </c>
      <c r="D5" s="20" t="s">
        <v>3126</v>
      </c>
      <c r="E5" s="18" t="s">
        <v>1376</v>
      </c>
      <c r="F5" s="20" t="s">
        <v>3127</v>
      </c>
      <c r="G5" s="20" t="s">
        <v>3128</v>
      </c>
      <c r="H5" s="20" t="s">
        <v>367</v>
      </c>
      <c r="I5" s="20" t="s">
        <v>1010</v>
      </c>
      <c r="J5" s="18" t="s">
        <v>31</v>
      </c>
      <c r="K5" s="18" t="s">
        <v>31</v>
      </c>
      <c r="L5" s="20" t="s">
        <v>203</v>
      </c>
      <c r="M5" s="20" t="s">
        <v>507</v>
      </c>
      <c r="N5" s="20" t="s">
        <v>164</v>
      </c>
      <c r="O5" s="20" t="s">
        <v>3129</v>
      </c>
      <c r="P5" s="20" t="s">
        <v>2258</v>
      </c>
      <c r="Q5" s="20" t="s">
        <v>217</v>
      </c>
      <c r="R5" s="20" t="s">
        <v>452</v>
      </c>
      <c r="S5" s="18" t="s">
        <v>35</v>
      </c>
      <c r="T5" s="153">
        <v>0.5</v>
      </c>
      <c r="U5" s="20" t="s">
        <v>3130</v>
      </c>
      <c r="V5" s="168">
        <v>5.4890000000000001E-2</v>
      </c>
      <c r="W5" s="164">
        <v>3.5499999999999997E-2</v>
      </c>
      <c r="X5" s="18" t="s">
        <v>458</v>
      </c>
      <c r="Y5" s="18" t="s">
        <v>164</v>
      </c>
      <c r="Z5" s="20" t="s">
        <v>937</v>
      </c>
      <c r="AA5" s="20" t="s">
        <v>3131</v>
      </c>
      <c r="AB5" s="2" t="s">
        <v>1374</v>
      </c>
      <c r="AC5" s="20" t="s">
        <v>3132</v>
      </c>
      <c r="AD5" s="153">
        <v>240000</v>
      </c>
      <c r="AE5" s="153">
        <v>1</v>
      </c>
      <c r="AF5" s="153">
        <v>99.07</v>
      </c>
      <c r="AG5" s="150">
        <v>237.768</v>
      </c>
      <c r="AJ5" s="20" t="s">
        <v>37</v>
      </c>
      <c r="AK5" s="164">
        <v>0.342759280978644</v>
      </c>
      <c r="AL5" s="164">
        <v>6.0163620500589801E-4</v>
      </c>
    </row>
    <row r="6" spans="1:38">
      <c r="A6" s="20" t="s">
        <v>26</v>
      </c>
      <c r="B6" s="20">
        <v>1182</v>
      </c>
      <c r="C6" s="20" t="s">
        <v>3107</v>
      </c>
      <c r="D6" s="20" t="s">
        <v>3108</v>
      </c>
      <c r="E6" s="18" t="s">
        <v>1376</v>
      </c>
      <c r="F6" s="20" t="s">
        <v>3133</v>
      </c>
      <c r="G6" s="20" t="s">
        <v>3134</v>
      </c>
      <c r="H6" s="20" t="s">
        <v>367</v>
      </c>
      <c r="I6" s="20" t="s">
        <v>219</v>
      </c>
      <c r="J6" s="18" t="s">
        <v>31</v>
      </c>
      <c r="K6" s="18" t="s">
        <v>31</v>
      </c>
      <c r="L6" s="20" t="s">
        <v>203</v>
      </c>
      <c r="M6" s="20" t="s">
        <v>490</v>
      </c>
      <c r="N6" s="20" t="s">
        <v>164</v>
      </c>
      <c r="O6" s="20" t="s">
        <v>3135</v>
      </c>
      <c r="P6" s="20" t="s">
        <v>1523</v>
      </c>
      <c r="Q6" s="20" t="s">
        <v>203</v>
      </c>
      <c r="R6" s="20" t="s">
        <v>454</v>
      </c>
      <c r="S6" s="18" t="s">
        <v>35</v>
      </c>
      <c r="T6" s="153">
        <v>0.01</v>
      </c>
      <c r="U6" s="20" t="s">
        <v>3136</v>
      </c>
      <c r="V6" s="168">
        <v>0</v>
      </c>
      <c r="W6" s="164">
        <v>4.9000000000000002E-2</v>
      </c>
      <c r="X6" s="18" t="s">
        <v>458</v>
      </c>
      <c r="Y6" s="18" t="s">
        <v>164</v>
      </c>
      <c r="Z6" s="20" t="s">
        <v>203</v>
      </c>
      <c r="AA6" s="20"/>
      <c r="AB6" s="2" t="s">
        <v>174</v>
      </c>
      <c r="AC6" s="20"/>
      <c r="AD6" s="153">
        <v>3992.61</v>
      </c>
      <c r="AE6" s="153">
        <v>1</v>
      </c>
      <c r="AF6" s="153">
        <v>6.4</v>
      </c>
      <c r="AG6" s="150">
        <v>0.25600000000000001</v>
      </c>
      <c r="AJ6" s="20" t="s">
        <v>37</v>
      </c>
      <c r="AK6" s="164">
        <v>3.6836018514266501E-4</v>
      </c>
      <c r="AL6" s="164">
        <v>6.4657278785198295E-7</v>
      </c>
    </row>
    <row r="7" spans="1:38">
      <c r="A7" s="20" t="s">
        <v>26</v>
      </c>
      <c r="B7" s="20">
        <v>1182</v>
      </c>
      <c r="C7" s="20" t="s">
        <v>3137</v>
      </c>
      <c r="D7" s="20" t="s">
        <v>3138</v>
      </c>
      <c r="E7" s="18" t="s">
        <v>1376</v>
      </c>
      <c r="F7" s="20" t="s">
        <v>3139</v>
      </c>
      <c r="G7" s="20" t="s">
        <v>3140</v>
      </c>
      <c r="H7" s="20" t="s">
        <v>367</v>
      </c>
      <c r="I7" s="20" t="s">
        <v>1012</v>
      </c>
      <c r="J7" s="18" t="s">
        <v>31</v>
      </c>
      <c r="K7" s="18" t="s">
        <v>31</v>
      </c>
      <c r="L7" s="20" t="s">
        <v>203</v>
      </c>
      <c r="M7" s="20" t="s">
        <v>490</v>
      </c>
      <c r="N7" s="20" t="s">
        <v>164</v>
      </c>
      <c r="O7" s="20" t="s">
        <v>3141</v>
      </c>
      <c r="P7" s="20" t="s">
        <v>1523</v>
      </c>
      <c r="Q7" s="20" t="s">
        <v>203</v>
      </c>
      <c r="R7" s="20" t="s">
        <v>452</v>
      </c>
      <c r="S7" s="18" t="s">
        <v>35</v>
      </c>
      <c r="T7" s="153">
        <v>0.01</v>
      </c>
      <c r="U7" s="20" t="s">
        <v>3142</v>
      </c>
      <c r="V7" s="168">
        <v>1E-4</v>
      </c>
      <c r="W7" s="164">
        <v>5.5E-2</v>
      </c>
      <c r="X7" s="18" t="s">
        <v>457</v>
      </c>
      <c r="Y7" s="18" t="s">
        <v>386</v>
      </c>
      <c r="Z7" s="20" t="s">
        <v>935</v>
      </c>
      <c r="AA7" s="20"/>
      <c r="AB7" s="2" t="s">
        <v>1543</v>
      </c>
      <c r="AC7" s="20"/>
      <c r="AD7" s="153">
        <v>1000</v>
      </c>
      <c r="AE7" s="153">
        <v>1</v>
      </c>
      <c r="AF7" s="153">
        <v>1</v>
      </c>
      <c r="AG7" s="153">
        <v>0.01</v>
      </c>
      <c r="AH7" s="20"/>
      <c r="AI7" s="20"/>
      <c r="AJ7" s="20" t="s">
        <v>37</v>
      </c>
      <c r="AK7" s="164">
        <v>1.44157027429529E-5</v>
      </c>
      <c r="AL7" s="164">
        <v>2.53034977375382E-8</v>
      </c>
    </row>
    <row r="8" spans="1:38">
      <c r="A8" s="20" t="s">
        <v>26</v>
      </c>
      <c r="B8" s="20">
        <v>1182</v>
      </c>
      <c r="C8" s="20" t="s">
        <v>3143</v>
      </c>
      <c r="D8" s="20" t="s">
        <v>1540</v>
      </c>
      <c r="E8" s="18" t="s">
        <v>1376</v>
      </c>
      <c r="F8" s="20" t="s">
        <v>3144</v>
      </c>
      <c r="G8" s="20" t="s">
        <v>3145</v>
      </c>
      <c r="H8" s="20" t="s">
        <v>367</v>
      </c>
      <c r="I8" s="20" t="s">
        <v>1010</v>
      </c>
      <c r="J8" s="18" t="s">
        <v>31</v>
      </c>
      <c r="K8" s="18" t="s">
        <v>31</v>
      </c>
      <c r="L8" s="20" t="s">
        <v>203</v>
      </c>
      <c r="M8" s="20" t="s">
        <v>522</v>
      </c>
      <c r="N8" s="20" t="s">
        <v>164</v>
      </c>
      <c r="O8" s="20" t="s">
        <v>3146</v>
      </c>
      <c r="P8" s="20" t="s">
        <v>1523</v>
      </c>
      <c r="Q8" s="20" t="s">
        <v>203</v>
      </c>
      <c r="R8" s="20" t="s">
        <v>454</v>
      </c>
      <c r="S8" s="18" t="s">
        <v>35</v>
      </c>
      <c r="T8" s="153">
        <v>2.2599999999999998</v>
      </c>
      <c r="U8" s="20" t="s">
        <v>3147</v>
      </c>
      <c r="V8" s="168">
        <v>8.7999999999999995E-2</v>
      </c>
      <c r="W8" s="164">
        <v>0</v>
      </c>
      <c r="X8" s="18" t="s">
        <v>458</v>
      </c>
      <c r="Y8" s="18" t="s">
        <v>164</v>
      </c>
      <c r="Z8" s="20" t="s">
        <v>937</v>
      </c>
      <c r="AA8" s="20"/>
      <c r="AB8" s="2" t="s">
        <v>1374</v>
      </c>
      <c r="AC8" s="20"/>
      <c r="AD8" s="153">
        <v>450000</v>
      </c>
      <c r="AE8" s="153">
        <v>1</v>
      </c>
      <c r="AF8" s="153">
        <v>101.25</v>
      </c>
      <c r="AG8" s="153">
        <v>455.625</v>
      </c>
      <c r="AH8" s="20"/>
      <c r="AI8" s="20"/>
      <c r="AJ8" s="20" t="s">
        <v>37</v>
      </c>
      <c r="AK8" s="164">
        <v>0.65681545622579396</v>
      </c>
      <c r="AL8" s="164">
        <v>1.1528906156665799E-3</v>
      </c>
    </row>
    <row r="9" spans="1:38">
      <c r="A9" s="20" t="s">
        <v>26</v>
      </c>
      <c r="B9" s="20">
        <v>1182</v>
      </c>
      <c r="C9" s="20" t="s">
        <v>3148</v>
      </c>
      <c r="D9" s="20" t="s">
        <v>3149</v>
      </c>
      <c r="E9" s="18" t="s">
        <v>1376</v>
      </c>
      <c r="F9" s="20" t="s">
        <v>3150</v>
      </c>
      <c r="G9" s="20" t="s">
        <v>3151</v>
      </c>
      <c r="H9" s="20" t="s">
        <v>367</v>
      </c>
      <c r="I9" s="20" t="s">
        <v>219</v>
      </c>
      <c r="J9" s="18" t="s">
        <v>31</v>
      </c>
      <c r="K9" s="18" t="s">
        <v>31</v>
      </c>
      <c r="L9" s="20" t="s">
        <v>203</v>
      </c>
      <c r="M9" s="20" t="s">
        <v>494</v>
      </c>
      <c r="N9" s="20" t="s">
        <v>164</v>
      </c>
      <c r="O9" s="20"/>
      <c r="P9" s="20" t="s">
        <v>3152</v>
      </c>
      <c r="Q9" s="20" t="s">
        <v>476</v>
      </c>
      <c r="R9" s="20" t="s">
        <v>452</v>
      </c>
      <c r="S9" s="18" t="s">
        <v>35</v>
      </c>
      <c r="T9" s="153">
        <v>0.01</v>
      </c>
      <c r="U9" s="20" t="s">
        <v>3153</v>
      </c>
      <c r="V9" s="168">
        <v>0</v>
      </c>
      <c r="W9" s="164">
        <v>5.5E-2</v>
      </c>
      <c r="X9" s="18" t="s">
        <v>458</v>
      </c>
      <c r="Y9" s="18" t="s">
        <v>164</v>
      </c>
      <c r="Z9" s="20" t="s">
        <v>203</v>
      </c>
      <c r="AA9" s="20"/>
      <c r="AB9" s="2" t="s">
        <v>3154</v>
      </c>
      <c r="AC9" s="20"/>
      <c r="AD9" s="153">
        <v>1285.8</v>
      </c>
      <c r="AE9" s="153">
        <v>1</v>
      </c>
      <c r="AF9" s="153">
        <v>0.01</v>
      </c>
      <c r="AG9" s="153">
        <v>0</v>
      </c>
      <c r="AH9" s="20"/>
      <c r="AI9" s="20"/>
      <c r="AJ9" s="20" t="s">
        <v>37</v>
      </c>
      <c r="AK9" s="164">
        <v>1.8535710586888901E-7</v>
      </c>
      <c r="AL9" s="164">
        <v>3.25352373909266E-10</v>
      </c>
    </row>
    <row r="10" spans="1:38">
      <c r="A10" s="20" t="s">
        <v>112</v>
      </c>
      <c r="B10" s="20">
        <v>12905</v>
      </c>
      <c r="C10" s="20" t="s">
        <v>3143</v>
      </c>
      <c r="D10" s="20" t="s">
        <v>1540</v>
      </c>
      <c r="E10" s="18" t="s">
        <v>1376</v>
      </c>
      <c r="F10" s="20" t="s">
        <v>3144</v>
      </c>
      <c r="G10" s="20" t="s">
        <v>3145</v>
      </c>
      <c r="H10" s="20" t="s">
        <v>367</v>
      </c>
      <c r="I10" s="20" t="s">
        <v>1010</v>
      </c>
      <c r="J10" s="18" t="s">
        <v>31</v>
      </c>
      <c r="K10" s="18" t="s">
        <v>31</v>
      </c>
      <c r="L10" s="20" t="s">
        <v>203</v>
      </c>
      <c r="M10" s="20" t="s">
        <v>522</v>
      </c>
      <c r="N10" s="20" t="s">
        <v>164</v>
      </c>
      <c r="O10" s="20" t="s">
        <v>3146</v>
      </c>
      <c r="P10" s="20" t="s">
        <v>1523</v>
      </c>
      <c r="Q10" s="20" t="s">
        <v>203</v>
      </c>
      <c r="R10" s="20" t="s">
        <v>454</v>
      </c>
      <c r="S10" s="18" t="s">
        <v>35</v>
      </c>
      <c r="T10" s="153">
        <v>2.2599999999999998</v>
      </c>
      <c r="U10" s="20" t="s">
        <v>3147</v>
      </c>
      <c r="V10" s="168">
        <v>8.7999999999999995E-2</v>
      </c>
      <c r="W10" s="164">
        <v>0</v>
      </c>
      <c r="X10" s="18" t="s">
        <v>458</v>
      </c>
      <c r="Y10" s="18" t="s">
        <v>164</v>
      </c>
      <c r="Z10" s="20" t="s">
        <v>937</v>
      </c>
      <c r="AA10" s="20"/>
      <c r="AB10" s="2" t="s">
        <v>1374</v>
      </c>
      <c r="AC10" s="20"/>
      <c r="AD10" s="153">
        <v>25000</v>
      </c>
      <c r="AE10" s="153">
        <v>1</v>
      </c>
      <c r="AF10" s="153">
        <v>101.25</v>
      </c>
      <c r="AG10" s="153">
        <v>25.312999999999999</v>
      </c>
      <c r="AH10" s="20"/>
      <c r="AI10" s="20"/>
      <c r="AJ10" s="20" t="s">
        <v>37</v>
      </c>
      <c r="AK10" s="164">
        <v>1</v>
      </c>
      <c r="AL10" s="164">
        <v>8.1355869755759202E-4</v>
      </c>
    </row>
    <row r="11" spans="1:38">
      <c r="A11" s="20" t="s">
        <v>128</v>
      </c>
      <c r="B11" s="20">
        <v>7228</v>
      </c>
      <c r="C11" s="20" t="s">
        <v>3107</v>
      </c>
      <c r="D11" s="20" t="s">
        <v>3108</v>
      </c>
      <c r="E11" s="18" t="s">
        <v>1376</v>
      </c>
      <c r="F11" s="20" t="s">
        <v>3109</v>
      </c>
      <c r="G11" s="20" t="s">
        <v>3110</v>
      </c>
      <c r="H11" s="20" t="s">
        <v>367</v>
      </c>
      <c r="I11" s="20" t="s">
        <v>219</v>
      </c>
      <c r="J11" s="18" t="s">
        <v>31</v>
      </c>
      <c r="K11" s="18" t="s">
        <v>31</v>
      </c>
      <c r="L11" s="20" t="s">
        <v>203</v>
      </c>
      <c r="M11" s="20" t="s">
        <v>490</v>
      </c>
      <c r="N11" s="20" t="s">
        <v>164</v>
      </c>
      <c r="O11" s="20" t="s">
        <v>3135</v>
      </c>
      <c r="P11" s="20" t="s">
        <v>1523</v>
      </c>
      <c r="Q11" s="20" t="s">
        <v>203</v>
      </c>
      <c r="R11" s="20" t="s">
        <v>454</v>
      </c>
      <c r="S11" s="18" t="s">
        <v>35</v>
      </c>
      <c r="T11" s="153">
        <v>0.01</v>
      </c>
      <c r="U11" s="20" t="s">
        <v>3111</v>
      </c>
      <c r="V11" s="168">
        <v>0</v>
      </c>
      <c r="W11" s="164">
        <v>5.1499999999999997E-2</v>
      </c>
      <c r="X11" s="18" t="s">
        <v>458</v>
      </c>
      <c r="Y11" s="18" t="s">
        <v>164</v>
      </c>
      <c r="Z11" s="20" t="s">
        <v>203</v>
      </c>
      <c r="AA11" s="20"/>
      <c r="AB11" s="2" t="s">
        <v>3112</v>
      </c>
      <c r="AC11" s="20"/>
      <c r="AD11" s="153">
        <v>70023.45</v>
      </c>
      <c r="AE11" s="153">
        <v>1</v>
      </c>
      <c r="AF11" s="153">
        <v>0</v>
      </c>
      <c r="AG11" s="153">
        <v>0</v>
      </c>
      <c r="AH11" s="20"/>
      <c r="AI11" s="20"/>
      <c r="AJ11" s="20" t="s">
        <v>37</v>
      </c>
      <c r="AK11" s="164">
        <v>1.03596683644508E-8</v>
      </c>
      <c r="AL11" s="164">
        <v>2.9920602574690196E-11</v>
      </c>
    </row>
    <row r="12" spans="1:38">
      <c r="A12" s="20" t="s">
        <v>128</v>
      </c>
      <c r="B12" s="20">
        <v>7228</v>
      </c>
      <c r="C12" s="20" t="s">
        <v>3155</v>
      </c>
      <c r="D12" s="20" t="s">
        <v>3156</v>
      </c>
      <c r="E12" s="18" t="s">
        <v>1376</v>
      </c>
      <c r="F12" s="20" t="s">
        <v>3157</v>
      </c>
      <c r="G12" s="20" t="s">
        <v>3158</v>
      </c>
      <c r="H12" s="20" t="s">
        <v>367</v>
      </c>
      <c r="I12" s="20" t="s">
        <v>1012</v>
      </c>
      <c r="J12" s="18" t="s">
        <v>31</v>
      </c>
      <c r="K12" s="18" t="s">
        <v>31</v>
      </c>
      <c r="L12" s="20" t="s">
        <v>203</v>
      </c>
      <c r="M12" s="20" t="s">
        <v>494</v>
      </c>
      <c r="N12" s="20" t="s">
        <v>164</v>
      </c>
      <c r="O12" s="20" t="s">
        <v>3159</v>
      </c>
      <c r="P12" s="20" t="s">
        <v>1523</v>
      </c>
      <c r="Q12" s="20" t="s">
        <v>203</v>
      </c>
      <c r="R12" s="20" t="s">
        <v>454</v>
      </c>
      <c r="S12" s="18" t="s">
        <v>35</v>
      </c>
      <c r="T12" s="153">
        <v>0.01</v>
      </c>
      <c r="U12" s="20" t="s">
        <v>3160</v>
      </c>
      <c r="V12" s="168">
        <v>6.7999999999999996E-3</v>
      </c>
      <c r="W12" s="164">
        <v>7.9000000000000001E-2</v>
      </c>
      <c r="X12" s="18" t="s">
        <v>457</v>
      </c>
      <c r="Y12" s="18" t="s">
        <v>386</v>
      </c>
      <c r="Z12" s="20" t="s">
        <v>935</v>
      </c>
      <c r="AA12" s="20"/>
      <c r="AB12" s="2" t="s">
        <v>3161</v>
      </c>
      <c r="AC12" s="20"/>
      <c r="AD12" s="153">
        <v>10168.469999999999</v>
      </c>
      <c r="AE12" s="153">
        <v>1</v>
      </c>
      <c r="AF12" s="153">
        <v>0</v>
      </c>
      <c r="AG12" s="153">
        <v>0</v>
      </c>
      <c r="AH12" s="20"/>
      <c r="AI12" s="20"/>
      <c r="AJ12" s="20" t="s">
        <v>37</v>
      </c>
      <c r="AK12" s="164">
        <v>1.5043814175660701E-9</v>
      </c>
      <c r="AL12" s="164">
        <v>4.3449265876311394E-12</v>
      </c>
    </row>
    <row r="13" spans="1:38">
      <c r="A13" s="20" t="s">
        <v>128</v>
      </c>
      <c r="B13" s="20">
        <v>7228</v>
      </c>
      <c r="C13" s="20" t="s">
        <v>3119</v>
      </c>
      <c r="D13" s="20" t="s">
        <v>3120</v>
      </c>
      <c r="E13" s="18" t="s">
        <v>1376</v>
      </c>
      <c r="F13" s="20" t="s">
        <v>3121</v>
      </c>
      <c r="G13" s="20" t="s">
        <v>3122</v>
      </c>
      <c r="H13" s="20" t="s">
        <v>367</v>
      </c>
      <c r="I13" s="20" t="s">
        <v>1012</v>
      </c>
      <c r="J13" s="18" t="s">
        <v>31</v>
      </c>
      <c r="K13" s="18" t="s">
        <v>31</v>
      </c>
      <c r="L13" s="20" t="s">
        <v>203</v>
      </c>
      <c r="M13" s="20" t="s">
        <v>490</v>
      </c>
      <c r="N13" s="20" t="s">
        <v>164</v>
      </c>
      <c r="O13" s="20" t="s">
        <v>2686</v>
      </c>
      <c r="P13" s="20" t="s">
        <v>1523</v>
      </c>
      <c r="Q13" s="20" t="s">
        <v>203</v>
      </c>
      <c r="R13" s="20" t="s">
        <v>452</v>
      </c>
      <c r="S13" s="18" t="s">
        <v>35</v>
      </c>
      <c r="T13" s="153">
        <v>2.92</v>
      </c>
      <c r="U13" s="20" t="s">
        <v>3123</v>
      </c>
      <c r="V13" s="168">
        <v>1E-4</v>
      </c>
      <c r="W13" s="164">
        <v>6.5000000000000002E-2</v>
      </c>
      <c r="X13" s="18" t="s">
        <v>457</v>
      </c>
      <c r="Y13" s="18" t="s">
        <v>386</v>
      </c>
      <c r="Z13" s="20" t="s">
        <v>935</v>
      </c>
      <c r="AA13" s="20"/>
      <c r="AB13" s="2" t="s">
        <v>3124</v>
      </c>
      <c r="AC13" s="20"/>
      <c r="AD13" s="153">
        <v>363.29</v>
      </c>
      <c r="AE13" s="153">
        <v>1</v>
      </c>
      <c r="AF13" s="153">
        <v>73</v>
      </c>
      <c r="AG13" s="153">
        <v>0.26500000000000001</v>
      </c>
      <c r="AH13" s="20"/>
      <c r="AI13" s="20"/>
      <c r="AJ13" s="20" t="s">
        <v>37</v>
      </c>
      <c r="AK13" s="164">
        <v>3.9235451290797199E-5</v>
      </c>
      <c r="AL13" s="164">
        <v>1.13319104783215E-7</v>
      </c>
    </row>
    <row r="14" spans="1:38">
      <c r="A14" s="20" t="s">
        <v>128</v>
      </c>
      <c r="B14" s="20">
        <v>7228</v>
      </c>
      <c r="C14" s="20" t="s">
        <v>3125</v>
      </c>
      <c r="D14" s="20" t="s">
        <v>3126</v>
      </c>
      <c r="E14" s="18" t="s">
        <v>1376</v>
      </c>
      <c r="F14" s="20" t="s">
        <v>3127</v>
      </c>
      <c r="G14" s="20" t="s">
        <v>3128</v>
      </c>
      <c r="H14" s="20" t="s">
        <v>367</v>
      </c>
      <c r="I14" s="20" t="s">
        <v>1010</v>
      </c>
      <c r="J14" s="18" t="s">
        <v>31</v>
      </c>
      <c r="K14" s="18" t="s">
        <v>31</v>
      </c>
      <c r="L14" s="20" t="s">
        <v>203</v>
      </c>
      <c r="M14" s="20" t="s">
        <v>507</v>
      </c>
      <c r="N14" s="20" t="s">
        <v>164</v>
      </c>
      <c r="O14" s="20" t="s">
        <v>3129</v>
      </c>
      <c r="P14" s="20" t="s">
        <v>2258</v>
      </c>
      <c r="Q14" s="20" t="s">
        <v>217</v>
      </c>
      <c r="R14" s="20" t="s">
        <v>452</v>
      </c>
      <c r="S14" s="18" t="s">
        <v>35</v>
      </c>
      <c r="T14" s="153">
        <v>0.5</v>
      </c>
      <c r="U14" s="20" t="s">
        <v>3130</v>
      </c>
      <c r="V14" s="168">
        <v>5.4890000000000001E-2</v>
      </c>
      <c r="W14" s="164">
        <v>3.5499999999999997E-2</v>
      </c>
      <c r="X14" s="18" t="s">
        <v>458</v>
      </c>
      <c r="Y14" s="18" t="s">
        <v>164</v>
      </c>
      <c r="Z14" s="20" t="s">
        <v>937</v>
      </c>
      <c r="AA14" s="20" t="s">
        <v>3131</v>
      </c>
      <c r="AB14" s="2" t="s">
        <v>1374</v>
      </c>
      <c r="AC14" s="20" t="s">
        <v>3132</v>
      </c>
      <c r="AD14" s="153">
        <v>2200000</v>
      </c>
      <c r="AE14" s="153">
        <v>1</v>
      </c>
      <c r="AF14" s="153">
        <v>99.07</v>
      </c>
      <c r="AG14" s="153">
        <v>2179.54</v>
      </c>
      <c r="AH14" s="20"/>
      <c r="AI14" s="20"/>
      <c r="AJ14" s="20" t="s">
        <v>37</v>
      </c>
      <c r="AK14" s="164">
        <v>0.32245357215411502</v>
      </c>
      <c r="AL14" s="164">
        <v>9.3130444352056596E-4</v>
      </c>
    </row>
    <row r="15" spans="1:38">
      <c r="A15" s="20" t="s">
        <v>128</v>
      </c>
      <c r="B15" s="20">
        <v>7228</v>
      </c>
      <c r="C15" s="20" t="s">
        <v>3162</v>
      </c>
      <c r="D15" s="20" t="s">
        <v>3163</v>
      </c>
      <c r="E15" s="18" t="s">
        <v>1376</v>
      </c>
      <c r="F15" s="20" t="s">
        <v>3164</v>
      </c>
      <c r="G15" s="20" t="s">
        <v>3165</v>
      </c>
      <c r="H15" s="20" t="s">
        <v>367</v>
      </c>
      <c r="I15" s="20" t="s">
        <v>1012</v>
      </c>
      <c r="J15" s="18" t="s">
        <v>31</v>
      </c>
      <c r="K15" s="18" t="s">
        <v>31</v>
      </c>
      <c r="L15" s="20" t="s">
        <v>203</v>
      </c>
      <c r="M15" s="20" t="s">
        <v>494</v>
      </c>
      <c r="N15" s="20" t="s">
        <v>164</v>
      </c>
      <c r="O15" s="20" t="s">
        <v>3166</v>
      </c>
      <c r="P15" s="20" t="s">
        <v>1523</v>
      </c>
      <c r="Q15" s="20" t="s">
        <v>203</v>
      </c>
      <c r="R15" s="20" t="s">
        <v>454</v>
      </c>
      <c r="S15" s="18" t="s">
        <v>35</v>
      </c>
      <c r="T15" s="153">
        <v>0.01</v>
      </c>
      <c r="U15" s="20" t="s">
        <v>3167</v>
      </c>
      <c r="V15" s="168">
        <v>8.9999999999999993E-3</v>
      </c>
      <c r="W15" s="164">
        <v>4.4999999999999998E-2</v>
      </c>
      <c r="X15" s="18" t="s">
        <v>458</v>
      </c>
      <c r="Y15" s="18" t="s">
        <v>164</v>
      </c>
      <c r="Z15" s="20" t="s">
        <v>203</v>
      </c>
      <c r="AA15" s="20"/>
      <c r="AB15" s="2" t="s">
        <v>3154</v>
      </c>
      <c r="AC15" s="20"/>
      <c r="AD15" s="153">
        <v>1792.17</v>
      </c>
      <c r="AE15" s="153">
        <v>1</v>
      </c>
      <c r="AF15" s="153">
        <v>0.82</v>
      </c>
      <c r="AG15" s="153">
        <v>1.4999999999999999E-2</v>
      </c>
      <c r="AH15" s="20"/>
      <c r="AI15" s="20"/>
      <c r="AJ15" s="20" t="s">
        <v>37</v>
      </c>
      <c r="AK15" s="164">
        <v>2.1741795383158899E-6</v>
      </c>
      <c r="AL15" s="164">
        <v>6.2794251324879902E-9</v>
      </c>
    </row>
    <row r="16" spans="1:38">
      <c r="A16" s="20" t="s">
        <v>128</v>
      </c>
      <c r="B16" s="20">
        <v>7228</v>
      </c>
      <c r="C16" s="20" t="s">
        <v>3168</v>
      </c>
      <c r="D16" s="20" t="s">
        <v>3169</v>
      </c>
      <c r="E16" s="18" t="s">
        <v>1376</v>
      </c>
      <c r="F16" s="20" t="s">
        <v>3170</v>
      </c>
      <c r="G16" s="20" t="s">
        <v>3171</v>
      </c>
      <c r="H16" s="20" t="s">
        <v>367</v>
      </c>
      <c r="I16" s="20" t="s">
        <v>219</v>
      </c>
      <c r="J16" s="18" t="s">
        <v>31</v>
      </c>
      <c r="K16" s="18" t="s">
        <v>31</v>
      </c>
      <c r="L16" s="20" t="s">
        <v>203</v>
      </c>
      <c r="M16" s="20" t="s">
        <v>522</v>
      </c>
      <c r="N16" s="20" t="s">
        <v>164</v>
      </c>
      <c r="O16" s="20" t="s">
        <v>2686</v>
      </c>
      <c r="P16" s="20" t="s">
        <v>2247</v>
      </c>
      <c r="Q16" s="20" t="s">
        <v>217</v>
      </c>
      <c r="R16" s="20" t="s">
        <v>452</v>
      </c>
      <c r="S16" s="18" t="s">
        <v>35</v>
      </c>
      <c r="T16" s="153">
        <v>0.67</v>
      </c>
      <c r="U16" s="20" t="s">
        <v>3172</v>
      </c>
      <c r="V16" s="168">
        <v>2.2689999999999998E-2</v>
      </c>
      <c r="W16" s="164">
        <v>7.7499999999999999E-2</v>
      </c>
      <c r="X16" s="18" t="s">
        <v>458</v>
      </c>
      <c r="Y16" s="18" t="s">
        <v>164</v>
      </c>
      <c r="Z16" s="20" t="s">
        <v>937</v>
      </c>
      <c r="AA16" s="20" t="s">
        <v>3131</v>
      </c>
      <c r="AB16" s="2" t="s">
        <v>1374</v>
      </c>
      <c r="AC16" s="20"/>
      <c r="AD16" s="153">
        <v>246532.6</v>
      </c>
      <c r="AE16" s="153">
        <v>1</v>
      </c>
      <c r="AF16" s="153">
        <v>146.54</v>
      </c>
      <c r="AG16" s="153">
        <v>361.26900000000001</v>
      </c>
      <c r="AH16" s="20"/>
      <c r="AI16" s="20"/>
      <c r="AJ16" s="20" t="s">
        <v>37</v>
      </c>
      <c r="AK16" s="164">
        <v>5.3448176357114803E-2</v>
      </c>
      <c r="AL16" s="164">
        <v>1.5436803446438899E-4</v>
      </c>
    </row>
    <row r="17" spans="1:38">
      <c r="A17" s="20" t="s">
        <v>128</v>
      </c>
      <c r="B17" s="20">
        <v>7228</v>
      </c>
      <c r="C17" s="20" t="s">
        <v>3173</v>
      </c>
      <c r="D17" s="20" t="s">
        <v>3174</v>
      </c>
      <c r="E17" s="18" t="s">
        <v>1376</v>
      </c>
      <c r="F17" s="20" t="s">
        <v>3175</v>
      </c>
      <c r="G17" s="20" t="s">
        <v>3176</v>
      </c>
      <c r="H17" s="20" t="s">
        <v>367</v>
      </c>
      <c r="I17" s="20" t="s">
        <v>219</v>
      </c>
      <c r="J17" s="18" t="s">
        <v>31</v>
      </c>
      <c r="K17" s="18" t="s">
        <v>31</v>
      </c>
      <c r="L17" s="20" t="s">
        <v>203</v>
      </c>
      <c r="M17" s="20" t="s">
        <v>494</v>
      </c>
      <c r="N17" s="20" t="s">
        <v>164</v>
      </c>
      <c r="O17" s="20" t="s">
        <v>3141</v>
      </c>
      <c r="P17" s="20" t="s">
        <v>1523</v>
      </c>
      <c r="Q17" s="20" t="s">
        <v>203</v>
      </c>
      <c r="R17" s="20" t="s">
        <v>452</v>
      </c>
      <c r="S17" s="18" t="s">
        <v>35</v>
      </c>
      <c r="T17" s="153">
        <v>0.01</v>
      </c>
      <c r="U17" s="20" t="s">
        <v>3177</v>
      </c>
      <c r="V17" s="168">
        <v>1E-4</v>
      </c>
      <c r="W17" s="164">
        <v>0.08</v>
      </c>
      <c r="X17" s="18" t="s">
        <v>458</v>
      </c>
      <c r="Y17" s="18" t="s">
        <v>386</v>
      </c>
      <c r="Z17" s="20" t="s">
        <v>935</v>
      </c>
      <c r="AA17" s="20"/>
      <c r="AB17" s="2" t="s">
        <v>3178</v>
      </c>
      <c r="AC17" s="20"/>
      <c r="AD17" s="153">
        <v>0.01</v>
      </c>
      <c r="AE17" s="153">
        <v>1</v>
      </c>
      <c r="AF17" s="153">
        <v>352.5</v>
      </c>
      <c r="AG17" s="153">
        <v>0</v>
      </c>
      <c r="AH17" s="20"/>
      <c r="AI17" s="20"/>
      <c r="AJ17" s="20" t="s">
        <v>37</v>
      </c>
      <c r="AK17" s="164">
        <v>5.2150859440214702E-9</v>
      </c>
      <c r="AL17" s="164">
        <v>1.5062114773805497E-11</v>
      </c>
    </row>
    <row r="18" spans="1:38">
      <c r="A18" s="20" t="s">
        <v>128</v>
      </c>
      <c r="B18" s="20">
        <v>7228</v>
      </c>
      <c r="C18" s="20" t="s">
        <v>3137</v>
      </c>
      <c r="D18" s="20" t="s">
        <v>3138</v>
      </c>
      <c r="E18" s="18" t="s">
        <v>1376</v>
      </c>
      <c r="F18" s="20" t="s">
        <v>3139</v>
      </c>
      <c r="G18" s="20" t="s">
        <v>3140</v>
      </c>
      <c r="H18" s="20" t="s">
        <v>367</v>
      </c>
      <c r="I18" s="20" t="s">
        <v>1012</v>
      </c>
      <c r="J18" s="18" t="s">
        <v>31</v>
      </c>
      <c r="K18" s="18" t="s">
        <v>31</v>
      </c>
      <c r="L18" s="20" t="s">
        <v>203</v>
      </c>
      <c r="M18" s="20" t="s">
        <v>490</v>
      </c>
      <c r="N18" s="20" t="s">
        <v>164</v>
      </c>
      <c r="O18" s="20" t="s">
        <v>3141</v>
      </c>
      <c r="P18" s="20" t="s">
        <v>1523</v>
      </c>
      <c r="Q18" s="20" t="s">
        <v>203</v>
      </c>
      <c r="R18" s="20" t="s">
        <v>452</v>
      </c>
      <c r="S18" s="18" t="s">
        <v>35</v>
      </c>
      <c r="T18" s="153">
        <v>0.01</v>
      </c>
      <c r="U18" s="20" t="s">
        <v>3142</v>
      </c>
      <c r="V18" s="168">
        <v>1E-4</v>
      </c>
      <c r="W18" s="164">
        <v>5.5E-2</v>
      </c>
      <c r="X18" s="18" t="s">
        <v>457</v>
      </c>
      <c r="Y18" s="18" t="s">
        <v>386</v>
      </c>
      <c r="Z18" s="20" t="s">
        <v>935</v>
      </c>
      <c r="AA18" s="20"/>
      <c r="AB18" s="2" t="s">
        <v>1543</v>
      </c>
      <c r="AC18" s="20"/>
      <c r="AD18" s="153">
        <v>22175.01</v>
      </c>
      <c r="AE18" s="153">
        <v>1</v>
      </c>
      <c r="AF18" s="153">
        <v>1</v>
      </c>
      <c r="AG18" s="153">
        <v>0.222</v>
      </c>
      <c r="AH18" s="20"/>
      <c r="AI18" s="20"/>
      <c r="AJ18" s="20" t="s">
        <v>37</v>
      </c>
      <c r="AK18" s="164">
        <v>3.280697388923E-5</v>
      </c>
      <c r="AL18" s="164">
        <v>9.4752495242633695E-8</v>
      </c>
    </row>
    <row r="19" spans="1:38">
      <c r="A19" s="20" t="s">
        <v>128</v>
      </c>
      <c r="B19" s="20">
        <v>7228</v>
      </c>
      <c r="C19" s="20" t="s">
        <v>3179</v>
      </c>
      <c r="D19" s="20" t="s">
        <v>3180</v>
      </c>
      <c r="E19" s="18" t="s">
        <v>1376</v>
      </c>
      <c r="F19" s="20" t="s">
        <v>3181</v>
      </c>
      <c r="G19" s="20" t="s">
        <v>3182</v>
      </c>
      <c r="H19" s="20" t="s">
        <v>367</v>
      </c>
      <c r="I19" s="20" t="s">
        <v>219</v>
      </c>
      <c r="J19" s="18" t="s">
        <v>31</v>
      </c>
      <c r="K19" s="18" t="s">
        <v>31</v>
      </c>
      <c r="L19" s="20" t="s">
        <v>203</v>
      </c>
      <c r="M19" s="20" t="s">
        <v>490</v>
      </c>
      <c r="N19" s="20" t="s">
        <v>164</v>
      </c>
      <c r="O19" s="20" t="s">
        <v>3141</v>
      </c>
      <c r="P19" s="20" t="s">
        <v>1523</v>
      </c>
      <c r="Q19" s="20" t="s">
        <v>203</v>
      </c>
      <c r="R19" s="20" t="s">
        <v>454</v>
      </c>
      <c r="S19" s="18" t="s">
        <v>35</v>
      </c>
      <c r="T19" s="153">
        <v>0.01</v>
      </c>
      <c r="U19" s="20" t="s">
        <v>3183</v>
      </c>
      <c r="V19" s="168">
        <v>1E-4</v>
      </c>
      <c r="W19" s="164">
        <v>5.7500000000000002E-2</v>
      </c>
      <c r="X19" s="18" t="s">
        <v>457</v>
      </c>
      <c r="Y19" s="18" t="s">
        <v>386</v>
      </c>
      <c r="Z19" s="20" t="s">
        <v>935</v>
      </c>
      <c r="AA19" s="20"/>
      <c r="AB19" s="2" t="s">
        <v>3184</v>
      </c>
      <c r="AC19" s="20"/>
      <c r="AD19" s="153">
        <v>683.67</v>
      </c>
      <c r="AE19" s="153">
        <v>1</v>
      </c>
      <c r="AF19" s="153">
        <v>43.1</v>
      </c>
      <c r="AG19" s="153">
        <v>0.29499999999999998</v>
      </c>
      <c r="AH19" s="20"/>
      <c r="AI19" s="20"/>
      <c r="AJ19" s="20" t="s">
        <v>37</v>
      </c>
      <c r="AK19" s="164">
        <v>4.3593941984893301E-5</v>
      </c>
      <c r="AL19" s="164">
        <v>1.25907216998374E-7</v>
      </c>
    </row>
    <row r="20" spans="1:38">
      <c r="A20" s="2" t="s">
        <v>128</v>
      </c>
      <c r="B20" s="2">
        <v>7228</v>
      </c>
      <c r="C20" s="2" t="s">
        <v>3179</v>
      </c>
      <c r="D20" s="2" t="s">
        <v>3180</v>
      </c>
      <c r="E20" s="18" t="s">
        <v>1376</v>
      </c>
      <c r="F20" s="2" t="s">
        <v>3185</v>
      </c>
      <c r="G20" s="2" t="s">
        <v>3186</v>
      </c>
      <c r="H20" s="20" t="s">
        <v>367</v>
      </c>
      <c r="I20" s="20" t="s">
        <v>1012</v>
      </c>
      <c r="J20" s="18" t="s">
        <v>31</v>
      </c>
      <c r="K20" s="18" t="s">
        <v>31</v>
      </c>
      <c r="L20" s="20" t="s">
        <v>203</v>
      </c>
      <c r="M20" s="20" t="s">
        <v>490</v>
      </c>
      <c r="N20" s="20" t="s">
        <v>164</v>
      </c>
      <c r="O20" s="2" t="s">
        <v>3141</v>
      </c>
      <c r="P20" s="2" t="s">
        <v>1523</v>
      </c>
      <c r="Q20" s="20" t="s">
        <v>203</v>
      </c>
      <c r="R20" s="20" t="s">
        <v>454</v>
      </c>
      <c r="S20" s="2" t="s">
        <v>35</v>
      </c>
      <c r="T20" s="150">
        <v>0.01</v>
      </c>
      <c r="U20" s="2" t="s">
        <v>3187</v>
      </c>
      <c r="V20" s="164">
        <v>1E-4</v>
      </c>
      <c r="W20" s="164">
        <v>7.4999999999999997E-2</v>
      </c>
      <c r="X20" s="18" t="s">
        <v>457</v>
      </c>
      <c r="Y20" s="18" t="s">
        <v>386</v>
      </c>
      <c r="Z20" s="2" t="s">
        <v>935</v>
      </c>
      <c r="AA20" s="20"/>
      <c r="AB20" s="2" t="s">
        <v>3184</v>
      </c>
      <c r="AD20" s="150">
        <v>6593.35</v>
      </c>
      <c r="AE20" s="150">
        <v>1</v>
      </c>
      <c r="AF20" s="150">
        <v>31.9</v>
      </c>
      <c r="AG20" s="150">
        <v>2.1030000000000002</v>
      </c>
      <c r="AJ20" s="20" t="s">
        <v>37</v>
      </c>
      <c r="AK20" s="164">
        <v>3.1117103330426799E-4</v>
      </c>
      <c r="AL20" s="164">
        <v>8.9871842347786104E-7</v>
      </c>
    </row>
    <row r="21" spans="1:38">
      <c r="A21" s="2" t="s">
        <v>128</v>
      </c>
      <c r="B21" s="2">
        <v>7228</v>
      </c>
      <c r="C21" s="2" t="s">
        <v>3179</v>
      </c>
      <c r="D21" s="2" t="s">
        <v>3180</v>
      </c>
      <c r="E21" s="4" t="s">
        <v>1376</v>
      </c>
      <c r="F21" s="2" t="s">
        <v>3188</v>
      </c>
      <c r="G21" s="2" t="s">
        <v>3189</v>
      </c>
      <c r="H21" s="2" t="s">
        <v>367</v>
      </c>
      <c r="I21" s="2" t="s">
        <v>219</v>
      </c>
      <c r="J21" s="2" t="s">
        <v>31</v>
      </c>
      <c r="K21" s="2" t="s">
        <v>31</v>
      </c>
      <c r="L21" s="2" t="s">
        <v>203</v>
      </c>
      <c r="M21" s="2" t="s">
        <v>490</v>
      </c>
      <c r="N21" s="2" t="s">
        <v>164</v>
      </c>
      <c r="O21" s="2" t="s">
        <v>3141</v>
      </c>
      <c r="P21" s="2" t="s">
        <v>1523</v>
      </c>
      <c r="Q21" s="2" t="s">
        <v>203</v>
      </c>
      <c r="R21" s="2" t="s">
        <v>454</v>
      </c>
      <c r="S21" s="2" t="s">
        <v>35</v>
      </c>
      <c r="T21" s="150">
        <v>0.01</v>
      </c>
      <c r="U21" s="2" t="s">
        <v>3190</v>
      </c>
      <c r="V21" s="164">
        <v>1E-4</v>
      </c>
      <c r="W21" s="164">
        <v>7.4999999999999997E-2</v>
      </c>
      <c r="X21" s="4" t="s">
        <v>457</v>
      </c>
      <c r="Y21" s="4" t="s">
        <v>386</v>
      </c>
      <c r="Z21" s="2" t="s">
        <v>935</v>
      </c>
      <c r="AB21" s="2" t="s">
        <v>3184</v>
      </c>
      <c r="AD21" s="150">
        <v>6692.34</v>
      </c>
      <c r="AE21" s="150">
        <v>1</v>
      </c>
      <c r="AF21" s="150">
        <v>33.6</v>
      </c>
      <c r="AG21" s="150">
        <v>2.2490000000000001</v>
      </c>
      <c r="AJ21" s="2" t="s">
        <v>37</v>
      </c>
      <c r="AK21" s="164">
        <v>3.32674584328563E-4</v>
      </c>
      <c r="AL21" s="164">
        <v>9.6082458185164895E-7</v>
      </c>
    </row>
    <row r="22" spans="1:38">
      <c r="A22" s="2" t="s">
        <v>128</v>
      </c>
      <c r="B22" s="2">
        <v>7228</v>
      </c>
      <c r="C22" s="2" t="s">
        <v>3191</v>
      </c>
      <c r="D22" s="2" t="s">
        <v>3192</v>
      </c>
      <c r="E22" s="4" t="s">
        <v>1376</v>
      </c>
      <c r="F22" s="2" t="s">
        <v>3193</v>
      </c>
      <c r="G22" s="2" t="s">
        <v>3194</v>
      </c>
      <c r="H22" s="2" t="s">
        <v>34</v>
      </c>
      <c r="I22" s="2" t="s">
        <v>219</v>
      </c>
      <c r="J22" s="2" t="s">
        <v>31</v>
      </c>
      <c r="K22" s="2" t="s">
        <v>31</v>
      </c>
      <c r="L22" s="2" t="s">
        <v>203</v>
      </c>
      <c r="M22" s="2" t="s">
        <v>490</v>
      </c>
      <c r="N22" s="2" t="s">
        <v>164</v>
      </c>
      <c r="O22" s="2" t="s">
        <v>3195</v>
      </c>
      <c r="P22" s="2" t="s">
        <v>1523</v>
      </c>
      <c r="Q22" s="2" t="s">
        <v>203</v>
      </c>
      <c r="R22" s="2" t="s">
        <v>454</v>
      </c>
      <c r="S22" s="2" t="s">
        <v>35</v>
      </c>
      <c r="T22" s="150">
        <v>0.01</v>
      </c>
      <c r="U22" s="2" t="s">
        <v>3196</v>
      </c>
      <c r="V22" s="164">
        <v>0</v>
      </c>
      <c r="W22" s="164">
        <v>0.06</v>
      </c>
      <c r="X22" s="4" t="s">
        <v>458</v>
      </c>
      <c r="Y22" s="4" t="s">
        <v>164</v>
      </c>
      <c r="Z22" s="2" t="s">
        <v>203</v>
      </c>
      <c r="AB22" s="2" t="s">
        <v>3197</v>
      </c>
      <c r="AD22" s="150">
        <v>2301.19</v>
      </c>
      <c r="AE22" s="150">
        <v>1</v>
      </c>
      <c r="AF22" s="150">
        <v>0</v>
      </c>
      <c r="AG22" s="150">
        <v>0</v>
      </c>
      <c r="AJ22" s="2" t="s">
        <v>37</v>
      </c>
      <c r="AK22" s="164">
        <v>3.4045116662476002E-10</v>
      </c>
      <c r="AL22" s="164">
        <v>9.8328476301655001E-13</v>
      </c>
    </row>
    <row r="23" spans="1:38">
      <c r="A23" s="2" t="s">
        <v>128</v>
      </c>
      <c r="B23" s="2">
        <v>7228</v>
      </c>
      <c r="C23" s="2" t="s">
        <v>3191</v>
      </c>
      <c r="D23" s="2" t="s">
        <v>3192</v>
      </c>
      <c r="E23" s="4" t="s">
        <v>1376</v>
      </c>
      <c r="F23" s="2" t="s">
        <v>3198</v>
      </c>
      <c r="G23" s="2" t="s">
        <v>3199</v>
      </c>
      <c r="H23" s="2" t="s">
        <v>367</v>
      </c>
      <c r="I23" s="2" t="s">
        <v>219</v>
      </c>
      <c r="J23" s="2" t="s">
        <v>31</v>
      </c>
      <c r="K23" s="2" t="s">
        <v>31</v>
      </c>
      <c r="L23" s="2" t="s">
        <v>203</v>
      </c>
      <c r="M23" s="2" t="s">
        <v>490</v>
      </c>
      <c r="N23" s="2" t="s">
        <v>164</v>
      </c>
      <c r="O23" s="2" t="s">
        <v>3200</v>
      </c>
      <c r="P23" s="2" t="s">
        <v>1523</v>
      </c>
      <c r="Q23" s="2" t="s">
        <v>203</v>
      </c>
      <c r="R23" s="2" t="s">
        <v>454</v>
      </c>
      <c r="S23" s="2" t="s">
        <v>35</v>
      </c>
      <c r="T23" s="150">
        <v>0.01</v>
      </c>
      <c r="U23" s="2" t="s">
        <v>3196</v>
      </c>
      <c r="V23" s="164">
        <v>0</v>
      </c>
      <c r="W23" s="164">
        <v>0.06</v>
      </c>
      <c r="X23" s="4" t="s">
        <v>458</v>
      </c>
      <c r="Y23" s="4" t="s">
        <v>164</v>
      </c>
      <c r="Z23" s="2" t="s">
        <v>203</v>
      </c>
      <c r="AB23" s="2" t="s">
        <v>3197</v>
      </c>
      <c r="AD23" s="150">
        <v>13807.08</v>
      </c>
      <c r="AE23" s="150">
        <v>1</v>
      </c>
      <c r="AF23" s="150">
        <v>0</v>
      </c>
      <c r="AG23" s="150">
        <v>0</v>
      </c>
      <c r="AJ23" s="2" t="s">
        <v>37</v>
      </c>
      <c r="AK23" s="164">
        <v>2.0426981230065202E-9</v>
      </c>
      <c r="AL23" s="164">
        <v>5.8996829404571297E-12</v>
      </c>
    </row>
    <row r="24" spans="1:38">
      <c r="A24" s="2" t="s">
        <v>128</v>
      </c>
      <c r="B24" s="2">
        <v>7228</v>
      </c>
      <c r="C24" s="2" t="s">
        <v>3201</v>
      </c>
      <c r="D24" s="2" t="s">
        <v>3202</v>
      </c>
      <c r="E24" s="4" t="s">
        <v>1376</v>
      </c>
      <c r="F24" s="2" t="s">
        <v>3203</v>
      </c>
      <c r="G24" s="2" t="s">
        <v>3204</v>
      </c>
      <c r="H24" s="2" t="s">
        <v>367</v>
      </c>
      <c r="I24" s="2" t="s">
        <v>214</v>
      </c>
      <c r="J24" s="2" t="s">
        <v>31</v>
      </c>
      <c r="K24" s="2" t="s">
        <v>31</v>
      </c>
      <c r="L24" s="2" t="s">
        <v>203</v>
      </c>
      <c r="M24" s="2" t="s">
        <v>479</v>
      </c>
      <c r="N24" s="2" t="s">
        <v>164</v>
      </c>
      <c r="O24" s="2" t="s">
        <v>2686</v>
      </c>
      <c r="P24" s="2" t="s">
        <v>2451</v>
      </c>
      <c r="Q24" s="2" t="s">
        <v>98</v>
      </c>
      <c r="R24" s="2" t="s">
        <v>452</v>
      </c>
      <c r="S24" s="2" t="s">
        <v>99</v>
      </c>
      <c r="T24" s="150">
        <v>1.45</v>
      </c>
      <c r="U24" s="2" t="s">
        <v>3205</v>
      </c>
      <c r="V24" s="164">
        <v>6.4579999999999999E-2</v>
      </c>
      <c r="W24" s="164">
        <v>7.9699999999999993E-2</v>
      </c>
      <c r="X24" s="4" t="s">
        <v>458</v>
      </c>
      <c r="Y24" s="4" t="s">
        <v>164</v>
      </c>
      <c r="Z24" s="2" t="s">
        <v>937</v>
      </c>
      <c r="AA24" s="2" t="s">
        <v>3131</v>
      </c>
      <c r="AB24" s="2" t="s">
        <v>1374</v>
      </c>
      <c r="AD24" s="150">
        <v>72563.399999999994</v>
      </c>
      <c r="AE24" s="150">
        <v>3.7589999999999999</v>
      </c>
      <c r="AF24" s="150">
        <v>106.26</v>
      </c>
      <c r="AG24" s="150">
        <v>289.84100000000001</v>
      </c>
      <c r="AJ24" s="2" t="s">
        <v>37</v>
      </c>
      <c r="AK24" s="164">
        <v>4.2880724015717103E-2</v>
      </c>
      <c r="AL24" s="164">
        <v>1.23847314050314E-4</v>
      </c>
    </row>
    <row r="25" spans="1:38">
      <c r="A25" s="2" t="s">
        <v>128</v>
      </c>
      <c r="B25" s="2">
        <v>7228</v>
      </c>
      <c r="C25" s="2" t="s">
        <v>3206</v>
      </c>
      <c r="D25" s="2" t="s">
        <v>3207</v>
      </c>
      <c r="E25" s="4" t="s">
        <v>1376</v>
      </c>
      <c r="F25" s="2" t="s">
        <v>3208</v>
      </c>
      <c r="G25" s="2" t="s">
        <v>3209</v>
      </c>
      <c r="H25" s="2" t="s">
        <v>367</v>
      </c>
      <c r="I25" s="2" t="s">
        <v>219</v>
      </c>
      <c r="J25" s="2" t="s">
        <v>31</v>
      </c>
      <c r="K25" s="2" t="s">
        <v>31</v>
      </c>
      <c r="L25" s="2" t="s">
        <v>203</v>
      </c>
      <c r="M25" s="2" t="s">
        <v>507</v>
      </c>
      <c r="N25" s="2" t="s">
        <v>164</v>
      </c>
      <c r="O25" s="2" t="s">
        <v>3141</v>
      </c>
      <c r="P25" s="2" t="s">
        <v>1523</v>
      </c>
      <c r="Q25" s="2" t="s">
        <v>203</v>
      </c>
      <c r="R25" s="2" t="s">
        <v>452</v>
      </c>
      <c r="S25" s="2" t="s">
        <v>35</v>
      </c>
      <c r="T25" s="150">
        <v>7.36</v>
      </c>
      <c r="U25" s="2" t="s">
        <v>3210</v>
      </c>
      <c r="V25" s="164">
        <v>1E-4</v>
      </c>
      <c r="W25" s="164">
        <v>7.0000000000000007E-2</v>
      </c>
      <c r="X25" s="4" t="s">
        <v>457</v>
      </c>
      <c r="Y25" s="4" t="s">
        <v>386</v>
      </c>
      <c r="Z25" s="2" t="s">
        <v>935</v>
      </c>
      <c r="AB25" s="2" t="s">
        <v>1543</v>
      </c>
      <c r="AD25" s="150">
        <v>120350</v>
      </c>
      <c r="AE25" s="150">
        <v>1</v>
      </c>
      <c r="AF25" s="150">
        <v>0</v>
      </c>
      <c r="AG25" s="150">
        <v>0</v>
      </c>
      <c r="AJ25" s="2" t="s">
        <v>37</v>
      </c>
      <c r="AK25" s="164">
        <v>1.78052650599428E-10</v>
      </c>
      <c r="AL25" s="164">
        <v>5.1424837249006697E-13</v>
      </c>
    </row>
    <row r="26" spans="1:38">
      <c r="A26" s="2" t="s">
        <v>128</v>
      </c>
      <c r="B26" s="2">
        <v>7228</v>
      </c>
      <c r="C26" s="2" t="s">
        <v>3143</v>
      </c>
      <c r="D26" s="2" t="s">
        <v>1540</v>
      </c>
      <c r="E26" s="4" t="s">
        <v>1376</v>
      </c>
      <c r="F26" s="2" t="s">
        <v>3144</v>
      </c>
      <c r="G26" s="2" t="s">
        <v>3145</v>
      </c>
      <c r="H26" s="2" t="s">
        <v>367</v>
      </c>
      <c r="I26" s="2" t="s">
        <v>1010</v>
      </c>
      <c r="J26" s="2" t="s">
        <v>31</v>
      </c>
      <c r="K26" s="2" t="s">
        <v>31</v>
      </c>
      <c r="L26" s="4" t="s">
        <v>203</v>
      </c>
      <c r="M26" s="2" t="s">
        <v>522</v>
      </c>
      <c r="N26" s="2" t="s">
        <v>164</v>
      </c>
      <c r="O26" s="2" t="s">
        <v>3146</v>
      </c>
      <c r="P26" s="2" t="s">
        <v>1523</v>
      </c>
      <c r="Q26" s="2" t="s">
        <v>203</v>
      </c>
      <c r="R26" s="2" t="s">
        <v>454</v>
      </c>
      <c r="S26" s="2" t="s">
        <v>35</v>
      </c>
      <c r="T26" s="150">
        <v>2.2599999999999998</v>
      </c>
      <c r="U26" s="2" t="s">
        <v>3147</v>
      </c>
      <c r="V26" s="164">
        <v>8.7999999999999995E-2</v>
      </c>
      <c r="W26" s="164">
        <v>0</v>
      </c>
      <c r="X26" s="4" t="s">
        <v>458</v>
      </c>
      <c r="Y26" s="4" t="s">
        <v>164</v>
      </c>
      <c r="Z26" s="2" t="s">
        <v>937</v>
      </c>
      <c r="AB26" s="2" t="s">
        <v>1374</v>
      </c>
      <c r="AD26" s="150">
        <v>3875000</v>
      </c>
      <c r="AE26" s="150">
        <v>1</v>
      </c>
      <c r="AF26" s="150">
        <v>101.25</v>
      </c>
      <c r="AG26" s="150">
        <v>3923.4380000000001</v>
      </c>
      <c r="AJ26" s="2" t="s">
        <v>37</v>
      </c>
      <c r="AK26" s="164">
        <v>0.58045570946090097</v>
      </c>
      <c r="AL26" s="164">
        <v>1.67646144490361E-3</v>
      </c>
    </row>
    <row r="27" spans="1:38">
      <c r="A27" s="2" t="s">
        <v>128</v>
      </c>
      <c r="B27" s="2">
        <v>7228</v>
      </c>
      <c r="C27" s="2" t="s">
        <v>3148</v>
      </c>
      <c r="D27" s="2" t="s">
        <v>3149</v>
      </c>
      <c r="E27" s="4" t="s">
        <v>1376</v>
      </c>
      <c r="F27" s="2" t="s">
        <v>3150</v>
      </c>
      <c r="G27" s="2" t="s">
        <v>3151</v>
      </c>
      <c r="H27" s="2" t="s">
        <v>367</v>
      </c>
      <c r="I27" s="2" t="s">
        <v>219</v>
      </c>
      <c r="J27" s="2" t="s">
        <v>31</v>
      </c>
      <c r="K27" s="2" t="s">
        <v>31</v>
      </c>
      <c r="L27" s="4" t="s">
        <v>203</v>
      </c>
      <c r="M27" s="2" t="s">
        <v>494</v>
      </c>
      <c r="N27" s="2" t="s">
        <v>164</v>
      </c>
      <c r="O27" s="2" t="s">
        <v>3211</v>
      </c>
      <c r="P27" s="2" t="s">
        <v>3152</v>
      </c>
      <c r="Q27" s="2" t="s">
        <v>476</v>
      </c>
      <c r="R27" s="2" t="s">
        <v>452</v>
      </c>
      <c r="S27" s="2" t="s">
        <v>35</v>
      </c>
      <c r="T27" s="150">
        <v>0.01</v>
      </c>
      <c r="U27" s="2" t="s">
        <v>3153</v>
      </c>
      <c r="V27" s="164">
        <v>0</v>
      </c>
      <c r="W27" s="164">
        <v>5.5E-2</v>
      </c>
      <c r="X27" s="4" t="s">
        <v>458</v>
      </c>
      <c r="Y27" s="4" t="s">
        <v>164</v>
      </c>
      <c r="Z27" s="2" t="s">
        <v>203</v>
      </c>
      <c r="AB27" s="2" t="s">
        <v>3154</v>
      </c>
      <c r="AD27" s="150">
        <v>9612.14</v>
      </c>
      <c r="AE27" s="150">
        <v>1</v>
      </c>
      <c r="AF27" s="150">
        <v>0.01</v>
      </c>
      <c r="AG27" s="150">
        <v>1E-3</v>
      </c>
      <c r="AJ27" s="2" t="s">
        <v>37</v>
      </c>
      <c r="AK27" s="164">
        <v>1.42207478598487E-7</v>
      </c>
      <c r="AL27" s="164">
        <v>4.1072100965074202E-10</v>
      </c>
    </row>
    <row r="28" spans="1:38">
      <c r="A28" s="2" t="s">
        <v>128</v>
      </c>
      <c r="B28" s="2">
        <v>7229</v>
      </c>
      <c r="C28" s="2" t="s">
        <v>3212</v>
      </c>
      <c r="D28" s="2" t="s">
        <v>3213</v>
      </c>
      <c r="E28" s="4" t="s">
        <v>360</v>
      </c>
      <c r="F28" s="2" t="s">
        <v>3214</v>
      </c>
      <c r="G28" s="2" t="s">
        <v>3215</v>
      </c>
      <c r="H28" s="2" t="s">
        <v>34</v>
      </c>
      <c r="I28" s="2" t="s">
        <v>219</v>
      </c>
      <c r="J28" s="2" t="s">
        <v>31</v>
      </c>
      <c r="K28" s="2" t="s">
        <v>31</v>
      </c>
      <c r="L28" s="4" t="s">
        <v>203</v>
      </c>
      <c r="M28" s="2" t="s">
        <v>494</v>
      </c>
      <c r="N28" s="2" t="s">
        <v>164</v>
      </c>
      <c r="O28" s="2" t="s">
        <v>3216</v>
      </c>
      <c r="P28" s="2" t="s">
        <v>1523</v>
      </c>
      <c r="Q28" s="2" t="s">
        <v>203</v>
      </c>
      <c r="R28" s="2" t="s">
        <v>452</v>
      </c>
      <c r="S28" s="2" t="s">
        <v>35</v>
      </c>
      <c r="T28" s="150">
        <v>0.01</v>
      </c>
      <c r="U28" s="2" t="s">
        <v>3217</v>
      </c>
      <c r="V28" s="164">
        <v>1E-4</v>
      </c>
      <c r="W28" s="164">
        <v>6.6000000000000003E-2</v>
      </c>
      <c r="X28" s="4" t="s">
        <v>458</v>
      </c>
      <c r="Y28" s="4" t="s">
        <v>164</v>
      </c>
      <c r="Z28" s="2" t="s">
        <v>203</v>
      </c>
      <c r="AB28" s="2" t="s">
        <v>3218</v>
      </c>
      <c r="AD28" s="150">
        <v>750</v>
      </c>
      <c r="AE28" s="150">
        <v>1</v>
      </c>
      <c r="AF28" s="150">
        <v>0</v>
      </c>
      <c r="AG28" s="150">
        <v>0</v>
      </c>
      <c r="AJ28" s="2" t="s">
        <v>37</v>
      </c>
      <c r="AK28" s="164">
        <v>8.7589706450025095E-11</v>
      </c>
      <c r="AL28" s="164">
        <v>5.3039343728614896E-13</v>
      </c>
    </row>
    <row r="29" spans="1:38">
      <c r="A29" s="2" t="s">
        <v>128</v>
      </c>
      <c r="B29" s="2">
        <v>7229</v>
      </c>
      <c r="C29" s="2" t="s">
        <v>3125</v>
      </c>
      <c r="D29" s="2" t="s">
        <v>3126</v>
      </c>
      <c r="E29" s="4" t="s">
        <v>1376</v>
      </c>
      <c r="F29" s="2" t="s">
        <v>3127</v>
      </c>
      <c r="G29" s="2" t="s">
        <v>3128</v>
      </c>
      <c r="H29" s="2" t="s">
        <v>367</v>
      </c>
      <c r="I29" s="2" t="s">
        <v>1010</v>
      </c>
      <c r="J29" s="2" t="s">
        <v>31</v>
      </c>
      <c r="K29" s="2" t="s">
        <v>31</v>
      </c>
      <c r="L29" s="4" t="s">
        <v>203</v>
      </c>
      <c r="M29" s="2" t="s">
        <v>507</v>
      </c>
      <c r="N29" s="2" t="s">
        <v>164</v>
      </c>
      <c r="O29" s="2" t="s">
        <v>3129</v>
      </c>
      <c r="P29" s="2" t="s">
        <v>2258</v>
      </c>
      <c r="Q29" s="2" t="s">
        <v>217</v>
      </c>
      <c r="R29" s="2" t="s">
        <v>452</v>
      </c>
      <c r="S29" s="2" t="s">
        <v>35</v>
      </c>
      <c r="T29" s="150">
        <v>0.5</v>
      </c>
      <c r="U29" s="2" t="s">
        <v>3130</v>
      </c>
      <c r="V29" s="164">
        <v>5.4890000000000001E-2</v>
      </c>
      <c r="W29" s="164">
        <v>3.5499999999999997E-2</v>
      </c>
      <c r="X29" s="4" t="s">
        <v>458</v>
      </c>
      <c r="Y29" s="4" t="s">
        <v>164</v>
      </c>
      <c r="Z29" s="2" t="s">
        <v>937</v>
      </c>
      <c r="AA29" s="2" t="s">
        <v>3131</v>
      </c>
      <c r="AB29" s="2" t="s">
        <v>1374</v>
      </c>
      <c r="AC29" s="2" t="s">
        <v>3132</v>
      </c>
      <c r="AD29" s="150">
        <v>200000</v>
      </c>
      <c r="AE29" s="150">
        <v>1</v>
      </c>
      <c r="AF29" s="150">
        <v>99.07</v>
      </c>
      <c r="AG29" s="150">
        <v>198.14</v>
      </c>
      <c r="AJ29" s="2" t="s">
        <v>37</v>
      </c>
      <c r="AK29" s="164">
        <v>0.23140032581344</v>
      </c>
      <c r="AL29" s="164">
        <v>1.40122874218503E-3</v>
      </c>
    </row>
    <row r="30" spans="1:38">
      <c r="A30" s="2" t="s">
        <v>128</v>
      </c>
      <c r="B30" s="2">
        <v>7229</v>
      </c>
      <c r="C30" s="2" t="s">
        <v>3143</v>
      </c>
      <c r="D30" s="2" t="s">
        <v>1540</v>
      </c>
      <c r="E30" s="4" t="s">
        <v>1376</v>
      </c>
      <c r="F30" s="2" t="s">
        <v>3144</v>
      </c>
      <c r="G30" s="2" t="s">
        <v>3145</v>
      </c>
      <c r="H30" s="2" t="s">
        <v>367</v>
      </c>
      <c r="I30" s="2" t="s">
        <v>1010</v>
      </c>
      <c r="J30" s="2" t="s">
        <v>31</v>
      </c>
      <c r="K30" s="2" t="s">
        <v>31</v>
      </c>
      <c r="L30" s="4" t="s">
        <v>203</v>
      </c>
      <c r="M30" s="2" t="s">
        <v>522</v>
      </c>
      <c r="N30" s="2" t="s">
        <v>164</v>
      </c>
      <c r="O30" s="2" t="s">
        <v>3146</v>
      </c>
      <c r="P30" s="2" t="s">
        <v>1523</v>
      </c>
      <c r="Q30" s="2" t="s">
        <v>203</v>
      </c>
      <c r="R30" s="2" t="s">
        <v>454</v>
      </c>
      <c r="S30" s="2" t="s">
        <v>35</v>
      </c>
      <c r="T30" s="150">
        <v>2.2599999999999998</v>
      </c>
      <c r="U30" s="2" t="s">
        <v>3147</v>
      </c>
      <c r="V30" s="164">
        <v>8.7999999999999995E-2</v>
      </c>
      <c r="W30" s="164">
        <v>0</v>
      </c>
      <c r="X30" s="4" t="s">
        <v>458</v>
      </c>
      <c r="Y30" s="4" t="s">
        <v>164</v>
      </c>
      <c r="Z30" s="2" t="s">
        <v>937</v>
      </c>
      <c r="AB30" s="2" t="s">
        <v>1374</v>
      </c>
      <c r="AD30" s="150">
        <v>650000</v>
      </c>
      <c r="AE30" s="150">
        <v>1</v>
      </c>
      <c r="AF30" s="150">
        <v>101.25</v>
      </c>
      <c r="AG30" s="150">
        <v>658.125</v>
      </c>
      <c r="AJ30" s="2" t="s">
        <v>37</v>
      </c>
      <c r="AK30" s="164">
        <v>0.76859967409897101</v>
      </c>
      <c r="AL30" s="164">
        <v>4.6542024121859604E-3</v>
      </c>
    </row>
    <row r="31" spans="1:38">
      <c r="A31" s="2" t="s">
        <v>128</v>
      </c>
      <c r="B31" s="2">
        <v>9817</v>
      </c>
      <c r="C31" s="2" t="s">
        <v>3125</v>
      </c>
      <c r="D31" s="2" t="s">
        <v>3126</v>
      </c>
      <c r="E31" s="4" t="s">
        <v>1376</v>
      </c>
      <c r="F31" s="2" t="s">
        <v>3127</v>
      </c>
      <c r="G31" s="2" t="s">
        <v>3128</v>
      </c>
      <c r="H31" s="2" t="s">
        <v>367</v>
      </c>
      <c r="I31" s="2" t="s">
        <v>1010</v>
      </c>
      <c r="J31" s="2" t="s">
        <v>31</v>
      </c>
      <c r="K31" s="2" t="s">
        <v>31</v>
      </c>
      <c r="L31" s="4" t="s">
        <v>203</v>
      </c>
      <c r="M31" s="2" t="s">
        <v>507</v>
      </c>
      <c r="N31" s="2" t="s">
        <v>164</v>
      </c>
      <c r="O31" s="2" t="s">
        <v>3129</v>
      </c>
      <c r="P31" s="2" t="s">
        <v>2258</v>
      </c>
      <c r="Q31" s="2" t="s">
        <v>217</v>
      </c>
      <c r="R31" s="2" t="s">
        <v>452</v>
      </c>
      <c r="S31" s="2" t="s">
        <v>35</v>
      </c>
      <c r="T31" s="150">
        <v>0.5</v>
      </c>
      <c r="U31" s="2" t="s">
        <v>3130</v>
      </c>
      <c r="V31" s="164">
        <v>5.4890000000000001E-2</v>
      </c>
      <c r="W31" s="164">
        <v>3.5499999999999997E-2</v>
      </c>
      <c r="X31" s="4" t="s">
        <v>458</v>
      </c>
      <c r="Y31" s="4" t="s">
        <v>164</v>
      </c>
      <c r="Z31" s="2" t="s">
        <v>937</v>
      </c>
      <c r="AA31" s="2" t="s">
        <v>3131</v>
      </c>
      <c r="AB31" s="2" t="s">
        <v>1374</v>
      </c>
      <c r="AC31" s="2" t="s">
        <v>3132</v>
      </c>
      <c r="AD31" s="150">
        <v>4000</v>
      </c>
      <c r="AE31" s="150">
        <v>1</v>
      </c>
      <c r="AF31" s="150">
        <v>99.07</v>
      </c>
      <c r="AG31" s="150">
        <v>3.9630000000000001</v>
      </c>
      <c r="AJ31" s="2" t="s">
        <v>37</v>
      </c>
      <c r="AK31" s="164">
        <v>1</v>
      </c>
      <c r="AL31" s="164">
        <v>2.6873380059346799E-3</v>
      </c>
    </row>
    <row r="32" spans="1:38">
      <c r="A32" s="2" t="s">
        <v>144</v>
      </c>
      <c r="B32" s="2">
        <v>969</v>
      </c>
      <c r="C32" s="2" t="s">
        <v>3107</v>
      </c>
      <c r="D32" s="2" t="s">
        <v>3108</v>
      </c>
      <c r="E32" s="4" t="s">
        <v>1376</v>
      </c>
      <c r="F32" s="2" t="s">
        <v>3109</v>
      </c>
      <c r="G32" s="2" t="s">
        <v>3110</v>
      </c>
      <c r="H32" s="2" t="s">
        <v>367</v>
      </c>
      <c r="I32" s="2" t="s">
        <v>219</v>
      </c>
      <c r="J32" s="2" t="s">
        <v>31</v>
      </c>
      <c r="K32" s="2" t="s">
        <v>31</v>
      </c>
      <c r="L32" s="4" t="s">
        <v>203</v>
      </c>
      <c r="M32" s="2" t="s">
        <v>490</v>
      </c>
      <c r="N32" s="2" t="s">
        <v>164</v>
      </c>
      <c r="O32" s="2" t="s">
        <v>3135</v>
      </c>
      <c r="P32" s="2" t="s">
        <v>1523</v>
      </c>
      <c r="Q32" s="2" t="s">
        <v>203</v>
      </c>
      <c r="R32" s="2" t="s">
        <v>454</v>
      </c>
      <c r="S32" s="2" t="s">
        <v>35</v>
      </c>
      <c r="T32" s="150">
        <v>0.01</v>
      </c>
      <c r="U32" s="2" t="s">
        <v>3111</v>
      </c>
      <c r="V32" s="164">
        <v>0</v>
      </c>
      <c r="W32" s="164">
        <v>5.1499999999999997E-2</v>
      </c>
      <c r="X32" s="4" t="s">
        <v>458</v>
      </c>
      <c r="Y32" s="4" t="s">
        <v>164</v>
      </c>
      <c r="Z32" s="2" t="s">
        <v>203</v>
      </c>
      <c r="AB32" s="2" t="s">
        <v>3112</v>
      </c>
      <c r="AD32" s="150">
        <v>5145</v>
      </c>
      <c r="AE32" s="150">
        <v>1</v>
      </c>
      <c r="AF32" s="150">
        <v>0</v>
      </c>
      <c r="AG32" s="150">
        <v>0</v>
      </c>
      <c r="AJ32" s="2" t="s">
        <v>37</v>
      </c>
      <c r="AK32" s="164">
        <v>4.6355018033269601E-8</v>
      </c>
      <c r="AL32" s="164">
        <v>6.9757593854508191E-11</v>
      </c>
    </row>
    <row r="33" spans="1:38">
      <c r="A33" s="2" t="s">
        <v>144</v>
      </c>
      <c r="B33" s="2">
        <v>969</v>
      </c>
      <c r="C33" s="2" t="s">
        <v>3113</v>
      </c>
      <c r="D33" s="2" t="s">
        <v>3114</v>
      </c>
      <c r="E33" s="4" t="s">
        <v>1376</v>
      </c>
      <c r="F33" s="2" t="s">
        <v>3115</v>
      </c>
      <c r="G33" s="2" t="s">
        <v>3116</v>
      </c>
      <c r="H33" s="2" t="s">
        <v>367</v>
      </c>
      <c r="I33" s="2" t="s">
        <v>1012</v>
      </c>
      <c r="J33" s="2" t="s">
        <v>31</v>
      </c>
      <c r="K33" s="2" t="s">
        <v>31</v>
      </c>
      <c r="L33" s="4" t="s">
        <v>203</v>
      </c>
      <c r="M33" s="2" t="s">
        <v>490</v>
      </c>
      <c r="N33" s="2" t="s">
        <v>164</v>
      </c>
      <c r="O33" s="2" t="s">
        <v>2686</v>
      </c>
      <c r="P33" s="2" t="s">
        <v>1523</v>
      </c>
      <c r="Q33" s="2" t="s">
        <v>203</v>
      </c>
      <c r="R33" s="2" t="s">
        <v>454</v>
      </c>
      <c r="S33" s="2" t="s">
        <v>35</v>
      </c>
      <c r="T33" s="150">
        <v>0.01</v>
      </c>
      <c r="U33" s="2" t="s">
        <v>3117</v>
      </c>
      <c r="V33" s="164">
        <v>0</v>
      </c>
      <c r="W33" s="164">
        <v>5.7000000000000002E-2</v>
      </c>
      <c r="X33" s="4" t="s">
        <v>457</v>
      </c>
      <c r="Y33" s="4" t="s">
        <v>386</v>
      </c>
      <c r="Z33" s="2" t="s">
        <v>935</v>
      </c>
      <c r="AB33" s="2" t="s">
        <v>3118</v>
      </c>
      <c r="AD33" s="150">
        <v>1200.01</v>
      </c>
      <c r="AE33" s="150">
        <v>1</v>
      </c>
      <c r="AF33" s="150">
        <v>0.01</v>
      </c>
      <c r="AG33" s="150">
        <v>0</v>
      </c>
      <c r="AJ33" s="2" t="s">
        <v>37</v>
      </c>
      <c r="AK33" s="164">
        <v>1.0811756110807401E-6</v>
      </c>
      <c r="AL33" s="164">
        <v>1.6270128319018102E-9</v>
      </c>
    </row>
    <row r="34" spans="1:38">
      <c r="A34" s="2" t="s">
        <v>144</v>
      </c>
      <c r="B34" s="2">
        <v>969</v>
      </c>
      <c r="C34" s="2" t="s">
        <v>3113</v>
      </c>
      <c r="D34" s="2" t="s">
        <v>3114</v>
      </c>
      <c r="E34" s="4" t="s">
        <v>1376</v>
      </c>
      <c r="F34" s="2" t="s">
        <v>3219</v>
      </c>
      <c r="G34" s="2" t="s">
        <v>3220</v>
      </c>
      <c r="H34" s="2" t="s">
        <v>367</v>
      </c>
      <c r="I34" s="2" t="s">
        <v>219</v>
      </c>
      <c r="J34" s="2" t="s">
        <v>31</v>
      </c>
      <c r="K34" s="2" t="s">
        <v>31</v>
      </c>
      <c r="L34" s="4" t="s">
        <v>203</v>
      </c>
      <c r="M34" s="2" t="s">
        <v>490</v>
      </c>
      <c r="N34" s="2" t="s">
        <v>164</v>
      </c>
      <c r="O34" s="2" t="s">
        <v>3221</v>
      </c>
      <c r="P34" s="2" t="s">
        <v>1523</v>
      </c>
      <c r="Q34" s="2" t="s">
        <v>203</v>
      </c>
      <c r="R34" s="2" t="s">
        <v>452</v>
      </c>
      <c r="S34" s="2" t="s">
        <v>35</v>
      </c>
      <c r="T34" s="150">
        <v>0.01</v>
      </c>
      <c r="U34" s="2" t="s">
        <v>3222</v>
      </c>
      <c r="V34" s="164">
        <v>4.4999999999999997E-3</v>
      </c>
      <c r="W34" s="164">
        <v>5.8999999999999997E-2</v>
      </c>
      <c r="X34" s="4" t="s">
        <v>457</v>
      </c>
      <c r="Y34" s="4" t="s">
        <v>386</v>
      </c>
      <c r="Z34" s="2" t="s">
        <v>935</v>
      </c>
      <c r="AB34" s="2" t="s">
        <v>3223</v>
      </c>
      <c r="AD34" s="150">
        <v>1300</v>
      </c>
      <c r="AE34" s="150">
        <v>1</v>
      </c>
      <c r="AF34" s="150">
        <v>0.01</v>
      </c>
      <c r="AG34" s="150">
        <v>0</v>
      </c>
      <c r="AJ34" s="2" t="s">
        <v>37</v>
      </c>
      <c r="AK34" s="164">
        <v>1.1712638181389801E-6</v>
      </c>
      <c r="AL34" s="164">
        <v>1.7625825463724101E-9</v>
      </c>
    </row>
    <row r="35" spans="1:38">
      <c r="A35" s="2" t="s">
        <v>144</v>
      </c>
      <c r="B35" s="2">
        <v>969</v>
      </c>
      <c r="C35" s="2" t="s">
        <v>3212</v>
      </c>
      <c r="D35" s="2" t="s">
        <v>3213</v>
      </c>
      <c r="E35" s="4" t="s">
        <v>360</v>
      </c>
      <c r="F35" s="2" t="s">
        <v>3214</v>
      </c>
      <c r="G35" s="2" t="s">
        <v>3215</v>
      </c>
      <c r="H35" s="2" t="s">
        <v>34</v>
      </c>
      <c r="I35" s="2" t="s">
        <v>219</v>
      </c>
      <c r="J35" s="2" t="s">
        <v>31</v>
      </c>
      <c r="K35" s="2" t="s">
        <v>31</v>
      </c>
      <c r="L35" s="4" t="s">
        <v>203</v>
      </c>
      <c r="M35" s="2" t="s">
        <v>494</v>
      </c>
      <c r="N35" s="2" t="s">
        <v>164</v>
      </c>
      <c r="O35" s="2" t="s">
        <v>3216</v>
      </c>
      <c r="P35" s="2" t="s">
        <v>1523</v>
      </c>
      <c r="Q35" s="2" t="s">
        <v>203</v>
      </c>
      <c r="R35" s="2" t="s">
        <v>452</v>
      </c>
      <c r="S35" s="2" t="s">
        <v>35</v>
      </c>
      <c r="T35" s="150">
        <v>0.01</v>
      </c>
      <c r="U35" s="2" t="s">
        <v>3217</v>
      </c>
      <c r="V35" s="164">
        <v>1E-4</v>
      </c>
      <c r="W35" s="164">
        <v>6.6000000000000003E-2</v>
      </c>
      <c r="X35" s="4" t="s">
        <v>458</v>
      </c>
      <c r="Y35" s="4" t="s">
        <v>164</v>
      </c>
      <c r="Z35" s="2" t="s">
        <v>203</v>
      </c>
      <c r="AB35" s="2" t="s">
        <v>3218</v>
      </c>
      <c r="AD35" s="150">
        <v>4500</v>
      </c>
      <c r="AE35" s="150">
        <v>1</v>
      </c>
      <c r="AF35" s="150">
        <v>0</v>
      </c>
      <c r="AG35" s="150">
        <v>0</v>
      </c>
      <c r="AJ35" s="2" t="s">
        <v>37</v>
      </c>
      <c r="AK35" s="164">
        <v>4.0543747550964705E-9</v>
      </c>
      <c r="AL35" s="164">
        <v>6.1012472759045096E-12</v>
      </c>
    </row>
    <row r="36" spans="1:38">
      <c r="A36" s="2" t="s">
        <v>144</v>
      </c>
      <c r="B36" s="2">
        <v>969</v>
      </c>
      <c r="C36" s="2" t="s">
        <v>3125</v>
      </c>
      <c r="D36" s="2" t="s">
        <v>3126</v>
      </c>
      <c r="E36" s="4" t="s">
        <v>1376</v>
      </c>
      <c r="F36" s="2" t="s">
        <v>3127</v>
      </c>
      <c r="G36" s="2" t="s">
        <v>3128</v>
      </c>
      <c r="H36" s="2" t="s">
        <v>367</v>
      </c>
      <c r="I36" s="2" t="s">
        <v>1010</v>
      </c>
      <c r="J36" s="2" t="s">
        <v>31</v>
      </c>
      <c r="K36" s="2" t="s">
        <v>31</v>
      </c>
      <c r="L36" s="4" t="s">
        <v>203</v>
      </c>
      <c r="M36" s="2" t="s">
        <v>507</v>
      </c>
      <c r="N36" s="2" t="s">
        <v>164</v>
      </c>
      <c r="O36" s="2" t="s">
        <v>3129</v>
      </c>
      <c r="P36" s="2" t="s">
        <v>2258</v>
      </c>
      <c r="Q36" s="2" t="s">
        <v>217</v>
      </c>
      <c r="R36" s="2" t="s">
        <v>452</v>
      </c>
      <c r="S36" s="2" t="s">
        <v>35</v>
      </c>
      <c r="T36" s="150">
        <v>0.5</v>
      </c>
      <c r="U36" s="2" t="s">
        <v>3130</v>
      </c>
      <c r="V36" s="164">
        <v>5.4890000000000001E-2</v>
      </c>
      <c r="W36" s="164">
        <v>3.5499999999999997E-2</v>
      </c>
      <c r="X36" s="4" t="s">
        <v>458</v>
      </c>
      <c r="Y36" s="4" t="s">
        <v>164</v>
      </c>
      <c r="Z36" s="2" t="s">
        <v>937</v>
      </c>
      <c r="AA36" s="2" t="s">
        <v>3131</v>
      </c>
      <c r="AB36" s="2" t="s">
        <v>1374</v>
      </c>
      <c r="AC36" s="2" t="s">
        <v>3132</v>
      </c>
      <c r="AD36" s="150">
        <v>112000</v>
      </c>
      <c r="AE36" s="150">
        <v>1</v>
      </c>
      <c r="AF36" s="150">
        <v>99.07</v>
      </c>
      <c r="AG36" s="150">
        <v>110.958</v>
      </c>
      <c r="AJ36" s="2" t="s">
        <v>37</v>
      </c>
      <c r="AK36" s="164">
        <v>0.99970430183532499</v>
      </c>
      <c r="AL36" s="164">
        <v>1.50441030164161E-3</v>
      </c>
    </row>
    <row r="37" spans="1:38">
      <c r="A37" s="2" t="s">
        <v>144</v>
      </c>
      <c r="B37" s="2">
        <v>969</v>
      </c>
      <c r="C37" s="2" t="s">
        <v>3107</v>
      </c>
      <c r="D37" s="2" t="s">
        <v>3108</v>
      </c>
      <c r="E37" s="4" t="s">
        <v>1376</v>
      </c>
      <c r="F37" s="2" t="s">
        <v>3224</v>
      </c>
      <c r="G37" s="2" t="s">
        <v>3225</v>
      </c>
      <c r="H37" s="2" t="s">
        <v>367</v>
      </c>
      <c r="I37" s="2" t="s">
        <v>219</v>
      </c>
      <c r="J37" s="2" t="s">
        <v>31</v>
      </c>
      <c r="K37" s="2" t="s">
        <v>31</v>
      </c>
      <c r="L37" s="4" t="s">
        <v>203</v>
      </c>
      <c r="M37" s="2" t="s">
        <v>507</v>
      </c>
      <c r="N37" s="2" t="s">
        <v>164</v>
      </c>
      <c r="O37" s="2" t="s">
        <v>3226</v>
      </c>
      <c r="P37" s="2" t="s">
        <v>1523</v>
      </c>
      <c r="Q37" s="2" t="s">
        <v>203</v>
      </c>
      <c r="R37" s="2" t="s">
        <v>454</v>
      </c>
      <c r="S37" s="2" t="s">
        <v>35</v>
      </c>
      <c r="T37" s="150">
        <v>2.27</v>
      </c>
      <c r="U37" s="2" t="s">
        <v>3227</v>
      </c>
      <c r="V37" s="164">
        <v>0.24740000000000001</v>
      </c>
      <c r="W37" s="164">
        <v>0.04</v>
      </c>
      <c r="X37" s="4" t="s">
        <v>458</v>
      </c>
      <c r="Y37" s="4" t="s">
        <v>164</v>
      </c>
      <c r="Z37" s="2" t="s">
        <v>203</v>
      </c>
      <c r="AB37" s="2" t="s">
        <v>3228</v>
      </c>
      <c r="AD37" s="150">
        <v>1401.95</v>
      </c>
      <c r="AE37" s="150">
        <v>1</v>
      </c>
      <c r="AF37" s="150">
        <v>0</v>
      </c>
      <c r="AG37" s="150">
        <v>0</v>
      </c>
      <c r="AJ37" s="2" t="s">
        <v>37</v>
      </c>
      <c r="AK37" s="164">
        <v>1.26311793064611E-10</v>
      </c>
      <c r="AL37" s="164">
        <v>1.90080969298985E-13</v>
      </c>
    </row>
    <row r="38" spans="1:38">
      <c r="A38" s="2" t="s">
        <v>144</v>
      </c>
      <c r="B38" s="2">
        <v>969</v>
      </c>
      <c r="C38" s="2" t="s">
        <v>3137</v>
      </c>
      <c r="D38" s="2" t="s">
        <v>3138</v>
      </c>
      <c r="E38" s="4" t="s">
        <v>1376</v>
      </c>
      <c r="F38" s="2" t="s">
        <v>3139</v>
      </c>
      <c r="G38" s="2" t="s">
        <v>3140</v>
      </c>
      <c r="H38" s="2" t="s">
        <v>367</v>
      </c>
      <c r="I38" s="2" t="s">
        <v>1012</v>
      </c>
      <c r="J38" s="2" t="s">
        <v>31</v>
      </c>
      <c r="K38" s="2" t="s">
        <v>31</v>
      </c>
      <c r="L38" s="4" t="s">
        <v>203</v>
      </c>
      <c r="M38" s="2" t="s">
        <v>490</v>
      </c>
      <c r="N38" s="2" t="s">
        <v>164</v>
      </c>
      <c r="O38" s="2" t="s">
        <v>3141</v>
      </c>
      <c r="P38" s="2" t="s">
        <v>1523</v>
      </c>
      <c r="Q38" s="2" t="s">
        <v>203</v>
      </c>
      <c r="R38" s="2" t="s">
        <v>452</v>
      </c>
      <c r="S38" s="2" t="s">
        <v>35</v>
      </c>
      <c r="T38" s="150">
        <v>0.01</v>
      </c>
      <c r="U38" s="2" t="s">
        <v>3142</v>
      </c>
      <c r="V38" s="164">
        <v>1E-4</v>
      </c>
      <c r="W38" s="164">
        <v>5.5E-2</v>
      </c>
      <c r="X38" s="4" t="s">
        <v>457</v>
      </c>
      <c r="Y38" s="4" t="s">
        <v>386</v>
      </c>
      <c r="Z38" s="2" t="s">
        <v>935</v>
      </c>
      <c r="AB38" s="2" t="s">
        <v>1543</v>
      </c>
      <c r="AD38" s="150">
        <v>3250</v>
      </c>
      <c r="AE38" s="150">
        <v>1</v>
      </c>
      <c r="AF38" s="150">
        <v>1</v>
      </c>
      <c r="AG38" s="150">
        <v>3.3000000000000002E-2</v>
      </c>
      <c r="AJ38" s="2" t="s">
        <v>37</v>
      </c>
      <c r="AK38" s="164">
        <v>2.9281595453474501E-4</v>
      </c>
      <c r="AL38" s="164">
        <v>4.4064563659310302E-7</v>
      </c>
    </row>
    <row r="39" spans="1:38">
      <c r="A39" s="2" t="s">
        <v>144</v>
      </c>
      <c r="B39" s="2">
        <v>969</v>
      </c>
      <c r="C39" s="2" t="s">
        <v>3148</v>
      </c>
      <c r="D39" s="2" t="s">
        <v>3149</v>
      </c>
      <c r="E39" s="4" t="s">
        <v>1376</v>
      </c>
      <c r="F39" s="2" t="s">
        <v>3150</v>
      </c>
      <c r="G39" s="2" t="s">
        <v>3151</v>
      </c>
      <c r="H39" s="2" t="s">
        <v>367</v>
      </c>
      <c r="I39" s="2" t="s">
        <v>219</v>
      </c>
      <c r="J39" s="2" t="s">
        <v>31</v>
      </c>
      <c r="K39" s="2" t="s">
        <v>31</v>
      </c>
      <c r="L39" s="4" t="s">
        <v>203</v>
      </c>
      <c r="M39" s="2" t="s">
        <v>494</v>
      </c>
      <c r="N39" s="2" t="s">
        <v>164</v>
      </c>
      <c r="P39" s="2" t="s">
        <v>3152</v>
      </c>
      <c r="Q39" s="2" t="s">
        <v>476</v>
      </c>
      <c r="R39" s="2" t="s">
        <v>452</v>
      </c>
      <c r="S39" s="2" t="s">
        <v>35</v>
      </c>
      <c r="T39" s="150">
        <v>0.01</v>
      </c>
      <c r="U39" s="2" t="s">
        <v>3153</v>
      </c>
      <c r="V39" s="164">
        <v>0</v>
      </c>
      <c r="W39" s="164">
        <v>5.5E-2</v>
      </c>
      <c r="X39" s="4" t="s">
        <v>458</v>
      </c>
      <c r="Y39" s="4" t="s">
        <v>164</v>
      </c>
      <c r="Z39" s="2" t="s">
        <v>203</v>
      </c>
      <c r="AB39" s="2" t="s">
        <v>3154</v>
      </c>
      <c r="AD39" s="150">
        <v>642.9</v>
      </c>
      <c r="AE39" s="150">
        <v>1</v>
      </c>
      <c r="AF39" s="150">
        <v>0.01</v>
      </c>
      <c r="AG39" s="150">
        <v>0</v>
      </c>
      <c r="AJ39" s="2" t="s">
        <v>37</v>
      </c>
      <c r="AK39" s="164">
        <v>5.7923500667811598E-7</v>
      </c>
      <c r="AL39" s="164">
        <v>8.7166486081755699E-10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56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372</v>
      </c>
      <c r="M1" s="19" t="s">
        <v>185</v>
      </c>
      <c r="N1" s="19" t="s">
        <v>150</v>
      </c>
      <c r="O1" s="19" t="s">
        <v>193</v>
      </c>
      <c r="P1" s="19" t="s">
        <v>11</v>
      </c>
      <c r="Q1" s="19" t="s">
        <v>186</v>
      </c>
      <c r="R1" s="19" t="s">
        <v>187</v>
      </c>
      <c r="S1" s="19" t="s">
        <v>159</v>
      </c>
      <c r="T1" s="19" t="s">
        <v>188</v>
      </c>
      <c r="U1" s="19" t="s">
        <v>17</v>
      </c>
      <c r="V1" s="19" t="s">
        <v>18</v>
      </c>
      <c r="W1" s="19" t="s">
        <v>19</v>
      </c>
      <c r="X1" s="19" t="s">
        <v>20</v>
      </c>
      <c r="Y1" s="163" t="s">
        <v>24</v>
      </c>
      <c r="Z1" s="163" t="s">
        <v>25</v>
      </c>
    </row>
    <row r="2" spans="1:26">
      <c r="A2" s="20" t="s">
        <v>26</v>
      </c>
      <c r="B2" s="20">
        <v>1182</v>
      </c>
      <c r="C2" s="20" t="s">
        <v>2996</v>
      </c>
      <c r="D2" s="20" t="s">
        <v>2997</v>
      </c>
      <c r="E2" s="18" t="s">
        <v>34</v>
      </c>
      <c r="F2" s="20" t="s">
        <v>2996</v>
      </c>
      <c r="G2" s="20" t="s">
        <v>2998</v>
      </c>
      <c r="H2" s="18" t="s">
        <v>34</v>
      </c>
      <c r="I2" s="20" t="s">
        <v>810</v>
      </c>
      <c r="J2" s="18" t="s">
        <v>31</v>
      </c>
      <c r="K2" s="18" t="s">
        <v>31</v>
      </c>
      <c r="L2" s="20" t="s">
        <v>203</v>
      </c>
      <c r="M2" s="20" t="s">
        <v>588</v>
      </c>
      <c r="N2" s="20" t="s">
        <v>164</v>
      </c>
      <c r="O2" s="20" t="s">
        <v>2999</v>
      </c>
      <c r="P2" s="18" t="s">
        <v>99</v>
      </c>
      <c r="Q2" s="20" t="s">
        <v>203</v>
      </c>
      <c r="R2" s="20"/>
      <c r="S2" s="20" t="s">
        <v>1374</v>
      </c>
      <c r="T2" s="20"/>
      <c r="U2" s="153">
        <v>5306</v>
      </c>
      <c r="V2" s="153">
        <v>3.7589999999999999</v>
      </c>
      <c r="W2" s="153">
        <v>5368</v>
      </c>
      <c r="X2" s="153">
        <v>1070.6610000000001</v>
      </c>
      <c r="Y2" s="168">
        <v>0.122173126906766</v>
      </c>
      <c r="Z2" s="168">
        <v>2.7091474130407399E-3</v>
      </c>
    </row>
    <row r="3" spans="1:26">
      <c r="A3" s="20" t="s">
        <v>26</v>
      </c>
      <c r="B3" s="20">
        <v>1182</v>
      </c>
      <c r="C3" s="20" t="s">
        <v>3000</v>
      </c>
      <c r="D3" s="20" t="s">
        <v>3001</v>
      </c>
      <c r="E3" s="18" t="s">
        <v>1376</v>
      </c>
      <c r="F3" s="20" t="s">
        <v>3000</v>
      </c>
      <c r="G3" s="20" t="s">
        <v>3002</v>
      </c>
      <c r="H3" s="18" t="s">
        <v>34</v>
      </c>
      <c r="I3" s="20" t="s">
        <v>810</v>
      </c>
      <c r="J3" s="18" t="s">
        <v>31</v>
      </c>
      <c r="K3" s="18" t="s">
        <v>345</v>
      </c>
      <c r="L3" s="20" t="s">
        <v>203</v>
      </c>
      <c r="M3" s="20" t="s">
        <v>590</v>
      </c>
      <c r="N3" s="20" t="s">
        <v>164</v>
      </c>
      <c r="O3" s="20" t="s">
        <v>3003</v>
      </c>
      <c r="P3" s="18" t="s">
        <v>99</v>
      </c>
      <c r="Q3" s="20" t="s">
        <v>203</v>
      </c>
      <c r="R3" s="20"/>
      <c r="S3" s="20" t="s">
        <v>1374</v>
      </c>
      <c r="T3" s="20"/>
      <c r="U3" s="153">
        <v>332.99</v>
      </c>
      <c r="V3" s="153">
        <v>3.7589999999999999</v>
      </c>
      <c r="W3" s="153">
        <v>90093.3</v>
      </c>
      <c r="X3" s="153">
        <v>1127.7059999999999</v>
      </c>
      <c r="Y3" s="168">
        <v>0.128682539473091</v>
      </c>
      <c r="Z3" s="168">
        <v>2.8534914161858198E-3</v>
      </c>
    </row>
    <row r="4" spans="1:26">
      <c r="A4" s="20" t="s">
        <v>26</v>
      </c>
      <c r="B4" s="20">
        <v>1182</v>
      </c>
      <c r="C4" s="20" t="s">
        <v>3004</v>
      </c>
      <c r="D4" s="20" t="s">
        <v>3005</v>
      </c>
      <c r="E4" s="18" t="s">
        <v>34</v>
      </c>
      <c r="F4" s="20" t="s">
        <v>3004</v>
      </c>
      <c r="G4" s="20" t="s">
        <v>3006</v>
      </c>
      <c r="H4" s="18" t="s">
        <v>34</v>
      </c>
      <c r="I4" s="20" t="s">
        <v>810</v>
      </c>
      <c r="J4" s="18" t="s">
        <v>31</v>
      </c>
      <c r="K4" s="18" t="s">
        <v>31</v>
      </c>
      <c r="L4" s="20" t="s">
        <v>203</v>
      </c>
      <c r="M4" s="20" t="s">
        <v>574</v>
      </c>
      <c r="N4" s="20" t="s">
        <v>164</v>
      </c>
      <c r="O4" s="2" t="s">
        <v>3007</v>
      </c>
      <c r="P4" s="18" t="s">
        <v>99</v>
      </c>
      <c r="Q4" s="20" t="s">
        <v>203</v>
      </c>
      <c r="R4" s="20"/>
      <c r="S4" s="20" t="s">
        <v>1374</v>
      </c>
      <c r="T4" s="20"/>
      <c r="U4" s="153">
        <v>26572</v>
      </c>
      <c r="V4" s="153">
        <v>3.7589999999999999</v>
      </c>
      <c r="W4" s="153">
        <v>0</v>
      </c>
      <c r="X4" s="153">
        <v>0</v>
      </c>
      <c r="Y4" s="168">
        <v>1.13977776479126E-8</v>
      </c>
      <c r="Z4" s="168">
        <v>2.5274183129339303E-10</v>
      </c>
    </row>
    <row r="5" spans="1:26">
      <c r="A5" s="20" t="s">
        <v>26</v>
      </c>
      <c r="B5" s="20">
        <v>1182</v>
      </c>
      <c r="C5" s="20" t="s">
        <v>3008</v>
      </c>
      <c r="D5" s="20" t="s">
        <v>3009</v>
      </c>
      <c r="E5" s="18" t="s">
        <v>34</v>
      </c>
      <c r="F5" s="20" t="s">
        <v>3010</v>
      </c>
      <c r="G5" s="20" t="s">
        <v>3011</v>
      </c>
      <c r="H5" s="18" t="s">
        <v>34</v>
      </c>
      <c r="I5" s="20" t="s">
        <v>810</v>
      </c>
      <c r="J5" s="18" t="s">
        <v>31</v>
      </c>
      <c r="K5" s="18"/>
      <c r="L5" s="20" t="s">
        <v>203</v>
      </c>
      <c r="M5" s="20" t="s">
        <v>3012</v>
      </c>
      <c r="N5" s="20" t="s">
        <v>164</v>
      </c>
      <c r="O5" s="20" t="s">
        <v>3013</v>
      </c>
      <c r="P5" s="18" t="s">
        <v>99</v>
      </c>
      <c r="Q5" s="20" t="s">
        <v>203</v>
      </c>
      <c r="R5" s="20"/>
      <c r="S5" s="20" t="s">
        <v>1374</v>
      </c>
      <c r="T5" s="20"/>
      <c r="U5" s="153">
        <v>47599</v>
      </c>
      <c r="V5" s="153">
        <v>3.7589999999999999</v>
      </c>
      <c r="W5" s="153">
        <v>10.62</v>
      </c>
      <c r="X5" s="153">
        <v>19.001999999999999</v>
      </c>
      <c r="Y5" s="168">
        <v>2.1682945694539301E-3</v>
      </c>
      <c r="Z5" s="168">
        <v>4.8081192421547997E-5</v>
      </c>
    </row>
    <row r="6" spans="1:26">
      <c r="A6" s="20" t="s">
        <v>26</v>
      </c>
      <c r="B6" s="20">
        <v>1182</v>
      </c>
      <c r="C6" s="20" t="s">
        <v>3008</v>
      </c>
      <c r="D6" s="20" t="s">
        <v>3009</v>
      </c>
      <c r="E6" s="18" t="s">
        <v>34</v>
      </c>
      <c r="F6" s="20" t="s">
        <v>3008</v>
      </c>
      <c r="G6" s="20" t="s">
        <v>3014</v>
      </c>
      <c r="H6" s="18" t="s">
        <v>34</v>
      </c>
      <c r="I6" s="20" t="s">
        <v>810</v>
      </c>
      <c r="J6" s="18" t="s">
        <v>31</v>
      </c>
      <c r="K6" s="18" t="s">
        <v>95</v>
      </c>
      <c r="L6" s="20" t="s">
        <v>203</v>
      </c>
      <c r="M6" s="20" t="s">
        <v>588</v>
      </c>
      <c r="N6" s="20" t="s">
        <v>164</v>
      </c>
      <c r="O6" s="20" t="s">
        <v>3015</v>
      </c>
      <c r="P6" s="18" t="s">
        <v>99</v>
      </c>
      <c r="Q6" s="20" t="s">
        <v>936</v>
      </c>
      <c r="R6" s="20"/>
      <c r="S6" s="20" t="s">
        <v>1374</v>
      </c>
      <c r="T6" s="20"/>
      <c r="U6" s="153">
        <v>50000</v>
      </c>
      <c r="V6" s="153">
        <v>3.7589999999999999</v>
      </c>
      <c r="W6" s="153">
        <v>4.41</v>
      </c>
      <c r="X6" s="153">
        <v>8.2889999999999997</v>
      </c>
      <c r="Y6" s="168">
        <v>9.4589715750327096E-4</v>
      </c>
      <c r="Z6" s="168">
        <v>2.0974946799946901E-5</v>
      </c>
    </row>
    <row r="7" spans="1:26">
      <c r="A7" s="20" t="s">
        <v>26</v>
      </c>
      <c r="B7" s="20">
        <v>1182</v>
      </c>
      <c r="C7" s="20" t="s">
        <v>3016</v>
      </c>
      <c r="D7" s="20" t="s">
        <v>3017</v>
      </c>
      <c r="E7" s="18" t="s">
        <v>1376</v>
      </c>
      <c r="F7" s="20" t="s">
        <v>3018</v>
      </c>
      <c r="G7" s="20" t="s">
        <v>3019</v>
      </c>
      <c r="H7" s="18" t="s">
        <v>34</v>
      </c>
      <c r="I7" s="20" t="s">
        <v>810</v>
      </c>
      <c r="J7" s="18" t="s">
        <v>31</v>
      </c>
      <c r="K7" s="18" t="s">
        <v>95</v>
      </c>
      <c r="L7" s="20" t="s">
        <v>203</v>
      </c>
      <c r="M7" s="20" t="s">
        <v>491</v>
      </c>
      <c r="N7" s="20" t="s">
        <v>164</v>
      </c>
      <c r="O7" s="20" t="s">
        <v>3020</v>
      </c>
      <c r="P7" s="18" t="s">
        <v>99</v>
      </c>
      <c r="Q7" s="20" t="s">
        <v>203</v>
      </c>
      <c r="R7" s="20"/>
      <c r="S7" s="20" t="s">
        <v>1374</v>
      </c>
      <c r="T7" s="20"/>
      <c r="U7" s="153">
        <v>244820</v>
      </c>
      <c r="V7" s="153">
        <v>3.7589999999999999</v>
      </c>
      <c r="W7" s="153">
        <v>374.80799999999999</v>
      </c>
      <c r="X7" s="153">
        <v>3449.2779999999998</v>
      </c>
      <c r="Y7" s="168">
        <v>0.39359701674611203</v>
      </c>
      <c r="Z7" s="168">
        <v>8.7278795811784292E-3</v>
      </c>
    </row>
    <row r="8" spans="1:26">
      <c r="A8" s="20" t="s">
        <v>26</v>
      </c>
      <c r="B8" s="20">
        <v>1182</v>
      </c>
      <c r="C8" s="20" t="s">
        <v>3018</v>
      </c>
      <c r="D8" s="20" t="s">
        <v>3021</v>
      </c>
      <c r="E8" s="18" t="s">
        <v>34</v>
      </c>
      <c r="F8" s="20" t="s">
        <v>3022</v>
      </c>
      <c r="G8" s="20" t="s">
        <v>3023</v>
      </c>
      <c r="H8" s="18" t="s">
        <v>34</v>
      </c>
      <c r="I8" s="20" t="s">
        <v>810</v>
      </c>
      <c r="J8" s="18" t="s">
        <v>31</v>
      </c>
      <c r="K8" s="18" t="s">
        <v>95</v>
      </c>
      <c r="L8" s="20" t="s">
        <v>203</v>
      </c>
      <c r="M8" s="20" t="s">
        <v>491</v>
      </c>
      <c r="N8" s="20" t="s">
        <v>164</v>
      </c>
      <c r="O8" s="20" t="s">
        <v>3024</v>
      </c>
      <c r="P8" s="18" t="s">
        <v>99</v>
      </c>
      <c r="Q8" s="20" t="s">
        <v>203</v>
      </c>
      <c r="R8" s="20"/>
      <c r="S8" s="20" t="s">
        <v>1374</v>
      </c>
      <c r="T8" s="20"/>
      <c r="U8" s="153">
        <v>400000</v>
      </c>
      <c r="V8" s="153">
        <v>3.7589999999999999</v>
      </c>
      <c r="W8" s="153">
        <v>100</v>
      </c>
      <c r="X8" s="153">
        <v>1503.6</v>
      </c>
      <c r="Y8" s="168">
        <v>0.171575758661939</v>
      </c>
      <c r="Z8" s="168">
        <v>3.8046339198162401E-3</v>
      </c>
    </row>
    <row r="9" spans="1:26">
      <c r="A9" s="20" t="s">
        <v>26</v>
      </c>
      <c r="B9" s="20">
        <v>1182</v>
      </c>
      <c r="C9" s="20" t="s">
        <v>3025</v>
      </c>
      <c r="D9" s="20" t="s">
        <v>3026</v>
      </c>
      <c r="E9" s="18" t="s">
        <v>34</v>
      </c>
      <c r="F9" s="20" t="s">
        <v>3027</v>
      </c>
      <c r="G9" s="20" t="s">
        <v>3028</v>
      </c>
      <c r="H9" s="18" t="s">
        <v>34</v>
      </c>
      <c r="I9" s="20" t="s">
        <v>810</v>
      </c>
      <c r="J9" s="18" t="s">
        <v>94</v>
      </c>
      <c r="K9" s="18" t="s">
        <v>95</v>
      </c>
      <c r="L9" s="20" t="s">
        <v>203</v>
      </c>
      <c r="M9" s="20" t="s">
        <v>492</v>
      </c>
      <c r="N9" s="20" t="s">
        <v>164</v>
      </c>
      <c r="O9" s="20" t="s">
        <v>3029</v>
      </c>
      <c r="P9" s="18" t="s">
        <v>99</v>
      </c>
      <c r="Q9" s="20" t="s">
        <v>938</v>
      </c>
      <c r="R9" s="20"/>
      <c r="S9" s="20" t="s">
        <v>1374</v>
      </c>
      <c r="T9" s="20"/>
      <c r="U9" s="153">
        <v>9829</v>
      </c>
      <c r="V9" s="153">
        <v>3.7589999999999999</v>
      </c>
      <c r="W9" s="153">
        <v>610.43799999999999</v>
      </c>
      <c r="X9" s="153">
        <v>225.54</v>
      </c>
      <c r="Y9" s="168">
        <v>2.5736363870065899E-2</v>
      </c>
      <c r="Z9" s="168">
        <v>5.7069508954184797E-4</v>
      </c>
    </row>
    <row r="10" spans="1:26">
      <c r="A10" s="20" t="s">
        <v>26</v>
      </c>
      <c r="B10" s="20">
        <v>1182</v>
      </c>
      <c r="C10" s="20" t="s">
        <v>3030</v>
      </c>
      <c r="D10" s="20" t="s">
        <v>3031</v>
      </c>
      <c r="E10" s="18" t="s">
        <v>34</v>
      </c>
      <c r="F10" s="20" t="s">
        <v>3030</v>
      </c>
      <c r="G10" s="20" t="s">
        <v>3032</v>
      </c>
      <c r="H10" s="18" t="s">
        <v>34</v>
      </c>
      <c r="I10" s="20" t="s">
        <v>810</v>
      </c>
      <c r="J10" s="18" t="s">
        <v>31</v>
      </c>
      <c r="K10" s="18" t="s">
        <v>95</v>
      </c>
      <c r="L10" s="20" t="s">
        <v>203</v>
      </c>
      <c r="M10" s="20" t="s">
        <v>590</v>
      </c>
      <c r="N10" s="20" t="s">
        <v>164</v>
      </c>
      <c r="O10" s="20" t="s">
        <v>3033</v>
      </c>
      <c r="P10" s="18" t="s">
        <v>99</v>
      </c>
      <c r="Q10" s="20" t="s">
        <v>938</v>
      </c>
      <c r="R10" s="20"/>
      <c r="S10" s="20" t="s">
        <v>1374</v>
      </c>
      <c r="T10" s="20"/>
      <c r="U10" s="153">
        <v>60000</v>
      </c>
      <c r="V10" s="153">
        <v>3.7589999999999999</v>
      </c>
      <c r="W10" s="153">
        <v>67</v>
      </c>
      <c r="X10" s="153">
        <v>151.11199999999999</v>
      </c>
      <c r="Y10" s="168">
        <v>1.72433637455249E-2</v>
      </c>
      <c r="Z10" s="168">
        <v>3.8236570894153201E-4</v>
      </c>
    </row>
    <row r="11" spans="1:26">
      <c r="A11" s="20" t="s">
        <v>26</v>
      </c>
      <c r="B11" s="20">
        <v>1182</v>
      </c>
      <c r="C11" s="20" t="s">
        <v>3034</v>
      </c>
      <c r="D11" s="20" t="s">
        <v>3035</v>
      </c>
      <c r="E11" s="18" t="s">
        <v>34</v>
      </c>
      <c r="F11" s="20" t="s">
        <v>3036</v>
      </c>
      <c r="G11" s="20" t="s">
        <v>3037</v>
      </c>
      <c r="H11" s="18" t="s">
        <v>34</v>
      </c>
      <c r="I11" s="20" t="s">
        <v>810</v>
      </c>
      <c r="J11" s="18" t="s">
        <v>31</v>
      </c>
      <c r="K11" s="18" t="s">
        <v>95</v>
      </c>
      <c r="L11" s="20" t="s">
        <v>203</v>
      </c>
      <c r="M11" s="20" t="s">
        <v>492</v>
      </c>
      <c r="N11" s="20" t="s">
        <v>164</v>
      </c>
      <c r="O11" s="20" t="s">
        <v>3038</v>
      </c>
      <c r="P11" s="18" t="s">
        <v>99</v>
      </c>
      <c r="Q11" s="20" t="s">
        <v>938</v>
      </c>
      <c r="R11" s="20"/>
      <c r="S11" s="20" t="s">
        <v>1374</v>
      </c>
      <c r="T11" s="20"/>
      <c r="U11" s="153">
        <v>562517</v>
      </c>
      <c r="V11" s="153">
        <v>3.7589999999999999</v>
      </c>
      <c r="W11" s="153">
        <v>6.1139999999999999</v>
      </c>
      <c r="X11" s="153">
        <v>129.28299999999999</v>
      </c>
      <c r="Y11" s="168">
        <v>1.4752449141938699E-2</v>
      </c>
      <c r="Z11" s="168">
        <v>3.2713052731635602E-4</v>
      </c>
    </row>
    <row r="12" spans="1:26">
      <c r="A12" s="20" t="s">
        <v>26</v>
      </c>
      <c r="B12" s="20">
        <v>1182</v>
      </c>
      <c r="C12" s="20" t="s">
        <v>3039</v>
      </c>
      <c r="D12" s="20" t="s">
        <v>3040</v>
      </c>
      <c r="E12" s="18" t="s">
        <v>1376</v>
      </c>
      <c r="F12" s="20" t="s">
        <v>3039</v>
      </c>
      <c r="G12" s="20" t="s">
        <v>3041</v>
      </c>
      <c r="H12" s="18" t="s">
        <v>34</v>
      </c>
      <c r="I12" s="20" t="s">
        <v>810</v>
      </c>
      <c r="J12" s="18" t="s">
        <v>31</v>
      </c>
      <c r="K12" s="18" t="s">
        <v>95</v>
      </c>
      <c r="L12" s="20" t="s">
        <v>203</v>
      </c>
      <c r="M12" s="20" t="s">
        <v>590</v>
      </c>
      <c r="N12" s="20" t="s">
        <v>164</v>
      </c>
      <c r="O12" s="20" t="s">
        <v>3042</v>
      </c>
      <c r="P12" s="18" t="s">
        <v>99</v>
      </c>
      <c r="Q12" s="20" t="s">
        <v>938</v>
      </c>
      <c r="R12" s="20"/>
      <c r="S12" s="20" t="s">
        <v>1374</v>
      </c>
      <c r="T12" s="20"/>
      <c r="U12" s="153">
        <v>3605</v>
      </c>
      <c r="V12" s="153">
        <v>3.7589999999999999</v>
      </c>
      <c r="W12" s="153">
        <v>1387.07</v>
      </c>
      <c r="X12" s="153">
        <v>187.965</v>
      </c>
      <c r="Y12" s="168">
        <v>2.1448631329495399E-2</v>
      </c>
      <c r="Z12" s="168">
        <v>4.7561608310075099E-4</v>
      </c>
    </row>
    <row r="13" spans="1:26">
      <c r="A13" s="20" t="s">
        <v>26</v>
      </c>
      <c r="B13" s="20">
        <v>1182</v>
      </c>
      <c r="C13" s="20" t="s">
        <v>3043</v>
      </c>
      <c r="D13" s="20" t="s">
        <v>3044</v>
      </c>
      <c r="E13" s="18" t="s">
        <v>34</v>
      </c>
      <c r="F13" s="20" t="s">
        <v>3045</v>
      </c>
      <c r="G13" s="20" t="s">
        <v>3046</v>
      </c>
      <c r="H13" s="18" t="s">
        <v>34</v>
      </c>
      <c r="I13" s="20" t="s">
        <v>810</v>
      </c>
      <c r="J13" s="18" t="s">
        <v>31</v>
      </c>
      <c r="K13" s="18" t="s">
        <v>95</v>
      </c>
      <c r="L13" s="20" t="s">
        <v>203</v>
      </c>
      <c r="M13" s="20" t="s">
        <v>588</v>
      </c>
      <c r="N13" s="20" t="s">
        <v>164</v>
      </c>
      <c r="O13" s="20" t="s">
        <v>3047</v>
      </c>
      <c r="P13" s="18" t="s">
        <v>99</v>
      </c>
      <c r="Q13" s="20" t="s">
        <v>938</v>
      </c>
      <c r="R13" s="20"/>
      <c r="S13" s="20" t="s">
        <v>1374</v>
      </c>
      <c r="T13" s="20"/>
      <c r="U13" s="153">
        <v>8020</v>
      </c>
      <c r="V13" s="153">
        <v>3.7589999999999999</v>
      </c>
      <c r="W13" s="153">
        <v>0</v>
      </c>
      <c r="X13" s="153">
        <v>0</v>
      </c>
      <c r="Y13" s="168">
        <v>3.4400939611718801E-9</v>
      </c>
      <c r="Z13" s="168">
        <v>7.6282910092315599E-11</v>
      </c>
    </row>
    <row r="14" spans="1:26">
      <c r="A14" s="20" t="s">
        <v>26</v>
      </c>
      <c r="B14" s="20">
        <v>1182</v>
      </c>
      <c r="C14" s="20" t="s">
        <v>3048</v>
      </c>
      <c r="D14" s="20" t="s">
        <v>3049</v>
      </c>
      <c r="E14" s="18" t="s">
        <v>1376</v>
      </c>
      <c r="F14" s="20" t="s">
        <v>3048</v>
      </c>
      <c r="G14" s="20" t="s">
        <v>3050</v>
      </c>
      <c r="H14" s="18" t="s">
        <v>34</v>
      </c>
      <c r="I14" s="20" t="s">
        <v>810</v>
      </c>
      <c r="J14" s="18" t="s">
        <v>31</v>
      </c>
      <c r="K14" s="18" t="s">
        <v>95</v>
      </c>
      <c r="L14" s="20" t="s">
        <v>203</v>
      </c>
      <c r="M14" s="20" t="s">
        <v>588</v>
      </c>
      <c r="N14" s="20" t="s">
        <v>164</v>
      </c>
      <c r="O14" s="20" t="s">
        <v>3047</v>
      </c>
      <c r="P14" s="18" t="s">
        <v>99</v>
      </c>
      <c r="Q14" s="20" t="s">
        <v>938</v>
      </c>
      <c r="R14" s="20"/>
      <c r="S14" s="20" t="s">
        <v>1374</v>
      </c>
      <c r="T14" s="20"/>
      <c r="U14" s="153">
        <v>13988</v>
      </c>
      <c r="V14" s="153">
        <v>3.7589999999999999</v>
      </c>
      <c r="W14" s="153">
        <v>830.053</v>
      </c>
      <c r="X14" s="153">
        <v>436.44900000000001</v>
      </c>
      <c r="Y14" s="168">
        <v>4.9803203529646602E-2</v>
      </c>
      <c r="Z14" s="168">
        <v>1.10436904923002E-3</v>
      </c>
    </row>
    <row r="15" spans="1:26">
      <c r="A15" s="20" t="s">
        <v>26</v>
      </c>
      <c r="B15" s="20">
        <v>1182</v>
      </c>
      <c r="C15" s="20" t="s">
        <v>2316</v>
      </c>
      <c r="D15" s="20" t="s">
        <v>2317</v>
      </c>
      <c r="E15" s="18" t="s">
        <v>1376</v>
      </c>
      <c r="F15" s="20" t="s">
        <v>3051</v>
      </c>
      <c r="G15" s="20" t="s">
        <v>3052</v>
      </c>
      <c r="H15" s="18" t="s">
        <v>34</v>
      </c>
      <c r="I15" s="20" t="s">
        <v>810</v>
      </c>
      <c r="J15" s="18" t="s">
        <v>31</v>
      </c>
      <c r="K15" s="18" t="s">
        <v>31</v>
      </c>
      <c r="L15" s="20" t="s">
        <v>203</v>
      </c>
      <c r="M15" s="20" t="s">
        <v>522</v>
      </c>
      <c r="N15" s="20" t="s">
        <v>164</v>
      </c>
      <c r="O15" s="20" t="s">
        <v>3053</v>
      </c>
      <c r="P15" s="18" t="s">
        <v>35</v>
      </c>
      <c r="Q15" s="20" t="s">
        <v>203</v>
      </c>
      <c r="R15" s="20"/>
      <c r="S15" s="20" t="s">
        <v>1374</v>
      </c>
      <c r="T15" s="20"/>
      <c r="U15" s="153">
        <v>127</v>
      </c>
      <c r="V15" s="153">
        <v>1</v>
      </c>
      <c r="W15" s="153">
        <v>195840.641</v>
      </c>
      <c r="X15" s="153">
        <v>248.71799999999999</v>
      </c>
      <c r="Y15" s="168">
        <v>2.8381160736277899E-2</v>
      </c>
      <c r="Z15" s="168">
        <v>6.2934255784790499E-4</v>
      </c>
    </row>
    <row r="16" spans="1:26">
      <c r="A16" s="20" t="s">
        <v>26</v>
      </c>
      <c r="B16" s="20">
        <v>1182</v>
      </c>
      <c r="C16" s="20" t="s">
        <v>3054</v>
      </c>
      <c r="D16" s="20" t="s">
        <v>3055</v>
      </c>
      <c r="E16" s="18" t="s">
        <v>1376</v>
      </c>
      <c r="F16" s="20" t="s">
        <v>3054</v>
      </c>
      <c r="G16" s="20" t="s">
        <v>3056</v>
      </c>
      <c r="H16" s="18" t="s">
        <v>34</v>
      </c>
      <c r="I16" s="20" t="s">
        <v>810</v>
      </c>
      <c r="J16" s="18" t="s">
        <v>31</v>
      </c>
      <c r="K16" s="18" t="s">
        <v>31</v>
      </c>
      <c r="L16" s="20" t="s">
        <v>203</v>
      </c>
      <c r="M16" s="20" t="s">
        <v>487</v>
      </c>
      <c r="N16" s="20" t="s">
        <v>164</v>
      </c>
      <c r="O16" s="20" t="s">
        <v>3057</v>
      </c>
      <c r="P16" s="18" t="s">
        <v>99</v>
      </c>
      <c r="Q16" s="20" t="s">
        <v>203</v>
      </c>
      <c r="R16" s="20"/>
      <c r="S16" s="20" t="s">
        <v>1374</v>
      </c>
      <c r="T16" s="20"/>
      <c r="U16" s="153">
        <v>41131.24</v>
      </c>
      <c r="V16" s="153">
        <v>3.7589999999999999</v>
      </c>
      <c r="W16" s="153">
        <v>0</v>
      </c>
      <c r="X16" s="153">
        <v>0</v>
      </c>
      <c r="Y16" s="168">
        <v>1.7642809269265802E-8</v>
      </c>
      <c r="Z16" s="168">
        <v>3.9122327717025602E-10</v>
      </c>
    </row>
    <row r="17" spans="1:26">
      <c r="A17" s="20" t="s">
        <v>26</v>
      </c>
      <c r="B17" s="20">
        <v>1182</v>
      </c>
      <c r="C17" s="20" t="s">
        <v>3058</v>
      </c>
      <c r="D17" s="20" t="s">
        <v>3059</v>
      </c>
      <c r="E17" s="18" t="s">
        <v>34</v>
      </c>
      <c r="F17" s="20" t="s">
        <v>3060</v>
      </c>
      <c r="G17" s="20" t="s">
        <v>3061</v>
      </c>
      <c r="H17" s="18" t="s">
        <v>367</v>
      </c>
      <c r="I17" s="20" t="s">
        <v>810</v>
      </c>
      <c r="J17" s="18" t="s">
        <v>94</v>
      </c>
      <c r="K17" s="18" t="s">
        <v>345</v>
      </c>
      <c r="L17" s="20" t="s">
        <v>203</v>
      </c>
      <c r="M17" s="20" t="s">
        <v>2071</v>
      </c>
      <c r="N17" s="20" t="s">
        <v>164</v>
      </c>
      <c r="O17" s="20"/>
      <c r="P17" s="18" t="s">
        <v>99</v>
      </c>
      <c r="Q17" s="20" t="s">
        <v>203</v>
      </c>
      <c r="R17" s="20"/>
      <c r="S17" s="20" t="s">
        <v>3062</v>
      </c>
      <c r="T17" s="20"/>
      <c r="U17" s="153">
        <v>14.84</v>
      </c>
      <c r="V17" s="153">
        <v>3.7589999999999999</v>
      </c>
      <c r="W17" s="153">
        <v>0</v>
      </c>
      <c r="X17" s="153">
        <v>0</v>
      </c>
      <c r="Y17" s="168">
        <v>6.3654606463579494E-12</v>
      </c>
      <c r="Z17" s="168">
        <v>1.4115191842518301E-13</v>
      </c>
    </row>
    <row r="18" spans="1:26">
      <c r="A18" s="20" t="s">
        <v>26</v>
      </c>
      <c r="B18" s="20">
        <v>1182</v>
      </c>
      <c r="C18" s="20" t="s">
        <v>3063</v>
      </c>
      <c r="D18" s="20" t="s">
        <v>3064</v>
      </c>
      <c r="E18" s="18" t="s">
        <v>34</v>
      </c>
      <c r="F18" s="20" t="s">
        <v>3063</v>
      </c>
      <c r="G18" s="20" t="s">
        <v>3065</v>
      </c>
      <c r="H18" s="18" t="s">
        <v>367</v>
      </c>
      <c r="I18" s="20" t="s">
        <v>810</v>
      </c>
      <c r="J18" s="18" t="s">
        <v>94</v>
      </c>
      <c r="K18" s="18" t="s">
        <v>95</v>
      </c>
      <c r="L18" s="20" t="s">
        <v>203</v>
      </c>
      <c r="M18" s="20" t="s">
        <v>2043</v>
      </c>
      <c r="N18" s="20" t="s">
        <v>164</v>
      </c>
      <c r="O18" s="20"/>
      <c r="P18" s="18" t="s">
        <v>99</v>
      </c>
      <c r="Q18" s="20" t="s">
        <v>203</v>
      </c>
      <c r="R18" s="20"/>
      <c r="S18" s="20" t="s">
        <v>3062</v>
      </c>
      <c r="T18" s="20"/>
      <c r="U18" s="153">
        <v>43.79</v>
      </c>
      <c r="V18" s="153">
        <v>3.7589999999999999</v>
      </c>
      <c r="W18" s="153">
        <v>0</v>
      </c>
      <c r="X18" s="153">
        <v>0</v>
      </c>
      <c r="Y18" s="168">
        <v>1.8783256179515797E-11</v>
      </c>
      <c r="Z18" s="168">
        <v>4.16512298371883E-13</v>
      </c>
    </row>
    <row r="19" spans="1:26">
      <c r="A19" s="4" t="s">
        <v>26</v>
      </c>
      <c r="B19" s="20">
        <v>1182</v>
      </c>
      <c r="C19" s="20" t="s">
        <v>3066</v>
      </c>
      <c r="D19" s="20" t="s">
        <v>3067</v>
      </c>
      <c r="E19" s="18" t="s">
        <v>34</v>
      </c>
      <c r="F19" s="20" t="s">
        <v>3068</v>
      </c>
      <c r="G19" s="20" t="s">
        <v>3069</v>
      </c>
      <c r="H19" s="18" t="s">
        <v>34</v>
      </c>
      <c r="I19" s="20" t="s">
        <v>810</v>
      </c>
      <c r="J19" s="18" t="s">
        <v>94</v>
      </c>
      <c r="K19" s="18" t="s">
        <v>95</v>
      </c>
      <c r="L19" s="20" t="s">
        <v>203</v>
      </c>
      <c r="M19" s="20" t="s">
        <v>590</v>
      </c>
      <c r="N19" s="20" t="s">
        <v>164</v>
      </c>
      <c r="O19" s="20" t="s">
        <v>2799</v>
      </c>
      <c r="P19" s="18" t="s">
        <v>99</v>
      </c>
      <c r="Q19" s="20" t="s">
        <v>938</v>
      </c>
      <c r="R19" s="20"/>
      <c r="S19" s="20" t="s">
        <v>1374</v>
      </c>
      <c r="T19" s="20"/>
      <c r="U19" s="153">
        <v>12316</v>
      </c>
      <c r="V19" s="153">
        <v>3.7589999999999999</v>
      </c>
      <c r="W19" s="153">
        <v>444.69</v>
      </c>
      <c r="X19" s="153">
        <v>205.87299999999999</v>
      </c>
      <c r="Y19" s="168">
        <v>2.3492161626356398E-2</v>
      </c>
      <c r="Z19" s="168">
        <v>5.2093067033757003E-4</v>
      </c>
    </row>
    <row r="20" spans="1:26">
      <c r="A20" s="2" t="s">
        <v>112</v>
      </c>
      <c r="B20" s="2">
        <v>12905</v>
      </c>
      <c r="C20" s="2" t="s">
        <v>3000</v>
      </c>
      <c r="D20" s="2" t="s">
        <v>3001</v>
      </c>
      <c r="E20" s="18" t="s">
        <v>1376</v>
      </c>
      <c r="F20" s="2" t="s">
        <v>3000</v>
      </c>
      <c r="G20" s="2" t="s">
        <v>3002</v>
      </c>
      <c r="H20" s="4" t="s">
        <v>34</v>
      </c>
      <c r="I20" s="20" t="s">
        <v>810</v>
      </c>
      <c r="J20" s="18" t="s">
        <v>31</v>
      </c>
      <c r="K20" s="18" t="s">
        <v>345</v>
      </c>
      <c r="L20" s="20" t="s">
        <v>203</v>
      </c>
      <c r="M20" s="20" t="s">
        <v>590</v>
      </c>
      <c r="N20" s="20" t="s">
        <v>164</v>
      </c>
      <c r="O20" s="2" t="s">
        <v>3003</v>
      </c>
      <c r="P20" s="2" t="s">
        <v>99</v>
      </c>
      <c r="Q20" s="2" t="s">
        <v>203</v>
      </c>
      <c r="R20" s="20"/>
      <c r="S20" s="2" t="s">
        <v>1374</v>
      </c>
      <c r="U20" s="150">
        <v>16.649999999999999</v>
      </c>
      <c r="V20" s="150">
        <v>3.7589999999999999</v>
      </c>
      <c r="W20" s="150">
        <v>90093.3</v>
      </c>
      <c r="X20" s="150">
        <v>56.387</v>
      </c>
      <c r="Y20" s="164">
        <v>0.157899474322378</v>
      </c>
      <c r="Z20" s="164">
        <v>1.8123117668825701E-3</v>
      </c>
    </row>
    <row r="21" spans="1:26">
      <c r="A21" s="2" t="s">
        <v>112</v>
      </c>
      <c r="B21" s="2">
        <v>12905</v>
      </c>
      <c r="C21" s="2" t="s">
        <v>3018</v>
      </c>
      <c r="D21" s="2" t="s">
        <v>3021</v>
      </c>
      <c r="E21" s="4" t="s">
        <v>34</v>
      </c>
      <c r="F21" s="2" t="s">
        <v>3022</v>
      </c>
      <c r="G21" s="2" t="s">
        <v>3023</v>
      </c>
      <c r="H21" s="2" t="s">
        <v>34</v>
      </c>
      <c r="I21" s="2" t="s">
        <v>810</v>
      </c>
      <c r="J21" s="2" t="s">
        <v>31</v>
      </c>
      <c r="K21" s="2" t="s">
        <v>95</v>
      </c>
      <c r="L21" s="4" t="s">
        <v>203</v>
      </c>
      <c r="M21" s="2" t="s">
        <v>491</v>
      </c>
      <c r="N21" s="2" t="s">
        <v>164</v>
      </c>
      <c r="O21" s="2" t="s">
        <v>3024</v>
      </c>
      <c r="P21" s="2" t="s">
        <v>99</v>
      </c>
      <c r="Q21" s="2" t="s">
        <v>203</v>
      </c>
      <c r="S21" s="2" t="s">
        <v>1374</v>
      </c>
      <c r="U21" s="150">
        <v>80000</v>
      </c>
      <c r="V21" s="150">
        <v>3.7589999999999999</v>
      </c>
      <c r="W21" s="150">
        <v>100</v>
      </c>
      <c r="X21" s="150">
        <v>300.72000000000003</v>
      </c>
      <c r="Y21" s="164">
        <v>0.84210052567762195</v>
      </c>
      <c r="Z21" s="164">
        <v>9.6653183814130999E-3</v>
      </c>
    </row>
    <row r="22" spans="1:26">
      <c r="A22" s="2" t="s">
        <v>112</v>
      </c>
      <c r="B22" s="2">
        <v>13680</v>
      </c>
      <c r="C22" s="2" t="s">
        <v>3000</v>
      </c>
      <c r="D22" s="2" t="s">
        <v>3001</v>
      </c>
      <c r="E22" s="4" t="s">
        <v>1376</v>
      </c>
      <c r="F22" s="2" t="s">
        <v>3000</v>
      </c>
      <c r="G22" s="2" t="s">
        <v>3002</v>
      </c>
      <c r="H22" s="2" t="s">
        <v>34</v>
      </c>
      <c r="I22" s="2" t="s">
        <v>810</v>
      </c>
      <c r="J22" s="2" t="s">
        <v>31</v>
      </c>
      <c r="K22" s="2" t="s">
        <v>345</v>
      </c>
      <c r="L22" s="4" t="s">
        <v>203</v>
      </c>
      <c r="M22" s="2" t="s">
        <v>590</v>
      </c>
      <c r="N22" s="2" t="s">
        <v>164</v>
      </c>
      <c r="O22" s="2" t="s">
        <v>3003</v>
      </c>
      <c r="P22" s="2" t="s">
        <v>99</v>
      </c>
      <c r="Q22" s="2" t="s">
        <v>203</v>
      </c>
      <c r="S22" s="2" t="s">
        <v>1374</v>
      </c>
      <c r="U22" s="150">
        <v>11.1</v>
      </c>
      <c r="V22" s="150">
        <v>3.7589999999999999</v>
      </c>
      <c r="W22" s="150">
        <v>90093.3</v>
      </c>
      <c r="X22" s="150">
        <v>37.591000000000001</v>
      </c>
      <c r="Y22" s="164">
        <v>0.125003897013894</v>
      </c>
      <c r="Z22" s="164">
        <v>1.1706933182179999E-3</v>
      </c>
    </row>
    <row r="23" spans="1:26">
      <c r="A23" s="2" t="s">
        <v>112</v>
      </c>
      <c r="B23" s="2">
        <v>13680</v>
      </c>
      <c r="C23" s="2" t="s">
        <v>3018</v>
      </c>
      <c r="D23" s="2" t="s">
        <v>3021</v>
      </c>
      <c r="E23" s="4" t="s">
        <v>34</v>
      </c>
      <c r="F23" s="2" t="s">
        <v>3022</v>
      </c>
      <c r="G23" s="2" t="s">
        <v>3023</v>
      </c>
      <c r="H23" s="2" t="s">
        <v>34</v>
      </c>
      <c r="I23" s="2" t="s">
        <v>810</v>
      </c>
      <c r="J23" s="2" t="s">
        <v>31</v>
      </c>
      <c r="K23" s="2" t="s">
        <v>95</v>
      </c>
      <c r="L23" s="4" t="s">
        <v>203</v>
      </c>
      <c r="M23" s="2" t="s">
        <v>491</v>
      </c>
      <c r="N23" s="2" t="s">
        <v>164</v>
      </c>
      <c r="O23" s="2" t="s">
        <v>3024</v>
      </c>
      <c r="P23" s="2" t="s">
        <v>99</v>
      </c>
      <c r="Q23" s="2" t="s">
        <v>203</v>
      </c>
      <c r="S23" s="2" t="s">
        <v>1374</v>
      </c>
      <c r="U23" s="150">
        <v>70000</v>
      </c>
      <c r="V23" s="150">
        <v>3.7589999999999999</v>
      </c>
      <c r="W23" s="150">
        <v>100</v>
      </c>
      <c r="X23" s="150">
        <v>263.13</v>
      </c>
      <c r="Y23" s="164">
        <v>0.87499610298610597</v>
      </c>
      <c r="Z23" s="164">
        <v>8.1945612553084891E-3</v>
      </c>
    </row>
    <row r="24" spans="1:26">
      <c r="A24" s="2" t="s">
        <v>128</v>
      </c>
      <c r="B24" s="2">
        <v>7228</v>
      </c>
      <c r="C24" s="2" t="s">
        <v>2996</v>
      </c>
      <c r="D24" s="2" t="s">
        <v>2997</v>
      </c>
      <c r="E24" s="4" t="s">
        <v>34</v>
      </c>
      <c r="F24" s="2" t="s">
        <v>2996</v>
      </c>
      <c r="G24" s="2" t="s">
        <v>2998</v>
      </c>
      <c r="H24" s="2" t="s">
        <v>34</v>
      </c>
      <c r="I24" s="2" t="s">
        <v>810</v>
      </c>
      <c r="J24" s="2" t="s">
        <v>31</v>
      </c>
      <c r="K24" s="2" t="s">
        <v>31</v>
      </c>
      <c r="L24" s="4" t="s">
        <v>203</v>
      </c>
      <c r="M24" s="2" t="s">
        <v>588</v>
      </c>
      <c r="N24" s="2" t="s">
        <v>164</v>
      </c>
      <c r="O24" s="2" t="s">
        <v>2999</v>
      </c>
      <c r="P24" s="2" t="s">
        <v>99</v>
      </c>
      <c r="Q24" s="2" t="s">
        <v>203</v>
      </c>
      <c r="S24" s="2" t="s">
        <v>1374</v>
      </c>
      <c r="U24" s="150">
        <v>82545</v>
      </c>
      <c r="V24" s="150">
        <v>3.7589999999999999</v>
      </c>
      <c r="W24" s="150">
        <v>5368</v>
      </c>
      <c r="X24" s="150">
        <v>16656.187999999998</v>
      </c>
      <c r="Y24" s="164">
        <v>0.236637554599709</v>
      </c>
      <c r="Z24" s="164">
        <v>7.1170896435104897E-3</v>
      </c>
    </row>
    <row r="25" spans="1:26">
      <c r="A25" s="2" t="s">
        <v>128</v>
      </c>
      <c r="B25" s="2">
        <v>7228</v>
      </c>
      <c r="C25" s="2" t="s">
        <v>3000</v>
      </c>
      <c r="D25" s="2" t="s">
        <v>3001</v>
      </c>
      <c r="E25" s="4" t="s">
        <v>1376</v>
      </c>
      <c r="F25" s="2" t="s">
        <v>3000</v>
      </c>
      <c r="G25" s="2" t="s">
        <v>3002</v>
      </c>
      <c r="H25" s="2" t="s">
        <v>34</v>
      </c>
      <c r="I25" s="2" t="s">
        <v>810</v>
      </c>
      <c r="J25" s="2" t="s">
        <v>31</v>
      </c>
      <c r="K25" s="2" t="s">
        <v>345</v>
      </c>
      <c r="L25" s="4" t="s">
        <v>203</v>
      </c>
      <c r="M25" s="2" t="s">
        <v>590</v>
      </c>
      <c r="N25" s="2" t="s">
        <v>164</v>
      </c>
      <c r="O25" s="2" t="s">
        <v>3003</v>
      </c>
      <c r="P25" s="2" t="s">
        <v>99</v>
      </c>
      <c r="Q25" s="2" t="s">
        <v>203</v>
      </c>
      <c r="S25" s="2" t="s">
        <v>1374</v>
      </c>
      <c r="U25" s="150">
        <v>2219.02</v>
      </c>
      <c r="V25" s="150">
        <v>3.7589999999999999</v>
      </c>
      <c r="W25" s="150">
        <v>90093.3</v>
      </c>
      <c r="X25" s="150">
        <v>7514.9489999999996</v>
      </c>
      <c r="Y25" s="164">
        <v>0.10676627753267701</v>
      </c>
      <c r="Z25" s="164">
        <v>3.2110928858665399E-3</v>
      </c>
    </row>
    <row r="26" spans="1:26">
      <c r="A26" s="2" t="s">
        <v>128</v>
      </c>
      <c r="B26" s="2">
        <v>7228</v>
      </c>
      <c r="C26" s="2" t="s">
        <v>3004</v>
      </c>
      <c r="D26" s="2" t="s">
        <v>3005</v>
      </c>
      <c r="E26" s="4" t="s">
        <v>34</v>
      </c>
      <c r="F26" s="2" t="s">
        <v>3004</v>
      </c>
      <c r="G26" s="2" t="s">
        <v>3006</v>
      </c>
      <c r="H26" s="2" t="s">
        <v>34</v>
      </c>
      <c r="I26" s="2" t="s">
        <v>810</v>
      </c>
      <c r="J26" s="2" t="s">
        <v>31</v>
      </c>
      <c r="K26" s="2" t="s">
        <v>31</v>
      </c>
      <c r="L26" s="4" t="s">
        <v>203</v>
      </c>
      <c r="M26" s="2" t="s">
        <v>574</v>
      </c>
      <c r="N26" s="2" t="s">
        <v>164</v>
      </c>
      <c r="O26" s="2" t="s">
        <v>3007</v>
      </c>
      <c r="P26" s="2" t="s">
        <v>99</v>
      </c>
      <c r="Q26" s="2" t="s">
        <v>203</v>
      </c>
      <c r="S26" s="2" t="s">
        <v>1374</v>
      </c>
      <c r="U26" s="150">
        <v>239148</v>
      </c>
      <c r="V26" s="150">
        <v>3.7589999999999999</v>
      </c>
      <c r="W26" s="150">
        <v>0</v>
      </c>
      <c r="X26" s="150">
        <v>1E-3</v>
      </c>
      <c r="Y26" s="164">
        <v>1.27716539538726E-8</v>
      </c>
      <c r="Z26" s="164">
        <v>3.8411910670462202E-10</v>
      </c>
    </row>
    <row r="27" spans="1:26">
      <c r="A27" s="2" t="s">
        <v>128</v>
      </c>
      <c r="B27" s="2">
        <v>7228</v>
      </c>
      <c r="C27" s="2" t="s">
        <v>3008</v>
      </c>
      <c r="D27" s="2" t="s">
        <v>3009</v>
      </c>
      <c r="E27" s="4" t="s">
        <v>34</v>
      </c>
      <c r="F27" s="2" t="s">
        <v>3010</v>
      </c>
      <c r="G27" s="2" t="s">
        <v>3011</v>
      </c>
      <c r="H27" s="2" t="s">
        <v>34</v>
      </c>
      <c r="I27" s="2" t="s">
        <v>810</v>
      </c>
      <c r="J27" s="2" t="s">
        <v>31</v>
      </c>
      <c r="L27" s="4" t="s">
        <v>203</v>
      </c>
      <c r="M27" s="2" t="s">
        <v>3012</v>
      </c>
      <c r="N27" s="2" t="s">
        <v>164</v>
      </c>
      <c r="O27" s="2" t="s">
        <v>3013</v>
      </c>
      <c r="P27" s="2" t="s">
        <v>99</v>
      </c>
      <c r="Q27" s="2" t="s">
        <v>203</v>
      </c>
      <c r="S27" s="2" t="s">
        <v>1374</v>
      </c>
      <c r="U27" s="150">
        <v>247505</v>
      </c>
      <c r="V27" s="150">
        <v>3.7589999999999999</v>
      </c>
      <c r="W27" s="150">
        <v>10.62</v>
      </c>
      <c r="X27" s="150">
        <v>98.805000000000007</v>
      </c>
      <c r="Y27" s="164">
        <v>1.40374713607813E-3</v>
      </c>
      <c r="Z27" s="164">
        <v>4.2218971630217698E-5</v>
      </c>
    </row>
    <row r="28" spans="1:26">
      <c r="A28" s="2" t="s">
        <v>128</v>
      </c>
      <c r="B28" s="2">
        <v>7228</v>
      </c>
      <c r="C28" s="2" t="s">
        <v>3008</v>
      </c>
      <c r="D28" s="2" t="s">
        <v>3009</v>
      </c>
      <c r="E28" s="4" t="s">
        <v>34</v>
      </c>
      <c r="F28" s="2" t="s">
        <v>3008</v>
      </c>
      <c r="G28" s="2" t="s">
        <v>3014</v>
      </c>
      <c r="H28" s="2" t="s">
        <v>34</v>
      </c>
      <c r="I28" s="2" t="s">
        <v>810</v>
      </c>
      <c r="J28" s="2" t="s">
        <v>31</v>
      </c>
      <c r="K28" s="2" t="s">
        <v>95</v>
      </c>
      <c r="L28" s="4" t="s">
        <v>203</v>
      </c>
      <c r="M28" s="2" t="s">
        <v>588</v>
      </c>
      <c r="N28" s="2" t="s">
        <v>164</v>
      </c>
      <c r="O28" s="2" t="s">
        <v>3015</v>
      </c>
      <c r="P28" s="2" t="s">
        <v>99</v>
      </c>
      <c r="Q28" s="2" t="s">
        <v>936</v>
      </c>
      <c r="S28" s="2" t="s">
        <v>1374</v>
      </c>
      <c r="U28" s="150">
        <v>260000</v>
      </c>
      <c r="V28" s="150">
        <v>3.7589999999999999</v>
      </c>
      <c r="W28" s="150">
        <v>4.41</v>
      </c>
      <c r="X28" s="150">
        <v>43.104999999999997</v>
      </c>
      <c r="Y28" s="164">
        <v>6.1239511413524299E-4</v>
      </c>
      <c r="Z28" s="164">
        <v>1.8418339945749799E-5</v>
      </c>
    </row>
    <row r="29" spans="1:26">
      <c r="A29" s="2" t="s">
        <v>128</v>
      </c>
      <c r="B29" s="2">
        <v>7228</v>
      </c>
      <c r="C29" s="2" t="s">
        <v>3070</v>
      </c>
      <c r="D29" s="2" t="s">
        <v>3071</v>
      </c>
      <c r="E29" s="4" t="s">
        <v>34</v>
      </c>
      <c r="F29" s="2" t="s">
        <v>3070</v>
      </c>
      <c r="G29" s="2" t="s">
        <v>3072</v>
      </c>
      <c r="H29" s="2" t="s">
        <v>34</v>
      </c>
      <c r="I29" s="2" t="s">
        <v>810</v>
      </c>
      <c r="J29" s="2" t="s">
        <v>31</v>
      </c>
      <c r="K29" s="2" t="s">
        <v>31</v>
      </c>
      <c r="L29" s="4" t="s">
        <v>203</v>
      </c>
      <c r="M29" s="2" t="s">
        <v>574</v>
      </c>
      <c r="N29" s="2" t="s">
        <v>164</v>
      </c>
      <c r="P29" s="2" t="s">
        <v>99</v>
      </c>
      <c r="Q29" s="2" t="s">
        <v>203</v>
      </c>
      <c r="S29" s="2" t="s">
        <v>1374</v>
      </c>
      <c r="U29" s="150">
        <v>2939</v>
      </c>
      <c r="V29" s="150">
        <v>3.7589999999999999</v>
      </c>
      <c r="W29" s="150">
        <v>31340.455999999998</v>
      </c>
      <c r="X29" s="150">
        <v>3462.4</v>
      </c>
      <c r="Y29" s="164">
        <v>4.9190958553950601E-2</v>
      </c>
      <c r="Z29" s="164">
        <v>1.4794628108412099E-3</v>
      </c>
    </row>
    <row r="30" spans="1:26">
      <c r="A30" s="2" t="s">
        <v>128</v>
      </c>
      <c r="B30" s="2">
        <v>7228</v>
      </c>
      <c r="C30" s="2" t="s">
        <v>3016</v>
      </c>
      <c r="D30" s="2" t="s">
        <v>3017</v>
      </c>
      <c r="E30" s="4" t="s">
        <v>1376</v>
      </c>
      <c r="F30" s="2" t="s">
        <v>3018</v>
      </c>
      <c r="G30" s="2" t="s">
        <v>3019</v>
      </c>
      <c r="H30" s="2" t="s">
        <v>34</v>
      </c>
      <c r="I30" s="2" t="s">
        <v>810</v>
      </c>
      <c r="J30" s="2" t="s">
        <v>31</v>
      </c>
      <c r="K30" s="2" t="s">
        <v>95</v>
      </c>
      <c r="L30" s="4" t="s">
        <v>203</v>
      </c>
      <c r="M30" s="2" t="s">
        <v>491</v>
      </c>
      <c r="N30" s="2" t="s">
        <v>164</v>
      </c>
      <c r="O30" s="2" t="s">
        <v>3020</v>
      </c>
      <c r="P30" s="2" t="s">
        <v>99</v>
      </c>
      <c r="Q30" s="2" t="s">
        <v>203</v>
      </c>
      <c r="S30" s="2" t="s">
        <v>1374</v>
      </c>
      <c r="U30" s="150">
        <v>2325794</v>
      </c>
      <c r="V30" s="150">
        <v>3.7589999999999999</v>
      </c>
      <c r="W30" s="150">
        <v>374.80799999999999</v>
      </c>
      <c r="X30" s="150">
        <v>32768.197</v>
      </c>
      <c r="Y30" s="164">
        <v>0.46554386020719102</v>
      </c>
      <c r="Z30" s="164">
        <v>1.4001654943084699E-2</v>
      </c>
    </row>
    <row r="31" spans="1:26">
      <c r="A31" s="2" t="s">
        <v>128</v>
      </c>
      <c r="B31" s="2">
        <v>7228</v>
      </c>
      <c r="C31" s="2" t="s">
        <v>3018</v>
      </c>
      <c r="D31" s="2" t="s">
        <v>3021</v>
      </c>
      <c r="E31" s="4" t="s">
        <v>34</v>
      </c>
      <c r="F31" s="2" t="s">
        <v>3022</v>
      </c>
      <c r="G31" s="2" t="s">
        <v>3023</v>
      </c>
      <c r="H31" s="2" t="s">
        <v>34</v>
      </c>
      <c r="I31" s="2" t="s">
        <v>810</v>
      </c>
      <c r="J31" s="2" t="s">
        <v>31</v>
      </c>
      <c r="K31" s="2" t="s">
        <v>95</v>
      </c>
      <c r="L31" s="4" t="s">
        <v>203</v>
      </c>
      <c r="M31" s="2" t="s">
        <v>491</v>
      </c>
      <c r="N31" s="2" t="s">
        <v>164</v>
      </c>
      <c r="O31" s="2" t="s">
        <v>3024</v>
      </c>
      <c r="P31" s="2" t="s">
        <v>99</v>
      </c>
      <c r="Q31" s="2" t="s">
        <v>203</v>
      </c>
      <c r="S31" s="2" t="s">
        <v>1374</v>
      </c>
      <c r="U31" s="150">
        <v>150000</v>
      </c>
      <c r="V31" s="150">
        <v>3.7589999999999999</v>
      </c>
      <c r="W31" s="150">
        <v>100</v>
      </c>
      <c r="X31" s="150">
        <v>563.85</v>
      </c>
      <c r="Y31" s="164">
        <v>8.0107217835018001E-3</v>
      </c>
      <c r="Z31" s="164">
        <v>2.40929742275467E-4</v>
      </c>
    </row>
    <row r="32" spans="1:26">
      <c r="A32" s="2" t="s">
        <v>128</v>
      </c>
      <c r="B32" s="2">
        <v>7228</v>
      </c>
      <c r="C32" s="2" t="s">
        <v>3025</v>
      </c>
      <c r="D32" s="2" t="s">
        <v>3026</v>
      </c>
      <c r="E32" s="4" t="s">
        <v>34</v>
      </c>
      <c r="F32" s="2" t="s">
        <v>3027</v>
      </c>
      <c r="G32" s="2" t="s">
        <v>3028</v>
      </c>
      <c r="H32" s="2" t="s">
        <v>34</v>
      </c>
      <c r="I32" s="2" t="s">
        <v>810</v>
      </c>
      <c r="J32" s="2" t="s">
        <v>94</v>
      </c>
      <c r="K32" s="2" t="s">
        <v>95</v>
      </c>
      <c r="L32" s="4" t="s">
        <v>203</v>
      </c>
      <c r="M32" s="2" t="s">
        <v>492</v>
      </c>
      <c r="N32" s="2" t="s">
        <v>164</v>
      </c>
      <c r="O32" s="2" t="s">
        <v>3029</v>
      </c>
      <c r="P32" s="2" t="s">
        <v>99</v>
      </c>
      <c r="Q32" s="2" t="s">
        <v>938</v>
      </c>
      <c r="S32" s="2" t="s">
        <v>1374</v>
      </c>
      <c r="U32" s="150">
        <v>47505</v>
      </c>
      <c r="V32" s="150">
        <v>3.7589999999999999</v>
      </c>
      <c r="W32" s="150">
        <v>610.43799999999999</v>
      </c>
      <c r="X32" s="150">
        <v>1090.068</v>
      </c>
      <c r="Y32" s="164">
        <v>1.5486797817550701E-2</v>
      </c>
      <c r="Z32" s="164">
        <v>4.6577952745023202E-4</v>
      </c>
    </row>
    <row r="33" spans="1:26">
      <c r="A33" s="2" t="s">
        <v>128</v>
      </c>
      <c r="B33" s="2">
        <v>7228</v>
      </c>
      <c r="C33" s="2" t="s">
        <v>3030</v>
      </c>
      <c r="D33" s="2" t="s">
        <v>3031</v>
      </c>
      <c r="E33" s="4" t="s">
        <v>34</v>
      </c>
      <c r="F33" s="2" t="s">
        <v>3030</v>
      </c>
      <c r="G33" s="2" t="s">
        <v>3032</v>
      </c>
      <c r="H33" s="2" t="s">
        <v>34</v>
      </c>
      <c r="I33" s="2" t="s">
        <v>810</v>
      </c>
      <c r="J33" s="2" t="s">
        <v>31</v>
      </c>
      <c r="K33" s="2" t="s">
        <v>95</v>
      </c>
      <c r="L33" s="4" t="s">
        <v>203</v>
      </c>
      <c r="M33" s="2" t="s">
        <v>590</v>
      </c>
      <c r="N33" s="2" t="s">
        <v>164</v>
      </c>
      <c r="O33" s="2" t="s">
        <v>3033</v>
      </c>
      <c r="P33" s="2" t="s">
        <v>99</v>
      </c>
      <c r="Q33" s="2" t="s">
        <v>938</v>
      </c>
      <c r="S33" s="2" t="s">
        <v>1374</v>
      </c>
      <c r="U33" s="150">
        <v>290000</v>
      </c>
      <c r="V33" s="150">
        <v>3.7589999999999999</v>
      </c>
      <c r="W33" s="150">
        <v>67</v>
      </c>
      <c r="X33" s="150">
        <v>730.37400000000002</v>
      </c>
      <c r="Y33" s="164">
        <v>1.0376554950229299E-2</v>
      </c>
      <c r="Z33" s="164">
        <v>3.12084326160822E-4</v>
      </c>
    </row>
    <row r="34" spans="1:26">
      <c r="A34" s="2" t="s">
        <v>128</v>
      </c>
      <c r="B34" s="2">
        <v>7228</v>
      </c>
      <c r="C34" s="2" t="s">
        <v>3034</v>
      </c>
      <c r="D34" s="2" t="s">
        <v>3035</v>
      </c>
      <c r="E34" s="4" t="s">
        <v>34</v>
      </c>
      <c r="F34" s="2" t="s">
        <v>3036</v>
      </c>
      <c r="G34" s="2" t="s">
        <v>3037</v>
      </c>
      <c r="H34" s="2" t="s">
        <v>34</v>
      </c>
      <c r="I34" s="2" t="s">
        <v>810</v>
      </c>
      <c r="J34" s="2" t="s">
        <v>31</v>
      </c>
      <c r="K34" s="2" t="s">
        <v>95</v>
      </c>
      <c r="L34" s="4" t="s">
        <v>203</v>
      </c>
      <c r="M34" s="2" t="s">
        <v>492</v>
      </c>
      <c r="N34" s="2" t="s">
        <v>164</v>
      </c>
      <c r="O34" s="2" t="s">
        <v>3038</v>
      </c>
      <c r="P34" s="2" t="s">
        <v>99</v>
      </c>
      <c r="Q34" s="2" t="s">
        <v>938</v>
      </c>
      <c r="S34" s="2" t="s">
        <v>1374</v>
      </c>
      <c r="U34" s="150">
        <v>2925086</v>
      </c>
      <c r="V34" s="150">
        <v>3.7589999999999999</v>
      </c>
      <c r="W34" s="150">
        <v>6.1139999999999999</v>
      </c>
      <c r="X34" s="150">
        <v>672.27</v>
      </c>
      <c r="Y34" s="164">
        <v>9.5510598502490506E-3</v>
      </c>
      <c r="Z34" s="164">
        <v>2.87256810356001E-4</v>
      </c>
    </row>
    <row r="35" spans="1:26">
      <c r="A35" s="2" t="s">
        <v>128</v>
      </c>
      <c r="B35" s="2">
        <v>7228</v>
      </c>
      <c r="C35" s="2" t="s">
        <v>3039</v>
      </c>
      <c r="D35" s="2" t="s">
        <v>3040</v>
      </c>
      <c r="E35" s="4" t="s">
        <v>1376</v>
      </c>
      <c r="F35" s="2" t="s">
        <v>3039</v>
      </c>
      <c r="G35" s="2" t="s">
        <v>3041</v>
      </c>
      <c r="H35" s="2" t="s">
        <v>34</v>
      </c>
      <c r="I35" s="2" t="s">
        <v>810</v>
      </c>
      <c r="J35" s="2" t="s">
        <v>31</v>
      </c>
      <c r="K35" s="2" t="s">
        <v>95</v>
      </c>
      <c r="L35" s="4" t="s">
        <v>203</v>
      </c>
      <c r="M35" s="2" t="s">
        <v>590</v>
      </c>
      <c r="N35" s="2" t="s">
        <v>164</v>
      </c>
      <c r="O35" s="2" t="s">
        <v>3042</v>
      </c>
      <c r="P35" s="2" t="s">
        <v>99</v>
      </c>
      <c r="Q35" s="2" t="s">
        <v>938</v>
      </c>
      <c r="S35" s="2" t="s">
        <v>1374</v>
      </c>
      <c r="U35" s="150">
        <v>21628</v>
      </c>
      <c r="V35" s="150">
        <v>3.7589999999999999</v>
      </c>
      <c r="W35" s="150">
        <v>1387.07</v>
      </c>
      <c r="X35" s="150">
        <v>1127.683</v>
      </c>
      <c r="Y35" s="164">
        <v>1.6021203223988201E-2</v>
      </c>
      <c r="Z35" s="164">
        <v>4.8185225601618601E-4</v>
      </c>
    </row>
    <row r="36" spans="1:26">
      <c r="A36" s="2" t="s">
        <v>128</v>
      </c>
      <c r="B36" s="2">
        <v>7228</v>
      </c>
      <c r="C36" s="2" t="s">
        <v>3043</v>
      </c>
      <c r="D36" s="2" t="s">
        <v>3044</v>
      </c>
      <c r="E36" s="4" t="s">
        <v>34</v>
      </c>
      <c r="F36" s="2" t="s">
        <v>3045</v>
      </c>
      <c r="G36" s="2" t="s">
        <v>3046</v>
      </c>
      <c r="H36" s="2" t="s">
        <v>34</v>
      </c>
      <c r="I36" s="2" t="s">
        <v>810</v>
      </c>
      <c r="J36" s="2" t="s">
        <v>31</v>
      </c>
      <c r="K36" s="2" t="s">
        <v>95</v>
      </c>
      <c r="L36" s="4" t="s">
        <v>203</v>
      </c>
      <c r="M36" s="2" t="s">
        <v>588</v>
      </c>
      <c r="N36" s="2" t="s">
        <v>164</v>
      </c>
      <c r="O36" s="2" t="s">
        <v>3047</v>
      </c>
      <c r="P36" s="2" t="s">
        <v>99</v>
      </c>
      <c r="Q36" s="2" t="s">
        <v>938</v>
      </c>
      <c r="S36" s="2" t="s">
        <v>1374</v>
      </c>
      <c r="U36" s="150">
        <v>41703</v>
      </c>
      <c r="V36" s="150">
        <v>3.7589999999999999</v>
      </c>
      <c r="W36" s="150">
        <v>0</v>
      </c>
      <c r="X36" s="150">
        <v>0</v>
      </c>
      <c r="Y36" s="164">
        <v>2.2271408702491701E-9</v>
      </c>
      <c r="Z36" s="164">
        <v>6.6983286947425294E-11</v>
      </c>
    </row>
    <row r="37" spans="1:26">
      <c r="A37" s="2" t="s">
        <v>128</v>
      </c>
      <c r="B37" s="2">
        <v>7228</v>
      </c>
      <c r="C37" s="2" t="s">
        <v>3048</v>
      </c>
      <c r="D37" s="2" t="s">
        <v>3049</v>
      </c>
      <c r="E37" s="4" t="s">
        <v>1376</v>
      </c>
      <c r="F37" s="2" t="s">
        <v>3048</v>
      </c>
      <c r="G37" s="2" t="s">
        <v>3050</v>
      </c>
      <c r="H37" s="2" t="s">
        <v>34</v>
      </c>
      <c r="I37" s="2" t="s">
        <v>810</v>
      </c>
      <c r="J37" s="2" t="s">
        <v>31</v>
      </c>
      <c r="K37" s="2" t="s">
        <v>95</v>
      </c>
      <c r="L37" s="4" t="s">
        <v>203</v>
      </c>
      <c r="M37" s="2" t="s">
        <v>588</v>
      </c>
      <c r="N37" s="2" t="s">
        <v>164</v>
      </c>
      <c r="O37" s="2" t="s">
        <v>3047</v>
      </c>
      <c r="P37" s="2" t="s">
        <v>99</v>
      </c>
      <c r="Q37" s="2" t="s">
        <v>938</v>
      </c>
      <c r="S37" s="2" t="s">
        <v>1374</v>
      </c>
      <c r="U37" s="150">
        <v>72735</v>
      </c>
      <c r="V37" s="150">
        <v>3.7589999999999999</v>
      </c>
      <c r="W37" s="150">
        <v>830.053</v>
      </c>
      <c r="X37" s="150">
        <v>2269.4549999999999</v>
      </c>
      <c r="Y37" s="164">
        <v>3.2242562603074398E-2</v>
      </c>
      <c r="Z37" s="164">
        <v>9.6972439041111505E-4</v>
      </c>
    </row>
    <row r="38" spans="1:26">
      <c r="A38" s="2" t="s">
        <v>128</v>
      </c>
      <c r="B38" s="2">
        <v>7228</v>
      </c>
      <c r="C38" s="2" t="s">
        <v>3073</v>
      </c>
      <c r="D38" s="2" t="s">
        <v>3074</v>
      </c>
      <c r="E38" s="4" t="s">
        <v>1376</v>
      </c>
      <c r="F38" s="2" t="s">
        <v>3075</v>
      </c>
      <c r="G38" s="2" t="s">
        <v>3076</v>
      </c>
      <c r="H38" s="2" t="s">
        <v>34</v>
      </c>
      <c r="I38" s="2" t="s">
        <v>810</v>
      </c>
      <c r="J38" s="2" t="s">
        <v>31</v>
      </c>
      <c r="K38" s="2" t="s">
        <v>31</v>
      </c>
      <c r="L38" s="4" t="s">
        <v>203</v>
      </c>
      <c r="M38" s="2" t="s">
        <v>529</v>
      </c>
      <c r="N38" s="2" t="s">
        <v>164</v>
      </c>
      <c r="P38" s="2" t="s">
        <v>99</v>
      </c>
      <c r="Q38" s="2" t="s">
        <v>203</v>
      </c>
      <c r="S38" s="2" t="s">
        <v>3077</v>
      </c>
      <c r="U38" s="150">
        <v>198592</v>
      </c>
      <c r="V38" s="150">
        <v>3.7589999999999999</v>
      </c>
      <c r="W38" s="150">
        <v>0</v>
      </c>
      <c r="X38" s="150">
        <v>1E-3</v>
      </c>
      <c r="Y38" s="164">
        <v>9.1209608264606808E-9</v>
      </c>
      <c r="Z38" s="164">
        <v>2.7432119110035899E-10</v>
      </c>
    </row>
    <row r="39" spans="1:26">
      <c r="A39" s="2" t="s">
        <v>128</v>
      </c>
      <c r="B39" s="2">
        <v>7228</v>
      </c>
      <c r="C39" s="2" t="s">
        <v>3078</v>
      </c>
      <c r="D39" s="2" t="s">
        <v>3079</v>
      </c>
      <c r="E39" s="4" t="s">
        <v>1376</v>
      </c>
      <c r="F39" s="2" t="s">
        <v>3080</v>
      </c>
      <c r="G39" s="2" t="s">
        <v>3081</v>
      </c>
      <c r="H39" s="2" t="s">
        <v>34</v>
      </c>
      <c r="I39" s="2" t="s">
        <v>810</v>
      </c>
      <c r="J39" s="2" t="s">
        <v>31</v>
      </c>
      <c r="K39" s="2" t="s">
        <v>31</v>
      </c>
      <c r="L39" s="4" t="s">
        <v>203</v>
      </c>
      <c r="M39" s="2" t="s">
        <v>516</v>
      </c>
      <c r="N39" s="2" t="s">
        <v>164</v>
      </c>
      <c r="O39" s="2" t="s">
        <v>3082</v>
      </c>
      <c r="P39" s="2" t="s">
        <v>35</v>
      </c>
      <c r="Q39" s="2" t="s">
        <v>203</v>
      </c>
      <c r="S39" s="2" t="s">
        <v>1374</v>
      </c>
      <c r="U39" s="150">
        <v>200000</v>
      </c>
      <c r="V39" s="150">
        <v>1</v>
      </c>
      <c r="W39" s="150">
        <v>21.5</v>
      </c>
      <c r="X39" s="150">
        <v>43</v>
      </c>
      <c r="Y39" s="164">
        <v>6.10908994751401E-4</v>
      </c>
      <c r="Z39" s="164">
        <v>1.8373643553862001E-5</v>
      </c>
    </row>
    <row r="40" spans="1:26">
      <c r="A40" s="2" t="s">
        <v>128</v>
      </c>
      <c r="B40" s="2">
        <v>7228</v>
      </c>
      <c r="C40" s="2" t="s">
        <v>3078</v>
      </c>
      <c r="D40" s="2" t="s">
        <v>3079</v>
      </c>
      <c r="E40" s="4" t="s">
        <v>1376</v>
      </c>
      <c r="F40" s="2" t="s">
        <v>3083</v>
      </c>
      <c r="G40" s="2" t="s">
        <v>3084</v>
      </c>
      <c r="H40" s="2" t="s">
        <v>34</v>
      </c>
      <c r="I40" s="2" t="s">
        <v>810</v>
      </c>
      <c r="J40" s="2" t="s">
        <v>31</v>
      </c>
      <c r="K40" s="2" t="s">
        <v>31</v>
      </c>
      <c r="L40" s="4" t="s">
        <v>203</v>
      </c>
      <c r="M40" s="2" t="s">
        <v>516</v>
      </c>
      <c r="N40" s="2" t="s">
        <v>164</v>
      </c>
      <c r="P40" s="2" t="s">
        <v>99</v>
      </c>
      <c r="Q40" s="2" t="s">
        <v>203</v>
      </c>
      <c r="S40" s="2" t="s">
        <v>1374</v>
      </c>
      <c r="U40" s="150">
        <v>68145</v>
      </c>
      <c r="V40" s="150">
        <v>3.7589999999999999</v>
      </c>
      <c r="W40" s="150">
        <v>362.46199999999999</v>
      </c>
      <c r="X40" s="150">
        <v>928.47299999999996</v>
      </c>
      <c r="Y40" s="164">
        <v>1.31909886692769E-2</v>
      </c>
      <c r="Z40" s="164">
        <v>3.9673097959697399E-4</v>
      </c>
    </row>
    <row r="41" spans="1:26">
      <c r="A41" s="2" t="s">
        <v>128</v>
      </c>
      <c r="B41" s="2">
        <v>7228</v>
      </c>
      <c r="C41" s="2" t="s">
        <v>2316</v>
      </c>
      <c r="D41" s="2" t="s">
        <v>2317</v>
      </c>
      <c r="E41" s="4" t="s">
        <v>1376</v>
      </c>
      <c r="F41" s="2" t="s">
        <v>3051</v>
      </c>
      <c r="G41" s="2" t="s">
        <v>3052</v>
      </c>
      <c r="H41" s="2" t="s">
        <v>34</v>
      </c>
      <c r="I41" s="2" t="s">
        <v>810</v>
      </c>
      <c r="J41" s="2" t="s">
        <v>31</v>
      </c>
      <c r="K41" s="2" t="s">
        <v>31</v>
      </c>
      <c r="L41" s="4" t="s">
        <v>203</v>
      </c>
      <c r="M41" s="2" t="s">
        <v>522</v>
      </c>
      <c r="N41" s="2" t="s">
        <v>164</v>
      </c>
      <c r="O41" s="2" t="s">
        <v>3053</v>
      </c>
      <c r="P41" s="2" t="s">
        <v>35</v>
      </c>
      <c r="Q41" s="2" t="s">
        <v>203</v>
      </c>
      <c r="S41" s="2" t="s">
        <v>1374</v>
      </c>
      <c r="U41" s="150">
        <v>688</v>
      </c>
      <c r="V41" s="150">
        <v>1</v>
      </c>
      <c r="W41" s="150">
        <v>195840.641</v>
      </c>
      <c r="X41" s="150">
        <v>1347.384</v>
      </c>
      <c r="Y41" s="164">
        <v>1.9142529440415699E-2</v>
      </c>
      <c r="Z41" s="164">
        <v>5.7572898038705904E-4</v>
      </c>
    </row>
    <row r="42" spans="1:26">
      <c r="A42" s="2" t="s">
        <v>128</v>
      </c>
      <c r="B42" s="2">
        <v>7228</v>
      </c>
      <c r="C42" s="2" t="s">
        <v>3085</v>
      </c>
      <c r="D42" s="2" t="s">
        <v>3086</v>
      </c>
      <c r="E42" s="4" t="s">
        <v>1376</v>
      </c>
      <c r="F42" s="2" t="s">
        <v>3087</v>
      </c>
      <c r="G42" s="2" t="s">
        <v>3088</v>
      </c>
      <c r="H42" s="2" t="s">
        <v>34</v>
      </c>
      <c r="I42" s="2" t="s">
        <v>810</v>
      </c>
      <c r="J42" s="2" t="s">
        <v>31</v>
      </c>
      <c r="K42" s="2" t="s">
        <v>31</v>
      </c>
      <c r="L42" s="4" t="s">
        <v>203</v>
      </c>
      <c r="M42" s="2" t="s">
        <v>490</v>
      </c>
      <c r="N42" s="2" t="s">
        <v>164</v>
      </c>
      <c r="P42" s="2" t="s">
        <v>35</v>
      </c>
      <c r="Q42" s="2" t="s">
        <v>203</v>
      </c>
      <c r="S42" s="2" t="s">
        <v>3077</v>
      </c>
      <c r="U42" s="150">
        <v>90000</v>
      </c>
      <c r="V42" s="150">
        <v>1</v>
      </c>
      <c r="W42" s="150">
        <v>0</v>
      </c>
      <c r="X42" s="150">
        <v>0</v>
      </c>
      <c r="Y42" s="164">
        <v>1.2786467332006102E-9</v>
      </c>
      <c r="Z42" s="164">
        <v>3.8456463252269293E-11</v>
      </c>
    </row>
    <row r="43" spans="1:26">
      <c r="A43" s="2" t="s">
        <v>128</v>
      </c>
      <c r="B43" s="2">
        <v>7228</v>
      </c>
      <c r="C43" s="2" t="s">
        <v>3054</v>
      </c>
      <c r="D43" s="2" t="s">
        <v>3055</v>
      </c>
      <c r="E43" s="4" t="s">
        <v>1376</v>
      </c>
      <c r="F43" s="2" t="s">
        <v>3054</v>
      </c>
      <c r="G43" s="2" t="s">
        <v>3056</v>
      </c>
      <c r="H43" s="2" t="s">
        <v>34</v>
      </c>
      <c r="I43" s="2" t="s">
        <v>810</v>
      </c>
      <c r="J43" s="2" t="s">
        <v>31</v>
      </c>
      <c r="K43" s="2" t="s">
        <v>31</v>
      </c>
      <c r="L43" s="4" t="s">
        <v>203</v>
      </c>
      <c r="M43" s="2" t="s">
        <v>487</v>
      </c>
      <c r="N43" s="2" t="s">
        <v>164</v>
      </c>
      <c r="O43" s="2" t="s">
        <v>3057</v>
      </c>
      <c r="P43" s="2" t="s">
        <v>99</v>
      </c>
      <c r="Q43" s="2" t="s">
        <v>203</v>
      </c>
      <c r="S43" s="2" t="s">
        <v>1374</v>
      </c>
      <c r="U43" s="150">
        <v>256208.76</v>
      </c>
      <c r="V43" s="150">
        <v>3.7589999999999999</v>
      </c>
      <c r="W43" s="150">
        <v>0</v>
      </c>
      <c r="X43" s="150">
        <v>1E-3</v>
      </c>
      <c r="Y43" s="164">
        <v>1.3682780632373199E-8</v>
      </c>
      <c r="Z43" s="164">
        <v>4.1152207010344603E-10</v>
      </c>
    </row>
    <row r="44" spans="1:26">
      <c r="A44" s="2" t="s">
        <v>128</v>
      </c>
      <c r="B44" s="2">
        <v>7228</v>
      </c>
      <c r="C44" s="2" t="s">
        <v>3058</v>
      </c>
      <c r="D44" s="2" t="s">
        <v>3059</v>
      </c>
      <c r="E44" s="4" t="s">
        <v>34</v>
      </c>
      <c r="F44" s="2" t="s">
        <v>3060</v>
      </c>
      <c r="G44" s="2" t="s">
        <v>3061</v>
      </c>
      <c r="H44" s="2" t="s">
        <v>367</v>
      </c>
      <c r="I44" s="2" t="s">
        <v>810</v>
      </c>
      <c r="J44" s="2" t="s">
        <v>94</v>
      </c>
      <c r="K44" s="2" t="s">
        <v>345</v>
      </c>
      <c r="L44" s="4" t="s">
        <v>203</v>
      </c>
      <c r="M44" s="2" t="s">
        <v>2071</v>
      </c>
      <c r="N44" s="2" t="s">
        <v>164</v>
      </c>
      <c r="P44" s="2" t="s">
        <v>99</v>
      </c>
      <c r="Q44" s="2" t="s">
        <v>203</v>
      </c>
      <c r="S44" s="2" t="s">
        <v>3062</v>
      </c>
      <c r="U44" s="150">
        <v>118.77</v>
      </c>
      <c r="V44" s="150">
        <v>3.7589999999999999</v>
      </c>
      <c r="W44" s="150">
        <v>0</v>
      </c>
      <c r="X44" s="150">
        <v>0</v>
      </c>
      <c r="Y44" s="164">
        <v>6.3428895081767199E-12</v>
      </c>
      <c r="Z44" s="164">
        <v>1.90768169933715E-13</v>
      </c>
    </row>
    <row r="45" spans="1:26">
      <c r="A45" s="2" t="s">
        <v>128</v>
      </c>
      <c r="B45" s="2">
        <v>7228</v>
      </c>
      <c r="C45" s="2" t="s">
        <v>3063</v>
      </c>
      <c r="D45" s="2" t="s">
        <v>3064</v>
      </c>
      <c r="E45" s="4" t="s">
        <v>34</v>
      </c>
      <c r="F45" s="2" t="s">
        <v>3063</v>
      </c>
      <c r="G45" s="2" t="s">
        <v>3065</v>
      </c>
      <c r="H45" s="2" t="s">
        <v>367</v>
      </c>
      <c r="I45" s="2" t="s">
        <v>810</v>
      </c>
      <c r="J45" s="2" t="s">
        <v>94</v>
      </c>
      <c r="K45" s="2" t="s">
        <v>95</v>
      </c>
      <c r="L45" s="4" t="s">
        <v>203</v>
      </c>
      <c r="M45" s="2" t="s">
        <v>2043</v>
      </c>
      <c r="N45" s="2" t="s">
        <v>164</v>
      </c>
      <c r="P45" s="2" t="s">
        <v>99</v>
      </c>
      <c r="Q45" s="2" t="s">
        <v>203</v>
      </c>
      <c r="S45" s="2" t="s">
        <v>3062</v>
      </c>
      <c r="U45" s="150">
        <v>403.95</v>
      </c>
      <c r="V45" s="150">
        <v>3.7589999999999999</v>
      </c>
      <c r="W45" s="150">
        <v>0</v>
      </c>
      <c r="X45" s="150">
        <v>0</v>
      </c>
      <c r="Y45" s="164">
        <v>2.1572873762970298E-11</v>
      </c>
      <c r="Z45" s="164">
        <v>6.4882379594783204E-13</v>
      </c>
    </row>
    <row r="46" spans="1:26">
      <c r="A46" s="2" t="s">
        <v>128</v>
      </c>
      <c r="B46" s="2">
        <v>7228</v>
      </c>
      <c r="C46" s="2" t="s">
        <v>3089</v>
      </c>
      <c r="D46" s="2" t="s">
        <v>3090</v>
      </c>
      <c r="E46" s="4" t="s">
        <v>34</v>
      </c>
      <c r="F46" s="2" t="s">
        <v>3089</v>
      </c>
      <c r="G46" s="2" t="s">
        <v>3091</v>
      </c>
      <c r="H46" s="2" t="s">
        <v>367</v>
      </c>
      <c r="I46" s="2" t="s">
        <v>810</v>
      </c>
      <c r="J46" s="2" t="s">
        <v>94</v>
      </c>
      <c r="K46" s="2" t="s">
        <v>95</v>
      </c>
      <c r="L46" s="4" t="s">
        <v>203</v>
      </c>
      <c r="M46" s="2" t="s">
        <v>578</v>
      </c>
      <c r="N46" s="2" t="s">
        <v>164</v>
      </c>
      <c r="O46" s="2" t="s">
        <v>3092</v>
      </c>
      <c r="P46" s="2" t="s">
        <v>99</v>
      </c>
      <c r="Q46" s="2" t="s">
        <v>203</v>
      </c>
      <c r="S46" s="2" t="s">
        <v>1374</v>
      </c>
      <c r="U46" s="150">
        <v>475</v>
      </c>
      <c r="V46" s="150">
        <v>3.7589999999999999</v>
      </c>
      <c r="W46" s="150">
        <v>0</v>
      </c>
      <c r="X46" s="150">
        <v>0</v>
      </c>
      <c r="Y46" s="164">
        <v>2.5367285647755698E-11</v>
      </c>
      <c r="Z46" s="164">
        <v>7.6294418387231195E-13</v>
      </c>
    </row>
    <row r="47" spans="1:26">
      <c r="A47" s="2" t="s">
        <v>128</v>
      </c>
      <c r="B47" s="2">
        <v>7228</v>
      </c>
      <c r="C47" s="2" t="s">
        <v>3093</v>
      </c>
      <c r="D47" s="2" t="s">
        <v>3094</v>
      </c>
      <c r="E47" s="4" t="s">
        <v>1376</v>
      </c>
      <c r="F47" s="2" t="s">
        <v>3095</v>
      </c>
      <c r="G47" s="2" t="s">
        <v>3096</v>
      </c>
      <c r="H47" s="2" t="s">
        <v>367</v>
      </c>
      <c r="I47" s="2" t="s">
        <v>810</v>
      </c>
      <c r="J47" s="2" t="s">
        <v>94</v>
      </c>
      <c r="K47" s="2" t="s">
        <v>270</v>
      </c>
      <c r="L47" s="4" t="s">
        <v>203</v>
      </c>
      <c r="M47" s="2" t="s">
        <v>612</v>
      </c>
      <c r="N47" s="2" t="s">
        <v>164</v>
      </c>
      <c r="O47" s="2" t="s">
        <v>3097</v>
      </c>
      <c r="P47" s="2" t="s">
        <v>1219</v>
      </c>
      <c r="Q47" s="2" t="s">
        <v>203</v>
      </c>
      <c r="S47" s="2" t="s">
        <v>1374</v>
      </c>
      <c r="U47" s="150">
        <v>30775.59</v>
      </c>
      <c r="V47" s="150">
        <v>4.0199999999999996</v>
      </c>
      <c r="W47" s="150">
        <v>0</v>
      </c>
      <c r="X47" s="150">
        <v>0</v>
      </c>
      <c r="Y47" s="164">
        <v>1.7577702537458302E-9</v>
      </c>
      <c r="Z47" s="164">
        <v>5.2866538828831593E-11</v>
      </c>
    </row>
    <row r="48" spans="1:26">
      <c r="A48" s="2" t="s">
        <v>128</v>
      </c>
      <c r="B48" s="2">
        <v>7228</v>
      </c>
      <c r="C48" s="2" t="s">
        <v>3066</v>
      </c>
      <c r="D48" s="2" t="s">
        <v>3067</v>
      </c>
      <c r="E48" s="4" t="s">
        <v>34</v>
      </c>
      <c r="F48" s="2" t="s">
        <v>3068</v>
      </c>
      <c r="G48" s="2" t="s">
        <v>3069</v>
      </c>
      <c r="H48" s="2" t="s">
        <v>34</v>
      </c>
      <c r="I48" s="2" t="s">
        <v>810</v>
      </c>
      <c r="J48" s="2" t="s">
        <v>94</v>
      </c>
      <c r="K48" s="2" t="s">
        <v>95</v>
      </c>
      <c r="L48" s="4" t="s">
        <v>203</v>
      </c>
      <c r="M48" s="2" t="s">
        <v>590</v>
      </c>
      <c r="N48" s="2" t="s">
        <v>164</v>
      </c>
      <c r="O48" s="2" t="s">
        <v>2799</v>
      </c>
      <c r="P48" s="2" t="s">
        <v>99</v>
      </c>
      <c r="Q48" s="2" t="s">
        <v>938</v>
      </c>
      <c r="S48" s="2" t="s">
        <v>1374</v>
      </c>
      <c r="U48" s="150">
        <v>64043</v>
      </c>
      <c r="V48" s="150">
        <v>3.7589999999999999</v>
      </c>
      <c r="W48" s="150">
        <v>444.69</v>
      </c>
      <c r="X48" s="150">
        <v>1070.5360000000001</v>
      </c>
      <c r="Y48" s="164">
        <v>1.52093068034902E-2</v>
      </c>
      <c r="Z48" s="164">
        <v>4.5743373286290202E-4</v>
      </c>
    </row>
    <row r="49" spans="1:26">
      <c r="A49" s="2" t="s">
        <v>128</v>
      </c>
      <c r="B49" s="2">
        <v>7228</v>
      </c>
      <c r="C49" s="2" t="s">
        <v>3098</v>
      </c>
      <c r="D49" s="2" t="s">
        <v>3099</v>
      </c>
      <c r="E49" s="4" t="s">
        <v>361</v>
      </c>
      <c r="F49" s="2" t="s">
        <v>3100</v>
      </c>
      <c r="G49" s="2" t="s">
        <v>3101</v>
      </c>
      <c r="H49" s="2" t="s">
        <v>367</v>
      </c>
      <c r="I49" s="2" t="s">
        <v>810</v>
      </c>
      <c r="J49" s="2" t="s">
        <v>94</v>
      </c>
      <c r="K49" s="2" t="s">
        <v>31</v>
      </c>
      <c r="L49" s="4" t="s">
        <v>203</v>
      </c>
      <c r="M49" s="2" t="s">
        <v>522</v>
      </c>
      <c r="N49" s="2" t="s">
        <v>164</v>
      </c>
      <c r="O49" s="2" t="s">
        <v>3102</v>
      </c>
      <c r="P49" s="2" t="s">
        <v>99</v>
      </c>
      <c r="Q49" s="2" t="s">
        <v>203</v>
      </c>
      <c r="S49" s="2" t="s">
        <v>1374</v>
      </c>
      <c r="U49" s="150">
        <v>236</v>
      </c>
      <c r="V49" s="150">
        <v>3.7589999999999999</v>
      </c>
      <c r="W49" s="150">
        <v>20</v>
      </c>
      <c r="X49" s="150">
        <v>0.17699999999999999</v>
      </c>
      <c r="Y49" s="164">
        <v>2.5207071212085702E-6</v>
      </c>
      <c r="Z49" s="164">
        <v>7.5812558902680302E-8</v>
      </c>
    </row>
    <row r="50" spans="1:26">
      <c r="A50" s="2" t="s">
        <v>128</v>
      </c>
      <c r="B50" s="2">
        <v>7228</v>
      </c>
      <c r="C50" s="2" t="s">
        <v>3093</v>
      </c>
      <c r="D50" s="2" t="s">
        <v>3094</v>
      </c>
      <c r="E50" s="4" t="s">
        <v>1376</v>
      </c>
      <c r="F50" s="2" t="s">
        <v>3103</v>
      </c>
      <c r="G50" s="2" t="s">
        <v>3104</v>
      </c>
      <c r="H50" s="2" t="s">
        <v>34</v>
      </c>
      <c r="I50" s="2" t="s">
        <v>810</v>
      </c>
      <c r="J50" s="2" t="s">
        <v>94</v>
      </c>
      <c r="K50" s="2" t="s">
        <v>31</v>
      </c>
      <c r="L50" s="4" t="s">
        <v>203</v>
      </c>
      <c r="M50" s="2" t="s">
        <v>490</v>
      </c>
      <c r="N50" s="2" t="s">
        <v>164</v>
      </c>
      <c r="O50" s="2" t="s">
        <v>3097</v>
      </c>
      <c r="P50" s="2" t="s">
        <v>1219</v>
      </c>
      <c r="Q50" s="2" t="s">
        <v>203</v>
      </c>
      <c r="S50" s="2" t="s">
        <v>1374</v>
      </c>
      <c r="U50" s="150">
        <v>44698.99</v>
      </c>
      <c r="V50" s="150">
        <v>4.0199999999999996</v>
      </c>
      <c r="W50" s="150">
        <v>0</v>
      </c>
      <c r="X50" s="150">
        <v>0</v>
      </c>
      <c r="Y50" s="164">
        <v>2.5530153928643501E-9</v>
      </c>
      <c r="Z50" s="164">
        <v>7.6784259552605002E-11</v>
      </c>
    </row>
    <row r="51" spans="1:26">
      <c r="A51" s="2" t="s">
        <v>128</v>
      </c>
      <c r="B51" s="2">
        <v>7228</v>
      </c>
      <c r="C51" s="2" t="s">
        <v>3093</v>
      </c>
      <c r="D51" s="2" t="s">
        <v>3094</v>
      </c>
      <c r="E51" s="4" t="s">
        <v>1376</v>
      </c>
      <c r="F51" s="2" t="s">
        <v>3105</v>
      </c>
      <c r="G51" s="2" t="s">
        <v>3106</v>
      </c>
      <c r="H51" s="2" t="s">
        <v>34</v>
      </c>
      <c r="I51" s="2" t="s">
        <v>810</v>
      </c>
      <c r="J51" s="2" t="s">
        <v>94</v>
      </c>
      <c r="K51" s="2" t="s">
        <v>31</v>
      </c>
      <c r="L51" s="4" t="s">
        <v>203</v>
      </c>
      <c r="M51" s="2" t="s">
        <v>490</v>
      </c>
      <c r="N51" s="2" t="s">
        <v>164</v>
      </c>
      <c r="P51" s="2" t="s">
        <v>1219</v>
      </c>
      <c r="Q51" s="2" t="s">
        <v>203</v>
      </c>
      <c r="S51" s="2" t="s">
        <v>1374</v>
      </c>
      <c r="U51" s="150">
        <v>150000</v>
      </c>
      <c r="V51" s="150">
        <v>4.0199999999999996</v>
      </c>
      <c r="W51" s="150">
        <v>0</v>
      </c>
      <c r="X51" s="150">
        <v>1E-3</v>
      </c>
      <c r="Y51" s="164">
        <v>8.5673593280218007E-9</v>
      </c>
      <c r="Z51" s="164">
        <v>2.5767112261128799E-10</v>
      </c>
    </row>
    <row r="52" spans="1:26">
      <c r="A52" s="2" t="s">
        <v>128</v>
      </c>
      <c r="B52" s="2">
        <v>7229</v>
      </c>
      <c r="C52" s="2" t="s">
        <v>3000</v>
      </c>
      <c r="D52" s="2" t="s">
        <v>3001</v>
      </c>
      <c r="E52" s="4" t="s">
        <v>1376</v>
      </c>
      <c r="F52" s="2" t="s">
        <v>3000</v>
      </c>
      <c r="G52" s="2" t="s">
        <v>3002</v>
      </c>
      <c r="H52" s="2" t="s">
        <v>34</v>
      </c>
      <c r="I52" s="2" t="s">
        <v>810</v>
      </c>
      <c r="J52" s="2" t="s">
        <v>31</v>
      </c>
      <c r="K52" s="2" t="s">
        <v>345</v>
      </c>
      <c r="L52" s="4" t="s">
        <v>203</v>
      </c>
      <c r="M52" s="2" t="s">
        <v>590</v>
      </c>
      <c r="N52" s="2" t="s">
        <v>164</v>
      </c>
      <c r="O52" s="2" t="s">
        <v>3003</v>
      </c>
      <c r="P52" s="2" t="s">
        <v>99</v>
      </c>
      <c r="Q52" s="2" t="s">
        <v>203</v>
      </c>
      <c r="S52" s="2" t="s">
        <v>1374</v>
      </c>
      <c r="U52" s="150">
        <v>194.24</v>
      </c>
      <c r="V52" s="150">
        <v>3.7589999999999999</v>
      </c>
      <c r="W52" s="150">
        <v>90093.3</v>
      </c>
      <c r="X52" s="150">
        <v>657.81500000000005</v>
      </c>
      <c r="Y52" s="164">
        <v>0.180721770451132</v>
      </c>
      <c r="Z52" s="164">
        <v>4.65200709418303E-3</v>
      </c>
    </row>
    <row r="53" spans="1:26">
      <c r="A53" s="2" t="s">
        <v>128</v>
      </c>
      <c r="B53" s="2">
        <v>7229</v>
      </c>
      <c r="C53" s="2" t="s">
        <v>3016</v>
      </c>
      <c r="D53" s="2" t="s">
        <v>3017</v>
      </c>
      <c r="E53" s="4" t="s">
        <v>1376</v>
      </c>
      <c r="F53" s="2" t="s">
        <v>3018</v>
      </c>
      <c r="G53" s="2" t="s">
        <v>3019</v>
      </c>
      <c r="H53" s="2" t="s">
        <v>34</v>
      </c>
      <c r="I53" s="2" t="s">
        <v>810</v>
      </c>
      <c r="J53" s="2" t="s">
        <v>31</v>
      </c>
      <c r="K53" s="2" t="s">
        <v>95</v>
      </c>
      <c r="L53" s="4" t="s">
        <v>203</v>
      </c>
      <c r="M53" s="2" t="s">
        <v>491</v>
      </c>
      <c r="N53" s="2" t="s">
        <v>164</v>
      </c>
      <c r="O53" s="2" t="s">
        <v>3020</v>
      </c>
      <c r="P53" s="2" t="s">
        <v>99</v>
      </c>
      <c r="Q53" s="2" t="s">
        <v>203</v>
      </c>
      <c r="S53" s="2" t="s">
        <v>1374</v>
      </c>
      <c r="U53" s="150">
        <v>204017</v>
      </c>
      <c r="V53" s="150">
        <v>3.7589999999999999</v>
      </c>
      <c r="W53" s="150">
        <v>374.80799999999999</v>
      </c>
      <c r="X53" s="150">
        <v>2874.4029999999998</v>
      </c>
      <c r="Y53" s="164">
        <v>0.78968635388347097</v>
      </c>
      <c r="Z53" s="164">
        <v>2.0327526181682699E-2</v>
      </c>
    </row>
    <row r="54" spans="1:26">
      <c r="A54" s="2" t="s">
        <v>128</v>
      </c>
      <c r="B54" s="2">
        <v>7229</v>
      </c>
      <c r="C54" s="2" t="s">
        <v>2316</v>
      </c>
      <c r="D54" s="2" t="s">
        <v>2317</v>
      </c>
      <c r="E54" s="4" t="s">
        <v>1376</v>
      </c>
      <c r="F54" s="2" t="s">
        <v>3051</v>
      </c>
      <c r="G54" s="2" t="s">
        <v>3052</v>
      </c>
      <c r="H54" s="2" t="s">
        <v>34</v>
      </c>
      <c r="I54" s="2" t="s">
        <v>810</v>
      </c>
      <c r="J54" s="2" t="s">
        <v>31</v>
      </c>
      <c r="K54" s="2" t="s">
        <v>31</v>
      </c>
      <c r="L54" s="4" t="s">
        <v>203</v>
      </c>
      <c r="M54" s="2" t="s">
        <v>522</v>
      </c>
      <c r="N54" s="2" t="s">
        <v>164</v>
      </c>
      <c r="O54" s="2" t="s">
        <v>3053</v>
      </c>
      <c r="P54" s="2" t="s">
        <v>35</v>
      </c>
      <c r="Q54" s="2" t="s">
        <v>203</v>
      </c>
      <c r="S54" s="2" t="s">
        <v>1374</v>
      </c>
      <c r="U54" s="150">
        <v>55</v>
      </c>
      <c r="V54" s="150">
        <v>1</v>
      </c>
      <c r="W54" s="150">
        <v>195840.641</v>
      </c>
      <c r="X54" s="150">
        <v>107.712</v>
      </c>
      <c r="Y54" s="164">
        <v>2.9591875665396401E-2</v>
      </c>
      <c r="Z54" s="164">
        <v>7.6173233131771598E-4</v>
      </c>
    </row>
    <row r="55" spans="1:26">
      <c r="A55" s="2" t="s">
        <v>144</v>
      </c>
      <c r="B55" s="2">
        <v>969</v>
      </c>
      <c r="C55" s="2" t="s">
        <v>3016</v>
      </c>
      <c r="D55" s="2" t="s">
        <v>3017</v>
      </c>
      <c r="E55" s="4" t="s">
        <v>1376</v>
      </c>
      <c r="F55" s="2" t="s">
        <v>3018</v>
      </c>
      <c r="G55" s="2" t="s">
        <v>3019</v>
      </c>
      <c r="H55" s="2" t="s">
        <v>34</v>
      </c>
      <c r="I55" s="2" t="s">
        <v>810</v>
      </c>
      <c r="J55" s="2" t="s">
        <v>31</v>
      </c>
      <c r="K55" s="2" t="s">
        <v>95</v>
      </c>
      <c r="L55" s="4" t="s">
        <v>203</v>
      </c>
      <c r="M55" s="2" t="s">
        <v>491</v>
      </c>
      <c r="N55" s="2" t="s">
        <v>164</v>
      </c>
      <c r="O55" s="2" t="s">
        <v>3020</v>
      </c>
      <c r="P55" s="2" t="s">
        <v>99</v>
      </c>
      <c r="Q55" s="2" t="s">
        <v>203</v>
      </c>
      <c r="S55" s="2" t="s">
        <v>1374</v>
      </c>
      <c r="U55" s="150">
        <v>81607</v>
      </c>
      <c r="V55" s="150">
        <v>3.7589999999999999</v>
      </c>
      <c r="W55" s="150">
        <v>374.80799999999999</v>
      </c>
      <c r="X55" s="150">
        <v>1149.7639999999999</v>
      </c>
      <c r="Y55" s="164">
        <v>0.93920891194662004</v>
      </c>
      <c r="Z55" s="164">
        <v>1.55888766057282E-2</v>
      </c>
    </row>
    <row r="56" spans="1:26">
      <c r="A56" s="2" t="s">
        <v>144</v>
      </c>
      <c r="B56" s="2">
        <v>969</v>
      </c>
      <c r="C56" s="2" t="s">
        <v>2316</v>
      </c>
      <c r="D56" s="2" t="s">
        <v>2317</v>
      </c>
      <c r="E56" s="4" t="s">
        <v>1376</v>
      </c>
      <c r="F56" s="2" t="s">
        <v>3051</v>
      </c>
      <c r="G56" s="2" t="s">
        <v>3052</v>
      </c>
      <c r="H56" s="2" t="s">
        <v>34</v>
      </c>
      <c r="I56" s="2" t="s">
        <v>810</v>
      </c>
      <c r="J56" s="2" t="s">
        <v>31</v>
      </c>
      <c r="K56" s="2" t="s">
        <v>31</v>
      </c>
      <c r="L56" s="4" t="s">
        <v>203</v>
      </c>
      <c r="M56" s="2" t="s">
        <v>522</v>
      </c>
      <c r="N56" s="2" t="s">
        <v>164</v>
      </c>
      <c r="O56" s="2" t="s">
        <v>3053</v>
      </c>
      <c r="P56" s="2" t="s">
        <v>35</v>
      </c>
      <c r="Q56" s="2" t="s">
        <v>203</v>
      </c>
      <c r="S56" s="2" t="s">
        <v>1374</v>
      </c>
      <c r="U56" s="150">
        <v>38</v>
      </c>
      <c r="V56" s="150">
        <v>1</v>
      </c>
      <c r="W56" s="150">
        <v>195840.641</v>
      </c>
      <c r="X56" s="150">
        <v>74.418999999999997</v>
      </c>
      <c r="Y56" s="164">
        <v>6.0791088053379398E-2</v>
      </c>
      <c r="Z56" s="164">
        <v>1.0090031710069101E-3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A202" zoomScale="70" zoomScaleNormal="70" workbookViewId="0">
      <selection activeCell="B246" sqref="B246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19" t="s">
        <v>0</v>
      </c>
      <c r="B1" s="19" t="s">
        <v>1</v>
      </c>
      <c r="C1" s="19" t="s">
        <v>238</v>
      </c>
      <c r="D1" s="19" t="s">
        <v>239</v>
      </c>
      <c r="E1" s="19" t="s">
        <v>240</v>
      </c>
      <c r="F1" s="19" t="s">
        <v>241</v>
      </c>
      <c r="G1" s="19" t="s">
        <v>242</v>
      </c>
      <c r="H1" s="19" t="s">
        <v>243</v>
      </c>
      <c r="I1" s="19" t="s">
        <v>5</v>
      </c>
      <c r="J1" s="19" t="s">
        <v>875</v>
      </c>
      <c r="K1" s="19" t="s">
        <v>6</v>
      </c>
      <c r="L1" s="19" t="s">
        <v>1171</v>
      </c>
      <c r="M1" s="19" t="s">
        <v>1172</v>
      </c>
      <c r="N1" s="19" t="s">
        <v>7</v>
      </c>
      <c r="O1" s="19" t="s">
        <v>150</v>
      </c>
      <c r="P1" s="29" t="s">
        <v>193</v>
      </c>
      <c r="Q1" s="19" t="s">
        <v>11</v>
      </c>
      <c r="R1" s="19" t="s">
        <v>186</v>
      </c>
      <c r="S1" s="19" t="s">
        <v>187</v>
      </c>
      <c r="T1" s="19" t="s">
        <v>159</v>
      </c>
      <c r="U1" s="19" t="s">
        <v>18</v>
      </c>
      <c r="V1" s="106" t="s">
        <v>2639</v>
      </c>
      <c r="W1" s="19" t="s">
        <v>20</v>
      </c>
      <c r="X1" s="19" t="s">
        <v>1174</v>
      </c>
      <c r="Y1" s="163" t="s">
        <v>24</v>
      </c>
      <c r="Z1" s="163" t="s">
        <v>25</v>
      </c>
      <c r="AA1" s="11"/>
    </row>
    <row r="2" spans="1:27">
      <c r="A2" s="20" t="s">
        <v>26</v>
      </c>
      <c r="B2" s="20">
        <v>1182</v>
      </c>
      <c r="C2" s="20" t="s">
        <v>2640</v>
      </c>
      <c r="D2" s="20" t="s">
        <v>2641</v>
      </c>
      <c r="E2" s="20" t="s">
        <v>203</v>
      </c>
      <c r="F2" s="20" t="s">
        <v>2642</v>
      </c>
      <c r="G2" s="20">
        <v>50007566</v>
      </c>
      <c r="H2" s="20" t="s">
        <v>34</v>
      </c>
      <c r="I2" s="2" t="s">
        <v>1069</v>
      </c>
      <c r="J2" s="20" t="s">
        <v>884</v>
      </c>
      <c r="K2" s="18" t="s">
        <v>31</v>
      </c>
      <c r="L2" s="20" t="s">
        <v>31</v>
      </c>
      <c r="M2" s="20" t="s">
        <v>31</v>
      </c>
      <c r="N2" s="18" t="s">
        <v>31</v>
      </c>
      <c r="O2" s="20" t="s">
        <v>164</v>
      </c>
      <c r="P2" t="s">
        <v>2643</v>
      </c>
      <c r="Q2" s="18" t="s">
        <v>35</v>
      </c>
      <c r="R2" s="20" t="s">
        <v>936</v>
      </c>
      <c r="S2" s="20" t="s">
        <v>940</v>
      </c>
      <c r="T2" s="20" t="s">
        <v>1374</v>
      </c>
      <c r="U2" s="153">
        <v>1</v>
      </c>
      <c r="V2" s="153">
        <v>1457.5409999999999</v>
      </c>
      <c r="W2" s="153">
        <v>1457.5409999999999</v>
      </c>
      <c r="X2" s="20"/>
      <c r="Y2" s="168">
        <v>1.96345265078171E-2</v>
      </c>
      <c r="Z2" s="168">
        <v>3.6880876519402102E-3</v>
      </c>
    </row>
    <row r="3" spans="1:27">
      <c r="A3" s="20" t="s">
        <v>26</v>
      </c>
      <c r="B3" s="20">
        <v>1182</v>
      </c>
      <c r="C3" s="20" t="s">
        <v>2644</v>
      </c>
      <c r="D3" s="2" t="s">
        <v>2645</v>
      </c>
      <c r="E3" s="20" t="s">
        <v>359</v>
      </c>
      <c r="F3" s="20" t="s">
        <v>2646</v>
      </c>
      <c r="G3" s="20">
        <v>62018312</v>
      </c>
      <c r="H3" s="20" t="s">
        <v>34</v>
      </c>
      <c r="I3" s="2" t="s">
        <v>1069</v>
      </c>
      <c r="J3" s="20" t="s">
        <v>613</v>
      </c>
      <c r="K3" s="18" t="s">
        <v>31</v>
      </c>
      <c r="L3" s="20" t="s">
        <v>31</v>
      </c>
      <c r="M3" s="20" t="s">
        <v>31</v>
      </c>
      <c r="N3" s="18" t="s">
        <v>31</v>
      </c>
      <c r="O3" s="20" t="s">
        <v>164</v>
      </c>
      <c r="P3" t="s">
        <v>2647</v>
      </c>
      <c r="Q3" s="18" t="s">
        <v>99</v>
      </c>
      <c r="R3" s="20" t="s">
        <v>936</v>
      </c>
      <c r="S3" s="20" t="s">
        <v>940</v>
      </c>
      <c r="T3" s="27" t="s">
        <v>1374</v>
      </c>
      <c r="U3" s="153">
        <v>3.7589999999999999</v>
      </c>
      <c r="V3" s="153">
        <v>199.41800000000001</v>
      </c>
      <c r="W3" s="153">
        <v>749.61099999999999</v>
      </c>
      <c r="X3" s="27"/>
      <c r="Y3" s="168">
        <v>1.00980120795472E-2</v>
      </c>
      <c r="Z3" s="168">
        <v>1.8967788016122499E-3</v>
      </c>
    </row>
    <row r="4" spans="1:27">
      <c r="A4" s="20" t="s">
        <v>26</v>
      </c>
      <c r="B4" s="20">
        <v>1182</v>
      </c>
      <c r="C4" s="20" t="s">
        <v>2648</v>
      </c>
      <c r="D4" s="2" t="s">
        <v>2649</v>
      </c>
      <c r="E4" s="20" t="s">
        <v>34</v>
      </c>
      <c r="F4" s="20" t="s">
        <v>2650</v>
      </c>
      <c r="G4" s="20">
        <v>60390093</v>
      </c>
      <c r="H4" s="20" t="s">
        <v>34</v>
      </c>
      <c r="I4" s="2" t="s">
        <v>1069</v>
      </c>
      <c r="J4" s="20" t="s">
        <v>877</v>
      </c>
      <c r="K4" s="18" t="s">
        <v>94</v>
      </c>
      <c r="L4" s="20" t="s">
        <v>267</v>
      </c>
      <c r="M4" s="20" t="s">
        <v>31</v>
      </c>
      <c r="N4" s="18" t="s">
        <v>31</v>
      </c>
      <c r="O4" s="20" t="s">
        <v>164</v>
      </c>
      <c r="P4" t="s">
        <v>2651</v>
      </c>
      <c r="Q4" s="18" t="s">
        <v>99</v>
      </c>
      <c r="R4" s="20" t="s">
        <v>936</v>
      </c>
      <c r="S4" s="20" t="s">
        <v>940</v>
      </c>
      <c r="T4" s="20" t="s">
        <v>1374</v>
      </c>
      <c r="U4" s="153">
        <v>3.7589999999999999</v>
      </c>
      <c r="V4" s="153">
        <v>66.275999999999996</v>
      </c>
      <c r="W4" s="153">
        <v>249.131</v>
      </c>
      <c r="X4" s="27"/>
      <c r="Y4" s="168">
        <v>3.35603948197095E-3</v>
      </c>
      <c r="Z4" s="168">
        <v>6.30387891857393E-4</v>
      </c>
    </row>
    <row r="5" spans="1:27">
      <c r="A5" s="20" t="s">
        <v>26</v>
      </c>
      <c r="B5" s="20">
        <v>1182</v>
      </c>
      <c r="C5" s="20" t="s">
        <v>2648</v>
      </c>
      <c r="D5" s="2" t="s">
        <v>2649</v>
      </c>
      <c r="E5" s="20" t="s">
        <v>34</v>
      </c>
      <c r="F5" s="20" t="s">
        <v>2652</v>
      </c>
      <c r="G5" s="20">
        <v>62019724</v>
      </c>
      <c r="H5" s="20" t="s">
        <v>34</v>
      </c>
      <c r="I5" s="2" t="s">
        <v>1069</v>
      </c>
      <c r="J5" s="20" t="s">
        <v>877</v>
      </c>
      <c r="K5" s="18" t="s">
        <v>94</v>
      </c>
      <c r="L5" s="20" t="s">
        <v>267</v>
      </c>
      <c r="M5" s="20" t="s">
        <v>31</v>
      </c>
      <c r="N5" s="18" t="s">
        <v>31</v>
      </c>
      <c r="O5" s="20" t="s">
        <v>164</v>
      </c>
      <c r="P5" t="s">
        <v>2653</v>
      </c>
      <c r="Q5" s="18" t="s">
        <v>99</v>
      </c>
      <c r="R5" s="20" t="s">
        <v>936</v>
      </c>
      <c r="S5" s="20" t="s">
        <v>940</v>
      </c>
      <c r="T5" s="20" t="s">
        <v>1374</v>
      </c>
      <c r="U5" s="153">
        <v>3.7589999999999999</v>
      </c>
      <c r="V5" s="153">
        <v>64.555000000000007</v>
      </c>
      <c r="W5" s="153">
        <v>242.66200000000001</v>
      </c>
      <c r="X5" s="27"/>
      <c r="Y5" s="168">
        <v>3.2689014940271602E-3</v>
      </c>
      <c r="Z5" s="168">
        <v>6.1402016650264799E-4</v>
      </c>
    </row>
    <row r="6" spans="1:27">
      <c r="A6" s="20" t="s">
        <v>26</v>
      </c>
      <c r="B6" s="20">
        <v>1182</v>
      </c>
      <c r="C6" s="20" t="s">
        <v>2648</v>
      </c>
      <c r="D6" s="2" t="s">
        <v>2649</v>
      </c>
      <c r="E6" s="20" t="s">
        <v>34</v>
      </c>
      <c r="F6" s="20" t="s">
        <v>2654</v>
      </c>
      <c r="G6" s="20">
        <v>62000563</v>
      </c>
      <c r="H6" s="20" t="s">
        <v>34</v>
      </c>
      <c r="I6" s="2" t="s">
        <v>1069</v>
      </c>
      <c r="J6" s="20" t="s">
        <v>877</v>
      </c>
      <c r="K6" s="18" t="s">
        <v>94</v>
      </c>
      <c r="L6" s="20" t="s">
        <v>267</v>
      </c>
      <c r="M6" s="20" t="s">
        <v>31</v>
      </c>
      <c r="N6" s="18" t="s">
        <v>31</v>
      </c>
      <c r="O6" s="20" t="s">
        <v>164</v>
      </c>
      <c r="P6" t="s">
        <v>2655</v>
      </c>
      <c r="Q6" s="18" t="s">
        <v>99</v>
      </c>
      <c r="R6" s="20" t="s">
        <v>936</v>
      </c>
      <c r="S6" s="20" t="s">
        <v>940</v>
      </c>
      <c r="T6" s="20" t="s">
        <v>1374</v>
      </c>
      <c r="U6" s="153">
        <v>3.7589999999999999</v>
      </c>
      <c r="V6" s="153">
        <v>68.801000000000002</v>
      </c>
      <c r="W6" s="153">
        <v>258.62099999999998</v>
      </c>
      <c r="X6" s="20"/>
      <c r="Y6" s="168">
        <v>3.4838867375351799E-3</v>
      </c>
      <c r="Z6" s="168">
        <v>6.5440231789374995E-4</v>
      </c>
    </row>
    <row r="7" spans="1:27">
      <c r="A7" s="20" t="s">
        <v>26</v>
      </c>
      <c r="B7" s="20">
        <v>1182</v>
      </c>
      <c r="C7" s="20" t="s">
        <v>2656</v>
      </c>
      <c r="D7" s="2" t="s">
        <v>2657</v>
      </c>
      <c r="E7" s="20" t="s">
        <v>34</v>
      </c>
      <c r="F7" s="20" t="s">
        <v>2658</v>
      </c>
      <c r="G7" s="20">
        <v>77419109</v>
      </c>
      <c r="H7" s="20" t="s">
        <v>34</v>
      </c>
      <c r="I7" s="2" t="s">
        <v>1071</v>
      </c>
      <c r="J7" s="20" t="s">
        <v>613</v>
      </c>
      <c r="K7" s="18" t="s">
        <v>31</v>
      </c>
      <c r="L7" s="20" t="s">
        <v>267</v>
      </c>
      <c r="M7" s="20" t="s">
        <v>31</v>
      </c>
      <c r="N7" s="18" t="s">
        <v>31</v>
      </c>
      <c r="O7" s="20" t="s">
        <v>164</v>
      </c>
      <c r="P7" t="s">
        <v>2659</v>
      </c>
      <c r="Q7" s="18" t="s">
        <v>99</v>
      </c>
      <c r="R7" s="20" t="s">
        <v>203</v>
      </c>
      <c r="S7" s="20" t="s">
        <v>940</v>
      </c>
      <c r="T7" s="20" t="s">
        <v>1374</v>
      </c>
      <c r="U7" s="153">
        <v>3.7589999999999999</v>
      </c>
      <c r="V7" s="153">
        <v>442.97800000000001</v>
      </c>
      <c r="W7" s="153">
        <v>1665.153</v>
      </c>
      <c r="X7" s="20"/>
      <c r="Y7" s="168">
        <v>2.2431270945842002E-2</v>
      </c>
      <c r="Z7" s="168">
        <v>4.2134193233408701E-3</v>
      </c>
    </row>
    <row r="8" spans="1:27">
      <c r="A8" s="20" t="s">
        <v>26</v>
      </c>
      <c r="B8" s="20">
        <v>1182</v>
      </c>
      <c r="C8" s="20" t="s">
        <v>2660</v>
      </c>
      <c r="D8" s="2" t="s">
        <v>2661</v>
      </c>
      <c r="E8" s="20" t="s">
        <v>360</v>
      </c>
      <c r="F8" s="20" t="s">
        <v>2662</v>
      </c>
      <c r="G8" s="20">
        <v>60415775</v>
      </c>
      <c r="H8" s="20" t="s">
        <v>34</v>
      </c>
      <c r="I8" s="2" t="s">
        <v>1069</v>
      </c>
      <c r="J8" s="20" t="s">
        <v>882</v>
      </c>
      <c r="K8" s="18" t="s">
        <v>94</v>
      </c>
      <c r="L8" s="20" t="s">
        <v>267</v>
      </c>
      <c r="M8" s="20" t="s">
        <v>31</v>
      </c>
      <c r="N8" s="18" t="s">
        <v>31</v>
      </c>
      <c r="O8" s="20" t="s">
        <v>164</v>
      </c>
      <c r="P8" t="s">
        <v>2663</v>
      </c>
      <c r="Q8" s="18" t="s">
        <v>99</v>
      </c>
      <c r="R8" s="20" t="s">
        <v>936</v>
      </c>
      <c r="S8" s="20" t="s">
        <v>940</v>
      </c>
      <c r="T8" s="20" t="s">
        <v>1374</v>
      </c>
      <c r="U8" s="153">
        <v>3.7589999999999999</v>
      </c>
      <c r="V8" s="153">
        <v>103.229</v>
      </c>
      <c r="W8" s="153">
        <v>388.03899999999999</v>
      </c>
      <c r="X8" s="20"/>
      <c r="Y8" s="168">
        <v>5.2272715907801101E-3</v>
      </c>
      <c r="Z8" s="168">
        <v>9.8187424074721598E-4</v>
      </c>
    </row>
    <row r="9" spans="1:27">
      <c r="A9" s="20" t="s">
        <v>26</v>
      </c>
      <c r="B9" s="20">
        <v>1182</v>
      </c>
      <c r="C9" s="20" t="s">
        <v>2664</v>
      </c>
      <c r="D9" s="2" t="s">
        <v>2665</v>
      </c>
      <c r="E9" s="20" t="s">
        <v>34</v>
      </c>
      <c r="F9" s="20" t="s">
        <v>2666</v>
      </c>
      <c r="G9" s="20">
        <v>62017538</v>
      </c>
      <c r="H9" s="20" t="s">
        <v>34</v>
      </c>
      <c r="I9" s="2" t="s">
        <v>1069</v>
      </c>
      <c r="J9" s="20" t="s">
        <v>882</v>
      </c>
      <c r="K9" s="18" t="s">
        <v>31</v>
      </c>
      <c r="L9" s="20" t="s">
        <v>31</v>
      </c>
      <c r="M9" s="20" t="s">
        <v>31</v>
      </c>
      <c r="N9" s="18" t="s">
        <v>31</v>
      </c>
      <c r="O9" s="20" t="s">
        <v>164</v>
      </c>
      <c r="P9" t="s">
        <v>2667</v>
      </c>
      <c r="Q9" s="18" t="s">
        <v>99</v>
      </c>
      <c r="R9" s="20" t="s">
        <v>203</v>
      </c>
      <c r="S9" s="20" t="s">
        <v>940</v>
      </c>
      <c r="T9" s="20" t="s">
        <v>1374</v>
      </c>
      <c r="U9" s="153">
        <v>3.7589999999999999</v>
      </c>
      <c r="V9" s="153">
        <v>418.98599999999999</v>
      </c>
      <c r="W9" s="153">
        <v>1574.97</v>
      </c>
      <c r="X9" s="20"/>
      <c r="Y9" s="168">
        <v>2.1216411506913099E-2</v>
      </c>
      <c r="Z9" s="168">
        <v>3.9852239505737902E-3</v>
      </c>
    </row>
    <row r="10" spans="1:27">
      <c r="A10" s="20" t="s">
        <v>26</v>
      </c>
      <c r="B10" s="20">
        <v>1182</v>
      </c>
      <c r="C10" s="20" t="s">
        <v>2668</v>
      </c>
      <c r="D10" s="2" t="s">
        <v>2669</v>
      </c>
      <c r="E10" s="20" t="s">
        <v>34</v>
      </c>
      <c r="F10" s="20" t="s">
        <v>2670</v>
      </c>
      <c r="G10" s="20">
        <v>62001189</v>
      </c>
      <c r="H10" s="20" t="s">
        <v>34</v>
      </c>
      <c r="I10" s="2" t="s">
        <v>1069</v>
      </c>
      <c r="J10" s="20" t="s">
        <v>897</v>
      </c>
      <c r="K10" s="18" t="s">
        <v>31</v>
      </c>
      <c r="L10" s="20" t="s">
        <v>267</v>
      </c>
      <c r="M10" s="20" t="s">
        <v>31</v>
      </c>
      <c r="N10" s="18" t="s">
        <v>31</v>
      </c>
      <c r="O10" s="20" t="s">
        <v>164</v>
      </c>
      <c r="P10" t="s">
        <v>2671</v>
      </c>
      <c r="Q10" s="18" t="s">
        <v>99</v>
      </c>
      <c r="R10" s="20" t="s">
        <v>936</v>
      </c>
      <c r="S10" s="20" t="s">
        <v>940</v>
      </c>
      <c r="T10" s="20" t="s">
        <v>1374</v>
      </c>
      <c r="U10" s="153">
        <v>3.7589999999999999</v>
      </c>
      <c r="V10" s="153">
        <v>121.63200000000001</v>
      </c>
      <c r="W10" s="153">
        <v>457.21499999999997</v>
      </c>
      <c r="X10" s="20"/>
      <c r="Y10" s="168">
        <v>6.1591426490930799E-3</v>
      </c>
      <c r="Z10" s="168">
        <v>1.1569139669151099E-3</v>
      </c>
    </row>
    <row r="11" spans="1:27">
      <c r="A11" s="20" t="s">
        <v>26</v>
      </c>
      <c r="B11" s="20">
        <v>1182</v>
      </c>
      <c r="C11" s="20" t="s">
        <v>2672</v>
      </c>
      <c r="D11" s="2" t="s">
        <v>2673</v>
      </c>
      <c r="E11" s="20" t="s">
        <v>34</v>
      </c>
      <c r="F11" s="20" t="s">
        <v>2672</v>
      </c>
      <c r="G11" s="20">
        <v>60401809</v>
      </c>
      <c r="H11" s="20" t="s">
        <v>34</v>
      </c>
      <c r="I11" s="2" t="s">
        <v>1069</v>
      </c>
      <c r="J11" s="20" t="s">
        <v>895</v>
      </c>
      <c r="K11" s="18" t="s">
        <v>94</v>
      </c>
      <c r="L11" s="20" t="s">
        <v>267</v>
      </c>
      <c r="M11" s="20" t="s">
        <v>31</v>
      </c>
      <c r="N11" s="18" t="s">
        <v>95</v>
      </c>
      <c r="O11" s="20" t="s">
        <v>164</v>
      </c>
      <c r="P11" t="s">
        <v>2674</v>
      </c>
      <c r="Q11" s="18" t="s">
        <v>99</v>
      </c>
      <c r="R11" s="20" t="s">
        <v>936</v>
      </c>
      <c r="S11" s="20" t="s">
        <v>940</v>
      </c>
      <c r="T11" s="20" t="s">
        <v>1374</v>
      </c>
      <c r="U11" s="153">
        <v>3.7589999999999999</v>
      </c>
      <c r="V11" s="153">
        <v>200.761</v>
      </c>
      <c r="W11" s="153">
        <v>754.66</v>
      </c>
      <c r="X11" s="20"/>
      <c r="Y11" s="168">
        <v>1.0166016594483599E-2</v>
      </c>
      <c r="Z11" s="168">
        <v>1.9095525556273201E-3</v>
      </c>
    </row>
    <row r="12" spans="1:27">
      <c r="A12" s="20" t="s">
        <v>26</v>
      </c>
      <c r="B12" s="20">
        <v>1182</v>
      </c>
      <c r="C12" s="20" t="s">
        <v>2675</v>
      </c>
      <c r="D12" s="2" t="s">
        <v>2676</v>
      </c>
      <c r="E12" s="20" t="s">
        <v>360</v>
      </c>
      <c r="F12" s="20" t="s">
        <v>2677</v>
      </c>
      <c r="G12" s="20">
        <v>50000983</v>
      </c>
      <c r="H12" s="20" t="s">
        <v>34</v>
      </c>
      <c r="I12" s="2" t="s">
        <v>1069</v>
      </c>
      <c r="J12" s="20" t="s">
        <v>889</v>
      </c>
      <c r="K12" s="18" t="s">
        <v>94</v>
      </c>
      <c r="L12" s="20" t="s">
        <v>267</v>
      </c>
      <c r="M12" s="20" t="s">
        <v>31</v>
      </c>
      <c r="N12" s="18" t="s">
        <v>345</v>
      </c>
      <c r="O12" s="20" t="s">
        <v>164</v>
      </c>
      <c r="P12" t="s">
        <v>2678</v>
      </c>
      <c r="Q12" s="18" t="s">
        <v>35</v>
      </c>
      <c r="R12" s="20" t="s">
        <v>936</v>
      </c>
      <c r="S12" s="20" t="s">
        <v>940</v>
      </c>
      <c r="T12" s="20" t="s">
        <v>1374</v>
      </c>
      <c r="U12" s="153">
        <v>1</v>
      </c>
      <c r="V12" s="153">
        <v>692.23900000000003</v>
      </c>
      <c r="W12" s="153">
        <v>692.23900000000003</v>
      </c>
      <c r="X12" s="20"/>
      <c r="Y12" s="168">
        <v>9.3251493310487401E-3</v>
      </c>
      <c r="Z12" s="168">
        <v>1.7516066958195801E-3</v>
      </c>
    </row>
    <row r="13" spans="1:27">
      <c r="A13" s="20" t="s">
        <v>26</v>
      </c>
      <c r="B13" s="20">
        <v>1182</v>
      </c>
      <c r="C13" s="20" t="s">
        <v>2675</v>
      </c>
      <c r="D13" s="2" t="s">
        <v>2676</v>
      </c>
      <c r="E13" s="20" t="s">
        <v>360</v>
      </c>
      <c r="F13" s="20" t="s">
        <v>2679</v>
      </c>
      <c r="G13" s="20">
        <v>50007897</v>
      </c>
      <c r="H13" s="20" t="s">
        <v>34</v>
      </c>
      <c r="I13" s="2" t="s">
        <v>1069</v>
      </c>
      <c r="J13" s="20" t="s">
        <v>889</v>
      </c>
      <c r="K13" s="18" t="s">
        <v>94</v>
      </c>
      <c r="L13" s="20" t="s">
        <v>267</v>
      </c>
      <c r="M13" s="20" t="s">
        <v>31</v>
      </c>
      <c r="N13" s="18" t="s">
        <v>345</v>
      </c>
      <c r="O13" s="20" t="s">
        <v>164</v>
      </c>
      <c r="P13" t="s">
        <v>2680</v>
      </c>
      <c r="Q13" s="18" t="s">
        <v>35</v>
      </c>
      <c r="R13" s="20" t="s">
        <v>203</v>
      </c>
      <c r="S13" s="20" t="s">
        <v>940</v>
      </c>
      <c r="T13" s="20" t="s">
        <v>1374</v>
      </c>
      <c r="U13" s="153">
        <v>1</v>
      </c>
      <c r="V13" s="153">
        <v>405.84100000000001</v>
      </c>
      <c r="W13" s="153">
        <v>405.84100000000001</v>
      </c>
      <c r="X13" s="20"/>
      <c r="Y13" s="168">
        <v>5.4670777264579501E-3</v>
      </c>
      <c r="Z13" s="168">
        <v>1.0269186703901101E-3</v>
      </c>
    </row>
    <row r="14" spans="1:27">
      <c r="A14" s="20" t="s">
        <v>26</v>
      </c>
      <c r="B14" s="20">
        <v>1182</v>
      </c>
      <c r="C14" s="20" t="s">
        <v>2648</v>
      </c>
      <c r="D14" s="2" t="s">
        <v>2649</v>
      </c>
      <c r="E14" s="20" t="s">
        <v>34</v>
      </c>
      <c r="F14" s="20" t="s">
        <v>2681</v>
      </c>
      <c r="G14" s="20">
        <v>62013347</v>
      </c>
      <c r="H14" s="20" t="s">
        <v>34</v>
      </c>
      <c r="I14" s="2" t="s">
        <v>1069</v>
      </c>
      <c r="J14" s="20" t="s">
        <v>877</v>
      </c>
      <c r="K14" s="18" t="s">
        <v>94</v>
      </c>
      <c r="L14" s="20" t="s">
        <v>267</v>
      </c>
      <c r="M14" s="20" t="s">
        <v>31</v>
      </c>
      <c r="N14" s="18" t="s">
        <v>31</v>
      </c>
      <c r="O14" s="20" t="s">
        <v>164</v>
      </c>
      <c r="P14" t="s">
        <v>2682</v>
      </c>
      <c r="Q14" s="18" t="s">
        <v>99</v>
      </c>
      <c r="R14" s="20" t="s">
        <v>936</v>
      </c>
      <c r="S14" s="20" t="s">
        <v>940</v>
      </c>
      <c r="T14" s="20" t="s">
        <v>1374</v>
      </c>
      <c r="U14" s="153">
        <v>3.7589999999999999</v>
      </c>
      <c r="V14" s="153">
        <v>131.22</v>
      </c>
      <c r="W14" s="153">
        <v>493.25700000000001</v>
      </c>
      <c r="X14" s="20"/>
      <c r="Y14" s="168">
        <v>6.6446664422616696E-3</v>
      </c>
      <c r="Z14" s="168">
        <v>1.24811322784943E-3</v>
      </c>
    </row>
    <row r="15" spans="1:27">
      <c r="A15" s="20" t="s">
        <v>26</v>
      </c>
      <c r="B15" s="20">
        <v>1182</v>
      </c>
      <c r="C15" s="20" t="s">
        <v>2683</v>
      </c>
      <c r="D15" s="2" t="s">
        <v>2684</v>
      </c>
      <c r="E15" s="20" t="s">
        <v>358</v>
      </c>
      <c r="F15" s="20" t="s">
        <v>2685</v>
      </c>
      <c r="G15" s="20">
        <v>60364742</v>
      </c>
      <c r="H15" s="20" t="s">
        <v>34</v>
      </c>
      <c r="I15" s="2" t="s">
        <v>1069</v>
      </c>
      <c r="J15" s="20" t="s">
        <v>895</v>
      </c>
      <c r="K15" s="18" t="s">
        <v>31</v>
      </c>
      <c r="L15" s="20" t="s">
        <v>267</v>
      </c>
      <c r="M15" s="20" t="s">
        <v>31</v>
      </c>
      <c r="N15" s="18" t="s">
        <v>31</v>
      </c>
      <c r="O15" s="20" t="s">
        <v>164</v>
      </c>
      <c r="P15" t="s">
        <v>2686</v>
      </c>
      <c r="Q15" s="18" t="s">
        <v>99</v>
      </c>
      <c r="R15" s="20" t="s">
        <v>936</v>
      </c>
      <c r="S15" s="20" t="s">
        <v>940</v>
      </c>
      <c r="T15" s="20" t="s">
        <v>1374</v>
      </c>
      <c r="U15" s="153">
        <v>3.7589999999999999</v>
      </c>
      <c r="V15" s="153">
        <v>103.413</v>
      </c>
      <c r="W15" s="153">
        <v>388.72899999999998</v>
      </c>
      <c r="X15" s="20"/>
      <c r="Y15" s="168">
        <v>5.2365736958144898E-3</v>
      </c>
      <c r="Z15" s="168">
        <v>9.836215188748919E-4</v>
      </c>
    </row>
    <row r="16" spans="1:27">
      <c r="A16" s="20" t="s">
        <v>26</v>
      </c>
      <c r="B16" s="20">
        <v>1182</v>
      </c>
      <c r="C16" s="20" t="s">
        <v>2683</v>
      </c>
      <c r="D16" s="2" t="s">
        <v>2684</v>
      </c>
      <c r="E16" s="20" t="s">
        <v>358</v>
      </c>
      <c r="F16" s="20" t="s">
        <v>2687</v>
      </c>
      <c r="G16" s="20">
        <v>62002785</v>
      </c>
      <c r="H16" s="20" t="s">
        <v>34</v>
      </c>
      <c r="I16" s="2" t="s">
        <v>1069</v>
      </c>
      <c r="J16" s="20" t="s">
        <v>895</v>
      </c>
      <c r="K16" s="18" t="s">
        <v>31</v>
      </c>
      <c r="L16" s="20" t="s">
        <v>267</v>
      </c>
      <c r="M16" s="20" t="s">
        <v>31</v>
      </c>
      <c r="N16" s="18" t="s">
        <v>31</v>
      </c>
      <c r="O16" s="20" t="s">
        <v>164</v>
      </c>
      <c r="P16" t="s">
        <v>2688</v>
      </c>
      <c r="Q16" s="18" t="s">
        <v>99</v>
      </c>
      <c r="R16" s="20" t="s">
        <v>936</v>
      </c>
      <c r="S16" s="20" t="s">
        <v>940</v>
      </c>
      <c r="T16" s="20" t="s">
        <v>1374</v>
      </c>
      <c r="U16" s="153">
        <v>3.7589999999999999</v>
      </c>
      <c r="V16" s="153">
        <v>110.72</v>
      </c>
      <c r="W16" s="153">
        <v>416.19499999999999</v>
      </c>
      <c r="X16" s="20"/>
      <c r="Y16" s="168">
        <v>5.6065575051664701E-3</v>
      </c>
      <c r="Z16" s="168">
        <v>1.05311811295602E-3</v>
      </c>
    </row>
    <row r="17" spans="1:26">
      <c r="A17" s="20" t="s">
        <v>26</v>
      </c>
      <c r="B17" s="20">
        <v>1182</v>
      </c>
      <c r="C17" s="20" t="s">
        <v>2683</v>
      </c>
      <c r="D17" s="2" t="s">
        <v>2684</v>
      </c>
      <c r="E17" s="20" t="s">
        <v>358</v>
      </c>
      <c r="F17" s="20" t="s">
        <v>2689</v>
      </c>
      <c r="G17" s="20">
        <v>62017827</v>
      </c>
      <c r="H17" s="20" t="s">
        <v>34</v>
      </c>
      <c r="I17" s="2" t="s">
        <v>1069</v>
      </c>
      <c r="J17" s="20" t="s">
        <v>895</v>
      </c>
      <c r="K17" s="18" t="s">
        <v>31</v>
      </c>
      <c r="L17" s="20" t="s">
        <v>267</v>
      </c>
      <c r="M17" s="20" t="s">
        <v>31</v>
      </c>
      <c r="N17" s="18" t="s">
        <v>31</v>
      </c>
      <c r="O17" s="20" t="s">
        <v>164</v>
      </c>
      <c r="P17" t="s">
        <v>2690</v>
      </c>
      <c r="Q17" s="18" t="s">
        <v>99</v>
      </c>
      <c r="R17" s="20" t="s">
        <v>936</v>
      </c>
      <c r="S17" s="20" t="s">
        <v>940</v>
      </c>
      <c r="T17" s="20" t="s">
        <v>1374</v>
      </c>
      <c r="U17" s="153">
        <v>3.7589999999999999</v>
      </c>
      <c r="V17" s="153">
        <v>40.030999999999999</v>
      </c>
      <c r="W17" s="153">
        <v>150.47800000000001</v>
      </c>
      <c r="X17" s="20"/>
      <c r="Y17" s="168">
        <v>2.02709131629796E-3</v>
      </c>
      <c r="Z17" s="168">
        <v>3.80762451797209E-4</v>
      </c>
    </row>
    <row r="18" spans="1:26">
      <c r="A18" s="20" t="s">
        <v>26</v>
      </c>
      <c r="B18" s="20">
        <v>1182</v>
      </c>
      <c r="C18" s="20" t="s">
        <v>2683</v>
      </c>
      <c r="D18" s="2" t="s">
        <v>2684</v>
      </c>
      <c r="E18" s="20" t="s">
        <v>358</v>
      </c>
      <c r="F18" s="20" t="s">
        <v>2691</v>
      </c>
      <c r="G18" s="20">
        <v>62018247</v>
      </c>
      <c r="H18" s="20" t="s">
        <v>34</v>
      </c>
      <c r="I18" s="2" t="s">
        <v>1069</v>
      </c>
      <c r="J18" s="20" t="s">
        <v>895</v>
      </c>
      <c r="K18" s="18" t="s">
        <v>31</v>
      </c>
      <c r="L18" s="20" t="s">
        <v>267</v>
      </c>
      <c r="M18" s="20" t="s">
        <v>31</v>
      </c>
      <c r="N18" s="18" t="s">
        <v>31</v>
      </c>
      <c r="O18" s="20" t="s">
        <v>164</v>
      </c>
      <c r="P18" t="s">
        <v>2692</v>
      </c>
      <c r="Q18" s="18" t="s">
        <v>99</v>
      </c>
      <c r="R18" s="20" t="s">
        <v>936</v>
      </c>
      <c r="S18" s="20" t="s">
        <v>940</v>
      </c>
      <c r="T18" s="20" t="s">
        <v>1374</v>
      </c>
      <c r="U18" s="153">
        <v>3.7589999999999999</v>
      </c>
      <c r="V18" s="153">
        <v>167.22300000000001</v>
      </c>
      <c r="W18" s="153">
        <v>628.59299999999996</v>
      </c>
      <c r="X18" s="20"/>
      <c r="Y18" s="168">
        <v>8.46776900327793E-3</v>
      </c>
      <c r="Z18" s="168">
        <v>1.59055907398826E-3</v>
      </c>
    </row>
    <row r="19" spans="1:26">
      <c r="A19" s="20" t="s">
        <v>26</v>
      </c>
      <c r="B19" s="20">
        <v>1182</v>
      </c>
      <c r="C19" s="20" t="s">
        <v>2693</v>
      </c>
      <c r="D19" s="2" t="s">
        <v>2694</v>
      </c>
      <c r="E19" s="20" t="s">
        <v>34</v>
      </c>
      <c r="F19" s="20" t="s">
        <v>2695</v>
      </c>
      <c r="G19" s="20">
        <v>62013487</v>
      </c>
      <c r="H19" s="20" t="s">
        <v>34</v>
      </c>
      <c r="I19" s="2" t="s">
        <v>1069</v>
      </c>
      <c r="J19" s="20" t="s">
        <v>877</v>
      </c>
      <c r="K19" s="18" t="s">
        <v>31</v>
      </c>
      <c r="L19" s="20" t="s">
        <v>31</v>
      </c>
      <c r="M19" s="20" t="s">
        <v>31</v>
      </c>
      <c r="N19" s="18" t="s">
        <v>31</v>
      </c>
      <c r="O19" s="20" t="s">
        <v>164</v>
      </c>
      <c r="P19" t="s">
        <v>2696</v>
      </c>
      <c r="Q19" s="18" t="s">
        <v>99</v>
      </c>
      <c r="R19" s="20" t="s">
        <v>936</v>
      </c>
      <c r="S19" s="20" t="s">
        <v>940</v>
      </c>
      <c r="T19" s="20" t="s">
        <v>2697</v>
      </c>
      <c r="U19" s="153">
        <v>3.7589999999999999</v>
      </c>
      <c r="V19" s="153">
        <v>59.722000000000001</v>
      </c>
      <c r="W19" s="153">
        <v>224.495</v>
      </c>
      <c r="X19" s="20"/>
      <c r="Y19" s="168">
        <v>3.0241675160331601E-3</v>
      </c>
      <c r="Z19" s="168">
        <v>5.6805010647137995E-4</v>
      </c>
    </row>
    <row r="20" spans="1:26">
      <c r="A20" s="2" t="s">
        <v>26</v>
      </c>
      <c r="B20" s="2">
        <v>1182</v>
      </c>
      <c r="C20" s="2" t="s">
        <v>2698</v>
      </c>
      <c r="D20" s="2" t="s">
        <v>2699</v>
      </c>
      <c r="E20" s="20" t="s">
        <v>34</v>
      </c>
      <c r="F20" s="2" t="s">
        <v>2700</v>
      </c>
      <c r="G20" s="2">
        <v>62017694</v>
      </c>
      <c r="H20" s="20" t="s">
        <v>34</v>
      </c>
      <c r="I20" s="2" t="s">
        <v>1069</v>
      </c>
      <c r="J20" s="20" t="s">
        <v>613</v>
      </c>
      <c r="K20" s="18" t="s">
        <v>31</v>
      </c>
      <c r="L20" s="20" t="s">
        <v>31</v>
      </c>
      <c r="M20" s="20" t="s">
        <v>31</v>
      </c>
      <c r="N20" s="18" t="s">
        <v>31</v>
      </c>
      <c r="O20" s="20" t="s">
        <v>164</v>
      </c>
      <c r="P20" t="s">
        <v>2701</v>
      </c>
      <c r="Q20" s="2" t="s">
        <v>99</v>
      </c>
      <c r="R20" s="20" t="s">
        <v>936</v>
      </c>
      <c r="S20" s="20" t="s">
        <v>940</v>
      </c>
      <c r="T20" s="2" t="s">
        <v>1374</v>
      </c>
      <c r="U20" s="150">
        <v>3.7589999999999999</v>
      </c>
      <c r="V20" s="150">
        <v>189.63</v>
      </c>
      <c r="W20" s="150">
        <v>712.82</v>
      </c>
      <c r="Y20" s="164">
        <v>9.6024004806882206E-3</v>
      </c>
      <c r="Z20" s="164">
        <v>1.80368467901232E-3</v>
      </c>
    </row>
    <row r="21" spans="1:26">
      <c r="A21" s="2" t="s">
        <v>26</v>
      </c>
      <c r="B21" s="2">
        <v>1182</v>
      </c>
      <c r="C21" s="2" t="s">
        <v>2702</v>
      </c>
      <c r="D21" s="2" t="s">
        <v>2703</v>
      </c>
      <c r="E21" s="2" t="s">
        <v>34</v>
      </c>
      <c r="F21" s="2" t="s">
        <v>2702</v>
      </c>
      <c r="G21" s="2">
        <v>62020375</v>
      </c>
      <c r="H21" s="2" t="s">
        <v>34</v>
      </c>
      <c r="I21" s="2" t="s">
        <v>1069</v>
      </c>
      <c r="J21" s="2" t="s">
        <v>893</v>
      </c>
      <c r="K21" s="2" t="s">
        <v>31</v>
      </c>
      <c r="L21" s="2" t="s">
        <v>31</v>
      </c>
      <c r="M21" s="2" t="s">
        <v>31</v>
      </c>
      <c r="N21" s="2" t="s">
        <v>31</v>
      </c>
      <c r="O21" s="2" t="s">
        <v>164</v>
      </c>
      <c r="P21" t="s">
        <v>2704</v>
      </c>
      <c r="Q21" s="2" t="s">
        <v>99</v>
      </c>
      <c r="R21" s="2" t="s">
        <v>203</v>
      </c>
      <c r="S21" s="2" t="s">
        <v>940</v>
      </c>
      <c r="T21" s="2" t="s">
        <v>1374</v>
      </c>
      <c r="U21" s="150">
        <v>3.7589999999999999</v>
      </c>
      <c r="V21" s="150">
        <v>122.581</v>
      </c>
      <c r="W21" s="150">
        <v>460.78</v>
      </c>
      <c r="Y21" s="164">
        <v>6.20717086561754E-3</v>
      </c>
      <c r="Z21" s="164">
        <v>1.16593543591962E-3</v>
      </c>
    </row>
    <row r="22" spans="1:26">
      <c r="A22" s="2" t="s">
        <v>26</v>
      </c>
      <c r="B22" s="2">
        <v>1182</v>
      </c>
      <c r="C22" s="2" t="s">
        <v>2705</v>
      </c>
      <c r="D22" s="2" t="s">
        <v>2706</v>
      </c>
      <c r="E22" s="2" t="s">
        <v>361</v>
      </c>
      <c r="F22" s="2" t="s">
        <v>2707</v>
      </c>
      <c r="G22" s="2">
        <v>62013024</v>
      </c>
      <c r="H22" s="2" t="s">
        <v>34</v>
      </c>
      <c r="I22" s="2" t="s">
        <v>1069</v>
      </c>
      <c r="J22" s="2" t="s">
        <v>613</v>
      </c>
      <c r="K22" s="2" t="s">
        <v>31</v>
      </c>
      <c r="L22" s="2" t="s">
        <v>267</v>
      </c>
      <c r="M22" s="2" t="s">
        <v>31</v>
      </c>
      <c r="N22" s="2" t="s">
        <v>31</v>
      </c>
      <c r="O22" s="2" t="s">
        <v>164</v>
      </c>
      <c r="P22" t="s">
        <v>2708</v>
      </c>
      <c r="Q22" s="2" t="s">
        <v>99</v>
      </c>
      <c r="R22" s="2" t="s">
        <v>203</v>
      </c>
      <c r="S22" s="2" t="s">
        <v>940</v>
      </c>
      <c r="T22" s="2" t="s">
        <v>1374</v>
      </c>
      <c r="U22" s="150">
        <v>3.7589999999999999</v>
      </c>
      <c r="V22" s="150">
        <v>143.00399999999999</v>
      </c>
      <c r="W22" s="150">
        <v>537.553</v>
      </c>
      <c r="Y22" s="164">
        <v>7.2413753232709304E-3</v>
      </c>
      <c r="Z22" s="164">
        <v>1.3601971456855501E-3</v>
      </c>
    </row>
    <row r="23" spans="1:26">
      <c r="A23" s="2" t="s">
        <v>26</v>
      </c>
      <c r="B23" s="2">
        <v>1182</v>
      </c>
      <c r="C23" s="2" t="s">
        <v>2709</v>
      </c>
      <c r="D23" s="2" t="s">
        <v>2710</v>
      </c>
      <c r="E23" s="2" t="s">
        <v>203</v>
      </c>
      <c r="F23" s="2" t="s">
        <v>2711</v>
      </c>
      <c r="G23" s="2">
        <v>60406600</v>
      </c>
      <c r="H23" s="2" t="s">
        <v>34</v>
      </c>
      <c r="I23" s="2" t="s">
        <v>1069</v>
      </c>
      <c r="J23" s="2" t="s">
        <v>876</v>
      </c>
      <c r="K23" s="2" t="s">
        <v>94</v>
      </c>
      <c r="L23" s="2" t="s">
        <v>267</v>
      </c>
      <c r="M23" s="2" t="s">
        <v>31</v>
      </c>
      <c r="N23" s="2" t="s">
        <v>31</v>
      </c>
      <c r="O23" s="2" t="s">
        <v>164</v>
      </c>
      <c r="P23" t="s">
        <v>2712</v>
      </c>
      <c r="Q23" s="2" t="s">
        <v>99</v>
      </c>
      <c r="R23" s="2" t="s">
        <v>936</v>
      </c>
      <c r="S23" s="2" t="s">
        <v>940</v>
      </c>
      <c r="T23" s="2" t="s">
        <v>1374</v>
      </c>
      <c r="U23" s="150">
        <v>3.7589999999999999</v>
      </c>
      <c r="V23" s="150">
        <v>219.99</v>
      </c>
      <c r="W23" s="150">
        <v>826.94100000000003</v>
      </c>
      <c r="Y23" s="164">
        <v>1.11397267328268E-2</v>
      </c>
      <c r="Z23" s="164">
        <v>2.0924512028833398E-3</v>
      </c>
    </row>
    <row r="24" spans="1:26">
      <c r="A24" s="2" t="s">
        <v>26</v>
      </c>
      <c r="B24" s="2">
        <v>1182</v>
      </c>
      <c r="C24" s="2" t="s">
        <v>2713</v>
      </c>
      <c r="D24" s="2" t="s">
        <v>2714</v>
      </c>
      <c r="E24" s="2" t="s">
        <v>203</v>
      </c>
      <c r="F24" s="2" t="s">
        <v>2715</v>
      </c>
      <c r="G24" s="2">
        <v>62009048</v>
      </c>
      <c r="H24" s="2" t="s">
        <v>34</v>
      </c>
      <c r="I24" s="2" t="s">
        <v>1069</v>
      </c>
      <c r="J24" s="2" t="s">
        <v>876</v>
      </c>
      <c r="K24" s="2" t="s">
        <v>94</v>
      </c>
      <c r="L24" s="2" t="s">
        <v>267</v>
      </c>
      <c r="M24" s="2" t="s">
        <v>31</v>
      </c>
      <c r="N24" s="2" t="s">
        <v>95</v>
      </c>
      <c r="O24" s="2" t="s">
        <v>164</v>
      </c>
      <c r="P24" t="s">
        <v>2716</v>
      </c>
      <c r="Q24" s="2" t="s">
        <v>99</v>
      </c>
      <c r="R24" s="2" t="s">
        <v>936</v>
      </c>
      <c r="S24" s="2" t="s">
        <v>940</v>
      </c>
      <c r="T24" s="2" t="s">
        <v>1374</v>
      </c>
      <c r="U24" s="150">
        <v>3.7589999999999999</v>
      </c>
      <c r="V24" s="150">
        <v>293.89499999999998</v>
      </c>
      <c r="W24" s="150">
        <v>1104.7529999999999</v>
      </c>
      <c r="Y24" s="164">
        <v>1.48821187777566E-2</v>
      </c>
      <c r="Z24" s="164">
        <v>2.79541034397238E-3</v>
      </c>
    </row>
    <row r="25" spans="1:26">
      <c r="A25" s="2" t="s">
        <v>26</v>
      </c>
      <c r="B25" s="2">
        <v>1182</v>
      </c>
      <c r="C25" s="2" t="s">
        <v>2717</v>
      </c>
      <c r="D25" s="2" t="s">
        <v>2718</v>
      </c>
      <c r="E25" s="2" t="s">
        <v>203</v>
      </c>
      <c r="F25" s="2" t="s">
        <v>2719</v>
      </c>
      <c r="G25" s="2">
        <v>62015334</v>
      </c>
      <c r="H25" s="2" t="s">
        <v>34</v>
      </c>
      <c r="I25" s="2" t="s">
        <v>1069</v>
      </c>
      <c r="J25" s="2" t="s">
        <v>876</v>
      </c>
      <c r="K25" s="2" t="s">
        <v>94</v>
      </c>
      <c r="L25" s="2" t="s">
        <v>267</v>
      </c>
      <c r="M25" s="2" t="s">
        <v>31</v>
      </c>
      <c r="N25" s="2" t="s">
        <v>31</v>
      </c>
      <c r="O25" s="2" t="s">
        <v>164</v>
      </c>
      <c r="P25" t="s">
        <v>2720</v>
      </c>
      <c r="Q25" s="2" t="s">
        <v>99</v>
      </c>
      <c r="R25" s="11" t="s">
        <v>936</v>
      </c>
      <c r="S25" s="2" t="s">
        <v>940</v>
      </c>
      <c r="T25" s="2" t="s">
        <v>1374</v>
      </c>
      <c r="U25" s="150">
        <v>3.7589999999999999</v>
      </c>
      <c r="V25" s="150">
        <v>259.82900000000001</v>
      </c>
      <c r="W25" s="150">
        <v>976.69600000000003</v>
      </c>
      <c r="Y25" s="164">
        <v>1.3157069528069E-2</v>
      </c>
      <c r="Z25" s="164">
        <v>2.4713825231726999E-3</v>
      </c>
    </row>
    <row r="26" spans="1:26">
      <c r="A26" s="2" t="s">
        <v>26</v>
      </c>
      <c r="B26" s="2">
        <v>1182</v>
      </c>
      <c r="C26" s="2" t="s">
        <v>2721</v>
      </c>
      <c r="D26" s="2" t="s">
        <v>2722</v>
      </c>
      <c r="E26" s="2" t="s">
        <v>203</v>
      </c>
      <c r="F26" s="2" t="s">
        <v>2723</v>
      </c>
      <c r="G26" s="2">
        <v>62017835</v>
      </c>
      <c r="H26" s="2" t="s">
        <v>34</v>
      </c>
      <c r="I26" s="2" t="s">
        <v>1069</v>
      </c>
      <c r="J26" s="2" t="s">
        <v>876</v>
      </c>
      <c r="K26" s="2" t="s">
        <v>31</v>
      </c>
      <c r="L26" s="2" t="s">
        <v>95</v>
      </c>
      <c r="M26" s="2" t="s">
        <v>31</v>
      </c>
      <c r="N26" s="2" t="s">
        <v>31</v>
      </c>
      <c r="O26" s="2" t="s">
        <v>164</v>
      </c>
      <c r="P26" t="s">
        <v>2690</v>
      </c>
      <c r="Q26" s="2" t="s">
        <v>99</v>
      </c>
      <c r="R26" s="11" t="s">
        <v>203</v>
      </c>
      <c r="S26" s="2" t="s">
        <v>940</v>
      </c>
      <c r="T26" s="2" t="s">
        <v>1374</v>
      </c>
      <c r="U26" s="150">
        <v>3.7589999999999999</v>
      </c>
      <c r="V26" s="150">
        <v>159.256</v>
      </c>
      <c r="W26" s="150">
        <v>598.64499999999998</v>
      </c>
      <c r="Y26" s="164">
        <v>8.0643467847950207E-3</v>
      </c>
      <c r="Z26" s="164">
        <v>1.51478151439634E-3</v>
      </c>
    </row>
    <row r="27" spans="1:26">
      <c r="A27" s="2" t="s">
        <v>26</v>
      </c>
      <c r="B27" s="2">
        <v>1182</v>
      </c>
      <c r="C27" s="2" t="s">
        <v>2724</v>
      </c>
      <c r="D27" s="2" t="s">
        <v>2725</v>
      </c>
      <c r="E27" s="2" t="s">
        <v>203</v>
      </c>
      <c r="F27" s="2" t="s">
        <v>2726</v>
      </c>
      <c r="G27" s="2">
        <v>62020011</v>
      </c>
      <c r="H27" s="2" t="s">
        <v>34</v>
      </c>
      <c r="I27" s="2" t="s">
        <v>1069</v>
      </c>
      <c r="J27" s="2" t="s">
        <v>876</v>
      </c>
      <c r="K27" s="2" t="s">
        <v>94</v>
      </c>
      <c r="L27" s="2" t="s">
        <v>95</v>
      </c>
      <c r="M27" s="2" t="s">
        <v>31</v>
      </c>
      <c r="N27" s="2" t="s">
        <v>31</v>
      </c>
      <c r="O27" s="2" t="s">
        <v>164</v>
      </c>
      <c r="P27" t="s">
        <v>2727</v>
      </c>
      <c r="Q27" s="2" t="s">
        <v>99</v>
      </c>
      <c r="R27" s="2" t="s">
        <v>936</v>
      </c>
      <c r="S27" s="2" t="s">
        <v>940</v>
      </c>
      <c r="T27" s="2" t="s">
        <v>1374</v>
      </c>
      <c r="U27" s="150">
        <v>3.7589999999999999</v>
      </c>
      <c r="V27" s="150">
        <v>73.674000000000007</v>
      </c>
      <c r="W27" s="150">
        <v>276.94099999999997</v>
      </c>
      <c r="Y27" s="164">
        <v>3.7306759642394801E-3</v>
      </c>
      <c r="Z27" s="164">
        <v>7.0075842937306803E-4</v>
      </c>
    </row>
    <row r="28" spans="1:26">
      <c r="A28" s="2" t="s">
        <v>26</v>
      </c>
      <c r="B28" s="2">
        <v>1182</v>
      </c>
      <c r="C28" s="2" t="s">
        <v>2728</v>
      </c>
      <c r="D28" s="2" t="s">
        <v>2729</v>
      </c>
      <c r="E28" s="2" t="s">
        <v>203</v>
      </c>
      <c r="F28" s="2" t="s">
        <v>2730</v>
      </c>
      <c r="G28" s="2">
        <v>62020748</v>
      </c>
      <c r="H28" s="2" t="s">
        <v>34</v>
      </c>
      <c r="I28" s="2" t="s">
        <v>1069</v>
      </c>
      <c r="J28" s="2" t="s">
        <v>876</v>
      </c>
      <c r="K28" s="2" t="s">
        <v>94</v>
      </c>
      <c r="L28" s="2" t="s">
        <v>95</v>
      </c>
      <c r="M28" s="2" t="s">
        <v>31</v>
      </c>
      <c r="N28" s="2" t="s">
        <v>95</v>
      </c>
      <c r="O28" s="2" t="s">
        <v>164</v>
      </c>
      <c r="P28" t="s">
        <v>2731</v>
      </c>
      <c r="Q28" s="2" t="s">
        <v>99</v>
      </c>
      <c r="R28" s="2" t="s">
        <v>203</v>
      </c>
      <c r="S28" s="2" t="s">
        <v>940</v>
      </c>
      <c r="T28" s="2" t="s">
        <v>1374</v>
      </c>
      <c r="U28" s="150">
        <v>3.7589999999999999</v>
      </c>
      <c r="V28" s="150">
        <v>35.664999999999999</v>
      </c>
      <c r="W28" s="150">
        <v>134.065</v>
      </c>
      <c r="Y28" s="164">
        <v>1.80599584361698E-3</v>
      </c>
      <c r="Z28" s="164">
        <v>3.3923257419257502E-4</v>
      </c>
    </row>
    <row r="29" spans="1:26">
      <c r="A29" s="2" t="s">
        <v>26</v>
      </c>
      <c r="B29" s="2">
        <v>1182</v>
      </c>
      <c r="C29" s="2" t="s">
        <v>2732</v>
      </c>
      <c r="E29" s="2" t="s">
        <v>203</v>
      </c>
      <c r="F29" s="2" t="s">
        <v>2733</v>
      </c>
      <c r="G29" s="2">
        <v>62015151</v>
      </c>
      <c r="H29" s="2" t="s">
        <v>34</v>
      </c>
      <c r="I29" s="2" t="s">
        <v>1069</v>
      </c>
      <c r="J29" s="2" t="s">
        <v>895</v>
      </c>
      <c r="K29" s="2" t="s">
        <v>94</v>
      </c>
      <c r="L29" s="2" t="s">
        <v>95</v>
      </c>
      <c r="M29" s="2" t="s">
        <v>31</v>
      </c>
      <c r="N29" s="2" t="s">
        <v>31</v>
      </c>
      <c r="O29" s="2" t="s">
        <v>164</v>
      </c>
      <c r="P29" t="s">
        <v>2734</v>
      </c>
      <c r="Q29" s="2" t="s">
        <v>99</v>
      </c>
      <c r="R29" s="2" t="s">
        <v>936</v>
      </c>
      <c r="S29" s="2" t="s">
        <v>940</v>
      </c>
      <c r="T29" s="2" t="s">
        <v>1374</v>
      </c>
      <c r="U29" s="150">
        <v>3.7589999999999999</v>
      </c>
      <c r="V29" s="150">
        <v>207.42099999999999</v>
      </c>
      <c r="W29" s="150">
        <v>779.69600000000003</v>
      </c>
      <c r="Y29" s="164">
        <v>1.0503279738951401E-2</v>
      </c>
      <c r="Z29" s="164">
        <v>1.9729030030175699E-3</v>
      </c>
    </row>
    <row r="30" spans="1:26">
      <c r="A30" s="2" t="s">
        <v>26</v>
      </c>
      <c r="B30" s="2">
        <v>1182</v>
      </c>
      <c r="C30" s="2" t="s">
        <v>2732</v>
      </c>
      <c r="E30" s="2" t="s">
        <v>203</v>
      </c>
      <c r="F30" s="2" t="s">
        <v>2735</v>
      </c>
      <c r="G30" s="2">
        <v>62007349</v>
      </c>
      <c r="H30" s="2" t="s">
        <v>34</v>
      </c>
      <c r="I30" s="2" t="s">
        <v>1069</v>
      </c>
      <c r="J30" s="2" t="s">
        <v>897</v>
      </c>
      <c r="K30" s="2" t="s">
        <v>94</v>
      </c>
      <c r="L30" s="2" t="s">
        <v>267</v>
      </c>
      <c r="M30" s="2" t="s">
        <v>31</v>
      </c>
      <c r="N30" s="2" t="s">
        <v>31</v>
      </c>
      <c r="O30" s="2" t="s">
        <v>164</v>
      </c>
      <c r="P30" t="s">
        <v>2736</v>
      </c>
      <c r="Q30" s="2" t="s">
        <v>99</v>
      </c>
      <c r="R30" s="2" t="s">
        <v>936</v>
      </c>
      <c r="S30" s="2" t="s">
        <v>940</v>
      </c>
      <c r="T30" s="2" t="s">
        <v>1374</v>
      </c>
      <c r="U30" s="150">
        <v>3.7589999999999999</v>
      </c>
      <c r="V30" s="150">
        <v>121.557</v>
      </c>
      <c r="W30" s="150">
        <v>456.93200000000002</v>
      </c>
      <c r="Y30" s="164">
        <v>6.1553249687225598E-3</v>
      </c>
      <c r="Z30" s="164">
        <v>1.15619686585194E-3</v>
      </c>
    </row>
    <row r="31" spans="1:26">
      <c r="A31" s="2" t="s">
        <v>26</v>
      </c>
      <c r="B31" s="2">
        <v>1182</v>
      </c>
      <c r="C31" s="2" t="s">
        <v>2737</v>
      </c>
      <c r="D31" s="2" t="s">
        <v>2738</v>
      </c>
      <c r="E31" s="2" t="s">
        <v>203</v>
      </c>
      <c r="F31" s="2" t="s">
        <v>2739</v>
      </c>
      <c r="G31" s="2">
        <v>62020755</v>
      </c>
      <c r="H31" s="2" t="s">
        <v>34</v>
      </c>
      <c r="I31" s="2" t="s">
        <v>1069</v>
      </c>
      <c r="J31" s="2" t="s">
        <v>897</v>
      </c>
      <c r="K31" s="2" t="s">
        <v>94</v>
      </c>
      <c r="L31" s="2" t="s">
        <v>95</v>
      </c>
      <c r="M31" s="2" t="s">
        <v>31</v>
      </c>
      <c r="N31" s="2" t="s">
        <v>31</v>
      </c>
      <c r="O31" s="2" t="s">
        <v>164</v>
      </c>
      <c r="P31" t="s">
        <v>2731</v>
      </c>
      <c r="Q31" s="2" t="s">
        <v>99</v>
      </c>
      <c r="R31" s="2" t="s">
        <v>203</v>
      </c>
      <c r="S31" s="2" t="s">
        <v>940</v>
      </c>
      <c r="T31" s="2" t="s">
        <v>1374</v>
      </c>
      <c r="U31" s="150">
        <v>3.7589999999999999</v>
      </c>
      <c r="V31" s="150">
        <v>124.247</v>
      </c>
      <c r="W31" s="150">
        <v>467.04500000000002</v>
      </c>
      <c r="Y31" s="164">
        <v>6.2915676087850403E-3</v>
      </c>
      <c r="Z31" s="164">
        <v>1.18178825448472E-3</v>
      </c>
    </row>
    <row r="32" spans="1:26">
      <c r="A32" s="2" t="s">
        <v>26</v>
      </c>
      <c r="B32" s="2">
        <v>1182</v>
      </c>
      <c r="C32" s="2" t="s">
        <v>2740</v>
      </c>
      <c r="D32" s="2" t="s">
        <v>2741</v>
      </c>
      <c r="E32" s="2" t="s">
        <v>1376</v>
      </c>
      <c r="F32" s="2" t="s">
        <v>2742</v>
      </c>
      <c r="G32" s="2">
        <v>50006410</v>
      </c>
      <c r="H32" s="2" t="s">
        <v>34</v>
      </c>
      <c r="I32" s="2" t="s">
        <v>1071</v>
      </c>
      <c r="J32" s="2" t="s">
        <v>613</v>
      </c>
      <c r="K32" s="2" t="s">
        <v>31</v>
      </c>
      <c r="L32" s="2" t="s">
        <v>267</v>
      </c>
      <c r="M32" s="2" t="s">
        <v>31</v>
      </c>
      <c r="N32" s="2" t="s">
        <v>31</v>
      </c>
      <c r="O32" s="2" t="s">
        <v>164</v>
      </c>
      <c r="P32" t="s">
        <v>2743</v>
      </c>
      <c r="Q32" s="2" t="s">
        <v>35</v>
      </c>
      <c r="R32" s="2" t="s">
        <v>203</v>
      </c>
      <c r="S32" s="2" t="s">
        <v>940</v>
      </c>
      <c r="T32" s="2" t="s">
        <v>1374</v>
      </c>
      <c r="U32" s="150">
        <v>1</v>
      </c>
      <c r="V32" s="150">
        <v>962.25099999999998</v>
      </c>
      <c r="W32" s="150">
        <v>962.25099999999998</v>
      </c>
      <c r="Y32" s="164">
        <v>1.2962481627997201E-2</v>
      </c>
      <c r="Z32" s="164">
        <v>2.4348317445641002E-3</v>
      </c>
    </row>
    <row r="33" spans="1:26">
      <c r="A33" s="2" t="s">
        <v>26</v>
      </c>
      <c r="B33" s="2">
        <v>1182</v>
      </c>
      <c r="C33" s="2" t="s">
        <v>2744</v>
      </c>
      <c r="D33" s="2" t="s">
        <v>2745</v>
      </c>
      <c r="E33" s="2" t="s">
        <v>1376</v>
      </c>
      <c r="F33" s="2" t="s">
        <v>2746</v>
      </c>
      <c r="G33" s="2">
        <v>50007004</v>
      </c>
      <c r="H33" s="2" t="s">
        <v>34</v>
      </c>
      <c r="I33" s="2" t="s">
        <v>1069</v>
      </c>
      <c r="J33" s="2" t="s">
        <v>880</v>
      </c>
      <c r="K33" s="2" t="s">
        <v>31</v>
      </c>
      <c r="L33" s="2" t="s">
        <v>31</v>
      </c>
      <c r="M33" s="2" t="s">
        <v>31</v>
      </c>
      <c r="N33" s="2" t="s">
        <v>31</v>
      </c>
      <c r="O33" s="2" t="s">
        <v>164</v>
      </c>
      <c r="P33" t="s">
        <v>2747</v>
      </c>
      <c r="Q33" s="2" t="s">
        <v>35</v>
      </c>
      <c r="R33" s="2" t="s">
        <v>936</v>
      </c>
      <c r="S33" s="2" t="s">
        <v>940</v>
      </c>
      <c r="T33" s="2" t="s">
        <v>1374</v>
      </c>
      <c r="U33" s="150">
        <v>1</v>
      </c>
      <c r="V33" s="150">
        <v>862.83299999999997</v>
      </c>
      <c r="W33" s="150">
        <v>862.83299999999997</v>
      </c>
      <c r="Y33" s="164">
        <v>1.16232272328238E-2</v>
      </c>
      <c r="Z33" s="164">
        <v>2.1832704147974201E-3</v>
      </c>
    </row>
    <row r="34" spans="1:26">
      <c r="A34" s="2" t="s">
        <v>26</v>
      </c>
      <c r="B34" s="2">
        <v>1182</v>
      </c>
      <c r="C34" s="2" t="s">
        <v>2748</v>
      </c>
      <c r="D34" s="2" t="s">
        <v>2749</v>
      </c>
      <c r="E34" s="2" t="s">
        <v>1376</v>
      </c>
      <c r="F34" s="2" t="s">
        <v>2748</v>
      </c>
      <c r="G34" s="2">
        <v>50007350</v>
      </c>
      <c r="H34" s="2" t="s">
        <v>34</v>
      </c>
      <c r="I34" s="2" t="s">
        <v>1069</v>
      </c>
      <c r="J34" s="2" t="s">
        <v>888</v>
      </c>
      <c r="K34" s="2" t="s">
        <v>31</v>
      </c>
      <c r="L34" s="2" t="s">
        <v>31</v>
      </c>
      <c r="M34" s="2" t="s">
        <v>31</v>
      </c>
      <c r="N34" s="2" t="s">
        <v>31</v>
      </c>
      <c r="O34" s="2" t="s">
        <v>164</v>
      </c>
      <c r="P34" t="s">
        <v>2750</v>
      </c>
      <c r="Q34" s="2" t="s">
        <v>35</v>
      </c>
      <c r="R34" s="2" t="s">
        <v>203</v>
      </c>
      <c r="S34" s="2" t="s">
        <v>940</v>
      </c>
      <c r="T34" s="2" t="s">
        <v>1374</v>
      </c>
      <c r="U34" s="150">
        <v>1</v>
      </c>
      <c r="V34" s="150">
        <v>1534.251</v>
      </c>
      <c r="W34" s="150">
        <v>1534.251</v>
      </c>
      <c r="Y34" s="164">
        <v>2.06678871486678E-2</v>
      </c>
      <c r="Z34" s="164">
        <v>3.8821908618141701E-3</v>
      </c>
    </row>
    <row r="35" spans="1:26">
      <c r="A35" s="2" t="s">
        <v>26</v>
      </c>
      <c r="B35" s="2">
        <v>1182</v>
      </c>
      <c r="C35" s="2" t="s">
        <v>2644</v>
      </c>
      <c r="D35" s="2" t="s">
        <v>2645</v>
      </c>
      <c r="E35" s="2" t="s">
        <v>359</v>
      </c>
      <c r="F35" s="2" t="s">
        <v>2751</v>
      </c>
      <c r="G35" s="2">
        <v>60400892</v>
      </c>
      <c r="H35" s="2" t="s">
        <v>34</v>
      </c>
      <c r="I35" s="2" t="s">
        <v>1069</v>
      </c>
      <c r="J35" s="2" t="s">
        <v>613</v>
      </c>
      <c r="K35" s="2" t="s">
        <v>31</v>
      </c>
      <c r="L35" s="2" t="s">
        <v>31</v>
      </c>
      <c r="M35" s="2" t="s">
        <v>31</v>
      </c>
      <c r="N35" s="2" t="s">
        <v>31</v>
      </c>
      <c r="O35" s="2" t="s">
        <v>164</v>
      </c>
      <c r="P35" t="s">
        <v>2752</v>
      </c>
      <c r="Q35" s="2" t="s">
        <v>99</v>
      </c>
      <c r="R35" s="2" t="s">
        <v>936</v>
      </c>
      <c r="S35" s="2" t="s">
        <v>940</v>
      </c>
      <c r="T35" s="2" t="s">
        <v>1374</v>
      </c>
      <c r="U35" s="150">
        <v>3.7589999999999999</v>
      </c>
      <c r="V35" s="150">
        <v>622.04499999999996</v>
      </c>
      <c r="W35" s="150">
        <v>2338.2660000000001</v>
      </c>
      <c r="Y35" s="164">
        <v>3.14987772743682E-2</v>
      </c>
      <c r="Z35" s="164">
        <v>5.9166311685979103E-3</v>
      </c>
    </row>
    <row r="36" spans="1:26">
      <c r="A36" s="2" t="s">
        <v>26</v>
      </c>
      <c r="B36" s="2">
        <v>1182</v>
      </c>
      <c r="C36" s="2" t="s">
        <v>2744</v>
      </c>
      <c r="D36" s="2" t="s">
        <v>2745</v>
      </c>
      <c r="E36" s="2" t="s">
        <v>1376</v>
      </c>
      <c r="F36" s="2" t="s">
        <v>2744</v>
      </c>
      <c r="G36" s="2">
        <v>18952</v>
      </c>
      <c r="H36" s="2" t="s">
        <v>34</v>
      </c>
      <c r="I36" s="2" t="s">
        <v>1069</v>
      </c>
      <c r="J36" s="2" t="s">
        <v>880</v>
      </c>
      <c r="K36" s="2" t="s">
        <v>31</v>
      </c>
      <c r="L36" s="2" t="s">
        <v>31</v>
      </c>
      <c r="M36" s="2" t="s">
        <v>31</v>
      </c>
      <c r="N36" s="2" t="s">
        <v>31</v>
      </c>
      <c r="O36" s="2" t="s">
        <v>164</v>
      </c>
      <c r="P36" t="s">
        <v>2753</v>
      </c>
      <c r="Q36" s="2" t="s">
        <v>35</v>
      </c>
      <c r="R36" s="2" t="s">
        <v>936</v>
      </c>
      <c r="S36" s="2" t="s">
        <v>940</v>
      </c>
      <c r="T36" s="2" t="s">
        <v>1374</v>
      </c>
      <c r="U36" s="150">
        <v>1</v>
      </c>
      <c r="V36" s="150">
        <v>129.78100000000001</v>
      </c>
      <c r="W36" s="150">
        <v>129.78100000000001</v>
      </c>
      <c r="Y36" s="164">
        <v>1.74827591104225E-3</v>
      </c>
      <c r="Z36" s="164">
        <v>3.2839064375361402E-4</v>
      </c>
    </row>
    <row r="37" spans="1:26">
      <c r="A37" s="2" t="s">
        <v>26</v>
      </c>
      <c r="B37" s="2">
        <v>1182</v>
      </c>
      <c r="C37" s="2" t="s">
        <v>2754</v>
      </c>
      <c r="D37" s="2" t="s">
        <v>2755</v>
      </c>
      <c r="E37" s="2" t="s">
        <v>203</v>
      </c>
      <c r="F37" s="2" t="s">
        <v>2756</v>
      </c>
      <c r="G37" s="2">
        <v>50007160</v>
      </c>
      <c r="H37" s="2" t="s">
        <v>34</v>
      </c>
      <c r="I37" s="2" t="s">
        <v>1069</v>
      </c>
      <c r="J37" s="2" t="s">
        <v>613</v>
      </c>
      <c r="K37" s="2" t="s">
        <v>31</v>
      </c>
      <c r="L37" s="2" t="s">
        <v>31</v>
      </c>
      <c r="M37" s="2" t="s">
        <v>31</v>
      </c>
      <c r="N37" s="2" t="s">
        <v>31</v>
      </c>
      <c r="O37" s="2" t="s">
        <v>164</v>
      </c>
      <c r="P37" t="s">
        <v>2757</v>
      </c>
      <c r="Q37" s="2" t="s">
        <v>35</v>
      </c>
      <c r="R37" s="2" t="s">
        <v>203</v>
      </c>
      <c r="S37" s="2" t="s">
        <v>940</v>
      </c>
      <c r="T37" s="2" t="s">
        <v>1374</v>
      </c>
      <c r="U37" s="150">
        <v>1</v>
      </c>
      <c r="V37" s="150">
        <v>476.68</v>
      </c>
      <c r="W37" s="150">
        <v>476.68</v>
      </c>
      <c r="Y37" s="164">
        <v>6.4213545447384902E-3</v>
      </c>
      <c r="Z37" s="164">
        <v>1.20616702397949E-3</v>
      </c>
    </row>
    <row r="38" spans="1:26">
      <c r="A38" s="2" t="s">
        <v>26</v>
      </c>
      <c r="B38" s="2">
        <v>1182</v>
      </c>
      <c r="C38" s="2" t="s">
        <v>2758</v>
      </c>
      <c r="D38" s="2" t="s">
        <v>2759</v>
      </c>
      <c r="E38" s="2" t="s">
        <v>34</v>
      </c>
      <c r="F38" s="2" t="s">
        <v>2760</v>
      </c>
      <c r="G38" s="2">
        <v>62020672</v>
      </c>
      <c r="H38" s="2" t="s">
        <v>34</v>
      </c>
      <c r="I38" s="2" t="s">
        <v>1069</v>
      </c>
      <c r="J38" s="2" t="s">
        <v>613</v>
      </c>
      <c r="K38" s="2" t="s">
        <v>94</v>
      </c>
      <c r="L38" s="2" t="s">
        <v>95</v>
      </c>
      <c r="M38" s="2" t="s">
        <v>95</v>
      </c>
      <c r="N38" s="2" t="s">
        <v>95</v>
      </c>
      <c r="O38" s="2" t="s">
        <v>164</v>
      </c>
      <c r="P38" t="s">
        <v>2761</v>
      </c>
      <c r="Q38" s="2" t="s">
        <v>99</v>
      </c>
      <c r="R38" s="2" t="s">
        <v>203</v>
      </c>
      <c r="S38" s="2" t="s">
        <v>940</v>
      </c>
      <c r="T38" s="2" t="s">
        <v>1374</v>
      </c>
      <c r="U38" s="150">
        <v>3.7589999999999999</v>
      </c>
      <c r="V38" s="150">
        <v>88.96</v>
      </c>
      <c r="W38" s="150">
        <v>334.4</v>
      </c>
      <c r="Y38" s="164">
        <v>4.5046960635755596E-3</v>
      </c>
      <c r="Z38" s="164">
        <v>8.4614792830386401E-4</v>
      </c>
    </row>
    <row r="39" spans="1:26">
      <c r="A39" s="2" t="s">
        <v>26</v>
      </c>
      <c r="B39" s="2">
        <v>1182</v>
      </c>
      <c r="C39" s="2" t="s">
        <v>2762</v>
      </c>
      <c r="D39" s="2" t="s">
        <v>2763</v>
      </c>
      <c r="E39" s="2" t="s">
        <v>361</v>
      </c>
      <c r="F39" s="2" t="s">
        <v>2762</v>
      </c>
      <c r="G39" s="2">
        <v>62021365</v>
      </c>
      <c r="H39" s="2" t="s">
        <v>34</v>
      </c>
      <c r="I39" s="2" t="s">
        <v>1069</v>
      </c>
      <c r="J39" s="2" t="s">
        <v>879</v>
      </c>
      <c r="K39" s="2" t="s">
        <v>94</v>
      </c>
      <c r="L39" s="2" t="s">
        <v>302</v>
      </c>
      <c r="M39" s="2" t="s">
        <v>302</v>
      </c>
      <c r="N39" s="2" t="s">
        <v>342</v>
      </c>
      <c r="O39" s="2" t="s">
        <v>164</v>
      </c>
      <c r="P39" t="s">
        <v>2764</v>
      </c>
      <c r="Q39" s="2" t="s">
        <v>99</v>
      </c>
      <c r="R39" s="2" t="s">
        <v>936</v>
      </c>
      <c r="S39" s="2" t="s">
        <v>940</v>
      </c>
      <c r="T39" s="2" t="s">
        <v>1374</v>
      </c>
      <c r="U39" s="150">
        <v>3.7589999999999999</v>
      </c>
      <c r="V39" s="150">
        <v>42.853999999999999</v>
      </c>
      <c r="W39" s="150">
        <v>161.08799999999999</v>
      </c>
      <c r="Y39" s="164">
        <v>2.17001321205226E-3</v>
      </c>
      <c r="Z39" s="164">
        <v>4.07608450793593E-4</v>
      </c>
    </row>
    <row r="40" spans="1:26">
      <c r="A40" s="2" t="s">
        <v>26</v>
      </c>
      <c r="B40" s="2">
        <v>1182</v>
      </c>
      <c r="C40" s="2" t="s">
        <v>2765</v>
      </c>
      <c r="D40" s="2" t="s">
        <v>2766</v>
      </c>
      <c r="E40" s="2" t="s">
        <v>360</v>
      </c>
      <c r="F40" s="2" t="s">
        <v>2765</v>
      </c>
      <c r="G40" s="2">
        <v>62020896</v>
      </c>
      <c r="H40" s="2" t="s">
        <v>34</v>
      </c>
      <c r="I40" s="2" t="s">
        <v>1069</v>
      </c>
      <c r="J40" s="2" t="s">
        <v>897</v>
      </c>
      <c r="K40" s="2" t="s">
        <v>94</v>
      </c>
      <c r="L40" s="2" t="s">
        <v>282</v>
      </c>
      <c r="M40" s="2" t="s">
        <v>2767</v>
      </c>
      <c r="N40" s="2" t="s">
        <v>345</v>
      </c>
      <c r="O40" s="2" t="s">
        <v>164</v>
      </c>
      <c r="P40" t="s">
        <v>2768</v>
      </c>
      <c r="Q40" s="2" t="s">
        <v>99</v>
      </c>
      <c r="R40" s="2" t="s">
        <v>936</v>
      </c>
      <c r="S40" s="2" t="s">
        <v>940</v>
      </c>
      <c r="T40" s="2" t="s">
        <v>1374</v>
      </c>
      <c r="U40" s="150">
        <v>3.7589999999999999</v>
      </c>
      <c r="V40" s="150">
        <v>35.427</v>
      </c>
      <c r="W40" s="150">
        <v>133.172</v>
      </c>
      <c r="Y40" s="164">
        <v>1.7939566316986001E-3</v>
      </c>
      <c r="Z40" s="164">
        <v>3.36971166523916E-4</v>
      </c>
    </row>
    <row r="41" spans="1:26">
      <c r="A41" s="2" t="s">
        <v>26</v>
      </c>
      <c r="B41" s="2">
        <v>1182</v>
      </c>
      <c r="C41" s="2" t="s">
        <v>2769</v>
      </c>
      <c r="D41" s="2" t="s">
        <v>2770</v>
      </c>
      <c r="E41" s="2" t="s">
        <v>361</v>
      </c>
      <c r="F41" s="2" t="s">
        <v>2769</v>
      </c>
      <c r="G41" s="2">
        <v>62019815</v>
      </c>
      <c r="H41" s="2" t="s">
        <v>34</v>
      </c>
      <c r="I41" s="2" t="s">
        <v>1069</v>
      </c>
      <c r="J41" s="2" t="s">
        <v>897</v>
      </c>
      <c r="K41" s="2" t="s">
        <v>94</v>
      </c>
      <c r="L41" s="2" t="s">
        <v>282</v>
      </c>
      <c r="M41" s="2" t="s">
        <v>2767</v>
      </c>
      <c r="N41" s="2" t="s">
        <v>345</v>
      </c>
      <c r="O41" s="2" t="s">
        <v>164</v>
      </c>
      <c r="P41" t="s">
        <v>2771</v>
      </c>
      <c r="Q41" s="2" t="s">
        <v>99</v>
      </c>
      <c r="R41" s="2" t="s">
        <v>936</v>
      </c>
      <c r="S41" s="2" t="s">
        <v>940</v>
      </c>
      <c r="T41" s="2" t="s">
        <v>1374</v>
      </c>
      <c r="U41" s="150">
        <v>3.7589999999999999</v>
      </c>
      <c r="V41" s="150">
        <v>237.52600000000001</v>
      </c>
      <c r="W41" s="150">
        <v>892.85900000000004</v>
      </c>
      <c r="Y41" s="164">
        <v>1.2027695076225E-2</v>
      </c>
      <c r="Z41" s="164">
        <v>2.2592443812824701E-3</v>
      </c>
    </row>
    <row r="42" spans="1:26">
      <c r="A42" s="2" t="s">
        <v>26</v>
      </c>
      <c r="B42" s="2">
        <v>1182</v>
      </c>
      <c r="C42" s="2" t="s">
        <v>2772</v>
      </c>
      <c r="D42" s="2" t="s">
        <v>2773</v>
      </c>
      <c r="E42" s="2" t="s">
        <v>360</v>
      </c>
      <c r="F42" s="2" t="s">
        <v>2774</v>
      </c>
      <c r="G42" s="2">
        <v>62019757</v>
      </c>
      <c r="H42" s="2" t="s">
        <v>34</v>
      </c>
      <c r="I42" s="2" t="s">
        <v>1069</v>
      </c>
      <c r="J42" s="2" t="s">
        <v>877</v>
      </c>
      <c r="K42" s="2" t="s">
        <v>94</v>
      </c>
      <c r="L42" s="2" t="s">
        <v>267</v>
      </c>
      <c r="M42" s="2" t="s">
        <v>267</v>
      </c>
      <c r="N42" s="2" t="s">
        <v>338</v>
      </c>
      <c r="O42" s="2" t="s">
        <v>164</v>
      </c>
      <c r="P42" t="s">
        <v>2775</v>
      </c>
      <c r="Q42" s="2" t="s">
        <v>99</v>
      </c>
      <c r="R42" s="2" t="s">
        <v>936</v>
      </c>
      <c r="S42" s="2" t="s">
        <v>940</v>
      </c>
      <c r="T42" s="2" t="s">
        <v>1374</v>
      </c>
      <c r="U42" s="150">
        <v>3.7589999999999999</v>
      </c>
      <c r="V42" s="150">
        <v>77.498000000000005</v>
      </c>
      <c r="W42" s="150">
        <v>291.31700000000001</v>
      </c>
      <c r="Y42" s="164">
        <v>3.92432592035135E-3</v>
      </c>
      <c r="Z42" s="164">
        <v>7.3713302754077202E-4</v>
      </c>
    </row>
    <row r="43" spans="1:26">
      <c r="A43" s="2" t="s">
        <v>26</v>
      </c>
      <c r="B43" s="2">
        <v>1182</v>
      </c>
      <c r="C43" s="2" t="s">
        <v>2776</v>
      </c>
      <c r="D43" s="2" t="s">
        <v>2777</v>
      </c>
      <c r="E43" s="2" t="s">
        <v>360</v>
      </c>
      <c r="F43" s="2" t="s">
        <v>2778</v>
      </c>
      <c r="G43" s="2">
        <v>62013909</v>
      </c>
      <c r="H43" s="2" t="s">
        <v>34</v>
      </c>
      <c r="I43" s="2" t="s">
        <v>1069</v>
      </c>
      <c r="J43" s="2" t="s">
        <v>883</v>
      </c>
      <c r="K43" s="2" t="s">
        <v>94</v>
      </c>
      <c r="L43" s="2" t="s">
        <v>267</v>
      </c>
      <c r="M43" s="2" t="s">
        <v>95</v>
      </c>
      <c r="N43" s="2" t="s">
        <v>95</v>
      </c>
      <c r="O43" s="2" t="s">
        <v>164</v>
      </c>
      <c r="P43" t="s">
        <v>2779</v>
      </c>
      <c r="Q43" s="2" t="s">
        <v>99</v>
      </c>
      <c r="R43" s="2" t="s">
        <v>936</v>
      </c>
      <c r="S43" s="2" t="s">
        <v>940</v>
      </c>
      <c r="T43" s="2" t="s">
        <v>1374</v>
      </c>
      <c r="U43" s="150">
        <v>3.7589999999999999</v>
      </c>
      <c r="V43" s="150">
        <v>235.89699999999999</v>
      </c>
      <c r="W43" s="150">
        <v>886.73800000000006</v>
      </c>
      <c r="Y43" s="164">
        <v>1.19452396936197E-2</v>
      </c>
      <c r="Z43" s="164">
        <v>2.2437562217741901E-3</v>
      </c>
    </row>
    <row r="44" spans="1:26">
      <c r="A44" s="2" t="s">
        <v>26</v>
      </c>
      <c r="B44" s="2">
        <v>1182</v>
      </c>
      <c r="C44" s="2" t="s">
        <v>2780</v>
      </c>
      <c r="D44" s="2" t="s">
        <v>2781</v>
      </c>
      <c r="E44" s="2" t="s">
        <v>360</v>
      </c>
      <c r="F44" s="2" t="s">
        <v>2782</v>
      </c>
      <c r="G44" s="2">
        <v>62011226</v>
      </c>
      <c r="H44" s="2" t="s">
        <v>34</v>
      </c>
      <c r="I44" s="2" t="s">
        <v>1069</v>
      </c>
      <c r="J44" s="2" t="s">
        <v>887</v>
      </c>
      <c r="K44" s="2" t="s">
        <v>94</v>
      </c>
      <c r="L44" s="2" t="s">
        <v>267</v>
      </c>
      <c r="M44" s="2" t="s">
        <v>95</v>
      </c>
      <c r="N44" s="2" t="s">
        <v>95</v>
      </c>
      <c r="O44" s="2" t="s">
        <v>164</v>
      </c>
      <c r="P44" t="s">
        <v>2783</v>
      </c>
      <c r="Q44" s="2" t="s">
        <v>99</v>
      </c>
      <c r="R44" s="2" t="s">
        <v>936</v>
      </c>
      <c r="S44" s="2" t="s">
        <v>940</v>
      </c>
      <c r="T44" s="2" t="s">
        <v>1374</v>
      </c>
      <c r="U44" s="150">
        <v>3.7589999999999999</v>
      </c>
      <c r="V44" s="150">
        <v>16.867999999999999</v>
      </c>
      <c r="W44" s="150">
        <v>63.406999999999996</v>
      </c>
      <c r="Y44" s="164">
        <v>8.54153284874788E-4</v>
      </c>
      <c r="Z44" s="164">
        <v>1.60441464252102E-4</v>
      </c>
    </row>
    <row r="45" spans="1:26">
      <c r="A45" s="2" t="s">
        <v>26</v>
      </c>
      <c r="B45" s="2">
        <v>1182</v>
      </c>
      <c r="C45" s="2" t="s">
        <v>2784</v>
      </c>
      <c r="D45" s="2" t="s">
        <v>2785</v>
      </c>
      <c r="E45" s="2" t="s">
        <v>360</v>
      </c>
      <c r="F45" s="2" t="s">
        <v>2786</v>
      </c>
      <c r="G45" s="2">
        <v>60419041</v>
      </c>
      <c r="H45" s="2" t="s">
        <v>34</v>
      </c>
      <c r="I45" s="2" t="s">
        <v>1069</v>
      </c>
      <c r="J45" s="2" t="s">
        <v>897</v>
      </c>
      <c r="K45" s="2" t="s">
        <v>94</v>
      </c>
      <c r="L45" s="2" t="s">
        <v>267</v>
      </c>
      <c r="M45" s="2" t="s">
        <v>95</v>
      </c>
      <c r="N45" s="2" t="s">
        <v>345</v>
      </c>
      <c r="O45" s="2" t="s">
        <v>164</v>
      </c>
      <c r="P45" t="s">
        <v>2787</v>
      </c>
      <c r="Q45" s="2" t="s">
        <v>99</v>
      </c>
      <c r="R45" s="2" t="s">
        <v>936</v>
      </c>
      <c r="S45" s="2" t="s">
        <v>940</v>
      </c>
      <c r="T45" s="2" t="s">
        <v>1374</v>
      </c>
      <c r="U45" s="150">
        <v>3.7589999999999999</v>
      </c>
      <c r="V45" s="150">
        <v>58.738</v>
      </c>
      <c r="W45" s="150">
        <v>220.79599999999999</v>
      </c>
      <c r="Y45" s="164">
        <v>2.9743422614352498E-3</v>
      </c>
      <c r="Z45" s="164">
        <v>5.5869108749202398E-4</v>
      </c>
    </row>
    <row r="46" spans="1:26">
      <c r="A46" s="2" t="s">
        <v>26</v>
      </c>
      <c r="B46" s="2">
        <v>1182</v>
      </c>
      <c r="C46" s="2" t="s">
        <v>2788</v>
      </c>
      <c r="D46" s="2" t="s">
        <v>2789</v>
      </c>
      <c r="E46" s="2" t="s">
        <v>360</v>
      </c>
      <c r="F46" s="2" t="s">
        <v>2790</v>
      </c>
      <c r="G46" s="2">
        <v>62016654</v>
      </c>
      <c r="H46" s="2" t="s">
        <v>34</v>
      </c>
      <c r="I46" s="2" t="s">
        <v>1069</v>
      </c>
      <c r="J46" s="2" t="s">
        <v>897</v>
      </c>
      <c r="K46" s="2" t="s">
        <v>94</v>
      </c>
      <c r="L46" s="2" t="s">
        <v>267</v>
      </c>
      <c r="M46" s="2" t="s">
        <v>95</v>
      </c>
      <c r="N46" s="2" t="s">
        <v>345</v>
      </c>
      <c r="O46" s="2" t="s">
        <v>164</v>
      </c>
      <c r="P46" t="s">
        <v>2791</v>
      </c>
      <c r="Q46" s="2" t="s">
        <v>99</v>
      </c>
      <c r="R46" s="2" t="s">
        <v>936</v>
      </c>
      <c r="S46" s="2" t="s">
        <v>940</v>
      </c>
      <c r="T46" s="2" t="s">
        <v>1374</v>
      </c>
      <c r="U46" s="150">
        <v>3.7589999999999999</v>
      </c>
      <c r="V46" s="150">
        <v>399.66300000000001</v>
      </c>
      <c r="W46" s="150">
        <v>1502.3340000000001</v>
      </c>
      <c r="Y46" s="164">
        <v>2.0237934598372601E-2</v>
      </c>
      <c r="Z46" s="164">
        <v>3.80142992820914E-3</v>
      </c>
    </row>
    <row r="47" spans="1:26">
      <c r="A47" s="2" t="s">
        <v>26</v>
      </c>
      <c r="B47" s="2">
        <v>1182</v>
      </c>
      <c r="C47" s="2" t="s">
        <v>2792</v>
      </c>
      <c r="D47" s="2" t="s">
        <v>2793</v>
      </c>
      <c r="E47" s="2" t="s">
        <v>361</v>
      </c>
      <c r="F47" s="2" t="s">
        <v>2794</v>
      </c>
      <c r="G47" s="2">
        <v>62021241</v>
      </c>
      <c r="H47" s="2" t="s">
        <v>34</v>
      </c>
      <c r="I47" s="2" t="s">
        <v>1069</v>
      </c>
      <c r="J47" s="2" t="s">
        <v>897</v>
      </c>
      <c r="K47" s="2" t="s">
        <v>94</v>
      </c>
      <c r="L47" s="2" t="s">
        <v>267</v>
      </c>
      <c r="M47" s="2" t="s">
        <v>95</v>
      </c>
      <c r="N47" s="2" t="s">
        <v>345</v>
      </c>
      <c r="O47" s="2" t="s">
        <v>164</v>
      </c>
      <c r="P47" t="s">
        <v>2795</v>
      </c>
      <c r="Q47" s="2" t="s">
        <v>99</v>
      </c>
      <c r="R47" s="2" t="s">
        <v>203</v>
      </c>
      <c r="S47" s="2" t="s">
        <v>940</v>
      </c>
      <c r="T47" s="2" t="s">
        <v>1374</v>
      </c>
      <c r="U47" s="150">
        <v>3.7589999999999999</v>
      </c>
      <c r="V47" s="150">
        <v>99.653000000000006</v>
      </c>
      <c r="W47" s="150">
        <v>374.59699999999998</v>
      </c>
      <c r="Y47" s="164">
        <v>5.04620107785652E-3</v>
      </c>
      <c r="Z47" s="164">
        <v>9.4786252558932299E-4</v>
      </c>
    </row>
    <row r="48" spans="1:26">
      <c r="A48" s="2" t="s">
        <v>26</v>
      </c>
      <c r="B48" s="2">
        <v>1182</v>
      </c>
      <c r="C48" s="2" t="s">
        <v>2796</v>
      </c>
      <c r="D48" s="2" t="s">
        <v>2797</v>
      </c>
      <c r="E48" s="2" t="s">
        <v>361</v>
      </c>
      <c r="F48" s="2" t="s">
        <v>2798</v>
      </c>
      <c r="G48" s="2">
        <v>62018064</v>
      </c>
      <c r="H48" s="2" t="s">
        <v>34</v>
      </c>
      <c r="I48" s="2" t="s">
        <v>1069</v>
      </c>
      <c r="J48" s="2" t="s">
        <v>882</v>
      </c>
      <c r="K48" s="2" t="s">
        <v>94</v>
      </c>
      <c r="L48" s="2" t="s">
        <v>267</v>
      </c>
      <c r="M48" s="2" t="s">
        <v>95</v>
      </c>
      <c r="N48" s="2" t="s">
        <v>340</v>
      </c>
      <c r="O48" s="2" t="s">
        <v>164</v>
      </c>
      <c r="P48" t="s">
        <v>2799</v>
      </c>
      <c r="Q48" s="2" t="s">
        <v>99</v>
      </c>
      <c r="R48" s="2" t="s">
        <v>203</v>
      </c>
      <c r="S48" s="2" t="s">
        <v>940</v>
      </c>
      <c r="T48" s="2" t="s">
        <v>1374</v>
      </c>
      <c r="U48" s="150">
        <v>3.7589999999999999</v>
      </c>
      <c r="V48" s="150">
        <v>272.58199999999999</v>
      </c>
      <c r="W48" s="150">
        <v>1024.6369999999999</v>
      </c>
      <c r="Y48" s="164">
        <v>1.3802885786759299E-2</v>
      </c>
      <c r="Z48" s="164">
        <v>2.5926906162479098E-3</v>
      </c>
    </row>
    <row r="49" spans="1:26">
      <c r="A49" s="2" t="s">
        <v>26</v>
      </c>
      <c r="B49" s="2">
        <v>1182</v>
      </c>
      <c r="C49" s="2" t="s">
        <v>2796</v>
      </c>
      <c r="D49" s="2" t="s">
        <v>2797</v>
      </c>
      <c r="E49" s="2" t="s">
        <v>361</v>
      </c>
      <c r="F49" s="2" t="s">
        <v>2800</v>
      </c>
      <c r="G49" s="2">
        <v>62021340</v>
      </c>
      <c r="H49" s="2" t="s">
        <v>34</v>
      </c>
      <c r="I49" s="2" t="s">
        <v>1069</v>
      </c>
      <c r="J49" s="2" t="s">
        <v>881</v>
      </c>
      <c r="K49" s="2" t="s">
        <v>94</v>
      </c>
      <c r="L49" s="2" t="s">
        <v>267</v>
      </c>
      <c r="M49" s="2" t="s">
        <v>95</v>
      </c>
      <c r="N49" s="2" t="s">
        <v>340</v>
      </c>
      <c r="O49" s="2" t="s">
        <v>164</v>
      </c>
      <c r="P49" t="s">
        <v>2801</v>
      </c>
      <c r="Q49" s="2" t="s">
        <v>99</v>
      </c>
      <c r="R49" s="2" t="s">
        <v>936</v>
      </c>
      <c r="S49" s="2" t="s">
        <v>940</v>
      </c>
      <c r="T49" s="2" t="s">
        <v>1374</v>
      </c>
      <c r="U49" s="150">
        <v>3.7589999999999999</v>
      </c>
      <c r="V49" s="150">
        <v>88.149000000000001</v>
      </c>
      <c r="W49" s="150">
        <v>331.35399999999998</v>
      </c>
      <c r="Y49" s="164">
        <v>4.4636651427338902E-3</v>
      </c>
      <c r="Z49" s="164">
        <v>8.3844080929370299E-4</v>
      </c>
    </row>
    <row r="50" spans="1:26">
      <c r="A50" s="2" t="s">
        <v>26</v>
      </c>
      <c r="B50" s="2">
        <v>1182</v>
      </c>
      <c r="C50" s="2" t="s">
        <v>2802</v>
      </c>
      <c r="D50" s="2" t="s">
        <v>2803</v>
      </c>
      <c r="E50" s="2" t="s">
        <v>360</v>
      </c>
      <c r="F50" s="2" t="s">
        <v>2804</v>
      </c>
      <c r="G50" s="2">
        <v>62018908</v>
      </c>
      <c r="H50" s="2" t="s">
        <v>34</v>
      </c>
      <c r="I50" s="2" t="s">
        <v>1069</v>
      </c>
      <c r="J50" s="2" t="s">
        <v>882</v>
      </c>
      <c r="K50" s="2" t="s">
        <v>94</v>
      </c>
      <c r="L50" s="2" t="s">
        <v>302</v>
      </c>
      <c r="M50" s="2" t="s">
        <v>302</v>
      </c>
      <c r="N50" s="2" t="s">
        <v>345</v>
      </c>
      <c r="O50" s="2" t="s">
        <v>164</v>
      </c>
      <c r="P50" t="s">
        <v>2805</v>
      </c>
      <c r="Q50" s="2" t="s">
        <v>99</v>
      </c>
      <c r="R50" s="2" t="s">
        <v>936</v>
      </c>
      <c r="S50" s="2" t="s">
        <v>940</v>
      </c>
      <c r="T50" s="2" t="s">
        <v>1374</v>
      </c>
      <c r="U50" s="150">
        <v>3.7589999999999999</v>
      </c>
      <c r="V50" s="150">
        <v>612.45600000000002</v>
      </c>
      <c r="W50" s="150">
        <v>2302.2199999999998</v>
      </c>
      <c r="Y50" s="164">
        <v>3.10132033045184E-2</v>
      </c>
      <c r="Z50" s="164">
        <v>5.8254224826337396E-3</v>
      </c>
    </row>
    <row r="51" spans="1:26">
      <c r="A51" s="2" t="s">
        <v>26</v>
      </c>
      <c r="B51" s="2">
        <v>1182</v>
      </c>
      <c r="C51" s="2" t="s">
        <v>2806</v>
      </c>
      <c r="D51" s="2" t="s">
        <v>2807</v>
      </c>
      <c r="E51" s="2" t="s">
        <v>360</v>
      </c>
      <c r="F51" s="2" t="s">
        <v>2808</v>
      </c>
      <c r="G51" s="2">
        <v>62019559</v>
      </c>
      <c r="H51" s="2" t="s">
        <v>34</v>
      </c>
      <c r="I51" s="2" t="s">
        <v>1069</v>
      </c>
      <c r="J51" s="2" t="s">
        <v>883</v>
      </c>
      <c r="K51" s="2" t="s">
        <v>94</v>
      </c>
      <c r="L51" s="2" t="s">
        <v>95</v>
      </c>
      <c r="M51" s="2" t="s">
        <v>95</v>
      </c>
      <c r="N51" s="2" t="s">
        <v>95</v>
      </c>
      <c r="O51" s="2" t="s">
        <v>164</v>
      </c>
      <c r="P51" t="s">
        <v>2809</v>
      </c>
      <c r="Q51" s="2" t="s">
        <v>99</v>
      </c>
      <c r="R51" s="2" t="s">
        <v>936</v>
      </c>
      <c r="S51" s="2" t="s">
        <v>940</v>
      </c>
      <c r="T51" s="2" t="s">
        <v>1374</v>
      </c>
      <c r="U51" s="150">
        <v>3.7589999999999999</v>
      </c>
      <c r="V51" s="150">
        <v>692.66300000000001</v>
      </c>
      <c r="W51" s="150">
        <v>2603.7220000000002</v>
      </c>
      <c r="Y51" s="164">
        <v>3.5074733971075203E-2</v>
      </c>
      <c r="Z51" s="164">
        <v>6.5883276177965897E-3</v>
      </c>
    </row>
    <row r="52" spans="1:26">
      <c r="A52" s="2" t="s">
        <v>26</v>
      </c>
      <c r="B52" s="2">
        <v>1182</v>
      </c>
      <c r="C52" s="2" t="s">
        <v>2810</v>
      </c>
      <c r="D52" s="2" t="s">
        <v>2811</v>
      </c>
      <c r="E52" s="2" t="s">
        <v>361</v>
      </c>
      <c r="F52" s="2" t="s">
        <v>2812</v>
      </c>
      <c r="G52" s="2">
        <v>62020946</v>
      </c>
      <c r="H52" s="2" t="s">
        <v>34</v>
      </c>
      <c r="I52" s="2" t="s">
        <v>1069</v>
      </c>
      <c r="J52" s="2" t="s">
        <v>883</v>
      </c>
      <c r="K52" s="2" t="s">
        <v>94</v>
      </c>
      <c r="L52" s="2" t="s">
        <v>95</v>
      </c>
      <c r="M52" s="2" t="s">
        <v>95</v>
      </c>
      <c r="N52" s="2" t="s">
        <v>95</v>
      </c>
      <c r="O52" s="2" t="s">
        <v>164</v>
      </c>
      <c r="P52" t="s">
        <v>2813</v>
      </c>
      <c r="Q52" s="2" t="s">
        <v>99</v>
      </c>
      <c r="R52" s="2" t="s">
        <v>936</v>
      </c>
      <c r="S52" s="2" t="s">
        <v>940</v>
      </c>
      <c r="T52" s="2" t="s">
        <v>1374</v>
      </c>
      <c r="U52" s="150">
        <v>3.7589999999999999</v>
      </c>
      <c r="V52" s="150">
        <v>243.71700000000001</v>
      </c>
      <c r="W52" s="150">
        <v>916.13300000000004</v>
      </c>
      <c r="Y52" s="164">
        <v>1.2341220834914599E-2</v>
      </c>
      <c r="Z52" s="164">
        <v>2.3181360728508002E-3</v>
      </c>
    </row>
    <row r="53" spans="1:26">
      <c r="A53" s="2" t="s">
        <v>26</v>
      </c>
      <c r="B53" s="2">
        <v>1182</v>
      </c>
      <c r="C53" s="2" t="s">
        <v>2814</v>
      </c>
      <c r="D53" s="2" t="s">
        <v>2815</v>
      </c>
      <c r="E53" s="2" t="s">
        <v>359</v>
      </c>
      <c r="F53" s="2" t="s">
        <v>2816</v>
      </c>
      <c r="G53" s="2">
        <v>62021431</v>
      </c>
      <c r="H53" s="2" t="s">
        <v>34</v>
      </c>
      <c r="I53" s="2" t="s">
        <v>1069</v>
      </c>
      <c r="J53" s="2" t="s">
        <v>893</v>
      </c>
      <c r="K53" s="2" t="s">
        <v>31</v>
      </c>
      <c r="L53" s="2" t="s">
        <v>267</v>
      </c>
      <c r="M53" s="2" t="s">
        <v>31</v>
      </c>
      <c r="N53" s="2" t="s">
        <v>31</v>
      </c>
      <c r="O53" s="2" t="s">
        <v>164</v>
      </c>
      <c r="P53" t="s">
        <v>2817</v>
      </c>
      <c r="Q53" s="2" t="s">
        <v>99</v>
      </c>
      <c r="R53" s="2" t="s">
        <v>936</v>
      </c>
      <c r="S53" s="2" t="s">
        <v>940</v>
      </c>
      <c r="T53" s="2" t="s">
        <v>1374</v>
      </c>
      <c r="U53" s="150">
        <v>3.7589999999999999</v>
      </c>
      <c r="V53" s="150">
        <v>29.573</v>
      </c>
      <c r="W53" s="150">
        <v>111.16500000000001</v>
      </c>
      <c r="Y53" s="164">
        <v>1.49750406292776E-3</v>
      </c>
      <c r="Z53" s="164">
        <v>2.8128644920545197E-4</v>
      </c>
    </row>
    <row r="54" spans="1:26">
      <c r="A54" s="2" t="s">
        <v>26</v>
      </c>
      <c r="B54" s="2">
        <v>1182</v>
      </c>
      <c r="C54" s="2" t="s">
        <v>2818</v>
      </c>
      <c r="D54" s="2" t="s">
        <v>2819</v>
      </c>
      <c r="E54" s="2" t="s">
        <v>361</v>
      </c>
      <c r="F54" s="2" t="s">
        <v>2820</v>
      </c>
      <c r="G54" s="2">
        <v>62021662</v>
      </c>
      <c r="H54" s="2" t="s">
        <v>34</v>
      </c>
      <c r="I54" s="2" t="s">
        <v>1069</v>
      </c>
      <c r="J54" s="2" t="s">
        <v>613</v>
      </c>
      <c r="K54" s="2" t="s">
        <v>94</v>
      </c>
      <c r="L54" s="2" t="s">
        <v>267</v>
      </c>
      <c r="M54" s="2" t="s">
        <v>95</v>
      </c>
      <c r="N54" s="2" t="s">
        <v>345</v>
      </c>
      <c r="O54" s="2" t="s">
        <v>164</v>
      </c>
      <c r="P54" t="s">
        <v>2821</v>
      </c>
      <c r="Q54" s="2" t="s">
        <v>99</v>
      </c>
      <c r="R54" s="2" t="s">
        <v>203</v>
      </c>
      <c r="S54" s="2" t="s">
        <v>940</v>
      </c>
      <c r="T54" s="2" t="s">
        <v>1374</v>
      </c>
      <c r="U54" s="150">
        <v>3.7589999999999999</v>
      </c>
      <c r="V54" s="150">
        <v>300</v>
      </c>
      <c r="W54" s="150">
        <v>1127.7</v>
      </c>
      <c r="Y54" s="164">
        <v>1.51912439320429E-2</v>
      </c>
      <c r="Z54" s="164">
        <v>2.8534754398621799E-3</v>
      </c>
    </row>
    <row r="55" spans="1:26">
      <c r="A55" s="2" t="s">
        <v>26</v>
      </c>
      <c r="B55" s="2">
        <v>1182</v>
      </c>
      <c r="C55" s="2" t="s">
        <v>2822</v>
      </c>
      <c r="D55" s="2" t="s">
        <v>2823</v>
      </c>
      <c r="E55" s="2" t="s">
        <v>361</v>
      </c>
      <c r="F55" s="2" t="s">
        <v>2824</v>
      </c>
      <c r="G55" s="2">
        <v>62003800</v>
      </c>
      <c r="H55" s="2" t="s">
        <v>34</v>
      </c>
      <c r="I55" s="2" t="s">
        <v>1069</v>
      </c>
      <c r="J55" s="2" t="s">
        <v>894</v>
      </c>
      <c r="K55" s="2" t="s">
        <v>94</v>
      </c>
      <c r="L55" s="2" t="s">
        <v>267</v>
      </c>
      <c r="M55" s="2" t="s">
        <v>95</v>
      </c>
      <c r="N55" s="2" t="s">
        <v>345</v>
      </c>
      <c r="O55" s="2" t="s">
        <v>164</v>
      </c>
      <c r="P55" t="s">
        <v>2825</v>
      </c>
      <c r="Q55" s="2" t="s">
        <v>99</v>
      </c>
      <c r="R55" s="2" t="s">
        <v>203</v>
      </c>
      <c r="S55" s="2" t="s">
        <v>940</v>
      </c>
      <c r="T55" s="2" t="s">
        <v>1374</v>
      </c>
      <c r="U55" s="150">
        <v>3.7589999999999999</v>
      </c>
      <c r="V55" s="150">
        <v>535.245</v>
      </c>
      <c r="W55" s="150">
        <v>2011.9849999999999</v>
      </c>
      <c r="Y55" s="164">
        <v>2.7103449354257701E-2</v>
      </c>
      <c r="Z55" s="164">
        <v>5.0910266080838604E-3</v>
      </c>
    </row>
    <row r="56" spans="1:26">
      <c r="A56" s="2" t="s">
        <v>26</v>
      </c>
      <c r="B56" s="2">
        <v>1182</v>
      </c>
      <c r="C56" s="2" t="s">
        <v>2822</v>
      </c>
      <c r="D56" s="2" t="s">
        <v>2823</v>
      </c>
      <c r="E56" s="2" t="s">
        <v>361</v>
      </c>
      <c r="F56" s="2" t="s">
        <v>2826</v>
      </c>
      <c r="G56" s="2">
        <v>620101031</v>
      </c>
      <c r="H56" s="2" t="s">
        <v>34</v>
      </c>
      <c r="I56" s="2" t="s">
        <v>1069</v>
      </c>
      <c r="J56" s="2" t="s">
        <v>613</v>
      </c>
      <c r="K56" s="2" t="s">
        <v>94</v>
      </c>
      <c r="L56" s="2" t="s">
        <v>267</v>
      </c>
      <c r="M56" s="2" t="s">
        <v>95</v>
      </c>
      <c r="N56" s="2" t="s">
        <v>95</v>
      </c>
      <c r="O56" s="2" t="s">
        <v>164</v>
      </c>
      <c r="P56" t="s">
        <v>2696</v>
      </c>
      <c r="Q56" s="2" t="s">
        <v>99</v>
      </c>
      <c r="R56" s="2" t="s">
        <v>203</v>
      </c>
      <c r="S56" s="2" t="s">
        <v>940</v>
      </c>
      <c r="T56" s="2" t="s">
        <v>1374</v>
      </c>
      <c r="U56" s="150">
        <v>3.7589999999999999</v>
      </c>
      <c r="V56" s="150">
        <v>311.49700000000001</v>
      </c>
      <c r="W56" s="150">
        <v>1170.9159999999999</v>
      </c>
      <c r="Y56" s="164">
        <v>1.5773401262882202E-2</v>
      </c>
      <c r="Z56" s="164">
        <v>2.9628260403210399E-3</v>
      </c>
    </row>
    <row r="57" spans="1:26">
      <c r="A57" s="2" t="s">
        <v>26</v>
      </c>
      <c r="B57" s="2">
        <v>1182</v>
      </c>
      <c r="C57" s="2" t="s">
        <v>2822</v>
      </c>
      <c r="D57" s="2" t="s">
        <v>2823</v>
      </c>
      <c r="E57" s="2" t="s">
        <v>361</v>
      </c>
      <c r="F57" s="2" t="s">
        <v>2827</v>
      </c>
      <c r="G57" s="2">
        <v>62014857</v>
      </c>
      <c r="H57" s="2" t="s">
        <v>34</v>
      </c>
      <c r="I57" s="2" t="s">
        <v>1069</v>
      </c>
      <c r="J57" s="2" t="s">
        <v>894</v>
      </c>
      <c r="K57" s="2" t="s">
        <v>94</v>
      </c>
      <c r="L57" s="2" t="s">
        <v>267</v>
      </c>
      <c r="M57" s="2" t="s">
        <v>95</v>
      </c>
      <c r="N57" s="2" t="s">
        <v>345</v>
      </c>
      <c r="O57" s="2" t="s">
        <v>164</v>
      </c>
      <c r="P57" t="s">
        <v>2828</v>
      </c>
      <c r="Q57" s="2" t="s">
        <v>99</v>
      </c>
      <c r="R57" s="2" t="s">
        <v>936</v>
      </c>
      <c r="S57" s="2" t="s">
        <v>940</v>
      </c>
      <c r="T57" s="2" t="s">
        <v>1374</v>
      </c>
      <c r="U57" s="150">
        <v>3.7589999999999999</v>
      </c>
      <c r="V57" s="150">
        <v>300.10399999999998</v>
      </c>
      <c r="W57" s="150">
        <v>1128.0899999999999</v>
      </c>
      <c r="Y57" s="164">
        <v>1.5196501013918E-2</v>
      </c>
      <c r="Z57" s="164">
        <v>2.8544629135728999E-3</v>
      </c>
    </row>
    <row r="58" spans="1:26">
      <c r="A58" s="2" t="s">
        <v>26</v>
      </c>
      <c r="B58" s="2">
        <v>1182</v>
      </c>
      <c r="C58" s="2" t="s">
        <v>2822</v>
      </c>
      <c r="D58" s="2" t="s">
        <v>2823</v>
      </c>
      <c r="E58" s="2" t="s">
        <v>361</v>
      </c>
      <c r="F58" s="2" t="s">
        <v>2829</v>
      </c>
      <c r="G58" s="2">
        <v>62019476</v>
      </c>
      <c r="H58" s="2" t="s">
        <v>34</v>
      </c>
      <c r="I58" s="2" t="s">
        <v>1069</v>
      </c>
      <c r="J58" s="2" t="s">
        <v>894</v>
      </c>
      <c r="K58" s="2" t="s">
        <v>94</v>
      </c>
      <c r="L58" s="2" t="s">
        <v>267</v>
      </c>
      <c r="M58" s="2" t="s">
        <v>95</v>
      </c>
      <c r="N58" s="2" t="s">
        <v>345</v>
      </c>
      <c r="O58" s="2" t="s">
        <v>164</v>
      </c>
      <c r="P58" t="s">
        <v>2747</v>
      </c>
      <c r="Q58" s="2" t="s">
        <v>99</v>
      </c>
      <c r="R58" s="2" t="s">
        <v>203</v>
      </c>
      <c r="S58" s="2" t="s">
        <v>940</v>
      </c>
      <c r="T58" s="2" t="s">
        <v>1374</v>
      </c>
      <c r="U58" s="150">
        <v>3.7589999999999999</v>
      </c>
      <c r="V58" s="150">
        <v>270.94299999999998</v>
      </c>
      <c r="W58" s="150">
        <v>1018.474</v>
      </c>
      <c r="Y58" s="164">
        <v>1.3719865446400199E-2</v>
      </c>
      <c r="Z58" s="164">
        <v>2.5770963368535699E-3</v>
      </c>
    </row>
    <row r="59" spans="1:26">
      <c r="A59" s="2" t="s">
        <v>26</v>
      </c>
      <c r="B59" s="2">
        <v>1182</v>
      </c>
      <c r="C59" s="2" t="s">
        <v>2822</v>
      </c>
      <c r="D59" s="2" t="s">
        <v>2823</v>
      </c>
      <c r="E59" s="2" t="s">
        <v>361</v>
      </c>
      <c r="F59" s="2" t="s">
        <v>2830</v>
      </c>
      <c r="G59" s="2">
        <v>62020458</v>
      </c>
      <c r="H59" s="2" t="s">
        <v>34</v>
      </c>
      <c r="I59" s="2" t="s">
        <v>1069</v>
      </c>
      <c r="J59" s="2" t="s">
        <v>888</v>
      </c>
      <c r="K59" s="2" t="s">
        <v>94</v>
      </c>
      <c r="L59" s="2" t="s">
        <v>267</v>
      </c>
      <c r="M59" s="2" t="s">
        <v>95</v>
      </c>
      <c r="N59" s="2" t="s">
        <v>345</v>
      </c>
      <c r="O59" s="2" t="s">
        <v>164</v>
      </c>
      <c r="P59" t="s">
        <v>2831</v>
      </c>
      <c r="Q59" s="2" t="s">
        <v>99</v>
      </c>
      <c r="R59" s="2" t="s">
        <v>203</v>
      </c>
      <c r="S59" s="2" t="s">
        <v>940</v>
      </c>
      <c r="T59" s="2" t="s">
        <v>1374</v>
      </c>
      <c r="U59" s="150">
        <v>3.7589999999999999</v>
      </c>
      <c r="V59" s="150">
        <v>137.483</v>
      </c>
      <c r="W59" s="150">
        <v>516.79700000000003</v>
      </c>
      <c r="Y59" s="164">
        <v>6.9617730096734201E-3</v>
      </c>
      <c r="Z59" s="164">
        <v>1.30767752725613E-3</v>
      </c>
    </row>
    <row r="60" spans="1:26">
      <c r="A60" s="2" t="s">
        <v>26</v>
      </c>
      <c r="B60" s="2">
        <v>1182</v>
      </c>
      <c r="C60" s="2" t="s">
        <v>2822</v>
      </c>
      <c r="D60" s="2" t="s">
        <v>2823</v>
      </c>
      <c r="E60" s="2" t="s">
        <v>361</v>
      </c>
      <c r="F60" s="2" t="s">
        <v>2832</v>
      </c>
      <c r="G60" s="2">
        <v>62017678</v>
      </c>
      <c r="H60" s="2" t="s">
        <v>34</v>
      </c>
      <c r="I60" s="2" t="s">
        <v>1069</v>
      </c>
      <c r="J60" s="2" t="s">
        <v>888</v>
      </c>
      <c r="K60" s="2" t="s">
        <v>94</v>
      </c>
      <c r="L60" s="2" t="s">
        <v>267</v>
      </c>
      <c r="M60" s="2" t="s">
        <v>95</v>
      </c>
      <c r="N60" s="2" t="s">
        <v>345</v>
      </c>
      <c r="O60" s="2" t="s">
        <v>164</v>
      </c>
      <c r="P60" t="s">
        <v>2833</v>
      </c>
      <c r="Q60" s="2" t="s">
        <v>99</v>
      </c>
      <c r="R60" s="2" t="s">
        <v>203</v>
      </c>
      <c r="S60" s="2" t="s">
        <v>940</v>
      </c>
      <c r="T60" s="2" t="s">
        <v>1374</v>
      </c>
      <c r="U60" s="150">
        <v>3.7589999999999999</v>
      </c>
      <c r="V60" s="150">
        <v>575.07000000000005</v>
      </c>
      <c r="W60" s="150">
        <v>2161.6889999999999</v>
      </c>
      <c r="Y60" s="164">
        <v>2.91201018736554E-2</v>
      </c>
      <c r="Z60" s="164">
        <v>5.4698282691314996E-3</v>
      </c>
    </row>
    <row r="61" spans="1:26">
      <c r="A61" s="2" t="s">
        <v>26</v>
      </c>
      <c r="B61" s="2">
        <v>1182</v>
      </c>
      <c r="C61" s="2" t="s">
        <v>2822</v>
      </c>
      <c r="D61" s="2" t="s">
        <v>2823</v>
      </c>
      <c r="E61" s="2" t="s">
        <v>361</v>
      </c>
      <c r="F61" s="2" t="s">
        <v>2834</v>
      </c>
      <c r="G61" s="2">
        <v>62019237</v>
      </c>
      <c r="H61" s="2" t="s">
        <v>34</v>
      </c>
      <c r="I61" s="2" t="s">
        <v>1069</v>
      </c>
      <c r="J61" s="2" t="s">
        <v>887</v>
      </c>
      <c r="K61" s="2" t="s">
        <v>94</v>
      </c>
      <c r="L61" s="2" t="s">
        <v>267</v>
      </c>
      <c r="M61" s="2" t="s">
        <v>95</v>
      </c>
      <c r="N61" s="2" t="s">
        <v>95</v>
      </c>
      <c r="O61" s="2" t="s">
        <v>164</v>
      </c>
      <c r="P61" t="s">
        <v>2835</v>
      </c>
      <c r="Q61" s="2" t="s">
        <v>99</v>
      </c>
      <c r="R61" s="2" t="s">
        <v>936</v>
      </c>
      <c r="S61" s="2" t="s">
        <v>940</v>
      </c>
      <c r="T61" s="2" t="s">
        <v>1374</v>
      </c>
      <c r="U61" s="150">
        <v>3.7589999999999999</v>
      </c>
      <c r="V61" s="150">
        <v>482.37099999999998</v>
      </c>
      <c r="W61" s="150">
        <v>1813.231</v>
      </c>
      <c r="Y61" s="164">
        <v>2.44260345390684E-2</v>
      </c>
      <c r="Z61" s="164">
        <v>4.5881094374003702E-3</v>
      </c>
    </row>
    <row r="62" spans="1:26">
      <c r="A62" s="2" t="s">
        <v>26</v>
      </c>
      <c r="B62" s="2">
        <v>1182</v>
      </c>
      <c r="C62" s="2" t="s">
        <v>2836</v>
      </c>
      <c r="D62" s="2" t="s">
        <v>2837</v>
      </c>
      <c r="E62" s="2" t="s">
        <v>361</v>
      </c>
      <c r="F62" s="2" t="s">
        <v>2838</v>
      </c>
      <c r="G62" s="2">
        <v>62020565</v>
      </c>
      <c r="H62" s="2" t="s">
        <v>34</v>
      </c>
      <c r="I62" s="2" t="s">
        <v>1069</v>
      </c>
      <c r="J62" s="2" t="s">
        <v>613</v>
      </c>
      <c r="K62" s="2" t="s">
        <v>94</v>
      </c>
      <c r="L62" s="2" t="s">
        <v>282</v>
      </c>
      <c r="M62" s="2" t="s">
        <v>282</v>
      </c>
      <c r="N62" s="2" t="s">
        <v>342</v>
      </c>
      <c r="O62" s="2" t="s">
        <v>164</v>
      </c>
      <c r="P62" t="s">
        <v>2643</v>
      </c>
      <c r="Q62" s="2" t="s">
        <v>1219</v>
      </c>
      <c r="R62" s="2" t="s">
        <v>203</v>
      </c>
      <c r="S62" s="2" t="s">
        <v>940</v>
      </c>
      <c r="T62" s="2" t="s">
        <v>1374</v>
      </c>
      <c r="U62" s="150">
        <v>4.0199999999999996</v>
      </c>
      <c r="V62" s="150">
        <v>121.72499999999999</v>
      </c>
      <c r="W62" s="150">
        <v>489.35700000000003</v>
      </c>
      <c r="Y62" s="164">
        <v>6.59212931665155E-3</v>
      </c>
      <c r="Z62" s="164">
        <v>1.23824481955581E-3</v>
      </c>
    </row>
    <row r="63" spans="1:26">
      <c r="A63" s="2" t="s">
        <v>26</v>
      </c>
      <c r="B63" s="2">
        <v>1182</v>
      </c>
      <c r="C63" s="2" t="s">
        <v>2839</v>
      </c>
      <c r="D63" s="2" t="s">
        <v>2840</v>
      </c>
      <c r="E63" s="2" t="s">
        <v>360</v>
      </c>
      <c r="F63" s="2" t="s">
        <v>2841</v>
      </c>
      <c r="G63" s="2">
        <v>62017702</v>
      </c>
      <c r="H63" s="2" t="s">
        <v>34</v>
      </c>
      <c r="I63" s="2" t="s">
        <v>1069</v>
      </c>
      <c r="J63" s="2" t="s">
        <v>878</v>
      </c>
      <c r="K63" s="2" t="s">
        <v>94</v>
      </c>
      <c r="L63" s="2" t="s">
        <v>95</v>
      </c>
      <c r="M63" s="2" t="s">
        <v>95</v>
      </c>
      <c r="N63" s="2" t="s">
        <v>95</v>
      </c>
      <c r="O63" s="2" t="s">
        <v>164</v>
      </c>
      <c r="P63" t="s">
        <v>2842</v>
      </c>
      <c r="Q63" s="2" t="s">
        <v>99</v>
      </c>
      <c r="R63" s="2" t="s">
        <v>936</v>
      </c>
      <c r="S63" s="2" t="s">
        <v>940</v>
      </c>
      <c r="T63" s="2" t="s">
        <v>1374</v>
      </c>
      <c r="U63" s="150">
        <v>3.7589999999999999</v>
      </c>
      <c r="V63" s="150">
        <v>433.69400000000002</v>
      </c>
      <c r="W63" s="150">
        <v>1630.2560000000001</v>
      </c>
      <c r="Y63" s="164">
        <v>2.19611744957618E-2</v>
      </c>
      <c r="Z63" s="164">
        <v>4.1251178859687404E-3</v>
      </c>
    </row>
    <row r="64" spans="1:26">
      <c r="A64" s="2" t="s">
        <v>26</v>
      </c>
      <c r="B64" s="2">
        <v>1182</v>
      </c>
      <c r="C64" s="2" t="s">
        <v>2843</v>
      </c>
      <c r="D64" s="2" t="s">
        <v>2844</v>
      </c>
      <c r="E64" s="2" t="s">
        <v>361</v>
      </c>
      <c r="F64" s="2" t="s">
        <v>2845</v>
      </c>
      <c r="G64" s="2">
        <v>77847846</v>
      </c>
      <c r="H64" s="2" t="s">
        <v>34</v>
      </c>
      <c r="I64" s="2" t="s">
        <v>1069</v>
      </c>
      <c r="J64" s="2" t="s">
        <v>613</v>
      </c>
      <c r="K64" s="2" t="s">
        <v>94</v>
      </c>
      <c r="L64" s="2" t="s">
        <v>302</v>
      </c>
      <c r="M64" s="2" t="s">
        <v>302</v>
      </c>
      <c r="N64" s="2" t="s">
        <v>95</v>
      </c>
      <c r="O64" s="2" t="s">
        <v>164</v>
      </c>
      <c r="P64" t="s">
        <v>2846</v>
      </c>
      <c r="Q64" s="2" t="s">
        <v>99</v>
      </c>
      <c r="R64" s="2" t="s">
        <v>936</v>
      </c>
      <c r="S64" s="2" t="s">
        <v>940</v>
      </c>
      <c r="T64" s="2" t="s">
        <v>1374</v>
      </c>
      <c r="U64" s="150">
        <v>3.7589999999999999</v>
      </c>
      <c r="V64" s="150">
        <v>843.86599999999999</v>
      </c>
      <c r="W64" s="150">
        <v>3172.0920000000001</v>
      </c>
      <c r="Y64" s="164">
        <v>4.2731239860264801E-2</v>
      </c>
      <c r="Z64" s="164">
        <v>8.0265015821998197E-3</v>
      </c>
    </row>
    <row r="65" spans="1:26">
      <c r="A65" s="2" t="s">
        <v>26</v>
      </c>
      <c r="B65" s="2">
        <v>1182</v>
      </c>
      <c r="C65" s="2" t="s">
        <v>2847</v>
      </c>
      <c r="D65" s="2" t="s">
        <v>2848</v>
      </c>
      <c r="E65" s="2" t="s">
        <v>360</v>
      </c>
      <c r="F65" s="2" t="s">
        <v>2849</v>
      </c>
      <c r="G65" s="2">
        <v>62019013</v>
      </c>
      <c r="H65" s="2" t="s">
        <v>34</v>
      </c>
      <c r="I65" s="2" t="s">
        <v>1069</v>
      </c>
      <c r="J65" s="2" t="s">
        <v>882</v>
      </c>
      <c r="K65" s="2" t="s">
        <v>94</v>
      </c>
      <c r="L65" s="2" t="s">
        <v>95</v>
      </c>
      <c r="M65" s="2" t="s">
        <v>95</v>
      </c>
      <c r="N65" s="2" t="s">
        <v>95</v>
      </c>
      <c r="O65" s="2" t="s">
        <v>164</v>
      </c>
      <c r="P65" t="s">
        <v>2850</v>
      </c>
      <c r="Q65" s="2" t="s">
        <v>99</v>
      </c>
      <c r="R65" s="2" t="s">
        <v>936</v>
      </c>
      <c r="S65" s="2" t="s">
        <v>940</v>
      </c>
      <c r="T65" s="2" t="s">
        <v>1374</v>
      </c>
      <c r="U65" s="150">
        <v>3.7589999999999999</v>
      </c>
      <c r="V65" s="150">
        <v>338.79899999999998</v>
      </c>
      <c r="W65" s="150">
        <v>1273.5450000000001</v>
      </c>
      <c r="Y65" s="164">
        <v>1.7155914976997699E-2</v>
      </c>
      <c r="Z65" s="164">
        <v>3.22251306438232E-3</v>
      </c>
    </row>
    <row r="66" spans="1:26">
      <c r="A66" s="2" t="s">
        <v>26</v>
      </c>
      <c r="B66" s="2">
        <v>1182</v>
      </c>
      <c r="C66" s="2" t="s">
        <v>2851</v>
      </c>
      <c r="D66" s="2" t="s">
        <v>2852</v>
      </c>
      <c r="E66" s="2" t="s">
        <v>360</v>
      </c>
      <c r="F66" s="2" t="s">
        <v>2853</v>
      </c>
      <c r="G66" s="2">
        <v>62006705</v>
      </c>
      <c r="H66" s="2" t="s">
        <v>34</v>
      </c>
      <c r="I66" s="2" t="s">
        <v>1069</v>
      </c>
      <c r="J66" s="2" t="s">
        <v>882</v>
      </c>
      <c r="K66" s="2" t="s">
        <v>94</v>
      </c>
      <c r="L66" s="2" t="s">
        <v>95</v>
      </c>
      <c r="M66" s="2" t="s">
        <v>95</v>
      </c>
      <c r="N66" s="2" t="s">
        <v>345</v>
      </c>
      <c r="O66" s="2" t="s">
        <v>164</v>
      </c>
      <c r="P66" t="s">
        <v>2854</v>
      </c>
      <c r="Q66" s="2" t="s">
        <v>99</v>
      </c>
      <c r="R66" s="2" t="s">
        <v>936</v>
      </c>
      <c r="S66" s="2" t="s">
        <v>940</v>
      </c>
      <c r="T66" s="2" t="s">
        <v>1374</v>
      </c>
      <c r="U66" s="150">
        <v>3.7589999999999999</v>
      </c>
      <c r="V66" s="150">
        <v>224.935</v>
      </c>
      <c r="W66" s="150">
        <v>845.53200000000004</v>
      </c>
      <c r="Y66" s="164">
        <v>1.1390157982198E-2</v>
      </c>
      <c r="Z66" s="164">
        <v>2.1394914204357399E-3</v>
      </c>
    </row>
    <row r="67" spans="1:26">
      <c r="A67" s="2" t="s">
        <v>26</v>
      </c>
      <c r="B67" s="2">
        <v>1182</v>
      </c>
      <c r="C67" s="2" t="s">
        <v>2855</v>
      </c>
      <c r="D67" s="2" t="s">
        <v>2856</v>
      </c>
      <c r="E67" s="2" t="s">
        <v>360</v>
      </c>
      <c r="F67" s="2" t="s">
        <v>2857</v>
      </c>
      <c r="G67" s="2">
        <v>62017652</v>
      </c>
      <c r="H67" s="2" t="s">
        <v>34</v>
      </c>
      <c r="I67" s="2" t="s">
        <v>1069</v>
      </c>
      <c r="J67" s="2" t="s">
        <v>890</v>
      </c>
      <c r="K67" s="2" t="s">
        <v>94</v>
      </c>
      <c r="L67" s="2" t="s">
        <v>267</v>
      </c>
      <c r="M67" s="2" t="s">
        <v>95</v>
      </c>
      <c r="N67" s="2" t="s">
        <v>345</v>
      </c>
      <c r="O67" s="2" t="s">
        <v>164</v>
      </c>
      <c r="P67" t="s">
        <v>2858</v>
      </c>
      <c r="Q67" s="2" t="s">
        <v>99</v>
      </c>
      <c r="R67" s="2" t="s">
        <v>203</v>
      </c>
      <c r="S67" s="2" t="s">
        <v>940</v>
      </c>
      <c r="T67" s="2" t="s">
        <v>1374</v>
      </c>
      <c r="U67" s="150">
        <v>3.7589999999999999</v>
      </c>
      <c r="V67" s="150">
        <v>397.471</v>
      </c>
      <c r="W67" s="150">
        <v>1494.095</v>
      </c>
      <c r="Y67" s="164">
        <v>2.01269442287135E-2</v>
      </c>
      <c r="Z67" s="164">
        <v>3.7805818465576299E-3</v>
      </c>
    </row>
    <row r="68" spans="1:26">
      <c r="A68" s="2" t="s">
        <v>26</v>
      </c>
      <c r="B68" s="2">
        <v>1182</v>
      </c>
      <c r="C68" s="2" t="s">
        <v>2859</v>
      </c>
      <c r="D68" s="2" t="s">
        <v>2860</v>
      </c>
      <c r="E68" s="2" t="s">
        <v>360</v>
      </c>
      <c r="F68" s="2" t="s">
        <v>2861</v>
      </c>
      <c r="G68" s="2">
        <v>62021142</v>
      </c>
      <c r="H68" s="2" t="s">
        <v>34</v>
      </c>
      <c r="I68" s="2" t="s">
        <v>1069</v>
      </c>
      <c r="J68" s="2" t="s">
        <v>890</v>
      </c>
      <c r="K68" s="2" t="s">
        <v>94</v>
      </c>
      <c r="L68" s="2" t="s">
        <v>267</v>
      </c>
      <c r="M68" s="2" t="s">
        <v>95</v>
      </c>
      <c r="N68" s="2" t="s">
        <v>345</v>
      </c>
      <c r="O68" s="2" t="s">
        <v>164</v>
      </c>
      <c r="P68" t="s">
        <v>2862</v>
      </c>
      <c r="Q68" s="2" t="s">
        <v>99</v>
      </c>
      <c r="R68" s="2" t="s">
        <v>936</v>
      </c>
      <c r="S68" s="2" t="s">
        <v>940</v>
      </c>
      <c r="T68" s="2" t="s">
        <v>1374</v>
      </c>
      <c r="U68" s="150">
        <v>3.7589999999999999</v>
      </c>
      <c r="V68" s="150">
        <v>189.54900000000001</v>
      </c>
      <c r="W68" s="150">
        <v>712.51400000000001</v>
      </c>
      <c r="Y68" s="164">
        <v>9.5982768175228699E-3</v>
      </c>
      <c r="Z68" s="164">
        <v>1.80291010310417E-3</v>
      </c>
    </row>
    <row r="69" spans="1:26">
      <c r="A69" s="2" t="s">
        <v>26</v>
      </c>
      <c r="B69" s="2">
        <v>1182</v>
      </c>
      <c r="C69" s="2" t="s">
        <v>2863</v>
      </c>
      <c r="D69" s="2" t="s">
        <v>2864</v>
      </c>
      <c r="E69" s="2" t="s">
        <v>360</v>
      </c>
      <c r="F69" s="2" t="s">
        <v>2865</v>
      </c>
      <c r="G69" s="2">
        <v>62020953</v>
      </c>
      <c r="H69" s="2" t="s">
        <v>34</v>
      </c>
      <c r="I69" s="2" t="s">
        <v>1069</v>
      </c>
      <c r="J69" s="2" t="s">
        <v>613</v>
      </c>
      <c r="K69" s="2" t="s">
        <v>94</v>
      </c>
      <c r="L69" s="2" t="s">
        <v>267</v>
      </c>
      <c r="M69" s="2" t="s">
        <v>31</v>
      </c>
      <c r="N69" s="2" t="s">
        <v>345</v>
      </c>
      <c r="O69" s="2" t="s">
        <v>164</v>
      </c>
      <c r="P69" t="s">
        <v>2866</v>
      </c>
      <c r="Q69" s="2" t="s">
        <v>99</v>
      </c>
      <c r="R69" s="2" t="s">
        <v>203</v>
      </c>
      <c r="S69" s="2" t="s">
        <v>940</v>
      </c>
      <c r="T69" s="2" t="s">
        <v>1374</v>
      </c>
      <c r="U69" s="150">
        <v>3.7589999999999999</v>
      </c>
      <c r="V69" s="150">
        <v>186.12899999999999</v>
      </c>
      <c r="W69" s="150">
        <v>699.65899999999999</v>
      </c>
      <c r="Y69" s="164">
        <v>9.4250989153841693E-3</v>
      </c>
      <c r="Z69" s="164">
        <v>1.7703809111110601E-3</v>
      </c>
    </row>
    <row r="70" spans="1:26">
      <c r="A70" s="2" t="s">
        <v>26</v>
      </c>
      <c r="B70" s="2">
        <v>1182</v>
      </c>
      <c r="C70" s="2" t="s">
        <v>2867</v>
      </c>
      <c r="D70" s="2" t="s">
        <v>2868</v>
      </c>
      <c r="E70" s="2" t="s">
        <v>360</v>
      </c>
      <c r="F70" s="2" t="s">
        <v>2869</v>
      </c>
      <c r="G70" s="2">
        <v>62020425</v>
      </c>
      <c r="H70" s="2" t="s">
        <v>34</v>
      </c>
      <c r="I70" s="2" t="s">
        <v>1069</v>
      </c>
      <c r="J70" s="2" t="s">
        <v>893</v>
      </c>
      <c r="K70" s="2" t="s">
        <v>94</v>
      </c>
      <c r="L70" s="2" t="s">
        <v>95</v>
      </c>
      <c r="M70" s="2" t="s">
        <v>95</v>
      </c>
      <c r="N70" s="2" t="s">
        <v>95</v>
      </c>
      <c r="O70" s="2" t="s">
        <v>164</v>
      </c>
      <c r="P70" t="s">
        <v>2870</v>
      </c>
      <c r="Q70" s="2" t="s">
        <v>99</v>
      </c>
      <c r="R70" s="2" t="s">
        <v>936</v>
      </c>
      <c r="S70" s="2" t="s">
        <v>940</v>
      </c>
      <c r="T70" s="2" t="s">
        <v>1374</v>
      </c>
      <c r="U70" s="150">
        <v>3.7589999999999999</v>
      </c>
      <c r="V70" s="150">
        <v>949.75800000000004</v>
      </c>
      <c r="W70" s="150">
        <v>3570.1410000000001</v>
      </c>
      <c r="Y70" s="164">
        <v>4.8093364255239003E-2</v>
      </c>
      <c r="Z70" s="164">
        <v>9.0337061491853506E-3</v>
      </c>
    </row>
    <row r="71" spans="1:26">
      <c r="A71" s="2" t="s">
        <v>26</v>
      </c>
      <c r="B71" s="2">
        <v>1182</v>
      </c>
      <c r="C71" s="2" t="s">
        <v>2871</v>
      </c>
      <c r="D71" s="2" t="s">
        <v>2872</v>
      </c>
      <c r="E71" s="2" t="s">
        <v>360</v>
      </c>
      <c r="F71" s="2" t="s">
        <v>2873</v>
      </c>
      <c r="G71" s="2">
        <v>62021332</v>
      </c>
      <c r="H71" s="2" t="s">
        <v>34</v>
      </c>
      <c r="I71" s="2" t="s">
        <v>1069</v>
      </c>
      <c r="J71" s="2" t="s">
        <v>887</v>
      </c>
      <c r="K71" s="2" t="s">
        <v>94</v>
      </c>
      <c r="L71" s="2" t="s">
        <v>267</v>
      </c>
      <c r="M71" s="2" t="s">
        <v>95</v>
      </c>
      <c r="N71" s="2" t="s">
        <v>95</v>
      </c>
      <c r="O71" s="2" t="s">
        <v>164</v>
      </c>
      <c r="P71" t="s">
        <v>2874</v>
      </c>
      <c r="Q71" s="2" t="s">
        <v>99</v>
      </c>
      <c r="R71" s="2" t="s">
        <v>936</v>
      </c>
      <c r="S71" s="2" t="s">
        <v>940</v>
      </c>
      <c r="T71" s="2" t="s">
        <v>1374</v>
      </c>
      <c r="U71" s="150">
        <v>3.7589999999999999</v>
      </c>
      <c r="V71" s="150">
        <v>447.37599999999998</v>
      </c>
      <c r="W71" s="150">
        <v>1681.6849999999999</v>
      </c>
      <c r="Y71" s="164">
        <v>2.26539780998385E-2</v>
      </c>
      <c r="Z71" s="164">
        <v>4.2552519340904298E-3</v>
      </c>
    </row>
    <row r="72" spans="1:26">
      <c r="A72" s="2" t="s">
        <v>26</v>
      </c>
      <c r="B72" s="2">
        <v>1182</v>
      </c>
      <c r="C72" s="2" t="s">
        <v>2875</v>
      </c>
      <c r="D72" s="2" t="s">
        <v>2876</v>
      </c>
      <c r="E72" s="2" t="s">
        <v>360</v>
      </c>
      <c r="F72" s="2" t="s">
        <v>2877</v>
      </c>
      <c r="G72" s="2">
        <v>62021324</v>
      </c>
      <c r="H72" s="2" t="s">
        <v>34</v>
      </c>
      <c r="I72" s="2" t="s">
        <v>1069</v>
      </c>
      <c r="J72" s="2" t="s">
        <v>887</v>
      </c>
      <c r="K72" s="2" t="s">
        <v>94</v>
      </c>
      <c r="L72" s="2" t="s">
        <v>267</v>
      </c>
      <c r="M72" s="2" t="s">
        <v>95</v>
      </c>
      <c r="N72" s="2" t="s">
        <v>95</v>
      </c>
      <c r="O72" s="2" t="s">
        <v>164</v>
      </c>
      <c r="P72" t="s">
        <v>2874</v>
      </c>
      <c r="Q72" s="2" t="s">
        <v>99</v>
      </c>
      <c r="R72" s="2" t="s">
        <v>936</v>
      </c>
      <c r="S72" s="2" t="s">
        <v>940</v>
      </c>
      <c r="T72" s="2" t="s">
        <v>1374</v>
      </c>
      <c r="U72" s="150">
        <v>3.7589999999999999</v>
      </c>
      <c r="V72" s="150">
        <v>179.13900000000001</v>
      </c>
      <c r="W72" s="150">
        <v>673.38400000000001</v>
      </c>
      <c r="Y72" s="164">
        <v>9.0711566276685009E-3</v>
      </c>
      <c r="Z72" s="164">
        <v>1.70389750595719E-3</v>
      </c>
    </row>
    <row r="73" spans="1:26">
      <c r="A73" s="2" t="s">
        <v>26</v>
      </c>
      <c r="B73" s="2">
        <v>1182</v>
      </c>
      <c r="C73" s="2" t="s">
        <v>2878</v>
      </c>
      <c r="D73" s="2" t="s">
        <v>2879</v>
      </c>
      <c r="E73" s="2" t="s">
        <v>361</v>
      </c>
      <c r="F73" s="2" t="s">
        <v>2880</v>
      </c>
      <c r="G73" s="2">
        <v>62021571</v>
      </c>
      <c r="H73" s="2" t="s">
        <v>34</v>
      </c>
      <c r="I73" s="2" t="s">
        <v>1069</v>
      </c>
      <c r="J73" s="2" t="s">
        <v>613</v>
      </c>
      <c r="K73" s="2" t="s">
        <v>94</v>
      </c>
      <c r="L73" s="2" t="s">
        <v>302</v>
      </c>
      <c r="M73" s="2" t="s">
        <v>282</v>
      </c>
      <c r="N73" s="2" t="s">
        <v>342</v>
      </c>
      <c r="O73" s="2" t="s">
        <v>164</v>
      </c>
      <c r="P73" t="s">
        <v>2881</v>
      </c>
      <c r="Q73" s="2" t="s">
        <v>1219</v>
      </c>
      <c r="R73" s="2" t="s">
        <v>203</v>
      </c>
      <c r="S73" s="2" t="s">
        <v>940</v>
      </c>
      <c r="T73" s="2" t="s">
        <v>1374</v>
      </c>
      <c r="U73" s="150">
        <v>4.0199999999999996</v>
      </c>
      <c r="V73" s="150">
        <v>127.941</v>
      </c>
      <c r="W73" s="150">
        <v>514.34699999999998</v>
      </c>
      <c r="Y73" s="164">
        <v>6.9287637921693996E-3</v>
      </c>
      <c r="Z73" s="164">
        <v>1.3014771797494899E-3</v>
      </c>
    </row>
    <row r="74" spans="1:26">
      <c r="A74" s="2" t="s">
        <v>26</v>
      </c>
      <c r="B74" s="2">
        <v>1182</v>
      </c>
      <c r="C74" s="2" t="s">
        <v>2882</v>
      </c>
      <c r="D74" s="2" t="s">
        <v>2883</v>
      </c>
      <c r="E74" s="2" t="s">
        <v>360</v>
      </c>
      <c r="F74" s="2" t="s">
        <v>2884</v>
      </c>
      <c r="G74" s="2">
        <v>62019849</v>
      </c>
      <c r="H74" s="2" t="s">
        <v>34</v>
      </c>
      <c r="I74" s="2" t="s">
        <v>1069</v>
      </c>
      <c r="J74" s="2" t="s">
        <v>613</v>
      </c>
      <c r="K74" s="2" t="s">
        <v>94</v>
      </c>
      <c r="L74" s="2" t="s">
        <v>302</v>
      </c>
      <c r="M74" s="2" t="s">
        <v>282</v>
      </c>
      <c r="N74" s="2" t="s">
        <v>95</v>
      </c>
      <c r="O74" s="2" t="s">
        <v>164</v>
      </c>
      <c r="P74" t="s">
        <v>2885</v>
      </c>
      <c r="Q74" s="2" t="s">
        <v>99</v>
      </c>
      <c r="R74" s="2" t="s">
        <v>936</v>
      </c>
      <c r="S74" s="2" t="s">
        <v>940</v>
      </c>
      <c r="T74" s="2" t="s">
        <v>1374</v>
      </c>
      <c r="U74" s="150">
        <v>3.7589999999999999</v>
      </c>
      <c r="V74" s="150">
        <v>234.05600000000001</v>
      </c>
      <c r="W74" s="150">
        <v>879.81600000000003</v>
      </c>
      <c r="Y74" s="164">
        <v>1.1852000180433E-2</v>
      </c>
      <c r="Z74" s="164">
        <v>2.22624240512473E-3</v>
      </c>
    </row>
    <row r="75" spans="1:26">
      <c r="A75" s="2" t="s">
        <v>26</v>
      </c>
      <c r="B75" s="2">
        <v>1182</v>
      </c>
      <c r="C75" s="2" t="s">
        <v>2886</v>
      </c>
      <c r="D75" s="2" t="s">
        <v>2887</v>
      </c>
      <c r="E75" s="2" t="s">
        <v>360</v>
      </c>
      <c r="F75" s="2" t="s">
        <v>2888</v>
      </c>
      <c r="G75" s="2">
        <v>62009204</v>
      </c>
      <c r="H75" s="2" t="s">
        <v>34</v>
      </c>
      <c r="I75" s="2" t="s">
        <v>1069</v>
      </c>
      <c r="J75" s="2" t="s">
        <v>877</v>
      </c>
      <c r="K75" s="2" t="s">
        <v>94</v>
      </c>
      <c r="L75" s="2" t="s">
        <v>302</v>
      </c>
      <c r="M75" s="2" t="s">
        <v>282</v>
      </c>
      <c r="N75" s="2" t="s">
        <v>345</v>
      </c>
      <c r="O75" s="2" t="s">
        <v>164</v>
      </c>
      <c r="P75" t="s">
        <v>2889</v>
      </c>
      <c r="Q75" s="2" t="s">
        <v>99</v>
      </c>
      <c r="R75" s="2" t="s">
        <v>203</v>
      </c>
      <c r="S75" s="2" t="s">
        <v>940</v>
      </c>
      <c r="T75" s="2" t="s">
        <v>1374</v>
      </c>
      <c r="U75" s="150">
        <v>3.7589999999999999</v>
      </c>
      <c r="V75" s="150">
        <v>406.39499999999998</v>
      </c>
      <c r="W75" s="150">
        <v>1527.6379999999999</v>
      </c>
      <c r="Y75" s="164">
        <v>2.0578809865172201E-2</v>
      </c>
      <c r="Z75" s="164">
        <v>3.8654588652876601E-3</v>
      </c>
    </row>
    <row r="76" spans="1:26">
      <c r="A76" s="2" t="s">
        <v>26</v>
      </c>
      <c r="B76" s="2">
        <v>1182</v>
      </c>
      <c r="C76" s="2" t="s">
        <v>2890</v>
      </c>
      <c r="D76" s="2" t="s">
        <v>2891</v>
      </c>
      <c r="E76" s="2" t="s">
        <v>360</v>
      </c>
      <c r="F76" s="2" t="s">
        <v>2892</v>
      </c>
      <c r="G76" s="2">
        <v>62019807</v>
      </c>
      <c r="H76" s="2" t="s">
        <v>34</v>
      </c>
      <c r="I76" s="2" t="s">
        <v>1069</v>
      </c>
      <c r="J76" s="2" t="s">
        <v>877</v>
      </c>
      <c r="K76" s="2" t="s">
        <v>94</v>
      </c>
      <c r="L76" s="2" t="s">
        <v>302</v>
      </c>
      <c r="M76" s="2" t="s">
        <v>282</v>
      </c>
      <c r="N76" s="2" t="s">
        <v>345</v>
      </c>
      <c r="O76" s="2" t="s">
        <v>164</v>
      </c>
      <c r="P76" t="s">
        <v>2771</v>
      </c>
      <c r="Q76" s="2" t="s">
        <v>99</v>
      </c>
      <c r="R76" s="2" t="s">
        <v>936</v>
      </c>
      <c r="S76" s="2" t="s">
        <v>940</v>
      </c>
      <c r="T76" s="2" t="s">
        <v>1374</v>
      </c>
      <c r="U76" s="150">
        <v>3.7589999999999999</v>
      </c>
      <c r="V76" s="150">
        <v>220.80699999999999</v>
      </c>
      <c r="W76" s="150">
        <v>830.01300000000003</v>
      </c>
      <c r="Y76" s="164">
        <v>1.1181106638570699E-2</v>
      </c>
      <c r="Z76" s="164">
        <v>2.1002238741189699E-3</v>
      </c>
    </row>
    <row r="77" spans="1:26">
      <c r="A77" s="2" t="s">
        <v>26</v>
      </c>
      <c r="B77" s="2">
        <v>1182</v>
      </c>
      <c r="C77" s="2" t="s">
        <v>2893</v>
      </c>
      <c r="D77" s="2" t="s">
        <v>2887</v>
      </c>
      <c r="E77" s="2" t="s">
        <v>360</v>
      </c>
      <c r="F77" s="2" t="s">
        <v>2894</v>
      </c>
      <c r="G77" s="2">
        <v>62020615</v>
      </c>
      <c r="H77" s="2" t="s">
        <v>34</v>
      </c>
      <c r="I77" s="2" t="s">
        <v>1069</v>
      </c>
      <c r="J77" s="2" t="s">
        <v>882</v>
      </c>
      <c r="K77" s="2" t="s">
        <v>94</v>
      </c>
      <c r="L77" s="2" t="s">
        <v>302</v>
      </c>
      <c r="M77" s="2" t="s">
        <v>282</v>
      </c>
      <c r="N77" s="2" t="s">
        <v>345</v>
      </c>
      <c r="O77" s="2" t="s">
        <v>164</v>
      </c>
      <c r="P77" t="s">
        <v>2895</v>
      </c>
      <c r="Q77" s="2" t="s">
        <v>99</v>
      </c>
      <c r="R77" s="2" t="s">
        <v>936</v>
      </c>
      <c r="S77" s="2" t="s">
        <v>940</v>
      </c>
      <c r="T77" s="2" t="s">
        <v>1374</v>
      </c>
      <c r="U77" s="150">
        <v>3.7589999999999999</v>
      </c>
      <c r="V77" s="150">
        <v>289.04300000000001</v>
      </c>
      <c r="W77" s="150">
        <v>1086.5119999999999</v>
      </c>
      <c r="Y77" s="164">
        <v>1.4636395671943799E-2</v>
      </c>
      <c r="Z77" s="164">
        <v>2.7492544892852998E-3</v>
      </c>
    </row>
    <row r="78" spans="1:26">
      <c r="A78" s="2" t="s">
        <v>26</v>
      </c>
      <c r="B78" s="2">
        <v>1182</v>
      </c>
      <c r="C78" s="2" t="s">
        <v>2896</v>
      </c>
      <c r="D78" s="2" t="s">
        <v>2897</v>
      </c>
      <c r="E78" s="2" t="s">
        <v>360</v>
      </c>
      <c r="F78" s="2" t="s">
        <v>2898</v>
      </c>
      <c r="G78" s="2">
        <v>62020813</v>
      </c>
      <c r="H78" s="2" t="s">
        <v>34</v>
      </c>
      <c r="I78" s="2" t="s">
        <v>1069</v>
      </c>
      <c r="J78" s="2" t="s">
        <v>897</v>
      </c>
      <c r="K78" s="2" t="s">
        <v>94</v>
      </c>
      <c r="L78" s="2" t="s">
        <v>302</v>
      </c>
      <c r="M78" s="2" t="s">
        <v>282</v>
      </c>
      <c r="N78" s="2" t="s">
        <v>345</v>
      </c>
      <c r="O78" s="2" t="s">
        <v>164</v>
      </c>
      <c r="P78" t="s">
        <v>2899</v>
      </c>
      <c r="Q78" s="2" t="s">
        <v>99</v>
      </c>
      <c r="R78" s="2" t="s">
        <v>203</v>
      </c>
      <c r="S78" s="2" t="s">
        <v>940</v>
      </c>
      <c r="T78" s="2" t="s">
        <v>1374</v>
      </c>
      <c r="U78" s="150">
        <v>3.7589999999999999</v>
      </c>
      <c r="V78" s="150">
        <v>125.485</v>
      </c>
      <c r="W78" s="150">
        <v>471.7</v>
      </c>
      <c r="Y78" s="164">
        <v>6.3542666255289801E-3</v>
      </c>
      <c r="Z78" s="164">
        <v>1.1935654404204301E-3</v>
      </c>
    </row>
    <row r="79" spans="1:26">
      <c r="A79" s="2" t="s">
        <v>26</v>
      </c>
      <c r="B79" s="2">
        <v>1182</v>
      </c>
      <c r="C79" s="2" t="s">
        <v>2900</v>
      </c>
      <c r="D79" s="2" t="s">
        <v>2901</v>
      </c>
      <c r="E79" s="2" t="s">
        <v>360</v>
      </c>
      <c r="F79" s="2" t="s">
        <v>2902</v>
      </c>
      <c r="G79" s="2">
        <v>62010137</v>
      </c>
      <c r="H79" s="2" t="s">
        <v>34</v>
      </c>
      <c r="I79" s="2" t="s">
        <v>1069</v>
      </c>
      <c r="J79" s="2" t="s">
        <v>897</v>
      </c>
      <c r="K79" s="2" t="s">
        <v>94</v>
      </c>
      <c r="L79" s="2" t="s">
        <v>302</v>
      </c>
      <c r="M79" s="2" t="s">
        <v>282</v>
      </c>
      <c r="N79" s="2" t="s">
        <v>345</v>
      </c>
      <c r="O79" s="2" t="s">
        <v>164</v>
      </c>
      <c r="P79" t="s">
        <v>2903</v>
      </c>
      <c r="Q79" s="2" t="s">
        <v>99</v>
      </c>
      <c r="R79" s="2" t="s">
        <v>936</v>
      </c>
      <c r="S79" s="2" t="s">
        <v>940</v>
      </c>
      <c r="T79" s="2" t="s">
        <v>1374</v>
      </c>
      <c r="U79" s="150">
        <v>3.7589999999999999</v>
      </c>
      <c r="V79" s="150">
        <v>256.66000000000003</v>
      </c>
      <c r="W79" s="150">
        <v>964.78399999999999</v>
      </c>
      <c r="Y79" s="164">
        <v>1.29966059390584E-2</v>
      </c>
      <c r="Z79" s="164">
        <v>2.4412415477343299E-3</v>
      </c>
    </row>
    <row r="80" spans="1:26">
      <c r="A80" s="2" t="s">
        <v>26</v>
      </c>
      <c r="B80" s="2">
        <v>1182</v>
      </c>
      <c r="C80" s="2" t="s">
        <v>2904</v>
      </c>
      <c r="D80" s="2" t="s">
        <v>2905</v>
      </c>
      <c r="E80" s="2" t="s">
        <v>34</v>
      </c>
      <c r="F80" s="2" t="s">
        <v>2906</v>
      </c>
      <c r="G80" s="2">
        <v>62006366</v>
      </c>
      <c r="H80" s="2" t="s">
        <v>34</v>
      </c>
      <c r="I80" s="2" t="s">
        <v>1069</v>
      </c>
      <c r="J80" s="2" t="s">
        <v>896</v>
      </c>
      <c r="K80" s="2" t="s">
        <v>94</v>
      </c>
      <c r="L80" s="2" t="s">
        <v>31</v>
      </c>
      <c r="M80" s="2" t="s">
        <v>31</v>
      </c>
      <c r="N80" s="2" t="s">
        <v>95</v>
      </c>
      <c r="O80" s="2" t="s">
        <v>164</v>
      </c>
      <c r="P80" t="s">
        <v>2907</v>
      </c>
      <c r="Q80" s="2" t="s">
        <v>99</v>
      </c>
      <c r="R80" s="2" t="s">
        <v>936</v>
      </c>
      <c r="S80" s="2" t="s">
        <v>940</v>
      </c>
      <c r="T80" s="2" t="s">
        <v>1374</v>
      </c>
      <c r="U80" s="150">
        <v>3.7589999999999999</v>
      </c>
      <c r="V80" s="150">
        <v>62.524999999999999</v>
      </c>
      <c r="W80" s="150">
        <v>235.03200000000001</v>
      </c>
      <c r="Y80" s="164">
        <v>3.1661088279364398E-3</v>
      </c>
      <c r="Z80" s="164">
        <v>5.9471191568395395E-4</v>
      </c>
    </row>
    <row r="81" spans="1:26">
      <c r="A81" s="2" t="s">
        <v>26</v>
      </c>
      <c r="B81" s="2">
        <v>1182</v>
      </c>
      <c r="C81" s="2" t="s">
        <v>2908</v>
      </c>
      <c r="D81" s="2" t="s">
        <v>2909</v>
      </c>
      <c r="E81" s="2" t="s">
        <v>360</v>
      </c>
      <c r="F81" s="2" t="s">
        <v>2910</v>
      </c>
      <c r="G81" s="2">
        <v>62018387</v>
      </c>
      <c r="H81" s="2" t="s">
        <v>34</v>
      </c>
      <c r="I81" s="2" t="s">
        <v>1069</v>
      </c>
      <c r="J81" s="2" t="s">
        <v>895</v>
      </c>
      <c r="K81" s="2" t="s">
        <v>94</v>
      </c>
      <c r="L81" s="2" t="s">
        <v>267</v>
      </c>
      <c r="M81" s="2" t="s">
        <v>338</v>
      </c>
      <c r="N81" s="2" t="s">
        <v>95</v>
      </c>
      <c r="O81" s="2" t="s">
        <v>164</v>
      </c>
      <c r="P81" t="s">
        <v>2911</v>
      </c>
      <c r="Q81" s="2" t="s">
        <v>99</v>
      </c>
      <c r="R81" s="2" t="s">
        <v>936</v>
      </c>
      <c r="S81" s="2" t="s">
        <v>940</v>
      </c>
      <c r="T81" s="2" t="s">
        <v>1374</v>
      </c>
      <c r="U81" s="150">
        <v>3.7589999999999999</v>
      </c>
      <c r="V81" s="150">
        <v>161.28200000000001</v>
      </c>
      <c r="W81" s="150">
        <v>606.26</v>
      </c>
      <c r="Y81" s="164">
        <v>8.1669284509962095E-3</v>
      </c>
      <c r="Z81" s="164">
        <v>1.5340501316599899E-3</v>
      </c>
    </row>
    <row r="82" spans="1:26">
      <c r="A82" s="2" t="s">
        <v>26</v>
      </c>
      <c r="B82" s="2">
        <v>1182</v>
      </c>
      <c r="C82" s="2" t="s">
        <v>2912</v>
      </c>
      <c r="D82" s="2" t="s">
        <v>2913</v>
      </c>
      <c r="E82" s="2" t="s">
        <v>361</v>
      </c>
      <c r="F82" s="2" t="s">
        <v>2914</v>
      </c>
      <c r="G82" s="2">
        <v>62018551</v>
      </c>
      <c r="H82" s="2" t="s">
        <v>34</v>
      </c>
      <c r="I82" s="2" t="s">
        <v>1069</v>
      </c>
      <c r="J82" s="2" t="s">
        <v>895</v>
      </c>
      <c r="K82" s="2" t="s">
        <v>94</v>
      </c>
      <c r="L82" s="2" t="s">
        <v>302</v>
      </c>
      <c r="M82" s="2" t="s">
        <v>336</v>
      </c>
      <c r="N82" s="2" t="s">
        <v>338</v>
      </c>
      <c r="O82" s="2" t="s">
        <v>164</v>
      </c>
      <c r="P82" t="s">
        <v>2915</v>
      </c>
      <c r="Q82" s="2" t="s">
        <v>99</v>
      </c>
      <c r="R82" s="2" t="s">
        <v>936</v>
      </c>
      <c r="S82" s="2" t="s">
        <v>940</v>
      </c>
      <c r="T82" s="2" t="s">
        <v>1374</v>
      </c>
      <c r="U82" s="150">
        <v>3.7589999999999999</v>
      </c>
      <c r="V82" s="150">
        <v>363.19</v>
      </c>
      <c r="W82" s="150">
        <v>1365.231</v>
      </c>
      <c r="Y82" s="164">
        <v>1.8391023190042599E-2</v>
      </c>
      <c r="Z82" s="164">
        <v>3.4545119031384802E-3</v>
      </c>
    </row>
    <row r="83" spans="1:26">
      <c r="A83" s="2" t="s">
        <v>26</v>
      </c>
      <c r="B83" s="2">
        <v>1182</v>
      </c>
      <c r="C83" s="2" t="s">
        <v>2916</v>
      </c>
      <c r="D83" s="2" t="s">
        <v>2917</v>
      </c>
      <c r="E83" s="2" t="s">
        <v>361</v>
      </c>
      <c r="F83" s="2" t="s">
        <v>2918</v>
      </c>
      <c r="G83" s="2">
        <v>62020169</v>
      </c>
      <c r="H83" s="2" t="s">
        <v>34</v>
      </c>
      <c r="I83" s="2" t="s">
        <v>1069</v>
      </c>
      <c r="J83" s="2" t="s">
        <v>897</v>
      </c>
      <c r="K83" s="2" t="s">
        <v>94</v>
      </c>
      <c r="L83" s="2" t="s">
        <v>302</v>
      </c>
      <c r="M83" s="2" t="s">
        <v>336</v>
      </c>
      <c r="N83" s="2" t="s">
        <v>345</v>
      </c>
      <c r="O83" s="2" t="s">
        <v>164</v>
      </c>
      <c r="P83" t="s">
        <v>2919</v>
      </c>
      <c r="Q83" s="2" t="s">
        <v>99</v>
      </c>
      <c r="R83" s="2" t="s">
        <v>936</v>
      </c>
      <c r="S83" s="2" t="s">
        <v>940</v>
      </c>
      <c r="T83" s="2" t="s">
        <v>1374</v>
      </c>
      <c r="U83" s="150">
        <v>3.7589999999999999</v>
      </c>
      <c r="V83" s="150">
        <v>381.649</v>
      </c>
      <c r="W83" s="150">
        <v>1434.6189999999999</v>
      </c>
      <c r="Y83" s="164">
        <v>1.9325746556316199E-2</v>
      </c>
      <c r="Z83" s="164">
        <v>3.6300873978549601E-3</v>
      </c>
    </row>
    <row r="84" spans="1:26">
      <c r="A84" s="2" t="s">
        <v>26</v>
      </c>
      <c r="B84" s="2">
        <v>1182</v>
      </c>
      <c r="C84" s="2" t="s">
        <v>2920</v>
      </c>
      <c r="D84" s="2" t="s">
        <v>2921</v>
      </c>
      <c r="E84" s="2" t="s">
        <v>203</v>
      </c>
      <c r="F84" s="2" t="s">
        <v>2922</v>
      </c>
      <c r="G84" s="2">
        <v>62020995</v>
      </c>
      <c r="H84" s="2" t="s">
        <v>34</v>
      </c>
      <c r="I84" s="2" t="s">
        <v>1069</v>
      </c>
      <c r="J84" s="2" t="s">
        <v>876</v>
      </c>
      <c r="K84" s="2" t="s">
        <v>94</v>
      </c>
      <c r="L84" s="2" t="s">
        <v>95</v>
      </c>
      <c r="M84" s="2" t="s">
        <v>31</v>
      </c>
      <c r="N84" s="2" t="s">
        <v>95</v>
      </c>
      <c r="O84" s="2" t="s">
        <v>164</v>
      </c>
      <c r="P84" t="s">
        <v>2923</v>
      </c>
      <c r="Q84" s="2" t="s">
        <v>99</v>
      </c>
      <c r="R84" s="2" t="s">
        <v>936</v>
      </c>
      <c r="S84" s="2" t="s">
        <v>940</v>
      </c>
      <c r="T84" s="2" t="s">
        <v>1374</v>
      </c>
      <c r="U84" s="150">
        <v>3.7589999999999999</v>
      </c>
      <c r="V84" s="150">
        <v>37.819000000000003</v>
      </c>
      <c r="W84" s="150">
        <v>142.16300000000001</v>
      </c>
      <c r="Y84" s="164">
        <v>1.91507884935761E-3</v>
      </c>
      <c r="Z84" s="164">
        <v>3.5972238260982201E-4</v>
      </c>
    </row>
    <row r="85" spans="1:26">
      <c r="A85" s="2" t="s">
        <v>128</v>
      </c>
      <c r="B85" s="2">
        <v>7228</v>
      </c>
      <c r="C85" s="2" t="s">
        <v>2924</v>
      </c>
      <c r="D85" s="2" t="s">
        <v>2925</v>
      </c>
      <c r="E85" s="2" t="s">
        <v>1376</v>
      </c>
      <c r="F85" s="2" t="s">
        <v>2926</v>
      </c>
      <c r="G85" s="2">
        <v>9840847</v>
      </c>
      <c r="H85" s="2" t="s">
        <v>34</v>
      </c>
      <c r="I85" s="2" t="s">
        <v>1069</v>
      </c>
      <c r="J85" s="2" t="s">
        <v>876</v>
      </c>
      <c r="K85" s="2" t="s">
        <v>31</v>
      </c>
      <c r="L85" s="2" t="s">
        <v>31</v>
      </c>
      <c r="M85" s="2" t="s">
        <v>31</v>
      </c>
      <c r="N85" s="2" t="s">
        <v>31</v>
      </c>
      <c r="O85" s="2" t="s">
        <v>164</v>
      </c>
      <c r="P85" t="s">
        <v>2686</v>
      </c>
      <c r="Q85" s="2" t="s">
        <v>99</v>
      </c>
      <c r="R85" s="2" t="s">
        <v>936</v>
      </c>
      <c r="S85" s="2" t="s">
        <v>940</v>
      </c>
      <c r="T85" s="2" t="s">
        <v>1374</v>
      </c>
      <c r="U85" s="150">
        <v>3.7589999999999999</v>
      </c>
      <c r="V85" s="150">
        <v>18.873999999999999</v>
      </c>
      <c r="W85" s="150">
        <v>70.947999999999993</v>
      </c>
      <c r="Y85" s="164">
        <v>1.5527798064481101E-4</v>
      </c>
      <c r="Z85" s="164">
        <v>3.03155148672436E-5</v>
      </c>
    </row>
    <row r="86" spans="1:26">
      <c r="A86" s="2" t="s">
        <v>128</v>
      </c>
      <c r="B86" s="2">
        <v>7228</v>
      </c>
      <c r="C86" s="2" t="s">
        <v>2927</v>
      </c>
      <c r="D86" s="2" t="s">
        <v>2928</v>
      </c>
      <c r="E86" s="2" t="s">
        <v>1376</v>
      </c>
      <c r="F86" s="2" t="s">
        <v>2929</v>
      </c>
      <c r="G86" s="2">
        <v>9840848</v>
      </c>
      <c r="H86" s="2" t="s">
        <v>34</v>
      </c>
      <c r="I86" s="2" t="s">
        <v>1069</v>
      </c>
      <c r="J86" s="2" t="s">
        <v>895</v>
      </c>
      <c r="K86" s="2" t="s">
        <v>31</v>
      </c>
      <c r="L86" s="2" t="s">
        <v>31</v>
      </c>
      <c r="M86" s="2" t="s">
        <v>31</v>
      </c>
      <c r="N86" s="2" t="s">
        <v>31</v>
      </c>
      <c r="O86" s="2" t="s">
        <v>164</v>
      </c>
      <c r="P86" t="s">
        <v>2686</v>
      </c>
      <c r="Q86" s="2" t="s">
        <v>99</v>
      </c>
      <c r="R86" s="2" t="s">
        <v>936</v>
      </c>
      <c r="S86" s="2" t="s">
        <v>940</v>
      </c>
      <c r="T86" s="2" t="s">
        <v>1374</v>
      </c>
      <c r="U86" s="150">
        <v>3.7589999999999999</v>
      </c>
      <c r="V86" s="150">
        <v>0.93200000000000005</v>
      </c>
      <c r="W86" s="150">
        <v>3.5030000000000001</v>
      </c>
      <c r="Y86" s="164">
        <v>7.6676096509585594E-6</v>
      </c>
      <c r="Z86" s="164">
        <v>1.49697679867157E-6</v>
      </c>
    </row>
    <row r="87" spans="1:26">
      <c r="A87" s="2" t="s">
        <v>128</v>
      </c>
      <c r="B87" s="2">
        <v>7228</v>
      </c>
      <c r="C87" s="2" t="s">
        <v>2640</v>
      </c>
      <c r="D87" s="2" t="s">
        <v>2641</v>
      </c>
      <c r="E87" s="2" t="s">
        <v>203</v>
      </c>
      <c r="F87" s="2" t="s">
        <v>2642</v>
      </c>
      <c r="G87" s="2">
        <v>50007566</v>
      </c>
      <c r="H87" s="2" t="s">
        <v>34</v>
      </c>
      <c r="I87" s="2" t="s">
        <v>1069</v>
      </c>
      <c r="J87" s="2" t="s">
        <v>884</v>
      </c>
      <c r="K87" s="2" t="s">
        <v>31</v>
      </c>
      <c r="L87" s="2" t="s">
        <v>31</v>
      </c>
      <c r="M87" s="2" t="s">
        <v>31</v>
      </c>
      <c r="N87" s="2" t="s">
        <v>31</v>
      </c>
      <c r="O87" s="2" t="s">
        <v>164</v>
      </c>
      <c r="P87" t="s">
        <v>2643</v>
      </c>
      <c r="Q87" s="2" t="s">
        <v>35</v>
      </c>
      <c r="R87" s="2" t="s">
        <v>936</v>
      </c>
      <c r="S87" s="2" t="s">
        <v>940</v>
      </c>
      <c r="T87" s="2" t="s">
        <v>1374</v>
      </c>
      <c r="U87" s="150">
        <v>1</v>
      </c>
      <c r="V87" s="150">
        <v>1854.999</v>
      </c>
      <c r="W87" s="150">
        <v>1854.999</v>
      </c>
      <c r="Y87" s="164">
        <v>4.0599012478733099E-3</v>
      </c>
      <c r="Z87" s="164">
        <v>7.92630069816389E-4</v>
      </c>
    </row>
    <row r="88" spans="1:26">
      <c r="A88" s="2" t="s">
        <v>128</v>
      </c>
      <c r="B88" s="2">
        <v>7228</v>
      </c>
      <c r="C88" s="2" t="s">
        <v>2644</v>
      </c>
      <c r="D88" s="2" t="s">
        <v>2645</v>
      </c>
      <c r="E88" s="2" t="s">
        <v>359</v>
      </c>
      <c r="F88" s="2" t="s">
        <v>2646</v>
      </c>
      <c r="G88" s="2">
        <v>62018312</v>
      </c>
      <c r="H88" s="2" t="s">
        <v>34</v>
      </c>
      <c r="I88" s="2" t="s">
        <v>1069</v>
      </c>
      <c r="J88" s="2" t="s">
        <v>613</v>
      </c>
      <c r="K88" s="2" t="s">
        <v>31</v>
      </c>
      <c r="L88" s="2" t="s">
        <v>31</v>
      </c>
      <c r="M88" s="2" t="s">
        <v>31</v>
      </c>
      <c r="N88" s="2" t="s">
        <v>31</v>
      </c>
      <c r="O88" s="2" t="s">
        <v>164</v>
      </c>
      <c r="P88" t="s">
        <v>2647</v>
      </c>
      <c r="Q88" s="2" t="s">
        <v>99</v>
      </c>
      <c r="R88" s="2" t="s">
        <v>936</v>
      </c>
      <c r="S88" s="2" t="s">
        <v>940</v>
      </c>
      <c r="T88" s="2" t="s">
        <v>1374</v>
      </c>
      <c r="U88" s="150">
        <v>3.7589999999999999</v>
      </c>
      <c r="V88" s="150">
        <v>797.67100000000005</v>
      </c>
      <c r="W88" s="150">
        <v>2998.4450000000002</v>
      </c>
      <c r="Y88" s="164">
        <v>6.5624782566609504E-3</v>
      </c>
      <c r="Z88" s="164">
        <v>1.2812177639715901E-3</v>
      </c>
    </row>
    <row r="89" spans="1:26">
      <c r="A89" s="2" t="s">
        <v>128</v>
      </c>
      <c r="B89" s="2">
        <v>7228</v>
      </c>
      <c r="C89" s="2" t="s">
        <v>2644</v>
      </c>
      <c r="D89" s="2" t="s">
        <v>2645</v>
      </c>
      <c r="E89" s="2" t="s">
        <v>359</v>
      </c>
      <c r="F89" s="2" t="s">
        <v>2930</v>
      </c>
      <c r="G89" s="2">
        <v>60305448</v>
      </c>
      <c r="H89" s="2" t="s">
        <v>34</v>
      </c>
      <c r="I89" s="2" t="s">
        <v>1069</v>
      </c>
      <c r="J89" s="2" t="s">
        <v>613</v>
      </c>
      <c r="K89" s="2" t="s">
        <v>31</v>
      </c>
      <c r="L89" s="2" t="s">
        <v>31</v>
      </c>
      <c r="M89" s="2" t="s">
        <v>31</v>
      </c>
      <c r="N89" s="2" t="s">
        <v>31</v>
      </c>
      <c r="O89" s="2" t="s">
        <v>164</v>
      </c>
      <c r="P89" t="s">
        <v>2686</v>
      </c>
      <c r="Q89" s="2" t="s">
        <v>99</v>
      </c>
      <c r="R89" s="2" t="s">
        <v>203</v>
      </c>
      <c r="S89" s="2" t="s">
        <v>940</v>
      </c>
      <c r="T89" s="2" t="s">
        <v>1374</v>
      </c>
      <c r="U89" s="150">
        <v>3.7589999999999999</v>
      </c>
      <c r="V89" s="150">
        <v>777.29499999999996</v>
      </c>
      <c r="W89" s="150">
        <v>2921.85</v>
      </c>
      <c r="Y89" s="164">
        <v>6.3948401500896002E-3</v>
      </c>
      <c r="Z89" s="164">
        <v>1.2484891343811199E-3</v>
      </c>
    </row>
    <row r="90" spans="1:26">
      <c r="A90" s="2" t="s">
        <v>128</v>
      </c>
      <c r="B90" s="2">
        <v>7228</v>
      </c>
      <c r="C90" s="2" t="s">
        <v>2648</v>
      </c>
      <c r="D90" s="2" t="s">
        <v>2649</v>
      </c>
      <c r="E90" s="2" t="s">
        <v>34</v>
      </c>
      <c r="F90" s="2" t="s">
        <v>2650</v>
      </c>
      <c r="G90" s="2">
        <v>60390093</v>
      </c>
      <c r="H90" s="2" t="s">
        <v>34</v>
      </c>
      <c r="I90" s="2" t="s">
        <v>1069</v>
      </c>
      <c r="J90" s="2" t="s">
        <v>877</v>
      </c>
      <c r="K90" s="2" t="s">
        <v>94</v>
      </c>
      <c r="L90" s="2" t="s">
        <v>267</v>
      </c>
      <c r="M90" s="2" t="s">
        <v>31</v>
      </c>
      <c r="N90" s="2" t="s">
        <v>31</v>
      </c>
      <c r="O90" s="2" t="s">
        <v>164</v>
      </c>
      <c r="P90" t="s">
        <v>2651</v>
      </c>
      <c r="Q90" s="2" t="s">
        <v>99</v>
      </c>
      <c r="R90" s="2" t="s">
        <v>936</v>
      </c>
      <c r="S90" s="2" t="s">
        <v>940</v>
      </c>
      <c r="T90" s="2" t="s">
        <v>1374</v>
      </c>
      <c r="U90" s="150">
        <v>3.7589999999999999</v>
      </c>
      <c r="V90" s="150">
        <v>596.48199999999997</v>
      </c>
      <c r="W90" s="150">
        <v>2242.1770000000001</v>
      </c>
      <c r="Y90" s="164">
        <v>4.9072882761212397E-3</v>
      </c>
      <c r="Z90" s="164">
        <v>9.5806868478602396E-4</v>
      </c>
    </row>
    <row r="91" spans="1:26">
      <c r="A91" s="2" t="s">
        <v>128</v>
      </c>
      <c r="B91" s="2">
        <v>7228</v>
      </c>
      <c r="C91" s="2" t="s">
        <v>2648</v>
      </c>
      <c r="D91" s="2" t="s">
        <v>2649</v>
      </c>
      <c r="E91" s="2" t="s">
        <v>34</v>
      </c>
      <c r="F91" s="2" t="s">
        <v>2652</v>
      </c>
      <c r="G91" s="2">
        <v>62019724</v>
      </c>
      <c r="H91" s="2" t="s">
        <v>34</v>
      </c>
      <c r="I91" s="2" t="s">
        <v>1069</v>
      </c>
      <c r="J91" s="2" t="s">
        <v>877</v>
      </c>
      <c r="K91" s="2" t="s">
        <v>94</v>
      </c>
      <c r="L91" s="2" t="s">
        <v>267</v>
      </c>
      <c r="M91" s="2" t="s">
        <v>31</v>
      </c>
      <c r="N91" s="2" t="s">
        <v>31</v>
      </c>
      <c r="O91" s="2" t="s">
        <v>164</v>
      </c>
      <c r="P91" t="s">
        <v>2653</v>
      </c>
      <c r="Q91" s="2" t="s">
        <v>99</v>
      </c>
      <c r="R91" s="2" t="s">
        <v>936</v>
      </c>
      <c r="S91" s="2" t="s">
        <v>940</v>
      </c>
      <c r="T91" s="2" t="s">
        <v>1374</v>
      </c>
      <c r="U91" s="150">
        <v>3.7589999999999999</v>
      </c>
      <c r="V91" s="150">
        <v>580.995</v>
      </c>
      <c r="W91" s="150">
        <v>2183.96</v>
      </c>
      <c r="Y91" s="164">
        <v>4.7798728422628004E-3</v>
      </c>
      <c r="Z91" s="164">
        <v>9.3319288163987504E-4</v>
      </c>
    </row>
    <row r="92" spans="1:26">
      <c r="A92" s="2" t="s">
        <v>128</v>
      </c>
      <c r="B92" s="2">
        <v>7228</v>
      </c>
      <c r="C92" s="2" t="s">
        <v>2648</v>
      </c>
      <c r="D92" s="2" t="s">
        <v>2649</v>
      </c>
      <c r="E92" s="2" t="s">
        <v>34</v>
      </c>
      <c r="F92" s="2" t="s">
        <v>2654</v>
      </c>
      <c r="G92" s="2">
        <v>62000563</v>
      </c>
      <c r="H92" s="2" t="s">
        <v>34</v>
      </c>
      <c r="I92" s="2" t="s">
        <v>1069</v>
      </c>
      <c r="J92" s="2" t="s">
        <v>877</v>
      </c>
      <c r="K92" s="2" t="s">
        <v>94</v>
      </c>
      <c r="L92" s="2" t="s">
        <v>267</v>
      </c>
      <c r="M92" s="2" t="s">
        <v>31</v>
      </c>
      <c r="N92" s="2" t="s">
        <v>31</v>
      </c>
      <c r="O92" s="2" t="s">
        <v>164</v>
      </c>
      <c r="P92" t="s">
        <v>2655</v>
      </c>
      <c r="Q92" s="2" t="s">
        <v>99</v>
      </c>
      <c r="R92" s="2" t="s">
        <v>936</v>
      </c>
      <c r="S92" s="2" t="s">
        <v>940</v>
      </c>
      <c r="T92" s="2" t="s">
        <v>1374</v>
      </c>
      <c r="U92" s="150">
        <v>3.7589999999999999</v>
      </c>
      <c r="V92" s="150">
        <v>619.20500000000004</v>
      </c>
      <c r="W92" s="150">
        <v>2327.5920000000001</v>
      </c>
      <c r="Y92" s="164">
        <v>5.0942298606094297E-3</v>
      </c>
      <c r="Z92" s="164">
        <v>9.94566006301438E-4</v>
      </c>
    </row>
    <row r="93" spans="1:26">
      <c r="A93" s="2" t="s">
        <v>128</v>
      </c>
      <c r="B93" s="2">
        <v>7228</v>
      </c>
      <c r="C93" s="2" t="s">
        <v>2656</v>
      </c>
      <c r="D93" s="2" t="s">
        <v>2657</v>
      </c>
      <c r="E93" s="2" t="s">
        <v>34</v>
      </c>
      <c r="F93" s="2" t="s">
        <v>2658</v>
      </c>
      <c r="G93" s="2">
        <v>77419109</v>
      </c>
      <c r="H93" s="2" t="s">
        <v>34</v>
      </c>
      <c r="I93" s="2" t="s">
        <v>1071</v>
      </c>
      <c r="J93" s="2" t="s">
        <v>613</v>
      </c>
      <c r="K93" s="2" t="s">
        <v>31</v>
      </c>
      <c r="L93" s="2" t="s">
        <v>267</v>
      </c>
      <c r="M93" s="2" t="s">
        <v>31</v>
      </c>
      <c r="N93" s="2" t="s">
        <v>31</v>
      </c>
      <c r="O93" s="2" t="s">
        <v>164</v>
      </c>
      <c r="P93" t="s">
        <v>2659</v>
      </c>
      <c r="Q93" s="2" t="s">
        <v>99</v>
      </c>
      <c r="R93" s="2" t="s">
        <v>203</v>
      </c>
      <c r="S93" s="2" t="s">
        <v>940</v>
      </c>
      <c r="T93" s="2" t="s">
        <v>1374</v>
      </c>
      <c r="U93" s="150">
        <v>3.7589999999999999</v>
      </c>
      <c r="V93" s="150">
        <v>1938.0730000000001</v>
      </c>
      <c r="W93" s="150">
        <v>7285.2179999999998</v>
      </c>
      <c r="Y93" s="164">
        <v>1.59446244302337E-2</v>
      </c>
      <c r="Z93" s="164">
        <v>3.1129300945318501E-3</v>
      </c>
    </row>
    <row r="94" spans="1:26">
      <c r="A94" s="2" t="s">
        <v>128</v>
      </c>
      <c r="B94" s="2">
        <v>7228</v>
      </c>
      <c r="C94" s="2" t="s">
        <v>2660</v>
      </c>
      <c r="D94" s="2" t="s">
        <v>2661</v>
      </c>
      <c r="E94" s="2" t="s">
        <v>360</v>
      </c>
      <c r="F94" s="2" t="s">
        <v>2662</v>
      </c>
      <c r="G94" s="2">
        <v>60415775</v>
      </c>
      <c r="H94" s="2" t="s">
        <v>34</v>
      </c>
      <c r="I94" s="2" t="s">
        <v>1069</v>
      </c>
      <c r="J94" s="2" t="s">
        <v>882</v>
      </c>
      <c r="K94" s="2" t="s">
        <v>94</v>
      </c>
      <c r="L94" s="2" t="s">
        <v>267</v>
      </c>
      <c r="M94" s="2" t="s">
        <v>31</v>
      </c>
      <c r="N94" s="2" t="s">
        <v>31</v>
      </c>
      <c r="O94" s="2" t="s">
        <v>164</v>
      </c>
      <c r="P94" t="s">
        <v>2663</v>
      </c>
      <c r="Q94" s="2" t="s">
        <v>99</v>
      </c>
      <c r="R94" s="2" t="s">
        <v>936</v>
      </c>
      <c r="S94" s="2" t="s">
        <v>940</v>
      </c>
      <c r="T94" s="2" t="s">
        <v>1374</v>
      </c>
      <c r="U94" s="150">
        <v>3.7589999999999999</v>
      </c>
      <c r="V94" s="150">
        <v>1032.2929999999999</v>
      </c>
      <c r="W94" s="150">
        <v>3880.3890000000001</v>
      </c>
      <c r="Y94" s="164">
        <v>8.4927250744817207E-3</v>
      </c>
      <c r="Z94" s="164">
        <v>1.65806724295179E-3</v>
      </c>
    </row>
    <row r="95" spans="1:26">
      <c r="A95" s="2" t="s">
        <v>128</v>
      </c>
      <c r="B95" s="2">
        <v>7228</v>
      </c>
      <c r="C95" s="2" t="s">
        <v>2931</v>
      </c>
      <c r="D95" s="2" t="s">
        <v>2932</v>
      </c>
      <c r="E95" s="2" t="s">
        <v>34</v>
      </c>
      <c r="F95" s="2" t="s">
        <v>2933</v>
      </c>
      <c r="G95" s="2">
        <v>60283439</v>
      </c>
      <c r="H95" s="2" t="s">
        <v>34</v>
      </c>
      <c r="I95" s="2" t="s">
        <v>1069</v>
      </c>
      <c r="J95" s="2" t="s">
        <v>882</v>
      </c>
      <c r="K95" s="2" t="s">
        <v>94</v>
      </c>
      <c r="L95" s="2" t="s">
        <v>302</v>
      </c>
      <c r="M95" s="2" t="s">
        <v>302</v>
      </c>
      <c r="N95" s="2" t="s">
        <v>342</v>
      </c>
      <c r="O95" s="2" t="s">
        <v>164</v>
      </c>
      <c r="P95" t="s">
        <v>2686</v>
      </c>
      <c r="Q95" s="2" t="s">
        <v>99</v>
      </c>
      <c r="R95" s="2" t="s">
        <v>936</v>
      </c>
      <c r="S95" s="2" t="s">
        <v>940</v>
      </c>
      <c r="T95" s="2" t="s">
        <v>1374</v>
      </c>
      <c r="U95" s="150">
        <v>3.7589999999999999</v>
      </c>
      <c r="V95" s="150">
        <v>128.05000000000001</v>
      </c>
      <c r="W95" s="150">
        <v>481.33800000000002</v>
      </c>
      <c r="Y95" s="164">
        <v>1.05347008447757E-3</v>
      </c>
      <c r="Z95" s="164">
        <v>2.0567299932389599E-4</v>
      </c>
    </row>
    <row r="96" spans="1:26">
      <c r="A96" s="2" t="s">
        <v>128</v>
      </c>
      <c r="B96" s="2">
        <v>7228</v>
      </c>
      <c r="C96" s="2" t="s">
        <v>2664</v>
      </c>
      <c r="D96" s="2" t="s">
        <v>2665</v>
      </c>
      <c r="E96" s="2" t="s">
        <v>34</v>
      </c>
      <c r="F96" s="2" t="s">
        <v>2666</v>
      </c>
      <c r="G96" s="2">
        <v>62017538</v>
      </c>
      <c r="H96" s="2" t="s">
        <v>34</v>
      </c>
      <c r="I96" s="2" t="s">
        <v>1069</v>
      </c>
      <c r="J96" s="2" t="s">
        <v>882</v>
      </c>
      <c r="K96" s="2" t="s">
        <v>31</v>
      </c>
      <c r="L96" s="2" t="s">
        <v>31</v>
      </c>
      <c r="M96" s="2" t="s">
        <v>31</v>
      </c>
      <c r="N96" s="2" t="s">
        <v>31</v>
      </c>
      <c r="O96" s="2" t="s">
        <v>164</v>
      </c>
      <c r="P96" t="s">
        <v>2667</v>
      </c>
      <c r="Q96" s="2" t="s">
        <v>99</v>
      </c>
      <c r="R96" s="2" t="s">
        <v>203</v>
      </c>
      <c r="S96" s="2" t="s">
        <v>940</v>
      </c>
      <c r="T96" s="2" t="s">
        <v>1374</v>
      </c>
      <c r="U96" s="150">
        <v>3.7589999999999999</v>
      </c>
      <c r="V96" s="150">
        <v>3212.2280000000001</v>
      </c>
      <c r="W96" s="150">
        <v>12074.767</v>
      </c>
      <c r="Y96" s="164">
        <v>2.6427161078328699E-2</v>
      </c>
      <c r="Z96" s="164">
        <v>5.1594758718668896E-3</v>
      </c>
    </row>
    <row r="97" spans="1:26">
      <c r="A97" s="2" t="s">
        <v>128</v>
      </c>
      <c r="B97" s="2">
        <v>7228</v>
      </c>
      <c r="C97" s="2" t="s">
        <v>2668</v>
      </c>
      <c r="D97" s="2" t="s">
        <v>2669</v>
      </c>
      <c r="E97" s="2" t="s">
        <v>34</v>
      </c>
      <c r="F97" s="2" t="s">
        <v>2670</v>
      </c>
      <c r="G97" s="2">
        <v>62001189</v>
      </c>
      <c r="H97" s="2" t="s">
        <v>34</v>
      </c>
      <c r="I97" s="2" t="s">
        <v>1069</v>
      </c>
      <c r="J97" s="2" t="s">
        <v>897</v>
      </c>
      <c r="K97" s="2" t="s">
        <v>31</v>
      </c>
      <c r="L97" s="2" t="s">
        <v>267</v>
      </c>
      <c r="M97" s="2" t="s">
        <v>31</v>
      </c>
      <c r="N97" s="2" t="s">
        <v>31</v>
      </c>
      <c r="O97" s="2" t="s">
        <v>164</v>
      </c>
      <c r="P97" t="s">
        <v>2671</v>
      </c>
      <c r="Q97" s="2" t="s">
        <v>99</v>
      </c>
      <c r="R97" s="2" t="s">
        <v>936</v>
      </c>
      <c r="S97" s="2" t="s">
        <v>940</v>
      </c>
      <c r="T97" s="2" t="s">
        <v>1374</v>
      </c>
      <c r="U97" s="150">
        <v>3.7589999999999999</v>
      </c>
      <c r="V97" s="150">
        <v>591.94299999999998</v>
      </c>
      <c r="W97" s="150">
        <v>2225.1129999999998</v>
      </c>
      <c r="Y97" s="164">
        <v>4.8699428427164196E-3</v>
      </c>
      <c r="Z97" s="164">
        <v>9.5077759279148504E-4</v>
      </c>
    </row>
    <row r="98" spans="1:26">
      <c r="A98" s="2" t="s">
        <v>128</v>
      </c>
      <c r="B98" s="2">
        <v>7228</v>
      </c>
      <c r="C98" s="2" t="s">
        <v>2934</v>
      </c>
      <c r="D98" s="2" t="s">
        <v>2935</v>
      </c>
      <c r="E98" s="2" t="s">
        <v>34</v>
      </c>
      <c r="F98" s="2" t="s">
        <v>2936</v>
      </c>
      <c r="G98" s="2">
        <v>9840793</v>
      </c>
      <c r="H98" s="2" t="s">
        <v>34</v>
      </c>
      <c r="I98" s="2" t="s">
        <v>1069</v>
      </c>
      <c r="J98" s="2" t="s">
        <v>896</v>
      </c>
      <c r="K98" s="2" t="s">
        <v>94</v>
      </c>
      <c r="L98" s="2" t="s">
        <v>267</v>
      </c>
      <c r="M98" s="2" t="s">
        <v>31</v>
      </c>
      <c r="N98" s="2" t="s">
        <v>31</v>
      </c>
      <c r="O98" s="2" t="s">
        <v>164</v>
      </c>
      <c r="P98" t="s">
        <v>2686</v>
      </c>
      <c r="Q98" s="2" t="s">
        <v>99</v>
      </c>
      <c r="R98" s="2" t="s">
        <v>936</v>
      </c>
      <c r="S98" s="2" t="s">
        <v>940</v>
      </c>
      <c r="T98" s="2" t="s">
        <v>1374</v>
      </c>
      <c r="U98" s="150">
        <v>3.7589999999999999</v>
      </c>
      <c r="V98" s="150">
        <v>28.829000000000001</v>
      </c>
      <c r="W98" s="150">
        <v>108.369</v>
      </c>
      <c r="Y98" s="164">
        <v>2.3717924050366401E-4</v>
      </c>
      <c r="Z98" s="164">
        <v>4.6305411506719303E-5</v>
      </c>
    </row>
    <row r="99" spans="1:26">
      <c r="A99" s="2" t="s">
        <v>128</v>
      </c>
      <c r="B99" s="2">
        <v>7228</v>
      </c>
      <c r="C99" s="2" t="s">
        <v>2937</v>
      </c>
      <c r="D99" s="2" t="s">
        <v>2938</v>
      </c>
      <c r="E99" s="2" t="s">
        <v>34</v>
      </c>
      <c r="F99" s="2" t="s">
        <v>2939</v>
      </c>
      <c r="G99" s="2">
        <v>60345527</v>
      </c>
      <c r="H99" s="2" t="s">
        <v>34</v>
      </c>
      <c r="I99" s="2" t="s">
        <v>1069</v>
      </c>
      <c r="J99" s="2" t="s">
        <v>896</v>
      </c>
      <c r="K99" s="2" t="s">
        <v>94</v>
      </c>
      <c r="L99" s="2" t="s">
        <v>267</v>
      </c>
      <c r="M99" s="2" t="s">
        <v>31</v>
      </c>
      <c r="N99" s="2" t="s">
        <v>95</v>
      </c>
      <c r="O99" s="2" t="s">
        <v>164</v>
      </c>
      <c r="P99" t="s">
        <v>2686</v>
      </c>
      <c r="Q99" s="2" t="s">
        <v>99</v>
      </c>
      <c r="R99" s="2" t="s">
        <v>936</v>
      </c>
      <c r="S99" s="2" t="s">
        <v>940</v>
      </c>
      <c r="T99" s="2" t="s">
        <v>1374</v>
      </c>
      <c r="U99" s="150">
        <v>3.7589999999999999</v>
      </c>
      <c r="V99" s="150">
        <v>1203.798</v>
      </c>
      <c r="W99" s="150">
        <v>4525.0770000000002</v>
      </c>
      <c r="Y99" s="164">
        <v>9.9037066732300897E-3</v>
      </c>
      <c r="Z99" s="164">
        <v>1.9335385844558199E-3</v>
      </c>
    </row>
    <row r="100" spans="1:26">
      <c r="A100" s="2" t="s">
        <v>128</v>
      </c>
      <c r="B100" s="2">
        <v>7228</v>
      </c>
      <c r="C100" s="2" t="s">
        <v>2672</v>
      </c>
      <c r="D100" s="2" t="s">
        <v>2673</v>
      </c>
      <c r="E100" s="2" t="s">
        <v>34</v>
      </c>
      <c r="F100" s="2" t="s">
        <v>2672</v>
      </c>
      <c r="G100" s="2">
        <v>60401809</v>
      </c>
      <c r="H100" s="2" t="s">
        <v>34</v>
      </c>
      <c r="I100" s="2" t="s">
        <v>1069</v>
      </c>
      <c r="J100" s="2" t="s">
        <v>895</v>
      </c>
      <c r="K100" s="2" t="s">
        <v>94</v>
      </c>
      <c r="L100" s="2" t="s">
        <v>267</v>
      </c>
      <c r="M100" s="2" t="s">
        <v>31</v>
      </c>
      <c r="N100" s="2" t="s">
        <v>95</v>
      </c>
      <c r="O100" s="2" t="s">
        <v>164</v>
      </c>
      <c r="P100" t="s">
        <v>2674</v>
      </c>
      <c r="Q100" s="2" t="s">
        <v>99</v>
      </c>
      <c r="R100" s="2" t="s">
        <v>936</v>
      </c>
      <c r="S100" s="2" t="s">
        <v>940</v>
      </c>
      <c r="T100" s="2" t="s">
        <v>1374</v>
      </c>
      <c r="U100" s="150">
        <v>3.7589999999999999</v>
      </c>
      <c r="V100" s="150">
        <v>1606.086</v>
      </c>
      <c r="W100" s="150">
        <v>6037.2759999999998</v>
      </c>
      <c r="Y100" s="164">
        <v>1.32133458214569E-2</v>
      </c>
      <c r="Z100" s="164">
        <v>2.5796921110964699E-3</v>
      </c>
    </row>
    <row r="101" spans="1:26">
      <c r="A101" s="2" t="s">
        <v>128</v>
      </c>
      <c r="B101" s="2">
        <v>7228</v>
      </c>
      <c r="C101" s="2" t="s">
        <v>2940</v>
      </c>
      <c r="D101" s="2" t="s">
        <v>2941</v>
      </c>
      <c r="E101" s="2" t="s">
        <v>34</v>
      </c>
      <c r="F101" s="2" t="s">
        <v>2940</v>
      </c>
      <c r="G101" s="2">
        <v>62011408</v>
      </c>
      <c r="H101" s="2" t="s">
        <v>34</v>
      </c>
      <c r="I101" s="2" t="s">
        <v>1069</v>
      </c>
      <c r="J101" s="2" t="s">
        <v>896</v>
      </c>
      <c r="K101" s="2" t="s">
        <v>94</v>
      </c>
      <c r="L101" s="2" t="s">
        <v>95</v>
      </c>
      <c r="M101" s="2" t="s">
        <v>31</v>
      </c>
      <c r="N101" s="2" t="s">
        <v>31</v>
      </c>
      <c r="O101" s="2" t="s">
        <v>164</v>
      </c>
      <c r="P101" t="s">
        <v>2942</v>
      </c>
      <c r="Q101" s="2" t="s">
        <v>99</v>
      </c>
      <c r="R101" s="2" t="s">
        <v>936</v>
      </c>
      <c r="S101" s="2" t="s">
        <v>940</v>
      </c>
      <c r="T101" s="2" t="s">
        <v>1374</v>
      </c>
      <c r="U101" s="150">
        <v>3.7589999999999999</v>
      </c>
      <c r="V101" s="150">
        <v>1562.1990000000001</v>
      </c>
      <c r="W101" s="150">
        <v>5872.3059999999996</v>
      </c>
      <c r="Y101" s="164">
        <v>1.28522876921865E-2</v>
      </c>
      <c r="Z101" s="164">
        <v>2.5092013496866099E-3</v>
      </c>
    </row>
    <row r="102" spans="1:26">
      <c r="A102" s="2" t="s">
        <v>128</v>
      </c>
      <c r="B102" s="2">
        <v>7228</v>
      </c>
      <c r="C102" s="2" t="s">
        <v>2675</v>
      </c>
      <c r="D102" s="2" t="s">
        <v>2676</v>
      </c>
      <c r="E102" s="2" t="s">
        <v>360</v>
      </c>
      <c r="F102" s="2" t="s">
        <v>2677</v>
      </c>
      <c r="G102" s="2">
        <v>50000983</v>
      </c>
      <c r="H102" s="2" t="s">
        <v>34</v>
      </c>
      <c r="I102" s="2" t="s">
        <v>1069</v>
      </c>
      <c r="J102" s="2" t="s">
        <v>889</v>
      </c>
      <c r="K102" s="2" t="s">
        <v>94</v>
      </c>
      <c r="L102" s="2" t="s">
        <v>267</v>
      </c>
      <c r="M102" s="2" t="s">
        <v>31</v>
      </c>
      <c r="N102" s="2" t="s">
        <v>345</v>
      </c>
      <c r="O102" s="2" t="s">
        <v>164</v>
      </c>
      <c r="P102" t="s">
        <v>2678</v>
      </c>
      <c r="Q102" s="2" t="s">
        <v>35</v>
      </c>
      <c r="R102" s="2" t="s">
        <v>936</v>
      </c>
      <c r="S102" s="2" t="s">
        <v>940</v>
      </c>
      <c r="T102" s="2" t="s">
        <v>1374</v>
      </c>
      <c r="U102" s="150">
        <v>1</v>
      </c>
      <c r="V102" s="150">
        <v>3461.1950000000002</v>
      </c>
      <c r="W102" s="150">
        <v>3461.1950000000002</v>
      </c>
      <c r="Y102" s="164">
        <v>7.5752644732263704E-3</v>
      </c>
      <c r="Z102" s="164">
        <v>1.47894789594606E-3</v>
      </c>
    </row>
    <row r="103" spans="1:26">
      <c r="A103" s="2" t="s">
        <v>128</v>
      </c>
      <c r="B103" s="2">
        <v>7228</v>
      </c>
      <c r="C103" s="2" t="s">
        <v>2675</v>
      </c>
      <c r="D103" s="2" t="s">
        <v>2676</v>
      </c>
      <c r="E103" s="2" t="s">
        <v>360</v>
      </c>
      <c r="F103" s="2" t="s">
        <v>2679</v>
      </c>
      <c r="G103" s="2">
        <v>50007897</v>
      </c>
      <c r="H103" s="2" t="s">
        <v>34</v>
      </c>
      <c r="I103" s="2" t="s">
        <v>1069</v>
      </c>
      <c r="J103" s="2" t="s">
        <v>889</v>
      </c>
      <c r="K103" s="2" t="s">
        <v>94</v>
      </c>
      <c r="L103" s="2" t="s">
        <v>267</v>
      </c>
      <c r="M103" s="2" t="s">
        <v>31</v>
      </c>
      <c r="N103" s="2" t="s">
        <v>345</v>
      </c>
      <c r="O103" s="2" t="s">
        <v>164</v>
      </c>
      <c r="P103" t="s">
        <v>2680</v>
      </c>
      <c r="Q103" s="2" t="s">
        <v>35</v>
      </c>
      <c r="R103" s="2" t="s">
        <v>203</v>
      </c>
      <c r="S103" s="2" t="s">
        <v>940</v>
      </c>
      <c r="T103" s="2" t="s">
        <v>1374</v>
      </c>
      <c r="U103" s="150">
        <v>1</v>
      </c>
      <c r="V103" s="150">
        <v>3348.1849999999999</v>
      </c>
      <c r="W103" s="150">
        <v>3348.1849999999999</v>
      </c>
      <c r="Y103" s="164">
        <v>7.3279280615833001E-3</v>
      </c>
      <c r="Z103" s="164">
        <v>1.4306594610163999E-3</v>
      </c>
    </row>
    <row r="104" spans="1:26">
      <c r="A104" s="2" t="s">
        <v>128</v>
      </c>
      <c r="B104" s="2">
        <v>7228</v>
      </c>
      <c r="C104" s="2" t="s">
        <v>2648</v>
      </c>
      <c r="D104" s="2" t="s">
        <v>2649</v>
      </c>
      <c r="E104" s="2" t="s">
        <v>34</v>
      </c>
      <c r="F104" s="2" t="s">
        <v>2681</v>
      </c>
      <c r="G104" s="2">
        <v>62013347</v>
      </c>
      <c r="H104" s="2" t="s">
        <v>34</v>
      </c>
      <c r="I104" s="2" t="s">
        <v>1069</v>
      </c>
      <c r="J104" s="2" t="s">
        <v>877</v>
      </c>
      <c r="K104" s="2" t="s">
        <v>94</v>
      </c>
      <c r="L104" s="2" t="s">
        <v>267</v>
      </c>
      <c r="M104" s="2" t="s">
        <v>31</v>
      </c>
      <c r="N104" s="2" t="s">
        <v>31</v>
      </c>
      <c r="O104" s="2" t="s">
        <v>164</v>
      </c>
      <c r="P104" t="s">
        <v>2682</v>
      </c>
      <c r="Q104" s="2" t="s">
        <v>99</v>
      </c>
      <c r="R104" s="2" t="s">
        <v>936</v>
      </c>
      <c r="S104" s="2" t="s">
        <v>940</v>
      </c>
      <c r="T104" s="2" t="s">
        <v>1374</v>
      </c>
      <c r="U104" s="150">
        <v>3.7589999999999999</v>
      </c>
      <c r="V104" s="150">
        <v>524.88099999999997</v>
      </c>
      <c r="W104" s="150">
        <v>1973.0260000000001</v>
      </c>
      <c r="Y104" s="164">
        <v>4.3182185533453196E-3</v>
      </c>
      <c r="Z104" s="164">
        <v>8.4306234670448001E-4</v>
      </c>
    </row>
    <row r="105" spans="1:26">
      <c r="A105" s="2" t="s">
        <v>128</v>
      </c>
      <c r="B105" s="2">
        <v>7228</v>
      </c>
      <c r="C105" s="2" t="s">
        <v>2683</v>
      </c>
      <c r="D105" s="2" t="s">
        <v>2684</v>
      </c>
      <c r="E105" s="2" t="s">
        <v>358</v>
      </c>
      <c r="F105" s="2" t="s">
        <v>2685</v>
      </c>
      <c r="G105" s="2">
        <v>60364742</v>
      </c>
      <c r="H105" s="2" t="s">
        <v>34</v>
      </c>
      <c r="I105" s="2" t="s">
        <v>1069</v>
      </c>
      <c r="J105" s="2" t="s">
        <v>895</v>
      </c>
      <c r="K105" s="2" t="s">
        <v>31</v>
      </c>
      <c r="L105" s="2" t="s">
        <v>267</v>
      </c>
      <c r="M105" s="2" t="s">
        <v>31</v>
      </c>
      <c r="N105" s="2" t="s">
        <v>31</v>
      </c>
      <c r="O105" s="2" t="s">
        <v>164</v>
      </c>
      <c r="P105" t="s">
        <v>2686</v>
      </c>
      <c r="Q105" s="2" t="s">
        <v>99</v>
      </c>
      <c r="R105" s="2" t="s">
        <v>936</v>
      </c>
      <c r="S105" s="2" t="s">
        <v>940</v>
      </c>
      <c r="T105" s="2" t="s">
        <v>1374</v>
      </c>
      <c r="U105" s="150">
        <v>3.7589999999999999</v>
      </c>
      <c r="V105" s="150">
        <v>517.06500000000005</v>
      </c>
      <c r="W105" s="150">
        <v>1943.6469999999999</v>
      </c>
      <c r="Y105" s="164">
        <v>4.2539190817305599E-3</v>
      </c>
      <c r="Z105" s="164">
        <v>8.3050891459776198E-4</v>
      </c>
    </row>
    <row r="106" spans="1:26">
      <c r="A106" s="2" t="s">
        <v>128</v>
      </c>
      <c r="B106" s="2">
        <v>7228</v>
      </c>
      <c r="C106" s="2" t="s">
        <v>2683</v>
      </c>
      <c r="D106" s="2" t="s">
        <v>2684</v>
      </c>
      <c r="E106" s="2" t="s">
        <v>358</v>
      </c>
      <c r="F106" s="2" t="s">
        <v>2687</v>
      </c>
      <c r="G106" s="2">
        <v>62002785</v>
      </c>
      <c r="H106" s="2" t="s">
        <v>34</v>
      </c>
      <c r="I106" s="2" t="s">
        <v>1069</v>
      </c>
      <c r="J106" s="2" t="s">
        <v>895</v>
      </c>
      <c r="K106" s="2" t="s">
        <v>31</v>
      </c>
      <c r="L106" s="2" t="s">
        <v>267</v>
      </c>
      <c r="M106" s="2" t="s">
        <v>31</v>
      </c>
      <c r="N106" s="2" t="s">
        <v>31</v>
      </c>
      <c r="O106" s="2" t="s">
        <v>164</v>
      </c>
      <c r="P106" t="s">
        <v>2688</v>
      </c>
      <c r="Q106" s="2" t="s">
        <v>99</v>
      </c>
      <c r="R106" s="2" t="s">
        <v>936</v>
      </c>
      <c r="S106" s="2" t="s">
        <v>940</v>
      </c>
      <c r="T106" s="2" t="s">
        <v>1374</v>
      </c>
      <c r="U106" s="150">
        <v>3.7589999999999999</v>
      </c>
      <c r="V106" s="150">
        <v>885.75599999999997</v>
      </c>
      <c r="W106" s="150">
        <v>3329.5569999999998</v>
      </c>
      <c r="Y106" s="164">
        <v>7.2871593799923497E-3</v>
      </c>
      <c r="Z106" s="164">
        <v>1.4227000351676299E-3</v>
      </c>
    </row>
    <row r="107" spans="1:26">
      <c r="A107" s="2" t="s">
        <v>128</v>
      </c>
      <c r="B107" s="2">
        <v>7228</v>
      </c>
      <c r="C107" s="2" t="s">
        <v>2683</v>
      </c>
      <c r="D107" s="2" t="s">
        <v>2684</v>
      </c>
      <c r="E107" s="2" t="s">
        <v>358</v>
      </c>
      <c r="F107" s="2" t="s">
        <v>2689</v>
      </c>
      <c r="G107" s="2">
        <v>62017827</v>
      </c>
      <c r="H107" s="2" t="s">
        <v>34</v>
      </c>
      <c r="I107" s="2" t="s">
        <v>1069</v>
      </c>
      <c r="J107" s="2" t="s">
        <v>895</v>
      </c>
      <c r="K107" s="2" t="s">
        <v>31</v>
      </c>
      <c r="L107" s="2" t="s">
        <v>267</v>
      </c>
      <c r="M107" s="2" t="s">
        <v>31</v>
      </c>
      <c r="N107" s="2" t="s">
        <v>31</v>
      </c>
      <c r="O107" s="2" t="s">
        <v>164</v>
      </c>
      <c r="P107" t="s">
        <v>2690</v>
      </c>
      <c r="Q107" s="2" t="s">
        <v>99</v>
      </c>
      <c r="R107" s="2" t="s">
        <v>936</v>
      </c>
      <c r="S107" s="2" t="s">
        <v>940</v>
      </c>
      <c r="T107" s="2" t="s">
        <v>1374</v>
      </c>
      <c r="U107" s="150">
        <v>3.7589999999999999</v>
      </c>
      <c r="V107" s="150">
        <v>320.24900000000002</v>
      </c>
      <c r="W107" s="150">
        <v>1203.816</v>
      </c>
      <c r="Y107" s="164">
        <v>2.63470356352196E-3</v>
      </c>
      <c r="Z107" s="164">
        <v>5.1438326747327496E-4</v>
      </c>
    </row>
    <row r="108" spans="1:26">
      <c r="A108" s="2" t="s">
        <v>128</v>
      </c>
      <c r="B108" s="2">
        <v>7228</v>
      </c>
      <c r="C108" s="2" t="s">
        <v>2683</v>
      </c>
      <c r="D108" s="2" t="s">
        <v>2684</v>
      </c>
      <c r="E108" s="2" t="s">
        <v>358</v>
      </c>
      <c r="F108" s="2" t="s">
        <v>2691</v>
      </c>
      <c r="G108" s="2">
        <v>62018247</v>
      </c>
      <c r="H108" s="2" t="s">
        <v>34</v>
      </c>
      <c r="I108" s="2" t="s">
        <v>1069</v>
      </c>
      <c r="J108" s="2" t="s">
        <v>895</v>
      </c>
      <c r="K108" s="2" t="s">
        <v>31</v>
      </c>
      <c r="L108" s="2" t="s">
        <v>267</v>
      </c>
      <c r="M108" s="2" t="s">
        <v>31</v>
      </c>
      <c r="N108" s="2" t="s">
        <v>31</v>
      </c>
      <c r="O108" s="2" t="s">
        <v>164</v>
      </c>
      <c r="P108" t="s">
        <v>2692</v>
      </c>
      <c r="Q108" s="2" t="s">
        <v>99</v>
      </c>
      <c r="R108" s="2" t="s">
        <v>936</v>
      </c>
      <c r="S108" s="2" t="s">
        <v>940</v>
      </c>
      <c r="T108" s="2" t="s">
        <v>1374</v>
      </c>
      <c r="U108" s="150">
        <v>3.7589999999999999</v>
      </c>
      <c r="V108" s="150">
        <v>802.67200000000003</v>
      </c>
      <c r="W108" s="150">
        <v>3017.2440000000001</v>
      </c>
      <c r="Y108" s="164">
        <v>6.60362251841521E-3</v>
      </c>
      <c r="Z108" s="164">
        <v>1.2892505157740899E-3</v>
      </c>
    </row>
    <row r="109" spans="1:26">
      <c r="A109" s="2" t="s">
        <v>128</v>
      </c>
      <c r="B109" s="2">
        <v>7228</v>
      </c>
      <c r="C109" s="2" t="s">
        <v>2693</v>
      </c>
      <c r="D109" s="2" t="s">
        <v>2694</v>
      </c>
      <c r="E109" s="2" t="s">
        <v>34</v>
      </c>
      <c r="F109" s="2" t="s">
        <v>2695</v>
      </c>
      <c r="G109" s="2">
        <v>62013487</v>
      </c>
      <c r="H109" s="2" t="s">
        <v>34</v>
      </c>
      <c r="I109" s="2" t="s">
        <v>1069</v>
      </c>
      <c r="J109" s="2" t="s">
        <v>877</v>
      </c>
      <c r="K109" s="2" t="s">
        <v>31</v>
      </c>
      <c r="L109" s="2" t="s">
        <v>31</v>
      </c>
      <c r="M109" s="2" t="s">
        <v>31</v>
      </c>
      <c r="N109" s="2" t="s">
        <v>31</v>
      </c>
      <c r="O109" s="2" t="s">
        <v>164</v>
      </c>
      <c r="P109" t="s">
        <v>2696</v>
      </c>
      <c r="Q109" s="2" t="s">
        <v>99</v>
      </c>
      <c r="R109" s="2" t="s">
        <v>936</v>
      </c>
      <c r="S109" s="2" t="s">
        <v>940</v>
      </c>
      <c r="T109" s="2" t="s">
        <v>2697</v>
      </c>
      <c r="U109" s="150">
        <v>3.7589999999999999</v>
      </c>
      <c r="V109" s="150">
        <v>642.01099999999997</v>
      </c>
      <c r="W109" s="150">
        <v>2413.3180000000002</v>
      </c>
      <c r="Y109" s="164">
        <v>5.2818529820623204E-3</v>
      </c>
      <c r="Z109" s="164">
        <v>1.0311963868887199E-3</v>
      </c>
    </row>
    <row r="110" spans="1:26">
      <c r="A110" s="2" t="s">
        <v>128</v>
      </c>
      <c r="B110" s="2">
        <v>7228</v>
      </c>
      <c r="C110" s="2" t="s">
        <v>2698</v>
      </c>
      <c r="D110" s="2" t="s">
        <v>2699</v>
      </c>
      <c r="E110" s="2" t="s">
        <v>34</v>
      </c>
      <c r="F110" s="2" t="s">
        <v>2700</v>
      </c>
      <c r="G110" s="2">
        <v>62017694</v>
      </c>
      <c r="H110" s="2" t="s">
        <v>34</v>
      </c>
      <c r="I110" s="2" t="s">
        <v>1069</v>
      </c>
      <c r="J110" s="2" t="s">
        <v>613</v>
      </c>
      <c r="K110" s="2" t="s">
        <v>31</v>
      </c>
      <c r="L110" s="2" t="s">
        <v>31</v>
      </c>
      <c r="M110" s="2" t="s">
        <v>31</v>
      </c>
      <c r="N110" s="2" t="s">
        <v>31</v>
      </c>
      <c r="O110" s="2" t="s">
        <v>164</v>
      </c>
      <c r="P110" t="s">
        <v>2701</v>
      </c>
      <c r="Q110" s="2" t="s">
        <v>99</v>
      </c>
      <c r="R110" s="2" t="s">
        <v>936</v>
      </c>
      <c r="S110" s="2" t="s">
        <v>940</v>
      </c>
      <c r="T110" s="2" t="s">
        <v>1374</v>
      </c>
      <c r="U110" s="150">
        <v>3.7589999999999999</v>
      </c>
      <c r="V110" s="150">
        <v>1896.3030000000001</v>
      </c>
      <c r="W110" s="150">
        <v>7128.2030000000004</v>
      </c>
      <c r="Y110" s="164">
        <v>1.56009776651735E-2</v>
      </c>
      <c r="Z110" s="164">
        <v>3.0458386204412998E-3</v>
      </c>
    </row>
    <row r="111" spans="1:26">
      <c r="A111" s="2" t="s">
        <v>128</v>
      </c>
      <c r="B111" s="2">
        <v>7228</v>
      </c>
      <c r="C111" s="2" t="s">
        <v>2702</v>
      </c>
      <c r="D111" s="2" t="s">
        <v>2703</v>
      </c>
      <c r="E111" s="2" t="s">
        <v>34</v>
      </c>
      <c r="F111" s="2" t="s">
        <v>2702</v>
      </c>
      <c r="G111" s="2">
        <v>62020375</v>
      </c>
      <c r="H111" s="2" t="s">
        <v>34</v>
      </c>
      <c r="I111" s="2" t="s">
        <v>1069</v>
      </c>
      <c r="J111" s="2" t="s">
        <v>893</v>
      </c>
      <c r="K111" s="2" t="s">
        <v>31</v>
      </c>
      <c r="L111" s="2" t="s">
        <v>31</v>
      </c>
      <c r="M111" s="2" t="s">
        <v>31</v>
      </c>
      <c r="N111" s="2" t="s">
        <v>31</v>
      </c>
      <c r="O111" s="2" t="s">
        <v>164</v>
      </c>
      <c r="P111" t="s">
        <v>2704</v>
      </c>
      <c r="Q111" s="2" t="s">
        <v>99</v>
      </c>
      <c r="R111" s="2" t="s">
        <v>203</v>
      </c>
      <c r="S111" s="2" t="s">
        <v>940</v>
      </c>
      <c r="T111" s="2" t="s">
        <v>1374</v>
      </c>
      <c r="U111" s="150">
        <v>3.7589999999999999</v>
      </c>
      <c r="V111" s="150">
        <v>681.00300000000004</v>
      </c>
      <c r="W111" s="150">
        <v>2559.89</v>
      </c>
      <c r="Y111" s="164">
        <v>5.6026439860806798E-3</v>
      </c>
      <c r="Z111" s="164">
        <v>1.0938256432147799E-3</v>
      </c>
    </row>
    <row r="112" spans="1:26">
      <c r="A112" s="2" t="s">
        <v>128</v>
      </c>
      <c r="B112" s="2">
        <v>7228</v>
      </c>
      <c r="C112" s="2" t="s">
        <v>2943</v>
      </c>
      <c r="D112" s="2" t="s">
        <v>2944</v>
      </c>
      <c r="E112" s="2" t="s">
        <v>361</v>
      </c>
      <c r="F112" s="2" t="s">
        <v>2945</v>
      </c>
      <c r="G112" s="2">
        <v>60346871</v>
      </c>
      <c r="H112" s="2" t="s">
        <v>34</v>
      </c>
      <c r="I112" s="2" t="s">
        <v>1069</v>
      </c>
      <c r="J112" s="2" t="s">
        <v>613</v>
      </c>
      <c r="K112" s="2" t="s">
        <v>31</v>
      </c>
      <c r="L112" s="2" t="s">
        <v>31</v>
      </c>
      <c r="M112" s="2" t="s">
        <v>31</v>
      </c>
      <c r="N112" s="2" t="s">
        <v>31</v>
      </c>
      <c r="O112" s="2" t="s">
        <v>164</v>
      </c>
      <c r="P112" t="s">
        <v>2686</v>
      </c>
      <c r="Q112" s="2" t="s">
        <v>99</v>
      </c>
      <c r="R112" s="2" t="s">
        <v>936</v>
      </c>
      <c r="S112" s="2" t="s">
        <v>940</v>
      </c>
      <c r="T112" s="2" t="s">
        <v>1374</v>
      </c>
      <c r="U112" s="150">
        <v>3.7589999999999999</v>
      </c>
      <c r="V112" s="150">
        <v>585</v>
      </c>
      <c r="W112" s="150">
        <v>2199.0160000000001</v>
      </c>
      <c r="Y112" s="164">
        <v>4.8128255240648104E-3</v>
      </c>
      <c r="Z112" s="164">
        <v>9.3962635991500496E-4</v>
      </c>
    </row>
    <row r="113" spans="1:26">
      <c r="A113" s="2" t="s">
        <v>128</v>
      </c>
      <c r="B113" s="2">
        <v>7228</v>
      </c>
      <c r="C113" s="2" t="s">
        <v>2705</v>
      </c>
      <c r="D113" s="2" t="s">
        <v>2706</v>
      </c>
      <c r="E113" s="2" t="s">
        <v>361</v>
      </c>
      <c r="F113" s="2" t="s">
        <v>2707</v>
      </c>
      <c r="G113" s="2">
        <v>62013024</v>
      </c>
      <c r="H113" s="2" t="s">
        <v>34</v>
      </c>
      <c r="I113" s="2" t="s">
        <v>1069</v>
      </c>
      <c r="J113" s="2" t="s">
        <v>613</v>
      </c>
      <c r="K113" s="2" t="s">
        <v>31</v>
      </c>
      <c r="L113" s="2" t="s">
        <v>267</v>
      </c>
      <c r="M113" s="2" t="s">
        <v>31</v>
      </c>
      <c r="N113" s="2" t="s">
        <v>31</v>
      </c>
      <c r="O113" s="2" t="s">
        <v>164</v>
      </c>
      <c r="P113" t="s">
        <v>2708</v>
      </c>
      <c r="Q113" s="2" t="s">
        <v>99</v>
      </c>
      <c r="R113" s="2" t="s">
        <v>203</v>
      </c>
      <c r="S113" s="2" t="s">
        <v>940</v>
      </c>
      <c r="T113" s="2" t="s">
        <v>1374</v>
      </c>
      <c r="U113" s="150">
        <v>3.7589999999999999</v>
      </c>
      <c r="V113" s="150">
        <v>572.01700000000005</v>
      </c>
      <c r="W113" s="150">
        <v>2150.212</v>
      </c>
      <c r="Y113" s="164">
        <v>4.7060122064557404E-3</v>
      </c>
      <c r="Z113" s="164">
        <v>9.1877278682916995E-4</v>
      </c>
    </row>
    <row r="114" spans="1:26">
      <c r="A114" s="2" t="s">
        <v>128</v>
      </c>
      <c r="B114" s="2">
        <v>7228</v>
      </c>
      <c r="C114" s="2" t="s">
        <v>2705</v>
      </c>
      <c r="D114" s="2" t="s">
        <v>2706</v>
      </c>
      <c r="E114" s="2" t="s">
        <v>361</v>
      </c>
      <c r="F114" s="2" t="s">
        <v>2946</v>
      </c>
      <c r="G114" s="2">
        <v>60382116</v>
      </c>
      <c r="H114" s="2" t="s">
        <v>34</v>
      </c>
      <c r="I114" s="2" t="s">
        <v>1069</v>
      </c>
      <c r="J114" s="2" t="s">
        <v>613</v>
      </c>
      <c r="K114" s="2" t="s">
        <v>31</v>
      </c>
      <c r="L114" s="2" t="s">
        <v>267</v>
      </c>
      <c r="M114" s="2" t="s">
        <v>31</v>
      </c>
      <c r="N114" s="2" t="s">
        <v>31</v>
      </c>
      <c r="O114" s="2" t="s">
        <v>164</v>
      </c>
      <c r="P114" t="s">
        <v>2947</v>
      </c>
      <c r="Q114" s="2" t="s">
        <v>99</v>
      </c>
      <c r="R114" s="2" t="s">
        <v>203</v>
      </c>
      <c r="S114" s="2" t="s">
        <v>940</v>
      </c>
      <c r="T114" s="2" t="s">
        <v>1374</v>
      </c>
      <c r="U114" s="150">
        <v>3.7589999999999999</v>
      </c>
      <c r="V114" s="150">
        <v>588.96299999999997</v>
      </c>
      <c r="W114" s="150">
        <v>2213.9119999999998</v>
      </c>
      <c r="Y114" s="164">
        <v>4.8454270380654703E-3</v>
      </c>
      <c r="Z114" s="164">
        <v>9.4599127835532499E-4</v>
      </c>
    </row>
    <row r="115" spans="1:26">
      <c r="A115" s="2" t="s">
        <v>128</v>
      </c>
      <c r="B115" s="2">
        <v>7228</v>
      </c>
      <c r="C115" s="2" t="s">
        <v>2709</v>
      </c>
      <c r="D115" s="2" t="s">
        <v>2710</v>
      </c>
      <c r="E115" s="2" t="s">
        <v>203</v>
      </c>
      <c r="F115" s="2" t="s">
        <v>2711</v>
      </c>
      <c r="G115" s="2">
        <v>60406600</v>
      </c>
      <c r="H115" s="2" t="s">
        <v>34</v>
      </c>
      <c r="I115" s="2" t="s">
        <v>1069</v>
      </c>
      <c r="J115" s="2" t="s">
        <v>876</v>
      </c>
      <c r="K115" s="2" t="s">
        <v>94</v>
      </c>
      <c r="L115" s="2" t="s">
        <v>267</v>
      </c>
      <c r="M115" s="2" t="s">
        <v>31</v>
      </c>
      <c r="N115" s="2" t="s">
        <v>31</v>
      </c>
      <c r="O115" s="2" t="s">
        <v>164</v>
      </c>
      <c r="P115" t="s">
        <v>2712</v>
      </c>
      <c r="Q115" s="2" t="s">
        <v>99</v>
      </c>
      <c r="R115" s="2" t="s">
        <v>936</v>
      </c>
      <c r="S115" s="2" t="s">
        <v>940</v>
      </c>
      <c r="T115" s="2" t="s">
        <v>1374</v>
      </c>
      <c r="U115" s="150">
        <v>3.7589999999999999</v>
      </c>
      <c r="V115" s="150">
        <v>2199.9</v>
      </c>
      <c r="W115" s="150">
        <v>8269.4240000000009</v>
      </c>
      <c r="Y115" s="164">
        <v>1.80986845115692E-2</v>
      </c>
      <c r="Z115" s="164">
        <v>3.5334754941402698E-3</v>
      </c>
    </row>
    <row r="116" spans="1:26">
      <c r="A116" s="2" t="s">
        <v>128</v>
      </c>
      <c r="B116" s="2">
        <v>7228</v>
      </c>
      <c r="C116" s="2" t="s">
        <v>2713</v>
      </c>
      <c r="D116" s="2" t="s">
        <v>2714</v>
      </c>
      <c r="E116" s="2" t="s">
        <v>203</v>
      </c>
      <c r="F116" s="2" t="s">
        <v>2715</v>
      </c>
      <c r="G116" s="2">
        <v>62009048</v>
      </c>
      <c r="H116" s="2" t="s">
        <v>34</v>
      </c>
      <c r="I116" s="2" t="s">
        <v>1069</v>
      </c>
      <c r="J116" s="2" t="s">
        <v>876</v>
      </c>
      <c r="K116" s="2" t="s">
        <v>94</v>
      </c>
      <c r="L116" s="2" t="s">
        <v>267</v>
      </c>
      <c r="M116" s="2" t="s">
        <v>31</v>
      </c>
      <c r="N116" s="2" t="s">
        <v>95</v>
      </c>
      <c r="O116" s="2" t="s">
        <v>164</v>
      </c>
      <c r="P116" t="s">
        <v>2716</v>
      </c>
      <c r="Q116" s="2" t="s">
        <v>99</v>
      </c>
      <c r="R116" s="2" t="s">
        <v>936</v>
      </c>
      <c r="S116" s="2" t="s">
        <v>940</v>
      </c>
      <c r="T116" s="2" t="s">
        <v>1374</v>
      </c>
      <c r="U116" s="150">
        <v>3.7589999999999999</v>
      </c>
      <c r="V116" s="150">
        <v>1175.5809999999999</v>
      </c>
      <c r="W116" s="150">
        <v>4419.01</v>
      </c>
      <c r="Y116" s="164">
        <v>9.6715650687212006E-3</v>
      </c>
      <c r="Z116" s="164">
        <v>1.88821668991823E-3</v>
      </c>
    </row>
    <row r="117" spans="1:26">
      <c r="A117" s="2" t="s">
        <v>128</v>
      </c>
      <c r="B117" s="2">
        <v>7228</v>
      </c>
      <c r="C117" s="2" t="s">
        <v>2717</v>
      </c>
      <c r="D117" s="2" t="s">
        <v>2718</v>
      </c>
      <c r="E117" s="2" t="s">
        <v>203</v>
      </c>
      <c r="F117" s="2" t="s">
        <v>2719</v>
      </c>
      <c r="G117" s="2">
        <v>62015334</v>
      </c>
      <c r="H117" s="2" t="s">
        <v>34</v>
      </c>
      <c r="I117" s="2" t="s">
        <v>1069</v>
      </c>
      <c r="J117" s="2" t="s">
        <v>876</v>
      </c>
      <c r="K117" s="2" t="s">
        <v>94</v>
      </c>
      <c r="L117" s="2" t="s">
        <v>267</v>
      </c>
      <c r="M117" s="2" t="s">
        <v>31</v>
      </c>
      <c r="N117" s="2" t="s">
        <v>31</v>
      </c>
      <c r="O117" s="2" t="s">
        <v>164</v>
      </c>
      <c r="P117" t="s">
        <v>2720</v>
      </c>
      <c r="Q117" s="2" t="s">
        <v>99</v>
      </c>
      <c r="R117" s="2" t="s">
        <v>936</v>
      </c>
      <c r="S117" s="2" t="s">
        <v>940</v>
      </c>
      <c r="T117" s="2" t="s">
        <v>1374</v>
      </c>
      <c r="U117" s="150">
        <v>3.7589999999999999</v>
      </c>
      <c r="V117" s="150">
        <v>1558.972</v>
      </c>
      <c r="W117" s="150">
        <v>5860.1760000000004</v>
      </c>
      <c r="Y117" s="164">
        <v>1.2825739663286401E-2</v>
      </c>
      <c r="Z117" s="164">
        <v>2.5040182763269902E-3</v>
      </c>
    </row>
    <row r="118" spans="1:26">
      <c r="A118" s="2" t="s">
        <v>128</v>
      </c>
      <c r="B118" s="2">
        <v>7228</v>
      </c>
      <c r="C118" s="2" t="s">
        <v>2721</v>
      </c>
      <c r="D118" s="2" t="s">
        <v>2722</v>
      </c>
      <c r="E118" s="2" t="s">
        <v>203</v>
      </c>
      <c r="F118" s="2" t="s">
        <v>2723</v>
      </c>
      <c r="G118" s="2">
        <v>62017835</v>
      </c>
      <c r="H118" s="2" t="s">
        <v>34</v>
      </c>
      <c r="I118" s="2" t="s">
        <v>1069</v>
      </c>
      <c r="J118" s="2" t="s">
        <v>876</v>
      </c>
      <c r="K118" s="2" t="s">
        <v>31</v>
      </c>
      <c r="L118" s="2" t="s">
        <v>95</v>
      </c>
      <c r="M118" s="2" t="s">
        <v>31</v>
      </c>
      <c r="N118" s="2" t="s">
        <v>31</v>
      </c>
      <c r="O118" s="2" t="s">
        <v>164</v>
      </c>
      <c r="P118" t="s">
        <v>2690</v>
      </c>
      <c r="Q118" s="2" t="s">
        <v>99</v>
      </c>
      <c r="R118" s="2" t="s">
        <v>203</v>
      </c>
      <c r="S118" s="2" t="s">
        <v>940</v>
      </c>
      <c r="T118" s="2" t="s">
        <v>1374</v>
      </c>
      <c r="U118" s="150">
        <v>3.7589999999999999</v>
      </c>
      <c r="V118" s="150">
        <v>637.02599999999995</v>
      </c>
      <c r="W118" s="150">
        <v>2394.58</v>
      </c>
      <c r="Y118" s="164">
        <v>5.24084344646218E-3</v>
      </c>
      <c r="Z118" s="164">
        <v>1.02318993818928E-3</v>
      </c>
    </row>
    <row r="119" spans="1:26">
      <c r="A119" s="2" t="s">
        <v>128</v>
      </c>
      <c r="B119" s="2">
        <v>7228</v>
      </c>
      <c r="C119" s="2" t="s">
        <v>2724</v>
      </c>
      <c r="D119" s="2" t="s">
        <v>2725</v>
      </c>
      <c r="E119" s="2" t="s">
        <v>203</v>
      </c>
      <c r="F119" s="2" t="s">
        <v>2726</v>
      </c>
      <c r="G119" s="2">
        <v>62020011</v>
      </c>
      <c r="H119" s="2" t="s">
        <v>34</v>
      </c>
      <c r="I119" s="2" t="s">
        <v>1069</v>
      </c>
      <c r="J119" s="2" t="s">
        <v>876</v>
      </c>
      <c r="K119" s="2" t="s">
        <v>94</v>
      </c>
      <c r="L119" s="2" t="s">
        <v>95</v>
      </c>
      <c r="M119" s="2" t="s">
        <v>31</v>
      </c>
      <c r="N119" s="2" t="s">
        <v>31</v>
      </c>
      <c r="O119" s="2" t="s">
        <v>164</v>
      </c>
      <c r="P119" t="s">
        <v>2727</v>
      </c>
      <c r="Q119" s="2" t="s">
        <v>99</v>
      </c>
      <c r="R119" s="2" t="s">
        <v>936</v>
      </c>
      <c r="S119" s="2" t="s">
        <v>940</v>
      </c>
      <c r="T119" s="2" t="s">
        <v>1374</v>
      </c>
      <c r="U119" s="150">
        <v>3.7589999999999999</v>
      </c>
      <c r="V119" s="150">
        <v>442.04500000000002</v>
      </c>
      <c r="W119" s="150">
        <v>1661.6479999999999</v>
      </c>
      <c r="Y119" s="164">
        <v>3.6367276606189699E-3</v>
      </c>
      <c r="Z119" s="164">
        <v>7.1001226964561702E-4</v>
      </c>
    </row>
    <row r="120" spans="1:26">
      <c r="A120" s="2" t="s">
        <v>128</v>
      </c>
      <c r="B120" s="2">
        <v>7228</v>
      </c>
      <c r="C120" s="2" t="s">
        <v>2728</v>
      </c>
      <c r="D120" s="2" t="s">
        <v>2729</v>
      </c>
      <c r="E120" s="2" t="s">
        <v>203</v>
      </c>
      <c r="F120" s="2" t="s">
        <v>2730</v>
      </c>
      <c r="G120" s="2">
        <v>62020748</v>
      </c>
      <c r="H120" s="2" t="s">
        <v>34</v>
      </c>
      <c r="I120" s="2" t="s">
        <v>1069</v>
      </c>
      <c r="J120" s="2" t="s">
        <v>876</v>
      </c>
      <c r="K120" s="2" t="s">
        <v>94</v>
      </c>
      <c r="L120" s="2" t="s">
        <v>95</v>
      </c>
      <c r="M120" s="2" t="s">
        <v>31</v>
      </c>
      <c r="N120" s="2" t="s">
        <v>95</v>
      </c>
      <c r="O120" s="2" t="s">
        <v>164</v>
      </c>
      <c r="P120" t="s">
        <v>2731</v>
      </c>
      <c r="Q120" s="2" t="s">
        <v>99</v>
      </c>
      <c r="R120" s="2" t="s">
        <v>203</v>
      </c>
      <c r="S120" s="2" t="s">
        <v>940</v>
      </c>
      <c r="T120" s="2" t="s">
        <v>1374</v>
      </c>
      <c r="U120" s="150">
        <v>3.7589999999999999</v>
      </c>
      <c r="V120" s="150">
        <v>178.32599999999999</v>
      </c>
      <c r="W120" s="150">
        <v>670.327</v>
      </c>
      <c r="Y120" s="164">
        <v>1.4670967367133401E-3</v>
      </c>
      <c r="Z120" s="164">
        <v>2.8642691480676598E-4</v>
      </c>
    </row>
    <row r="121" spans="1:26">
      <c r="A121" s="2" t="s">
        <v>128</v>
      </c>
      <c r="B121" s="2">
        <v>7228</v>
      </c>
      <c r="C121" s="2" t="s">
        <v>2948</v>
      </c>
      <c r="D121" s="2" t="s">
        <v>2949</v>
      </c>
      <c r="E121" s="2" t="s">
        <v>203</v>
      </c>
      <c r="F121" s="2" t="s">
        <v>2948</v>
      </c>
      <c r="G121" s="2">
        <v>60297512</v>
      </c>
      <c r="H121" s="2" t="s">
        <v>34</v>
      </c>
      <c r="I121" s="2" t="s">
        <v>1069</v>
      </c>
      <c r="J121" s="2" t="s">
        <v>895</v>
      </c>
      <c r="K121" s="2" t="s">
        <v>31</v>
      </c>
      <c r="L121" s="2" t="s">
        <v>31</v>
      </c>
      <c r="M121" s="2" t="s">
        <v>31</v>
      </c>
      <c r="N121" s="2" t="s">
        <v>31</v>
      </c>
      <c r="O121" s="2" t="s">
        <v>164</v>
      </c>
      <c r="P121" t="s">
        <v>2686</v>
      </c>
      <c r="Q121" s="2" t="s">
        <v>99</v>
      </c>
      <c r="R121" s="2" t="s">
        <v>936</v>
      </c>
      <c r="S121" s="2" t="s">
        <v>940</v>
      </c>
      <c r="T121" s="2" t="s">
        <v>1374</v>
      </c>
      <c r="U121" s="150">
        <v>3.7589999999999999</v>
      </c>
      <c r="V121" s="150">
        <v>237.393</v>
      </c>
      <c r="W121" s="150">
        <v>892.36</v>
      </c>
      <c r="Y121" s="164">
        <v>1.9530438389163099E-3</v>
      </c>
      <c r="Z121" s="164">
        <v>3.8130022872000002E-4</v>
      </c>
    </row>
    <row r="122" spans="1:26">
      <c r="A122" s="2" t="s">
        <v>128</v>
      </c>
      <c r="B122" s="2">
        <v>7228</v>
      </c>
      <c r="C122" s="2" t="s">
        <v>2732</v>
      </c>
      <c r="E122" s="2" t="s">
        <v>203</v>
      </c>
      <c r="F122" s="2" t="s">
        <v>2733</v>
      </c>
      <c r="G122" s="2">
        <v>62015151</v>
      </c>
      <c r="H122" s="2" t="s">
        <v>34</v>
      </c>
      <c r="I122" s="2" t="s">
        <v>1069</v>
      </c>
      <c r="J122" s="2" t="s">
        <v>895</v>
      </c>
      <c r="K122" s="2" t="s">
        <v>94</v>
      </c>
      <c r="L122" s="2" t="s">
        <v>95</v>
      </c>
      <c r="M122" s="2" t="s">
        <v>31</v>
      </c>
      <c r="N122" s="2" t="s">
        <v>31</v>
      </c>
      <c r="O122" s="2" t="s">
        <v>164</v>
      </c>
      <c r="P122" t="s">
        <v>2734</v>
      </c>
      <c r="Q122" s="2" t="s">
        <v>99</v>
      </c>
      <c r="R122" s="2" t="s">
        <v>936</v>
      </c>
      <c r="S122" s="2" t="s">
        <v>940</v>
      </c>
      <c r="T122" s="2" t="s">
        <v>1374</v>
      </c>
      <c r="U122" s="150">
        <v>3.7589999999999999</v>
      </c>
      <c r="V122" s="150">
        <v>691.40700000000004</v>
      </c>
      <c r="W122" s="150">
        <v>2598.998</v>
      </c>
      <c r="Y122" s="164">
        <v>5.6882380212434098E-3</v>
      </c>
      <c r="Z122" s="164">
        <v>1.11053649451995E-3</v>
      </c>
    </row>
    <row r="123" spans="1:26">
      <c r="A123" s="2" t="s">
        <v>128</v>
      </c>
      <c r="B123" s="2">
        <v>7228</v>
      </c>
      <c r="C123" s="2" t="s">
        <v>2950</v>
      </c>
      <c r="D123" s="2" t="s">
        <v>2951</v>
      </c>
      <c r="E123" s="2" t="s">
        <v>203</v>
      </c>
      <c r="F123" s="2" t="s">
        <v>2952</v>
      </c>
      <c r="G123" s="2">
        <v>60335908</v>
      </c>
      <c r="H123" s="2" t="s">
        <v>34</v>
      </c>
      <c r="I123" s="2" t="s">
        <v>1069</v>
      </c>
      <c r="J123" s="2" t="s">
        <v>897</v>
      </c>
      <c r="K123" s="2" t="s">
        <v>31</v>
      </c>
      <c r="L123" s="2" t="s">
        <v>31</v>
      </c>
      <c r="M123" s="2" t="s">
        <v>31</v>
      </c>
      <c r="N123" s="2" t="s">
        <v>31</v>
      </c>
      <c r="O123" s="2" t="s">
        <v>164</v>
      </c>
      <c r="P123" t="s">
        <v>2686</v>
      </c>
      <c r="Q123" s="2" t="s">
        <v>99</v>
      </c>
      <c r="R123" s="2" t="s">
        <v>936</v>
      </c>
      <c r="S123" s="2" t="s">
        <v>940</v>
      </c>
      <c r="T123" s="2" t="s">
        <v>1374</v>
      </c>
      <c r="U123" s="150">
        <v>3.7589999999999999</v>
      </c>
      <c r="V123" s="150">
        <v>235.16200000000001</v>
      </c>
      <c r="W123" s="150">
        <v>883.97299999999996</v>
      </c>
      <c r="Y123" s="164">
        <v>1.9346878231061601E-3</v>
      </c>
      <c r="Z123" s="164">
        <v>3.7771651345087302E-4</v>
      </c>
    </row>
    <row r="124" spans="1:26">
      <c r="A124" s="2" t="s">
        <v>128</v>
      </c>
      <c r="B124" s="2">
        <v>7228</v>
      </c>
      <c r="C124" s="2" t="s">
        <v>2732</v>
      </c>
      <c r="E124" s="2" t="s">
        <v>203</v>
      </c>
      <c r="F124" s="2" t="s">
        <v>2735</v>
      </c>
      <c r="G124" s="2">
        <v>62007349</v>
      </c>
      <c r="H124" s="2" t="s">
        <v>34</v>
      </c>
      <c r="I124" s="2" t="s">
        <v>1069</v>
      </c>
      <c r="J124" s="2" t="s">
        <v>897</v>
      </c>
      <c r="K124" s="2" t="s">
        <v>94</v>
      </c>
      <c r="L124" s="2" t="s">
        <v>267</v>
      </c>
      <c r="M124" s="2" t="s">
        <v>31</v>
      </c>
      <c r="N124" s="2" t="s">
        <v>31</v>
      </c>
      <c r="O124" s="2" t="s">
        <v>164</v>
      </c>
      <c r="P124" t="s">
        <v>2953</v>
      </c>
      <c r="Q124" s="2" t="s">
        <v>99</v>
      </c>
      <c r="R124" s="2" t="s">
        <v>936</v>
      </c>
      <c r="S124" s="2" t="s">
        <v>940</v>
      </c>
      <c r="T124" s="2" t="s">
        <v>1374</v>
      </c>
      <c r="U124" s="150">
        <v>3.7589999999999999</v>
      </c>
      <c r="V124" s="150">
        <v>972.44399999999996</v>
      </c>
      <c r="W124" s="150">
        <v>3655.4180000000001</v>
      </c>
      <c r="Y124" s="164">
        <v>8.0003456590920299E-3</v>
      </c>
      <c r="Z124" s="164">
        <v>1.56193812389972E-3</v>
      </c>
    </row>
    <row r="125" spans="1:26">
      <c r="A125" s="2" t="s">
        <v>128</v>
      </c>
      <c r="B125" s="2">
        <v>7228</v>
      </c>
      <c r="C125" s="2" t="s">
        <v>2737</v>
      </c>
      <c r="D125" s="2" t="s">
        <v>2738</v>
      </c>
      <c r="E125" s="2" t="s">
        <v>203</v>
      </c>
      <c r="F125" s="2" t="s">
        <v>2739</v>
      </c>
      <c r="G125" s="2">
        <v>62020755</v>
      </c>
      <c r="H125" s="2" t="s">
        <v>34</v>
      </c>
      <c r="I125" s="2" t="s">
        <v>1069</v>
      </c>
      <c r="J125" s="2" t="s">
        <v>897</v>
      </c>
      <c r="K125" s="2" t="s">
        <v>94</v>
      </c>
      <c r="L125" s="2" t="s">
        <v>95</v>
      </c>
      <c r="M125" s="2" t="s">
        <v>31</v>
      </c>
      <c r="N125" s="2" t="s">
        <v>31</v>
      </c>
      <c r="O125" s="2" t="s">
        <v>164</v>
      </c>
      <c r="P125" t="s">
        <v>2731</v>
      </c>
      <c r="Q125" s="2" t="s">
        <v>99</v>
      </c>
      <c r="R125" s="2" t="s">
        <v>203</v>
      </c>
      <c r="S125" s="2" t="s">
        <v>940</v>
      </c>
      <c r="T125" s="2" t="s">
        <v>1374</v>
      </c>
      <c r="U125" s="150">
        <v>3.7589999999999999</v>
      </c>
      <c r="V125" s="150">
        <v>496.98899999999998</v>
      </c>
      <c r="W125" s="150">
        <v>1868.182</v>
      </c>
      <c r="Y125" s="164">
        <v>4.0887528463736502E-3</v>
      </c>
      <c r="Z125" s="164">
        <v>7.98262877891614E-4</v>
      </c>
    </row>
    <row r="126" spans="1:26">
      <c r="A126" s="2" t="s">
        <v>128</v>
      </c>
      <c r="B126" s="2">
        <v>7228</v>
      </c>
      <c r="C126" s="2" t="s">
        <v>2954</v>
      </c>
      <c r="D126" s="2" t="s">
        <v>2955</v>
      </c>
      <c r="E126" s="2" t="s">
        <v>34</v>
      </c>
      <c r="F126" s="2" t="s">
        <v>2956</v>
      </c>
      <c r="G126" s="2">
        <v>9840809</v>
      </c>
      <c r="H126" s="2" t="s">
        <v>34</v>
      </c>
      <c r="I126" s="2" t="s">
        <v>1069</v>
      </c>
      <c r="J126" s="2" t="s">
        <v>613</v>
      </c>
      <c r="K126" s="2" t="s">
        <v>94</v>
      </c>
      <c r="L126" s="2" t="s">
        <v>267</v>
      </c>
      <c r="M126" s="2" t="s">
        <v>31</v>
      </c>
      <c r="N126" s="2" t="s">
        <v>31</v>
      </c>
      <c r="O126" s="2" t="s">
        <v>164</v>
      </c>
      <c r="P126" t="s">
        <v>2686</v>
      </c>
      <c r="Q126" s="2" t="s">
        <v>99</v>
      </c>
      <c r="R126" s="2" t="s">
        <v>936</v>
      </c>
      <c r="S126" s="2" t="s">
        <v>940</v>
      </c>
      <c r="T126" s="2" t="s">
        <v>1374</v>
      </c>
      <c r="U126" s="150">
        <v>3.7589999999999999</v>
      </c>
      <c r="V126" s="150">
        <v>330.30599999999998</v>
      </c>
      <c r="W126" s="150">
        <v>1241.6220000000001</v>
      </c>
      <c r="Y126" s="164">
        <v>2.71744734312646E-3</v>
      </c>
      <c r="Z126" s="164">
        <v>5.3053765246949595E-4</v>
      </c>
    </row>
    <row r="127" spans="1:26">
      <c r="A127" s="2" t="s">
        <v>128</v>
      </c>
      <c r="B127" s="2">
        <v>7228</v>
      </c>
      <c r="C127" s="2" t="s">
        <v>2740</v>
      </c>
      <c r="D127" s="2" t="s">
        <v>2741</v>
      </c>
      <c r="E127" s="2" t="s">
        <v>1376</v>
      </c>
      <c r="F127" s="2" t="s">
        <v>2957</v>
      </c>
      <c r="G127" s="2">
        <v>50007376</v>
      </c>
      <c r="H127" s="2" t="s">
        <v>34</v>
      </c>
      <c r="I127" s="2" t="s">
        <v>1071</v>
      </c>
      <c r="J127" s="2" t="s">
        <v>613</v>
      </c>
      <c r="K127" s="2" t="s">
        <v>31</v>
      </c>
      <c r="L127" s="2" t="s">
        <v>267</v>
      </c>
      <c r="M127" s="2" t="s">
        <v>31</v>
      </c>
      <c r="N127" s="2" t="s">
        <v>31</v>
      </c>
      <c r="O127" s="2" t="s">
        <v>164</v>
      </c>
      <c r="P127" t="s">
        <v>2958</v>
      </c>
      <c r="Q127" s="2" t="s">
        <v>35</v>
      </c>
      <c r="R127" s="2" t="s">
        <v>936</v>
      </c>
      <c r="S127" s="2" t="s">
        <v>940</v>
      </c>
      <c r="T127" s="2" t="s">
        <v>1374</v>
      </c>
      <c r="U127" s="150">
        <v>1</v>
      </c>
      <c r="V127" s="150">
        <v>11667.614</v>
      </c>
      <c r="W127" s="150">
        <v>11667.614</v>
      </c>
      <c r="Y127" s="164">
        <v>2.5536055169525701E-2</v>
      </c>
      <c r="Z127" s="164">
        <v>4.9855018524056303E-3</v>
      </c>
    </row>
    <row r="128" spans="1:26">
      <c r="A128" s="2" t="s">
        <v>128</v>
      </c>
      <c r="B128" s="2">
        <v>7228</v>
      </c>
      <c r="C128" s="2" t="s">
        <v>2744</v>
      </c>
      <c r="D128" s="2" t="s">
        <v>2745</v>
      </c>
      <c r="E128" s="2" t="s">
        <v>1376</v>
      </c>
      <c r="F128" s="2" t="s">
        <v>2746</v>
      </c>
      <c r="G128" s="2">
        <v>50007004</v>
      </c>
      <c r="H128" s="2" t="s">
        <v>34</v>
      </c>
      <c r="I128" s="2" t="s">
        <v>1069</v>
      </c>
      <c r="J128" s="2" t="s">
        <v>880</v>
      </c>
      <c r="K128" s="2" t="s">
        <v>31</v>
      </c>
      <c r="L128" s="2" t="s">
        <v>31</v>
      </c>
      <c r="M128" s="2" t="s">
        <v>31</v>
      </c>
      <c r="N128" s="2" t="s">
        <v>31</v>
      </c>
      <c r="O128" s="2" t="s">
        <v>164</v>
      </c>
      <c r="P128" t="s">
        <v>2747</v>
      </c>
      <c r="Q128" s="2" t="s">
        <v>35</v>
      </c>
      <c r="R128" s="2" t="s">
        <v>936</v>
      </c>
      <c r="S128" s="2" t="s">
        <v>940</v>
      </c>
      <c r="T128" s="2" t="s">
        <v>1374</v>
      </c>
      <c r="U128" s="150">
        <v>1</v>
      </c>
      <c r="V128" s="150">
        <v>4930.4830000000002</v>
      </c>
      <c r="W128" s="150">
        <v>4930.4830000000002</v>
      </c>
      <c r="Y128" s="164">
        <v>1.07909889539206E-2</v>
      </c>
      <c r="Z128" s="164">
        <v>2.1067661023564002E-3</v>
      </c>
    </row>
    <row r="129" spans="1:26">
      <c r="A129" s="2" t="s">
        <v>128</v>
      </c>
      <c r="B129" s="2">
        <v>7228</v>
      </c>
      <c r="C129" s="2" t="s">
        <v>2748</v>
      </c>
      <c r="D129" s="2" t="s">
        <v>2749</v>
      </c>
      <c r="E129" s="2" t="s">
        <v>1376</v>
      </c>
      <c r="F129" s="2" t="s">
        <v>2748</v>
      </c>
      <c r="G129" s="2">
        <v>50007350</v>
      </c>
      <c r="H129" s="2" t="s">
        <v>34</v>
      </c>
      <c r="I129" s="2" t="s">
        <v>1069</v>
      </c>
      <c r="J129" s="2" t="s">
        <v>888</v>
      </c>
      <c r="K129" s="2" t="s">
        <v>31</v>
      </c>
      <c r="L129" s="2" t="s">
        <v>31</v>
      </c>
      <c r="M129" s="2" t="s">
        <v>31</v>
      </c>
      <c r="N129" s="2" t="s">
        <v>31</v>
      </c>
      <c r="O129" s="2" t="s">
        <v>164</v>
      </c>
      <c r="P129" t="s">
        <v>2750</v>
      </c>
      <c r="Q129" s="2" t="s">
        <v>35</v>
      </c>
      <c r="R129" s="2" t="s">
        <v>203</v>
      </c>
      <c r="S129" s="2" t="s">
        <v>940</v>
      </c>
      <c r="T129" s="2" t="s">
        <v>1374</v>
      </c>
      <c r="U129" s="150">
        <v>1</v>
      </c>
      <c r="V129" s="150">
        <v>6137.0119999999997</v>
      </c>
      <c r="W129" s="150">
        <v>6137.0119999999997</v>
      </c>
      <c r="Y129" s="164">
        <v>1.34316296853586E-2</v>
      </c>
      <c r="Z129" s="164">
        <v>2.6223085058609502E-3</v>
      </c>
    </row>
    <row r="130" spans="1:26">
      <c r="A130" s="2" t="s">
        <v>128</v>
      </c>
      <c r="B130" s="2">
        <v>7228</v>
      </c>
      <c r="C130" s="2" t="s">
        <v>2959</v>
      </c>
      <c r="D130" s="2" t="s">
        <v>2960</v>
      </c>
      <c r="E130" s="2" t="s">
        <v>1376</v>
      </c>
      <c r="F130" s="2" t="s">
        <v>2961</v>
      </c>
      <c r="G130" s="2">
        <v>26427</v>
      </c>
      <c r="H130" s="2" t="s">
        <v>34</v>
      </c>
      <c r="I130" s="2" t="s">
        <v>1069</v>
      </c>
      <c r="J130" s="2" t="s">
        <v>889</v>
      </c>
      <c r="K130" s="2" t="s">
        <v>31</v>
      </c>
      <c r="L130" s="2" t="s">
        <v>31</v>
      </c>
      <c r="M130" s="2" t="s">
        <v>31</v>
      </c>
      <c r="N130" s="2" t="s">
        <v>31</v>
      </c>
      <c r="O130" s="2" t="s">
        <v>164</v>
      </c>
      <c r="P130" t="s">
        <v>2686</v>
      </c>
      <c r="Q130" s="2" t="s">
        <v>35</v>
      </c>
      <c r="R130" s="2" t="s">
        <v>936</v>
      </c>
      <c r="S130" s="2" t="s">
        <v>940</v>
      </c>
      <c r="T130" s="2" t="s">
        <v>1374</v>
      </c>
      <c r="U130" s="150">
        <v>1</v>
      </c>
      <c r="V130" s="150">
        <v>8.6129999999999995</v>
      </c>
      <c r="W130" s="150">
        <v>8.6129999999999995</v>
      </c>
      <c r="Y130" s="164">
        <v>1.8851684445385401E-5</v>
      </c>
      <c r="Z130" s="164">
        <v>3.6804865551667302E-6</v>
      </c>
    </row>
    <row r="131" spans="1:26">
      <c r="A131" s="2" t="s">
        <v>128</v>
      </c>
      <c r="B131" s="2">
        <v>7228</v>
      </c>
      <c r="C131" s="2" t="s">
        <v>2644</v>
      </c>
      <c r="D131" s="2" t="s">
        <v>2645</v>
      </c>
      <c r="E131" s="2" t="s">
        <v>359</v>
      </c>
      <c r="F131" s="2" t="s">
        <v>2962</v>
      </c>
      <c r="G131" s="2">
        <v>9840906</v>
      </c>
      <c r="H131" s="2" t="s">
        <v>34</v>
      </c>
      <c r="I131" s="2" t="s">
        <v>1069</v>
      </c>
      <c r="J131" s="2" t="s">
        <v>613</v>
      </c>
      <c r="K131" s="2" t="s">
        <v>31</v>
      </c>
      <c r="L131" s="2" t="s">
        <v>31</v>
      </c>
      <c r="M131" s="2" t="s">
        <v>31</v>
      </c>
      <c r="N131" s="2" t="s">
        <v>31</v>
      </c>
      <c r="O131" s="2" t="s">
        <v>164</v>
      </c>
      <c r="P131" t="s">
        <v>2686</v>
      </c>
      <c r="Q131" s="2" t="s">
        <v>99</v>
      </c>
      <c r="R131" s="2" t="s">
        <v>936</v>
      </c>
      <c r="S131" s="2" t="s">
        <v>940</v>
      </c>
      <c r="T131" s="2" t="s">
        <v>1374</v>
      </c>
      <c r="U131" s="150">
        <v>3.7589999999999999</v>
      </c>
      <c r="V131" s="150">
        <v>23.065000000000001</v>
      </c>
      <c r="W131" s="150">
        <v>86.703000000000003</v>
      </c>
      <c r="Y131" s="164">
        <v>1.89759851766206E-4</v>
      </c>
      <c r="Z131" s="164">
        <v>3.7047542629906001E-5</v>
      </c>
    </row>
    <row r="132" spans="1:26">
      <c r="A132" s="2" t="s">
        <v>128</v>
      </c>
      <c r="B132" s="2">
        <v>7228</v>
      </c>
      <c r="C132" s="2" t="s">
        <v>2644</v>
      </c>
      <c r="D132" s="2" t="s">
        <v>2645</v>
      </c>
      <c r="E132" s="2" t="s">
        <v>359</v>
      </c>
      <c r="F132" s="2" t="s">
        <v>2963</v>
      </c>
      <c r="G132" s="2">
        <v>9840909</v>
      </c>
      <c r="H132" s="2" t="s">
        <v>34</v>
      </c>
      <c r="I132" s="2" t="s">
        <v>1069</v>
      </c>
      <c r="J132" s="2" t="s">
        <v>613</v>
      </c>
      <c r="K132" s="2" t="s">
        <v>31</v>
      </c>
      <c r="L132" s="2" t="s">
        <v>31</v>
      </c>
      <c r="M132" s="2" t="s">
        <v>31</v>
      </c>
      <c r="N132" s="2" t="s">
        <v>31</v>
      </c>
      <c r="O132" s="2" t="s">
        <v>164</v>
      </c>
      <c r="P132" t="s">
        <v>2686</v>
      </c>
      <c r="Q132" s="2" t="s">
        <v>99</v>
      </c>
      <c r="R132" s="2" t="s">
        <v>936</v>
      </c>
      <c r="S132" s="2" t="s">
        <v>940</v>
      </c>
      <c r="T132" s="2" t="s">
        <v>1374</v>
      </c>
      <c r="U132" s="150">
        <v>3.7589999999999999</v>
      </c>
      <c r="V132" s="150">
        <v>47.191000000000003</v>
      </c>
      <c r="W132" s="150">
        <v>177.39099999999999</v>
      </c>
      <c r="Y132" s="164">
        <v>3.8824363454912101E-4</v>
      </c>
      <c r="Z132" s="164">
        <v>7.5798291724370797E-5</v>
      </c>
    </row>
    <row r="133" spans="1:26">
      <c r="A133" s="2" t="s">
        <v>128</v>
      </c>
      <c r="B133" s="2">
        <v>7228</v>
      </c>
      <c r="C133" s="2" t="s">
        <v>2644</v>
      </c>
      <c r="D133" s="2" t="s">
        <v>2645</v>
      </c>
      <c r="E133" s="2" t="s">
        <v>359</v>
      </c>
      <c r="F133" s="2" t="s">
        <v>2751</v>
      </c>
      <c r="G133" s="2">
        <v>60400892</v>
      </c>
      <c r="H133" s="2" t="s">
        <v>34</v>
      </c>
      <c r="I133" s="2" t="s">
        <v>1069</v>
      </c>
      <c r="J133" s="2" t="s">
        <v>613</v>
      </c>
      <c r="K133" s="2" t="s">
        <v>31</v>
      </c>
      <c r="L133" s="2" t="s">
        <v>31</v>
      </c>
      <c r="M133" s="2" t="s">
        <v>31</v>
      </c>
      <c r="N133" s="2" t="s">
        <v>31</v>
      </c>
      <c r="O133" s="2" t="s">
        <v>164</v>
      </c>
      <c r="P133" t="s">
        <v>2752</v>
      </c>
      <c r="Q133" s="2" t="s">
        <v>99</v>
      </c>
      <c r="R133" s="2" t="s">
        <v>936</v>
      </c>
      <c r="S133" s="2" t="s">
        <v>940</v>
      </c>
      <c r="T133" s="2" t="s">
        <v>1374</v>
      </c>
      <c r="U133" s="150">
        <v>3.7589999999999999</v>
      </c>
      <c r="V133" s="150">
        <v>2488.1860000000001</v>
      </c>
      <c r="W133" s="150">
        <v>9353.0910000000003</v>
      </c>
      <c r="Y133" s="164">
        <v>2.0470427072231501E-2</v>
      </c>
      <c r="Z133" s="164">
        <v>3.99651987789937E-3</v>
      </c>
    </row>
    <row r="134" spans="1:26">
      <c r="A134" s="2" t="s">
        <v>128</v>
      </c>
      <c r="B134" s="2">
        <v>7228</v>
      </c>
      <c r="C134" s="2" t="s">
        <v>2964</v>
      </c>
      <c r="D134" s="2" t="s">
        <v>2965</v>
      </c>
      <c r="E134" s="2" t="s">
        <v>1376</v>
      </c>
      <c r="F134" s="2" t="s">
        <v>2966</v>
      </c>
      <c r="G134" s="2">
        <v>9840913</v>
      </c>
      <c r="H134" s="2" t="s">
        <v>34</v>
      </c>
      <c r="I134" s="2" t="s">
        <v>1069</v>
      </c>
      <c r="J134" s="2" t="s">
        <v>882</v>
      </c>
      <c r="K134" s="2" t="s">
        <v>31</v>
      </c>
      <c r="L134" s="2" t="s">
        <v>31</v>
      </c>
      <c r="M134" s="2" t="s">
        <v>31</v>
      </c>
      <c r="N134" s="2" t="s">
        <v>31</v>
      </c>
      <c r="O134" s="2" t="s">
        <v>164</v>
      </c>
      <c r="P134" t="s">
        <v>2686</v>
      </c>
      <c r="Q134" s="2" t="s">
        <v>99</v>
      </c>
      <c r="R134" s="2" t="s">
        <v>936</v>
      </c>
      <c r="S134" s="2" t="s">
        <v>940</v>
      </c>
      <c r="T134" s="2" t="s">
        <v>1374</v>
      </c>
      <c r="U134" s="150">
        <v>3.7589999999999999</v>
      </c>
      <c r="V134" s="150">
        <v>6.81</v>
      </c>
      <c r="W134" s="150">
        <v>25.599</v>
      </c>
      <c r="Y134" s="164">
        <v>5.6027127997839301E-5</v>
      </c>
      <c r="Z134" s="164">
        <v>1.09383907797761E-5</v>
      </c>
    </row>
    <row r="135" spans="1:26">
      <c r="A135" s="2" t="s">
        <v>128</v>
      </c>
      <c r="B135" s="2">
        <v>7228</v>
      </c>
      <c r="C135" s="2" t="s">
        <v>2967</v>
      </c>
      <c r="E135" s="2" t="s">
        <v>203</v>
      </c>
      <c r="F135" s="2" t="s">
        <v>2968</v>
      </c>
      <c r="G135" s="2">
        <v>9840922</v>
      </c>
      <c r="H135" s="2" t="s">
        <v>34</v>
      </c>
      <c r="I135" s="2" t="s">
        <v>1069</v>
      </c>
      <c r="J135" s="2" t="s">
        <v>883</v>
      </c>
      <c r="K135" s="2" t="s">
        <v>31</v>
      </c>
      <c r="L135" s="2" t="s">
        <v>31</v>
      </c>
      <c r="M135" s="2" t="s">
        <v>31</v>
      </c>
      <c r="N135" s="2" t="s">
        <v>31</v>
      </c>
      <c r="O135" s="2" t="s">
        <v>164</v>
      </c>
      <c r="P135" t="s">
        <v>2686</v>
      </c>
      <c r="Q135" s="2" t="s">
        <v>99</v>
      </c>
      <c r="R135" s="2" t="s">
        <v>936</v>
      </c>
      <c r="S135" s="2" t="s">
        <v>940</v>
      </c>
      <c r="T135" s="2" t="s">
        <v>1374</v>
      </c>
      <c r="U135" s="150">
        <v>3.7589999999999999</v>
      </c>
      <c r="V135" s="150">
        <v>6.016</v>
      </c>
      <c r="W135" s="150">
        <v>22.614000000000001</v>
      </c>
      <c r="Y135" s="164">
        <v>4.9493039386765898E-5</v>
      </c>
      <c r="Z135" s="164">
        <v>9.6627156350433595E-6</v>
      </c>
    </row>
    <row r="136" spans="1:26">
      <c r="A136" s="2" t="s">
        <v>128</v>
      </c>
      <c r="B136" s="2">
        <v>7228</v>
      </c>
      <c r="C136" s="2" t="s">
        <v>2969</v>
      </c>
      <c r="D136" s="2" t="s">
        <v>2970</v>
      </c>
      <c r="E136" s="2" t="s">
        <v>1376</v>
      </c>
      <c r="F136" s="2" t="s">
        <v>2971</v>
      </c>
      <c r="G136" s="2">
        <v>9840936</v>
      </c>
      <c r="H136" s="2" t="s">
        <v>34</v>
      </c>
      <c r="I136" s="2" t="s">
        <v>1069</v>
      </c>
      <c r="J136" s="2" t="s">
        <v>895</v>
      </c>
      <c r="K136" s="2" t="s">
        <v>31</v>
      </c>
      <c r="L136" s="2" t="s">
        <v>31</v>
      </c>
      <c r="M136" s="2" t="s">
        <v>31</v>
      </c>
      <c r="N136" s="2" t="s">
        <v>31</v>
      </c>
      <c r="O136" s="2" t="s">
        <v>164</v>
      </c>
      <c r="P136" t="s">
        <v>2686</v>
      </c>
      <c r="Q136" s="2" t="s">
        <v>99</v>
      </c>
      <c r="R136" s="2" t="s">
        <v>936</v>
      </c>
      <c r="S136" s="2" t="s">
        <v>940</v>
      </c>
      <c r="T136" s="2" t="s">
        <v>1374</v>
      </c>
      <c r="U136" s="150">
        <v>3.7589999999999999</v>
      </c>
      <c r="V136" s="150">
        <v>329.66300000000001</v>
      </c>
      <c r="W136" s="150">
        <v>1239.204</v>
      </c>
      <c r="Y136" s="164">
        <v>2.7121549754821799E-3</v>
      </c>
      <c r="Z136" s="164">
        <v>5.2950440326483101E-4</v>
      </c>
    </row>
    <row r="137" spans="1:26">
      <c r="A137" s="2" t="s">
        <v>128</v>
      </c>
      <c r="B137" s="2">
        <v>7228</v>
      </c>
      <c r="C137" s="2" t="s">
        <v>2744</v>
      </c>
      <c r="D137" s="2" t="s">
        <v>2745</v>
      </c>
      <c r="E137" s="2" t="s">
        <v>1376</v>
      </c>
      <c r="F137" s="2" t="s">
        <v>2744</v>
      </c>
      <c r="G137" s="2">
        <v>18952</v>
      </c>
      <c r="H137" s="2" t="s">
        <v>34</v>
      </c>
      <c r="I137" s="2" t="s">
        <v>1069</v>
      </c>
      <c r="J137" s="2" t="s">
        <v>880</v>
      </c>
      <c r="K137" s="2" t="s">
        <v>31</v>
      </c>
      <c r="L137" s="2" t="s">
        <v>31</v>
      </c>
      <c r="M137" s="2" t="s">
        <v>31</v>
      </c>
      <c r="N137" s="2" t="s">
        <v>31</v>
      </c>
      <c r="O137" s="2" t="s">
        <v>164</v>
      </c>
      <c r="P137" t="s">
        <v>2753</v>
      </c>
      <c r="Q137" s="2" t="s">
        <v>35</v>
      </c>
      <c r="R137" s="2" t="s">
        <v>936</v>
      </c>
      <c r="S137" s="2" t="s">
        <v>940</v>
      </c>
      <c r="T137" s="2" t="s">
        <v>1374</v>
      </c>
      <c r="U137" s="150">
        <v>1</v>
      </c>
      <c r="V137" s="150">
        <v>1360.588</v>
      </c>
      <c r="W137" s="150">
        <v>1360.588</v>
      </c>
      <c r="Y137" s="164">
        <v>2.9778203589471502E-3</v>
      </c>
      <c r="Z137" s="164">
        <v>5.8137127356221803E-4</v>
      </c>
    </row>
    <row r="138" spans="1:26">
      <c r="A138" s="2" t="s">
        <v>128</v>
      </c>
      <c r="B138" s="2">
        <v>7228</v>
      </c>
      <c r="C138" s="2" t="s">
        <v>2972</v>
      </c>
      <c r="D138" s="2" t="s">
        <v>2973</v>
      </c>
      <c r="E138" s="2" t="s">
        <v>34</v>
      </c>
      <c r="F138" s="2" t="s">
        <v>2974</v>
      </c>
      <c r="G138" s="2">
        <v>9840777</v>
      </c>
      <c r="H138" s="2" t="s">
        <v>34</v>
      </c>
      <c r="I138" s="2" t="s">
        <v>1069</v>
      </c>
      <c r="J138" s="2" t="s">
        <v>896</v>
      </c>
      <c r="K138" s="2" t="s">
        <v>94</v>
      </c>
      <c r="L138" s="2" t="s">
        <v>267</v>
      </c>
      <c r="M138" s="2" t="s">
        <v>31</v>
      </c>
      <c r="N138" s="2" t="s">
        <v>31</v>
      </c>
      <c r="O138" s="2" t="s">
        <v>164</v>
      </c>
      <c r="P138" t="s">
        <v>2686</v>
      </c>
      <c r="Q138" s="2" t="s">
        <v>99</v>
      </c>
      <c r="R138" s="2" t="s">
        <v>936</v>
      </c>
      <c r="S138" s="2" t="s">
        <v>940</v>
      </c>
      <c r="T138" s="2" t="s">
        <v>1374</v>
      </c>
      <c r="U138" s="150">
        <v>3.7589999999999999</v>
      </c>
      <c r="V138" s="150">
        <v>87.337000000000003</v>
      </c>
      <c r="W138" s="150">
        <v>328.3</v>
      </c>
      <c r="Y138" s="164">
        <v>7.1852577691606005E-4</v>
      </c>
      <c r="Z138" s="164">
        <v>1.4028053934074999E-4</v>
      </c>
    </row>
    <row r="139" spans="1:26">
      <c r="A139" s="2" t="s">
        <v>128</v>
      </c>
      <c r="B139" s="2">
        <v>7228</v>
      </c>
      <c r="C139" s="2" t="s">
        <v>2754</v>
      </c>
      <c r="D139" s="2" t="s">
        <v>2755</v>
      </c>
      <c r="E139" s="2" t="s">
        <v>203</v>
      </c>
      <c r="F139" s="2" t="s">
        <v>2756</v>
      </c>
      <c r="G139" s="2">
        <v>50007160</v>
      </c>
      <c r="H139" s="2" t="s">
        <v>34</v>
      </c>
      <c r="I139" s="2" t="s">
        <v>1069</v>
      </c>
      <c r="J139" s="2" t="s">
        <v>613</v>
      </c>
      <c r="K139" s="2" t="s">
        <v>31</v>
      </c>
      <c r="L139" s="2" t="s">
        <v>31</v>
      </c>
      <c r="M139" s="2" t="s">
        <v>31</v>
      </c>
      <c r="N139" s="2" t="s">
        <v>31</v>
      </c>
      <c r="O139" s="2" t="s">
        <v>164</v>
      </c>
      <c r="P139" t="s">
        <v>2757</v>
      </c>
      <c r="Q139" s="2" t="s">
        <v>35</v>
      </c>
      <c r="R139" s="2" t="s">
        <v>203</v>
      </c>
      <c r="S139" s="2" t="s">
        <v>940</v>
      </c>
      <c r="T139" s="2" t="s">
        <v>1374</v>
      </c>
      <c r="U139" s="150">
        <v>1</v>
      </c>
      <c r="V139" s="150">
        <v>2383.4029999999998</v>
      </c>
      <c r="W139" s="150">
        <v>2383.4029999999998</v>
      </c>
      <c r="Y139" s="164">
        <v>5.2163798486426598E-3</v>
      </c>
      <c r="Z139" s="164">
        <v>1.0184138162927701E-3</v>
      </c>
    </row>
    <row r="140" spans="1:26">
      <c r="A140" s="2" t="s">
        <v>128</v>
      </c>
      <c r="B140" s="2">
        <v>7228</v>
      </c>
      <c r="C140" s="2" t="s">
        <v>2975</v>
      </c>
      <c r="D140" s="2" t="s">
        <v>2976</v>
      </c>
      <c r="E140" s="2" t="s">
        <v>1376</v>
      </c>
      <c r="F140" s="2" t="s">
        <v>2977</v>
      </c>
      <c r="G140" s="2">
        <v>9840947</v>
      </c>
      <c r="H140" s="2" t="s">
        <v>34</v>
      </c>
      <c r="I140" s="2" t="s">
        <v>1069</v>
      </c>
      <c r="J140" s="2" t="s">
        <v>882</v>
      </c>
      <c r="K140" s="2" t="s">
        <v>94</v>
      </c>
      <c r="L140" s="2" t="s">
        <v>267</v>
      </c>
      <c r="M140" s="2" t="s">
        <v>31</v>
      </c>
      <c r="N140" s="2" t="s">
        <v>95</v>
      </c>
      <c r="O140" s="2" t="s">
        <v>164</v>
      </c>
      <c r="P140" t="s">
        <v>2686</v>
      </c>
      <c r="Q140" s="2" t="s">
        <v>99</v>
      </c>
      <c r="R140" s="2" t="s">
        <v>936</v>
      </c>
      <c r="S140" s="2" t="s">
        <v>940</v>
      </c>
      <c r="T140" s="2" t="s">
        <v>1374</v>
      </c>
      <c r="U140" s="150">
        <v>3.7589999999999999</v>
      </c>
      <c r="V140" s="150">
        <v>1E-3</v>
      </c>
      <c r="W140" s="150">
        <v>4.0000000000000001E-3</v>
      </c>
      <c r="Y140" s="164">
        <v>7.6924635659323208E-9</v>
      </c>
      <c r="Z140" s="164">
        <v>1.501829123681E-9</v>
      </c>
    </row>
    <row r="141" spans="1:26">
      <c r="A141" s="2" t="s">
        <v>128</v>
      </c>
      <c r="B141" s="2">
        <v>7228</v>
      </c>
      <c r="C141" s="2" t="s">
        <v>2758</v>
      </c>
      <c r="D141" s="2" t="s">
        <v>2759</v>
      </c>
      <c r="E141" s="2" t="s">
        <v>34</v>
      </c>
      <c r="F141" s="2" t="s">
        <v>2760</v>
      </c>
      <c r="G141" s="2">
        <v>62020672</v>
      </c>
      <c r="H141" s="2" t="s">
        <v>34</v>
      </c>
      <c r="I141" s="2" t="s">
        <v>1069</v>
      </c>
      <c r="J141" s="2" t="s">
        <v>613</v>
      </c>
      <c r="K141" s="2" t="s">
        <v>94</v>
      </c>
      <c r="L141" s="2" t="s">
        <v>95</v>
      </c>
      <c r="M141" s="2" t="s">
        <v>95</v>
      </c>
      <c r="N141" s="2" t="s">
        <v>95</v>
      </c>
      <c r="O141" s="2" t="s">
        <v>164</v>
      </c>
      <c r="P141" t="s">
        <v>2761</v>
      </c>
      <c r="Q141" s="2" t="s">
        <v>99</v>
      </c>
      <c r="R141" s="2" t="s">
        <v>203</v>
      </c>
      <c r="S141" s="2" t="s">
        <v>940</v>
      </c>
      <c r="T141" s="2" t="s">
        <v>1374</v>
      </c>
      <c r="U141" s="150">
        <v>3.7589999999999999</v>
      </c>
      <c r="V141" s="150">
        <v>1034.6579999999999</v>
      </c>
      <c r="W141" s="150">
        <v>3889.2779999999998</v>
      </c>
      <c r="Y141" s="164">
        <v>8.5121792763620495E-3</v>
      </c>
      <c r="Z141" s="164">
        <v>1.66186536129339E-3</v>
      </c>
    </row>
    <row r="142" spans="1:26">
      <c r="A142" s="2" t="s">
        <v>128</v>
      </c>
      <c r="B142" s="2">
        <v>7228</v>
      </c>
      <c r="C142" s="2" t="s">
        <v>2762</v>
      </c>
      <c r="D142" s="2" t="s">
        <v>2763</v>
      </c>
      <c r="E142" s="2" t="s">
        <v>361</v>
      </c>
      <c r="F142" s="2" t="s">
        <v>2762</v>
      </c>
      <c r="G142" s="2">
        <v>62021365</v>
      </c>
      <c r="H142" s="2" t="s">
        <v>34</v>
      </c>
      <c r="I142" s="2" t="s">
        <v>1069</v>
      </c>
      <c r="J142" s="2" t="s">
        <v>879</v>
      </c>
      <c r="K142" s="2" t="s">
        <v>94</v>
      </c>
      <c r="L142" s="2" t="s">
        <v>302</v>
      </c>
      <c r="M142" s="2" t="s">
        <v>302</v>
      </c>
      <c r="N142" s="2" t="s">
        <v>342</v>
      </c>
      <c r="O142" s="2" t="s">
        <v>164</v>
      </c>
      <c r="P142" t="s">
        <v>2764</v>
      </c>
      <c r="Q142" s="2" t="s">
        <v>99</v>
      </c>
      <c r="R142" s="2" t="s">
        <v>936</v>
      </c>
      <c r="S142" s="2" t="s">
        <v>940</v>
      </c>
      <c r="T142" s="2" t="s">
        <v>1374</v>
      </c>
      <c r="U142" s="150">
        <v>3.7589999999999999</v>
      </c>
      <c r="V142" s="150">
        <v>321.404</v>
      </c>
      <c r="W142" s="150">
        <v>1208.1579999999999</v>
      </c>
      <c r="Y142" s="164">
        <v>2.6442081231009499E-3</v>
      </c>
      <c r="Z142" s="164">
        <v>5.1623887904181202E-4</v>
      </c>
    </row>
    <row r="143" spans="1:26">
      <c r="A143" s="2" t="s">
        <v>128</v>
      </c>
      <c r="B143" s="2">
        <v>7228</v>
      </c>
      <c r="C143" s="2" t="s">
        <v>2765</v>
      </c>
      <c r="D143" s="2" t="s">
        <v>2766</v>
      </c>
      <c r="E143" s="2" t="s">
        <v>360</v>
      </c>
      <c r="F143" s="2" t="s">
        <v>2765</v>
      </c>
      <c r="G143" s="2">
        <v>62020896</v>
      </c>
      <c r="H143" s="2" t="s">
        <v>34</v>
      </c>
      <c r="I143" s="2" t="s">
        <v>1069</v>
      </c>
      <c r="J143" s="2" t="s">
        <v>897</v>
      </c>
      <c r="K143" s="2" t="s">
        <v>94</v>
      </c>
      <c r="L143" s="2" t="s">
        <v>282</v>
      </c>
      <c r="M143" s="2" t="s">
        <v>2767</v>
      </c>
      <c r="N143" s="2" t="s">
        <v>345</v>
      </c>
      <c r="O143" s="2" t="s">
        <v>164</v>
      </c>
      <c r="P143" t="s">
        <v>2768</v>
      </c>
      <c r="Q143" s="2" t="s">
        <v>99</v>
      </c>
      <c r="R143" s="2" t="s">
        <v>936</v>
      </c>
      <c r="S143" s="2" t="s">
        <v>940</v>
      </c>
      <c r="T143" s="2" t="s">
        <v>1374</v>
      </c>
      <c r="U143" s="150">
        <v>3.7589999999999999</v>
      </c>
      <c r="V143" s="150">
        <v>318.81900000000002</v>
      </c>
      <c r="W143" s="150">
        <v>1198.4390000000001</v>
      </c>
      <c r="Y143" s="164">
        <v>2.6229370182744701E-3</v>
      </c>
      <c r="Z143" s="164">
        <v>5.1208603977939899E-4</v>
      </c>
    </row>
    <row r="144" spans="1:26">
      <c r="A144" s="2" t="s">
        <v>128</v>
      </c>
      <c r="B144" s="2">
        <v>7228</v>
      </c>
      <c r="C144" s="2" t="s">
        <v>2769</v>
      </c>
      <c r="D144" s="2" t="s">
        <v>2770</v>
      </c>
      <c r="E144" s="2" t="s">
        <v>361</v>
      </c>
      <c r="F144" s="2" t="s">
        <v>2769</v>
      </c>
      <c r="G144" s="2">
        <v>62019815</v>
      </c>
      <c r="H144" s="2" t="s">
        <v>34</v>
      </c>
      <c r="I144" s="2" t="s">
        <v>1069</v>
      </c>
      <c r="J144" s="2" t="s">
        <v>897</v>
      </c>
      <c r="K144" s="2" t="s">
        <v>94</v>
      </c>
      <c r="L144" s="2" t="s">
        <v>282</v>
      </c>
      <c r="M144" s="2" t="s">
        <v>2767</v>
      </c>
      <c r="N144" s="2" t="s">
        <v>345</v>
      </c>
      <c r="O144" s="2" t="s">
        <v>164</v>
      </c>
      <c r="P144" t="s">
        <v>2771</v>
      </c>
      <c r="Q144" s="2" t="s">
        <v>99</v>
      </c>
      <c r="R144" s="2" t="s">
        <v>936</v>
      </c>
      <c r="S144" s="2" t="s">
        <v>940</v>
      </c>
      <c r="T144" s="2" t="s">
        <v>1374</v>
      </c>
      <c r="U144" s="150">
        <v>3.7589999999999999</v>
      </c>
      <c r="V144" s="150">
        <v>1266.8040000000001</v>
      </c>
      <c r="W144" s="150">
        <v>4761.915</v>
      </c>
      <c r="Y144" s="164">
        <v>1.04220554743234E-2</v>
      </c>
      <c r="Z144" s="164">
        <v>2.03473780614011E-3</v>
      </c>
    </row>
    <row r="145" spans="1:26">
      <c r="A145" s="2" t="s">
        <v>128</v>
      </c>
      <c r="B145" s="2">
        <v>7228</v>
      </c>
      <c r="C145" s="2" t="s">
        <v>2772</v>
      </c>
      <c r="D145" s="2" t="s">
        <v>2773</v>
      </c>
      <c r="E145" s="2" t="s">
        <v>360</v>
      </c>
      <c r="F145" s="2" t="s">
        <v>2774</v>
      </c>
      <c r="G145" s="2">
        <v>62019757</v>
      </c>
      <c r="H145" s="2" t="s">
        <v>34</v>
      </c>
      <c r="I145" s="2" t="s">
        <v>1069</v>
      </c>
      <c r="J145" s="2" t="s">
        <v>877</v>
      </c>
      <c r="K145" s="2" t="s">
        <v>94</v>
      </c>
      <c r="L145" s="2" t="s">
        <v>267</v>
      </c>
      <c r="M145" s="2" t="s">
        <v>267</v>
      </c>
      <c r="N145" s="2" t="s">
        <v>338</v>
      </c>
      <c r="O145" s="2" t="s">
        <v>164</v>
      </c>
      <c r="P145" t="s">
        <v>2775</v>
      </c>
      <c r="Q145" s="2" t="s">
        <v>99</v>
      </c>
      <c r="R145" s="2" t="s">
        <v>936</v>
      </c>
      <c r="S145" s="2" t="s">
        <v>940</v>
      </c>
      <c r="T145" s="2" t="s">
        <v>1374</v>
      </c>
      <c r="U145" s="150">
        <v>3.7589999999999999</v>
      </c>
      <c r="V145" s="150">
        <v>774.88599999999997</v>
      </c>
      <c r="W145" s="150">
        <v>2912.7959999999998</v>
      </c>
      <c r="Y145" s="164">
        <v>6.3750234158257198E-3</v>
      </c>
      <c r="Z145" s="164">
        <v>1.2446202374538E-3</v>
      </c>
    </row>
    <row r="146" spans="1:26">
      <c r="A146" s="2" t="s">
        <v>128</v>
      </c>
      <c r="B146" s="2">
        <v>7228</v>
      </c>
      <c r="C146" s="2" t="s">
        <v>2776</v>
      </c>
      <c r="D146" s="2" t="s">
        <v>2777</v>
      </c>
      <c r="E146" s="2" t="s">
        <v>360</v>
      </c>
      <c r="F146" s="2" t="s">
        <v>2778</v>
      </c>
      <c r="G146" s="2">
        <v>62013909</v>
      </c>
      <c r="H146" s="2" t="s">
        <v>34</v>
      </c>
      <c r="I146" s="2" t="s">
        <v>1069</v>
      </c>
      <c r="J146" s="2" t="s">
        <v>883</v>
      </c>
      <c r="K146" s="2" t="s">
        <v>94</v>
      </c>
      <c r="L146" s="2" t="s">
        <v>267</v>
      </c>
      <c r="M146" s="2" t="s">
        <v>95</v>
      </c>
      <c r="N146" s="2" t="s">
        <v>95</v>
      </c>
      <c r="O146" s="2" t="s">
        <v>164</v>
      </c>
      <c r="P146" t="s">
        <v>2779</v>
      </c>
      <c r="Q146" s="2" t="s">
        <v>99</v>
      </c>
      <c r="R146" s="2" t="s">
        <v>936</v>
      </c>
      <c r="S146" s="2" t="s">
        <v>940</v>
      </c>
      <c r="T146" s="2" t="s">
        <v>1374</v>
      </c>
      <c r="U146" s="150">
        <v>3.7589999999999999</v>
      </c>
      <c r="V146" s="150">
        <v>1347.9839999999999</v>
      </c>
      <c r="W146" s="150">
        <v>5067.0720000000001</v>
      </c>
      <c r="Y146" s="164">
        <v>1.10899303945684E-2</v>
      </c>
      <c r="Z146" s="164">
        <v>2.1651295847430201E-3</v>
      </c>
    </row>
    <row r="147" spans="1:26">
      <c r="A147" s="2" t="s">
        <v>128</v>
      </c>
      <c r="B147" s="2">
        <v>7228</v>
      </c>
      <c r="C147" s="2" t="s">
        <v>2780</v>
      </c>
      <c r="D147" s="2" t="s">
        <v>2781</v>
      </c>
      <c r="E147" s="2" t="s">
        <v>360</v>
      </c>
      <c r="F147" s="2" t="s">
        <v>2782</v>
      </c>
      <c r="G147" s="2">
        <v>62011226</v>
      </c>
      <c r="H147" s="2" t="s">
        <v>34</v>
      </c>
      <c r="I147" s="2" t="s">
        <v>1069</v>
      </c>
      <c r="J147" s="2" t="s">
        <v>887</v>
      </c>
      <c r="K147" s="2" t="s">
        <v>94</v>
      </c>
      <c r="L147" s="2" t="s">
        <v>267</v>
      </c>
      <c r="M147" s="2" t="s">
        <v>95</v>
      </c>
      <c r="N147" s="2" t="s">
        <v>95</v>
      </c>
      <c r="O147" s="2" t="s">
        <v>164</v>
      </c>
      <c r="P147" t="s">
        <v>2783</v>
      </c>
      <c r="Q147" s="2" t="s">
        <v>99</v>
      </c>
      <c r="R147" s="2" t="s">
        <v>936</v>
      </c>
      <c r="S147" s="2" t="s">
        <v>940</v>
      </c>
      <c r="T147" s="2" t="s">
        <v>1374</v>
      </c>
      <c r="U147" s="150">
        <v>3.7589999999999999</v>
      </c>
      <c r="V147" s="150">
        <v>119.851</v>
      </c>
      <c r="W147" s="150">
        <v>450.52</v>
      </c>
      <c r="Y147" s="164">
        <v>9.8602029539972204E-4</v>
      </c>
      <c r="Z147" s="164">
        <v>1.92504518673319E-4</v>
      </c>
    </row>
    <row r="148" spans="1:26">
      <c r="A148" s="2" t="s">
        <v>128</v>
      </c>
      <c r="B148" s="2">
        <v>7228</v>
      </c>
      <c r="C148" s="2" t="s">
        <v>2784</v>
      </c>
      <c r="D148" s="2" t="s">
        <v>2785</v>
      </c>
      <c r="E148" s="2" t="s">
        <v>360</v>
      </c>
      <c r="F148" s="2" t="s">
        <v>2786</v>
      </c>
      <c r="G148" s="2">
        <v>60419041</v>
      </c>
      <c r="H148" s="2" t="s">
        <v>34</v>
      </c>
      <c r="I148" s="2" t="s">
        <v>1069</v>
      </c>
      <c r="J148" s="2" t="s">
        <v>897</v>
      </c>
      <c r="K148" s="2" t="s">
        <v>94</v>
      </c>
      <c r="L148" s="2" t="s">
        <v>267</v>
      </c>
      <c r="M148" s="2" t="s">
        <v>95</v>
      </c>
      <c r="N148" s="2" t="s">
        <v>345</v>
      </c>
      <c r="O148" s="2" t="s">
        <v>164</v>
      </c>
      <c r="P148" t="s">
        <v>2787</v>
      </c>
      <c r="Q148" s="2" t="s">
        <v>99</v>
      </c>
      <c r="R148" s="2" t="s">
        <v>936</v>
      </c>
      <c r="S148" s="2" t="s">
        <v>940</v>
      </c>
      <c r="T148" s="2" t="s">
        <v>1374</v>
      </c>
      <c r="U148" s="150">
        <v>3.7589999999999999</v>
      </c>
      <c r="V148" s="150">
        <v>587.38</v>
      </c>
      <c r="W148" s="150">
        <v>2207.96</v>
      </c>
      <c r="Y148" s="164">
        <v>4.8324007400602801E-3</v>
      </c>
      <c r="Z148" s="164">
        <v>9.4344810430577902E-4</v>
      </c>
    </row>
    <row r="149" spans="1:26">
      <c r="A149" s="2" t="s">
        <v>128</v>
      </c>
      <c r="B149" s="2">
        <v>7228</v>
      </c>
      <c r="C149" s="2" t="s">
        <v>2788</v>
      </c>
      <c r="D149" s="2" t="s">
        <v>2789</v>
      </c>
      <c r="E149" s="2" t="s">
        <v>360</v>
      </c>
      <c r="F149" s="2" t="s">
        <v>2790</v>
      </c>
      <c r="G149" s="2">
        <v>62016654</v>
      </c>
      <c r="H149" s="2" t="s">
        <v>34</v>
      </c>
      <c r="I149" s="2" t="s">
        <v>1069</v>
      </c>
      <c r="J149" s="2" t="s">
        <v>897</v>
      </c>
      <c r="K149" s="2" t="s">
        <v>94</v>
      </c>
      <c r="L149" s="2" t="s">
        <v>267</v>
      </c>
      <c r="M149" s="2" t="s">
        <v>95</v>
      </c>
      <c r="N149" s="2" t="s">
        <v>345</v>
      </c>
      <c r="O149" s="2" t="s">
        <v>164</v>
      </c>
      <c r="P149" t="s">
        <v>2791</v>
      </c>
      <c r="Q149" s="2" t="s">
        <v>99</v>
      </c>
      <c r="R149" s="2" t="s">
        <v>936</v>
      </c>
      <c r="S149" s="2" t="s">
        <v>940</v>
      </c>
      <c r="T149" s="2" t="s">
        <v>1374</v>
      </c>
      <c r="U149" s="150">
        <v>3.7589999999999999</v>
      </c>
      <c r="V149" s="150">
        <v>1998.316</v>
      </c>
      <c r="W149" s="150">
        <v>7511.6689999999999</v>
      </c>
      <c r="Y149" s="164">
        <v>1.64402414944801E-2</v>
      </c>
      <c r="Z149" s="164">
        <v>3.20969131217022E-3</v>
      </c>
    </row>
    <row r="150" spans="1:26">
      <c r="A150" s="2" t="s">
        <v>128</v>
      </c>
      <c r="B150" s="2">
        <v>7228</v>
      </c>
      <c r="C150" s="2" t="s">
        <v>2792</v>
      </c>
      <c r="D150" s="2" t="s">
        <v>2793</v>
      </c>
      <c r="E150" s="2" t="s">
        <v>361</v>
      </c>
      <c r="F150" s="2" t="s">
        <v>2794</v>
      </c>
      <c r="G150" s="2">
        <v>62021241</v>
      </c>
      <c r="H150" s="2" t="s">
        <v>34</v>
      </c>
      <c r="I150" s="2" t="s">
        <v>1069</v>
      </c>
      <c r="J150" s="2" t="s">
        <v>897</v>
      </c>
      <c r="K150" s="2" t="s">
        <v>94</v>
      </c>
      <c r="L150" s="2" t="s">
        <v>267</v>
      </c>
      <c r="M150" s="2" t="s">
        <v>95</v>
      </c>
      <c r="N150" s="2" t="s">
        <v>345</v>
      </c>
      <c r="O150" s="2" t="s">
        <v>164</v>
      </c>
      <c r="P150" t="s">
        <v>2795</v>
      </c>
      <c r="Q150" s="2" t="s">
        <v>99</v>
      </c>
      <c r="R150" s="2" t="s">
        <v>203</v>
      </c>
      <c r="S150" s="2" t="s">
        <v>940</v>
      </c>
      <c r="T150" s="2" t="s">
        <v>1374</v>
      </c>
      <c r="U150" s="150">
        <v>3.7589999999999999</v>
      </c>
      <c r="V150" s="150">
        <v>398.61399999999998</v>
      </c>
      <c r="W150" s="150">
        <v>1498.39</v>
      </c>
      <c r="Y150" s="164">
        <v>3.2794162446334999E-3</v>
      </c>
      <c r="Z150" s="164">
        <v>6.4025299342009099E-4</v>
      </c>
    </row>
    <row r="151" spans="1:26">
      <c r="A151" s="2" t="s">
        <v>128</v>
      </c>
      <c r="B151" s="2">
        <v>7228</v>
      </c>
      <c r="C151" s="2" t="s">
        <v>2796</v>
      </c>
      <c r="D151" s="2" t="s">
        <v>2797</v>
      </c>
      <c r="E151" s="2" t="s">
        <v>361</v>
      </c>
      <c r="F151" s="2" t="s">
        <v>2798</v>
      </c>
      <c r="G151" s="2">
        <v>62018064</v>
      </c>
      <c r="H151" s="2" t="s">
        <v>34</v>
      </c>
      <c r="I151" s="2" t="s">
        <v>1069</v>
      </c>
      <c r="J151" s="2" t="s">
        <v>882</v>
      </c>
      <c r="K151" s="2" t="s">
        <v>94</v>
      </c>
      <c r="L151" s="2" t="s">
        <v>267</v>
      </c>
      <c r="M151" s="2" t="s">
        <v>95</v>
      </c>
      <c r="N151" s="2" t="s">
        <v>340</v>
      </c>
      <c r="O151" s="2" t="s">
        <v>164</v>
      </c>
      <c r="P151" t="s">
        <v>2799</v>
      </c>
      <c r="Q151" s="2" t="s">
        <v>99</v>
      </c>
      <c r="R151" s="2" t="s">
        <v>203</v>
      </c>
      <c r="S151" s="2" t="s">
        <v>940</v>
      </c>
      <c r="T151" s="2" t="s">
        <v>1374</v>
      </c>
      <c r="U151" s="150">
        <v>3.7589999999999999</v>
      </c>
      <c r="V151" s="150">
        <v>1362.914</v>
      </c>
      <c r="W151" s="150">
        <v>5123.192</v>
      </c>
      <c r="Y151" s="164">
        <v>1.12127570303109E-2</v>
      </c>
      <c r="Z151" s="164">
        <v>2.1891094992581598E-3</v>
      </c>
    </row>
    <row r="152" spans="1:26">
      <c r="A152" s="2" t="s">
        <v>128</v>
      </c>
      <c r="B152" s="2">
        <v>7228</v>
      </c>
      <c r="C152" s="2" t="s">
        <v>2796</v>
      </c>
      <c r="D152" s="2" t="s">
        <v>2797</v>
      </c>
      <c r="E152" s="2" t="s">
        <v>361</v>
      </c>
      <c r="F152" s="2" t="s">
        <v>2800</v>
      </c>
      <c r="G152" s="2">
        <v>62021340</v>
      </c>
      <c r="H152" s="2" t="s">
        <v>34</v>
      </c>
      <c r="I152" s="2" t="s">
        <v>1069</v>
      </c>
      <c r="J152" s="2" t="s">
        <v>881</v>
      </c>
      <c r="K152" s="2" t="s">
        <v>94</v>
      </c>
      <c r="L152" s="2" t="s">
        <v>267</v>
      </c>
      <c r="M152" s="2" t="s">
        <v>95</v>
      </c>
      <c r="N152" s="2" t="s">
        <v>340</v>
      </c>
      <c r="O152" s="2" t="s">
        <v>164</v>
      </c>
      <c r="P152" t="s">
        <v>2801</v>
      </c>
      <c r="Q152" s="2" t="s">
        <v>99</v>
      </c>
      <c r="R152" s="2" t="s">
        <v>936</v>
      </c>
      <c r="S152" s="2" t="s">
        <v>940</v>
      </c>
      <c r="T152" s="2" t="s">
        <v>1374</v>
      </c>
      <c r="U152" s="150">
        <v>3.7589999999999999</v>
      </c>
      <c r="V152" s="150">
        <v>661.10400000000004</v>
      </c>
      <c r="W152" s="150">
        <v>2485.0909999999999</v>
      </c>
      <c r="Y152" s="164">
        <v>5.4389369363959999E-3</v>
      </c>
      <c r="Z152" s="164">
        <v>1.0618644889160199E-3</v>
      </c>
    </row>
    <row r="153" spans="1:26">
      <c r="A153" s="2" t="s">
        <v>128</v>
      </c>
      <c r="B153" s="2">
        <v>7228</v>
      </c>
      <c r="C153" s="2" t="s">
        <v>2802</v>
      </c>
      <c r="D153" s="2" t="s">
        <v>2803</v>
      </c>
      <c r="E153" s="2" t="s">
        <v>360</v>
      </c>
      <c r="F153" s="2" t="s">
        <v>2804</v>
      </c>
      <c r="G153" s="2">
        <v>62018908</v>
      </c>
      <c r="H153" s="2" t="s">
        <v>34</v>
      </c>
      <c r="I153" s="2" t="s">
        <v>1069</v>
      </c>
      <c r="J153" s="2" t="s">
        <v>882</v>
      </c>
      <c r="K153" s="2" t="s">
        <v>94</v>
      </c>
      <c r="L153" s="2" t="s">
        <v>302</v>
      </c>
      <c r="M153" s="2" t="s">
        <v>302</v>
      </c>
      <c r="N153" s="2" t="s">
        <v>345</v>
      </c>
      <c r="O153" s="2" t="s">
        <v>164</v>
      </c>
      <c r="P153" t="s">
        <v>2978</v>
      </c>
      <c r="Q153" s="2" t="s">
        <v>99</v>
      </c>
      <c r="R153" s="2" t="s">
        <v>936</v>
      </c>
      <c r="S153" s="2" t="s">
        <v>940</v>
      </c>
      <c r="T153" s="2" t="s">
        <v>1374</v>
      </c>
      <c r="U153" s="150">
        <v>3.7589999999999999</v>
      </c>
      <c r="V153" s="150">
        <v>3470.5650000000001</v>
      </c>
      <c r="W153" s="150">
        <v>13045.852999999999</v>
      </c>
      <c r="Y153" s="164">
        <v>2.8552507315406501E-2</v>
      </c>
      <c r="Z153" s="164">
        <v>5.5744153576884796E-3</v>
      </c>
    </row>
    <row r="154" spans="1:26">
      <c r="A154" s="2" t="s">
        <v>128</v>
      </c>
      <c r="B154" s="2">
        <v>7228</v>
      </c>
      <c r="C154" s="2" t="s">
        <v>2806</v>
      </c>
      <c r="D154" s="2" t="s">
        <v>2807</v>
      </c>
      <c r="E154" s="2" t="s">
        <v>360</v>
      </c>
      <c r="F154" s="2" t="s">
        <v>2808</v>
      </c>
      <c r="G154" s="2">
        <v>62019559</v>
      </c>
      <c r="H154" s="2" t="s">
        <v>34</v>
      </c>
      <c r="I154" s="2" t="s">
        <v>1069</v>
      </c>
      <c r="J154" s="2" t="s">
        <v>883</v>
      </c>
      <c r="K154" s="2" t="s">
        <v>94</v>
      </c>
      <c r="L154" s="2" t="s">
        <v>95</v>
      </c>
      <c r="M154" s="2" t="s">
        <v>95</v>
      </c>
      <c r="N154" s="2" t="s">
        <v>95</v>
      </c>
      <c r="O154" s="2" t="s">
        <v>164</v>
      </c>
      <c r="P154" t="s">
        <v>2809</v>
      </c>
      <c r="Q154" s="2" t="s">
        <v>99</v>
      </c>
      <c r="R154" s="2" t="s">
        <v>936</v>
      </c>
      <c r="S154" s="2" t="s">
        <v>940</v>
      </c>
      <c r="T154" s="2" t="s">
        <v>1374</v>
      </c>
      <c r="U154" s="150">
        <v>3.7589999999999999</v>
      </c>
      <c r="V154" s="150">
        <v>3740.3829999999998</v>
      </c>
      <c r="W154" s="150">
        <v>14060.099</v>
      </c>
      <c r="Y154" s="164">
        <v>3.0772313328669899E-2</v>
      </c>
      <c r="Z154" s="164">
        <v>6.0077965873904203E-3</v>
      </c>
    </row>
    <row r="155" spans="1:26">
      <c r="A155" s="2" t="s">
        <v>128</v>
      </c>
      <c r="B155" s="2">
        <v>7228</v>
      </c>
      <c r="C155" s="2" t="s">
        <v>2810</v>
      </c>
      <c r="D155" s="2" t="s">
        <v>2811</v>
      </c>
      <c r="E155" s="2" t="s">
        <v>361</v>
      </c>
      <c r="F155" s="2" t="s">
        <v>2812</v>
      </c>
      <c r="G155" s="2">
        <v>62020946</v>
      </c>
      <c r="H155" s="2" t="s">
        <v>34</v>
      </c>
      <c r="I155" s="2" t="s">
        <v>1069</v>
      </c>
      <c r="J155" s="2" t="s">
        <v>883</v>
      </c>
      <c r="K155" s="2" t="s">
        <v>94</v>
      </c>
      <c r="L155" s="2" t="s">
        <v>95</v>
      </c>
      <c r="M155" s="2" t="s">
        <v>95</v>
      </c>
      <c r="N155" s="2" t="s">
        <v>95</v>
      </c>
      <c r="O155" s="2" t="s">
        <v>164</v>
      </c>
      <c r="P155" t="s">
        <v>2813</v>
      </c>
      <c r="Q155" s="2" t="s">
        <v>99</v>
      </c>
      <c r="R155" s="2" t="s">
        <v>936</v>
      </c>
      <c r="S155" s="2" t="s">
        <v>940</v>
      </c>
      <c r="T155" s="2" t="s">
        <v>1374</v>
      </c>
      <c r="U155" s="150">
        <v>3.7589999999999999</v>
      </c>
      <c r="V155" s="150">
        <v>1316.075</v>
      </c>
      <c r="W155" s="150">
        <v>4947.125</v>
      </c>
      <c r="Y155" s="164">
        <v>1.08274120642125E-2</v>
      </c>
      <c r="Z155" s="164">
        <v>2.1138771256771602E-3</v>
      </c>
    </row>
    <row r="156" spans="1:26">
      <c r="A156" s="2" t="s">
        <v>128</v>
      </c>
      <c r="B156" s="2">
        <v>7228</v>
      </c>
      <c r="C156" s="2" t="s">
        <v>2814</v>
      </c>
      <c r="D156" s="2" t="s">
        <v>2815</v>
      </c>
      <c r="E156" s="2" t="s">
        <v>359</v>
      </c>
      <c r="F156" s="2" t="s">
        <v>2816</v>
      </c>
      <c r="G156" s="2">
        <v>62021431</v>
      </c>
      <c r="H156" s="2" t="s">
        <v>34</v>
      </c>
      <c r="I156" s="2" t="s">
        <v>1069</v>
      </c>
      <c r="J156" s="2" t="s">
        <v>893</v>
      </c>
      <c r="K156" s="2" t="s">
        <v>31</v>
      </c>
      <c r="L156" s="2" t="s">
        <v>267</v>
      </c>
      <c r="M156" s="2" t="s">
        <v>31</v>
      </c>
      <c r="N156" s="2" t="s">
        <v>31</v>
      </c>
      <c r="O156" s="2" t="s">
        <v>164</v>
      </c>
      <c r="P156" t="s">
        <v>2817</v>
      </c>
      <c r="Q156" s="2" t="s">
        <v>99</v>
      </c>
      <c r="R156" s="2" t="s">
        <v>936</v>
      </c>
      <c r="S156" s="2" t="s">
        <v>940</v>
      </c>
      <c r="T156" s="2" t="s">
        <v>1374</v>
      </c>
      <c r="U156" s="150">
        <v>3.7589999999999999</v>
      </c>
      <c r="V156" s="150">
        <v>254.78299999999999</v>
      </c>
      <c r="W156" s="150">
        <v>957.73</v>
      </c>
      <c r="Y156" s="164">
        <v>2.09611294468865E-3</v>
      </c>
      <c r="Z156" s="164">
        <v>4.0923215818658399E-4</v>
      </c>
    </row>
    <row r="157" spans="1:26">
      <c r="A157" s="2" t="s">
        <v>128</v>
      </c>
      <c r="B157" s="2">
        <v>7228</v>
      </c>
      <c r="C157" s="2" t="s">
        <v>2818</v>
      </c>
      <c r="D157" s="2" t="s">
        <v>2819</v>
      </c>
      <c r="E157" s="2" t="s">
        <v>361</v>
      </c>
      <c r="F157" s="2" t="s">
        <v>2820</v>
      </c>
      <c r="G157" s="2">
        <v>62021662</v>
      </c>
      <c r="H157" s="2" t="s">
        <v>34</v>
      </c>
      <c r="I157" s="2" t="s">
        <v>1069</v>
      </c>
      <c r="J157" s="2" t="s">
        <v>613</v>
      </c>
      <c r="K157" s="2" t="s">
        <v>94</v>
      </c>
      <c r="L157" s="2" t="s">
        <v>267</v>
      </c>
      <c r="M157" s="2" t="s">
        <v>95</v>
      </c>
      <c r="N157" s="2" t="s">
        <v>345</v>
      </c>
      <c r="O157" s="2" t="s">
        <v>164</v>
      </c>
      <c r="P157" t="s">
        <v>2821</v>
      </c>
      <c r="Q157" s="2" t="s">
        <v>99</v>
      </c>
      <c r="R157" s="2" t="s">
        <v>203</v>
      </c>
      <c r="S157" s="2" t="s">
        <v>940</v>
      </c>
      <c r="T157" s="2" t="s">
        <v>1374</v>
      </c>
      <c r="U157" s="150">
        <v>3.7589999999999999</v>
      </c>
      <c r="V157" s="150">
        <v>1700</v>
      </c>
      <c r="W157" s="150">
        <v>6390.3</v>
      </c>
      <c r="Y157" s="164">
        <v>1.39859832689158E-2</v>
      </c>
      <c r="Z157" s="164">
        <v>2.7305370791219602E-3</v>
      </c>
    </row>
    <row r="158" spans="1:26">
      <c r="A158" s="2" t="s">
        <v>128</v>
      </c>
      <c r="B158" s="2">
        <v>7228</v>
      </c>
      <c r="C158" s="2" t="s">
        <v>2822</v>
      </c>
      <c r="D158" s="2" t="s">
        <v>2823</v>
      </c>
      <c r="E158" s="2" t="s">
        <v>361</v>
      </c>
      <c r="F158" s="2" t="s">
        <v>2824</v>
      </c>
      <c r="G158" s="2">
        <v>62003800</v>
      </c>
      <c r="H158" s="2" t="s">
        <v>34</v>
      </c>
      <c r="I158" s="2" t="s">
        <v>1069</v>
      </c>
      <c r="J158" s="2" t="s">
        <v>894</v>
      </c>
      <c r="K158" s="2" t="s">
        <v>94</v>
      </c>
      <c r="L158" s="2" t="s">
        <v>267</v>
      </c>
      <c r="M158" s="2" t="s">
        <v>95</v>
      </c>
      <c r="N158" s="2" t="s">
        <v>345</v>
      </c>
      <c r="O158" s="2" t="s">
        <v>164</v>
      </c>
      <c r="P158" t="s">
        <v>2979</v>
      </c>
      <c r="Q158" s="2" t="s">
        <v>99</v>
      </c>
      <c r="R158" s="2" t="s">
        <v>203</v>
      </c>
      <c r="S158" s="2" t="s">
        <v>940</v>
      </c>
      <c r="T158" s="2" t="s">
        <v>1374</v>
      </c>
      <c r="U158" s="150">
        <v>3.7589999999999999</v>
      </c>
      <c r="V158" s="150">
        <v>2676.2240000000002</v>
      </c>
      <c r="W158" s="150">
        <v>10059.927</v>
      </c>
      <c r="Y158" s="164">
        <v>2.2017427250369599E-2</v>
      </c>
      <c r="Z158" s="164">
        <v>4.29854664760119E-3</v>
      </c>
    </row>
    <row r="159" spans="1:26">
      <c r="A159" s="2" t="s">
        <v>128</v>
      </c>
      <c r="B159" s="2">
        <v>7228</v>
      </c>
      <c r="C159" s="2" t="s">
        <v>2822</v>
      </c>
      <c r="D159" s="2" t="s">
        <v>2823</v>
      </c>
      <c r="E159" s="2" t="s">
        <v>361</v>
      </c>
      <c r="F159" s="2" t="s">
        <v>2826</v>
      </c>
      <c r="G159" s="2">
        <v>620101031</v>
      </c>
      <c r="H159" s="2" t="s">
        <v>34</v>
      </c>
      <c r="I159" s="2" t="s">
        <v>1069</v>
      </c>
      <c r="J159" s="2" t="s">
        <v>613</v>
      </c>
      <c r="K159" s="2" t="s">
        <v>94</v>
      </c>
      <c r="L159" s="2" t="s">
        <v>267</v>
      </c>
      <c r="M159" s="2" t="s">
        <v>95</v>
      </c>
      <c r="N159" s="2" t="s">
        <v>95</v>
      </c>
      <c r="O159" s="2" t="s">
        <v>164</v>
      </c>
      <c r="P159" t="s">
        <v>2696</v>
      </c>
      <c r="Q159" s="2" t="s">
        <v>99</v>
      </c>
      <c r="R159" s="2" t="s">
        <v>203</v>
      </c>
      <c r="S159" s="2" t="s">
        <v>940</v>
      </c>
      <c r="T159" s="2" t="s">
        <v>1374</v>
      </c>
      <c r="U159" s="150">
        <v>3.7589999999999999</v>
      </c>
      <c r="V159" s="150">
        <v>1557.4829999999999</v>
      </c>
      <c r="W159" s="150">
        <v>5854.5780000000004</v>
      </c>
      <c r="Y159" s="164">
        <v>1.28134876951314E-2</v>
      </c>
      <c r="Z159" s="164">
        <v>2.5016262776597301E-3</v>
      </c>
    </row>
    <row r="160" spans="1:26">
      <c r="A160" s="2" t="s">
        <v>128</v>
      </c>
      <c r="B160" s="2">
        <v>7228</v>
      </c>
      <c r="C160" s="2" t="s">
        <v>2822</v>
      </c>
      <c r="D160" s="2" t="s">
        <v>2823</v>
      </c>
      <c r="E160" s="2" t="s">
        <v>361</v>
      </c>
      <c r="F160" s="2" t="s">
        <v>2827</v>
      </c>
      <c r="G160" s="2">
        <v>62014857</v>
      </c>
      <c r="H160" s="2" t="s">
        <v>34</v>
      </c>
      <c r="I160" s="2" t="s">
        <v>1069</v>
      </c>
      <c r="J160" s="2" t="s">
        <v>894</v>
      </c>
      <c r="K160" s="2" t="s">
        <v>94</v>
      </c>
      <c r="L160" s="2" t="s">
        <v>267</v>
      </c>
      <c r="M160" s="2" t="s">
        <v>95</v>
      </c>
      <c r="N160" s="2" t="s">
        <v>345</v>
      </c>
      <c r="O160" s="2" t="s">
        <v>164</v>
      </c>
      <c r="P160" t="s">
        <v>2828</v>
      </c>
      <c r="Q160" s="2" t="s">
        <v>99</v>
      </c>
      <c r="R160" s="2" t="s">
        <v>936</v>
      </c>
      <c r="S160" s="2" t="s">
        <v>940</v>
      </c>
      <c r="T160" s="2" t="s">
        <v>1374</v>
      </c>
      <c r="U160" s="150">
        <v>3.7589999999999999</v>
      </c>
      <c r="V160" s="150">
        <v>1500.519</v>
      </c>
      <c r="W160" s="150">
        <v>5640.451</v>
      </c>
      <c r="Y160" s="164">
        <v>1.23448440514287E-2</v>
      </c>
      <c r="Z160" s="164">
        <v>2.4101311842207899E-3</v>
      </c>
    </row>
    <row r="161" spans="1:26">
      <c r="A161" s="2" t="s">
        <v>128</v>
      </c>
      <c r="B161" s="2">
        <v>7228</v>
      </c>
      <c r="C161" s="2" t="s">
        <v>2822</v>
      </c>
      <c r="D161" s="2" t="s">
        <v>2823</v>
      </c>
      <c r="E161" s="2" t="s">
        <v>361</v>
      </c>
      <c r="F161" s="2" t="s">
        <v>2829</v>
      </c>
      <c r="G161" s="2">
        <v>62019476</v>
      </c>
      <c r="H161" s="2" t="s">
        <v>34</v>
      </c>
      <c r="I161" s="2" t="s">
        <v>1069</v>
      </c>
      <c r="J161" s="2" t="s">
        <v>894</v>
      </c>
      <c r="K161" s="2" t="s">
        <v>94</v>
      </c>
      <c r="L161" s="2" t="s">
        <v>267</v>
      </c>
      <c r="M161" s="2" t="s">
        <v>95</v>
      </c>
      <c r="N161" s="2" t="s">
        <v>345</v>
      </c>
      <c r="O161" s="2" t="s">
        <v>164</v>
      </c>
      <c r="P161" t="s">
        <v>2747</v>
      </c>
      <c r="Q161" s="2" t="s">
        <v>99</v>
      </c>
      <c r="R161" s="2" t="s">
        <v>203</v>
      </c>
      <c r="S161" s="2" t="s">
        <v>940</v>
      </c>
      <c r="T161" s="2" t="s">
        <v>1374</v>
      </c>
      <c r="U161" s="150">
        <v>3.7589999999999999</v>
      </c>
      <c r="V161" s="150">
        <v>1185.376</v>
      </c>
      <c r="W161" s="150">
        <v>4455.8289999999997</v>
      </c>
      <c r="Y161" s="164">
        <v>9.7521475276756003E-3</v>
      </c>
      <c r="Z161" s="164">
        <v>1.90394911200619E-3</v>
      </c>
    </row>
    <row r="162" spans="1:26">
      <c r="A162" s="2" t="s">
        <v>128</v>
      </c>
      <c r="B162" s="2">
        <v>7228</v>
      </c>
      <c r="C162" s="2" t="s">
        <v>2822</v>
      </c>
      <c r="D162" s="2" t="s">
        <v>2823</v>
      </c>
      <c r="E162" s="2" t="s">
        <v>361</v>
      </c>
      <c r="F162" s="2" t="s">
        <v>2830</v>
      </c>
      <c r="G162" s="2">
        <v>62020458</v>
      </c>
      <c r="H162" s="2" t="s">
        <v>34</v>
      </c>
      <c r="I162" s="2" t="s">
        <v>1069</v>
      </c>
      <c r="J162" s="2" t="s">
        <v>888</v>
      </c>
      <c r="K162" s="2" t="s">
        <v>94</v>
      </c>
      <c r="L162" s="2" t="s">
        <v>267</v>
      </c>
      <c r="M162" s="2" t="s">
        <v>95</v>
      </c>
      <c r="N162" s="2" t="s">
        <v>345</v>
      </c>
      <c r="O162" s="2" t="s">
        <v>164</v>
      </c>
      <c r="P162" t="s">
        <v>2831</v>
      </c>
      <c r="Q162" s="2" t="s">
        <v>99</v>
      </c>
      <c r="R162" s="2" t="s">
        <v>203</v>
      </c>
      <c r="S162" s="2" t="s">
        <v>940</v>
      </c>
      <c r="T162" s="2" t="s">
        <v>1374</v>
      </c>
      <c r="U162" s="150">
        <v>3.7589999999999999</v>
      </c>
      <c r="V162" s="150">
        <v>916.55100000000004</v>
      </c>
      <c r="W162" s="150">
        <v>3445.3139999999999</v>
      </c>
      <c r="Y162" s="164">
        <v>7.5405079144777896E-3</v>
      </c>
      <c r="Z162" s="164">
        <v>1.4721622398659101E-3</v>
      </c>
    </row>
    <row r="163" spans="1:26">
      <c r="A163" s="2" t="s">
        <v>128</v>
      </c>
      <c r="B163" s="2">
        <v>7228</v>
      </c>
      <c r="C163" s="2" t="s">
        <v>2822</v>
      </c>
      <c r="D163" s="2" t="s">
        <v>2823</v>
      </c>
      <c r="E163" s="2" t="s">
        <v>361</v>
      </c>
      <c r="F163" s="2" t="s">
        <v>2832</v>
      </c>
      <c r="G163" s="2">
        <v>62017678</v>
      </c>
      <c r="H163" s="2" t="s">
        <v>34</v>
      </c>
      <c r="I163" s="2" t="s">
        <v>1069</v>
      </c>
      <c r="J163" s="2" t="s">
        <v>888</v>
      </c>
      <c r="K163" s="2" t="s">
        <v>94</v>
      </c>
      <c r="L163" s="2" t="s">
        <v>267</v>
      </c>
      <c r="M163" s="2" t="s">
        <v>95</v>
      </c>
      <c r="N163" s="2" t="s">
        <v>345</v>
      </c>
      <c r="O163" s="2" t="s">
        <v>164</v>
      </c>
      <c r="P163" t="s">
        <v>2833</v>
      </c>
      <c r="Q163" s="2" t="s">
        <v>99</v>
      </c>
      <c r="R163" s="2" t="s">
        <v>203</v>
      </c>
      <c r="S163" s="2" t="s">
        <v>940</v>
      </c>
      <c r="T163" s="2" t="s">
        <v>1374</v>
      </c>
      <c r="U163" s="150">
        <v>3.7589999999999999</v>
      </c>
      <c r="V163" s="150">
        <v>2875.3510000000001</v>
      </c>
      <c r="W163" s="150">
        <v>10808.442999999999</v>
      </c>
      <c r="Y163" s="164">
        <v>2.36556504726156E-2</v>
      </c>
      <c r="Z163" s="164">
        <v>4.6183832415833403E-3</v>
      </c>
    </row>
    <row r="164" spans="1:26">
      <c r="A164" s="2" t="s">
        <v>128</v>
      </c>
      <c r="B164" s="2">
        <v>7228</v>
      </c>
      <c r="C164" s="2" t="s">
        <v>2822</v>
      </c>
      <c r="D164" s="2" t="s">
        <v>2823</v>
      </c>
      <c r="E164" s="2" t="s">
        <v>361</v>
      </c>
      <c r="F164" s="2" t="s">
        <v>2834</v>
      </c>
      <c r="G164" s="2">
        <v>62019237</v>
      </c>
      <c r="H164" s="2" t="s">
        <v>34</v>
      </c>
      <c r="I164" s="2" t="s">
        <v>1069</v>
      </c>
      <c r="J164" s="2" t="s">
        <v>887</v>
      </c>
      <c r="K164" s="2" t="s">
        <v>94</v>
      </c>
      <c r="L164" s="2" t="s">
        <v>267</v>
      </c>
      <c r="M164" s="2" t="s">
        <v>95</v>
      </c>
      <c r="N164" s="2" t="s">
        <v>95</v>
      </c>
      <c r="O164" s="2" t="s">
        <v>164</v>
      </c>
      <c r="P164" t="s">
        <v>2835</v>
      </c>
      <c r="Q164" s="2" t="s">
        <v>99</v>
      </c>
      <c r="R164" s="2" t="s">
        <v>936</v>
      </c>
      <c r="S164" s="2" t="s">
        <v>940</v>
      </c>
      <c r="T164" s="2" t="s">
        <v>1374</v>
      </c>
      <c r="U164" s="150">
        <v>3.7589999999999999</v>
      </c>
      <c r="V164" s="150">
        <v>2411.8530000000001</v>
      </c>
      <c r="W164" s="150">
        <v>9066.1569999999992</v>
      </c>
      <c r="Y164" s="164">
        <v>1.98424352358114E-2</v>
      </c>
      <c r="Z164" s="164">
        <v>3.8739146265015598E-3</v>
      </c>
    </row>
    <row r="165" spans="1:26">
      <c r="A165" s="2" t="s">
        <v>128</v>
      </c>
      <c r="B165" s="2">
        <v>7228</v>
      </c>
      <c r="C165" s="2" t="s">
        <v>2980</v>
      </c>
      <c r="D165" s="2" t="s">
        <v>2981</v>
      </c>
      <c r="E165" s="2" t="s">
        <v>360</v>
      </c>
      <c r="F165" s="2" t="s">
        <v>2982</v>
      </c>
      <c r="G165" s="2">
        <v>62001875</v>
      </c>
      <c r="H165" s="2" t="s">
        <v>34</v>
      </c>
      <c r="I165" s="2" t="s">
        <v>1069</v>
      </c>
      <c r="J165" s="2" t="s">
        <v>613</v>
      </c>
      <c r="K165" s="2" t="s">
        <v>94</v>
      </c>
      <c r="L165" s="2" t="s">
        <v>267</v>
      </c>
      <c r="M165" s="2" t="s">
        <v>95</v>
      </c>
      <c r="N165" s="2" t="s">
        <v>95</v>
      </c>
      <c r="O165" s="2" t="s">
        <v>164</v>
      </c>
      <c r="P165" t="s">
        <v>2983</v>
      </c>
      <c r="Q165" s="2" t="s">
        <v>99</v>
      </c>
      <c r="R165" s="2" t="s">
        <v>203</v>
      </c>
      <c r="S165" s="2" t="s">
        <v>940</v>
      </c>
      <c r="T165" s="2" t="s">
        <v>1374</v>
      </c>
      <c r="U165" s="150">
        <v>3.7589999999999999</v>
      </c>
      <c r="V165" s="150">
        <v>180.19</v>
      </c>
      <c r="W165" s="150">
        <v>677.33399999999995</v>
      </c>
      <c r="Y165" s="164">
        <v>1.48243185661013E-3</v>
      </c>
      <c r="Z165" s="164">
        <v>2.8942084899686497E-4</v>
      </c>
    </row>
    <row r="166" spans="1:26">
      <c r="A166" s="2" t="s">
        <v>128</v>
      </c>
      <c r="B166" s="2">
        <v>7228</v>
      </c>
      <c r="C166" s="2" t="s">
        <v>2836</v>
      </c>
      <c r="D166" s="2" t="s">
        <v>2837</v>
      </c>
      <c r="E166" s="2" t="s">
        <v>361</v>
      </c>
      <c r="F166" s="2" t="s">
        <v>2838</v>
      </c>
      <c r="G166" s="2">
        <v>62020565</v>
      </c>
      <c r="H166" s="2" t="s">
        <v>34</v>
      </c>
      <c r="I166" s="2" t="s">
        <v>1069</v>
      </c>
      <c r="J166" s="2" t="s">
        <v>613</v>
      </c>
      <c r="K166" s="2" t="s">
        <v>94</v>
      </c>
      <c r="L166" s="2" t="s">
        <v>282</v>
      </c>
      <c r="M166" s="2" t="s">
        <v>282</v>
      </c>
      <c r="N166" s="2" t="s">
        <v>342</v>
      </c>
      <c r="O166" s="2" t="s">
        <v>164</v>
      </c>
      <c r="P166" t="s">
        <v>2643</v>
      </c>
      <c r="Q166" s="2" t="s">
        <v>1219</v>
      </c>
      <c r="R166" s="2" t="s">
        <v>203</v>
      </c>
      <c r="S166" s="2" t="s">
        <v>940</v>
      </c>
      <c r="T166" s="2" t="s">
        <v>1374</v>
      </c>
      <c r="U166" s="150">
        <v>4.0199999999999996</v>
      </c>
      <c r="V166" s="150">
        <v>606.32600000000002</v>
      </c>
      <c r="W166" s="150">
        <v>2437.5520000000001</v>
      </c>
      <c r="Y166" s="164">
        <v>5.3348912300252502E-3</v>
      </c>
      <c r="Z166" s="164">
        <v>1.0415512471720399E-3</v>
      </c>
    </row>
    <row r="167" spans="1:26">
      <c r="A167" s="2" t="s">
        <v>128</v>
      </c>
      <c r="B167" s="2">
        <v>7228</v>
      </c>
      <c r="C167" s="2" t="s">
        <v>2839</v>
      </c>
      <c r="D167" s="2" t="s">
        <v>2840</v>
      </c>
      <c r="E167" s="2" t="s">
        <v>360</v>
      </c>
      <c r="F167" s="2" t="s">
        <v>2841</v>
      </c>
      <c r="G167" s="2">
        <v>62017702</v>
      </c>
      <c r="H167" s="2" t="s">
        <v>34</v>
      </c>
      <c r="I167" s="2" t="s">
        <v>1069</v>
      </c>
      <c r="J167" s="2" t="s">
        <v>878</v>
      </c>
      <c r="K167" s="2" t="s">
        <v>94</v>
      </c>
      <c r="L167" s="2" t="s">
        <v>95</v>
      </c>
      <c r="M167" s="2" t="s">
        <v>95</v>
      </c>
      <c r="N167" s="2" t="s">
        <v>95</v>
      </c>
      <c r="O167" s="2" t="s">
        <v>164</v>
      </c>
      <c r="P167" t="s">
        <v>2842</v>
      </c>
      <c r="Q167" s="2" t="s">
        <v>99</v>
      </c>
      <c r="R167" s="2" t="s">
        <v>936</v>
      </c>
      <c r="S167" s="2" t="s">
        <v>940</v>
      </c>
      <c r="T167" s="2" t="s">
        <v>1374</v>
      </c>
      <c r="U167" s="150">
        <v>3.7589999999999999</v>
      </c>
      <c r="V167" s="150">
        <v>2168.4630000000002</v>
      </c>
      <c r="W167" s="150">
        <v>8151.2520000000004</v>
      </c>
      <c r="Y167" s="164">
        <v>1.7840050807671301E-2</v>
      </c>
      <c r="Z167" s="164">
        <v>3.4829814455757E-3</v>
      </c>
    </row>
    <row r="168" spans="1:26">
      <c r="A168" s="2" t="s">
        <v>128</v>
      </c>
      <c r="B168" s="2">
        <v>7228</v>
      </c>
      <c r="C168" s="2" t="s">
        <v>2984</v>
      </c>
      <c r="D168" s="2" t="s">
        <v>2985</v>
      </c>
      <c r="E168" s="2" t="s">
        <v>360</v>
      </c>
      <c r="F168" s="2" t="s">
        <v>2986</v>
      </c>
      <c r="G168" s="2">
        <v>62006754</v>
      </c>
      <c r="H168" s="2" t="s">
        <v>34</v>
      </c>
      <c r="I168" s="2" t="s">
        <v>1069</v>
      </c>
      <c r="J168" s="2" t="s">
        <v>893</v>
      </c>
      <c r="K168" s="2" t="s">
        <v>94</v>
      </c>
      <c r="L168" s="2" t="s">
        <v>95</v>
      </c>
      <c r="M168" s="2" t="s">
        <v>95</v>
      </c>
      <c r="N168" s="2" t="s">
        <v>345</v>
      </c>
      <c r="O168" s="2" t="s">
        <v>164</v>
      </c>
      <c r="P168" t="s">
        <v>2987</v>
      </c>
      <c r="Q168" s="2" t="s">
        <v>99</v>
      </c>
      <c r="R168" s="2" t="s">
        <v>936</v>
      </c>
      <c r="S168" s="2" t="s">
        <v>940</v>
      </c>
      <c r="T168" s="2" t="s">
        <v>1374</v>
      </c>
      <c r="U168" s="150">
        <v>3.7589999999999999</v>
      </c>
      <c r="V168" s="150">
        <v>865.23</v>
      </c>
      <c r="W168" s="150">
        <v>3252.4</v>
      </c>
      <c r="Y168" s="164">
        <v>7.1182896904220597E-3</v>
      </c>
      <c r="Z168" s="164">
        <v>1.38973095891139E-3</v>
      </c>
    </row>
    <row r="169" spans="1:26">
      <c r="A169" s="2" t="s">
        <v>128</v>
      </c>
      <c r="B169" s="2">
        <v>7228</v>
      </c>
      <c r="C169" s="2" t="s">
        <v>2843</v>
      </c>
      <c r="D169" s="2" t="s">
        <v>2844</v>
      </c>
      <c r="E169" s="2" t="s">
        <v>361</v>
      </c>
      <c r="F169" s="2" t="s">
        <v>2845</v>
      </c>
      <c r="G169" s="2">
        <v>77847846</v>
      </c>
      <c r="H169" s="2" t="s">
        <v>34</v>
      </c>
      <c r="I169" s="2" t="s">
        <v>1069</v>
      </c>
      <c r="J169" s="2" t="s">
        <v>613</v>
      </c>
      <c r="K169" s="2" t="s">
        <v>94</v>
      </c>
      <c r="L169" s="2" t="s">
        <v>302</v>
      </c>
      <c r="M169" s="2" t="s">
        <v>302</v>
      </c>
      <c r="N169" s="2" t="s">
        <v>95</v>
      </c>
      <c r="O169" s="2" t="s">
        <v>164</v>
      </c>
      <c r="P169" t="s">
        <v>2846</v>
      </c>
      <c r="Q169" s="2" t="s">
        <v>99</v>
      </c>
      <c r="R169" s="2" t="s">
        <v>936</v>
      </c>
      <c r="S169" s="2" t="s">
        <v>940</v>
      </c>
      <c r="T169" s="2" t="s">
        <v>1374</v>
      </c>
      <c r="U169" s="150">
        <v>3.7589999999999999</v>
      </c>
      <c r="V169" s="150">
        <v>5531.1480000000001</v>
      </c>
      <c r="W169" s="150">
        <v>20791.587</v>
      </c>
      <c r="Y169" s="164">
        <v>4.55050288283897E-2</v>
      </c>
      <c r="Z169" s="164">
        <v>8.88412105987481E-3</v>
      </c>
    </row>
    <row r="170" spans="1:26">
      <c r="A170" s="2" t="s">
        <v>128</v>
      </c>
      <c r="B170" s="2">
        <v>7228</v>
      </c>
      <c r="C170" s="2" t="s">
        <v>2847</v>
      </c>
      <c r="D170" s="2" t="s">
        <v>2848</v>
      </c>
      <c r="E170" s="2" t="s">
        <v>360</v>
      </c>
      <c r="F170" s="2" t="s">
        <v>2849</v>
      </c>
      <c r="G170" s="2">
        <v>62019013</v>
      </c>
      <c r="H170" s="2" t="s">
        <v>34</v>
      </c>
      <c r="I170" s="2" t="s">
        <v>1069</v>
      </c>
      <c r="J170" s="2" t="s">
        <v>882</v>
      </c>
      <c r="K170" s="2" t="s">
        <v>94</v>
      </c>
      <c r="L170" s="2" t="s">
        <v>95</v>
      </c>
      <c r="M170" s="2" t="s">
        <v>95</v>
      </c>
      <c r="N170" s="2" t="s">
        <v>95</v>
      </c>
      <c r="O170" s="2" t="s">
        <v>164</v>
      </c>
      <c r="P170" t="s">
        <v>2850</v>
      </c>
      <c r="Q170" s="2" t="s">
        <v>99</v>
      </c>
      <c r="R170" s="2" t="s">
        <v>936</v>
      </c>
      <c r="S170" s="2" t="s">
        <v>940</v>
      </c>
      <c r="T170" s="2" t="s">
        <v>1374</v>
      </c>
      <c r="U170" s="150">
        <v>3.7589999999999999</v>
      </c>
      <c r="V170" s="150">
        <v>3049.1889999999999</v>
      </c>
      <c r="W170" s="150">
        <v>11461.902</v>
      </c>
      <c r="Y170" s="164">
        <v>2.5085827391196702E-2</v>
      </c>
      <c r="Z170" s="164">
        <v>4.8976021588953101E-3</v>
      </c>
    </row>
    <row r="171" spans="1:26">
      <c r="A171" s="2" t="s">
        <v>128</v>
      </c>
      <c r="B171" s="2">
        <v>7228</v>
      </c>
      <c r="C171" s="2" t="s">
        <v>2851</v>
      </c>
      <c r="D171" s="2" t="s">
        <v>2852</v>
      </c>
      <c r="E171" s="2" t="s">
        <v>360</v>
      </c>
      <c r="F171" s="2" t="s">
        <v>2853</v>
      </c>
      <c r="G171" s="2">
        <v>62006705</v>
      </c>
      <c r="H171" s="2" t="s">
        <v>34</v>
      </c>
      <c r="I171" s="2" t="s">
        <v>1069</v>
      </c>
      <c r="J171" s="2" t="s">
        <v>882</v>
      </c>
      <c r="K171" s="2" t="s">
        <v>94</v>
      </c>
      <c r="L171" s="2" t="s">
        <v>95</v>
      </c>
      <c r="M171" s="2" t="s">
        <v>95</v>
      </c>
      <c r="N171" s="2" t="s">
        <v>345</v>
      </c>
      <c r="O171" s="2" t="s">
        <v>164</v>
      </c>
      <c r="P171" t="s">
        <v>2854</v>
      </c>
      <c r="Q171" s="2" t="s">
        <v>99</v>
      </c>
      <c r="R171" s="2" t="s">
        <v>936</v>
      </c>
      <c r="S171" s="2" t="s">
        <v>940</v>
      </c>
      <c r="T171" s="2" t="s">
        <v>1374</v>
      </c>
      <c r="U171" s="150">
        <v>3.7589999999999999</v>
      </c>
      <c r="V171" s="150">
        <v>1124.6769999999999</v>
      </c>
      <c r="W171" s="150">
        <v>4227.6589999999997</v>
      </c>
      <c r="Y171" s="164">
        <v>9.2527697883706093E-3</v>
      </c>
      <c r="Z171" s="164">
        <v>1.80645368337295E-3</v>
      </c>
    </row>
    <row r="172" spans="1:26">
      <c r="A172" s="2" t="s">
        <v>128</v>
      </c>
      <c r="B172" s="2">
        <v>7228</v>
      </c>
      <c r="C172" s="2" t="s">
        <v>2855</v>
      </c>
      <c r="D172" s="2" t="s">
        <v>2856</v>
      </c>
      <c r="E172" s="2" t="s">
        <v>360</v>
      </c>
      <c r="F172" s="2" t="s">
        <v>2857</v>
      </c>
      <c r="G172" s="2">
        <v>62017652</v>
      </c>
      <c r="H172" s="2" t="s">
        <v>34</v>
      </c>
      <c r="I172" s="2" t="s">
        <v>1069</v>
      </c>
      <c r="J172" s="2" t="s">
        <v>890</v>
      </c>
      <c r="K172" s="2" t="s">
        <v>94</v>
      </c>
      <c r="L172" s="2" t="s">
        <v>267</v>
      </c>
      <c r="M172" s="2" t="s">
        <v>95</v>
      </c>
      <c r="N172" s="2" t="s">
        <v>345</v>
      </c>
      <c r="O172" s="2" t="s">
        <v>164</v>
      </c>
      <c r="P172" t="s">
        <v>2858</v>
      </c>
      <c r="Q172" s="2" t="s">
        <v>99</v>
      </c>
      <c r="R172" s="2" t="s">
        <v>203</v>
      </c>
      <c r="S172" s="2" t="s">
        <v>940</v>
      </c>
      <c r="T172" s="2" t="s">
        <v>1374</v>
      </c>
      <c r="U172" s="150">
        <v>3.7589999999999999</v>
      </c>
      <c r="V172" s="150">
        <v>2186.0920000000001</v>
      </c>
      <c r="W172" s="150">
        <v>8217.52</v>
      </c>
      <c r="Y172" s="164">
        <v>1.7985086643054701E-2</v>
      </c>
      <c r="Z172" s="164">
        <v>3.5112973471967202E-3</v>
      </c>
    </row>
    <row r="173" spans="1:26">
      <c r="A173" s="2" t="s">
        <v>128</v>
      </c>
      <c r="B173" s="2">
        <v>7228</v>
      </c>
      <c r="C173" s="2" t="s">
        <v>2859</v>
      </c>
      <c r="D173" s="2" t="s">
        <v>2860</v>
      </c>
      <c r="E173" s="2" t="s">
        <v>360</v>
      </c>
      <c r="F173" s="2" t="s">
        <v>2861</v>
      </c>
      <c r="G173" s="2">
        <v>62021142</v>
      </c>
      <c r="H173" s="2" t="s">
        <v>34</v>
      </c>
      <c r="I173" s="2" t="s">
        <v>1069</v>
      </c>
      <c r="J173" s="2" t="s">
        <v>890</v>
      </c>
      <c r="K173" s="2" t="s">
        <v>94</v>
      </c>
      <c r="L173" s="2" t="s">
        <v>267</v>
      </c>
      <c r="M173" s="2" t="s">
        <v>95</v>
      </c>
      <c r="N173" s="2" t="s">
        <v>345</v>
      </c>
      <c r="O173" s="2" t="s">
        <v>164</v>
      </c>
      <c r="P173" t="s">
        <v>2862</v>
      </c>
      <c r="Q173" s="2" t="s">
        <v>99</v>
      </c>
      <c r="R173" s="2" t="s">
        <v>936</v>
      </c>
      <c r="S173" s="2" t="s">
        <v>940</v>
      </c>
      <c r="T173" s="2" t="s">
        <v>1374</v>
      </c>
      <c r="U173" s="150">
        <v>3.7589999999999999</v>
      </c>
      <c r="V173" s="150">
        <v>1769.123</v>
      </c>
      <c r="W173" s="150">
        <v>6650.1319999999996</v>
      </c>
      <c r="Y173" s="164">
        <v>1.4554659436646199E-2</v>
      </c>
      <c r="Z173" s="164">
        <v>2.8415619053457899E-3</v>
      </c>
    </row>
    <row r="174" spans="1:26">
      <c r="A174" s="2" t="s">
        <v>128</v>
      </c>
      <c r="B174" s="2">
        <v>7228</v>
      </c>
      <c r="C174" s="2" t="s">
        <v>2863</v>
      </c>
      <c r="D174" s="2" t="s">
        <v>2864</v>
      </c>
      <c r="E174" s="2" t="s">
        <v>360</v>
      </c>
      <c r="F174" s="2" t="s">
        <v>2865</v>
      </c>
      <c r="G174" s="2">
        <v>62020953</v>
      </c>
      <c r="H174" s="2" t="s">
        <v>34</v>
      </c>
      <c r="I174" s="2" t="s">
        <v>1069</v>
      </c>
      <c r="J174" s="2" t="s">
        <v>613</v>
      </c>
      <c r="K174" s="2" t="s">
        <v>94</v>
      </c>
      <c r="L174" s="2" t="s">
        <v>267</v>
      </c>
      <c r="M174" s="2" t="s">
        <v>31</v>
      </c>
      <c r="N174" s="2" t="s">
        <v>345</v>
      </c>
      <c r="O174" s="2" t="s">
        <v>164</v>
      </c>
      <c r="P174" t="s">
        <v>2866</v>
      </c>
      <c r="Q174" s="2" t="s">
        <v>99</v>
      </c>
      <c r="R174" s="2" t="s">
        <v>203</v>
      </c>
      <c r="S174" s="2" t="s">
        <v>940</v>
      </c>
      <c r="T174" s="2" t="s">
        <v>1374</v>
      </c>
      <c r="U174" s="150">
        <v>3.7589999999999999</v>
      </c>
      <c r="V174" s="150">
        <v>1015.249</v>
      </c>
      <c r="W174" s="150">
        <v>3816.319</v>
      </c>
      <c r="Y174" s="164">
        <v>8.3524999608177702E-3</v>
      </c>
      <c r="Z174" s="164">
        <v>1.6306905569568599E-3</v>
      </c>
    </row>
    <row r="175" spans="1:26">
      <c r="A175" s="2" t="s">
        <v>128</v>
      </c>
      <c r="B175" s="2">
        <v>7228</v>
      </c>
      <c r="C175" s="2" t="s">
        <v>2867</v>
      </c>
      <c r="D175" s="2" t="s">
        <v>2868</v>
      </c>
      <c r="E175" s="2" t="s">
        <v>360</v>
      </c>
      <c r="F175" s="2" t="s">
        <v>2869</v>
      </c>
      <c r="G175" s="2">
        <v>62020425</v>
      </c>
      <c r="H175" s="2" t="s">
        <v>34</v>
      </c>
      <c r="I175" s="2" t="s">
        <v>1069</v>
      </c>
      <c r="J175" s="2" t="s">
        <v>893</v>
      </c>
      <c r="K175" s="2" t="s">
        <v>94</v>
      </c>
      <c r="L175" s="2" t="s">
        <v>95</v>
      </c>
      <c r="M175" s="2" t="s">
        <v>95</v>
      </c>
      <c r="N175" s="2" t="s">
        <v>95</v>
      </c>
      <c r="O175" s="2" t="s">
        <v>164</v>
      </c>
      <c r="P175" t="s">
        <v>2870</v>
      </c>
      <c r="Q175" s="2" t="s">
        <v>99</v>
      </c>
      <c r="R175" s="2" t="s">
        <v>936</v>
      </c>
      <c r="S175" s="2" t="s">
        <v>940</v>
      </c>
      <c r="T175" s="2" t="s">
        <v>1374</v>
      </c>
      <c r="U175" s="150">
        <v>3.7589999999999999</v>
      </c>
      <c r="V175" s="150">
        <v>4070.4079999999999</v>
      </c>
      <c r="W175" s="150">
        <v>15300.663</v>
      </c>
      <c r="Y175" s="164">
        <v>3.3487445331311802E-2</v>
      </c>
      <c r="Z175" s="164">
        <v>6.5378822070694901E-3</v>
      </c>
    </row>
    <row r="176" spans="1:26">
      <c r="A176" s="2" t="s">
        <v>128</v>
      </c>
      <c r="B176" s="2">
        <v>7228</v>
      </c>
      <c r="C176" s="2" t="s">
        <v>2871</v>
      </c>
      <c r="D176" s="2" t="s">
        <v>2872</v>
      </c>
      <c r="E176" s="2" t="s">
        <v>360</v>
      </c>
      <c r="F176" s="2" t="s">
        <v>2873</v>
      </c>
      <c r="G176" s="2">
        <v>62021332</v>
      </c>
      <c r="H176" s="2" t="s">
        <v>34</v>
      </c>
      <c r="I176" s="2" t="s">
        <v>1069</v>
      </c>
      <c r="J176" s="2" t="s">
        <v>887</v>
      </c>
      <c r="K176" s="2" t="s">
        <v>94</v>
      </c>
      <c r="L176" s="2" t="s">
        <v>267</v>
      </c>
      <c r="M176" s="2" t="s">
        <v>95</v>
      </c>
      <c r="N176" s="2" t="s">
        <v>95</v>
      </c>
      <c r="O176" s="2" t="s">
        <v>164</v>
      </c>
      <c r="P176" t="s">
        <v>2874</v>
      </c>
      <c r="Q176" s="2" t="s">
        <v>99</v>
      </c>
      <c r="R176" s="2" t="s">
        <v>936</v>
      </c>
      <c r="S176" s="2" t="s">
        <v>940</v>
      </c>
      <c r="T176" s="2" t="s">
        <v>1374</v>
      </c>
      <c r="U176" s="150">
        <v>3.7589999999999999</v>
      </c>
      <c r="V176" s="150">
        <v>3313.913</v>
      </c>
      <c r="W176" s="150">
        <v>12456.999</v>
      </c>
      <c r="Y176" s="164">
        <v>2.7263724718374599E-2</v>
      </c>
      <c r="Z176" s="164">
        <v>5.3228013953048698E-3</v>
      </c>
    </row>
    <row r="177" spans="1:26">
      <c r="A177" s="2" t="s">
        <v>128</v>
      </c>
      <c r="B177" s="2">
        <v>7228</v>
      </c>
      <c r="C177" s="2" t="s">
        <v>2875</v>
      </c>
      <c r="D177" s="2" t="s">
        <v>2876</v>
      </c>
      <c r="E177" s="2" t="s">
        <v>360</v>
      </c>
      <c r="F177" s="2" t="s">
        <v>2877</v>
      </c>
      <c r="G177" s="2">
        <v>62021324</v>
      </c>
      <c r="H177" s="2" t="s">
        <v>34</v>
      </c>
      <c r="I177" s="2" t="s">
        <v>1069</v>
      </c>
      <c r="J177" s="2" t="s">
        <v>887</v>
      </c>
      <c r="K177" s="2" t="s">
        <v>94</v>
      </c>
      <c r="L177" s="2" t="s">
        <v>267</v>
      </c>
      <c r="M177" s="2" t="s">
        <v>95</v>
      </c>
      <c r="N177" s="2" t="s">
        <v>95</v>
      </c>
      <c r="O177" s="2" t="s">
        <v>164</v>
      </c>
      <c r="P177" t="s">
        <v>2874</v>
      </c>
      <c r="Q177" s="2" t="s">
        <v>99</v>
      </c>
      <c r="R177" s="2" t="s">
        <v>936</v>
      </c>
      <c r="S177" s="2" t="s">
        <v>940</v>
      </c>
      <c r="T177" s="2" t="s">
        <v>1374</v>
      </c>
      <c r="U177" s="150">
        <v>3.7589999999999999</v>
      </c>
      <c r="V177" s="150">
        <v>1378.097</v>
      </c>
      <c r="W177" s="150">
        <v>5180.268</v>
      </c>
      <c r="Y177" s="164">
        <v>1.1337674512470201E-2</v>
      </c>
      <c r="Z177" s="164">
        <v>2.2134976177270701E-3</v>
      </c>
    </row>
    <row r="178" spans="1:26">
      <c r="A178" s="2" t="s">
        <v>128</v>
      </c>
      <c r="B178" s="2">
        <v>7228</v>
      </c>
      <c r="C178" s="2" t="s">
        <v>2878</v>
      </c>
      <c r="D178" s="2" t="s">
        <v>2879</v>
      </c>
      <c r="E178" s="2" t="s">
        <v>361</v>
      </c>
      <c r="F178" s="2" t="s">
        <v>2880</v>
      </c>
      <c r="G178" s="2">
        <v>62021571</v>
      </c>
      <c r="H178" s="2" t="s">
        <v>34</v>
      </c>
      <c r="I178" s="2" t="s">
        <v>1069</v>
      </c>
      <c r="J178" s="2" t="s">
        <v>613</v>
      </c>
      <c r="K178" s="2" t="s">
        <v>94</v>
      </c>
      <c r="L178" s="2" t="s">
        <v>302</v>
      </c>
      <c r="M178" s="2" t="s">
        <v>282</v>
      </c>
      <c r="N178" s="2" t="s">
        <v>342</v>
      </c>
      <c r="O178" s="2" t="s">
        <v>164</v>
      </c>
      <c r="P178" t="s">
        <v>2881</v>
      </c>
      <c r="Q178" s="2" t="s">
        <v>1219</v>
      </c>
      <c r="R178" s="2" t="s">
        <v>203</v>
      </c>
      <c r="S178" s="2" t="s">
        <v>940</v>
      </c>
      <c r="T178" s="2" t="s">
        <v>1374</v>
      </c>
      <c r="U178" s="150">
        <v>4.0199999999999996</v>
      </c>
      <c r="V178" s="150">
        <v>682.35</v>
      </c>
      <c r="W178" s="150">
        <v>2743.183</v>
      </c>
      <c r="Y178" s="164">
        <v>6.0038035798810801E-3</v>
      </c>
      <c r="Z178" s="164">
        <v>1.17214556713117E-3</v>
      </c>
    </row>
    <row r="179" spans="1:26">
      <c r="A179" s="2" t="s">
        <v>128</v>
      </c>
      <c r="B179" s="2">
        <v>7228</v>
      </c>
      <c r="C179" s="2" t="s">
        <v>2882</v>
      </c>
      <c r="D179" s="2" t="s">
        <v>2883</v>
      </c>
      <c r="E179" s="2" t="s">
        <v>360</v>
      </c>
      <c r="F179" s="2" t="s">
        <v>2884</v>
      </c>
      <c r="G179" s="2">
        <v>62019849</v>
      </c>
      <c r="H179" s="2" t="s">
        <v>34</v>
      </c>
      <c r="I179" s="2" t="s">
        <v>1069</v>
      </c>
      <c r="J179" s="2" t="s">
        <v>613</v>
      </c>
      <c r="K179" s="2" t="s">
        <v>94</v>
      </c>
      <c r="L179" s="2" t="s">
        <v>302</v>
      </c>
      <c r="M179" s="2" t="s">
        <v>282</v>
      </c>
      <c r="N179" s="2" t="s">
        <v>95</v>
      </c>
      <c r="O179" s="2" t="s">
        <v>164</v>
      </c>
      <c r="P179" t="s">
        <v>2885</v>
      </c>
      <c r="Q179" s="2" t="s">
        <v>99</v>
      </c>
      <c r="R179" s="2" t="s">
        <v>936</v>
      </c>
      <c r="S179" s="2" t="s">
        <v>940</v>
      </c>
      <c r="T179" s="2" t="s">
        <v>1374</v>
      </c>
      <c r="U179" s="150">
        <v>3.7589999999999999</v>
      </c>
      <c r="V179" s="150">
        <v>2340.5749999999998</v>
      </c>
      <c r="W179" s="150">
        <v>8798.2209999999995</v>
      </c>
      <c r="Y179" s="164">
        <v>1.9256025076501201E-2</v>
      </c>
      <c r="Z179" s="164">
        <v>3.7594275251814002E-3</v>
      </c>
    </row>
    <row r="180" spans="1:26">
      <c r="A180" s="2" t="s">
        <v>128</v>
      </c>
      <c r="B180" s="2">
        <v>7228</v>
      </c>
      <c r="C180" s="2" t="s">
        <v>2886</v>
      </c>
      <c r="D180" s="2" t="s">
        <v>2887</v>
      </c>
      <c r="E180" s="2" t="s">
        <v>360</v>
      </c>
      <c r="F180" s="2" t="s">
        <v>2888</v>
      </c>
      <c r="G180" s="2">
        <v>62009204</v>
      </c>
      <c r="H180" s="2" t="s">
        <v>34</v>
      </c>
      <c r="I180" s="2" t="s">
        <v>1069</v>
      </c>
      <c r="J180" s="2" t="s">
        <v>877</v>
      </c>
      <c r="K180" s="2" t="s">
        <v>94</v>
      </c>
      <c r="L180" s="2" t="s">
        <v>302</v>
      </c>
      <c r="M180" s="2" t="s">
        <v>282</v>
      </c>
      <c r="N180" s="2" t="s">
        <v>345</v>
      </c>
      <c r="O180" s="2" t="s">
        <v>164</v>
      </c>
      <c r="P180" t="s">
        <v>2889</v>
      </c>
      <c r="Q180" s="2" t="s">
        <v>99</v>
      </c>
      <c r="R180" s="2" t="s">
        <v>203</v>
      </c>
      <c r="S180" s="2" t="s">
        <v>940</v>
      </c>
      <c r="T180" s="2" t="s">
        <v>1374</v>
      </c>
      <c r="U180" s="150">
        <v>3.7589999999999999</v>
      </c>
      <c r="V180" s="150">
        <v>2031.97</v>
      </c>
      <c r="W180" s="150">
        <v>7638.174</v>
      </c>
      <c r="Y180" s="164">
        <v>1.6717113953178701E-2</v>
      </c>
      <c r="Z180" s="164">
        <v>3.26374618268794E-3</v>
      </c>
    </row>
    <row r="181" spans="1:26">
      <c r="A181" s="2" t="s">
        <v>128</v>
      </c>
      <c r="B181" s="2">
        <v>7228</v>
      </c>
      <c r="C181" s="2" t="s">
        <v>2890</v>
      </c>
      <c r="D181" s="2" t="s">
        <v>2891</v>
      </c>
      <c r="E181" s="2" t="s">
        <v>360</v>
      </c>
      <c r="F181" s="2" t="s">
        <v>2892</v>
      </c>
      <c r="G181" s="2">
        <v>62019807</v>
      </c>
      <c r="H181" s="2" t="s">
        <v>34</v>
      </c>
      <c r="I181" s="2" t="s">
        <v>1069</v>
      </c>
      <c r="J181" s="2" t="s">
        <v>877</v>
      </c>
      <c r="K181" s="2" t="s">
        <v>94</v>
      </c>
      <c r="L181" s="2" t="s">
        <v>302</v>
      </c>
      <c r="M181" s="2" t="s">
        <v>282</v>
      </c>
      <c r="N181" s="2" t="s">
        <v>345</v>
      </c>
      <c r="O181" s="2" t="s">
        <v>164</v>
      </c>
      <c r="P181" t="s">
        <v>2771</v>
      </c>
      <c r="Q181" s="2" t="s">
        <v>99</v>
      </c>
      <c r="R181" s="2" t="s">
        <v>936</v>
      </c>
      <c r="S181" s="2" t="s">
        <v>940</v>
      </c>
      <c r="T181" s="2" t="s">
        <v>1374</v>
      </c>
      <c r="U181" s="150">
        <v>3.7589999999999999</v>
      </c>
      <c r="V181" s="150">
        <v>2384.7069999999999</v>
      </c>
      <c r="W181" s="150">
        <v>8964.1129999999994</v>
      </c>
      <c r="Y181" s="164">
        <v>1.96191009610172E-2</v>
      </c>
      <c r="Z181" s="164">
        <v>3.83031222067574E-3</v>
      </c>
    </row>
    <row r="182" spans="1:26">
      <c r="A182" s="2" t="s">
        <v>128</v>
      </c>
      <c r="B182" s="2">
        <v>7228</v>
      </c>
      <c r="C182" s="2" t="s">
        <v>2893</v>
      </c>
      <c r="D182" s="2" t="s">
        <v>2887</v>
      </c>
      <c r="E182" s="2" t="s">
        <v>360</v>
      </c>
      <c r="F182" s="2" t="s">
        <v>2894</v>
      </c>
      <c r="G182" s="2">
        <v>62020615</v>
      </c>
      <c r="H182" s="2" t="s">
        <v>34</v>
      </c>
      <c r="I182" s="2" t="s">
        <v>1069</v>
      </c>
      <c r="J182" s="2" t="s">
        <v>882</v>
      </c>
      <c r="K182" s="2" t="s">
        <v>94</v>
      </c>
      <c r="L182" s="2" t="s">
        <v>302</v>
      </c>
      <c r="M182" s="2" t="s">
        <v>282</v>
      </c>
      <c r="N182" s="2" t="s">
        <v>345</v>
      </c>
      <c r="O182" s="2" t="s">
        <v>164</v>
      </c>
      <c r="P182" t="s">
        <v>2895</v>
      </c>
      <c r="Q182" s="2" t="s">
        <v>99</v>
      </c>
      <c r="R182" s="2" t="s">
        <v>936</v>
      </c>
      <c r="S182" s="2" t="s">
        <v>940</v>
      </c>
      <c r="T182" s="2" t="s">
        <v>1374</v>
      </c>
      <c r="U182" s="150">
        <v>3.7589999999999999</v>
      </c>
      <c r="V182" s="150">
        <v>1503.02</v>
      </c>
      <c r="W182" s="150">
        <v>5649.8530000000001</v>
      </c>
      <c r="Y182" s="164">
        <v>1.23654213092711E-2</v>
      </c>
      <c r="Z182" s="164">
        <v>2.4141485610791099E-3</v>
      </c>
    </row>
    <row r="183" spans="1:26">
      <c r="A183" s="2" t="s">
        <v>128</v>
      </c>
      <c r="B183" s="2">
        <v>7228</v>
      </c>
      <c r="C183" s="2" t="s">
        <v>2896</v>
      </c>
      <c r="D183" s="2" t="s">
        <v>2897</v>
      </c>
      <c r="E183" s="2" t="s">
        <v>360</v>
      </c>
      <c r="F183" s="2" t="s">
        <v>2898</v>
      </c>
      <c r="G183" s="2">
        <v>62020813</v>
      </c>
      <c r="H183" s="2" t="s">
        <v>34</v>
      </c>
      <c r="I183" s="2" t="s">
        <v>1069</v>
      </c>
      <c r="J183" s="2" t="s">
        <v>897</v>
      </c>
      <c r="K183" s="2" t="s">
        <v>94</v>
      </c>
      <c r="L183" s="2" t="s">
        <v>302</v>
      </c>
      <c r="M183" s="2" t="s">
        <v>282</v>
      </c>
      <c r="N183" s="2" t="s">
        <v>345</v>
      </c>
      <c r="O183" s="2" t="s">
        <v>164</v>
      </c>
      <c r="P183" t="s">
        <v>2899</v>
      </c>
      <c r="Q183" s="2" t="s">
        <v>99</v>
      </c>
      <c r="R183" s="2" t="s">
        <v>203</v>
      </c>
      <c r="S183" s="2" t="s">
        <v>940</v>
      </c>
      <c r="T183" s="2" t="s">
        <v>1374</v>
      </c>
      <c r="U183" s="150">
        <v>3.7589999999999999</v>
      </c>
      <c r="V183" s="150">
        <v>862.71199999999999</v>
      </c>
      <c r="W183" s="150">
        <v>3242.933</v>
      </c>
      <c r="Y183" s="164">
        <v>7.0975698079673404E-3</v>
      </c>
      <c r="Z183" s="164">
        <v>1.38568573690376E-3</v>
      </c>
    </row>
    <row r="184" spans="1:26">
      <c r="A184" s="2" t="s">
        <v>128</v>
      </c>
      <c r="B184" s="2">
        <v>7228</v>
      </c>
      <c r="C184" s="2" t="s">
        <v>2900</v>
      </c>
      <c r="D184" s="2" t="s">
        <v>2901</v>
      </c>
      <c r="E184" s="2" t="s">
        <v>360</v>
      </c>
      <c r="F184" s="2" t="s">
        <v>2902</v>
      </c>
      <c r="G184" s="2">
        <v>62010137</v>
      </c>
      <c r="H184" s="2" t="s">
        <v>34</v>
      </c>
      <c r="I184" s="2" t="s">
        <v>1069</v>
      </c>
      <c r="J184" s="2" t="s">
        <v>897</v>
      </c>
      <c r="K184" s="2" t="s">
        <v>94</v>
      </c>
      <c r="L184" s="2" t="s">
        <v>302</v>
      </c>
      <c r="M184" s="2" t="s">
        <v>282</v>
      </c>
      <c r="N184" s="2" t="s">
        <v>345</v>
      </c>
      <c r="O184" s="2" t="s">
        <v>164</v>
      </c>
      <c r="P184" t="s">
        <v>2903</v>
      </c>
      <c r="Q184" s="2" t="s">
        <v>99</v>
      </c>
      <c r="R184" s="2" t="s">
        <v>936</v>
      </c>
      <c r="S184" s="2" t="s">
        <v>940</v>
      </c>
      <c r="T184" s="2" t="s">
        <v>1374</v>
      </c>
      <c r="U184" s="150">
        <v>3.7589999999999999</v>
      </c>
      <c r="V184" s="150">
        <v>1283.3009999999999</v>
      </c>
      <c r="W184" s="150">
        <v>4823.93</v>
      </c>
      <c r="Y184" s="164">
        <v>1.0557784175485099E-2</v>
      </c>
      <c r="Z184" s="164">
        <v>2.0612366403012202E-3</v>
      </c>
    </row>
    <row r="185" spans="1:26">
      <c r="A185" s="2" t="s">
        <v>128</v>
      </c>
      <c r="B185" s="2">
        <v>7228</v>
      </c>
      <c r="C185" s="2" t="s">
        <v>2904</v>
      </c>
      <c r="D185" s="2" t="s">
        <v>2905</v>
      </c>
      <c r="E185" s="2" t="s">
        <v>34</v>
      </c>
      <c r="F185" s="2" t="s">
        <v>2906</v>
      </c>
      <c r="G185" s="2">
        <v>62006366</v>
      </c>
      <c r="H185" s="2" t="s">
        <v>34</v>
      </c>
      <c r="I185" s="2" t="s">
        <v>1069</v>
      </c>
      <c r="J185" s="2" t="s">
        <v>896</v>
      </c>
      <c r="K185" s="2" t="s">
        <v>94</v>
      </c>
      <c r="L185" s="2" t="s">
        <v>31</v>
      </c>
      <c r="M185" s="2" t="s">
        <v>31</v>
      </c>
      <c r="N185" s="2" t="s">
        <v>95</v>
      </c>
      <c r="O185" s="2" t="s">
        <v>164</v>
      </c>
      <c r="P185" t="s">
        <v>2907</v>
      </c>
      <c r="Q185" s="2" t="s">
        <v>99</v>
      </c>
      <c r="R185" s="2" t="s">
        <v>936</v>
      </c>
      <c r="S185" s="2" t="s">
        <v>940</v>
      </c>
      <c r="T185" s="2" t="s">
        <v>1374</v>
      </c>
      <c r="U185" s="150">
        <v>3.7589999999999999</v>
      </c>
      <c r="V185" s="150">
        <v>250.1</v>
      </c>
      <c r="W185" s="150">
        <v>940.12599999999998</v>
      </c>
      <c r="Y185" s="164">
        <v>2.0575852135925402E-3</v>
      </c>
      <c r="Z185" s="164">
        <v>4.0171024168563998E-4</v>
      </c>
    </row>
    <row r="186" spans="1:26">
      <c r="A186" s="2" t="s">
        <v>128</v>
      </c>
      <c r="B186" s="2">
        <v>7228</v>
      </c>
      <c r="C186" s="2" t="s">
        <v>2908</v>
      </c>
      <c r="D186" s="2" t="s">
        <v>2909</v>
      </c>
      <c r="E186" s="2" t="s">
        <v>360</v>
      </c>
      <c r="F186" s="2" t="s">
        <v>2910</v>
      </c>
      <c r="G186" s="2">
        <v>62018387</v>
      </c>
      <c r="H186" s="2" t="s">
        <v>34</v>
      </c>
      <c r="I186" s="2" t="s">
        <v>1069</v>
      </c>
      <c r="J186" s="2" t="s">
        <v>895</v>
      </c>
      <c r="K186" s="2" t="s">
        <v>94</v>
      </c>
      <c r="L186" s="2" t="s">
        <v>267</v>
      </c>
      <c r="M186" s="2" t="s">
        <v>338</v>
      </c>
      <c r="N186" s="2" t="s">
        <v>95</v>
      </c>
      <c r="O186" s="2" t="s">
        <v>164</v>
      </c>
      <c r="P186" t="s">
        <v>2911</v>
      </c>
      <c r="Q186" s="2" t="s">
        <v>99</v>
      </c>
      <c r="R186" s="2" t="s">
        <v>936</v>
      </c>
      <c r="S186" s="2" t="s">
        <v>940</v>
      </c>
      <c r="T186" s="2" t="s">
        <v>1374</v>
      </c>
      <c r="U186" s="150">
        <v>3.7589999999999999</v>
      </c>
      <c r="V186" s="150">
        <v>963.84799999999996</v>
      </c>
      <c r="W186" s="150">
        <v>3623.1060000000002</v>
      </c>
      <c r="Y186" s="164">
        <v>7.9296286409742903E-3</v>
      </c>
      <c r="Z186" s="164">
        <v>1.5481317696103801E-3</v>
      </c>
    </row>
    <row r="187" spans="1:26">
      <c r="A187" s="2" t="s">
        <v>128</v>
      </c>
      <c r="B187" s="2">
        <v>7228</v>
      </c>
      <c r="C187" s="2" t="s">
        <v>2912</v>
      </c>
      <c r="D187" s="2" t="s">
        <v>2913</v>
      </c>
      <c r="E187" s="2" t="s">
        <v>361</v>
      </c>
      <c r="F187" s="2" t="s">
        <v>2914</v>
      </c>
      <c r="G187" s="2">
        <v>62018551</v>
      </c>
      <c r="H187" s="2" t="s">
        <v>34</v>
      </c>
      <c r="I187" s="2" t="s">
        <v>1069</v>
      </c>
      <c r="J187" s="2" t="s">
        <v>895</v>
      </c>
      <c r="K187" s="2" t="s">
        <v>94</v>
      </c>
      <c r="L187" s="2" t="s">
        <v>302</v>
      </c>
      <c r="M187" s="2" t="s">
        <v>336</v>
      </c>
      <c r="N187" s="2" t="s">
        <v>338</v>
      </c>
      <c r="O187" s="2" t="s">
        <v>164</v>
      </c>
      <c r="P187" t="s">
        <v>2915</v>
      </c>
      <c r="Q187" s="2" t="s">
        <v>99</v>
      </c>
      <c r="R187" s="2" t="s">
        <v>936</v>
      </c>
      <c r="S187" s="2" t="s">
        <v>940</v>
      </c>
      <c r="T187" s="2" t="s">
        <v>1374</v>
      </c>
      <c r="U187" s="150">
        <v>3.7589999999999999</v>
      </c>
      <c r="V187" s="150">
        <v>1798.655</v>
      </c>
      <c r="W187" s="150">
        <v>6761.1440000000002</v>
      </c>
      <c r="Y187" s="164">
        <v>1.47976222596758E-2</v>
      </c>
      <c r="Z187" s="164">
        <v>2.8889964678198402E-3</v>
      </c>
    </row>
    <row r="188" spans="1:26">
      <c r="A188" s="2" t="s">
        <v>128</v>
      </c>
      <c r="B188" s="2">
        <v>7228</v>
      </c>
      <c r="C188" s="2" t="s">
        <v>2916</v>
      </c>
      <c r="D188" s="2" t="s">
        <v>2917</v>
      </c>
      <c r="E188" s="2" t="s">
        <v>361</v>
      </c>
      <c r="F188" s="2" t="s">
        <v>2918</v>
      </c>
      <c r="G188" s="2">
        <v>62020169</v>
      </c>
      <c r="H188" s="2" t="s">
        <v>34</v>
      </c>
      <c r="I188" s="2" t="s">
        <v>1069</v>
      </c>
      <c r="J188" s="2" t="s">
        <v>897</v>
      </c>
      <c r="K188" s="2" t="s">
        <v>94</v>
      </c>
      <c r="L188" s="2" t="s">
        <v>302</v>
      </c>
      <c r="M188" s="2" t="s">
        <v>336</v>
      </c>
      <c r="N188" s="2" t="s">
        <v>345</v>
      </c>
      <c r="O188" s="2" t="s">
        <v>164</v>
      </c>
      <c r="P188" t="s">
        <v>2919</v>
      </c>
      <c r="Q188" s="2" t="s">
        <v>99</v>
      </c>
      <c r="R188" s="2" t="s">
        <v>936</v>
      </c>
      <c r="S188" s="2" t="s">
        <v>940</v>
      </c>
      <c r="T188" s="2" t="s">
        <v>1374</v>
      </c>
      <c r="U188" s="150">
        <v>3.7589999999999999</v>
      </c>
      <c r="V188" s="150">
        <v>1908.2449999999999</v>
      </c>
      <c r="W188" s="150">
        <v>7173.0940000000001</v>
      </c>
      <c r="Y188" s="164">
        <v>1.5699227552227801E-2</v>
      </c>
      <c r="Z188" s="164">
        <v>3.0650203221824698E-3</v>
      </c>
    </row>
    <row r="189" spans="1:26">
      <c r="A189" s="2" t="s">
        <v>128</v>
      </c>
      <c r="B189" s="2">
        <v>7228</v>
      </c>
      <c r="C189" s="2" t="s">
        <v>2920</v>
      </c>
      <c r="D189" s="2" t="s">
        <v>2921</v>
      </c>
      <c r="E189" s="2" t="s">
        <v>203</v>
      </c>
      <c r="F189" s="2" t="s">
        <v>2922</v>
      </c>
      <c r="G189" s="2">
        <v>62020995</v>
      </c>
      <c r="H189" s="2" t="s">
        <v>34</v>
      </c>
      <c r="I189" s="2" t="s">
        <v>1069</v>
      </c>
      <c r="J189" s="2" t="s">
        <v>876</v>
      </c>
      <c r="K189" s="2" t="s">
        <v>94</v>
      </c>
      <c r="L189" s="2" t="s">
        <v>95</v>
      </c>
      <c r="M189" s="2" t="s">
        <v>31</v>
      </c>
      <c r="N189" s="2" t="s">
        <v>95</v>
      </c>
      <c r="O189" s="2" t="s">
        <v>164</v>
      </c>
      <c r="P189" t="s">
        <v>2923</v>
      </c>
      <c r="Q189" s="2" t="s">
        <v>99</v>
      </c>
      <c r="R189" s="2" t="s">
        <v>936</v>
      </c>
      <c r="S189" s="2" t="s">
        <v>940</v>
      </c>
      <c r="T189" s="2" t="s">
        <v>1374</v>
      </c>
      <c r="U189" s="150">
        <v>3.7589999999999999</v>
      </c>
      <c r="V189" s="150">
        <v>189.09700000000001</v>
      </c>
      <c r="W189" s="150">
        <v>710.81600000000003</v>
      </c>
      <c r="Y189" s="164">
        <v>1.5557100756191701E-3</v>
      </c>
      <c r="Z189" s="164">
        <v>3.0372723634546902E-4</v>
      </c>
    </row>
    <row r="190" spans="1:26">
      <c r="A190" s="2" t="s">
        <v>128</v>
      </c>
      <c r="B190" s="2">
        <v>7229</v>
      </c>
      <c r="C190" s="2" t="s">
        <v>2656</v>
      </c>
      <c r="D190" s="2" t="s">
        <v>2657</v>
      </c>
      <c r="E190" s="2" t="s">
        <v>34</v>
      </c>
      <c r="F190" s="2" t="s">
        <v>2658</v>
      </c>
      <c r="G190" s="2">
        <v>77419109</v>
      </c>
      <c r="H190" s="2" t="s">
        <v>34</v>
      </c>
      <c r="I190" s="2" t="s">
        <v>1071</v>
      </c>
      <c r="J190" s="2" t="s">
        <v>613</v>
      </c>
      <c r="K190" s="2" t="s">
        <v>31</v>
      </c>
      <c r="L190" s="2" t="s">
        <v>267</v>
      </c>
      <c r="M190" s="2" t="s">
        <v>31</v>
      </c>
      <c r="N190" s="2" t="s">
        <v>31</v>
      </c>
      <c r="O190" s="2" t="s">
        <v>164</v>
      </c>
      <c r="P190" t="s">
        <v>2659</v>
      </c>
      <c r="Q190" s="2" t="s">
        <v>99</v>
      </c>
      <c r="R190" s="2" t="s">
        <v>203</v>
      </c>
      <c r="S190" s="2" t="s">
        <v>940</v>
      </c>
      <c r="T190" s="2" t="s">
        <v>1374</v>
      </c>
      <c r="U190" s="150">
        <v>3.7589999999999999</v>
      </c>
      <c r="V190" s="150">
        <v>387.60300000000001</v>
      </c>
      <c r="W190" s="150">
        <v>1457</v>
      </c>
      <c r="Y190" s="164">
        <v>9.4001326279800096E-2</v>
      </c>
      <c r="Z190" s="164">
        <v>1.0303774144458801E-2</v>
      </c>
    </row>
    <row r="191" spans="1:26">
      <c r="A191" s="2" t="s">
        <v>128</v>
      </c>
      <c r="B191" s="2">
        <v>7229</v>
      </c>
      <c r="C191" s="2" t="s">
        <v>2664</v>
      </c>
      <c r="D191" s="2" t="s">
        <v>2665</v>
      </c>
      <c r="E191" s="2" t="s">
        <v>34</v>
      </c>
      <c r="F191" s="2" t="s">
        <v>2666</v>
      </c>
      <c r="G191" s="2">
        <v>62017538</v>
      </c>
      <c r="H191" s="2" t="s">
        <v>34</v>
      </c>
      <c r="I191" s="2" t="s">
        <v>1069</v>
      </c>
      <c r="J191" s="2" t="s">
        <v>882</v>
      </c>
      <c r="K191" s="2" t="s">
        <v>31</v>
      </c>
      <c r="L191" s="2" t="s">
        <v>31</v>
      </c>
      <c r="M191" s="2" t="s">
        <v>31</v>
      </c>
      <c r="N191" s="2" t="s">
        <v>31</v>
      </c>
      <c r="O191" s="2" t="s">
        <v>164</v>
      </c>
      <c r="P191" t="s">
        <v>2667</v>
      </c>
      <c r="Q191" s="2" t="s">
        <v>99</v>
      </c>
      <c r="R191" s="2" t="s">
        <v>203</v>
      </c>
      <c r="S191" s="2" t="s">
        <v>940</v>
      </c>
      <c r="T191" s="2" t="s">
        <v>1374</v>
      </c>
      <c r="U191" s="150">
        <v>3.7589999999999999</v>
      </c>
      <c r="V191" s="150">
        <v>209.49299999999999</v>
      </c>
      <c r="W191" s="150">
        <v>787.48500000000001</v>
      </c>
      <c r="Y191" s="164">
        <v>5.0806199195552799E-2</v>
      </c>
      <c r="Z191" s="164">
        <v>5.56902356984994E-3</v>
      </c>
    </row>
    <row r="192" spans="1:26">
      <c r="A192" s="2" t="s">
        <v>128</v>
      </c>
      <c r="B192" s="2">
        <v>7229</v>
      </c>
      <c r="C192" s="2" t="s">
        <v>2668</v>
      </c>
      <c r="D192" s="2" t="s">
        <v>2669</v>
      </c>
      <c r="E192" s="2" t="s">
        <v>34</v>
      </c>
      <c r="F192" s="2" t="s">
        <v>2670</v>
      </c>
      <c r="G192" s="2">
        <v>62001189</v>
      </c>
      <c r="H192" s="2" t="s">
        <v>34</v>
      </c>
      <c r="I192" s="2" t="s">
        <v>1069</v>
      </c>
      <c r="J192" s="2" t="s">
        <v>897</v>
      </c>
      <c r="K192" s="2" t="s">
        <v>31</v>
      </c>
      <c r="L192" s="2" t="s">
        <v>267</v>
      </c>
      <c r="M192" s="2" t="s">
        <v>31</v>
      </c>
      <c r="N192" s="2" t="s">
        <v>31</v>
      </c>
      <c r="O192" s="2" t="s">
        <v>164</v>
      </c>
      <c r="P192" t="s">
        <v>2988</v>
      </c>
      <c r="Q192" s="2" t="s">
        <v>99</v>
      </c>
      <c r="R192" s="2" t="s">
        <v>936</v>
      </c>
      <c r="S192" s="2" t="s">
        <v>940</v>
      </c>
      <c r="T192" s="2" t="s">
        <v>1374</v>
      </c>
      <c r="U192" s="150">
        <v>3.7589999999999999</v>
      </c>
      <c r="V192" s="150">
        <v>56.762</v>
      </c>
      <c r="W192" s="150">
        <v>213.36699999999999</v>
      </c>
      <c r="Y192" s="164">
        <v>1.37658114170206E-2</v>
      </c>
      <c r="Z192" s="164">
        <v>1.5089128778246999E-3</v>
      </c>
    </row>
    <row r="193" spans="1:26">
      <c r="A193" s="2" t="s">
        <v>128</v>
      </c>
      <c r="B193" s="2">
        <v>7229</v>
      </c>
      <c r="C193" s="2" t="s">
        <v>2675</v>
      </c>
      <c r="D193" s="2" t="s">
        <v>2676</v>
      </c>
      <c r="E193" s="2" t="s">
        <v>360</v>
      </c>
      <c r="F193" s="2" t="s">
        <v>2677</v>
      </c>
      <c r="G193" s="2">
        <v>50000983</v>
      </c>
      <c r="H193" s="2" t="s">
        <v>34</v>
      </c>
      <c r="I193" s="2" t="s">
        <v>1069</v>
      </c>
      <c r="J193" s="2" t="s">
        <v>889</v>
      </c>
      <c r="K193" s="2" t="s">
        <v>94</v>
      </c>
      <c r="L193" s="2" t="s">
        <v>267</v>
      </c>
      <c r="M193" s="2" t="s">
        <v>31</v>
      </c>
      <c r="N193" s="2" t="s">
        <v>345</v>
      </c>
      <c r="O193" s="2" t="s">
        <v>164</v>
      </c>
      <c r="P193" t="s">
        <v>2678</v>
      </c>
      <c r="Q193" s="2" t="s">
        <v>35</v>
      </c>
      <c r="R193" s="2" t="s">
        <v>936</v>
      </c>
      <c r="S193" s="2" t="s">
        <v>940</v>
      </c>
      <c r="T193" s="2" t="s">
        <v>1374</v>
      </c>
      <c r="U193" s="150">
        <v>1</v>
      </c>
      <c r="V193" s="150">
        <v>288.43299999999999</v>
      </c>
      <c r="W193" s="150">
        <v>288.43299999999999</v>
      </c>
      <c r="Y193" s="164">
        <v>1.8608841017842999E-2</v>
      </c>
      <c r="Z193" s="164">
        <v>2.0397722300988302E-3</v>
      </c>
    </row>
    <row r="194" spans="1:26">
      <c r="A194" s="2" t="s">
        <v>128</v>
      </c>
      <c r="B194" s="2">
        <v>7229</v>
      </c>
      <c r="C194" s="2" t="s">
        <v>2683</v>
      </c>
      <c r="D194" s="2" t="s">
        <v>2684</v>
      </c>
      <c r="E194" s="2" t="s">
        <v>358</v>
      </c>
      <c r="F194" s="2" t="s">
        <v>2687</v>
      </c>
      <c r="G194" s="2">
        <v>62002785</v>
      </c>
      <c r="H194" s="2" t="s">
        <v>34</v>
      </c>
      <c r="I194" s="2" t="s">
        <v>1069</v>
      </c>
      <c r="J194" s="2" t="s">
        <v>895</v>
      </c>
      <c r="K194" s="2" t="s">
        <v>31</v>
      </c>
      <c r="L194" s="2" t="s">
        <v>267</v>
      </c>
      <c r="M194" s="2" t="s">
        <v>31</v>
      </c>
      <c r="N194" s="2" t="s">
        <v>31</v>
      </c>
      <c r="O194" s="2" t="s">
        <v>164</v>
      </c>
      <c r="P194" t="s">
        <v>2989</v>
      </c>
      <c r="Q194" s="2" t="s">
        <v>99</v>
      </c>
      <c r="R194" s="2" t="s">
        <v>936</v>
      </c>
      <c r="S194" s="2" t="s">
        <v>940</v>
      </c>
      <c r="T194" s="2" t="s">
        <v>1374</v>
      </c>
      <c r="U194" s="150">
        <v>3.7589999999999999</v>
      </c>
      <c r="V194" s="150">
        <v>55.36</v>
      </c>
      <c r="W194" s="150">
        <v>208.09700000000001</v>
      </c>
      <c r="Y194" s="164">
        <v>1.34258273278681E-2</v>
      </c>
      <c r="Z194" s="164">
        <v>1.4716461773857199E-3</v>
      </c>
    </row>
    <row r="195" spans="1:26">
      <c r="A195" s="2" t="s">
        <v>128</v>
      </c>
      <c r="B195" s="2">
        <v>7229</v>
      </c>
      <c r="C195" s="2" t="s">
        <v>2693</v>
      </c>
      <c r="D195" s="2" t="s">
        <v>2694</v>
      </c>
      <c r="E195" s="2" t="s">
        <v>34</v>
      </c>
      <c r="F195" s="2" t="s">
        <v>2695</v>
      </c>
      <c r="G195" s="2">
        <v>62013487</v>
      </c>
      <c r="H195" s="2" t="s">
        <v>34</v>
      </c>
      <c r="I195" s="2" t="s">
        <v>1069</v>
      </c>
      <c r="J195" s="2" t="s">
        <v>877</v>
      </c>
      <c r="K195" s="2" t="s">
        <v>31</v>
      </c>
      <c r="L195" s="2" t="s">
        <v>31</v>
      </c>
      <c r="M195" s="2" t="s">
        <v>31</v>
      </c>
      <c r="N195" s="2" t="s">
        <v>31</v>
      </c>
      <c r="O195" s="2" t="s">
        <v>164</v>
      </c>
      <c r="P195" t="s">
        <v>2696</v>
      </c>
      <c r="Q195" s="2" t="s">
        <v>99</v>
      </c>
      <c r="R195" s="2" t="s">
        <v>936</v>
      </c>
      <c r="S195" s="2" t="s">
        <v>940</v>
      </c>
      <c r="T195" s="2" t="s">
        <v>2697</v>
      </c>
      <c r="U195" s="150">
        <v>3.7589999999999999</v>
      </c>
      <c r="V195" s="150">
        <v>44.790999999999997</v>
      </c>
      <c r="W195" s="150">
        <v>168.37100000000001</v>
      </c>
      <c r="Y195" s="164">
        <v>1.0862802399706301E-2</v>
      </c>
      <c r="Z195" s="164">
        <v>1.1907051414285299E-3</v>
      </c>
    </row>
    <row r="196" spans="1:26">
      <c r="A196" s="2" t="s">
        <v>128</v>
      </c>
      <c r="B196" s="2">
        <v>7229</v>
      </c>
      <c r="C196" s="2" t="s">
        <v>2744</v>
      </c>
      <c r="D196" s="2" t="s">
        <v>2745</v>
      </c>
      <c r="E196" s="2" t="s">
        <v>1376</v>
      </c>
      <c r="F196" s="2" t="s">
        <v>2746</v>
      </c>
      <c r="G196" s="2">
        <v>50007004</v>
      </c>
      <c r="H196" s="2" t="s">
        <v>34</v>
      </c>
      <c r="I196" s="2" t="s">
        <v>1069</v>
      </c>
      <c r="J196" s="2" t="s">
        <v>880</v>
      </c>
      <c r="K196" s="2" t="s">
        <v>31</v>
      </c>
      <c r="L196" s="2" t="s">
        <v>31</v>
      </c>
      <c r="M196" s="2" t="s">
        <v>31</v>
      </c>
      <c r="N196" s="2" t="s">
        <v>31</v>
      </c>
      <c r="O196" s="2" t="s">
        <v>164</v>
      </c>
      <c r="P196" t="s">
        <v>2747</v>
      </c>
      <c r="Q196" s="2" t="s">
        <v>35</v>
      </c>
      <c r="R196" s="2" t="s">
        <v>936</v>
      </c>
      <c r="S196" s="2" t="s">
        <v>940</v>
      </c>
      <c r="T196" s="2" t="s">
        <v>1374</v>
      </c>
      <c r="U196" s="150">
        <v>1</v>
      </c>
      <c r="V196" s="150">
        <v>493.04899999999998</v>
      </c>
      <c r="W196" s="150">
        <v>493.04899999999998</v>
      </c>
      <c r="Y196" s="164">
        <v>3.1810038346159197E-2</v>
      </c>
      <c r="Z196" s="164">
        <v>3.4867960231730402E-3</v>
      </c>
    </row>
    <row r="197" spans="1:26">
      <c r="A197" s="2" t="s">
        <v>128</v>
      </c>
      <c r="B197" s="2">
        <v>7229</v>
      </c>
      <c r="C197" s="2" t="s">
        <v>2748</v>
      </c>
      <c r="D197" s="2" t="s">
        <v>2749</v>
      </c>
      <c r="E197" s="2" t="s">
        <v>1376</v>
      </c>
      <c r="F197" s="2" t="s">
        <v>2748</v>
      </c>
      <c r="G197" s="2">
        <v>50007350</v>
      </c>
      <c r="H197" s="2" t="s">
        <v>34</v>
      </c>
      <c r="I197" s="2" t="s">
        <v>1069</v>
      </c>
      <c r="J197" s="2" t="s">
        <v>888</v>
      </c>
      <c r="K197" s="2" t="s">
        <v>31</v>
      </c>
      <c r="L197" s="2" t="s">
        <v>31</v>
      </c>
      <c r="M197" s="2" t="s">
        <v>31</v>
      </c>
      <c r="N197" s="2" t="s">
        <v>31</v>
      </c>
      <c r="O197" s="2" t="s">
        <v>164</v>
      </c>
      <c r="P197" t="s">
        <v>2750</v>
      </c>
      <c r="Q197" s="2" t="s">
        <v>35</v>
      </c>
      <c r="R197" s="2" t="s">
        <v>203</v>
      </c>
      <c r="S197" s="2" t="s">
        <v>940</v>
      </c>
      <c r="T197" s="2" t="s">
        <v>1374</v>
      </c>
      <c r="U197" s="150">
        <v>1</v>
      </c>
      <c r="V197" s="150">
        <v>575.34500000000003</v>
      </c>
      <c r="W197" s="150">
        <v>575.34500000000003</v>
      </c>
      <c r="Y197" s="164">
        <v>3.7119572850617399E-2</v>
      </c>
      <c r="Z197" s="164">
        <v>4.06879041103206E-3</v>
      </c>
    </row>
    <row r="198" spans="1:26">
      <c r="A198" s="2" t="s">
        <v>128</v>
      </c>
      <c r="B198" s="2">
        <v>7229</v>
      </c>
      <c r="C198" s="2" t="s">
        <v>2744</v>
      </c>
      <c r="D198" s="2" t="s">
        <v>2745</v>
      </c>
      <c r="E198" s="2" t="s">
        <v>1376</v>
      </c>
      <c r="F198" s="2" t="s">
        <v>2744</v>
      </c>
      <c r="G198" s="2">
        <v>18952</v>
      </c>
      <c r="H198" s="2" t="s">
        <v>34</v>
      </c>
      <c r="I198" s="2" t="s">
        <v>1069</v>
      </c>
      <c r="J198" s="2" t="s">
        <v>880</v>
      </c>
      <c r="K198" s="2" t="s">
        <v>31</v>
      </c>
      <c r="L198" s="2" t="s">
        <v>31</v>
      </c>
      <c r="M198" s="2" t="s">
        <v>31</v>
      </c>
      <c r="N198" s="2" t="s">
        <v>31</v>
      </c>
      <c r="O198" s="2" t="s">
        <v>164</v>
      </c>
      <c r="P198" t="s">
        <v>2753</v>
      </c>
      <c r="Q198" s="2" t="s">
        <v>35</v>
      </c>
      <c r="R198" s="2" t="s">
        <v>936</v>
      </c>
      <c r="S198" s="2" t="s">
        <v>940</v>
      </c>
      <c r="T198" s="2" t="s">
        <v>1374</v>
      </c>
      <c r="U198" s="150">
        <v>1</v>
      </c>
      <c r="V198" s="150">
        <v>108.846</v>
      </c>
      <c r="W198" s="150">
        <v>108.846</v>
      </c>
      <c r="Y198" s="164">
        <v>7.0224437528162596E-3</v>
      </c>
      <c r="Z198" s="164">
        <v>7.6975163260790502E-4</v>
      </c>
    </row>
    <row r="199" spans="1:26">
      <c r="A199" s="2" t="s">
        <v>128</v>
      </c>
      <c r="B199" s="2">
        <v>7229</v>
      </c>
      <c r="C199" s="2" t="s">
        <v>2754</v>
      </c>
      <c r="D199" s="2" t="s">
        <v>2755</v>
      </c>
      <c r="E199" s="2" t="s">
        <v>203</v>
      </c>
      <c r="F199" s="2" t="s">
        <v>2756</v>
      </c>
      <c r="G199" s="2">
        <v>50007160</v>
      </c>
      <c r="H199" s="2" t="s">
        <v>34</v>
      </c>
      <c r="I199" s="2" t="s">
        <v>1069</v>
      </c>
      <c r="J199" s="2" t="s">
        <v>613</v>
      </c>
      <c r="K199" s="2" t="s">
        <v>31</v>
      </c>
      <c r="L199" s="2" t="s">
        <v>31</v>
      </c>
      <c r="M199" s="2" t="s">
        <v>31</v>
      </c>
      <c r="N199" s="2" t="s">
        <v>31</v>
      </c>
      <c r="O199" s="2" t="s">
        <v>164</v>
      </c>
      <c r="P199" t="s">
        <v>2757</v>
      </c>
      <c r="Q199" s="2" t="s">
        <v>35</v>
      </c>
      <c r="R199" s="2" t="s">
        <v>203</v>
      </c>
      <c r="S199" s="2" t="s">
        <v>940</v>
      </c>
      <c r="T199" s="2" t="s">
        <v>1374</v>
      </c>
      <c r="U199" s="150">
        <v>1</v>
      </c>
      <c r="V199" s="150">
        <v>317.78699999999998</v>
      </c>
      <c r="W199" s="150">
        <v>317.78699999999998</v>
      </c>
      <c r="Y199" s="164">
        <v>2.0502679578792499E-2</v>
      </c>
      <c r="Z199" s="164">
        <v>2.2473616926135102E-3</v>
      </c>
    </row>
    <row r="200" spans="1:26">
      <c r="A200" s="2" t="s">
        <v>128</v>
      </c>
      <c r="B200" s="2">
        <v>7229</v>
      </c>
      <c r="C200" s="2" t="s">
        <v>2762</v>
      </c>
      <c r="D200" s="2" t="s">
        <v>2763</v>
      </c>
      <c r="E200" s="2" t="s">
        <v>361</v>
      </c>
      <c r="F200" s="2" t="s">
        <v>2762</v>
      </c>
      <c r="G200" s="2">
        <v>62021365</v>
      </c>
      <c r="H200" s="2" t="s">
        <v>34</v>
      </c>
      <c r="I200" s="2" t="s">
        <v>1069</v>
      </c>
      <c r="J200" s="2" t="s">
        <v>879</v>
      </c>
      <c r="K200" s="2" t="s">
        <v>94</v>
      </c>
      <c r="L200" s="2" t="s">
        <v>302</v>
      </c>
      <c r="M200" s="2" t="s">
        <v>302</v>
      </c>
      <c r="N200" s="2" t="s">
        <v>342</v>
      </c>
      <c r="O200" s="2" t="s">
        <v>164</v>
      </c>
      <c r="P200" t="s">
        <v>2764</v>
      </c>
      <c r="Q200" s="2" t="s">
        <v>99</v>
      </c>
      <c r="R200" s="2" t="s">
        <v>936</v>
      </c>
      <c r="S200" s="2" t="s">
        <v>940</v>
      </c>
      <c r="T200" s="2" t="s">
        <v>1374</v>
      </c>
      <c r="U200" s="150">
        <v>3.7589999999999999</v>
      </c>
      <c r="V200" s="150">
        <v>23.57</v>
      </c>
      <c r="W200" s="150">
        <v>88.597999999999999</v>
      </c>
      <c r="Y200" s="164">
        <v>5.7161023122314202E-3</v>
      </c>
      <c r="Z200" s="164">
        <v>6.2655953424039905E-4</v>
      </c>
    </row>
    <row r="201" spans="1:26">
      <c r="A201" s="2" t="s">
        <v>128</v>
      </c>
      <c r="B201" s="2">
        <v>7229</v>
      </c>
      <c r="C201" s="2" t="s">
        <v>2769</v>
      </c>
      <c r="D201" s="2" t="s">
        <v>2770</v>
      </c>
      <c r="E201" s="2" t="s">
        <v>361</v>
      </c>
      <c r="F201" s="2" t="s">
        <v>2769</v>
      </c>
      <c r="G201" s="2">
        <v>62019815</v>
      </c>
      <c r="H201" s="2" t="s">
        <v>34</v>
      </c>
      <c r="I201" s="2" t="s">
        <v>1069</v>
      </c>
      <c r="J201" s="2" t="s">
        <v>897</v>
      </c>
      <c r="K201" s="2" t="s">
        <v>94</v>
      </c>
      <c r="L201" s="2" t="s">
        <v>282</v>
      </c>
      <c r="M201" s="2" t="s">
        <v>2767</v>
      </c>
      <c r="N201" s="2" t="s">
        <v>345</v>
      </c>
      <c r="O201" s="2" t="s">
        <v>164</v>
      </c>
      <c r="P201" t="s">
        <v>2771</v>
      </c>
      <c r="Q201" s="2" t="s">
        <v>99</v>
      </c>
      <c r="R201" s="2" t="s">
        <v>936</v>
      </c>
      <c r="S201" s="2" t="s">
        <v>940</v>
      </c>
      <c r="T201" s="2" t="s">
        <v>1374</v>
      </c>
      <c r="U201" s="150">
        <v>3.7589999999999999</v>
      </c>
      <c r="V201" s="150">
        <v>110.848</v>
      </c>
      <c r="W201" s="150">
        <v>416.67899999999997</v>
      </c>
      <c r="Y201" s="164">
        <v>2.6882903606777399E-2</v>
      </c>
      <c r="Z201" s="164">
        <v>2.9467176482914702E-3</v>
      </c>
    </row>
    <row r="202" spans="1:26">
      <c r="A202" s="2" t="s">
        <v>128</v>
      </c>
      <c r="B202" s="2">
        <v>7229</v>
      </c>
      <c r="C202" s="2" t="s">
        <v>2776</v>
      </c>
      <c r="D202" s="2" t="s">
        <v>2777</v>
      </c>
      <c r="E202" s="2" t="s">
        <v>360</v>
      </c>
      <c r="F202" s="2" t="s">
        <v>2778</v>
      </c>
      <c r="G202" s="2">
        <v>62013909</v>
      </c>
      <c r="H202" s="2" t="s">
        <v>34</v>
      </c>
      <c r="I202" s="2" t="s">
        <v>1069</v>
      </c>
      <c r="J202" s="2" t="s">
        <v>883</v>
      </c>
      <c r="K202" s="2" t="s">
        <v>94</v>
      </c>
      <c r="L202" s="2" t="s">
        <v>267</v>
      </c>
      <c r="M202" s="2" t="s">
        <v>95</v>
      </c>
      <c r="N202" s="2" t="s">
        <v>95</v>
      </c>
      <c r="O202" s="2" t="s">
        <v>164</v>
      </c>
      <c r="P202" t="s">
        <v>2779</v>
      </c>
      <c r="Q202" s="2" t="s">
        <v>99</v>
      </c>
      <c r="R202" s="2" t="s">
        <v>936</v>
      </c>
      <c r="S202" s="2" t="s">
        <v>940</v>
      </c>
      <c r="T202" s="2" t="s">
        <v>1374</v>
      </c>
      <c r="U202" s="150">
        <v>3.7589999999999999</v>
      </c>
      <c r="V202" s="150">
        <v>101.099</v>
      </c>
      <c r="W202" s="150">
        <v>380.03</v>
      </c>
      <c r="Y202" s="164">
        <v>2.4518441185356499E-2</v>
      </c>
      <c r="Z202" s="164">
        <v>2.68754165867975E-3</v>
      </c>
    </row>
    <row r="203" spans="1:26">
      <c r="A203" s="2" t="s">
        <v>128</v>
      </c>
      <c r="B203" s="2">
        <v>7229</v>
      </c>
      <c r="C203" s="2" t="s">
        <v>2780</v>
      </c>
      <c r="D203" s="2" t="s">
        <v>2781</v>
      </c>
      <c r="E203" s="2" t="s">
        <v>360</v>
      </c>
      <c r="F203" s="2" t="s">
        <v>2782</v>
      </c>
      <c r="G203" s="2">
        <v>62011226</v>
      </c>
      <c r="H203" s="2" t="s">
        <v>34</v>
      </c>
      <c r="I203" s="2" t="s">
        <v>1069</v>
      </c>
      <c r="J203" s="2" t="s">
        <v>887</v>
      </c>
      <c r="K203" s="2" t="s">
        <v>94</v>
      </c>
      <c r="L203" s="2" t="s">
        <v>267</v>
      </c>
      <c r="M203" s="2" t="s">
        <v>95</v>
      </c>
      <c r="N203" s="2" t="s">
        <v>95</v>
      </c>
      <c r="O203" s="2" t="s">
        <v>164</v>
      </c>
      <c r="P203" t="s">
        <v>2783</v>
      </c>
      <c r="Q203" s="2" t="s">
        <v>99</v>
      </c>
      <c r="R203" s="2" t="s">
        <v>936</v>
      </c>
      <c r="S203" s="2" t="s">
        <v>940</v>
      </c>
      <c r="T203" s="2" t="s">
        <v>1374</v>
      </c>
      <c r="U203" s="150">
        <v>3.7589999999999999</v>
      </c>
      <c r="V203" s="150">
        <v>5.4139999999999997</v>
      </c>
      <c r="W203" s="150">
        <v>20.352</v>
      </c>
      <c r="Y203" s="164">
        <v>1.3130699476802299E-3</v>
      </c>
      <c r="Z203" s="164">
        <v>1.4392963070012301E-4</v>
      </c>
    </row>
    <row r="204" spans="1:26">
      <c r="A204" s="2" t="s">
        <v>128</v>
      </c>
      <c r="B204" s="2">
        <v>7229</v>
      </c>
      <c r="C204" s="2" t="s">
        <v>2788</v>
      </c>
      <c r="D204" s="2" t="s">
        <v>2789</v>
      </c>
      <c r="E204" s="2" t="s">
        <v>360</v>
      </c>
      <c r="F204" s="2" t="s">
        <v>2790</v>
      </c>
      <c r="G204" s="2">
        <v>62016654</v>
      </c>
      <c r="H204" s="2" t="s">
        <v>34</v>
      </c>
      <c r="I204" s="2" t="s">
        <v>1069</v>
      </c>
      <c r="J204" s="2" t="s">
        <v>897</v>
      </c>
      <c r="K204" s="2" t="s">
        <v>94</v>
      </c>
      <c r="L204" s="2" t="s">
        <v>267</v>
      </c>
      <c r="M204" s="2" t="s">
        <v>95</v>
      </c>
      <c r="N204" s="2" t="s">
        <v>345</v>
      </c>
      <c r="O204" s="2" t="s">
        <v>164</v>
      </c>
      <c r="P204" t="s">
        <v>2791</v>
      </c>
      <c r="Q204" s="2" t="s">
        <v>99</v>
      </c>
      <c r="R204" s="2" t="s">
        <v>936</v>
      </c>
      <c r="S204" s="2" t="s">
        <v>940</v>
      </c>
      <c r="T204" s="2" t="s">
        <v>1374</v>
      </c>
      <c r="U204" s="150">
        <v>3.7589999999999999</v>
      </c>
      <c r="V204" s="150">
        <v>159.86500000000001</v>
      </c>
      <c r="W204" s="150">
        <v>600.93399999999997</v>
      </c>
      <c r="Y204" s="164">
        <v>3.8770459789638001E-2</v>
      </c>
      <c r="Z204" s="164">
        <v>4.2497491999226901E-3</v>
      </c>
    </row>
    <row r="205" spans="1:26">
      <c r="A205" s="2" t="s">
        <v>128</v>
      </c>
      <c r="B205" s="2">
        <v>7229</v>
      </c>
      <c r="C205" s="2" t="s">
        <v>2796</v>
      </c>
      <c r="D205" s="2" t="s">
        <v>2797</v>
      </c>
      <c r="E205" s="2" t="s">
        <v>361</v>
      </c>
      <c r="F205" s="2" t="s">
        <v>2798</v>
      </c>
      <c r="G205" s="2">
        <v>62018064</v>
      </c>
      <c r="H205" s="2" t="s">
        <v>34</v>
      </c>
      <c r="I205" s="2" t="s">
        <v>1069</v>
      </c>
      <c r="J205" s="2" t="s">
        <v>882</v>
      </c>
      <c r="K205" s="2" t="s">
        <v>94</v>
      </c>
      <c r="L205" s="2" t="s">
        <v>267</v>
      </c>
      <c r="M205" s="2" t="s">
        <v>95</v>
      </c>
      <c r="N205" s="2" t="s">
        <v>340</v>
      </c>
      <c r="O205" s="2" t="s">
        <v>164</v>
      </c>
      <c r="P205" t="s">
        <v>2799</v>
      </c>
      <c r="Q205" s="2" t="s">
        <v>99</v>
      </c>
      <c r="R205" s="2" t="s">
        <v>203</v>
      </c>
      <c r="S205" s="2" t="s">
        <v>940</v>
      </c>
      <c r="T205" s="2" t="s">
        <v>1374</v>
      </c>
      <c r="U205" s="150">
        <v>3.7589999999999999</v>
      </c>
      <c r="V205" s="150">
        <v>136.292</v>
      </c>
      <c r="W205" s="150">
        <v>512.322</v>
      </c>
      <c r="Y205" s="164">
        <v>3.3053483261645901E-2</v>
      </c>
      <c r="Z205" s="164">
        <v>3.6230938402071798E-3</v>
      </c>
    </row>
    <row r="206" spans="1:26">
      <c r="A206" s="2" t="s">
        <v>128</v>
      </c>
      <c r="B206" s="2">
        <v>7229</v>
      </c>
      <c r="C206" s="2" t="s">
        <v>2802</v>
      </c>
      <c r="D206" s="2" t="s">
        <v>2803</v>
      </c>
      <c r="E206" s="2" t="s">
        <v>360</v>
      </c>
      <c r="F206" s="2" t="s">
        <v>2804</v>
      </c>
      <c r="G206" s="2">
        <v>62018908</v>
      </c>
      <c r="H206" s="2" t="s">
        <v>34</v>
      </c>
      <c r="I206" s="2" t="s">
        <v>1069</v>
      </c>
      <c r="J206" s="2" t="s">
        <v>882</v>
      </c>
      <c r="K206" s="2" t="s">
        <v>94</v>
      </c>
      <c r="L206" s="2" t="s">
        <v>302</v>
      </c>
      <c r="M206" s="2" t="s">
        <v>302</v>
      </c>
      <c r="N206" s="2" t="s">
        <v>345</v>
      </c>
      <c r="O206" s="2" t="s">
        <v>164</v>
      </c>
      <c r="P206" t="s">
        <v>2805</v>
      </c>
      <c r="Q206" s="2" t="s">
        <v>99</v>
      </c>
      <c r="R206" s="2" t="s">
        <v>936</v>
      </c>
      <c r="S206" s="2" t="s">
        <v>940</v>
      </c>
      <c r="T206" s="2" t="s">
        <v>1374</v>
      </c>
      <c r="U206" s="150">
        <v>3.7589999999999999</v>
      </c>
      <c r="V206" s="150">
        <v>204.15299999999999</v>
      </c>
      <c r="W206" s="150">
        <v>767.40899999999999</v>
      </c>
      <c r="Y206" s="164">
        <v>4.9510996783466599E-2</v>
      </c>
      <c r="Z206" s="164">
        <v>5.4270524546151302E-3</v>
      </c>
    </row>
    <row r="207" spans="1:26">
      <c r="A207" s="2" t="s">
        <v>128</v>
      </c>
      <c r="B207" s="2">
        <v>7229</v>
      </c>
      <c r="C207" s="2" t="s">
        <v>2822</v>
      </c>
      <c r="D207" s="2" t="s">
        <v>2823</v>
      </c>
      <c r="E207" s="2" t="s">
        <v>361</v>
      </c>
      <c r="F207" s="2" t="s">
        <v>2824</v>
      </c>
      <c r="G207" s="2">
        <v>62003800</v>
      </c>
      <c r="H207" s="2" t="s">
        <v>34</v>
      </c>
      <c r="I207" s="2" t="s">
        <v>1069</v>
      </c>
      <c r="J207" s="2" t="s">
        <v>894</v>
      </c>
      <c r="K207" s="2" t="s">
        <v>94</v>
      </c>
      <c r="L207" s="2" t="s">
        <v>267</v>
      </c>
      <c r="M207" s="2" t="s">
        <v>95</v>
      </c>
      <c r="N207" s="2" t="s">
        <v>345</v>
      </c>
      <c r="O207" s="2" t="s">
        <v>164</v>
      </c>
      <c r="P207" t="s">
        <v>2903</v>
      </c>
      <c r="Q207" s="2" t="s">
        <v>99</v>
      </c>
      <c r="R207" s="2" t="s">
        <v>203</v>
      </c>
      <c r="S207" s="2" t="s">
        <v>940</v>
      </c>
      <c r="T207" s="2" t="s">
        <v>1374</v>
      </c>
      <c r="U207" s="150">
        <v>3.7589999999999999</v>
      </c>
      <c r="V207" s="150">
        <v>214.09800000000001</v>
      </c>
      <c r="W207" s="150">
        <v>804.79399999999998</v>
      </c>
      <c r="Y207" s="164">
        <v>5.1922946397615001E-2</v>
      </c>
      <c r="Z207" s="164">
        <v>5.6914336613017799E-3</v>
      </c>
    </row>
    <row r="208" spans="1:26">
      <c r="A208" s="2" t="s">
        <v>128</v>
      </c>
      <c r="B208" s="2">
        <v>7229</v>
      </c>
      <c r="C208" s="2" t="s">
        <v>2822</v>
      </c>
      <c r="D208" s="2" t="s">
        <v>2823</v>
      </c>
      <c r="E208" s="2" t="s">
        <v>361</v>
      </c>
      <c r="F208" s="2" t="s">
        <v>2826</v>
      </c>
      <c r="G208" s="2">
        <v>620101031</v>
      </c>
      <c r="H208" s="2" t="s">
        <v>34</v>
      </c>
      <c r="I208" s="2" t="s">
        <v>1069</v>
      </c>
      <c r="J208" s="2" t="s">
        <v>613</v>
      </c>
      <c r="K208" s="2" t="s">
        <v>94</v>
      </c>
      <c r="L208" s="2" t="s">
        <v>267</v>
      </c>
      <c r="M208" s="2" t="s">
        <v>95</v>
      </c>
      <c r="N208" s="2" t="s">
        <v>95</v>
      </c>
      <c r="O208" s="2" t="s">
        <v>164</v>
      </c>
      <c r="P208" t="s">
        <v>2696</v>
      </c>
      <c r="Q208" s="2" t="s">
        <v>99</v>
      </c>
      <c r="R208" s="2" t="s">
        <v>203</v>
      </c>
      <c r="S208" s="2" t="s">
        <v>940</v>
      </c>
      <c r="T208" s="2" t="s">
        <v>1374</v>
      </c>
      <c r="U208" s="150">
        <v>3.7589999999999999</v>
      </c>
      <c r="V208" s="150">
        <v>124.599</v>
      </c>
      <c r="W208" s="150">
        <v>468.36599999999999</v>
      </c>
      <c r="Y208" s="164">
        <v>3.0217610222812798E-2</v>
      </c>
      <c r="Z208" s="164">
        <v>3.3122450846532398E-3</v>
      </c>
    </row>
    <row r="209" spans="1:26">
      <c r="A209" s="2" t="s">
        <v>128</v>
      </c>
      <c r="B209" s="2">
        <v>7229</v>
      </c>
      <c r="C209" s="2" t="s">
        <v>2822</v>
      </c>
      <c r="D209" s="2" t="s">
        <v>2823</v>
      </c>
      <c r="E209" s="2" t="s">
        <v>361</v>
      </c>
      <c r="F209" s="2" t="s">
        <v>2827</v>
      </c>
      <c r="G209" s="2">
        <v>62014857</v>
      </c>
      <c r="H209" s="2" t="s">
        <v>34</v>
      </c>
      <c r="I209" s="2" t="s">
        <v>1069</v>
      </c>
      <c r="J209" s="2" t="s">
        <v>894</v>
      </c>
      <c r="K209" s="2" t="s">
        <v>94</v>
      </c>
      <c r="L209" s="2" t="s">
        <v>267</v>
      </c>
      <c r="M209" s="2" t="s">
        <v>95</v>
      </c>
      <c r="N209" s="2" t="s">
        <v>345</v>
      </c>
      <c r="O209" s="2" t="s">
        <v>164</v>
      </c>
      <c r="P209" t="s">
        <v>2828</v>
      </c>
      <c r="Q209" s="2" t="s">
        <v>99</v>
      </c>
      <c r="R209" s="2" t="s">
        <v>936</v>
      </c>
      <c r="S209" s="2" t="s">
        <v>940</v>
      </c>
      <c r="T209" s="2" t="s">
        <v>1374</v>
      </c>
      <c r="U209" s="150">
        <v>3.7589999999999999</v>
      </c>
      <c r="V209" s="150">
        <v>120.042</v>
      </c>
      <c r="W209" s="150">
        <v>451.23599999999999</v>
      </c>
      <c r="Y209" s="164">
        <v>2.9112423930388601E-2</v>
      </c>
      <c r="Z209" s="164">
        <v>3.1911022200217798E-3</v>
      </c>
    </row>
    <row r="210" spans="1:26">
      <c r="A210" s="2" t="s">
        <v>128</v>
      </c>
      <c r="B210" s="2">
        <v>7229</v>
      </c>
      <c r="C210" s="2" t="s">
        <v>2822</v>
      </c>
      <c r="D210" s="2" t="s">
        <v>2823</v>
      </c>
      <c r="E210" s="2" t="s">
        <v>361</v>
      </c>
      <c r="F210" s="2" t="s">
        <v>2829</v>
      </c>
      <c r="G210" s="2">
        <v>62019476</v>
      </c>
      <c r="H210" s="2" t="s">
        <v>34</v>
      </c>
      <c r="I210" s="2" t="s">
        <v>1069</v>
      </c>
      <c r="J210" s="2" t="s">
        <v>894</v>
      </c>
      <c r="K210" s="2" t="s">
        <v>94</v>
      </c>
      <c r="L210" s="2" t="s">
        <v>267</v>
      </c>
      <c r="M210" s="2" t="s">
        <v>95</v>
      </c>
      <c r="N210" s="2" t="s">
        <v>345</v>
      </c>
      <c r="O210" s="2" t="s">
        <v>164</v>
      </c>
      <c r="P210" t="s">
        <v>2747</v>
      </c>
      <c r="Q210" s="2" t="s">
        <v>99</v>
      </c>
      <c r="R210" s="2" t="s">
        <v>203</v>
      </c>
      <c r="S210" s="2" t="s">
        <v>940</v>
      </c>
      <c r="T210" s="2" t="s">
        <v>1374</v>
      </c>
      <c r="U210" s="150">
        <v>3.7589999999999999</v>
      </c>
      <c r="V210" s="150">
        <v>81.283000000000001</v>
      </c>
      <c r="W210" s="150">
        <v>305.54300000000001</v>
      </c>
      <c r="Y210" s="164">
        <v>1.9712716078249901E-2</v>
      </c>
      <c r="Z210" s="164">
        <v>2.1607713665607702E-3</v>
      </c>
    </row>
    <row r="211" spans="1:26">
      <c r="A211" s="2" t="s">
        <v>128</v>
      </c>
      <c r="B211" s="2">
        <v>7229</v>
      </c>
      <c r="C211" s="2" t="s">
        <v>2822</v>
      </c>
      <c r="D211" s="2" t="s">
        <v>2823</v>
      </c>
      <c r="E211" s="2" t="s">
        <v>361</v>
      </c>
      <c r="F211" s="2" t="s">
        <v>2830</v>
      </c>
      <c r="G211" s="2">
        <v>62020458</v>
      </c>
      <c r="H211" s="2" t="s">
        <v>34</v>
      </c>
      <c r="I211" s="2" t="s">
        <v>1069</v>
      </c>
      <c r="J211" s="2" t="s">
        <v>888</v>
      </c>
      <c r="K211" s="2" t="s">
        <v>94</v>
      </c>
      <c r="L211" s="2" t="s">
        <v>267</v>
      </c>
      <c r="M211" s="2" t="s">
        <v>95</v>
      </c>
      <c r="N211" s="2" t="s">
        <v>345</v>
      </c>
      <c r="O211" s="2" t="s">
        <v>164</v>
      </c>
      <c r="P211" t="s">
        <v>2831</v>
      </c>
      <c r="Q211" s="2" t="s">
        <v>99</v>
      </c>
      <c r="R211" s="2" t="s">
        <v>203</v>
      </c>
      <c r="S211" s="2" t="s">
        <v>940</v>
      </c>
      <c r="T211" s="2" t="s">
        <v>1374</v>
      </c>
      <c r="U211" s="150">
        <v>3.7589999999999999</v>
      </c>
      <c r="V211" s="150">
        <v>91.655000000000001</v>
      </c>
      <c r="W211" s="150">
        <v>344.53100000000001</v>
      </c>
      <c r="Y211" s="164">
        <v>2.2228152715234401E-2</v>
      </c>
      <c r="Z211" s="164">
        <v>2.4364961037313701E-3</v>
      </c>
    </row>
    <row r="212" spans="1:26">
      <c r="A212" s="2" t="s">
        <v>128</v>
      </c>
      <c r="B212" s="2">
        <v>7229</v>
      </c>
      <c r="C212" s="2" t="s">
        <v>2822</v>
      </c>
      <c r="D212" s="2" t="s">
        <v>2823</v>
      </c>
      <c r="E212" s="2" t="s">
        <v>361</v>
      </c>
      <c r="F212" s="2" t="s">
        <v>2832</v>
      </c>
      <c r="G212" s="2">
        <v>62017678</v>
      </c>
      <c r="H212" s="2" t="s">
        <v>34</v>
      </c>
      <c r="I212" s="2" t="s">
        <v>1069</v>
      </c>
      <c r="J212" s="2" t="s">
        <v>888</v>
      </c>
      <c r="K212" s="2" t="s">
        <v>94</v>
      </c>
      <c r="L212" s="2" t="s">
        <v>267</v>
      </c>
      <c r="M212" s="2" t="s">
        <v>95</v>
      </c>
      <c r="N212" s="2" t="s">
        <v>345</v>
      </c>
      <c r="O212" s="2" t="s">
        <v>164</v>
      </c>
      <c r="P212" t="s">
        <v>2833</v>
      </c>
      <c r="Q212" s="2" t="s">
        <v>99</v>
      </c>
      <c r="R212" s="2" t="s">
        <v>203</v>
      </c>
      <c r="S212" s="2" t="s">
        <v>940</v>
      </c>
      <c r="T212" s="2" t="s">
        <v>1374</v>
      </c>
      <c r="U212" s="150">
        <v>3.7589999999999999</v>
      </c>
      <c r="V212" s="150">
        <v>230.02799999999999</v>
      </c>
      <c r="W212" s="150">
        <v>864.67499999999995</v>
      </c>
      <c r="Y212" s="164">
        <v>5.57863122481633E-2</v>
      </c>
      <c r="Z212" s="164">
        <v>6.1149090603932399E-3</v>
      </c>
    </row>
    <row r="213" spans="1:26">
      <c r="A213" s="2" t="s">
        <v>128</v>
      </c>
      <c r="B213" s="2">
        <v>7229</v>
      </c>
      <c r="C213" s="2" t="s">
        <v>2836</v>
      </c>
      <c r="D213" s="2" t="s">
        <v>2837</v>
      </c>
      <c r="E213" s="2" t="s">
        <v>361</v>
      </c>
      <c r="F213" s="2" t="s">
        <v>2838</v>
      </c>
      <c r="G213" s="2">
        <v>62020565</v>
      </c>
      <c r="H213" s="2" t="s">
        <v>34</v>
      </c>
      <c r="I213" s="2" t="s">
        <v>1069</v>
      </c>
      <c r="J213" s="2" t="s">
        <v>613</v>
      </c>
      <c r="K213" s="2" t="s">
        <v>94</v>
      </c>
      <c r="L213" s="2" t="s">
        <v>282</v>
      </c>
      <c r="M213" s="2" t="s">
        <v>282</v>
      </c>
      <c r="N213" s="2" t="s">
        <v>342</v>
      </c>
      <c r="O213" s="2" t="s">
        <v>164</v>
      </c>
      <c r="P213" t="s">
        <v>2643</v>
      </c>
      <c r="Q213" s="2" t="s">
        <v>1219</v>
      </c>
      <c r="R213" s="2" t="s">
        <v>203</v>
      </c>
      <c r="S213" s="2" t="s">
        <v>940</v>
      </c>
      <c r="T213" s="2" t="s">
        <v>1374</v>
      </c>
      <c r="U213" s="150">
        <v>4.0199999999999996</v>
      </c>
      <c r="V213" s="150">
        <v>80.444999999999993</v>
      </c>
      <c r="W213" s="150">
        <v>323.40600000000001</v>
      </c>
      <c r="Y213" s="164">
        <v>2.0865210724843999E-2</v>
      </c>
      <c r="Z213" s="164">
        <v>2.2870998452234801E-3</v>
      </c>
    </row>
    <row r="214" spans="1:26">
      <c r="A214" s="2" t="s">
        <v>128</v>
      </c>
      <c r="B214" s="2">
        <v>7229</v>
      </c>
      <c r="C214" s="2" t="s">
        <v>2843</v>
      </c>
      <c r="D214" s="2" t="s">
        <v>2844</v>
      </c>
      <c r="E214" s="2" t="s">
        <v>361</v>
      </c>
      <c r="F214" s="2" t="s">
        <v>2845</v>
      </c>
      <c r="G214" s="2">
        <v>77847846</v>
      </c>
      <c r="H214" s="2" t="s">
        <v>34</v>
      </c>
      <c r="I214" s="2" t="s">
        <v>1069</v>
      </c>
      <c r="J214" s="2" t="s">
        <v>613</v>
      </c>
      <c r="K214" s="2" t="s">
        <v>94</v>
      </c>
      <c r="L214" s="2" t="s">
        <v>302</v>
      </c>
      <c r="M214" s="2" t="s">
        <v>302</v>
      </c>
      <c r="N214" s="2" t="s">
        <v>95</v>
      </c>
      <c r="O214" s="2" t="s">
        <v>164</v>
      </c>
      <c r="P214" t="s">
        <v>2846</v>
      </c>
      <c r="Q214" s="2" t="s">
        <v>99</v>
      </c>
      <c r="R214" s="2" t="s">
        <v>936</v>
      </c>
      <c r="S214" s="2" t="s">
        <v>940</v>
      </c>
      <c r="T214" s="2" t="s">
        <v>1374</v>
      </c>
      <c r="U214" s="150">
        <v>3.7589999999999999</v>
      </c>
      <c r="V214" s="150">
        <v>286.95400000000001</v>
      </c>
      <c r="W214" s="150">
        <v>1078.6590000000001</v>
      </c>
      <c r="Y214" s="164">
        <v>6.9591883590561995E-2</v>
      </c>
      <c r="Z214" s="164">
        <v>7.6281801457806497E-3</v>
      </c>
    </row>
    <row r="215" spans="1:26">
      <c r="A215" s="2" t="s">
        <v>128</v>
      </c>
      <c r="B215" s="2">
        <v>7229</v>
      </c>
      <c r="C215" s="2" t="s">
        <v>2855</v>
      </c>
      <c r="D215" s="2" t="s">
        <v>2856</v>
      </c>
      <c r="E215" s="2" t="s">
        <v>360</v>
      </c>
      <c r="F215" s="2" t="s">
        <v>2857</v>
      </c>
      <c r="G215" s="2">
        <v>62017652</v>
      </c>
      <c r="H215" s="2" t="s">
        <v>34</v>
      </c>
      <c r="I215" s="2" t="s">
        <v>1069</v>
      </c>
      <c r="J215" s="2" t="s">
        <v>890</v>
      </c>
      <c r="K215" s="2" t="s">
        <v>94</v>
      </c>
      <c r="L215" s="2" t="s">
        <v>267</v>
      </c>
      <c r="M215" s="2" t="s">
        <v>95</v>
      </c>
      <c r="N215" s="2" t="s">
        <v>345</v>
      </c>
      <c r="O215" s="2" t="s">
        <v>164</v>
      </c>
      <c r="P215" t="s">
        <v>2858</v>
      </c>
      <c r="Q215" s="2" t="s">
        <v>99</v>
      </c>
      <c r="R215" s="2" t="s">
        <v>203</v>
      </c>
      <c r="S215" s="2" t="s">
        <v>940</v>
      </c>
      <c r="T215" s="2" t="s">
        <v>1374</v>
      </c>
      <c r="U215" s="150">
        <v>3.7589999999999999</v>
      </c>
      <c r="V215" s="150">
        <v>198.73599999999999</v>
      </c>
      <c r="W215" s="150">
        <v>747.04700000000003</v>
      </c>
      <c r="Y215" s="164">
        <v>4.8197291719084698E-2</v>
      </c>
      <c r="Z215" s="164">
        <v>5.2830532068222601E-3</v>
      </c>
    </row>
    <row r="216" spans="1:26">
      <c r="A216" s="2" t="s">
        <v>128</v>
      </c>
      <c r="B216" s="2">
        <v>7229</v>
      </c>
      <c r="C216" s="2" t="s">
        <v>2859</v>
      </c>
      <c r="D216" s="2" t="s">
        <v>2860</v>
      </c>
      <c r="E216" s="2" t="s">
        <v>360</v>
      </c>
      <c r="F216" s="2" t="s">
        <v>2861</v>
      </c>
      <c r="G216" s="2">
        <v>62021142</v>
      </c>
      <c r="H216" s="2" t="s">
        <v>34</v>
      </c>
      <c r="I216" s="2" t="s">
        <v>1069</v>
      </c>
      <c r="J216" s="2" t="s">
        <v>890</v>
      </c>
      <c r="K216" s="2" t="s">
        <v>94</v>
      </c>
      <c r="L216" s="2" t="s">
        <v>267</v>
      </c>
      <c r="M216" s="2" t="s">
        <v>95</v>
      </c>
      <c r="N216" s="2" t="s">
        <v>345</v>
      </c>
      <c r="O216" s="2" t="s">
        <v>164</v>
      </c>
      <c r="P216" t="s">
        <v>2862</v>
      </c>
      <c r="Q216" s="2" t="s">
        <v>99</v>
      </c>
      <c r="R216" s="2" t="s">
        <v>936</v>
      </c>
      <c r="S216" s="2" t="s">
        <v>940</v>
      </c>
      <c r="T216" s="2" t="s">
        <v>1374</v>
      </c>
      <c r="U216" s="150">
        <v>3.7589999999999999</v>
      </c>
      <c r="V216" s="150">
        <v>132.684</v>
      </c>
      <c r="W216" s="150">
        <v>498.76</v>
      </c>
      <c r="Y216" s="164">
        <v>3.2178521295777002E-2</v>
      </c>
      <c r="Z216" s="164">
        <v>3.52718657125578E-3</v>
      </c>
    </row>
    <row r="217" spans="1:26">
      <c r="A217" s="2" t="s">
        <v>128</v>
      </c>
      <c r="B217" s="2">
        <v>7229</v>
      </c>
      <c r="C217" s="2" t="s">
        <v>2875</v>
      </c>
      <c r="D217" s="2" t="s">
        <v>2876</v>
      </c>
      <c r="E217" s="2" t="s">
        <v>360</v>
      </c>
      <c r="F217" s="2" t="s">
        <v>2877</v>
      </c>
      <c r="G217" s="2">
        <v>62021324</v>
      </c>
      <c r="H217" s="2" t="s">
        <v>34</v>
      </c>
      <c r="I217" s="2" t="s">
        <v>1069</v>
      </c>
      <c r="J217" s="2" t="s">
        <v>887</v>
      </c>
      <c r="K217" s="2" t="s">
        <v>94</v>
      </c>
      <c r="L217" s="2" t="s">
        <v>267</v>
      </c>
      <c r="M217" s="2" t="s">
        <v>95</v>
      </c>
      <c r="N217" s="2" t="s">
        <v>95</v>
      </c>
      <c r="O217" s="2" t="s">
        <v>164</v>
      </c>
      <c r="P217" t="s">
        <v>2874</v>
      </c>
      <c r="Q217" s="2" t="s">
        <v>99</v>
      </c>
      <c r="R217" s="2" t="s">
        <v>936</v>
      </c>
      <c r="S217" s="2" t="s">
        <v>940</v>
      </c>
      <c r="T217" s="2" t="s">
        <v>1374</v>
      </c>
      <c r="U217" s="150">
        <v>3.7589999999999999</v>
      </c>
      <c r="V217" s="150">
        <v>55.929000000000002</v>
      </c>
      <c r="W217" s="150">
        <v>210.23599999999999</v>
      </c>
      <c r="Y217" s="164">
        <v>1.3563818424062599E-2</v>
      </c>
      <c r="Z217" s="164">
        <v>1.4867718053465601E-3</v>
      </c>
    </row>
    <row r="218" spans="1:26">
      <c r="A218" s="2" t="s">
        <v>128</v>
      </c>
      <c r="B218" s="2">
        <v>7229</v>
      </c>
      <c r="C218" s="2" t="s">
        <v>2878</v>
      </c>
      <c r="D218" s="2" t="s">
        <v>2879</v>
      </c>
      <c r="E218" s="2" t="s">
        <v>361</v>
      </c>
      <c r="F218" s="2" t="s">
        <v>2880</v>
      </c>
      <c r="G218" s="2">
        <v>62021571</v>
      </c>
      <c r="H218" s="2" t="s">
        <v>34</v>
      </c>
      <c r="I218" s="2" t="s">
        <v>1069</v>
      </c>
      <c r="J218" s="2" t="s">
        <v>613</v>
      </c>
      <c r="K218" s="2" t="s">
        <v>94</v>
      </c>
      <c r="L218" s="2" t="s">
        <v>302</v>
      </c>
      <c r="M218" s="2" t="s">
        <v>282</v>
      </c>
      <c r="N218" s="2" t="s">
        <v>342</v>
      </c>
      <c r="O218" s="2" t="s">
        <v>164</v>
      </c>
      <c r="P218" t="s">
        <v>2881</v>
      </c>
      <c r="Q218" s="2" t="s">
        <v>1219</v>
      </c>
      <c r="R218" s="2" t="s">
        <v>203</v>
      </c>
      <c r="S218" s="2" t="s">
        <v>940</v>
      </c>
      <c r="T218" s="2" t="s">
        <v>1374</v>
      </c>
      <c r="U218" s="150">
        <v>4.0199999999999996</v>
      </c>
      <c r="V218" s="150">
        <v>42.646999999999998</v>
      </c>
      <c r="W218" s="150">
        <v>171.44900000000001</v>
      </c>
      <c r="Y218" s="164">
        <v>1.10613781091783E-2</v>
      </c>
      <c r="Z218" s="164">
        <v>1.21247163496592E-3</v>
      </c>
    </row>
    <row r="219" spans="1:26">
      <c r="A219" s="2" t="s">
        <v>128</v>
      </c>
      <c r="B219" s="2">
        <v>7229</v>
      </c>
      <c r="C219" s="2" t="s">
        <v>2886</v>
      </c>
      <c r="D219" s="2" t="s">
        <v>2887</v>
      </c>
      <c r="E219" s="2" t="s">
        <v>360</v>
      </c>
      <c r="F219" s="2" t="s">
        <v>2888</v>
      </c>
      <c r="G219" s="2">
        <v>62009204</v>
      </c>
      <c r="H219" s="2" t="s">
        <v>34</v>
      </c>
      <c r="I219" s="2" t="s">
        <v>1069</v>
      </c>
      <c r="J219" s="2" t="s">
        <v>877</v>
      </c>
      <c r="K219" s="2" t="s">
        <v>94</v>
      </c>
      <c r="L219" s="2" t="s">
        <v>302</v>
      </c>
      <c r="M219" s="2" t="s">
        <v>282</v>
      </c>
      <c r="N219" s="2" t="s">
        <v>345</v>
      </c>
      <c r="O219" s="2" t="s">
        <v>164</v>
      </c>
      <c r="P219" t="s">
        <v>2889</v>
      </c>
      <c r="Q219" s="2" t="s">
        <v>99</v>
      </c>
      <c r="R219" s="2" t="s">
        <v>203</v>
      </c>
      <c r="S219" s="2" t="s">
        <v>940</v>
      </c>
      <c r="T219" s="2" t="s">
        <v>1374</v>
      </c>
      <c r="U219" s="150">
        <v>3.7589999999999999</v>
      </c>
      <c r="V219" s="150">
        <v>162.55600000000001</v>
      </c>
      <c r="W219" s="150">
        <v>611.04999999999995</v>
      </c>
      <c r="Y219" s="164">
        <v>3.9423123744296899E-2</v>
      </c>
      <c r="Z219" s="164">
        <v>4.3212897009685704E-3</v>
      </c>
    </row>
    <row r="220" spans="1:26">
      <c r="A220" s="2" t="s">
        <v>128</v>
      </c>
      <c r="B220" s="2">
        <v>7229</v>
      </c>
      <c r="C220" s="2" t="s">
        <v>2890</v>
      </c>
      <c r="D220" s="2" t="s">
        <v>2891</v>
      </c>
      <c r="E220" s="2" t="s">
        <v>360</v>
      </c>
      <c r="F220" s="2" t="s">
        <v>2892</v>
      </c>
      <c r="G220" s="2">
        <v>62019807</v>
      </c>
      <c r="H220" s="2" t="s">
        <v>34</v>
      </c>
      <c r="I220" s="2" t="s">
        <v>1069</v>
      </c>
      <c r="J220" s="2" t="s">
        <v>877</v>
      </c>
      <c r="K220" s="2" t="s">
        <v>94</v>
      </c>
      <c r="L220" s="2" t="s">
        <v>302</v>
      </c>
      <c r="M220" s="2" t="s">
        <v>282</v>
      </c>
      <c r="N220" s="2" t="s">
        <v>345</v>
      </c>
      <c r="O220" s="2" t="s">
        <v>164</v>
      </c>
      <c r="P220" t="s">
        <v>2771</v>
      </c>
      <c r="Q220" s="2" t="s">
        <v>99</v>
      </c>
      <c r="R220" s="2" t="s">
        <v>936</v>
      </c>
      <c r="S220" s="2" t="s">
        <v>940</v>
      </c>
      <c r="T220" s="2" t="s">
        <v>1374</v>
      </c>
      <c r="U220" s="150">
        <v>3.7589999999999999</v>
      </c>
      <c r="V220" s="150">
        <v>220.80699999999999</v>
      </c>
      <c r="W220" s="150">
        <v>830.01300000000003</v>
      </c>
      <c r="Y220" s="164">
        <v>5.35500106529175E-2</v>
      </c>
      <c r="Z220" s="164">
        <v>5.8697811726470704E-3</v>
      </c>
    </row>
    <row r="221" spans="1:26">
      <c r="A221" s="2" t="s">
        <v>128</v>
      </c>
      <c r="B221" s="2">
        <v>7229</v>
      </c>
      <c r="C221" s="2" t="s">
        <v>2900</v>
      </c>
      <c r="D221" s="2" t="s">
        <v>2901</v>
      </c>
      <c r="E221" s="2" t="s">
        <v>360</v>
      </c>
      <c r="F221" s="2" t="s">
        <v>2902</v>
      </c>
      <c r="G221" s="2">
        <v>62010137</v>
      </c>
      <c r="H221" s="2" t="s">
        <v>34</v>
      </c>
      <c r="I221" s="2" t="s">
        <v>1069</v>
      </c>
      <c r="J221" s="2" t="s">
        <v>897</v>
      </c>
      <c r="K221" s="2" t="s">
        <v>94</v>
      </c>
      <c r="L221" s="2" t="s">
        <v>302</v>
      </c>
      <c r="M221" s="2" t="s">
        <v>282</v>
      </c>
      <c r="N221" s="2" t="s">
        <v>345</v>
      </c>
      <c r="O221" s="2" t="s">
        <v>164</v>
      </c>
      <c r="P221" t="s">
        <v>2903</v>
      </c>
      <c r="Q221" s="2" t="s">
        <v>99</v>
      </c>
      <c r="R221" s="2" t="s">
        <v>936</v>
      </c>
      <c r="S221" s="2" t="s">
        <v>940</v>
      </c>
      <c r="T221" s="2" t="s">
        <v>1374</v>
      </c>
      <c r="U221" s="150">
        <v>3.7589999999999999</v>
      </c>
      <c r="V221" s="150">
        <v>102.66200000000001</v>
      </c>
      <c r="W221" s="150">
        <v>385.90699999999998</v>
      </c>
      <c r="Y221" s="164">
        <v>2.4897601093840201E-2</v>
      </c>
      <c r="Z221" s="164">
        <v>2.7291025410232702E-3</v>
      </c>
    </row>
    <row r="222" spans="1:26">
      <c r="A222" s="2" t="s">
        <v>144</v>
      </c>
      <c r="B222" s="2">
        <v>969</v>
      </c>
      <c r="C222" s="2" t="s">
        <v>2644</v>
      </c>
      <c r="D222" s="2" t="s">
        <v>2645</v>
      </c>
      <c r="E222" s="2" t="s">
        <v>359</v>
      </c>
      <c r="F222" s="2" t="s">
        <v>2646</v>
      </c>
      <c r="G222" s="2">
        <v>62018312</v>
      </c>
      <c r="H222" s="2" t="s">
        <v>34</v>
      </c>
      <c r="I222" s="2" t="s">
        <v>1069</v>
      </c>
      <c r="J222" s="2" t="s">
        <v>613</v>
      </c>
      <c r="K222" s="2" t="s">
        <v>31</v>
      </c>
      <c r="L222" s="2" t="s">
        <v>31</v>
      </c>
      <c r="M222" s="2" t="s">
        <v>31</v>
      </c>
      <c r="N222" s="2" t="s">
        <v>31</v>
      </c>
      <c r="O222" s="2" t="s">
        <v>164</v>
      </c>
      <c r="P222" t="s">
        <v>2647</v>
      </c>
      <c r="Q222" s="2" t="s">
        <v>99</v>
      </c>
      <c r="R222" s="2" t="s">
        <v>936</v>
      </c>
      <c r="S222" s="2" t="s">
        <v>940</v>
      </c>
      <c r="T222" s="2" t="s">
        <v>1374</v>
      </c>
      <c r="U222" s="150">
        <v>3.7589999999999999</v>
      </c>
      <c r="V222" s="150">
        <v>79.766999999999996</v>
      </c>
      <c r="W222" s="150">
        <v>299.84500000000003</v>
      </c>
      <c r="Y222" s="164">
        <v>2.79367517123526E-2</v>
      </c>
      <c r="Z222" s="164">
        <v>4.06539017433479E-3</v>
      </c>
    </row>
    <row r="223" spans="1:26">
      <c r="A223" s="2" t="s">
        <v>144</v>
      </c>
      <c r="B223" s="2">
        <v>969</v>
      </c>
      <c r="C223" s="2" t="s">
        <v>2660</v>
      </c>
      <c r="D223" s="2" t="s">
        <v>2661</v>
      </c>
      <c r="E223" s="2" t="s">
        <v>360</v>
      </c>
      <c r="F223" s="2" t="s">
        <v>2662</v>
      </c>
      <c r="G223" s="2">
        <v>60415775</v>
      </c>
      <c r="H223" s="2" t="s">
        <v>34</v>
      </c>
      <c r="I223" s="2" t="s">
        <v>1069</v>
      </c>
      <c r="J223" s="2" t="s">
        <v>882</v>
      </c>
      <c r="K223" s="2" t="s">
        <v>94</v>
      </c>
      <c r="L223" s="2" t="s">
        <v>267</v>
      </c>
      <c r="M223" s="2" t="s">
        <v>31</v>
      </c>
      <c r="N223" s="2" t="s">
        <v>31</v>
      </c>
      <c r="O223" s="2" t="s">
        <v>164</v>
      </c>
      <c r="P223" t="s">
        <v>2990</v>
      </c>
      <c r="Q223" s="2" t="s">
        <v>99</v>
      </c>
      <c r="R223" s="2" t="s">
        <v>936</v>
      </c>
      <c r="S223" s="2" t="s">
        <v>940</v>
      </c>
      <c r="T223" s="2" t="s">
        <v>1374</v>
      </c>
      <c r="U223" s="150">
        <v>3.7589999999999999</v>
      </c>
      <c r="V223" s="150">
        <v>103.229</v>
      </c>
      <c r="W223" s="150">
        <v>388.03899999999999</v>
      </c>
      <c r="Y223" s="164">
        <v>3.6153895295004901E-2</v>
      </c>
      <c r="Z223" s="164">
        <v>5.2611589281961104E-3</v>
      </c>
    </row>
    <row r="224" spans="1:26">
      <c r="A224" s="2" t="s">
        <v>144</v>
      </c>
      <c r="B224" s="2">
        <v>969</v>
      </c>
      <c r="C224" s="2" t="s">
        <v>2668</v>
      </c>
      <c r="D224" s="2" t="s">
        <v>2669</v>
      </c>
      <c r="E224" s="2" t="s">
        <v>34</v>
      </c>
      <c r="F224" s="2" t="s">
        <v>2670</v>
      </c>
      <c r="G224" s="2">
        <v>62001189</v>
      </c>
      <c r="H224" s="2" t="s">
        <v>34</v>
      </c>
      <c r="I224" s="2" t="s">
        <v>1069</v>
      </c>
      <c r="J224" s="2" t="s">
        <v>897</v>
      </c>
      <c r="K224" s="2" t="s">
        <v>31</v>
      </c>
      <c r="L224" s="2" t="s">
        <v>267</v>
      </c>
      <c r="M224" s="2" t="s">
        <v>31</v>
      </c>
      <c r="N224" s="2" t="s">
        <v>31</v>
      </c>
      <c r="O224" s="2" t="s">
        <v>164</v>
      </c>
      <c r="P224" t="s">
        <v>2988</v>
      </c>
      <c r="Q224" s="2" t="s">
        <v>99</v>
      </c>
      <c r="R224" s="2" t="s">
        <v>936</v>
      </c>
      <c r="S224" s="2" t="s">
        <v>940</v>
      </c>
      <c r="T224" s="2" t="s">
        <v>1374</v>
      </c>
      <c r="U224" s="150">
        <v>3.7589999999999999</v>
      </c>
      <c r="V224" s="150">
        <v>40.543999999999997</v>
      </c>
      <c r="W224" s="150">
        <v>152.405</v>
      </c>
      <c r="Y224" s="164">
        <v>1.4199695741533E-2</v>
      </c>
      <c r="Z224" s="164">
        <v>2.0663570389483402E-3</v>
      </c>
    </row>
    <row r="225" spans="1:26">
      <c r="A225" s="2" t="s">
        <v>144</v>
      </c>
      <c r="B225" s="2">
        <v>969</v>
      </c>
      <c r="C225" s="2" t="s">
        <v>2672</v>
      </c>
      <c r="D225" s="2" t="s">
        <v>2673</v>
      </c>
      <c r="E225" s="2" t="s">
        <v>34</v>
      </c>
      <c r="F225" s="2" t="s">
        <v>2672</v>
      </c>
      <c r="G225" s="2">
        <v>60401809</v>
      </c>
      <c r="H225" s="2" t="s">
        <v>34</v>
      </c>
      <c r="I225" s="2" t="s">
        <v>1069</v>
      </c>
      <c r="J225" s="2" t="s">
        <v>895</v>
      </c>
      <c r="K225" s="2" t="s">
        <v>94</v>
      </c>
      <c r="L225" s="2" t="s">
        <v>267</v>
      </c>
      <c r="M225" s="2" t="s">
        <v>31</v>
      </c>
      <c r="N225" s="2" t="s">
        <v>95</v>
      </c>
      <c r="O225" s="2" t="s">
        <v>164</v>
      </c>
      <c r="P225" t="s">
        <v>2991</v>
      </c>
      <c r="Q225" s="2" t="s">
        <v>99</v>
      </c>
      <c r="R225" s="2" t="s">
        <v>936</v>
      </c>
      <c r="S225" s="2" t="s">
        <v>940</v>
      </c>
      <c r="T225" s="2" t="s">
        <v>1374</v>
      </c>
      <c r="U225" s="150">
        <v>3.7589999999999999</v>
      </c>
      <c r="V225" s="150">
        <v>200.761</v>
      </c>
      <c r="W225" s="150">
        <v>754.66</v>
      </c>
      <c r="Y225" s="164">
        <v>7.0312225630769901E-2</v>
      </c>
      <c r="Z225" s="164">
        <v>1.02319208101976E-2</v>
      </c>
    </row>
    <row r="226" spans="1:26">
      <c r="A226" s="2" t="s">
        <v>144</v>
      </c>
      <c r="B226" s="2">
        <v>969</v>
      </c>
      <c r="C226" s="2" t="s">
        <v>2675</v>
      </c>
      <c r="D226" s="2" t="s">
        <v>2676</v>
      </c>
      <c r="E226" s="2" t="s">
        <v>360</v>
      </c>
      <c r="F226" s="2" t="s">
        <v>2677</v>
      </c>
      <c r="G226" s="2">
        <v>50000983</v>
      </c>
      <c r="H226" s="2" t="s">
        <v>34</v>
      </c>
      <c r="I226" s="2" t="s">
        <v>1069</v>
      </c>
      <c r="J226" s="2" t="s">
        <v>889</v>
      </c>
      <c r="K226" s="2" t="s">
        <v>94</v>
      </c>
      <c r="L226" s="2" t="s">
        <v>267</v>
      </c>
      <c r="M226" s="2" t="s">
        <v>31</v>
      </c>
      <c r="N226" s="2" t="s">
        <v>345</v>
      </c>
      <c r="O226" s="2" t="s">
        <v>164</v>
      </c>
      <c r="P226" t="s">
        <v>2678</v>
      </c>
      <c r="Q226" s="2" t="s">
        <v>35</v>
      </c>
      <c r="R226" s="2" t="s">
        <v>936</v>
      </c>
      <c r="S226" s="2" t="s">
        <v>940</v>
      </c>
      <c r="T226" s="2" t="s">
        <v>1374</v>
      </c>
      <c r="U226" s="150">
        <v>1</v>
      </c>
      <c r="V226" s="150">
        <v>173.06</v>
      </c>
      <c r="W226" s="150">
        <v>173.06</v>
      </c>
      <c r="Y226" s="164">
        <v>1.61241130611843E-2</v>
      </c>
      <c r="Z226" s="164">
        <v>2.3464005938749798E-3</v>
      </c>
    </row>
    <row r="227" spans="1:26">
      <c r="A227" s="2" t="s">
        <v>144</v>
      </c>
      <c r="B227" s="2">
        <v>969</v>
      </c>
      <c r="C227" s="2" t="s">
        <v>2683</v>
      </c>
      <c r="D227" s="2" t="s">
        <v>2684</v>
      </c>
      <c r="E227" s="2" t="s">
        <v>358</v>
      </c>
      <c r="F227" s="2" t="s">
        <v>2685</v>
      </c>
      <c r="G227" s="2">
        <v>60364742</v>
      </c>
      <c r="H227" s="2" t="s">
        <v>34</v>
      </c>
      <c r="I227" s="2" t="s">
        <v>1069</v>
      </c>
      <c r="J227" s="2" t="s">
        <v>895</v>
      </c>
      <c r="K227" s="2" t="s">
        <v>31</v>
      </c>
      <c r="L227" s="2" t="s">
        <v>267</v>
      </c>
      <c r="M227" s="2" t="s">
        <v>31</v>
      </c>
      <c r="N227" s="2" t="s">
        <v>31</v>
      </c>
      <c r="O227" s="2" t="s">
        <v>164</v>
      </c>
      <c r="P227" t="s">
        <v>2992</v>
      </c>
      <c r="Q227" s="2" t="s">
        <v>99</v>
      </c>
      <c r="R227" s="2" t="s">
        <v>936</v>
      </c>
      <c r="S227" s="2" t="s">
        <v>940</v>
      </c>
      <c r="T227" s="2" t="s">
        <v>1374</v>
      </c>
      <c r="U227" s="150">
        <v>3.7589999999999999</v>
      </c>
      <c r="V227" s="150">
        <v>103.413</v>
      </c>
      <c r="W227" s="150">
        <v>388.72899999999998</v>
      </c>
      <c r="Y227" s="164">
        <v>3.6218232363702398E-2</v>
      </c>
      <c r="Z227" s="164">
        <v>5.2705213368834701E-3</v>
      </c>
    </row>
    <row r="228" spans="1:26">
      <c r="A228" s="2" t="s">
        <v>144</v>
      </c>
      <c r="B228" s="2">
        <v>969</v>
      </c>
      <c r="C228" s="2" t="s">
        <v>2683</v>
      </c>
      <c r="D228" s="2" t="s">
        <v>2684</v>
      </c>
      <c r="E228" s="2" t="s">
        <v>358</v>
      </c>
      <c r="F228" s="2" t="s">
        <v>2687</v>
      </c>
      <c r="G228" s="2">
        <v>62002785</v>
      </c>
      <c r="H228" s="2" t="s">
        <v>34</v>
      </c>
      <c r="I228" s="2" t="s">
        <v>1069</v>
      </c>
      <c r="J228" s="2" t="s">
        <v>895</v>
      </c>
      <c r="K228" s="2" t="s">
        <v>31</v>
      </c>
      <c r="L228" s="2" t="s">
        <v>267</v>
      </c>
      <c r="M228" s="2" t="s">
        <v>31</v>
      </c>
      <c r="N228" s="2" t="s">
        <v>31</v>
      </c>
      <c r="O228" s="2" t="s">
        <v>164</v>
      </c>
      <c r="P228" t="s">
        <v>2989</v>
      </c>
      <c r="Q228" s="2" t="s">
        <v>99</v>
      </c>
      <c r="R228" s="2" t="s">
        <v>936</v>
      </c>
      <c r="S228" s="2" t="s">
        <v>940</v>
      </c>
      <c r="T228" s="2" t="s">
        <v>1374</v>
      </c>
      <c r="U228" s="150">
        <v>3.7589999999999999</v>
      </c>
      <c r="V228" s="150">
        <v>55.36</v>
      </c>
      <c r="W228" s="150">
        <v>208.09700000000001</v>
      </c>
      <c r="Y228" s="164">
        <v>1.9388593981297501E-2</v>
      </c>
      <c r="Z228" s="164">
        <v>2.8214518379701598E-3</v>
      </c>
    </row>
    <row r="229" spans="1:26">
      <c r="A229" s="2" t="s">
        <v>144</v>
      </c>
      <c r="B229" s="2">
        <v>969</v>
      </c>
      <c r="C229" s="2" t="s">
        <v>2709</v>
      </c>
      <c r="D229" s="2" t="s">
        <v>2710</v>
      </c>
      <c r="E229" s="2" t="s">
        <v>203</v>
      </c>
      <c r="F229" s="2" t="s">
        <v>2711</v>
      </c>
      <c r="G229" s="2">
        <v>60406600</v>
      </c>
      <c r="H229" s="2" t="s">
        <v>34</v>
      </c>
      <c r="I229" s="2" t="s">
        <v>1069</v>
      </c>
      <c r="J229" s="2" t="s">
        <v>876</v>
      </c>
      <c r="K229" s="2" t="s">
        <v>94</v>
      </c>
      <c r="L229" s="2" t="s">
        <v>267</v>
      </c>
      <c r="M229" s="2" t="s">
        <v>31</v>
      </c>
      <c r="N229" s="2" t="s">
        <v>31</v>
      </c>
      <c r="O229" s="2" t="s">
        <v>164</v>
      </c>
      <c r="P229" t="s">
        <v>2993</v>
      </c>
      <c r="Q229" s="2" t="s">
        <v>99</v>
      </c>
      <c r="R229" s="2" t="s">
        <v>936</v>
      </c>
      <c r="S229" s="2" t="s">
        <v>940</v>
      </c>
      <c r="T229" s="2" t="s">
        <v>1374</v>
      </c>
      <c r="U229" s="150">
        <v>3.7589999999999999</v>
      </c>
      <c r="V229" s="150">
        <v>219.99</v>
      </c>
      <c r="W229" s="150">
        <v>826.94100000000003</v>
      </c>
      <c r="Y229" s="164">
        <v>7.7046793325977206E-2</v>
      </c>
      <c r="Z229" s="164">
        <v>1.1211943313113801E-2</v>
      </c>
    </row>
    <row r="230" spans="1:26">
      <c r="A230" s="2" t="s">
        <v>144</v>
      </c>
      <c r="B230" s="2">
        <v>969</v>
      </c>
      <c r="C230" s="2" t="s">
        <v>2732</v>
      </c>
      <c r="E230" s="2" t="s">
        <v>203</v>
      </c>
      <c r="F230" s="2" t="s">
        <v>2735</v>
      </c>
      <c r="G230" s="2">
        <v>62007349</v>
      </c>
      <c r="H230" s="2" t="s">
        <v>34</v>
      </c>
      <c r="I230" s="2" t="s">
        <v>1069</v>
      </c>
      <c r="J230" s="2" t="s">
        <v>897</v>
      </c>
      <c r="K230" s="2" t="s">
        <v>94</v>
      </c>
      <c r="L230" s="2" t="s">
        <v>267</v>
      </c>
      <c r="M230" s="2" t="s">
        <v>31</v>
      </c>
      <c r="N230" s="2" t="s">
        <v>31</v>
      </c>
      <c r="O230" s="2" t="s">
        <v>164</v>
      </c>
      <c r="P230" t="s">
        <v>2736</v>
      </c>
      <c r="Q230" s="2" t="s">
        <v>99</v>
      </c>
      <c r="R230" s="2" t="s">
        <v>936</v>
      </c>
      <c r="S230" s="2" t="s">
        <v>940</v>
      </c>
      <c r="T230" s="2" t="s">
        <v>1374</v>
      </c>
      <c r="U230" s="150">
        <v>3.7589999999999999</v>
      </c>
      <c r="V230" s="150">
        <v>121.557</v>
      </c>
      <c r="W230" s="150">
        <v>456.93200000000002</v>
      </c>
      <c r="Y230" s="164">
        <v>4.2572682624419399E-2</v>
      </c>
      <c r="Z230" s="164">
        <v>6.1952286872299801E-3</v>
      </c>
    </row>
    <row r="231" spans="1:26">
      <c r="A231" s="2" t="s">
        <v>144</v>
      </c>
      <c r="B231" s="2">
        <v>969</v>
      </c>
      <c r="C231" s="2" t="s">
        <v>2644</v>
      </c>
      <c r="D231" s="2" t="s">
        <v>2645</v>
      </c>
      <c r="E231" s="2" t="s">
        <v>359</v>
      </c>
      <c r="F231" s="2" t="s">
        <v>2751</v>
      </c>
      <c r="G231" s="2">
        <v>60400892</v>
      </c>
      <c r="H231" s="2" t="s">
        <v>34</v>
      </c>
      <c r="I231" s="2" t="s">
        <v>1069</v>
      </c>
      <c r="J231" s="2" t="s">
        <v>613</v>
      </c>
      <c r="K231" s="2" t="s">
        <v>31</v>
      </c>
      <c r="L231" s="2" t="s">
        <v>31</v>
      </c>
      <c r="M231" s="2" t="s">
        <v>31</v>
      </c>
      <c r="N231" s="2" t="s">
        <v>31</v>
      </c>
      <c r="O231" s="2" t="s">
        <v>164</v>
      </c>
      <c r="P231" t="s">
        <v>2994</v>
      </c>
      <c r="Q231" s="2" t="s">
        <v>99</v>
      </c>
      <c r="R231" s="2" t="s">
        <v>936</v>
      </c>
      <c r="S231" s="2" t="s">
        <v>940</v>
      </c>
      <c r="T231" s="2" t="s">
        <v>1374</v>
      </c>
      <c r="U231" s="150">
        <v>3.7589999999999999</v>
      </c>
      <c r="V231" s="150">
        <v>435.43099999999998</v>
      </c>
      <c r="W231" s="150">
        <v>1636.7840000000001</v>
      </c>
      <c r="Y231" s="164">
        <v>0.15250047993195101</v>
      </c>
      <c r="Z231" s="164">
        <v>2.2192055793750901E-2</v>
      </c>
    </row>
    <row r="232" spans="1:26">
      <c r="A232" s="2" t="s">
        <v>144</v>
      </c>
      <c r="B232" s="2">
        <v>969</v>
      </c>
      <c r="C232" s="2" t="s">
        <v>2744</v>
      </c>
      <c r="D232" s="2" t="s">
        <v>2745</v>
      </c>
      <c r="E232" s="2" t="s">
        <v>1376</v>
      </c>
      <c r="F232" s="2" t="s">
        <v>2744</v>
      </c>
      <c r="G232" s="2">
        <v>18952</v>
      </c>
      <c r="H232" s="2" t="s">
        <v>34</v>
      </c>
      <c r="I232" s="2" t="s">
        <v>1069</v>
      </c>
      <c r="J232" s="2" t="s">
        <v>880</v>
      </c>
      <c r="K232" s="2" t="s">
        <v>31</v>
      </c>
      <c r="L232" s="2" t="s">
        <v>31</v>
      </c>
      <c r="M232" s="2" t="s">
        <v>31</v>
      </c>
      <c r="N232" s="2" t="s">
        <v>31</v>
      </c>
      <c r="O232" s="2" t="s">
        <v>164</v>
      </c>
      <c r="P232" t="s">
        <v>2753</v>
      </c>
      <c r="Q232" s="2" t="s">
        <v>35</v>
      </c>
      <c r="R232" s="2" t="s">
        <v>936</v>
      </c>
      <c r="S232" s="2" t="s">
        <v>940</v>
      </c>
      <c r="T232" s="2" t="s">
        <v>1374</v>
      </c>
      <c r="U232" s="150">
        <v>1</v>
      </c>
      <c r="V232" s="150">
        <v>75.353999999999999</v>
      </c>
      <c r="W232" s="150">
        <v>75.353999999999999</v>
      </c>
      <c r="Y232" s="164">
        <v>7.0207715839013E-3</v>
      </c>
      <c r="Z232" s="164">
        <v>1.0216712417865301E-3</v>
      </c>
    </row>
    <row r="233" spans="1:26">
      <c r="A233" s="2" t="s">
        <v>144</v>
      </c>
      <c r="B233" s="2">
        <v>969</v>
      </c>
      <c r="C233" s="2" t="s">
        <v>2776</v>
      </c>
      <c r="D233" s="2" t="s">
        <v>2777</v>
      </c>
      <c r="E233" s="2" t="s">
        <v>360</v>
      </c>
      <c r="F233" s="2" t="s">
        <v>2778</v>
      </c>
      <c r="G233" s="2">
        <v>62013909</v>
      </c>
      <c r="H233" s="2" t="s">
        <v>34</v>
      </c>
      <c r="I233" s="2" t="s">
        <v>1069</v>
      </c>
      <c r="J233" s="2" t="s">
        <v>883</v>
      </c>
      <c r="K233" s="2" t="s">
        <v>94</v>
      </c>
      <c r="L233" s="2" t="s">
        <v>267</v>
      </c>
      <c r="M233" s="2" t="s">
        <v>95</v>
      </c>
      <c r="N233" s="2" t="s">
        <v>95</v>
      </c>
      <c r="O233" s="2" t="s">
        <v>164</v>
      </c>
      <c r="P233" t="s">
        <v>2779</v>
      </c>
      <c r="Q233" s="2" t="s">
        <v>99</v>
      </c>
      <c r="R233" s="2" t="s">
        <v>936</v>
      </c>
      <c r="S233" s="2" t="s">
        <v>940</v>
      </c>
      <c r="T233" s="2" t="s">
        <v>1374</v>
      </c>
      <c r="U233" s="150">
        <v>3.7589999999999999</v>
      </c>
      <c r="V233" s="150">
        <v>67.399000000000001</v>
      </c>
      <c r="W233" s="150">
        <v>253.35400000000001</v>
      </c>
      <c r="Y233" s="164">
        <v>2.3605154929531601E-2</v>
      </c>
      <c r="Z233" s="164">
        <v>3.4350509286924899E-3</v>
      </c>
    </row>
    <row r="234" spans="1:26">
      <c r="A234" s="2" t="s">
        <v>144</v>
      </c>
      <c r="B234" s="2">
        <v>969</v>
      </c>
      <c r="C234" s="2" t="s">
        <v>2784</v>
      </c>
      <c r="D234" s="2" t="s">
        <v>2785</v>
      </c>
      <c r="E234" s="2" t="s">
        <v>360</v>
      </c>
      <c r="F234" s="2" t="s">
        <v>2786</v>
      </c>
      <c r="G234" s="2">
        <v>60419041</v>
      </c>
      <c r="H234" s="2" t="s">
        <v>34</v>
      </c>
      <c r="I234" s="2" t="s">
        <v>1069</v>
      </c>
      <c r="J234" s="2" t="s">
        <v>897</v>
      </c>
      <c r="K234" s="2" t="s">
        <v>94</v>
      </c>
      <c r="L234" s="2" t="s">
        <v>267</v>
      </c>
      <c r="M234" s="2" t="s">
        <v>95</v>
      </c>
      <c r="N234" s="2" t="s">
        <v>345</v>
      </c>
      <c r="O234" s="2" t="s">
        <v>164</v>
      </c>
      <c r="P234" t="s">
        <v>2995</v>
      </c>
      <c r="Q234" s="2" t="s">
        <v>99</v>
      </c>
      <c r="R234" s="2" t="s">
        <v>936</v>
      </c>
      <c r="S234" s="2" t="s">
        <v>940</v>
      </c>
      <c r="T234" s="2" t="s">
        <v>1374</v>
      </c>
      <c r="U234" s="150">
        <v>3.7589999999999999</v>
      </c>
      <c r="V234" s="150">
        <v>58.738</v>
      </c>
      <c r="W234" s="150">
        <v>220.79599999999999</v>
      </c>
      <c r="Y234" s="164">
        <v>2.05717374396822E-2</v>
      </c>
      <c r="Z234" s="164">
        <v>2.9936243167204102E-3</v>
      </c>
    </row>
    <row r="235" spans="1:26">
      <c r="A235" s="2" t="s">
        <v>144</v>
      </c>
      <c r="B235" s="2">
        <v>969</v>
      </c>
      <c r="C235" s="2" t="s">
        <v>2788</v>
      </c>
      <c r="D235" s="2" t="s">
        <v>2789</v>
      </c>
      <c r="E235" s="2" t="s">
        <v>360</v>
      </c>
      <c r="F235" s="2" t="s">
        <v>2790</v>
      </c>
      <c r="G235" s="2">
        <v>62016654</v>
      </c>
      <c r="H235" s="2" t="s">
        <v>34</v>
      </c>
      <c r="I235" s="2" t="s">
        <v>1069</v>
      </c>
      <c r="J235" s="2" t="s">
        <v>897</v>
      </c>
      <c r="K235" s="2" t="s">
        <v>94</v>
      </c>
      <c r="L235" s="2" t="s">
        <v>267</v>
      </c>
      <c r="M235" s="2" t="s">
        <v>95</v>
      </c>
      <c r="N235" s="2" t="s">
        <v>345</v>
      </c>
      <c r="O235" s="2" t="s">
        <v>164</v>
      </c>
      <c r="P235" t="s">
        <v>2791</v>
      </c>
      <c r="Q235" s="2" t="s">
        <v>99</v>
      </c>
      <c r="R235" s="2" t="s">
        <v>936</v>
      </c>
      <c r="S235" s="2" t="s">
        <v>940</v>
      </c>
      <c r="T235" s="2" t="s">
        <v>1374</v>
      </c>
      <c r="U235" s="150">
        <v>3.7589999999999999</v>
      </c>
      <c r="V235" s="150">
        <v>106.577</v>
      </c>
      <c r="W235" s="150">
        <v>400.62200000000001</v>
      </c>
      <c r="Y235" s="164">
        <v>3.7326300767039397E-2</v>
      </c>
      <c r="Z235" s="164">
        <v>5.4317688020791097E-3</v>
      </c>
    </row>
    <row r="236" spans="1:26">
      <c r="A236" s="2" t="s">
        <v>144</v>
      </c>
      <c r="B236" s="2">
        <v>969</v>
      </c>
      <c r="C236" s="2" t="s">
        <v>2796</v>
      </c>
      <c r="D236" s="2" t="s">
        <v>2797</v>
      </c>
      <c r="E236" s="2" t="s">
        <v>361</v>
      </c>
      <c r="F236" s="2" t="s">
        <v>2798</v>
      </c>
      <c r="G236" s="2">
        <v>62018064</v>
      </c>
      <c r="H236" s="2" t="s">
        <v>34</v>
      </c>
      <c r="I236" s="2" t="s">
        <v>1069</v>
      </c>
      <c r="J236" s="2" t="s">
        <v>882</v>
      </c>
      <c r="K236" s="2" t="s">
        <v>94</v>
      </c>
      <c r="L236" s="2" t="s">
        <v>267</v>
      </c>
      <c r="M236" s="2" t="s">
        <v>95</v>
      </c>
      <c r="N236" s="2" t="s">
        <v>340</v>
      </c>
      <c r="O236" s="2" t="s">
        <v>164</v>
      </c>
      <c r="P236" t="s">
        <v>2799</v>
      </c>
      <c r="Q236" s="2" t="s">
        <v>99</v>
      </c>
      <c r="R236" s="2" t="s">
        <v>203</v>
      </c>
      <c r="S236" s="2" t="s">
        <v>940</v>
      </c>
      <c r="T236" s="2" t="s">
        <v>1374</v>
      </c>
      <c r="U236" s="150">
        <v>3.7589999999999999</v>
      </c>
      <c r="V236" s="150">
        <v>136.292</v>
      </c>
      <c r="W236" s="150">
        <v>512.322</v>
      </c>
      <c r="Y236" s="164">
        <v>4.7733413440930003E-2</v>
      </c>
      <c r="Z236" s="164">
        <v>6.9462245284734802E-3</v>
      </c>
    </row>
    <row r="237" spans="1:26">
      <c r="A237" s="2" t="s">
        <v>144</v>
      </c>
      <c r="B237" s="2">
        <v>969</v>
      </c>
      <c r="C237" s="2" t="s">
        <v>2822</v>
      </c>
      <c r="D237" s="2" t="s">
        <v>2823</v>
      </c>
      <c r="E237" s="2" t="s">
        <v>361</v>
      </c>
      <c r="F237" s="2" t="s">
        <v>2824</v>
      </c>
      <c r="G237" s="2">
        <v>62003800</v>
      </c>
      <c r="H237" s="2" t="s">
        <v>34</v>
      </c>
      <c r="I237" s="2" t="s">
        <v>1069</v>
      </c>
      <c r="J237" s="2" t="s">
        <v>894</v>
      </c>
      <c r="K237" s="2" t="s">
        <v>94</v>
      </c>
      <c r="L237" s="2" t="s">
        <v>267</v>
      </c>
      <c r="M237" s="2" t="s">
        <v>95</v>
      </c>
      <c r="N237" s="2" t="s">
        <v>345</v>
      </c>
      <c r="O237" s="2" t="s">
        <v>164</v>
      </c>
      <c r="P237" t="s">
        <v>2903</v>
      </c>
      <c r="Q237" s="2" t="s">
        <v>99</v>
      </c>
      <c r="R237" s="2" t="s">
        <v>203</v>
      </c>
      <c r="S237" s="2" t="s">
        <v>940</v>
      </c>
      <c r="T237" s="2" t="s">
        <v>1374</v>
      </c>
      <c r="U237" s="150">
        <v>3.7589999999999999</v>
      </c>
      <c r="V237" s="150">
        <v>142.732</v>
      </c>
      <c r="W237" s="150">
        <v>536.529</v>
      </c>
      <c r="Y237" s="164">
        <v>4.9988871023557598E-2</v>
      </c>
      <c r="Z237" s="164">
        <v>7.2744414661280003E-3</v>
      </c>
    </row>
    <row r="238" spans="1:26">
      <c r="A238" s="2" t="s">
        <v>144</v>
      </c>
      <c r="B238" s="2">
        <v>969</v>
      </c>
      <c r="C238" s="2" t="s">
        <v>2822</v>
      </c>
      <c r="D238" s="2" t="s">
        <v>2823</v>
      </c>
      <c r="E238" s="2" t="s">
        <v>361</v>
      </c>
      <c r="F238" s="2" t="s">
        <v>2826</v>
      </c>
      <c r="G238" s="2">
        <v>620101031</v>
      </c>
      <c r="H238" s="2" t="s">
        <v>34</v>
      </c>
      <c r="I238" s="2" t="s">
        <v>1069</v>
      </c>
      <c r="J238" s="2" t="s">
        <v>613</v>
      </c>
      <c r="K238" s="2" t="s">
        <v>94</v>
      </c>
      <c r="L238" s="2" t="s">
        <v>267</v>
      </c>
      <c r="M238" s="2" t="s">
        <v>95</v>
      </c>
      <c r="N238" s="2" t="s">
        <v>95</v>
      </c>
      <c r="O238" s="2" t="s">
        <v>164</v>
      </c>
      <c r="P238" t="s">
        <v>2696</v>
      </c>
      <c r="Q238" s="2" t="s">
        <v>99</v>
      </c>
      <c r="R238" s="2" t="s">
        <v>203</v>
      </c>
      <c r="S238" s="2" t="s">
        <v>940</v>
      </c>
      <c r="T238" s="2" t="s">
        <v>1374</v>
      </c>
      <c r="U238" s="150">
        <v>3.7589999999999999</v>
      </c>
      <c r="V238" s="150">
        <v>83.066000000000003</v>
      </c>
      <c r="W238" s="150">
        <v>312.24400000000003</v>
      </c>
      <c r="Y238" s="164">
        <v>2.9092035889121098E-2</v>
      </c>
      <c r="Z238" s="164">
        <v>4.2335085364535504E-3</v>
      </c>
    </row>
    <row r="239" spans="1:26">
      <c r="A239" s="2" t="s">
        <v>144</v>
      </c>
      <c r="B239" s="2">
        <v>969</v>
      </c>
      <c r="C239" s="2" t="s">
        <v>2822</v>
      </c>
      <c r="D239" s="2" t="s">
        <v>2823</v>
      </c>
      <c r="E239" s="2" t="s">
        <v>361</v>
      </c>
      <c r="F239" s="2" t="s">
        <v>2827</v>
      </c>
      <c r="G239" s="2">
        <v>62014857</v>
      </c>
      <c r="H239" s="2" t="s">
        <v>34</v>
      </c>
      <c r="I239" s="2" t="s">
        <v>1069</v>
      </c>
      <c r="J239" s="2" t="s">
        <v>894</v>
      </c>
      <c r="K239" s="2" t="s">
        <v>94</v>
      </c>
      <c r="L239" s="2" t="s">
        <v>267</v>
      </c>
      <c r="M239" s="2" t="s">
        <v>95</v>
      </c>
      <c r="N239" s="2" t="s">
        <v>345</v>
      </c>
      <c r="O239" s="2" t="s">
        <v>164</v>
      </c>
      <c r="P239" t="s">
        <v>2828</v>
      </c>
      <c r="Q239" s="2" t="s">
        <v>99</v>
      </c>
      <c r="R239" s="2" t="s">
        <v>936</v>
      </c>
      <c r="S239" s="2" t="s">
        <v>940</v>
      </c>
      <c r="T239" s="2" t="s">
        <v>1374</v>
      </c>
      <c r="U239" s="150">
        <v>3.7589999999999999</v>
      </c>
      <c r="V239" s="150">
        <v>80.028000000000006</v>
      </c>
      <c r="W239" s="150">
        <v>300.82400000000001</v>
      </c>
      <c r="Y239" s="164">
        <v>2.8028016628620499E-2</v>
      </c>
      <c r="Z239" s="164">
        <v>4.0786711562355296E-3</v>
      </c>
    </row>
    <row r="240" spans="1:26">
      <c r="A240" s="2" t="s">
        <v>144</v>
      </c>
      <c r="B240" s="2">
        <v>969</v>
      </c>
      <c r="C240" s="2" t="s">
        <v>2822</v>
      </c>
      <c r="D240" s="2" t="s">
        <v>2823</v>
      </c>
      <c r="E240" s="2" t="s">
        <v>361</v>
      </c>
      <c r="F240" s="2" t="s">
        <v>2832</v>
      </c>
      <c r="G240" s="2">
        <v>62017678</v>
      </c>
      <c r="H240" s="2" t="s">
        <v>34</v>
      </c>
      <c r="I240" s="2" t="s">
        <v>1069</v>
      </c>
      <c r="J240" s="2" t="s">
        <v>888</v>
      </c>
      <c r="K240" s="2" t="s">
        <v>94</v>
      </c>
      <c r="L240" s="2" t="s">
        <v>267</v>
      </c>
      <c r="M240" s="2" t="s">
        <v>95</v>
      </c>
      <c r="N240" s="2" t="s">
        <v>345</v>
      </c>
      <c r="O240" s="2" t="s">
        <v>164</v>
      </c>
      <c r="P240" t="s">
        <v>2833</v>
      </c>
      <c r="Q240" s="2" t="s">
        <v>99</v>
      </c>
      <c r="R240" s="2" t="s">
        <v>203</v>
      </c>
      <c r="S240" s="2" t="s">
        <v>940</v>
      </c>
      <c r="T240" s="2" t="s">
        <v>1374</v>
      </c>
      <c r="U240" s="150">
        <v>3.7589999999999999</v>
      </c>
      <c r="V240" s="150">
        <v>153.352</v>
      </c>
      <c r="W240" s="150">
        <v>576.45000000000005</v>
      </c>
      <c r="Y240" s="164">
        <v>5.3708330542302202E-2</v>
      </c>
      <c r="Z240" s="164">
        <v>7.8157017506819294E-3</v>
      </c>
    </row>
    <row r="241" spans="1:26">
      <c r="A241" s="2" t="s">
        <v>144</v>
      </c>
      <c r="B241" s="2">
        <v>969</v>
      </c>
      <c r="C241" s="2" t="s">
        <v>2843</v>
      </c>
      <c r="D241" s="2" t="s">
        <v>2844</v>
      </c>
      <c r="E241" s="2" t="s">
        <v>361</v>
      </c>
      <c r="F241" s="2" t="s">
        <v>2845</v>
      </c>
      <c r="G241" s="2">
        <v>77847846</v>
      </c>
      <c r="H241" s="2" t="s">
        <v>34</v>
      </c>
      <c r="I241" s="2" t="s">
        <v>1069</v>
      </c>
      <c r="J241" s="2" t="s">
        <v>613</v>
      </c>
      <c r="K241" s="2" t="s">
        <v>94</v>
      </c>
      <c r="L241" s="2" t="s">
        <v>302</v>
      </c>
      <c r="M241" s="2" t="s">
        <v>302</v>
      </c>
      <c r="N241" s="2" t="s">
        <v>95</v>
      </c>
      <c r="O241" s="2" t="s">
        <v>164</v>
      </c>
      <c r="P241" t="s">
        <v>2846</v>
      </c>
      <c r="Q241" s="2" t="s">
        <v>99</v>
      </c>
      <c r="R241" s="2" t="s">
        <v>936</v>
      </c>
      <c r="S241" s="2" t="s">
        <v>940</v>
      </c>
      <c r="T241" s="2" t="s">
        <v>1374</v>
      </c>
      <c r="U241" s="150">
        <v>3.7589999999999999</v>
      </c>
      <c r="V241" s="150">
        <v>396.173</v>
      </c>
      <c r="W241" s="150">
        <v>1489.2149999999999</v>
      </c>
      <c r="Y241" s="164">
        <v>0.13875137767190901</v>
      </c>
      <c r="Z241" s="164">
        <v>2.0191269667667901E-2</v>
      </c>
    </row>
    <row r="242" spans="1:26">
      <c r="A242" s="2" t="s">
        <v>144</v>
      </c>
      <c r="B242" s="2">
        <v>969</v>
      </c>
      <c r="C242" s="2" t="s">
        <v>2875</v>
      </c>
      <c r="D242" s="2" t="s">
        <v>2876</v>
      </c>
      <c r="E242" s="2" t="s">
        <v>360</v>
      </c>
      <c r="F242" s="2" t="s">
        <v>2877</v>
      </c>
      <c r="G242" s="2">
        <v>62021324</v>
      </c>
      <c r="H242" s="2" t="s">
        <v>34</v>
      </c>
      <c r="I242" s="2" t="s">
        <v>1069</v>
      </c>
      <c r="J242" s="2" t="s">
        <v>887</v>
      </c>
      <c r="K242" s="2" t="s">
        <v>94</v>
      </c>
      <c r="L242" s="2" t="s">
        <v>267</v>
      </c>
      <c r="M242" s="2" t="s">
        <v>95</v>
      </c>
      <c r="N242" s="2" t="s">
        <v>95</v>
      </c>
      <c r="O242" s="2" t="s">
        <v>164</v>
      </c>
      <c r="P242" t="s">
        <v>2874</v>
      </c>
      <c r="Q242" s="2" t="s">
        <v>99</v>
      </c>
      <c r="R242" s="2" t="s">
        <v>936</v>
      </c>
      <c r="S242" s="2" t="s">
        <v>940</v>
      </c>
      <c r="T242" s="2" t="s">
        <v>1374</v>
      </c>
      <c r="U242" s="150">
        <v>3.7589999999999999</v>
      </c>
      <c r="V242" s="150">
        <v>27.969000000000001</v>
      </c>
      <c r="W242" s="150">
        <v>105.134</v>
      </c>
      <c r="Y242" s="164">
        <v>9.7954289559518994E-3</v>
      </c>
      <c r="Z242" s="164">
        <v>1.42544276589298E-3</v>
      </c>
    </row>
    <row r="243" spans="1:26">
      <c r="A243" s="2" t="s">
        <v>144</v>
      </c>
      <c r="B243" s="2">
        <v>969</v>
      </c>
      <c r="C243" s="2" t="s">
        <v>2886</v>
      </c>
      <c r="D243" s="2" t="s">
        <v>2887</v>
      </c>
      <c r="E243" s="2" t="s">
        <v>360</v>
      </c>
      <c r="F243" s="2" t="s">
        <v>2888</v>
      </c>
      <c r="G243" s="2">
        <v>62009204</v>
      </c>
      <c r="H243" s="2" t="s">
        <v>34</v>
      </c>
      <c r="I243" s="2" t="s">
        <v>1069</v>
      </c>
      <c r="J243" s="2" t="s">
        <v>877</v>
      </c>
      <c r="K243" s="2" t="s">
        <v>94</v>
      </c>
      <c r="L243" s="2" t="s">
        <v>302</v>
      </c>
      <c r="M243" s="2" t="s">
        <v>282</v>
      </c>
      <c r="N243" s="2" t="s">
        <v>345</v>
      </c>
      <c r="O243" s="2" t="s">
        <v>164</v>
      </c>
      <c r="P243" t="s">
        <v>2889</v>
      </c>
      <c r="Q243" s="2" t="s">
        <v>99</v>
      </c>
      <c r="R243" s="2" t="s">
        <v>203</v>
      </c>
      <c r="S243" s="2" t="s">
        <v>940</v>
      </c>
      <c r="T243" s="2" t="s">
        <v>1374</v>
      </c>
      <c r="U243" s="150">
        <v>3.7589999999999999</v>
      </c>
      <c r="V243" s="150">
        <v>108.37</v>
      </c>
      <c r="W243" s="150">
        <v>407.36500000000001</v>
      </c>
      <c r="Y243" s="164">
        <v>3.7954479551438797E-2</v>
      </c>
      <c r="Z243" s="164">
        <v>5.5231821447653999E-3</v>
      </c>
    </row>
    <row r="244" spans="1:26">
      <c r="A244" s="2" t="s">
        <v>144</v>
      </c>
      <c r="B244" s="2">
        <v>969</v>
      </c>
      <c r="C244" s="2" t="s">
        <v>2900</v>
      </c>
      <c r="D244" s="2" t="s">
        <v>2901</v>
      </c>
      <c r="E244" s="2" t="s">
        <v>360</v>
      </c>
      <c r="F244" s="2" t="s">
        <v>2902</v>
      </c>
      <c r="G244" s="2">
        <v>62010137</v>
      </c>
      <c r="H244" s="2" t="s">
        <v>34</v>
      </c>
      <c r="I244" s="2" t="s">
        <v>1069</v>
      </c>
      <c r="J244" s="2" t="s">
        <v>897</v>
      </c>
      <c r="K244" s="2" t="s">
        <v>94</v>
      </c>
      <c r="L244" s="2" t="s">
        <v>302</v>
      </c>
      <c r="M244" s="2" t="s">
        <v>282</v>
      </c>
      <c r="N244" s="2" t="s">
        <v>345</v>
      </c>
      <c r="O244" s="2" t="s">
        <v>164</v>
      </c>
      <c r="P244" t="s">
        <v>2903</v>
      </c>
      <c r="Q244" s="2" t="s">
        <v>99</v>
      </c>
      <c r="R244" s="2" t="s">
        <v>936</v>
      </c>
      <c r="S244" s="2" t="s">
        <v>940</v>
      </c>
      <c r="T244" s="2" t="s">
        <v>1374</v>
      </c>
      <c r="U244" s="150">
        <v>3.7589999999999999</v>
      </c>
      <c r="V244" s="150">
        <v>68.442999999999998</v>
      </c>
      <c r="W244" s="150">
        <v>257.27600000000001</v>
      </c>
      <c r="Y244" s="164">
        <v>2.39706179078218E-2</v>
      </c>
      <c r="Z244" s="164">
        <v>3.4882335469267802E-3</v>
      </c>
    </row>
    <row r="1048574" spans="12:12">
      <c r="L1048574" s="20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6</v>
      </c>
      <c r="J1" s="19" t="s">
        <v>7</v>
      </c>
      <c r="K1" s="19" t="s">
        <v>372</v>
      </c>
      <c r="L1" s="19" t="s">
        <v>1160</v>
      </c>
      <c r="M1" s="19" t="s">
        <v>185</v>
      </c>
      <c r="N1" s="19" t="s">
        <v>1161</v>
      </c>
      <c r="O1" s="19" t="s">
        <v>150</v>
      </c>
      <c r="P1" s="19" t="s">
        <v>193</v>
      </c>
      <c r="Q1" s="19" t="s">
        <v>11</v>
      </c>
      <c r="R1" s="19" t="s">
        <v>186</v>
      </c>
      <c r="S1" s="19" t="s">
        <v>187</v>
      </c>
      <c r="T1" s="19" t="s">
        <v>159</v>
      </c>
      <c r="U1" s="19" t="s">
        <v>1162</v>
      </c>
      <c r="V1" s="19" t="s">
        <v>1163</v>
      </c>
      <c r="W1" s="19" t="s">
        <v>17</v>
      </c>
      <c r="X1" s="19" t="s">
        <v>19</v>
      </c>
      <c r="Y1" s="19" t="s">
        <v>18</v>
      </c>
      <c r="Z1" s="19" t="s">
        <v>20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18"/>
      <c r="J2" s="18"/>
      <c r="K2" s="20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18"/>
      <c r="J3" s="18"/>
      <c r="K3" s="20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18"/>
      <c r="J4" s="18"/>
      <c r="K4" s="20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18"/>
      <c r="J5" s="18"/>
      <c r="K5" s="20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18"/>
      <c r="J6" s="18"/>
      <c r="K6" s="20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18"/>
      <c r="J7" s="18"/>
      <c r="K7" s="20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18"/>
      <c r="J8" s="18"/>
      <c r="K8" s="20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18"/>
      <c r="J9" s="18"/>
      <c r="K9" s="20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18"/>
      <c r="J10" s="18"/>
      <c r="K10" s="20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18"/>
      <c r="J11" s="18"/>
      <c r="K11" s="20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18"/>
      <c r="J12" s="18"/>
      <c r="K12" s="20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18"/>
      <c r="J13" s="18"/>
      <c r="K13" s="20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18"/>
      <c r="J14" s="18"/>
      <c r="K14" s="20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18"/>
      <c r="J15" s="18"/>
      <c r="K15" s="20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18"/>
      <c r="J16" s="18"/>
      <c r="K16" s="20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18"/>
      <c r="J17" s="18"/>
      <c r="K17" s="20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18"/>
      <c r="J18" s="18"/>
      <c r="K18" s="20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18"/>
      <c r="J19" s="18"/>
      <c r="K19" s="20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18"/>
      <c r="J20" s="18"/>
      <c r="K20" s="20"/>
      <c r="M20" s="20"/>
      <c r="O20" s="20"/>
      <c r="S20" s="20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185</v>
      </c>
      <c r="M1" s="19" t="s">
        <v>221</v>
      </c>
      <c r="N1" s="19" t="s">
        <v>1161</v>
      </c>
      <c r="O1" s="19" t="s">
        <v>150</v>
      </c>
      <c r="P1" s="19" t="s">
        <v>193</v>
      </c>
      <c r="Q1" s="19" t="s">
        <v>11</v>
      </c>
      <c r="R1" s="19" t="s">
        <v>186</v>
      </c>
      <c r="S1" s="19" t="s">
        <v>187</v>
      </c>
      <c r="T1" s="19" t="s">
        <v>159</v>
      </c>
      <c r="U1" s="19" t="s">
        <v>1162</v>
      </c>
      <c r="V1" s="19" t="s">
        <v>1163</v>
      </c>
      <c r="W1" s="19" t="s">
        <v>17</v>
      </c>
      <c r="X1" s="19" t="s">
        <v>19</v>
      </c>
      <c r="Y1" s="19" t="s">
        <v>18</v>
      </c>
      <c r="Z1" s="19" t="s">
        <v>1559</v>
      </c>
      <c r="AA1" s="19" t="s">
        <v>24</v>
      </c>
      <c r="AB1" s="19" t="s">
        <v>25</v>
      </c>
    </row>
    <row r="2" spans="1:28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18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18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18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 spans="1:28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18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 spans="1:28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18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 spans="1:28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18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18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 spans="1:28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18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1:28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18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1:28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18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1:28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18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1:28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18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1:28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18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1:28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18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1:28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18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1:28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18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1:28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18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1:28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18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1:28">
      <c r="E20" s="18"/>
      <c r="H20" s="20"/>
      <c r="I20" s="20"/>
      <c r="J20" s="18"/>
      <c r="K20" s="18"/>
      <c r="L20" s="20"/>
      <c r="M20" s="20"/>
      <c r="O20" s="20"/>
      <c r="R20" s="20"/>
      <c r="S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Y1" zoomScale="70" zoomScaleNormal="70" workbookViewId="0">
      <selection activeCell="Q32" sqref="Q32:AN32"/>
    </sheetView>
  </sheetViews>
  <sheetFormatPr defaultColWidth="9" defaultRowHeight="14.25"/>
  <cols>
    <col min="1" max="13" width="11.625" style="11" customWidth="1"/>
    <col min="14" max="14" width="14.75" style="11" bestFit="1" customWidth="1"/>
    <col min="15" max="15" width="15.25" style="11" bestFit="1" customWidth="1"/>
    <col min="16" max="33" width="11.625" style="11" customWidth="1"/>
    <col min="34" max="34" width="11.625" style="144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19" t="s">
        <v>0</v>
      </c>
      <c r="B1" s="19" t="s">
        <v>1</v>
      </c>
      <c r="C1" s="19" t="s">
        <v>5</v>
      </c>
      <c r="D1" s="19" t="s">
        <v>1176</v>
      </c>
      <c r="E1" s="19" t="s">
        <v>1177</v>
      </c>
      <c r="F1" s="19" t="s">
        <v>18</v>
      </c>
      <c r="G1" s="19" t="s">
        <v>1178</v>
      </c>
      <c r="H1" s="19" t="s">
        <v>1179</v>
      </c>
      <c r="I1" s="19" t="s">
        <v>1180</v>
      </c>
      <c r="J1" s="19" t="s">
        <v>1181</v>
      </c>
      <c r="K1" s="19" t="s">
        <v>1182</v>
      </c>
      <c r="L1" s="19" t="s">
        <v>1183</v>
      </c>
      <c r="M1" s="19" t="s">
        <v>18</v>
      </c>
      <c r="N1" s="19" t="s">
        <v>1184</v>
      </c>
      <c r="O1" s="19" t="s">
        <v>1185</v>
      </c>
      <c r="P1" s="19" t="s">
        <v>1338</v>
      </c>
      <c r="Q1" s="19" t="s">
        <v>1339</v>
      </c>
      <c r="R1" s="19" t="s">
        <v>1340</v>
      </c>
      <c r="S1" s="19" t="s">
        <v>6</v>
      </c>
      <c r="T1" s="19" t="s">
        <v>7</v>
      </c>
      <c r="U1" s="19" t="s">
        <v>1189</v>
      </c>
      <c r="V1" s="19" t="s">
        <v>971</v>
      </c>
      <c r="W1" s="19" t="s">
        <v>978</v>
      </c>
      <c r="X1" s="19" t="s">
        <v>370</v>
      </c>
      <c r="Y1" s="19" t="s">
        <v>150</v>
      </c>
      <c r="Z1" s="19" t="s">
        <v>1190</v>
      </c>
      <c r="AA1" s="19" t="s">
        <v>1191</v>
      </c>
      <c r="AB1" s="19" t="s">
        <v>942</v>
      </c>
      <c r="AC1" s="19" t="s">
        <v>950</v>
      </c>
      <c r="AD1" s="19" t="s">
        <v>1192</v>
      </c>
      <c r="AE1" s="19" t="s">
        <v>968</v>
      </c>
      <c r="AF1" s="19" t="s">
        <v>953</v>
      </c>
      <c r="AG1" s="19" t="s">
        <v>964</v>
      </c>
      <c r="AH1" s="159" t="s">
        <v>1193</v>
      </c>
      <c r="AI1" s="19" t="s">
        <v>1194</v>
      </c>
      <c r="AJ1" s="19" t="s">
        <v>1195</v>
      </c>
      <c r="AK1" s="19" t="s">
        <v>993</v>
      </c>
      <c r="AL1" s="19" t="s">
        <v>1196</v>
      </c>
      <c r="AM1" s="19" t="s">
        <v>1197</v>
      </c>
      <c r="AN1" s="163" t="s">
        <v>24</v>
      </c>
      <c r="AO1" s="163" t="s">
        <v>25</v>
      </c>
    </row>
    <row r="2" spans="1:41">
      <c r="A2" s="12" t="s">
        <v>144</v>
      </c>
      <c r="B2" s="12" t="s">
        <v>144</v>
      </c>
      <c r="C2" s="12" t="s">
        <v>1088</v>
      </c>
      <c r="D2" s="1" t="s">
        <v>1341</v>
      </c>
      <c r="E2" s="12" t="s">
        <v>99</v>
      </c>
      <c r="F2" s="157">
        <v>3.7589999999999999</v>
      </c>
      <c r="G2" s="157">
        <v>-222000</v>
      </c>
      <c r="H2" s="149">
        <v>810651.72</v>
      </c>
      <c r="I2" s="158">
        <v>5.5066999999999998E-2</v>
      </c>
      <c r="J2" s="149">
        <v>9.162E-3</v>
      </c>
      <c r="K2" s="11" t="s">
        <v>1342</v>
      </c>
      <c r="L2" s="12" t="s">
        <v>35</v>
      </c>
      <c r="M2" s="158">
        <v>1</v>
      </c>
      <c r="N2" s="158">
        <v>816960</v>
      </c>
      <c r="O2" s="158">
        <v>-825783.31</v>
      </c>
      <c r="P2" s="158">
        <v>-1.4031E-2</v>
      </c>
      <c r="Q2" s="158">
        <v>5.5425000000000002E-2</v>
      </c>
      <c r="R2" s="157">
        <v>-15.13</v>
      </c>
      <c r="S2" s="11" t="s">
        <v>31</v>
      </c>
      <c r="T2" s="18" t="s">
        <v>31</v>
      </c>
      <c r="U2" s="12" t="s">
        <v>791</v>
      </c>
      <c r="V2" s="12" t="s">
        <v>203</v>
      </c>
      <c r="W2" s="11" t="s">
        <v>203</v>
      </c>
      <c r="X2" s="12" t="s">
        <v>1343</v>
      </c>
      <c r="Y2" s="12" t="s">
        <v>164</v>
      </c>
      <c r="Z2" s="1" t="s">
        <v>1344</v>
      </c>
      <c r="AA2" s="24" t="s">
        <v>1345</v>
      </c>
      <c r="AB2" s="12" t="s">
        <v>946</v>
      </c>
      <c r="AC2" s="12" t="s">
        <v>952</v>
      </c>
      <c r="AD2" s="12" t="s">
        <v>164</v>
      </c>
      <c r="AE2" s="12" t="s">
        <v>970</v>
      </c>
      <c r="AF2" s="12" t="s">
        <v>613</v>
      </c>
      <c r="AG2" s="12" t="s">
        <v>946</v>
      </c>
      <c r="AH2" s="173">
        <v>5.53</v>
      </c>
      <c r="AI2" s="157">
        <v>-365.16</v>
      </c>
      <c r="AJ2" s="11" t="s">
        <v>1346</v>
      </c>
      <c r="AK2" s="12" t="s">
        <v>164</v>
      </c>
      <c r="AL2" s="11" t="s">
        <v>165</v>
      </c>
      <c r="AM2" s="11" t="s">
        <v>1347</v>
      </c>
      <c r="AN2" s="168">
        <v>8.4981000000000001E-2</v>
      </c>
      <c r="AO2" s="168">
        <v>0</v>
      </c>
    </row>
    <row r="3" spans="1:41">
      <c r="A3" s="12" t="s">
        <v>144</v>
      </c>
      <c r="B3" s="12" t="s">
        <v>144</v>
      </c>
      <c r="C3" s="12" t="s">
        <v>1088</v>
      </c>
      <c r="D3" s="1" t="s">
        <v>1348</v>
      </c>
      <c r="E3" s="12" t="s">
        <v>99</v>
      </c>
      <c r="F3" s="157">
        <v>3.7589999999999999</v>
      </c>
      <c r="G3" s="157">
        <v>-3780440</v>
      </c>
      <c r="H3" s="149">
        <v>13899475.890000001</v>
      </c>
      <c r="I3" s="158">
        <v>0.94418299999999999</v>
      </c>
      <c r="J3" s="149">
        <v>0.15709799999999999</v>
      </c>
      <c r="K3" s="11" t="s">
        <v>1349</v>
      </c>
      <c r="L3" s="12" t="s">
        <v>35</v>
      </c>
      <c r="M3" s="158">
        <v>1</v>
      </c>
      <c r="N3" s="158">
        <v>14007664.33</v>
      </c>
      <c r="O3" s="158">
        <v>-14062261.23</v>
      </c>
      <c r="P3" s="158">
        <v>-0.238926</v>
      </c>
      <c r="Q3" s="158">
        <v>0.94382600000000005</v>
      </c>
      <c r="R3" s="157">
        <v>-162.79</v>
      </c>
      <c r="S3" s="11" t="s">
        <v>31</v>
      </c>
      <c r="T3" s="18" t="s">
        <v>31</v>
      </c>
      <c r="U3" s="12" t="s">
        <v>791</v>
      </c>
      <c r="V3" s="12" t="s">
        <v>203</v>
      </c>
      <c r="W3" s="11" t="s">
        <v>203</v>
      </c>
      <c r="X3" s="12" t="s">
        <v>1343</v>
      </c>
      <c r="Y3" s="12" t="s">
        <v>164</v>
      </c>
      <c r="Z3" s="1" t="s">
        <v>1350</v>
      </c>
      <c r="AA3" s="24" t="s">
        <v>1345</v>
      </c>
      <c r="AB3" s="12" t="s">
        <v>946</v>
      </c>
      <c r="AC3" s="12" t="s">
        <v>952</v>
      </c>
      <c r="AD3" s="12" t="s">
        <v>164</v>
      </c>
      <c r="AE3" s="12" t="s">
        <v>970</v>
      </c>
      <c r="AF3" s="12" t="s">
        <v>613</v>
      </c>
      <c r="AG3" s="12" t="s">
        <v>946</v>
      </c>
      <c r="AH3" s="161">
        <v>5.53</v>
      </c>
      <c r="AI3" s="157">
        <v>-367.67</v>
      </c>
      <c r="AJ3" s="12" t="s">
        <v>1346</v>
      </c>
      <c r="AK3" s="12" t="s">
        <v>164</v>
      </c>
      <c r="AL3" s="11" t="s">
        <v>165</v>
      </c>
      <c r="AM3" s="11" t="s">
        <v>1347</v>
      </c>
      <c r="AN3" s="168">
        <v>0.91434499999999996</v>
      </c>
      <c r="AO3" s="168">
        <v>-1.9999999999999999E-6</v>
      </c>
    </row>
    <row r="4" spans="1:41">
      <c r="A4" s="12" t="s">
        <v>144</v>
      </c>
      <c r="B4" s="12" t="s">
        <v>144</v>
      </c>
      <c r="C4" s="12" t="s">
        <v>1088</v>
      </c>
      <c r="D4" s="1" t="s">
        <v>1351</v>
      </c>
      <c r="E4" s="12" t="s">
        <v>99</v>
      </c>
      <c r="F4" s="157">
        <v>3.7589999999999999</v>
      </c>
      <c r="G4" s="157">
        <v>-3000</v>
      </c>
      <c r="H4" s="149">
        <v>11044.03</v>
      </c>
      <c r="I4" s="158">
        <v>7.5000000000000002E-4</v>
      </c>
      <c r="J4" s="149">
        <v>1.25E-4</v>
      </c>
      <c r="K4" s="11" t="s">
        <v>1352</v>
      </c>
      <c r="L4" s="12" t="s">
        <v>35</v>
      </c>
      <c r="M4" s="158">
        <v>1</v>
      </c>
      <c r="N4" s="158">
        <v>11130</v>
      </c>
      <c r="O4" s="158">
        <v>-11159.22</v>
      </c>
      <c r="P4" s="158">
        <v>-1.9000000000000001E-4</v>
      </c>
      <c r="Q4" s="158">
        <v>7.4899999999999999E-4</v>
      </c>
      <c r="R4" s="157">
        <v>-0.12</v>
      </c>
      <c r="S4" s="11" t="s">
        <v>31</v>
      </c>
      <c r="T4" s="18" t="s">
        <v>31</v>
      </c>
      <c r="U4" s="12" t="s">
        <v>791</v>
      </c>
      <c r="V4" s="12" t="s">
        <v>203</v>
      </c>
      <c r="W4" s="11" t="s">
        <v>203</v>
      </c>
      <c r="X4" s="12" t="s">
        <v>1343</v>
      </c>
      <c r="Y4" s="12" t="s">
        <v>164</v>
      </c>
      <c r="Z4" s="1" t="s">
        <v>204</v>
      </c>
      <c r="AA4" s="24" t="s">
        <v>1345</v>
      </c>
      <c r="AB4" s="12" t="s">
        <v>946</v>
      </c>
      <c r="AC4" s="12" t="s">
        <v>952</v>
      </c>
      <c r="AD4" s="12" t="s">
        <v>164</v>
      </c>
      <c r="AE4" s="12" t="s">
        <v>970</v>
      </c>
      <c r="AF4" s="12" t="s">
        <v>613</v>
      </c>
      <c r="AG4" s="12" t="s">
        <v>946</v>
      </c>
      <c r="AH4" s="161">
        <v>5.53</v>
      </c>
      <c r="AI4" s="157">
        <v>-368.13</v>
      </c>
      <c r="AJ4" s="12" t="s">
        <v>1346</v>
      </c>
      <c r="AK4" s="12" t="s">
        <v>164</v>
      </c>
      <c r="AL4" s="11" t="s">
        <v>165</v>
      </c>
      <c r="AM4" s="11" t="s">
        <v>1347</v>
      </c>
      <c r="AN4" s="168">
        <v>6.7400000000000001E-4</v>
      </c>
      <c r="AO4" s="168">
        <v>0</v>
      </c>
    </row>
    <row r="5" spans="1:41">
      <c r="A5" s="12" t="s">
        <v>26</v>
      </c>
      <c r="B5" s="12" t="s">
        <v>26</v>
      </c>
      <c r="C5" s="12" t="s">
        <v>1088</v>
      </c>
      <c r="D5" s="1" t="s">
        <v>1341</v>
      </c>
      <c r="E5" s="12" t="s">
        <v>99</v>
      </c>
      <c r="F5" s="157">
        <v>3.7589999999999999</v>
      </c>
      <c r="G5" s="157">
        <v>-3065000</v>
      </c>
      <c r="H5" s="149">
        <v>11192106</v>
      </c>
      <c r="I5" s="158">
        <v>0.14589299999999999</v>
      </c>
      <c r="J5" s="149">
        <v>2.3716000000000001E-2</v>
      </c>
      <c r="K5" s="11" t="s">
        <v>1342</v>
      </c>
      <c r="L5" s="12" t="s">
        <v>35</v>
      </c>
      <c r="M5" s="158">
        <v>1</v>
      </c>
      <c r="N5" s="158">
        <v>11279200</v>
      </c>
      <c r="O5" s="158">
        <v>-11401017.380000001</v>
      </c>
      <c r="P5" s="158">
        <v>-3.5895999999999997E-2</v>
      </c>
      <c r="Q5" s="158">
        <v>0.14693999999999999</v>
      </c>
      <c r="R5" s="157">
        <v>-208.91</v>
      </c>
      <c r="S5" s="11" t="s">
        <v>31</v>
      </c>
      <c r="T5" s="18" t="s">
        <v>31</v>
      </c>
      <c r="U5" s="12" t="s">
        <v>791</v>
      </c>
      <c r="V5" s="12" t="s">
        <v>203</v>
      </c>
      <c r="W5" s="11" t="s">
        <v>203</v>
      </c>
      <c r="X5" s="12" t="s">
        <v>1343</v>
      </c>
      <c r="Y5" s="12" t="s">
        <v>164</v>
      </c>
      <c r="Z5" s="1" t="s">
        <v>1344</v>
      </c>
      <c r="AA5" s="24" t="s">
        <v>1345</v>
      </c>
      <c r="AB5" s="12" t="s">
        <v>946</v>
      </c>
      <c r="AC5" s="12" t="s">
        <v>952</v>
      </c>
      <c r="AD5" s="12" t="s">
        <v>164</v>
      </c>
      <c r="AE5" s="12" t="s">
        <v>970</v>
      </c>
      <c r="AF5" s="12" t="s">
        <v>613</v>
      </c>
      <c r="AG5" s="12" t="s">
        <v>946</v>
      </c>
      <c r="AH5" s="161">
        <v>5.53</v>
      </c>
      <c r="AI5" s="157">
        <v>-365.16</v>
      </c>
      <c r="AJ5" s="12" t="s">
        <v>1346</v>
      </c>
      <c r="AK5" s="12" t="s">
        <v>164</v>
      </c>
      <c r="AL5" s="11" t="s">
        <v>165</v>
      </c>
      <c r="AM5" s="11" t="s">
        <v>1347</v>
      </c>
      <c r="AN5" s="168">
        <v>0.23877899999999999</v>
      </c>
      <c r="AO5" s="168">
        <v>-9.9999999999999995E-7</v>
      </c>
    </row>
    <row r="6" spans="1:41">
      <c r="A6" s="12" t="s">
        <v>26</v>
      </c>
      <c r="B6" s="12" t="s">
        <v>26</v>
      </c>
      <c r="C6" s="12" t="s">
        <v>1088</v>
      </c>
      <c r="D6" s="1" t="s">
        <v>1353</v>
      </c>
      <c r="E6" s="12" t="s">
        <v>1219</v>
      </c>
      <c r="F6" s="157">
        <v>4.0199999999999996</v>
      </c>
      <c r="G6" s="157">
        <v>-1945000</v>
      </c>
      <c r="H6" s="149">
        <v>7771397.3099999996</v>
      </c>
      <c r="I6" s="158">
        <v>0.101303</v>
      </c>
      <c r="J6" s="149">
        <v>1.6468E-2</v>
      </c>
      <c r="K6" s="11" t="s">
        <v>1354</v>
      </c>
      <c r="L6" s="12" t="s">
        <v>35</v>
      </c>
      <c r="M6" s="158">
        <v>1</v>
      </c>
      <c r="N6" s="158">
        <v>7830570</v>
      </c>
      <c r="O6" s="158">
        <v>-7762615.5300000003</v>
      </c>
      <c r="P6" s="158">
        <v>-2.4441000000000001E-2</v>
      </c>
      <c r="Q6" s="158">
        <v>0.100047</v>
      </c>
      <c r="R6" s="157">
        <v>8.7799999999999994</v>
      </c>
      <c r="S6" s="11" t="s">
        <v>31</v>
      </c>
      <c r="T6" s="18" t="s">
        <v>31</v>
      </c>
      <c r="U6" s="12" t="s">
        <v>791</v>
      </c>
      <c r="V6" s="12" t="s">
        <v>203</v>
      </c>
      <c r="W6" s="11" t="s">
        <v>203</v>
      </c>
      <c r="X6" s="12" t="s">
        <v>1355</v>
      </c>
      <c r="Y6" s="12" t="s">
        <v>164</v>
      </c>
      <c r="Z6" s="1" t="s">
        <v>1344</v>
      </c>
      <c r="AA6" s="24" t="s">
        <v>1345</v>
      </c>
      <c r="AB6" s="12" t="s">
        <v>946</v>
      </c>
      <c r="AC6" s="12" t="s">
        <v>952</v>
      </c>
      <c r="AD6" s="12" t="s">
        <v>164</v>
      </c>
      <c r="AE6" s="12" t="s">
        <v>970</v>
      </c>
      <c r="AF6" s="12" t="s">
        <v>613</v>
      </c>
      <c r="AG6" s="12" t="s">
        <v>946</v>
      </c>
      <c r="AH6" s="161">
        <v>3.68</v>
      </c>
      <c r="AI6" s="157">
        <v>-399.56</v>
      </c>
      <c r="AJ6" s="12" t="s">
        <v>1356</v>
      </c>
      <c r="AK6" s="12" t="s">
        <v>164</v>
      </c>
      <c r="AL6" s="11" t="s">
        <v>165</v>
      </c>
      <c r="AM6" s="11" t="s">
        <v>1347</v>
      </c>
      <c r="AN6" s="168">
        <v>-1.0035000000000001E-2</v>
      </c>
      <c r="AO6" s="168">
        <v>0</v>
      </c>
    </row>
    <row r="7" spans="1:41">
      <c r="A7" s="12" t="s">
        <v>26</v>
      </c>
      <c r="B7" s="12" t="s">
        <v>26</v>
      </c>
      <c r="C7" s="12" t="s">
        <v>1088</v>
      </c>
      <c r="D7" s="1" t="s">
        <v>1348</v>
      </c>
      <c r="E7" s="12" t="s">
        <v>99</v>
      </c>
      <c r="F7" s="157">
        <v>3.7589999999999999</v>
      </c>
      <c r="G7" s="157">
        <v>-15372000</v>
      </c>
      <c r="H7" s="149">
        <v>56517956.530000001</v>
      </c>
      <c r="I7" s="158">
        <v>0.73672899999999997</v>
      </c>
      <c r="J7" s="149">
        <v>0.11976199999999999</v>
      </c>
      <c r="K7" s="11" t="s">
        <v>1349</v>
      </c>
      <c r="L7" s="12" t="s">
        <v>35</v>
      </c>
      <c r="M7" s="158">
        <v>1</v>
      </c>
      <c r="N7" s="158">
        <v>56957871.600000001</v>
      </c>
      <c r="O7" s="158">
        <v>-57179873.18</v>
      </c>
      <c r="P7" s="158">
        <v>-0.18003</v>
      </c>
      <c r="Q7" s="158">
        <v>0.73695299999999997</v>
      </c>
      <c r="R7" s="157">
        <v>-661.92</v>
      </c>
      <c r="S7" s="11" t="s">
        <v>31</v>
      </c>
      <c r="T7" s="18" t="s">
        <v>31</v>
      </c>
      <c r="U7" s="12" t="s">
        <v>791</v>
      </c>
      <c r="V7" s="12" t="s">
        <v>203</v>
      </c>
      <c r="W7" s="11" t="s">
        <v>203</v>
      </c>
      <c r="X7" s="12" t="s">
        <v>1343</v>
      </c>
      <c r="Y7" s="12" t="s">
        <v>164</v>
      </c>
      <c r="Z7" s="1" t="s">
        <v>1350</v>
      </c>
      <c r="AA7" s="24" t="s">
        <v>1345</v>
      </c>
      <c r="AB7" s="12" t="s">
        <v>946</v>
      </c>
      <c r="AC7" s="12" t="s">
        <v>952</v>
      </c>
      <c r="AD7" s="12" t="s">
        <v>164</v>
      </c>
      <c r="AE7" s="12" t="s">
        <v>970</v>
      </c>
      <c r="AF7" s="12" t="s">
        <v>613</v>
      </c>
      <c r="AG7" s="12" t="s">
        <v>946</v>
      </c>
      <c r="AH7" s="161">
        <v>5.53</v>
      </c>
      <c r="AI7" s="157">
        <v>-367.67</v>
      </c>
      <c r="AJ7" s="12" t="s">
        <v>1346</v>
      </c>
      <c r="AK7" s="12" t="s">
        <v>164</v>
      </c>
      <c r="AL7" s="11" t="s">
        <v>165</v>
      </c>
      <c r="AM7" s="11" t="s">
        <v>1347</v>
      </c>
      <c r="AN7" s="168">
        <v>0.75655799999999995</v>
      </c>
      <c r="AO7" s="168">
        <v>-1.9999999999999999E-6</v>
      </c>
    </row>
    <row r="8" spans="1:41">
      <c r="A8" s="12" t="s">
        <v>26</v>
      </c>
      <c r="B8" s="12" t="s">
        <v>26</v>
      </c>
      <c r="C8" s="12" t="s">
        <v>1088</v>
      </c>
      <c r="D8" s="1" t="s">
        <v>1351</v>
      </c>
      <c r="E8" s="12" t="s">
        <v>99</v>
      </c>
      <c r="F8" s="157">
        <v>3.7589999999999999</v>
      </c>
      <c r="G8" s="157">
        <v>-335000</v>
      </c>
      <c r="H8" s="149">
        <v>1233250.4099999999</v>
      </c>
      <c r="I8" s="158">
        <v>1.6076E-2</v>
      </c>
      <c r="J8" s="149">
        <v>2.6129999999999999E-3</v>
      </c>
      <c r="K8" s="11" t="s">
        <v>1352</v>
      </c>
      <c r="L8" s="12" t="s">
        <v>35</v>
      </c>
      <c r="M8" s="158">
        <v>1</v>
      </c>
      <c r="N8" s="158">
        <v>1242850</v>
      </c>
      <c r="O8" s="158">
        <v>-1246113.3899999999</v>
      </c>
      <c r="P8" s="158">
        <v>-3.9230000000000003E-3</v>
      </c>
      <c r="Q8" s="158">
        <v>1.6060000000000001E-2</v>
      </c>
      <c r="R8" s="157">
        <v>-12.86</v>
      </c>
      <c r="S8" s="11" t="s">
        <v>31</v>
      </c>
      <c r="T8" s="18" t="s">
        <v>31</v>
      </c>
      <c r="U8" s="12" t="s">
        <v>791</v>
      </c>
      <c r="V8" s="12" t="s">
        <v>203</v>
      </c>
      <c r="W8" s="11" t="s">
        <v>203</v>
      </c>
      <c r="X8" s="12" t="s">
        <v>1343</v>
      </c>
      <c r="Y8" s="12" t="s">
        <v>164</v>
      </c>
      <c r="Z8" s="1" t="s">
        <v>204</v>
      </c>
      <c r="AA8" s="24" t="s">
        <v>1345</v>
      </c>
      <c r="AB8" s="12" t="s">
        <v>946</v>
      </c>
      <c r="AC8" s="12" t="s">
        <v>952</v>
      </c>
      <c r="AD8" s="12" t="s">
        <v>164</v>
      </c>
      <c r="AE8" s="12" t="s">
        <v>970</v>
      </c>
      <c r="AF8" s="12" t="s">
        <v>613</v>
      </c>
      <c r="AG8" s="12" t="s">
        <v>946</v>
      </c>
      <c r="AH8" s="161">
        <v>5.53</v>
      </c>
      <c r="AI8" s="157">
        <v>-368.13</v>
      </c>
      <c r="AJ8" s="12" t="s">
        <v>1346</v>
      </c>
      <c r="AK8" s="12" t="s">
        <v>164</v>
      </c>
      <c r="AL8" s="11" t="s">
        <v>165</v>
      </c>
      <c r="AM8" s="11" t="s">
        <v>1347</v>
      </c>
      <c r="AN8" s="168">
        <v>1.4699E-2</v>
      </c>
      <c r="AO8" s="168">
        <v>0</v>
      </c>
    </row>
    <row r="9" spans="1:41">
      <c r="A9" s="12" t="s">
        <v>128</v>
      </c>
      <c r="B9" s="12" t="s">
        <v>1357</v>
      </c>
      <c r="C9" s="12" t="s">
        <v>1088</v>
      </c>
      <c r="D9" s="1" t="s">
        <v>1341</v>
      </c>
      <c r="E9" s="12" t="s">
        <v>99</v>
      </c>
      <c r="F9" s="157">
        <v>3.7589999999999999</v>
      </c>
      <c r="G9" s="157">
        <v>-17700000</v>
      </c>
      <c r="H9" s="149">
        <v>64633042.829999998</v>
      </c>
      <c r="I9" s="158">
        <v>0.144424</v>
      </c>
      <c r="J9" s="149">
        <v>2.3184E-2</v>
      </c>
      <c r="K9" s="11" t="s">
        <v>1342</v>
      </c>
      <c r="L9" s="12" t="s">
        <v>35</v>
      </c>
      <c r="M9" s="158">
        <v>1</v>
      </c>
      <c r="N9" s="158">
        <v>65136000</v>
      </c>
      <c r="O9" s="158">
        <v>-65839480.460000001</v>
      </c>
      <c r="P9" s="158">
        <v>-3.4875999999999997E-2</v>
      </c>
      <c r="Q9" s="158">
        <v>0.14549899999999999</v>
      </c>
      <c r="R9" s="157">
        <v>-1206.44</v>
      </c>
      <c r="S9" s="11" t="s">
        <v>31</v>
      </c>
      <c r="T9" s="18" t="s">
        <v>31</v>
      </c>
      <c r="U9" s="12" t="s">
        <v>791</v>
      </c>
      <c r="V9" s="12" t="s">
        <v>203</v>
      </c>
      <c r="W9" s="11" t="s">
        <v>203</v>
      </c>
      <c r="X9" s="12" t="s">
        <v>1343</v>
      </c>
      <c r="Y9" s="12" t="s">
        <v>164</v>
      </c>
      <c r="Z9" s="1" t="s">
        <v>1344</v>
      </c>
      <c r="AA9" s="24" t="s">
        <v>1345</v>
      </c>
      <c r="AB9" s="12" t="s">
        <v>946</v>
      </c>
      <c r="AC9" s="12" t="s">
        <v>952</v>
      </c>
      <c r="AD9" s="12" t="s">
        <v>164</v>
      </c>
      <c r="AE9" s="12" t="s">
        <v>970</v>
      </c>
      <c r="AF9" s="12" t="s">
        <v>613</v>
      </c>
      <c r="AG9" s="12" t="s">
        <v>946</v>
      </c>
      <c r="AH9" s="161">
        <v>5.53</v>
      </c>
      <c r="AI9" s="157">
        <v>-365.16</v>
      </c>
      <c r="AJ9" s="12" t="s">
        <v>1346</v>
      </c>
      <c r="AK9" s="12" t="s">
        <v>164</v>
      </c>
      <c r="AL9" s="11" t="s">
        <v>165</v>
      </c>
      <c r="AM9" s="11" t="s">
        <v>1347</v>
      </c>
      <c r="AN9" s="168">
        <v>0.241898</v>
      </c>
      <c r="AO9" s="168">
        <v>-9.9999999999999995E-7</v>
      </c>
    </row>
    <row r="10" spans="1:41">
      <c r="A10" s="12" t="s">
        <v>128</v>
      </c>
      <c r="B10" s="12" t="s">
        <v>1357</v>
      </c>
      <c r="C10" s="12" t="s">
        <v>1088</v>
      </c>
      <c r="D10" s="1" t="s">
        <v>1353</v>
      </c>
      <c r="E10" s="12" t="s">
        <v>1219</v>
      </c>
      <c r="F10" s="157">
        <v>4.0199999999999996</v>
      </c>
      <c r="G10" s="157">
        <v>-13690000</v>
      </c>
      <c r="H10" s="149">
        <v>54699449.5</v>
      </c>
      <c r="I10" s="158">
        <v>0.122228</v>
      </c>
      <c r="J10" s="149">
        <v>1.9621E-2</v>
      </c>
      <c r="K10" s="11" t="s">
        <v>1354</v>
      </c>
      <c r="L10" s="12" t="s">
        <v>35</v>
      </c>
      <c r="M10" s="158">
        <v>1</v>
      </c>
      <c r="N10" s="158">
        <v>55115940</v>
      </c>
      <c r="O10" s="158">
        <v>-54637638.399999999</v>
      </c>
      <c r="P10" s="158">
        <v>-2.8941999999999999E-2</v>
      </c>
      <c r="Q10" s="158">
        <v>0.120744</v>
      </c>
      <c r="R10" s="157">
        <v>61.81</v>
      </c>
      <c r="S10" s="11" t="s">
        <v>31</v>
      </c>
      <c r="T10" s="18" t="s">
        <v>31</v>
      </c>
      <c r="U10" s="12" t="s">
        <v>791</v>
      </c>
      <c r="V10" s="12" t="s">
        <v>203</v>
      </c>
      <c r="W10" s="11" t="s">
        <v>203</v>
      </c>
      <c r="X10" s="12" t="s">
        <v>1355</v>
      </c>
      <c r="Y10" s="12" t="s">
        <v>164</v>
      </c>
      <c r="Z10" s="1" t="s">
        <v>1344</v>
      </c>
      <c r="AA10" s="24" t="s">
        <v>1345</v>
      </c>
      <c r="AB10" s="12" t="s">
        <v>946</v>
      </c>
      <c r="AC10" s="12" t="s">
        <v>952</v>
      </c>
      <c r="AD10" s="12" t="s">
        <v>164</v>
      </c>
      <c r="AE10" s="12" t="s">
        <v>970</v>
      </c>
      <c r="AF10" s="12" t="s">
        <v>613</v>
      </c>
      <c r="AG10" s="12" t="s">
        <v>946</v>
      </c>
      <c r="AH10" s="161">
        <v>3.68</v>
      </c>
      <c r="AI10" s="157">
        <v>-399.56</v>
      </c>
      <c r="AJ10" s="12" t="s">
        <v>1356</v>
      </c>
      <c r="AK10" s="12" t="s">
        <v>164</v>
      </c>
      <c r="AL10" s="11" t="s">
        <v>165</v>
      </c>
      <c r="AM10" s="11" t="s">
        <v>1347</v>
      </c>
      <c r="AN10" s="168">
        <v>-1.2393E-2</v>
      </c>
      <c r="AO10" s="168">
        <v>0</v>
      </c>
    </row>
    <row r="11" spans="1:41">
      <c r="A11" s="12" t="s">
        <v>128</v>
      </c>
      <c r="B11" s="12" t="s">
        <v>1357</v>
      </c>
      <c r="C11" s="12" t="s">
        <v>1088</v>
      </c>
      <c r="D11" s="1" t="s">
        <v>1348</v>
      </c>
      <c r="E11" s="12" t="s">
        <v>99</v>
      </c>
      <c r="F11" s="157">
        <v>3.7589999999999999</v>
      </c>
      <c r="G11" s="157">
        <v>-89080000</v>
      </c>
      <c r="H11" s="149">
        <v>327518837.38</v>
      </c>
      <c r="I11" s="158">
        <v>0.73185100000000003</v>
      </c>
      <c r="J11" s="149">
        <v>0.117482</v>
      </c>
      <c r="K11" s="11" t="s">
        <v>1349</v>
      </c>
      <c r="L11" s="12" t="s">
        <v>35</v>
      </c>
      <c r="M11" s="158">
        <v>1</v>
      </c>
      <c r="N11" s="158">
        <v>330068124</v>
      </c>
      <c r="O11" s="158">
        <v>-331354612.52999997</v>
      </c>
      <c r="P11" s="158">
        <v>-0.17552400000000001</v>
      </c>
      <c r="Q11" s="158">
        <v>0.73226100000000005</v>
      </c>
      <c r="R11" s="157">
        <v>-3835.78</v>
      </c>
      <c r="S11" s="11" t="s">
        <v>31</v>
      </c>
      <c r="T11" s="18" t="s">
        <v>31</v>
      </c>
      <c r="U11" s="12" t="s">
        <v>791</v>
      </c>
      <c r="V11" s="12" t="s">
        <v>203</v>
      </c>
      <c r="W11" s="11" t="s">
        <v>203</v>
      </c>
      <c r="X11" s="12" t="s">
        <v>1343</v>
      </c>
      <c r="Y11" s="12" t="s">
        <v>164</v>
      </c>
      <c r="Z11" s="1" t="s">
        <v>1350</v>
      </c>
      <c r="AA11" s="24" t="s">
        <v>1345</v>
      </c>
      <c r="AB11" s="12" t="s">
        <v>946</v>
      </c>
      <c r="AC11" s="12" t="s">
        <v>952</v>
      </c>
      <c r="AD11" s="12" t="s">
        <v>164</v>
      </c>
      <c r="AE11" s="12" t="s">
        <v>970</v>
      </c>
      <c r="AF11" s="12" t="s">
        <v>613</v>
      </c>
      <c r="AG11" s="12" t="s">
        <v>946</v>
      </c>
      <c r="AH11" s="161">
        <v>5.53</v>
      </c>
      <c r="AI11" s="157">
        <v>-367.67</v>
      </c>
      <c r="AJ11" s="12" t="s">
        <v>1346</v>
      </c>
      <c r="AK11" s="12" t="s">
        <v>164</v>
      </c>
      <c r="AL11" s="11" t="s">
        <v>165</v>
      </c>
      <c r="AM11" s="11" t="s">
        <v>1347</v>
      </c>
      <c r="AN11" s="168">
        <v>0.76909400000000006</v>
      </c>
      <c r="AO11" s="168">
        <v>-1.9999999999999999E-6</v>
      </c>
    </row>
    <row r="12" spans="1:41">
      <c r="A12" s="12" t="s">
        <v>128</v>
      </c>
      <c r="B12" s="12" t="s">
        <v>1357</v>
      </c>
      <c r="C12" s="12" t="s">
        <v>1088</v>
      </c>
      <c r="D12" s="1" t="s">
        <v>1351</v>
      </c>
      <c r="E12" s="12" t="s">
        <v>99</v>
      </c>
      <c r="F12" s="157">
        <v>3.7589999999999999</v>
      </c>
      <c r="G12" s="157">
        <v>-182000</v>
      </c>
      <c r="H12" s="149">
        <v>670004.69999999995</v>
      </c>
      <c r="I12" s="158">
        <v>1.4970000000000001E-3</v>
      </c>
      <c r="J12" s="149">
        <v>2.4000000000000001E-4</v>
      </c>
      <c r="K12" s="11" t="s">
        <v>1352</v>
      </c>
      <c r="L12" s="12" t="s">
        <v>35</v>
      </c>
      <c r="M12" s="158">
        <v>1</v>
      </c>
      <c r="N12" s="158">
        <v>675220</v>
      </c>
      <c r="O12" s="158">
        <v>-676992.95</v>
      </c>
      <c r="P12" s="158">
        <v>-3.59E-4</v>
      </c>
      <c r="Q12" s="158">
        <v>1.4959999999999999E-3</v>
      </c>
      <c r="R12" s="157">
        <v>-6.99</v>
      </c>
      <c r="S12" s="11" t="s">
        <v>31</v>
      </c>
      <c r="T12" s="18" t="s">
        <v>31</v>
      </c>
      <c r="U12" s="12" t="s">
        <v>791</v>
      </c>
      <c r="V12" s="12" t="s">
        <v>203</v>
      </c>
      <c r="W12" s="11" t="s">
        <v>203</v>
      </c>
      <c r="X12" s="12" t="s">
        <v>1343</v>
      </c>
      <c r="Y12" s="12" t="s">
        <v>164</v>
      </c>
      <c r="Z12" s="1" t="s">
        <v>204</v>
      </c>
      <c r="AA12" s="24" t="s">
        <v>1345</v>
      </c>
      <c r="AB12" s="12" t="s">
        <v>946</v>
      </c>
      <c r="AC12" s="12" t="s">
        <v>952</v>
      </c>
      <c r="AD12" s="12" t="s">
        <v>164</v>
      </c>
      <c r="AE12" s="12" t="s">
        <v>970</v>
      </c>
      <c r="AF12" s="12" t="s">
        <v>613</v>
      </c>
      <c r="AG12" s="12" t="s">
        <v>946</v>
      </c>
      <c r="AH12" s="161">
        <v>5.53</v>
      </c>
      <c r="AI12" s="157">
        <v>-368.13</v>
      </c>
      <c r="AJ12" s="12" t="s">
        <v>1346</v>
      </c>
      <c r="AK12" s="12" t="s">
        <v>164</v>
      </c>
      <c r="AL12" s="11" t="s">
        <v>165</v>
      </c>
      <c r="AM12" s="11" t="s">
        <v>1347</v>
      </c>
      <c r="AN12" s="168">
        <v>1.402E-3</v>
      </c>
      <c r="AO12" s="168">
        <v>0</v>
      </c>
    </row>
    <row r="13" spans="1:41">
      <c r="A13" s="12" t="s">
        <v>128</v>
      </c>
      <c r="B13" s="12" t="s">
        <v>1358</v>
      </c>
      <c r="C13" s="12" t="s">
        <v>1088</v>
      </c>
      <c r="D13" s="1" t="s">
        <v>1341</v>
      </c>
      <c r="E13" s="12" t="s">
        <v>99</v>
      </c>
      <c r="F13" s="157">
        <v>3.7589999999999999</v>
      </c>
      <c r="G13" s="157">
        <v>-1564000</v>
      </c>
      <c r="H13" s="149">
        <v>5711077.9000000004</v>
      </c>
      <c r="I13" s="158">
        <v>0.26896999999999999</v>
      </c>
      <c r="J13" s="149">
        <v>3.5115E-2</v>
      </c>
      <c r="K13" s="11" t="s">
        <v>1342</v>
      </c>
      <c r="L13" s="12" t="s">
        <v>35</v>
      </c>
      <c r="M13" s="158">
        <v>1</v>
      </c>
      <c r="N13" s="158">
        <v>5755520</v>
      </c>
      <c r="O13" s="158">
        <v>-5817680.6399999997</v>
      </c>
      <c r="P13" s="158">
        <v>-4.8513000000000001E-2</v>
      </c>
      <c r="Q13" s="158">
        <v>0.27078200000000002</v>
      </c>
      <c r="R13" s="157">
        <v>-106.6</v>
      </c>
      <c r="S13" s="11" t="s">
        <v>31</v>
      </c>
      <c r="T13" s="18" t="s">
        <v>31</v>
      </c>
      <c r="U13" s="12" t="s">
        <v>791</v>
      </c>
      <c r="V13" s="12" t="s">
        <v>203</v>
      </c>
      <c r="W13" s="11" t="s">
        <v>203</v>
      </c>
      <c r="X13" s="12" t="s">
        <v>1343</v>
      </c>
      <c r="Y13" s="12" t="s">
        <v>164</v>
      </c>
      <c r="Z13" s="1" t="s">
        <v>1344</v>
      </c>
      <c r="AA13" s="24" t="s">
        <v>1345</v>
      </c>
      <c r="AB13" s="12" t="s">
        <v>946</v>
      </c>
      <c r="AC13" s="12" t="s">
        <v>952</v>
      </c>
      <c r="AD13" s="12" t="s">
        <v>164</v>
      </c>
      <c r="AE13" s="12" t="s">
        <v>970</v>
      </c>
      <c r="AF13" s="12" t="s">
        <v>613</v>
      </c>
      <c r="AG13" s="12" t="s">
        <v>946</v>
      </c>
      <c r="AH13" s="161">
        <v>5.53</v>
      </c>
      <c r="AI13" s="157">
        <v>-365.16</v>
      </c>
      <c r="AJ13" s="12" t="s">
        <v>1346</v>
      </c>
      <c r="AK13" s="12" t="s">
        <v>164</v>
      </c>
      <c r="AL13" s="11" t="s">
        <v>165</v>
      </c>
      <c r="AM13" s="11" t="s">
        <v>1347</v>
      </c>
      <c r="AN13" s="168">
        <v>0.42372199999999999</v>
      </c>
      <c r="AO13" s="168">
        <v>-9.9999999999999995E-7</v>
      </c>
    </row>
    <row r="14" spans="1:41">
      <c r="A14" s="12" t="s">
        <v>128</v>
      </c>
      <c r="B14" s="12" t="s">
        <v>1358</v>
      </c>
      <c r="C14" s="12" t="s">
        <v>1088</v>
      </c>
      <c r="D14" s="1" t="s">
        <v>1353</v>
      </c>
      <c r="E14" s="12" t="s">
        <v>1219</v>
      </c>
      <c r="F14" s="157">
        <v>4.0199999999999996</v>
      </c>
      <c r="G14" s="157">
        <v>-711000</v>
      </c>
      <c r="H14" s="149">
        <v>2840855.26</v>
      </c>
      <c r="I14" s="158">
        <v>0.133793</v>
      </c>
      <c r="J14" s="149">
        <v>1.7467E-2</v>
      </c>
      <c r="K14" s="11" t="s">
        <v>1354</v>
      </c>
      <c r="L14" s="12" t="s">
        <v>35</v>
      </c>
      <c r="M14" s="158">
        <v>1</v>
      </c>
      <c r="N14" s="158">
        <v>2862486</v>
      </c>
      <c r="O14" s="158">
        <v>-2837645.06</v>
      </c>
      <c r="P14" s="158">
        <v>-2.3663E-2</v>
      </c>
      <c r="Q14" s="158">
        <v>0.132077</v>
      </c>
      <c r="R14" s="157">
        <v>3.21</v>
      </c>
      <c r="S14" s="11" t="s">
        <v>31</v>
      </c>
      <c r="T14" s="18" t="s">
        <v>31</v>
      </c>
      <c r="U14" s="12" t="s">
        <v>791</v>
      </c>
      <c r="V14" s="12" t="s">
        <v>203</v>
      </c>
      <c r="W14" s="11" t="s">
        <v>203</v>
      </c>
      <c r="X14" s="12" t="s">
        <v>1355</v>
      </c>
      <c r="Y14" s="12" t="s">
        <v>164</v>
      </c>
      <c r="Z14" s="1" t="s">
        <v>1344</v>
      </c>
      <c r="AA14" s="24" t="s">
        <v>1345</v>
      </c>
      <c r="AB14" s="12" t="s">
        <v>946</v>
      </c>
      <c r="AC14" s="12" t="s">
        <v>952</v>
      </c>
      <c r="AD14" s="12" t="s">
        <v>164</v>
      </c>
      <c r="AE14" s="12" t="s">
        <v>970</v>
      </c>
      <c r="AF14" s="12" t="s">
        <v>613</v>
      </c>
      <c r="AG14" s="12" t="s">
        <v>946</v>
      </c>
      <c r="AH14" s="161">
        <v>3.68</v>
      </c>
      <c r="AI14" s="157">
        <v>-399.56</v>
      </c>
      <c r="AJ14" s="12" t="s">
        <v>1356</v>
      </c>
      <c r="AK14" s="12" t="s">
        <v>164</v>
      </c>
      <c r="AL14" s="11" t="s">
        <v>165</v>
      </c>
      <c r="AM14" s="11" t="s">
        <v>1347</v>
      </c>
      <c r="AN14" s="168">
        <v>-1.2759E-2</v>
      </c>
      <c r="AO14" s="168">
        <v>0</v>
      </c>
    </row>
    <row r="15" spans="1:41">
      <c r="A15" s="12" t="s">
        <v>128</v>
      </c>
      <c r="B15" s="12" t="s">
        <v>1358</v>
      </c>
      <c r="C15" s="12" t="s">
        <v>1088</v>
      </c>
      <c r="D15" s="1" t="s">
        <v>1348</v>
      </c>
      <c r="E15" s="12" t="s">
        <v>99</v>
      </c>
      <c r="F15" s="157">
        <v>3.7589999999999999</v>
      </c>
      <c r="G15" s="157">
        <v>-3379000</v>
      </c>
      <c r="H15" s="149">
        <v>12423508.66</v>
      </c>
      <c r="I15" s="158">
        <v>0.58509999999999995</v>
      </c>
      <c r="J15" s="149">
        <v>7.6387999999999998E-2</v>
      </c>
      <c r="K15" s="11" t="s">
        <v>1349</v>
      </c>
      <c r="L15" s="12" t="s">
        <v>35</v>
      </c>
      <c r="M15" s="158">
        <v>1</v>
      </c>
      <c r="N15" s="158">
        <v>12520208.699999999</v>
      </c>
      <c r="O15" s="158">
        <v>-12569008.029999999</v>
      </c>
      <c r="P15" s="158">
        <v>-0.104812</v>
      </c>
      <c r="Q15" s="158">
        <v>0.58502100000000001</v>
      </c>
      <c r="R15" s="157">
        <v>-145.5</v>
      </c>
      <c r="S15" s="11" t="s">
        <v>31</v>
      </c>
      <c r="T15" s="18" t="s">
        <v>31</v>
      </c>
      <c r="U15" s="12" t="s">
        <v>791</v>
      </c>
      <c r="V15" s="12" t="s">
        <v>203</v>
      </c>
      <c r="W15" s="11" t="s">
        <v>203</v>
      </c>
      <c r="X15" s="12" t="s">
        <v>1343</v>
      </c>
      <c r="Y15" s="12" t="s">
        <v>164</v>
      </c>
      <c r="Z15" s="1" t="s">
        <v>1350</v>
      </c>
      <c r="AA15" s="24" t="s">
        <v>1345</v>
      </c>
      <c r="AB15" s="12" t="s">
        <v>946</v>
      </c>
      <c r="AC15" s="12" t="s">
        <v>952</v>
      </c>
      <c r="AD15" s="12" t="s">
        <v>164</v>
      </c>
      <c r="AE15" s="12" t="s">
        <v>970</v>
      </c>
      <c r="AF15" s="12" t="s">
        <v>613</v>
      </c>
      <c r="AG15" s="12" t="s">
        <v>946</v>
      </c>
      <c r="AH15" s="161">
        <v>5.53</v>
      </c>
      <c r="AI15" s="157">
        <v>-367.67</v>
      </c>
      <c r="AJ15" s="12" t="s">
        <v>1346</v>
      </c>
      <c r="AK15" s="12" t="s">
        <v>164</v>
      </c>
      <c r="AL15" s="11" t="s">
        <v>165</v>
      </c>
      <c r="AM15" s="11" t="s">
        <v>1347</v>
      </c>
      <c r="AN15" s="168">
        <v>0.578345</v>
      </c>
      <c r="AO15" s="168">
        <v>-9.9999999999999995E-7</v>
      </c>
    </row>
    <row r="16" spans="1:41">
      <c r="A16" s="12" t="s">
        <v>128</v>
      </c>
      <c r="B16" s="12" t="s">
        <v>1358</v>
      </c>
      <c r="C16" s="12" t="s">
        <v>1088</v>
      </c>
      <c r="D16" s="1" t="s">
        <v>1351</v>
      </c>
      <c r="E16" s="12" t="s">
        <v>99</v>
      </c>
      <c r="F16" s="157">
        <v>3.7589999999999999</v>
      </c>
      <c r="G16" s="157">
        <v>-70000</v>
      </c>
      <c r="H16" s="149">
        <v>257694.11</v>
      </c>
      <c r="I16" s="158">
        <v>1.2135999999999999E-2</v>
      </c>
      <c r="J16" s="149">
        <v>1.5839999999999999E-3</v>
      </c>
      <c r="K16" s="11" t="s">
        <v>1352</v>
      </c>
      <c r="L16" s="12" t="s">
        <v>35</v>
      </c>
      <c r="M16" s="158">
        <v>1</v>
      </c>
      <c r="N16" s="158">
        <v>259700</v>
      </c>
      <c r="O16" s="158">
        <v>-260381.9</v>
      </c>
      <c r="P16" s="158">
        <v>-2.1710000000000002E-3</v>
      </c>
      <c r="Q16" s="158">
        <v>1.2119E-2</v>
      </c>
      <c r="R16" s="157">
        <v>-2.69</v>
      </c>
      <c r="S16" s="11" t="s">
        <v>31</v>
      </c>
      <c r="T16" s="18" t="s">
        <v>31</v>
      </c>
      <c r="U16" s="12" t="s">
        <v>791</v>
      </c>
      <c r="V16" s="12" t="s">
        <v>203</v>
      </c>
      <c r="W16" s="11" t="s">
        <v>203</v>
      </c>
      <c r="X16" s="12" t="s">
        <v>1343</v>
      </c>
      <c r="Y16" s="12" t="s">
        <v>164</v>
      </c>
      <c r="Z16" s="1" t="s">
        <v>204</v>
      </c>
      <c r="AA16" s="24" t="s">
        <v>1345</v>
      </c>
      <c r="AB16" s="12" t="s">
        <v>946</v>
      </c>
      <c r="AC16" s="12" t="s">
        <v>952</v>
      </c>
      <c r="AD16" s="12" t="s">
        <v>164</v>
      </c>
      <c r="AE16" s="12" t="s">
        <v>970</v>
      </c>
      <c r="AF16" s="12" t="s">
        <v>613</v>
      </c>
      <c r="AG16" s="12" t="s">
        <v>946</v>
      </c>
      <c r="AH16" s="161">
        <v>5.53</v>
      </c>
      <c r="AI16" s="157">
        <v>-368.13</v>
      </c>
      <c r="AJ16" s="12" t="s">
        <v>1346</v>
      </c>
      <c r="AK16" s="12" t="s">
        <v>164</v>
      </c>
      <c r="AL16" s="11" t="s">
        <v>165</v>
      </c>
      <c r="AM16" s="11" t="s">
        <v>1347</v>
      </c>
      <c r="AN16" s="168">
        <v>1.0692E-2</v>
      </c>
      <c r="AO16" s="168">
        <v>0</v>
      </c>
    </row>
    <row r="17" spans="1:41">
      <c r="A17" s="12" t="s">
        <v>112</v>
      </c>
      <c r="B17" s="12" t="s">
        <v>1359</v>
      </c>
      <c r="C17" s="12" t="s">
        <v>1088</v>
      </c>
      <c r="D17" s="1" t="s">
        <v>1341</v>
      </c>
      <c r="E17" s="12" t="s">
        <v>99</v>
      </c>
      <c r="F17" s="157">
        <v>3.7589999999999999</v>
      </c>
      <c r="G17" s="157">
        <v>-285000</v>
      </c>
      <c r="H17" s="149">
        <v>1040701.53</v>
      </c>
      <c r="I17" s="158">
        <v>0.459781</v>
      </c>
      <c r="J17" s="149">
        <v>3.1179999999999999E-2</v>
      </c>
      <c r="K17" s="11" t="s">
        <v>1342</v>
      </c>
      <c r="L17" s="12" t="s">
        <v>35</v>
      </c>
      <c r="M17" s="158">
        <v>1</v>
      </c>
      <c r="N17" s="158">
        <v>1048800</v>
      </c>
      <c r="O17" s="158">
        <v>-1060127.22</v>
      </c>
      <c r="P17" s="158">
        <v>-3.6776999999999997E-2</v>
      </c>
      <c r="Q17" s="158">
        <v>0.46341900000000003</v>
      </c>
      <c r="R17" s="157">
        <v>-19.43</v>
      </c>
      <c r="S17" s="11" t="s">
        <v>31</v>
      </c>
      <c r="T17" s="18" t="s">
        <v>31</v>
      </c>
      <c r="U17" s="12" t="s">
        <v>791</v>
      </c>
      <c r="V17" s="12" t="s">
        <v>203</v>
      </c>
      <c r="W17" s="11" t="s">
        <v>203</v>
      </c>
      <c r="X17" s="12" t="s">
        <v>1343</v>
      </c>
      <c r="Y17" s="12" t="s">
        <v>164</v>
      </c>
      <c r="Z17" s="1" t="s">
        <v>1344</v>
      </c>
      <c r="AA17" s="24" t="s">
        <v>1345</v>
      </c>
      <c r="AB17" s="12" t="s">
        <v>946</v>
      </c>
      <c r="AC17" s="12" t="s">
        <v>952</v>
      </c>
      <c r="AD17" s="12" t="s">
        <v>164</v>
      </c>
      <c r="AE17" s="12" t="s">
        <v>970</v>
      </c>
      <c r="AF17" s="12" t="s">
        <v>613</v>
      </c>
      <c r="AG17" s="12" t="s">
        <v>946</v>
      </c>
      <c r="AH17" s="161">
        <v>5.53</v>
      </c>
      <c r="AI17" s="157">
        <v>-365.16</v>
      </c>
      <c r="AJ17" s="12" t="s">
        <v>1346</v>
      </c>
      <c r="AK17" s="12" t="s">
        <v>164</v>
      </c>
      <c r="AL17" s="11" t="s">
        <v>165</v>
      </c>
      <c r="AM17" s="11" t="s">
        <v>1347</v>
      </c>
      <c r="AN17" s="168">
        <v>0.80455500000000002</v>
      </c>
      <c r="AO17" s="168">
        <v>-9.9999999999999995E-7</v>
      </c>
    </row>
    <row r="18" spans="1:41">
      <c r="A18" s="12" t="s">
        <v>112</v>
      </c>
      <c r="B18" s="12" t="s">
        <v>1359</v>
      </c>
      <c r="C18" s="12" t="s">
        <v>1088</v>
      </c>
      <c r="D18" s="1" t="s">
        <v>1353</v>
      </c>
      <c r="E18" s="12" t="s">
        <v>1219</v>
      </c>
      <c r="F18" s="157">
        <v>4.0199999999999996</v>
      </c>
      <c r="G18" s="157">
        <v>-185000</v>
      </c>
      <c r="H18" s="149">
        <v>739181.75</v>
      </c>
      <c r="I18" s="158">
        <v>0.32657000000000003</v>
      </c>
      <c r="J18" s="149">
        <v>2.2147E-2</v>
      </c>
      <c r="K18" s="11" t="s">
        <v>1354</v>
      </c>
      <c r="L18" s="12" t="s">
        <v>35</v>
      </c>
      <c r="M18" s="158">
        <v>1</v>
      </c>
      <c r="N18" s="158">
        <v>744810</v>
      </c>
      <c r="O18" s="158">
        <v>-738346.46</v>
      </c>
      <c r="P18" s="158">
        <v>-2.5614000000000001E-2</v>
      </c>
      <c r="Q18" s="158">
        <v>0.32275799999999999</v>
      </c>
      <c r="R18" s="157">
        <v>0.84</v>
      </c>
      <c r="S18" s="11" t="s">
        <v>31</v>
      </c>
      <c r="T18" s="18" t="s">
        <v>31</v>
      </c>
      <c r="U18" s="12" t="s">
        <v>791</v>
      </c>
      <c r="V18" s="12" t="s">
        <v>203</v>
      </c>
      <c r="W18" s="11" t="s">
        <v>203</v>
      </c>
      <c r="X18" s="12" t="s">
        <v>1355</v>
      </c>
      <c r="Y18" s="12" t="s">
        <v>164</v>
      </c>
      <c r="Z18" s="1" t="s">
        <v>1344</v>
      </c>
      <c r="AA18" s="24" t="s">
        <v>1345</v>
      </c>
      <c r="AB18" s="12" t="s">
        <v>946</v>
      </c>
      <c r="AC18" s="12" t="s">
        <v>952</v>
      </c>
      <c r="AD18" s="12" t="s">
        <v>164</v>
      </c>
      <c r="AE18" s="12" t="s">
        <v>970</v>
      </c>
      <c r="AF18" s="12" t="s">
        <v>613</v>
      </c>
      <c r="AG18" s="12" t="s">
        <v>946</v>
      </c>
      <c r="AH18" s="161">
        <v>3.68</v>
      </c>
      <c r="AI18" s="157">
        <v>-399.56</v>
      </c>
      <c r="AJ18" s="12" t="s">
        <v>1356</v>
      </c>
      <c r="AK18" s="12" t="s">
        <v>164</v>
      </c>
      <c r="AL18" s="11" t="s">
        <v>165</v>
      </c>
      <c r="AM18" s="11" t="s">
        <v>1347</v>
      </c>
      <c r="AN18" s="168">
        <v>-3.4783000000000001E-2</v>
      </c>
      <c r="AO18" s="168">
        <v>0</v>
      </c>
    </row>
    <row r="19" spans="1:41">
      <c r="A19" s="12" t="s">
        <v>112</v>
      </c>
      <c r="B19" s="12" t="s">
        <v>1359</v>
      </c>
      <c r="C19" s="12" t="s">
        <v>1088</v>
      </c>
      <c r="D19" s="1" t="s">
        <v>1348</v>
      </c>
      <c r="E19" s="12" t="s">
        <v>99</v>
      </c>
      <c r="F19" s="157">
        <v>3.7589999999999999</v>
      </c>
      <c r="G19" s="157">
        <v>-126000</v>
      </c>
      <c r="H19" s="149">
        <v>463261.93</v>
      </c>
      <c r="I19" s="158">
        <v>0.20466899999999999</v>
      </c>
      <c r="J19" s="149">
        <v>1.388E-2</v>
      </c>
      <c r="K19" s="11" t="s">
        <v>1349</v>
      </c>
      <c r="L19" s="12" t="s">
        <v>35</v>
      </c>
      <c r="M19" s="158">
        <v>1</v>
      </c>
      <c r="N19" s="158">
        <v>466867.8</v>
      </c>
      <c r="O19" s="158">
        <v>-468687.47</v>
      </c>
      <c r="P19" s="158">
        <v>-1.6258999999999999E-2</v>
      </c>
      <c r="Q19" s="158">
        <v>0.20488000000000001</v>
      </c>
      <c r="R19" s="157">
        <v>-5.43</v>
      </c>
      <c r="S19" s="11" t="s">
        <v>31</v>
      </c>
      <c r="T19" s="18" t="s">
        <v>31</v>
      </c>
      <c r="U19" s="12" t="s">
        <v>791</v>
      </c>
      <c r="V19" s="12" t="s">
        <v>203</v>
      </c>
      <c r="W19" s="11" t="s">
        <v>203</v>
      </c>
      <c r="X19" s="12" t="s">
        <v>1343</v>
      </c>
      <c r="Y19" s="12" t="s">
        <v>164</v>
      </c>
      <c r="Z19" s="1" t="s">
        <v>1350</v>
      </c>
      <c r="AA19" s="24" t="s">
        <v>1345</v>
      </c>
      <c r="AB19" s="12" t="s">
        <v>946</v>
      </c>
      <c r="AC19" s="12" t="s">
        <v>952</v>
      </c>
      <c r="AD19" s="12" t="s">
        <v>164</v>
      </c>
      <c r="AE19" s="12" t="s">
        <v>970</v>
      </c>
      <c r="AF19" s="12" t="s">
        <v>613</v>
      </c>
      <c r="AG19" s="12" t="s">
        <v>946</v>
      </c>
      <c r="AH19" s="161">
        <v>5.53</v>
      </c>
      <c r="AI19" s="157">
        <v>-367.67</v>
      </c>
      <c r="AJ19" s="12" t="s">
        <v>1346</v>
      </c>
      <c r="AK19" s="12" t="s">
        <v>164</v>
      </c>
      <c r="AL19" s="11" t="s">
        <v>165</v>
      </c>
      <c r="AM19" s="11" t="s">
        <v>1347</v>
      </c>
      <c r="AN19" s="168">
        <v>0.22484499999999999</v>
      </c>
      <c r="AO19" s="168">
        <v>0</v>
      </c>
    </row>
    <row r="20" spans="1:41">
      <c r="A20" s="11" t="s">
        <v>112</v>
      </c>
      <c r="B20" s="11" t="s">
        <v>1359</v>
      </c>
      <c r="C20" s="12" t="s">
        <v>1088</v>
      </c>
      <c r="D20" s="11" t="s">
        <v>1360</v>
      </c>
      <c r="E20" s="12" t="s">
        <v>99</v>
      </c>
      <c r="F20" s="158">
        <v>3.7589999999999999</v>
      </c>
      <c r="G20" s="158">
        <v>-5500</v>
      </c>
      <c r="H20" s="158">
        <v>20329.23</v>
      </c>
      <c r="I20" s="158">
        <v>8.9809999999999994E-3</v>
      </c>
      <c r="J20" s="158">
        <v>6.0899999999999995E-4</v>
      </c>
      <c r="K20" s="11" t="s">
        <v>1361</v>
      </c>
      <c r="L20" s="11" t="s">
        <v>35</v>
      </c>
      <c r="M20" s="158">
        <v>1</v>
      </c>
      <c r="N20" s="158">
        <v>20487.5</v>
      </c>
      <c r="O20" s="158">
        <v>-20458.560000000001</v>
      </c>
      <c r="P20" s="158">
        <v>-7.1000000000000002E-4</v>
      </c>
      <c r="Q20" s="158">
        <v>8.9429999999999996E-3</v>
      </c>
      <c r="R20" s="158">
        <v>-0.13</v>
      </c>
      <c r="S20" s="11" t="s">
        <v>31</v>
      </c>
      <c r="T20" s="18" t="s">
        <v>31</v>
      </c>
      <c r="U20" s="12" t="s">
        <v>791</v>
      </c>
      <c r="V20" s="12" t="s">
        <v>203</v>
      </c>
      <c r="W20" s="11" t="s">
        <v>203</v>
      </c>
      <c r="X20" s="11" t="s">
        <v>1343</v>
      </c>
      <c r="Y20" s="12" t="s">
        <v>164</v>
      </c>
      <c r="Z20" s="11" t="s">
        <v>1362</v>
      </c>
      <c r="AA20" s="11" t="s">
        <v>1345</v>
      </c>
      <c r="AB20" s="12" t="s">
        <v>946</v>
      </c>
      <c r="AC20" s="12" t="s">
        <v>952</v>
      </c>
      <c r="AD20" s="12" t="s">
        <v>164</v>
      </c>
      <c r="AE20" s="12" t="s">
        <v>970</v>
      </c>
      <c r="AF20" s="12" t="s">
        <v>613</v>
      </c>
      <c r="AG20" s="12" t="s">
        <v>946</v>
      </c>
      <c r="AH20" s="161">
        <v>5.53</v>
      </c>
      <c r="AI20" s="158">
        <v>-369.62</v>
      </c>
      <c r="AJ20" s="11" t="s">
        <v>1346</v>
      </c>
      <c r="AK20" s="12" t="s">
        <v>164</v>
      </c>
      <c r="AL20" s="11" t="s">
        <v>165</v>
      </c>
      <c r="AM20" s="11" t="s">
        <v>1347</v>
      </c>
      <c r="AN20" s="164">
        <v>5.3829999999999998E-3</v>
      </c>
      <c r="AO20" s="164">
        <v>0</v>
      </c>
    </row>
    <row r="21" spans="1:41">
      <c r="A21" s="11" t="s">
        <v>112</v>
      </c>
      <c r="B21" s="11" t="s">
        <v>1363</v>
      </c>
      <c r="C21" s="11" t="s">
        <v>1088</v>
      </c>
      <c r="D21" s="11" t="s">
        <v>1341</v>
      </c>
      <c r="E21" s="11" t="s">
        <v>99</v>
      </c>
      <c r="F21" s="158">
        <v>3.7589999999999999</v>
      </c>
      <c r="G21" s="158">
        <v>-144500</v>
      </c>
      <c r="H21" s="158">
        <v>527653.93000000005</v>
      </c>
      <c r="I21" s="158">
        <v>0.81748900000000002</v>
      </c>
      <c r="J21" s="158">
        <v>1.6108999999999998E-2</v>
      </c>
      <c r="K21" s="11" t="s">
        <v>1342</v>
      </c>
      <c r="L21" s="11" t="s">
        <v>35</v>
      </c>
      <c r="M21" s="158">
        <v>1</v>
      </c>
      <c r="N21" s="158">
        <v>531760</v>
      </c>
      <c r="O21" s="158">
        <v>-537503.1</v>
      </c>
      <c r="P21" s="158">
        <v>-1.7089E-2</v>
      </c>
      <c r="Q21" s="158">
        <v>0.81869700000000001</v>
      </c>
      <c r="R21" s="158">
        <v>-9.85</v>
      </c>
      <c r="S21" s="11" t="s">
        <v>31</v>
      </c>
      <c r="T21" s="11" t="s">
        <v>31</v>
      </c>
      <c r="U21" s="11" t="s">
        <v>791</v>
      </c>
      <c r="V21" s="11" t="s">
        <v>203</v>
      </c>
      <c r="W21" s="11" t="s">
        <v>203</v>
      </c>
      <c r="X21" s="11" t="s">
        <v>1343</v>
      </c>
      <c r="Y21" s="11" t="s">
        <v>164</v>
      </c>
      <c r="Z21" s="11" t="s">
        <v>1344</v>
      </c>
      <c r="AA21" s="11" t="s">
        <v>1345</v>
      </c>
      <c r="AB21" s="11" t="s">
        <v>946</v>
      </c>
      <c r="AC21" s="11" t="s">
        <v>952</v>
      </c>
      <c r="AD21" s="11" t="s">
        <v>164</v>
      </c>
      <c r="AE21" s="11" t="s">
        <v>970</v>
      </c>
      <c r="AF21" s="11" t="s">
        <v>613</v>
      </c>
      <c r="AG21" s="11" t="s">
        <v>946</v>
      </c>
      <c r="AH21" s="161">
        <v>5.53</v>
      </c>
      <c r="AI21" s="158">
        <v>-365.16</v>
      </c>
      <c r="AJ21" s="11" t="s">
        <v>1346</v>
      </c>
      <c r="AK21" s="11" t="s">
        <v>164</v>
      </c>
      <c r="AL21" s="11" t="s">
        <v>165</v>
      </c>
      <c r="AM21" s="11" t="s">
        <v>1347</v>
      </c>
      <c r="AN21" s="164">
        <v>0.88898900000000003</v>
      </c>
      <c r="AO21" s="164">
        <v>0</v>
      </c>
    </row>
    <row r="22" spans="1:41">
      <c r="A22" s="11" t="s">
        <v>112</v>
      </c>
      <c r="B22" s="11" t="s">
        <v>1363</v>
      </c>
      <c r="C22" s="12" t="s">
        <v>1088</v>
      </c>
      <c r="D22" s="11" t="s">
        <v>1351</v>
      </c>
      <c r="E22" s="12" t="s">
        <v>99</v>
      </c>
      <c r="F22" s="158">
        <v>3.7589999999999999</v>
      </c>
      <c r="G22" s="158">
        <v>-32000</v>
      </c>
      <c r="H22" s="158">
        <v>117803.02</v>
      </c>
      <c r="I22" s="158">
        <v>0.18251100000000001</v>
      </c>
      <c r="J22" s="158">
        <v>3.5959999999999998E-3</v>
      </c>
      <c r="K22" s="11" t="s">
        <v>1352</v>
      </c>
      <c r="L22" s="11" t="s">
        <v>35</v>
      </c>
      <c r="M22" s="158">
        <v>1</v>
      </c>
      <c r="N22" s="158">
        <v>118720</v>
      </c>
      <c r="O22" s="158">
        <v>-119031.72</v>
      </c>
      <c r="P22" s="158">
        <v>-3.784E-3</v>
      </c>
      <c r="Q22" s="158">
        <v>0.18130299999999999</v>
      </c>
      <c r="R22" s="158">
        <v>-1.23</v>
      </c>
      <c r="S22" s="11" t="s">
        <v>31</v>
      </c>
      <c r="T22" s="18" t="s">
        <v>31</v>
      </c>
      <c r="U22" s="11" t="s">
        <v>791</v>
      </c>
      <c r="V22" s="11" t="s">
        <v>203</v>
      </c>
      <c r="W22" s="11" t="s">
        <v>203</v>
      </c>
      <c r="X22" s="11" t="s">
        <v>1343</v>
      </c>
      <c r="Y22" s="11" t="s">
        <v>164</v>
      </c>
      <c r="Z22" s="11" t="s">
        <v>204</v>
      </c>
      <c r="AA22" s="11" t="s">
        <v>1345</v>
      </c>
      <c r="AB22" s="11" t="s">
        <v>946</v>
      </c>
      <c r="AC22" s="11" t="s">
        <v>952</v>
      </c>
      <c r="AD22" s="11" t="s">
        <v>164</v>
      </c>
      <c r="AE22" s="12" t="s">
        <v>970</v>
      </c>
      <c r="AF22" s="12" t="s">
        <v>613</v>
      </c>
      <c r="AG22" s="11" t="s">
        <v>946</v>
      </c>
      <c r="AH22" s="161">
        <v>5.53</v>
      </c>
      <c r="AI22" s="158">
        <v>-368.13</v>
      </c>
      <c r="AJ22" s="11" t="s">
        <v>1346</v>
      </c>
      <c r="AK22" s="11" t="s">
        <v>164</v>
      </c>
      <c r="AL22" s="11" t="s">
        <v>165</v>
      </c>
      <c r="AM22" s="11" t="s">
        <v>1347</v>
      </c>
      <c r="AN22" s="164">
        <v>0.111011</v>
      </c>
      <c r="AO22" s="164">
        <v>0</v>
      </c>
    </row>
    <row r="23" spans="1:41">
      <c r="A23" s="11" t="s">
        <v>26</v>
      </c>
      <c r="B23" s="11" t="s">
        <v>1364</v>
      </c>
      <c r="C23" s="12" t="s">
        <v>1088</v>
      </c>
      <c r="D23" s="11" t="s">
        <v>1351</v>
      </c>
      <c r="E23" s="12" t="s">
        <v>99</v>
      </c>
      <c r="F23" s="158">
        <v>3.7589999999999999</v>
      </c>
      <c r="G23" s="158">
        <v>-5500</v>
      </c>
      <c r="H23" s="158">
        <v>20247.39</v>
      </c>
      <c r="I23" s="158">
        <v>1</v>
      </c>
      <c r="J23" s="158">
        <v>1.8129999999999999E-3</v>
      </c>
      <c r="K23" s="11" t="s">
        <v>1352</v>
      </c>
      <c r="L23" s="11" t="s">
        <v>35</v>
      </c>
      <c r="M23" s="158">
        <v>1</v>
      </c>
      <c r="N23" s="158">
        <v>20405</v>
      </c>
      <c r="O23" s="158">
        <v>-20458.57</v>
      </c>
      <c r="P23" s="158">
        <v>-1.8389999999999999E-3</v>
      </c>
      <c r="Q23" s="158">
        <v>1</v>
      </c>
      <c r="R23" s="158">
        <v>-0.21</v>
      </c>
      <c r="S23" s="11" t="s">
        <v>31</v>
      </c>
      <c r="T23" s="18" t="s">
        <v>31</v>
      </c>
      <c r="U23" s="11" t="s">
        <v>791</v>
      </c>
      <c r="V23" s="11" t="s">
        <v>203</v>
      </c>
      <c r="W23" s="11" t="s">
        <v>203</v>
      </c>
      <c r="X23" s="11" t="s">
        <v>1343</v>
      </c>
      <c r="Y23" s="11" t="s">
        <v>164</v>
      </c>
      <c r="Z23" s="11" t="s">
        <v>204</v>
      </c>
      <c r="AA23" s="11" t="s">
        <v>1345</v>
      </c>
      <c r="AB23" s="11" t="s">
        <v>946</v>
      </c>
      <c r="AC23" s="11" t="s">
        <v>952</v>
      </c>
      <c r="AD23" s="11" t="s">
        <v>164</v>
      </c>
      <c r="AE23" s="12" t="s">
        <v>970</v>
      </c>
      <c r="AF23" s="12" t="s">
        <v>613</v>
      </c>
      <c r="AG23" s="11" t="s">
        <v>946</v>
      </c>
      <c r="AH23" s="161">
        <v>5.53</v>
      </c>
      <c r="AI23" s="158">
        <v>-368.13</v>
      </c>
      <c r="AJ23" s="11" t="s">
        <v>1346</v>
      </c>
      <c r="AK23" s="11" t="s">
        <v>164</v>
      </c>
      <c r="AL23" s="11" t="s">
        <v>165</v>
      </c>
      <c r="AM23" s="11" t="s">
        <v>1347</v>
      </c>
      <c r="AN23" s="164">
        <v>1</v>
      </c>
      <c r="AO23" s="164">
        <v>0</v>
      </c>
    </row>
    <row r="24" spans="1:41">
      <c r="C24" s="12"/>
      <c r="E24" s="12"/>
      <c r="T24" s="18"/>
      <c r="AE24" s="12"/>
      <c r="AF24" s="12"/>
    </row>
    <row r="25" spans="1:41">
      <c r="C25" s="12"/>
      <c r="E25" s="12"/>
      <c r="T25" s="18"/>
      <c r="AE25" s="12"/>
      <c r="AF25" s="12"/>
    </row>
    <row r="26" spans="1:41">
      <c r="C26" s="12"/>
      <c r="E26" s="12"/>
      <c r="T26" s="18"/>
      <c r="AE26" s="12"/>
      <c r="AF26" s="12"/>
    </row>
    <row r="27" spans="1:41">
      <c r="C27" s="12"/>
      <c r="E27" s="12"/>
      <c r="T27" s="18"/>
    </row>
    <row r="28" spans="1:41">
      <c r="C28" s="12"/>
      <c r="E28" s="12"/>
      <c r="T28" s="18"/>
    </row>
    <row r="29" spans="1:41">
      <c r="C29" s="12"/>
      <c r="E29" s="12"/>
      <c r="T29" s="18"/>
    </row>
    <row r="30" spans="1:41">
      <c r="C30" s="12"/>
      <c r="E30" s="12"/>
      <c r="T30" s="18"/>
    </row>
    <row r="31" spans="1:41">
      <c r="C31" s="12"/>
      <c r="E31" s="12"/>
      <c r="T31" s="18"/>
    </row>
    <row r="32" spans="1:41">
      <c r="C32" s="12"/>
      <c r="E32" s="12"/>
      <c r="T32" s="18"/>
    </row>
    <row r="33" spans="3:20">
      <c r="C33" s="12"/>
      <c r="T33" s="18"/>
    </row>
    <row r="34" spans="3:20">
      <c r="C34" s="12"/>
      <c r="T34" s="18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10"/>
  <sheetViews>
    <sheetView rightToLeft="1" zoomScale="70" zoomScaleNormal="70" workbookViewId="0">
      <selection activeCell="G50" sqref="G50"/>
    </sheetView>
  </sheetViews>
  <sheetFormatPr defaultColWidth="9" defaultRowHeight="14.25"/>
  <cols>
    <col min="1" max="4" width="11.625" style="2" customWidth="1"/>
    <col min="5" max="5" width="33.5" style="2" bestFit="1" customWidth="1"/>
    <col min="6" max="13" width="11.625" style="2" customWidth="1"/>
    <col min="14" max="14" width="14.75" style="2" bestFit="1" customWidth="1"/>
    <col min="15" max="21" width="11.625" style="2" customWidth="1"/>
    <col min="22" max="22" width="11.625" style="145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5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19" t="s">
        <v>0</v>
      </c>
      <c r="B1" s="19" t="s">
        <v>1</v>
      </c>
      <c r="C1" s="19" t="s">
        <v>145</v>
      </c>
      <c r="D1" s="19" t="s">
        <v>146</v>
      </c>
      <c r="E1" s="19" t="s">
        <v>147</v>
      </c>
      <c r="F1" s="19" t="s">
        <v>148</v>
      </c>
      <c r="G1" s="19" t="s">
        <v>5</v>
      </c>
      <c r="H1" s="19" t="s">
        <v>1198</v>
      </c>
      <c r="I1" s="19" t="s">
        <v>6</v>
      </c>
      <c r="J1" s="19" t="s">
        <v>7</v>
      </c>
      <c r="K1" s="19" t="s">
        <v>185</v>
      </c>
      <c r="L1" s="19" t="s">
        <v>150</v>
      </c>
      <c r="M1" s="19" t="s">
        <v>1199</v>
      </c>
      <c r="N1" s="19" t="s">
        <v>1200</v>
      </c>
      <c r="O1" s="19" t="s">
        <v>1201</v>
      </c>
      <c r="P1" s="19" t="s">
        <v>9</v>
      </c>
      <c r="Q1" s="19" t="s">
        <v>10</v>
      </c>
      <c r="R1" s="19" t="s">
        <v>151</v>
      </c>
      <c r="S1" s="19" t="s">
        <v>11</v>
      </c>
      <c r="T1" s="19" t="s">
        <v>12</v>
      </c>
      <c r="U1" s="19" t="s">
        <v>152</v>
      </c>
      <c r="V1" s="159" t="s">
        <v>14</v>
      </c>
      <c r="W1" s="19" t="s">
        <v>798</v>
      </c>
      <c r="X1" s="19" t="s">
        <v>953</v>
      </c>
      <c r="Y1" s="170" t="s">
        <v>1203</v>
      </c>
      <c r="Z1" s="163" t="s">
        <v>15</v>
      </c>
      <c r="AA1" s="19" t="s">
        <v>13</v>
      </c>
      <c r="AB1" s="19" t="s">
        <v>456</v>
      </c>
      <c r="AC1" s="19" t="s">
        <v>801</v>
      </c>
      <c r="AD1" s="170" t="s">
        <v>1204</v>
      </c>
      <c r="AE1" s="163" t="s">
        <v>1205</v>
      </c>
      <c r="AF1" s="19" t="s">
        <v>1206</v>
      </c>
      <c r="AG1" s="19" t="s">
        <v>824</v>
      </c>
      <c r="AH1" s="19" t="s">
        <v>825</v>
      </c>
      <c r="AI1" s="19" t="s">
        <v>1207</v>
      </c>
      <c r="AJ1" s="19" t="s">
        <v>831</v>
      </c>
      <c r="AK1" s="19" t="s">
        <v>186</v>
      </c>
      <c r="AL1" s="19" t="s">
        <v>199</v>
      </c>
      <c r="AM1" s="19" t="s">
        <v>187</v>
      </c>
      <c r="AN1" s="19" t="s">
        <v>159</v>
      </c>
      <c r="AO1" s="19" t="s">
        <v>188</v>
      </c>
      <c r="AP1" s="159" t="s">
        <v>1208</v>
      </c>
      <c r="AQ1" s="19" t="s">
        <v>1209</v>
      </c>
      <c r="AR1" s="19" t="s">
        <v>1210</v>
      </c>
      <c r="AS1" s="19" t="s">
        <v>18</v>
      </c>
      <c r="AT1" s="19" t="s">
        <v>20</v>
      </c>
      <c r="AU1" s="19" t="s">
        <v>200</v>
      </c>
      <c r="AV1" s="19" t="s">
        <v>21</v>
      </c>
      <c r="AW1" s="19" t="s">
        <v>201</v>
      </c>
      <c r="AX1" s="19" t="s">
        <v>874</v>
      </c>
      <c r="AY1" s="19" t="s">
        <v>22</v>
      </c>
      <c r="AZ1" s="163" t="s">
        <v>24</v>
      </c>
      <c r="BA1" s="163" t="s">
        <v>25</v>
      </c>
    </row>
    <row r="2" spans="1:53">
      <c r="A2" s="2" t="s">
        <v>26</v>
      </c>
      <c r="B2" s="2">
        <v>1182</v>
      </c>
      <c r="C2" s="20" t="s">
        <v>1365</v>
      </c>
      <c r="D2" s="20" t="s">
        <v>34</v>
      </c>
      <c r="E2" s="20" t="s">
        <v>1366</v>
      </c>
      <c r="F2" s="20" t="s">
        <v>1367</v>
      </c>
      <c r="G2" s="20" t="s">
        <v>1083</v>
      </c>
      <c r="H2" s="2" t="s">
        <v>1368</v>
      </c>
      <c r="I2" s="18" t="s">
        <v>31</v>
      </c>
      <c r="J2" s="18" t="s">
        <v>31</v>
      </c>
      <c r="K2" s="20" t="s">
        <v>492</v>
      </c>
      <c r="L2" s="20" t="s">
        <v>164</v>
      </c>
      <c r="M2" s="20" t="s">
        <v>386</v>
      </c>
      <c r="N2" s="190">
        <v>514984558</v>
      </c>
      <c r="O2" s="20" t="s">
        <v>1369</v>
      </c>
      <c r="P2" s="20" t="s">
        <v>1370</v>
      </c>
      <c r="Q2" s="20" t="s">
        <v>98</v>
      </c>
      <c r="R2" s="20" t="s">
        <v>453</v>
      </c>
      <c r="S2" s="18" t="s">
        <v>35</v>
      </c>
      <c r="T2" s="153">
        <v>1.71</v>
      </c>
      <c r="U2" s="20" t="s">
        <v>203</v>
      </c>
      <c r="V2" s="167">
        <v>5.5E-2</v>
      </c>
      <c r="W2" s="20" t="s">
        <v>800</v>
      </c>
      <c r="X2" s="20" t="s">
        <v>954</v>
      </c>
      <c r="Y2" s="171">
        <v>5.5</v>
      </c>
      <c r="Z2" s="168">
        <v>0.25139</v>
      </c>
      <c r="AA2" s="20" t="s">
        <v>1371</v>
      </c>
      <c r="AB2" s="18" t="s">
        <v>458</v>
      </c>
      <c r="AC2" s="20"/>
      <c r="AD2" s="20"/>
      <c r="AE2" s="20"/>
      <c r="AF2" s="20"/>
      <c r="AG2" s="20" t="s">
        <v>386</v>
      </c>
      <c r="AH2" s="20" t="s">
        <v>828</v>
      </c>
      <c r="AI2" s="2" t="s">
        <v>1372</v>
      </c>
      <c r="AJ2" s="2" t="s">
        <v>386</v>
      </c>
      <c r="AK2" s="20" t="s">
        <v>937</v>
      </c>
      <c r="AL2" s="20" t="s">
        <v>1373</v>
      </c>
      <c r="AM2" s="20"/>
      <c r="AN2" s="2" t="s">
        <v>1374</v>
      </c>
      <c r="AQ2" s="150">
        <v>205882</v>
      </c>
      <c r="AR2" s="153">
        <v>77.09</v>
      </c>
      <c r="AS2" s="153">
        <v>1</v>
      </c>
      <c r="AT2" s="153">
        <v>158.714</v>
      </c>
      <c r="AU2" s="156">
        <v>158.714</v>
      </c>
      <c r="AV2" s="27"/>
      <c r="AW2" s="27"/>
      <c r="AX2" s="18" t="s">
        <v>386</v>
      </c>
      <c r="AY2" s="20" t="s">
        <v>37</v>
      </c>
      <c r="AZ2" s="168">
        <v>1.7984315610880701E-2</v>
      </c>
      <c r="BA2" s="168">
        <v>4.01603031657295E-4</v>
      </c>
    </row>
    <row r="3" spans="1:53">
      <c r="A3" s="2" t="s">
        <v>26</v>
      </c>
      <c r="B3" s="2">
        <v>1182</v>
      </c>
      <c r="C3" s="20" t="s">
        <v>1375</v>
      </c>
      <c r="D3" s="20" t="s">
        <v>1376</v>
      </c>
      <c r="E3" s="20" t="s">
        <v>1377</v>
      </c>
      <c r="F3" s="20" t="s">
        <v>1378</v>
      </c>
      <c r="G3" s="20" t="s">
        <v>1083</v>
      </c>
      <c r="I3" s="18" t="s">
        <v>31</v>
      </c>
      <c r="J3" s="18" t="s">
        <v>31</v>
      </c>
      <c r="K3" s="20" t="s">
        <v>483</v>
      </c>
      <c r="L3" s="20" t="s">
        <v>164</v>
      </c>
      <c r="M3" s="20" t="s">
        <v>386</v>
      </c>
      <c r="N3" s="190">
        <v>513846667</v>
      </c>
      <c r="O3" s="20" t="s">
        <v>1379</v>
      </c>
      <c r="P3" s="20" t="s">
        <v>1380</v>
      </c>
      <c r="Q3" s="20" t="s">
        <v>98</v>
      </c>
      <c r="R3" s="20" t="s">
        <v>453</v>
      </c>
      <c r="S3" s="18" t="s">
        <v>35</v>
      </c>
      <c r="T3" s="153">
        <v>4.74</v>
      </c>
      <c r="U3" s="20" t="s">
        <v>203</v>
      </c>
      <c r="V3" s="167">
        <v>3.5499999999999997E-2</v>
      </c>
      <c r="W3" s="20" t="s">
        <v>800</v>
      </c>
      <c r="X3" s="20" t="s">
        <v>954</v>
      </c>
      <c r="Y3" s="171">
        <v>3.55</v>
      </c>
      <c r="Z3" s="168">
        <v>6.046E-2</v>
      </c>
      <c r="AA3" s="20" t="s">
        <v>1381</v>
      </c>
      <c r="AB3" s="18" t="s">
        <v>458</v>
      </c>
      <c r="AC3" s="20"/>
      <c r="AD3" s="20"/>
      <c r="AE3" s="20"/>
      <c r="AF3" s="20"/>
      <c r="AG3" s="20" t="s">
        <v>164</v>
      </c>
      <c r="AH3" s="20"/>
      <c r="AI3" s="2" t="s">
        <v>1382</v>
      </c>
      <c r="AJ3" s="2" t="s">
        <v>386</v>
      </c>
      <c r="AK3" s="20" t="s">
        <v>937</v>
      </c>
      <c r="AL3" s="20" t="s">
        <v>1373</v>
      </c>
      <c r="AM3" s="20"/>
      <c r="AN3" s="2" t="s">
        <v>1374</v>
      </c>
      <c r="AQ3" s="150">
        <v>346612.44</v>
      </c>
      <c r="AR3" s="153">
        <v>107.76</v>
      </c>
      <c r="AS3" s="153">
        <v>1</v>
      </c>
      <c r="AT3" s="153">
        <v>373.51</v>
      </c>
      <c r="AU3" s="153">
        <v>373.51</v>
      </c>
      <c r="AV3" s="20"/>
      <c r="AW3" s="20"/>
      <c r="AX3" s="18" t="s">
        <v>164</v>
      </c>
      <c r="AY3" s="20" t="s">
        <v>37</v>
      </c>
      <c r="AZ3" s="168">
        <v>4.23232704549985E-2</v>
      </c>
      <c r="BA3" s="168">
        <v>9.4510984416307697E-4</v>
      </c>
    </row>
    <row r="4" spans="1:53">
      <c r="A4" s="2" t="s">
        <v>26</v>
      </c>
      <c r="B4" s="2">
        <v>1182</v>
      </c>
      <c r="C4" s="20" t="s">
        <v>1383</v>
      </c>
      <c r="D4" s="20" t="s">
        <v>34</v>
      </c>
      <c r="E4" s="20" t="s">
        <v>1384</v>
      </c>
      <c r="F4" s="20" t="s">
        <v>1385</v>
      </c>
      <c r="G4" s="20" t="s">
        <v>1083</v>
      </c>
      <c r="I4" s="18" t="s">
        <v>31</v>
      </c>
      <c r="J4" s="18" t="s">
        <v>31</v>
      </c>
      <c r="K4" s="20" t="s">
        <v>497</v>
      </c>
      <c r="L4" s="20" t="s">
        <v>164</v>
      </c>
      <c r="M4" s="20" t="s">
        <v>386</v>
      </c>
      <c r="N4" s="27" t="s">
        <v>1383</v>
      </c>
      <c r="O4" s="20" t="s">
        <v>1386</v>
      </c>
      <c r="P4" s="20" t="s">
        <v>1387</v>
      </c>
      <c r="Q4" s="20" t="s">
        <v>217</v>
      </c>
      <c r="R4" s="20" t="s">
        <v>453</v>
      </c>
      <c r="S4" s="18" t="s">
        <v>35</v>
      </c>
      <c r="T4" s="153">
        <v>3.2</v>
      </c>
      <c r="U4" s="20" t="s">
        <v>203</v>
      </c>
      <c r="V4" s="167">
        <v>5.5E-2</v>
      </c>
      <c r="W4" s="20" t="s">
        <v>800</v>
      </c>
      <c r="X4" s="20" t="s">
        <v>1388</v>
      </c>
      <c r="Y4" s="171">
        <v>5.5</v>
      </c>
      <c r="Z4" s="168">
        <v>3.2500000000000001E-2</v>
      </c>
      <c r="AA4" s="20" t="s">
        <v>1389</v>
      </c>
      <c r="AB4" s="18" t="s">
        <v>458</v>
      </c>
      <c r="AC4" s="20"/>
      <c r="AD4" s="20"/>
      <c r="AE4" s="20"/>
      <c r="AF4" s="20"/>
      <c r="AG4" s="20" t="s">
        <v>164</v>
      </c>
      <c r="AH4" s="20"/>
      <c r="AJ4" s="2" t="s">
        <v>164</v>
      </c>
      <c r="AK4" s="20" t="s">
        <v>203</v>
      </c>
      <c r="AL4" s="20"/>
      <c r="AM4" s="20"/>
      <c r="AN4" s="2" t="s">
        <v>1374</v>
      </c>
      <c r="AQ4" s="150">
        <v>6218.87</v>
      </c>
      <c r="AR4" s="153">
        <v>120.53</v>
      </c>
      <c r="AS4" s="153">
        <v>1</v>
      </c>
      <c r="AT4" s="153">
        <v>7.4960000000000004</v>
      </c>
      <c r="AU4" s="156">
        <v>7.4960000000000004</v>
      </c>
      <c r="AV4" s="27"/>
      <c r="AW4" s="27"/>
      <c r="AX4" s="18" t="s">
        <v>164</v>
      </c>
      <c r="AY4" s="20" t="s">
        <v>37</v>
      </c>
      <c r="AZ4" s="168">
        <v>8.4934498394693004E-4</v>
      </c>
      <c r="BA4" s="168">
        <v>1.8966499913382101E-5</v>
      </c>
    </row>
    <row r="5" spans="1:53">
      <c r="A5" s="2" t="s">
        <v>26</v>
      </c>
      <c r="B5" s="2">
        <v>1182</v>
      </c>
      <c r="C5" s="20" t="s">
        <v>1383</v>
      </c>
      <c r="D5" s="20" t="s">
        <v>34</v>
      </c>
      <c r="E5" s="20" t="s">
        <v>1390</v>
      </c>
      <c r="F5" s="20" t="s">
        <v>1391</v>
      </c>
      <c r="G5" s="20" t="s">
        <v>1083</v>
      </c>
      <c r="I5" s="18" t="s">
        <v>31</v>
      </c>
      <c r="J5" s="18" t="s">
        <v>31</v>
      </c>
      <c r="K5" s="20" t="s">
        <v>497</v>
      </c>
      <c r="L5" s="20" t="s">
        <v>164</v>
      </c>
      <c r="M5" s="20" t="s">
        <v>386</v>
      </c>
      <c r="N5" s="27" t="s">
        <v>1383</v>
      </c>
      <c r="O5" s="20" t="s">
        <v>1386</v>
      </c>
      <c r="P5" s="20" t="s">
        <v>1392</v>
      </c>
      <c r="Q5" s="20" t="s">
        <v>98</v>
      </c>
      <c r="R5" s="20" t="s">
        <v>453</v>
      </c>
      <c r="S5" s="18" t="s">
        <v>35</v>
      </c>
      <c r="T5" s="153">
        <v>3.22</v>
      </c>
      <c r="U5" s="20" t="s">
        <v>1393</v>
      </c>
      <c r="V5" s="167">
        <v>5.5E-2</v>
      </c>
      <c r="W5" s="20" t="s">
        <v>800</v>
      </c>
      <c r="X5" s="20" t="s">
        <v>1388</v>
      </c>
      <c r="Y5" s="171">
        <v>5.5</v>
      </c>
      <c r="Z5" s="168">
        <v>2.5940000000000001E-2</v>
      </c>
      <c r="AA5" s="20" t="s">
        <v>1389</v>
      </c>
      <c r="AB5" s="18" t="s">
        <v>458</v>
      </c>
      <c r="AC5" s="20"/>
      <c r="AD5" s="20"/>
      <c r="AE5" s="20"/>
      <c r="AF5" s="20"/>
      <c r="AG5" s="20" t="s">
        <v>164</v>
      </c>
      <c r="AH5" s="20"/>
      <c r="AJ5" s="2" t="s">
        <v>164</v>
      </c>
      <c r="AK5" s="20" t="s">
        <v>203</v>
      </c>
      <c r="AL5" s="20"/>
      <c r="AM5" s="20"/>
      <c r="AN5" s="2" t="s">
        <v>1374</v>
      </c>
      <c r="AQ5" s="150">
        <v>8958.35</v>
      </c>
      <c r="AR5" s="153">
        <v>124.99</v>
      </c>
      <c r="AS5" s="153">
        <v>1</v>
      </c>
      <c r="AT5" s="153">
        <v>11.196999999999999</v>
      </c>
      <c r="AU5" s="156">
        <v>11.196999999999999</v>
      </c>
      <c r="AV5" s="27"/>
      <c r="AW5" s="27"/>
      <c r="AX5" s="18" t="s">
        <v>164</v>
      </c>
      <c r="AY5" s="20" t="s">
        <v>37</v>
      </c>
      <c r="AZ5" s="168">
        <v>1.2687638193341201E-3</v>
      </c>
      <c r="BA5" s="168">
        <v>2.8332431843744801E-5</v>
      </c>
    </row>
    <row r="6" spans="1:53">
      <c r="A6" s="2" t="s">
        <v>26</v>
      </c>
      <c r="B6" s="2">
        <v>1182</v>
      </c>
      <c r="C6" s="20" t="s">
        <v>1383</v>
      </c>
      <c r="D6" s="20" t="s">
        <v>34</v>
      </c>
      <c r="E6" s="20" t="s">
        <v>1394</v>
      </c>
      <c r="F6" s="20" t="s">
        <v>1395</v>
      </c>
      <c r="G6" s="20" t="s">
        <v>1083</v>
      </c>
      <c r="I6" s="18" t="s">
        <v>31</v>
      </c>
      <c r="J6" s="18" t="s">
        <v>31</v>
      </c>
      <c r="K6" s="20" t="s">
        <v>497</v>
      </c>
      <c r="L6" s="20" t="s">
        <v>164</v>
      </c>
      <c r="M6" s="20" t="s">
        <v>386</v>
      </c>
      <c r="N6" s="27" t="s">
        <v>1383</v>
      </c>
      <c r="O6" s="20" t="s">
        <v>1386</v>
      </c>
      <c r="P6" s="20" t="s">
        <v>1392</v>
      </c>
      <c r="Q6" s="20" t="s">
        <v>98</v>
      </c>
      <c r="R6" s="20" t="s">
        <v>453</v>
      </c>
      <c r="S6" s="18" t="s">
        <v>35</v>
      </c>
      <c r="T6" s="153">
        <v>3.23</v>
      </c>
      <c r="U6" s="20" t="s">
        <v>1393</v>
      </c>
      <c r="V6" s="167">
        <v>5.5E-2</v>
      </c>
      <c r="W6" s="20" t="s">
        <v>800</v>
      </c>
      <c r="X6" s="20" t="s">
        <v>1388</v>
      </c>
      <c r="Y6" s="171">
        <v>5.5</v>
      </c>
      <c r="Z6" s="168">
        <v>2.5340000000000001E-2</v>
      </c>
      <c r="AA6" s="20" t="s">
        <v>1389</v>
      </c>
      <c r="AB6" s="18" t="s">
        <v>458</v>
      </c>
      <c r="AC6" s="20"/>
      <c r="AD6" s="20"/>
      <c r="AE6" s="20"/>
      <c r="AF6" s="20"/>
      <c r="AG6" s="20" t="s">
        <v>164</v>
      </c>
      <c r="AH6" s="20"/>
      <c r="AJ6" s="2" t="s">
        <v>164</v>
      </c>
      <c r="AK6" s="20" t="s">
        <v>203</v>
      </c>
      <c r="AL6" s="20"/>
      <c r="AM6" s="20"/>
      <c r="AN6" s="2" t="s">
        <v>1374</v>
      </c>
      <c r="AQ6" s="150">
        <v>987.02</v>
      </c>
      <c r="AR6" s="153">
        <v>124.99</v>
      </c>
      <c r="AS6" s="153">
        <v>1</v>
      </c>
      <c r="AT6" s="153">
        <v>1.234</v>
      </c>
      <c r="AU6" s="156">
        <v>1.234</v>
      </c>
      <c r="AV6" s="27"/>
      <c r="AW6" s="27"/>
      <c r="AX6" s="18" t="s">
        <v>164</v>
      </c>
      <c r="AY6" s="20" t="s">
        <v>37</v>
      </c>
      <c r="AZ6" s="168">
        <v>1.39790839268299E-4</v>
      </c>
      <c r="BA6" s="168">
        <v>3.1216325415297502E-6</v>
      </c>
    </row>
    <row r="7" spans="1:53">
      <c r="A7" s="2" t="s">
        <v>26</v>
      </c>
      <c r="B7" s="2">
        <v>1182</v>
      </c>
      <c r="C7" s="20" t="s">
        <v>1383</v>
      </c>
      <c r="D7" s="20" t="s">
        <v>34</v>
      </c>
      <c r="E7" s="20" t="s">
        <v>1396</v>
      </c>
      <c r="F7" s="20" t="s">
        <v>1397</v>
      </c>
      <c r="G7" s="20" t="s">
        <v>1083</v>
      </c>
      <c r="I7" s="18" t="s">
        <v>31</v>
      </c>
      <c r="J7" s="18" t="s">
        <v>31</v>
      </c>
      <c r="K7" s="20" t="s">
        <v>497</v>
      </c>
      <c r="L7" s="20" t="s">
        <v>164</v>
      </c>
      <c r="M7" s="20" t="s">
        <v>386</v>
      </c>
      <c r="N7" s="27" t="s">
        <v>1383</v>
      </c>
      <c r="O7" s="20" t="s">
        <v>1398</v>
      </c>
      <c r="P7" s="20" t="s">
        <v>1392</v>
      </c>
      <c r="Q7" s="20" t="s">
        <v>98</v>
      </c>
      <c r="R7" s="20" t="s">
        <v>453</v>
      </c>
      <c r="S7" s="18" t="s">
        <v>35</v>
      </c>
      <c r="T7" s="153">
        <v>3.33</v>
      </c>
      <c r="U7" s="20" t="s">
        <v>203</v>
      </c>
      <c r="V7" s="167">
        <v>5.5300000000000002E-2</v>
      </c>
      <c r="W7" s="20" t="s">
        <v>800</v>
      </c>
      <c r="X7" s="20" t="s">
        <v>954</v>
      </c>
      <c r="Y7" s="171">
        <v>5.53</v>
      </c>
      <c r="Z7" s="168">
        <v>2.9010000000000001E-2</v>
      </c>
      <c r="AA7" s="20" t="s">
        <v>1399</v>
      </c>
      <c r="AB7" s="18" t="s">
        <v>458</v>
      </c>
      <c r="AC7" s="20" t="s">
        <v>529</v>
      </c>
      <c r="AD7" s="153">
        <v>4791</v>
      </c>
      <c r="AE7" s="153">
        <v>0.78</v>
      </c>
      <c r="AF7" s="20" t="s">
        <v>1400</v>
      </c>
      <c r="AG7" s="20" t="s">
        <v>164</v>
      </c>
      <c r="AH7" s="20"/>
      <c r="AI7" s="2" t="s">
        <v>1401</v>
      </c>
      <c r="AJ7" s="2" t="s">
        <v>386</v>
      </c>
      <c r="AK7" s="20" t="s">
        <v>937</v>
      </c>
      <c r="AL7" s="20" t="s">
        <v>1373</v>
      </c>
      <c r="AM7" s="20"/>
      <c r="AN7" s="2" t="s">
        <v>1374</v>
      </c>
      <c r="AO7" s="2" t="s">
        <v>1400</v>
      </c>
      <c r="AP7" s="151">
        <v>0</v>
      </c>
      <c r="AQ7" s="150">
        <v>12335.41</v>
      </c>
      <c r="AR7" s="153">
        <v>126.56</v>
      </c>
      <c r="AS7" s="153">
        <v>1</v>
      </c>
      <c r="AT7" s="153">
        <v>15.612</v>
      </c>
      <c r="AU7" s="156">
        <v>15.612</v>
      </c>
      <c r="AV7" s="27"/>
      <c r="AW7" s="27"/>
      <c r="AX7" s="18" t="s">
        <v>164</v>
      </c>
      <c r="AY7" s="20" t="s">
        <v>37</v>
      </c>
      <c r="AZ7" s="168">
        <v>1.76899883336533E-3</v>
      </c>
      <c r="BA7" s="168">
        <v>3.9503048648007197E-5</v>
      </c>
    </row>
    <row r="8" spans="1:53">
      <c r="A8" s="2" t="s">
        <v>26</v>
      </c>
      <c r="B8" s="2">
        <v>1182</v>
      </c>
      <c r="C8" s="20" t="s">
        <v>1383</v>
      </c>
      <c r="D8" s="20" t="s">
        <v>34</v>
      </c>
      <c r="E8" s="20" t="s">
        <v>1402</v>
      </c>
      <c r="F8" s="20" t="s">
        <v>1403</v>
      </c>
      <c r="G8" s="20" t="s">
        <v>1083</v>
      </c>
      <c r="I8" s="18" t="s">
        <v>31</v>
      </c>
      <c r="J8" s="18" t="s">
        <v>31</v>
      </c>
      <c r="K8" s="20" t="s">
        <v>497</v>
      </c>
      <c r="L8" s="20" t="s">
        <v>164</v>
      </c>
      <c r="M8" s="20" t="s">
        <v>386</v>
      </c>
      <c r="N8" s="190" t="s">
        <v>1383</v>
      </c>
      <c r="O8" s="20" t="s">
        <v>1404</v>
      </c>
      <c r="P8" s="20" t="s">
        <v>1392</v>
      </c>
      <c r="Q8" s="20" t="s">
        <v>98</v>
      </c>
      <c r="R8" s="20" t="s">
        <v>453</v>
      </c>
      <c r="S8" s="18" t="s">
        <v>35</v>
      </c>
      <c r="T8" s="153">
        <v>3.33</v>
      </c>
      <c r="U8" s="20" t="s">
        <v>203</v>
      </c>
      <c r="V8" s="167">
        <v>5.5301000000000003E-2</v>
      </c>
      <c r="W8" s="20" t="s">
        <v>800</v>
      </c>
      <c r="X8" s="20" t="s">
        <v>954</v>
      </c>
      <c r="Y8" s="171">
        <v>5.5301</v>
      </c>
      <c r="Z8" s="168">
        <v>2.9010000000000001E-2</v>
      </c>
      <c r="AA8" s="20" t="s">
        <v>1399</v>
      </c>
      <c r="AB8" s="18" t="s">
        <v>458</v>
      </c>
      <c r="AC8" s="20" t="s">
        <v>529</v>
      </c>
      <c r="AD8" s="153">
        <v>4596</v>
      </c>
      <c r="AE8" s="153">
        <v>0.78</v>
      </c>
      <c r="AF8" s="20" t="s">
        <v>1400</v>
      </c>
      <c r="AG8" s="20" t="s">
        <v>164</v>
      </c>
      <c r="AH8" s="20"/>
      <c r="AI8" s="2" t="s">
        <v>1401</v>
      </c>
      <c r="AJ8" s="2" t="s">
        <v>386</v>
      </c>
      <c r="AK8" s="20" t="s">
        <v>937</v>
      </c>
      <c r="AL8" s="20" t="s">
        <v>1373</v>
      </c>
      <c r="AM8" s="20"/>
      <c r="AN8" s="2" t="s">
        <v>1374</v>
      </c>
      <c r="AO8" s="2" t="s">
        <v>1400</v>
      </c>
      <c r="AP8" s="151">
        <v>0</v>
      </c>
      <c r="AQ8" s="150">
        <v>11834.72</v>
      </c>
      <c r="AR8" s="153">
        <v>126.56</v>
      </c>
      <c r="AS8" s="153">
        <v>1</v>
      </c>
      <c r="AT8" s="153">
        <v>14.978</v>
      </c>
      <c r="AU8" s="153">
        <v>14.978</v>
      </c>
      <c r="AV8" s="20"/>
      <c r="AW8" s="20"/>
      <c r="AX8" s="18" t="s">
        <v>164</v>
      </c>
      <c r="AY8" s="20" t="s">
        <v>37</v>
      </c>
      <c r="AZ8" s="168">
        <v>1.69719578621265E-3</v>
      </c>
      <c r="BA8" s="168">
        <v>3.7899633647810997E-5</v>
      </c>
    </row>
    <row r="9" spans="1:53">
      <c r="A9" s="2" t="s">
        <v>26</v>
      </c>
      <c r="B9" s="2">
        <v>1182</v>
      </c>
      <c r="C9" s="20" t="s">
        <v>1383</v>
      </c>
      <c r="D9" s="20" t="s">
        <v>34</v>
      </c>
      <c r="E9" s="20" t="s">
        <v>1405</v>
      </c>
      <c r="F9" s="20" t="s">
        <v>1406</v>
      </c>
      <c r="G9" s="20" t="s">
        <v>1083</v>
      </c>
      <c r="I9" s="18" t="s">
        <v>31</v>
      </c>
      <c r="J9" s="18" t="s">
        <v>31</v>
      </c>
      <c r="K9" s="20" t="s">
        <v>497</v>
      </c>
      <c r="L9" s="20" t="s">
        <v>164</v>
      </c>
      <c r="M9" s="20" t="s">
        <v>386</v>
      </c>
      <c r="N9" s="190" t="s">
        <v>1383</v>
      </c>
      <c r="O9" s="20" t="s">
        <v>1407</v>
      </c>
      <c r="P9" s="20" t="s">
        <v>1392</v>
      </c>
      <c r="Q9" s="20" t="s">
        <v>98</v>
      </c>
      <c r="R9" s="20" t="s">
        <v>453</v>
      </c>
      <c r="S9" s="18" t="s">
        <v>35</v>
      </c>
      <c r="T9" s="153">
        <v>3.33</v>
      </c>
      <c r="U9" s="20" t="s">
        <v>203</v>
      </c>
      <c r="V9" s="167">
        <v>5.5300000000000002E-2</v>
      </c>
      <c r="W9" s="20" t="s">
        <v>800</v>
      </c>
      <c r="X9" s="20" t="s">
        <v>954</v>
      </c>
      <c r="Y9" s="171">
        <v>5.53</v>
      </c>
      <c r="Z9" s="168">
        <v>2.9000000000000001E-2</v>
      </c>
      <c r="AA9" s="20" t="s">
        <v>1399</v>
      </c>
      <c r="AB9" s="18" t="s">
        <v>458</v>
      </c>
      <c r="AC9" s="20" t="s">
        <v>529</v>
      </c>
      <c r="AD9" s="153">
        <v>4622</v>
      </c>
      <c r="AE9" s="153">
        <v>0.78</v>
      </c>
      <c r="AF9" s="20" t="s">
        <v>1400</v>
      </c>
      <c r="AG9" s="20" t="s">
        <v>164</v>
      </c>
      <c r="AH9" s="20"/>
      <c r="AI9" s="2" t="s">
        <v>1401</v>
      </c>
      <c r="AJ9" s="2" t="s">
        <v>386</v>
      </c>
      <c r="AK9" s="20" t="s">
        <v>937</v>
      </c>
      <c r="AL9" s="20" t="s">
        <v>1373</v>
      </c>
      <c r="AM9" s="20"/>
      <c r="AN9" s="2" t="s">
        <v>1374</v>
      </c>
      <c r="AO9" s="2" t="s">
        <v>1400</v>
      </c>
      <c r="AP9" s="151">
        <v>0</v>
      </c>
      <c r="AQ9" s="150">
        <v>11902.25</v>
      </c>
      <c r="AR9" s="153">
        <v>124.99</v>
      </c>
      <c r="AS9" s="153">
        <v>1</v>
      </c>
      <c r="AT9" s="153">
        <v>14.877000000000001</v>
      </c>
      <c r="AU9" s="156">
        <v>14.877000000000001</v>
      </c>
      <c r="AV9" s="27"/>
      <c r="AW9" s="27"/>
      <c r="AX9" s="18" t="s">
        <v>164</v>
      </c>
      <c r="AY9" s="20" t="s">
        <v>37</v>
      </c>
      <c r="AZ9" s="168">
        <v>1.68570598030548E-3</v>
      </c>
      <c r="BA9" s="168">
        <v>3.7643057807767198E-5</v>
      </c>
    </row>
    <row r="10" spans="1:53">
      <c r="A10" s="2" t="s">
        <v>26</v>
      </c>
      <c r="B10" s="2">
        <v>1182</v>
      </c>
      <c r="C10" s="20" t="s">
        <v>1383</v>
      </c>
      <c r="D10" s="20" t="s">
        <v>34</v>
      </c>
      <c r="E10" s="20" t="s">
        <v>1408</v>
      </c>
      <c r="F10" s="20" t="s">
        <v>1409</v>
      </c>
      <c r="G10" s="20" t="s">
        <v>1083</v>
      </c>
      <c r="I10" s="18" t="s">
        <v>31</v>
      </c>
      <c r="J10" s="18" t="s">
        <v>31</v>
      </c>
      <c r="K10" s="20" t="s">
        <v>497</v>
      </c>
      <c r="L10" s="20" t="s">
        <v>164</v>
      </c>
      <c r="M10" s="20" t="s">
        <v>386</v>
      </c>
      <c r="N10" s="190" t="s">
        <v>1383</v>
      </c>
      <c r="O10" s="20" t="s">
        <v>1410</v>
      </c>
      <c r="P10" s="20" t="s">
        <v>1392</v>
      </c>
      <c r="Q10" s="20" t="s">
        <v>98</v>
      </c>
      <c r="R10" s="20" t="s">
        <v>453</v>
      </c>
      <c r="S10" s="18" t="s">
        <v>35</v>
      </c>
      <c r="T10" s="153">
        <v>3.34</v>
      </c>
      <c r="U10" s="20" t="s">
        <v>203</v>
      </c>
      <c r="V10" s="167">
        <v>5.5E-2</v>
      </c>
      <c r="W10" s="20" t="s">
        <v>800</v>
      </c>
      <c r="X10" s="20" t="s">
        <v>1388</v>
      </c>
      <c r="Y10" s="171">
        <v>5.5</v>
      </c>
      <c r="Z10" s="168">
        <v>2.9010000000000001E-2</v>
      </c>
      <c r="AA10" s="20" t="s">
        <v>1399</v>
      </c>
      <c r="AB10" s="18" t="s">
        <v>458</v>
      </c>
      <c r="AC10" s="20" t="s">
        <v>529</v>
      </c>
      <c r="AD10" s="153">
        <v>3155</v>
      </c>
      <c r="AE10" s="153">
        <v>0.78</v>
      </c>
      <c r="AF10" s="20" t="s">
        <v>1400</v>
      </c>
      <c r="AG10" s="20" t="s">
        <v>164</v>
      </c>
      <c r="AH10" s="20"/>
      <c r="AI10" s="2" t="s">
        <v>1401</v>
      </c>
      <c r="AJ10" s="2" t="s">
        <v>386</v>
      </c>
      <c r="AK10" s="20" t="s">
        <v>203</v>
      </c>
      <c r="AL10" s="20"/>
      <c r="AM10" s="20"/>
      <c r="AN10" s="2" t="s">
        <v>1374</v>
      </c>
      <c r="AO10" s="2" t="s">
        <v>1400</v>
      </c>
      <c r="AP10" s="151">
        <v>0</v>
      </c>
      <c r="AQ10" s="150">
        <v>3758.6</v>
      </c>
      <c r="AR10" s="153">
        <v>124.49</v>
      </c>
      <c r="AS10" s="153">
        <v>1</v>
      </c>
      <c r="AT10" s="153">
        <v>4.6790000000000003</v>
      </c>
      <c r="AU10" s="153">
        <v>4.6790000000000003</v>
      </c>
      <c r="AV10" s="20"/>
      <c r="AW10" s="20"/>
      <c r="AX10" s="18" t="s">
        <v>164</v>
      </c>
      <c r="AY10" s="20" t="s">
        <v>37</v>
      </c>
      <c r="AZ10" s="168">
        <v>5.3019797869624703E-4</v>
      </c>
      <c r="BA10" s="168">
        <v>1.1839711903974799E-5</v>
      </c>
    </row>
    <row r="11" spans="1:53">
      <c r="A11" s="2" t="s">
        <v>26</v>
      </c>
      <c r="B11" s="2">
        <v>1182</v>
      </c>
      <c r="C11" s="20" t="s">
        <v>1383</v>
      </c>
      <c r="D11" s="20" t="s">
        <v>34</v>
      </c>
      <c r="E11" s="20" t="s">
        <v>1411</v>
      </c>
      <c r="F11" s="20" t="s">
        <v>1412</v>
      </c>
      <c r="G11" s="20" t="s">
        <v>1083</v>
      </c>
      <c r="I11" s="18" t="s">
        <v>31</v>
      </c>
      <c r="J11" s="18" t="s">
        <v>31</v>
      </c>
      <c r="K11" s="20" t="s">
        <v>497</v>
      </c>
      <c r="L11" s="20" t="s">
        <v>164</v>
      </c>
      <c r="M11" s="20" t="s">
        <v>386</v>
      </c>
      <c r="N11" s="190" t="s">
        <v>1383</v>
      </c>
      <c r="O11" s="20" t="s">
        <v>1413</v>
      </c>
      <c r="P11" s="20" t="s">
        <v>1392</v>
      </c>
      <c r="Q11" s="20" t="s">
        <v>98</v>
      </c>
      <c r="R11" s="20" t="s">
        <v>453</v>
      </c>
      <c r="S11" s="18" t="s">
        <v>35</v>
      </c>
      <c r="T11" s="153">
        <v>3.33</v>
      </c>
      <c r="U11" s="20" t="s">
        <v>1393</v>
      </c>
      <c r="V11" s="167">
        <v>5.6132000000000001E-2</v>
      </c>
      <c r="W11" s="20" t="s">
        <v>800</v>
      </c>
      <c r="X11" s="20" t="s">
        <v>954</v>
      </c>
      <c r="Y11" s="171">
        <v>5.6132</v>
      </c>
      <c r="Z11" s="168">
        <v>2.886E-2</v>
      </c>
      <c r="AA11" s="20" t="s">
        <v>1399</v>
      </c>
      <c r="AB11" s="18" t="s">
        <v>458</v>
      </c>
      <c r="AC11" s="20" t="s">
        <v>529</v>
      </c>
      <c r="AD11" s="153">
        <v>465</v>
      </c>
      <c r="AE11" s="153">
        <v>0.78</v>
      </c>
      <c r="AF11" s="20" t="s">
        <v>1400</v>
      </c>
      <c r="AG11" s="20" t="s">
        <v>164</v>
      </c>
      <c r="AH11" s="20"/>
      <c r="AI11" s="2" t="s">
        <v>1401</v>
      </c>
      <c r="AJ11" s="2" t="s">
        <v>386</v>
      </c>
      <c r="AK11" s="20" t="s">
        <v>937</v>
      </c>
      <c r="AL11" s="20" t="s">
        <v>1373</v>
      </c>
      <c r="AM11" s="20"/>
      <c r="AN11" s="2" t="s">
        <v>1374</v>
      </c>
      <c r="AO11" s="2" t="s">
        <v>1400</v>
      </c>
      <c r="AP11" s="151">
        <v>0</v>
      </c>
      <c r="AQ11" s="150">
        <v>552.03</v>
      </c>
      <c r="AR11" s="153">
        <v>127.15</v>
      </c>
      <c r="AS11" s="153">
        <v>1</v>
      </c>
      <c r="AT11" s="153">
        <v>0.70199999999999996</v>
      </c>
      <c r="AU11" s="153">
        <v>0.70199999999999996</v>
      </c>
      <c r="AV11" s="20"/>
      <c r="AW11" s="20"/>
      <c r="AX11" s="18" t="s">
        <v>164</v>
      </c>
      <c r="AY11" s="20" t="s">
        <v>37</v>
      </c>
      <c r="AZ11" s="168">
        <v>7.9534679604524906E-5</v>
      </c>
      <c r="BA11" s="168">
        <v>1.7760680551971599E-6</v>
      </c>
    </row>
    <row r="12" spans="1:53">
      <c r="A12" s="2" t="s">
        <v>26</v>
      </c>
      <c r="B12" s="2">
        <v>1182</v>
      </c>
      <c r="C12" s="20" t="s">
        <v>1383</v>
      </c>
      <c r="D12" s="20" t="s">
        <v>34</v>
      </c>
      <c r="E12" s="20" t="s">
        <v>1414</v>
      </c>
      <c r="F12" s="20" t="s">
        <v>1415</v>
      </c>
      <c r="G12" s="20" t="s">
        <v>1083</v>
      </c>
      <c r="I12" s="18" t="s">
        <v>31</v>
      </c>
      <c r="J12" s="18" t="s">
        <v>31</v>
      </c>
      <c r="K12" s="20" t="s">
        <v>497</v>
      </c>
      <c r="L12" s="20" t="s">
        <v>164</v>
      </c>
      <c r="M12" s="20" t="s">
        <v>386</v>
      </c>
      <c r="N12" s="27" t="s">
        <v>1383</v>
      </c>
      <c r="O12" s="20" t="s">
        <v>1386</v>
      </c>
      <c r="P12" s="20" t="s">
        <v>1392</v>
      </c>
      <c r="Q12" s="20" t="s">
        <v>98</v>
      </c>
      <c r="R12" s="20" t="s">
        <v>453</v>
      </c>
      <c r="S12" s="18" t="s">
        <v>35</v>
      </c>
      <c r="T12" s="153">
        <v>3.21</v>
      </c>
      <c r="U12" s="20" t="s">
        <v>1393</v>
      </c>
      <c r="V12" s="167">
        <v>5.6691999999999999E-2</v>
      </c>
      <c r="W12" s="20" t="s">
        <v>800</v>
      </c>
      <c r="X12" s="20" t="s">
        <v>1388</v>
      </c>
      <c r="Y12" s="171">
        <v>5.6692</v>
      </c>
      <c r="Z12" s="168">
        <v>2.7910000000000001E-2</v>
      </c>
      <c r="AA12" s="20" t="s">
        <v>1416</v>
      </c>
      <c r="AB12" s="18" t="s">
        <v>458</v>
      </c>
      <c r="AC12" s="20"/>
      <c r="AD12" s="20"/>
      <c r="AE12" s="20"/>
      <c r="AF12" s="20"/>
      <c r="AG12" s="20" t="s">
        <v>164</v>
      </c>
      <c r="AH12" s="20"/>
      <c r="AJ12" s="2" t="s">
        <v>164</v>
      </c>
      <c r="AK12" s="20" t="s">
        <v>203</v>
      </c>
      <c r="AL12" s="20"/>
      <c r="AM12" s="20"/>
      <c r="AN12" s="2" t="s">
        <v>1374</v>
      </c>
      <c r="AQ12" s="150">
        <v>1111.51</v>
      </c>
      <c r="AR12" s="153">
        <v>127.57</v>
      </c>
      <c r="AS12" s="153">
        <v>1</v>
      </c>
      <c r="AT12" s="153">
        <v>1.4179999999999999</v>
      </c>
      <c r="AU12" s="153">
        <v>1.4179999999999999</v>
      </c>
      <c r="AV12" s="20"/>
      <c r="AW12" s="20"/>
      <c r="AX12" s="18" t="s">
        <v>164</v>
      </c>
      <c r="AY12" s="20" t="s">
        <v>37</v>
      </c>
      <c r="AZ12" s="168">
        <v>1.6067171197998501E-4</v>
      </c>
      <c r="BA12" s="168">
        <v>3.58791782956093E-6</v>
      </c>
    </row>
    <row r="13" spans="1:53">
      <c r="A13" s="2" t="s">
        <v>26</v>
      </c>
      <c r="B13" s="2">
        <v>1182</v>
      </c>
      <c r="C13" s="20" t="s">
        <v>1383</v>
      </c>
      <c r="D13" s="20" t="s">
        <v>34</v>
      </c>
      <c r="E13" s="20" t="s">
        <v>1417</v>
      </c>
      <c r="F13" s="20" t="s">
        <v>1418</v>
      </c>
      <c r="G13" s="20" t="s">
        <v>1083</v>
      </c>
      <c r="I13" s="18" t="s">
        <v>31</v>
      </c>
      <c r="J13" s="18" t="s">
        <v>31</v>
      </c>
      <c r="K13" s="20" t="s">
        <v>497</v>
      </c>
      <c r="L13" s="20" t="s">
        <v>164</v>
      </c>
      <c r="M13" s="20" t="s">
        <v>386</v>
      </c>
      <c r="N13" s="190" t="s">
        <v>1383</v>
      </c>
      <c r="O13" s="20" t="s">
        <v>1419</v>
      </c>
      <c r="P13" s="20" t="s">
        <v>1392</v>
      </c>
      <c r="Q13" s="20" t="s">
        <v>98</v>
      </c>
      <c r="R13" s="20" t="s">
        <v>453</v>
      </c>
      <c r="S13" s="18" t="s">
        <v>35</v>
      </c>
      <c r="T13" s="153">
        <v>3.34</v>
      </c>
      <c r="U13" s="20" t="s">
        <v>1393</v>
      </c>
      <c r="V13" s="167">
        <v>5.5E-2</v>
      </c>
      <c r="W13" s="20" t="s">
        <v>800</v>
      </c>
      <c r="X13" s="20" t="s">
        <v>954</v>
      </c>
      <c r="Y13" s="171">
        <v>5.5</v>
      </c>
      <c r="Z13" s="168">
        <v>2.8160000000000001E-2</v>
      </c>
      <c r="AA13" s="20" t="s">
        <v>1399</v>
      </c>
      <c r="AB13" s="18" t="s">
        <v>458</v>
      </c>
      <c r="AC13" s="20" t="s">
        <v>529</v>
      </c>
      <c r="AD13" s="153">
        <v>562</v>
      </c>
      <c r="AE13" s="153">
        <v>0.78</v>
      </c>
      <c r="AF13" s="20" t="s">
        <v>1400</v>
      </c>
      <c r="AG13" s="20" t="s">
        <v>164</v>
      </c>
      <c r="AH13" s="20"/>
      <c r="AI13" s="2" t="s">
        <v>1401</v>
      </c>
      <c r="AJ13" s="2" t="s">
        <v>386</v>
      </c>
      <c r="AK13" s="20" t="s">
        <v>937</v>
      </c>
      <c r="AL13" s="20" t="s">
        <v>1373</v>
      </c>
      <c r="AM13" s="20"/>
      <c r="AN13" s="2" t="s">
        <v>1374</v>
      </c>
      <c r="AO13" s="2" t="s">
        <v>1400</v>
      </c>
      <c r="AP13" s="151">
        <v>0</v>
      </c>
      <c r="AQ13" s="150">
        <v>666.95</v>
      </c>
      <c r="AR13" s="153">
        <v>127.53</v>
      </c>
      <c r="AS13" s="153">
        <v>1</v>
      </c>
      <c r="AT13" s="153">
        <v>0.85099999999999998</v>
      </c>
      <c r="AU13" s="153">
        <v>0.85099999999999998</v>
      </c>
      <c r="AV13" s="20"/>
      <c r="AW13" s="20"/>
      <c r="AX13" s="18" t="s">
        <v>164</v>
      </c>
      <c r="AY13" s="20" t="s">
        <v>37</v>
      </c>
      <c r="AZ13" s="168">
        <v>9.6379158018657899E-5</v>
      </c>
      <c r="BA13" s="168">
        <v>2.1522176815809998E-6</v>
      </c>
    </row>
    <row r="14" spans="1:53">
      <c r="A14" s="2" t="s">
        <v>26</v>
      </c>
      <c r="B14" s="2">
        <v>1182</v>
      </c>
      <c r="C14" s="20" t="s">
        <v>1383</v>
      </c>
      <c r="D14" s="20" t="s">
        <v>34</v>
      </c>
      <c r="E14" s="20" t="s">
        <v>1420</v>
      </c>
      <c r="F14" s="20" t="s">
        <v>1421</v>
      </c>
      <c r="G14" s="20" t="s">
        <v>1083</v>
      </c>
      <c r="I14" s="18" t="s">
        <v>31</v>
      </c>
      <c r="J14" s="18" t="s">
        <v>31</v>
      </c>
      <c r="K14" s="20" t="s">
        <v>497</v>
      </c>
      <c r="L14" s="20" t="s">
        <v>164</v>
      </c>
      <c r="M14" s="20" t="s">
        <v>386</v>
      </c>
      <c r="N14" s="190" t="s">
        <v>1383</v>
      </c>
      <c r="O14" s="20" t="s">
        <v>1422</v>
      </c>
      <c r="P14" s="20" t="s">
        <v>1392</v>
      </c>
      <c r="Q14" s="20" t="s">
        <v>98</v>
      </c>
      <c r="R14" s="20" t="s">
        <v>453</v>
      </c>
      <c r="S14" s="18" t="s">
        <v>35</v>
      </c>
      <c r="T14" s="153">
        <v>3.34</v>
      </c>
      <c r="U14" s="20" t="s">
        <v>1393</v>
      </c>
      <c r="V14" s="167">
        <v>5.5E-2</v>
      </c>
      <c r="W14" s="20" t="s">
        <v>800</v>
      </c>
      <c r="X14" s="20" t="s">
        <v>954</v>
      </c>
      <c r="Y14" s="171">
        <v>5.5</v>
      </c>
      <c r="Z14" s="168">
        <v>2.9000000000000001E-2</v>
      </c>
      <c r="AA14" s="20" t="s">
        <v>1399</v>
      </c>
      <c r="AB14" s="18" t="s">
        <v>458</v>
      </c>
      <c r="AC14" s="20" t="s">
        <v>529</v>
      </c>
      <c r="AD14" s="153">
        <v>4665</v>
      </c>
      <c r="AE14" s="153">
        <v>0.78</v>
      </c>
      <c r="AF14" s="20" t="s">
        <v>1400</v>
      </c>
      <c r="AG14" s="20" t="s">
        <v>164</v>
      </c>
      <c r="AH14" s="20"/>
      <c r="AI14" s="2" t="s">
        <v>1401</v>
      </c>
      <c r="AJ14" s="2" t="s">
        <v>386</v>
      </c>
      <c r="AK14" s="20" t="s">
        <v>937</v>
      </c>
      <c r="AL14" s="20" t="s">
        <v>1373</v>
      </c>
      <c r="AM14" s="20"/>
      <c r="AN14" s="2" t="s">
        <v>1374</v>
      </c>
      <c r="AO14" s="2" t="s">
        <v>1400</v>
      </c>
      <c r="AP14" s="151">
        <v>0</v>
      </c>
      <c r="AQ14" s="150">
        <v>12011.47</v>
      </c>
      <c r="AR14" s="153">
        <v>127.17</v>
      </c>
      <c r="AS14" s="153">
        <v>1</v>
      </c>
      <c r="AT14" s="153">
        <v>15.275</v>
      </c>
      <c r="AU14" s="153">
        <v>15.275</v>
      </c>
      <c r="AV14" s="20"/>
      <c r="AW14" s="20"/>
      <c r="AX14" s="18" t="s">
        <v>164</v>
      </c>
      <c r="AY14" s="20" t="s">
        <v>37</v>
      </c>
      <c r="AZ14" s="168">
        <v>1.73084558079762E-3</v>
      </c>
      <c r="BA14" s="168">
        <v>3.8651058378802301E-5</v>
      </c>
    </row>
    <row r="15" spans="1:53">
      <c r="A15" s="2" t="s">
        <v>26</v>
      </c>
      <c r="B15" s="2">
        <v>1182</v>
      </c>
      <c r="C15" s="20" t="s">
        <v>1383</v>
      </c>
      <c r="D15" s="20" t="s">
        <v>34</v>
      </c>
      <c r="E15" s="20" t="s">
        <v>1423</v>
      </c>
      <c r="F15" s="20" t="s">
        <v>1424</v>
      </c>
      <c r="G15" s="20" t="s">
        <v>1083</v>
      </c>
      <c r="I15" s="18" t="s">
        <v>31</v>
      </c>
      <c r="J15" s="18" t="s">
        <v>31</v>
      </c>
      <c r="K15" s="20" t="s">
        <v>497</v>
      </c>
      <c r="L15" s="20" t="s">
        <v>164</v>
      </c>
      <c r="M15" s="20" t="s">
        <v>386</v>
      </c>
      <c r="N15" s="190" t="s">
        <v>1383</v>
      </c>
      <c r="O15" s="20" t="s">
        <v>1425</v>
      </c>
      <c r="P15" s="20" t="s">
        <v>1392</v>
      </c>
      <c r="Q15" s="20" t="s">
        <v>98</v>
      </c>
      <c r="R15" s="20" t="s">
        <v>453</v>
      </c>
      <c r="S15" s="18" t="s">
        <v>35</v>
      </c>
      <c r="T15" s="153">
        <v>3.49</v>
      </c>
      <c r="U15" s="20" t="s">
        <v>1393</v>
      </c>
      <c r="V15" s="167">
        <v>5.5E-2</v>
      </c>
      <c r="W15" s="20" t="s">
        <v>800</v>
      </c>
      <c r="X15" s="20" t="s">
        <v>954</v>
      </c>
      <c r="Y15" s="171">
        <v>5.5</v>
      </c>
      <c r="Z15" s="168">
        <v>2.887E-2</v>
      </c>
      <c r="AA15" s="20" t="s">
        <v>1389</v>
      </c>
      <c r="AB15" s="18" t="s">
        <v>458</v>
      </c>
      <c r="AC15" s="20" t="s">
        <v>529</v>
      </c>
      <c r="AD15" s="153">
        <v>534</v>
      </c>
      <c r="AE15" s="153">
        <v>0.78</v>
      </c>
      <c r="AF15" s="20" t="s">
        <v>1400</v>
      </c>
      <c r="AG15" s="20" t="s">
        <v>164</v>
      </c>
      <c r="AH15" s="20"/>
      <c r="AI15" s="2" t="s">
        <v>1401</v>
      </c>
      <c r="AJ15" s="2" t="s">
        <v>386</v>
      </c>
      <c r="AK15" s="20" t="s">
        <v>937</v>
      </c>
      <c r="AL15" s="20" t="s">
        <v>1373</v>
      </c>
      <c r="AM15" s="20"/>
      <c r="AN15" s="2" t="s">
        <v>1374</v>
      </c>
      <c r="AO15" s="2" t="s">
        <v>1400</v>
      </c>
      <c r="AP15" s="151">
        <v>0</v>
      </c>
      <c r="AQ15" s="150">
        <v>1375.07</v>
      </c>
      <c r="AR15" s="153">
        <v>124.46</v>
      </c>
      <c r="AS15" s="153">
        <v>1</v>
      </c>
      <c r="AT15" s="153">
        <v>1.7110000000000001</v>
      </c>
      <c r="AU15" s="153">
        <v>1.7110000000000001</v>
      </c>
      <c r="AV15" s="20"/>
      <c r="AW15" s="20"/>
      <c r="AX15" s="18" t="s">
        <v>164</v>
      </c>
      <c r="AY15" s="20" t="s">
        <v>37</v>
      </c>
      <c r="AZ15" s="168">
        <v>1.9392423868089999E-4</v>
      </c>
      <c r="BA15" s="168">
        <v>4.3304712757022398E-6</v>
      </c>
    </row>
    <row r="16" spans="1:53">
      <c r="A16" s="2" t="s">
        <v>26</v>
      </c>
      <c r="B16" s="2">
        <v>1182</v>
      </c>
      <c r="C16" s="20" t="s">
        <v>1383</v>
      </c>
      <c r="D16" s="20" t="s">
        <v>34</v>
      </c>
      <c r="E16" s="20" t="s">
        <v>1426</v>
      </c>
      <c r="F16" s="20" t="s">
        <v>1427</v>
      </c>
      <c r="G16" s="20" t="s">
        <v>1083</v>
      </c>
      <c r="I16" s="18" t="s">
        <v>31</v>
      </c>
      <c r="J16" s="18" t="s">
        <v>31</v>
      </c>
      <c r="K16" s="20" t="s">
        <v>497</v>
      </c>
      <c r="L16" s="20" t="s">
        <v>164</v>
      </c>
      <c r="M16" s="20" t="s">
        <v>386</v>
      </c>
      <c r="N16" s="27" t="s">
        <v>1383</v>
      </c>
      <c r="O16" s="20" t="s">
        <v>1386</v>
      </c>
      <c r="P16" s="20" t="s">
        <v>1387</v>
      </c>
      <c r="Q16" s="20" t="s">
        <v>217</v>
      </c>
      <c r="R16" s="20" t="s">
        <v>453</v>
      </c>
      <c r="S16" s="18" t="s">
        <v>35</v>
      </c>
      <c r="T16" s="153">
        <v>3.22</v>
      </c>
      <c r="U16" s="20" t="s">
        <v>203</v>
      </c>
      <c r="V16" s="167">
        <v>5.5E-2</v>
      </c>
      <c r="W16" s="20" t="s">
        <v>800</v>
      </c>
      <c r="X16" s="20" t="s">
        <v>1388</v>
      </c>
      <c r="Y16" s="171">
        <v>5.5</v>
      </c>
      <c r="Z16" s="168">
        <v>2.63E-2</v>
      </c>
      <c r="AA16" s="20" t="s">
        <v>1389</v>
      </c>
      <c r="AB16" s="18" t="s">
        <v>458</v>
      </c>
      <c r="AC16" s="20"/>
      <c r="AD16" s="20"/>
      <c r="AE16" s="20"/>
      <c r="AF16" s="20"/>
      <c r="AG16" s="20" t="s">
        <v>164</v>
      </c>
      <c r="AH16" s="20"/>
      <c r="AJ16" s="2" t="s">
        <v>164</v>
      </c>
      <c r="AK16" s="20" t="s">
        <v>203</v>
      </c>
      <c r="AL16" s="20"/>
      <c r="AM16" s="20"/>
      <c r="AN16" s="2" t="s">
        <v>1374</v>
      </c>
      <c r="AQ16" s="150">
        <v>1138.99</v>
      </c>
      <c r="AR16" s="153">
        <v>124.4</v>
      </c>
      <c r="AS16" s="153">
        <v>1</v>
      </c>
      <c r="AT16" s="153">
        <v>1.417</v>
      </c>
      <c r="AU16" s="153">
        <v>1.417</v>
      </c>
      <c r="AV16" s="20"/>
      <c r="AW16" s="20"/>
      <c r="AX16" s="18" t="s">
        <v>164</v>
      </c>
      <c r="AY16" s="20" t="s">
        <v>37</v>
      </c>
      <c r="AZ16" s="168">
        <v>1.60552762613456E-4</v>
      </c>
      <c r="BA16" s="168">
        <v>3.58526160247698E-6</v>
      </c>
    </row>
    <row r="17" spans="1:53">
      <c r="A17" s="2" t="s">
        <v>26</v>
      </c>
      <c r="B17" s="2">
        <v>1182</v>
      </c>
      <c r="C17" s="20" t="s">
        <v>1383</v>
      </c>
      <c r="D17" s="20" t="s">
        <v>34</v>
      </c>
      <c r="E17" s="20" t="s">
        <v>1428</v>
      </c>
      <c r="F17" s="20" t="s">
        <v>1429</v>
      </c>
      <c r="G17" s="20" t="s">
        <v>1083</v>
      </c>
      <c r="I17" s="18" t="s">
        <v>31</v>
      </c>
      <c r="J17" s="18" t="s">
        <v>31</v>
      </c>
      <c r="K17" s="20" t="s">
        <v>497</v>
      </c>
      <c r="L17" s="20" t="s">
        <v>164</v>
      </c>
      <c r="M17" s="20" t="s">
        <v>386</v>
      </c>
      <c r="N17" s="190" t="s">
        <v>1383</v>
      </c>
      <c r="O17" s="20" t="s">
        <v>1430</v>
      </c>
      <c r="P17" s="20" t="s">
        <v>1392</v>
      </c>
      <c r="Q17" s="20" t="s">
        <v>98</v>
      </c>
      <c r="R17" s="20" t="s">
        <v>453</v>
      </c>
      <c r="S17" s="18" t="s">
        <v>35</v>
      </c>
      <c r="T17" s="153">
        <v>3.21</v>
      </c>
      <c r="U17" s="20" t="s">
        <v>1393</v>
      </c>
      <c r="V17" s="167">
        <v>5.5E-2</v>
      </c>
      <c r="W17" s="20" t="s">
        <v>800</v>
      </c>
      <c r="X17" s="20" t="s">
        <v>954</v>
      </c>
      <c r="Y17" s="171">
        <v>5.5</v>
      </c>
      <c r="Z17" s="168">
        <v>2.8729999999999999E-2</v>
      </c>
      <c r="AA17" s="20" t="s">
        <v>1399</v>
      </c>
      <c r="AB17" s="18" t="s">
        <v>458</v>
      </c>
      <c r="AC17" s="20" t="s">
        <v>529</v>
      </c>
      <c r="AD17" s="153">
        <v>2192</v>
      </c>
      <c r="AE17" s="153">
        <v>0.78</v>
      </c>
      <c r="AF17" s="20" t="s">
        <v>1400</v>
      </c>
      <c r="AG17" s="20" t="s">
        <v>164</v>
      </c>
      <c r="AH17" s="20"/>
      <c r="AI17" s="2" t="s">
        <v>1401</v>
      </c>
      <c r="AJ17" s="2" t="s">
        <v>386</v>
      </c>
      <c r="AK17" s="20" t="s">
        <v>937</v>
      </c>
      <c r="AL17" s="20" t="s">
        <v>1373</v>
      </c>
      <c r="AM17" s="20"/>
      <c r="AN17" s="2" t="s">
        <v>1374</v>
      </c>
      <c r="AO17" s="2" t="s">
        <v>1400</v>
      </c>
      <c r="AP17" s="151">
        <v>0</v>
      </c>
      <c r="AQ17" s="150">
        <v>2604.1799999999998</v>
      </c>
      <c r="AR17" s="153">
        <v>126.48</v>
      </c>
      <c r="AS17" s="153">
        <v>1</v>
      </c>
      <c r="AT17" s="153">
        <v>3.294</v>
      </c>
      <c r="AU17" s="153">
        <v>3.294</v>
      </c>
      <c r="AV17" s="20"/>
      <c r="AW17" s="20"/>
      <c r="AX17" s="18" t="s">
        <v>164</v>
      </c>
      <c r="AY17" s="20" t="s">
        <v>37</v>
      </c>
      <c r="AZ17" s="168">
        <v>3.7322467410545398E-4</v>
      </c>
      <c r="BA17" s="168">
        <v>8.3343822391202201E-6</v>
      </c>
    </row>
    <row r="18" spans="1:53">
      <c r="A18" s="2" t="s">
        <v>26</v>
      </c>
      <c r="B18" s="2">
        <v>1182</v>
      </c>
      <c r="C18" s="20" t="s">
        <v>1383</v>
      </c>
      <c r="D18" s="20" t="s">
        <v>34</v>
      </c>
      <c r="E18" s="20" t="s">
        <v>1431</v>
      </c>
      <c r="F18" s="20" t="s">
        <v>1432</v>
      </c>
      <c r="G18" s="20" t="s">
        <v>1083</v>
      </c>
      <c r="I18" s="18" t="s">
        <v>31</v>
      </c>
      <c r="J18" s="18" t="s">
        <v>31</v>
      </c>
      <c r="K18" s="20" t="s">
        <v>497</v>
      </c>
      <c r="L18" s="20" t="s">
        <v>164</v>
      </c>
      <c r="M18" s="20" t="s">
        <v>386</v>
      </c>
      <c r="N18" s="190" t="s">
        <v>1383</v>
      </c>
      <c r="O18" s="20" t="s">
        <v>1433</v>
      </c>
      <c r="P18" s="20" t="s">
        <v>1392</v>
      </c>
      <c r="Q18" s="20" t="s">
        <v>98</v>
      </c>
      <c r="R18" s="20" t="s">
        <v>453</v>
      </c>
      <c r="S18" s="18" t="s">
        <v>35</v>
      </c>
      <c r="T18" s="153">
        <v>3.49</v>
      </c>
      <c r="U18" s="20" t="s">
        <v>1393</v>
      </c>
      <c r="V18" s="167">
        <v>5.5E-2</v>
      </c>
      <c r="W18" s="20" t="s">
        <v>800</v>
      </c>
      <c r="X18" s="20" t="s">
        <v>954</v>
      </c>
      <c r="Y18" s="171">
        <v>5.5</v>
      </c>
      <c r="Z18" s="168">
        <v>2.9940000000000001E-2</v>
      </c>
      <c r="AA18" s="20" t="s">
        <v>1389</v>
      </c>
      <c r="AB18" s="18" t="s">
        <v>458</v>
      </c>
      <c r="AC18" s="20" t="s">
        <v>529</v>
      </c>
      <c r="AD18" s="153">
        <v>3904</v>
      </c>
      <c r="AE18" s="153">
        <v>0.78</v>
      </c>
      <c r="AF18" s="20" t="s">
        <v>1400</v>
      </c>
      <c r="AG18" s="20" t="s">
        <v>164</v>
      </c>
      <c r="AH18" s="20"/>
      <c r="AI18" s="2" t="s">
        <v>1401</v>
      </c>
      <c r="AJ18" s="2" t="s">
        <v>386</v>
      </c>
      <c r="AK18" s="20" t="s">
        <v>937</v>
      </c>
      <c r="AL18" s="20" t="s">
        <v>1373</v>
      </c>
      <c r="AM18" s="20"/>
      <c r="AN18" s="2" t="s">
        <v>1374</v>
      </c>
      <c r="AO18" s="2" t="s">
        <v>1400</v>
      </c>
      <c r="AP18" s="151">
        <v>0</v>
      </c>
      <c r="AQ18" s="150">
        <v>10053.129999999999</v>
      </c>
      <c r="AR18" s="153">
        <v>124.18</v>
      </c>
      <c r="AS18" s="153">
        <v>1</v>
      </c>
      <c r="AT18" s="153">
        <v>12.484</v>
      </c>
      <c r="AU18" s="153">
        <v>12.484</v>
      </c>
      <c r="AV18" s="20"/>
      <c r="AW18" s="20"/>
      <c r="AX18" s="18" t="s">
        <v>164</v>
      </c>
      <c r="AY18" s="20" t="s">
        <v>37</v>
      </c>
      <c r="AZ18" s="168">
        <v>1.41458954983576E-3</v>
      </c>
      <c r="BA18" s="168">
        <v>3.1588827957459798E-5</v>
      </c>
    </row>
    <row r="19" spans="1:53">
      <c r="A19" s="2" t="s">
        <v>26</v>
      </c>
      <c r="B19" s="2">
        <v>1182</v>
      </c>
      <c r="C19" s="20" t="s">
        <v>1383</v>
      </c>
      <c r="D19" s="20" t="s">
        <v>34</v>
      </c>
      <c r="E19" s="20" t="s">
        <v>1434</v>
      </c>
      <c r="F19" s="20" t="s">
        <v>1435</v>
      </c>
      <c r="G19" s="20" t="s">
        <v>1083</v>
      </c>
      <c r="I19" s="18" t="s">
        <v>31</v>
      </c>
      <c r="J19" s="18" t="s">
        <v>31</v>
      </c>
      <c r="K19" s="20" t="s">
        <v>497</v>
      </c>
      <c r="L19" s="20" t="s">
        <v>164</v>
      </c>
      <c r="M19" s="20" t="s">
        <v>386</v>
      </c>
      <c r="N19" s="27" t="s">
        <v>1383</v>
      </c>
      <c r="O19" s="20" t="s">
        <v>1386</v>
      </c>
      <c r="P19" s="20" t="s">
        <v>1392</v>
      </c>
      <c r="Q19" s="20" t="s">
        <v>98</v>
      </c>
      <c r="R19" s="20" t="s">
        <v>453</v>
      </c>
      <c r="S19" s="18" t="s">
        <v>35</v>
      </c>
      <c r="T19" s="153">
        <v>3.33</v>
      </c>
      <c r="U19" s="20" t="s">
        <v>1393</v>
      </c>
      <c r="V19" s="167">
        <v>5.5E-2</v>
      </c>
      <c r="W19" s="20" t="s">
        <v>800</v>
      </c>
      <c r="X19" s="20" t="s">
        <v>1388</v>
      </c>
      <c r="Y19" s="171">
        <v>5.5</v>
      </c>
      <c r="Z19" s="168">
        <v>3.014E-2</v>
      </c>
      <c r="AA19" s="20" t="s">
        <v>1399</v>
      </c>
      <c r="AB19" s="18" t="s">
        <v>458</v>
      </c>
      <c r="AC19" s="20"/>
      <c r="AD19" s="20"/>
      <c r="AE19" s="20"/>
      <c r="AF19" s="20"/>
      <c r="AG19" s="20" t="s">
        <v>164</v>
      </c>
      <c r="AH19" s="20"/>
      <c r="AJ19" s="2" t="s">
        <v>164</v>
      </c>
      <c r="AK19" s="20" t="s">
        <v>203</v>
      </c>
      <c r="AL19" s="20"/>
      <c r="AM19" s="20"/>
      <c r="AN19" s="2" t="s">
        <v>1374</v>
      </c>
      <c r="AQ19" s="150">
        <v>12211.05</v>
      </c>
      <c r="AR19" s="153">
        <v>126.1</v>
      </c>
      <c r="AS19" s="153">
        <v>1</v>
      </c>
      <c r="AT19" s="153">
        <v>15.398</v>
      </c>
      <c r="AU19" s="153">
        <v>15.398</v>
      </c>
      <c r="AV19" s="20"/>
      <c r="AW19" s="20"/>
      <c r="AX19" s="18" t="s">
        <v>164</v>
      </c>
      <c r="AY19" s="20" t="s">
        <v>37</v>
      </c>
      <c r="AZ19" s="168">
        <v>1.74479973839562E-3</v>
      </c>
      <c r="BA19" s="168">
        <v>3.8962665009648501E-5</v>
      </c>
    </row>
    <row r="20" spans="1:53">
      <c r="A20" s="2" t="s">
        <v>26</v>
      </c>
      <c r="B20" s="2">
        <v>1182</v>
      </c>
      <c r="C20" s="2" t="s">
        <v>1383</v>
      </c>
      <c r="D20" s="20" t="s">
        <v>34</v>
      </c>
      <c r="E20" s="2" t="s">
        <v>1436</v>
      </c>
      <c r="F20" s="2" t="s">
        <v>1437</v>
      </c>
      <c r="G20" s="20" t="s">
        <v>1083</v>
      </c>
      <c r="I20" s="18" t="s">
        <v>31</v>
      </c>
      <c r="J20" s="18" t="s">
        <v>31</v>
      </c>
      <c r="K20" s="20" t="s">
        <v>497</v>
      </c>
      <c r="L20" s="20" t="s">
        <v>164</v>
      </c>
      <c r="M20" s="20" t="s">
        <v>386</v>
      </c>
      <c r="N20" s="27" t="s">
        <v>1383</v>
      </c>
      <c r="O20" s="2" t="s">
        <v>1386</v>
      </c>
      <c r="P20" s="2" t="s">
        <v>1392</v>
      </c>
      <c r="Q20" s="20" t="s">
        <v>98</v>
      </c>
      <c r="R20" s="20" t="s">
        <v>453</v>
      </c>
      <c r="S20" s="18" t="s">
        <v>35</v>
      </c>
      <c r="T20" s="150">
        <v>3.34</v>
      </c>
      <c r="U20" s="20" t="s">
        <v>1393</v>
      </c>
      <c r="V20" s="162">
        <v>5.5888E-2</v>
      </c>
      <c r="W20" s="20" t="s">
        <v>800</v>
      </c>
      <c r="X20" s="20" t="s">
        <v>1388</v>
      </c>
      <c r="Y20" s="172">
        <v>5.5888</v>
      </c>
      <c r="Z20" s="164">
        <v>2.7910000000000001E-2</v>
      </c>
      <c r="AA20" s="2" t="s">
        <v>1399</v>
      </c>
      <c r="AB20" s="18" t="s">
        <v>458</v>
      </c>
      <c r="AC20" s="20"/>
      <c r="AG20" s="20" t="s">
        <v>164</v>
      </c>
      <c r="AH20" s="20"/>
      <c r="AJ20" s="2" t="s">
        <v>164</v>
      </c>
      <c r="AK20" s="20" t="s">
        <v>203</v>
      </c>
      <c r="AM20" s="20"/>
      <c r="AN20" s="2" t="s">
        <v>1374</v>
      </c>
      <c r="AQ20" s="150">
        <v>2556.37</v>
      </c>
      <c r="AR20" s="150">
        <v>127.86</v>
      </c>
      <c r="AS20" s="150">
        <v>1</v>
      </c>
      <c r="AT20" s="150">
        <v>3.2690000000000001</v>
      </c>
      <c r="AU20" s="150">
        <v>3.2690000000000001</v>
      </c>
      <c r="AX20" s="18" t="s">
        <v>164</v>
      </c>
      <c r="AY20" s="20" t="s">
        <v>37</v>
      </c>
      <c r="AZ20" s="164">
        <v>3.7037008715222399E-4</v>
      </c>
      <c r="BA20" s="164">
        <v>8.2706372070961603E-6</v>
      </c>
    </row>
    <row r="21" spans="1:53">
      <c r="A21" s="2" t="s">
        <v>26</v>
      </c>
      <c r="B21" s="2">
        <v>1182</v>
      </c>
      <c r="C21" s="2" t="s">
        <v>1383</v>
      </c>
      <c r="D21" s="4" t="s">
        <v>34</v>
      </c>
      <c r="E21" s="2" t="s">
        <v>1438</v>
      </c>
      <c r="F21" s="2" t="s">
        <v>1439</v>
      </c>
      <c r="G21" s="2" t="s">
        <v>1083</v>
      </c>
      <c r="I21" s="2" t="s">
        <v>31</v>
      </c>
      <c r="J21" s="2" t="s">
        <v>31</v>
      </c>
      <c r="K21" s="2" t="s">
        <v>497</v>
      </c>
      <c r="L21" s="2" t="s">
        <v>164</v>
      </c>
      <c r="M21" s="2" t="s">
        <v>386</v>
      </c>
      <c r="N21" s="190" t="s">
        <v>1383</v>
      </c>
      <c r="O21" s="2" t="s">
        <v>1440</v>
      </c>
      <c r="P21" s="2" t="s">
        <v>1392</v>
      </c>
      <c r="Q21" s="2" t="s">
        <v>98</v>
      </c>
      <c r="R21" s="2" t="s">
        <v>453</v>
      </c>
      <c r="S21" s="18" t="s">
        <v>35</v>
      </c>
      <c r="T21" s="150">
        <v>3.33</v>
      </c>
      <c r="U21" s="2" t="s">
        <v>1393</v>
      </c>
      <c r="V21" s="162">
        <v>5.6193E-2</v>
      </c>
      <c r="W21" s="2" t="s">
        <v>800</v>
      </c>
      <c r="X21" s="2" t="s">
        <v>954</v>
      </c>
      <c r="Y21" s="172">
        <v>5.6193</v>
      </c>
      <c r="Z21" s="164">
        <v>2.9010000000000001E-2</v>
      </c>
      <c r="AA21" s="2" t="s">
        <v>1399</v>
      </c>
      <c r="AB21" s="4" t="s">
        <v>458</v>
      </c>
      <c r="AC21" s="2" t="s">
        <v>529</v>
      </c>
      <c r="AD21" s="150">
        <v>3026</v>
      </c>
      <c r="AE21" s="150">
        <v>0.78</v>
      </c>
      <c r="AF21" s="2" t="s">
        <v>1400</v>
      </c>
      <c r="AG21" s="2" t="s">
        <v>164</v>
      </c>
      <c r="AI21" s="2" t="s">
        <v>1401</v>
      </c>
      <c r="AJ21" s="2" t="s">
        <v>386</v>
      </c>
      <c r="AK21" s="2" t="s">
        <v>937</v>
      </c>
      <c r="AL21" s="2" t="s">
        <v>1373</v>
      </c>
      <c r="AN21" s="2" t="s">
        <v>1374</v>
      </c>
      <c r="AO21" s="2" t="s">
        <v>1400</v>
      </c>
      <c r="AP21" s="151">
        <v>0</v>
      </c>
      <c r="AQ21" s="150">
        <v>3592.61</v>
      </c>
      <c r="AR21" s="150">
        <v>126.83</v>
      </c>
      <c r="AS21" s="150">
        <v>1</v>
      </c>
      <c r="AT21" s="150">
        <v>4.5570000000000004</v>
      </c>
      <c r="AU21" s="150">
        <v>4.5570000000000004</v>
      </c>
      <c r="AX21" s="4" t="s">
        <v>164</v>
      </c>
      <c r="AY21" s="2" t="s">
        <v>37</v>
      </c>
      <c r="AZ21" s="164">
        <v>5.1630883681520702E-4</v>
      </c>
      <c r="BA21" s="164">
        <v>1.15295571220397E-5</v>
      </c>
    </row>
    <row r="22" spans="1:53">
      <c r="A22" s="2" t="s">
        <v>26</v>
      </c>
      <c r="B22" s="2">
        <v>1182</v>
      </c>
      <c r="C22" s="2" t="s">
        <v>1383</v>
      </c>
      <c r="D22" s="4" t="s">
        <v>34</v>
      </c>
      <c r="E22" s="2" t="s">
        <v>1441</v>
      </c>
      <c r="F22" s="2" t="s">
        <v>1442</v>
      </c>
      <c r="G22" s="2" t="s">
        <v>1083</v>
      </c>
      <c r="I22" s="2" t="s">
        <v>31</v>
      </c>
      <c r="J22" s="2" t="s">
        <v>31</v>
      </c>
      <c r="K22" s="2" t="s">
        <v>497</v>
      </c>
      <c r="L22" s="2" t="s">
        <v>164</v>
      </c>
      <c r="M22" s="2" t="s">
        <v>386</v>
      </c>
      <c r="N22" s="27" t="s">
        <v>1383</v>
      </c>
      <c r="O22" s="2" t="s">
        <v>1386</v>
      </c>
      <c r="P22" s="2" t="s">
        <v>1387</v>
      </c>
      <c r="Q22" s="2" t="s">
        <v>217</v>
      </c>
      <c r="R22" s="2" t="s">
        <v>453</v>
      </c>
      <c r="S22" s="18" t="s">
        <v>35</v>
      </c>
      <c r="T22" s="150">
        <v>3.19</v>
      </c>
      <c r="U22" s="2" t="s">
        <v>203</v>
      </c>
      <c r="V22" s="162">
        <v>5.5E-2</v>
      </c>
      <c r="W22" s="2" t="s">
        <v>800</v>
      </c>
      <c r="X22" s="2" t="s">
        <v>1388</v>
      </c>
      <c r="Y22" s="172">
        <v>5.5</v>
      </c>
      <c r="Z22" s="164">
        <v>3.526E-2</v>
      </c>
      <c r="AA22" s="2" t="s">
        <v>1389</v>
      </c>
      <c r="AB22" s="4" t="s">
        <v>458</v>
      </c>
      <c r="AG22" s="2" t="s">
        <v>164</v>
      </c>
      <c r="AJ22" s="2" t="s">
        <v>164</v>
      </c>
      <c r="AK22" s="2" t="s">
        <v>203</v>
      </c>
      <c r="AN22" s="2" t="s">
        <v>1374</v>
      </c>
      <c r="AQ22" s="150">
        <v>4550.76</v>
      </c>
      <c r="AR22" s="150">
        <v>120.3</v>
      </c>
      <c r="AS22" s="150">
        <v>1</v>
      </c>
      <c r="AT22" s="150">
        <v>5.4749999999999996</v>
      </c>
      <c r="AU22" s="150">
        <v>5.4749999999999996</v>
      </c>
      <c r="AX22" s="4" t="s">
        <v>164</v>
      </c>
      <c r="AY22" s="2" t="s">
        <v>37</v>
      </c>
      <c r="AZ22" s="164">
        <v>6.2033609348750797E-4</v>
      </c>
      <c r="BA22" s="164">
        <v>1.38525624872987E-5</v>
      </c>
    </row>
    <row r="23" spans="1:53">
      <c r="A23" s="2" t="s">
        <v>26</v>
      </c>
      <c r="B23" s="2">
        <v>1182</v>
      </c>
      <c r="C23" s="2" t="s">
        <v>1383</v>
      </c>
      <c r="D23" s="4" t="s">
        <v>34</v>
      </c>
      <c r="E23" s="2" t="s">
        <v>1443</v>
      </c>
      <c r="F23" s="2" t="s">
        <v>1444</v>
      </c>
      <c r="G23" s="2" t="s">
        <v>1083</v>
      </c>
      <c r="I23" s="2" t="s">
        <v>31</v>
      </c>
      <c r="J23" s="2" t="s">
        <v>31</v>
      </c>
      <c r="K23" s="2" t="s">
        <v>497</v>
      </c>
      <c r="L23" s="2" t="s">
        <v>164</v>
      </c>
      <c r="M23" s="2" t="s">
        <v>386</v>
      </c>
      <c r="N23" s="27" t="s">
        <v>1383</v>
      </c>
      <c r="O23" s="2" t="s">
        <v>1386</v>
      </c>
      <c r="P23" s="2" t="s">
        <v>1387</v>
      </c>
      <c r="Q23" s="2" t="s">
        <v>217</v>
      </c>
      <c r="R23" s="2" t="s">
        <v>453</v>
      </c>
      <c r="S23" s="2" t="s">
        <v>35</v>
      </c>
      <c r="T23" s="150">
        <v>3.21</v>
      </c>
      <c r="U23" s="2" t="s">
        <v>203</v>
      </c>
      <c r="V23" s="162">
        <v>5.5E-2</v>
      </c>
      <c r="W23" s="2" t="s">
        <v>800</v>
      </c>
      <c r="X23" s="2" t="s">
        <v>1388</v>
      </c>
      <c r="Y23" s="172">
        <v>5.5</v>
      </c>
      <c r="Z23" s="164">
        <v>2.8760000000000001E-2</v>
      </c>
      <c r="AA23" s="2" t="s">
        <v>1389</v>
      </c>
      <c r="AB23" s="4" t="s">
        <v>458</v>
      </c>
      <c r="AG23" s="2" t="s">
        <v>164</v>
      </c>
      <c r="AJ23" s="2" t="s">
        <v>164</v>
      </c>
      <c r="AK23" s="2" t="s">
        <v>203</v>
      </c>
      <c r="AN23" s="2" t="s">
        <v>1374</v>
      </c>
      <c r="AQ23" s="150">
        <v>565.45000000000005</v>
      </c>
      <c r="AR23" s="150">
        <v>122.29</v>
      </c>
      <c r="AS23" s="150">
        <v>1</v>
      </c>
      <c r="AT23" s="150">
        <v>0.69099999999999995</v>
      </c>
      <c r="AU23" s="150">
        <v>0.69099999999999995</v>
      </c>
      <c r="AX23" s="4" t="s">
        <v>164</v>
      </c>
      <c r="AY23" s="2" t="s">
        <v>37</v>
      </c>
      <c r="AZ23" s="164">
        <v>7.83542656629553E-5</v>
      </c>
      <c r="BA23" s="164">
        <v>1.74970854128505E-6</v>
      </c>
    </row>
    <row r="24" spans="1:53">
      <c r="A24" s="2" t="s">
        <v>26</v>
      </c>
      <c r="B24" s="2">
        <v>1182</v>
      </c>
      <c r="C24" s="2" t="s">
        <v>1383</v>
      </c>
      <c r="D24" s="2" t="s">
        <v>34</v>
      </c>
      <c r="E24" s="2" t="s">
        <v>1445</v>
      </c>
      <c r="F24" s="2" t="s">
        <v>1446</v>
      </c>
      <c r="G24" s="2" t="s">
        <v>1083</v>
      </c>
      <c r="I24" s="2" t="s">
        <v>31</v>
      </c>
      <c r="J24" s="2" t="s">
        <v>31</v>
      </c>
      <c r="K24" s="2" t="s">
        <v>497</v>
      </c>
      <c r="L24" s="2" t="s">
        <v>164</v>
      </c>
      <c r="M24" s="2" t="s">
        <v>386</v>
      </c>
      <c r="N24" s="27" t="s">
        <v>1383</v>
      </c>
      <c r="O24" s="2" t="s">
        <v>1386</v>
      </c>
      <c r="P24" s="2" t="s">
        <v>1387</v>
      </c>
      <c r="Q24" s="2" t="s">
        <v>217</v>
      </c>
      <c r="R24" s="2" t="s">
        <v>453</v>
      </c>
      <c r="S24" s="2" t="s">
        <v>35</v>
      </c>
      <c r="T24" s="150">
        <v>3.21</v>
      </c>
      <c r="U24" s="2" t="s">
        <v>203</v>
      </c>
      <c r="V24" s="162">
        <v>5.5E-2</v>
      </c>
      <c r="W24" s="2" t="s">
        <v>800</v>
      </c>
      <c r="X24" s="2" t="s">
        <v>1388</v>
      </c>
      <c r="Y24" s="172">
        <v>5.5</v>
      </c>
      <c r="Z24" s="164">
        <v>3.0009999999999998E-2</v>
      </c>
      <c r="AA24" s="2" t="s">
        <v>1389</v>
      </c>
      <c r="AB24" s="4" t="s">
        <v>458</v>
      </c>
      <c r="AG24" s="2" t="s">
        <v>164</v>
      </c>
      <c r="AJ24" s="2" t="s">
        <v>164</v>
      </c>
      <c r="AK24" s="2" t="s">
        <v>203</v>
      </c>
      <c r="AN24" s="2" t="s">
        <v>1374</v>
      </c>
      <c r="AQ24" s="150">
        <v>1255.76</v>
      </c>
      <c r="AR24" s="150">
        <v>122.31</v>
      </c>
      <c r="AS24" s="150">
        <v>1</v>
      </c>
      <c r="AT24" s="150">
        <v>1.536</v>
      </c>
      <c r="AU24" s="150">
        <v>1.536</v>
      </c>
      <c r="AX24" s="4" t="s">
        <v>164</v>
      </c>
      <c r="AY24" s="2" t="s">
        <v>37</v>
      </c>
      <c r="AZ24" s="164">
        <v>1.7403880906630899E-4</v>
      </c>
      <c r="BA24" s="164">
        <v>3.8864149662035497E-6</v>
      </c>
    </row>
    <row r="25" spans="1:53">
      <c r="A25" s="2" t="s">
        <v>26</v>
      </c>
      <c r="B25" s="2">
        <v>1182</v>
      </c>
      <c r="C25" s="2" t="s">
        <v>1383</v>
      </c>
      <c r="D25" s="2" t="s">
        <v>34</v>
      </c>
      <c r="E25" s="2" t="s">
        <v>1447</v>
      </c>
      <c r="F25" s="2" t="s">
        <v>1448</v>
      </c>
      <c r="G25" s="2" t="s">
        <v>1083</v>
      </c>
      <c r="I25" s="2" t="s">
        <v>31</v>
      </c>
      <c r="J25" s="2" t="s">
        <v>31</v>
      </c>
      <c r="K25" s="2" t="s">
        <v>497</v>
      </c>
      <c r="L25" s="2" t="s">
        <v>164</v>
      </c>
      <c r="M25" s="2" t="s">
        <v>386</v>
      </c>
      <c r="N25" s="190" t="s">
        <v>1383</v>
      </c>
      <c r="O25" s="2" t="s">
        <v>1449</v>
      </c>
      <c r="P25" s="2" t="s">
        <v>1392</v>
      </c>
      <c r="Q25" s="2" t="s">
        <v>98</v>
      </c>
      <c r="R25" s="2" t="s">
        <v>453</v>
      </c>
      <c r="S25" s="2" t="s">
        <v>35</v>
      </c>
      <c r="T25" s="150">
        <v>3.33</v>
      </c>
      <c r="U25" s="2" t="s">
        <v>203</v>
      </c>
      <c r="V25" s="162">
        <v>5.7230999999999997E-2</v>
      </c>
      <c r="W25" s="2" t="s">
        <v>800</v>
      </c>
      <c r="X25" s="2" t="s">
        <v>954</v>
      </c>
      <c r="Y25" s="172">
        <v>5.7230999999999996</v>
      </c>
      <c r="Z25" s="164">
        <v>2.896E-2</v>
      </c>
      <c r="AA25" s="2" t="s">
        <v>1399</v>
      </c>
      <c r="AB25" s="4" t="s">
        <v>458</v>
      </c>
      <c r="AC25" s="2" t="s">
        <v>529</v>
      </c>
      <c r="AD25" s="150">
        <v>4685</v>
      </c>
      <c r="AE25" s="150">
        <v>0.78</v>
      </c>
      <c r="AF25" s="2" t="s">
        <v>1400</v>
      </c>
      <c r="AG25" s="2" t="s">
        <v>164</v>
      </c>
      <c r="AI25" s="2" t="s">
        <v>1401</v>
      </c>
      <c r="AJ25" s="2" t="s">
        <v>386</v>
      </c>
      <c r="AK25" s="2" t="s">
        <v>937</v>
      </c>
      <c r="AL25" s="2" t="s">
        <v>1373</v>
      </c>
      <c r="AN25" s="2" t="s">
        <v>1374</v>
      </c>
      <c r="AO25" s="2" t="s">
        <v>1400</v>
      </c>
      <c r="AP25" s="151">
        <v>0</v>
      </c>
      <c r="AQ25" s="150">
        <v>12063.6</v>
      </c>
      <c r="AR25" s="150">
        <v>127.39</v>
      </c>
      <c r="AS25" s="150">
        <v>1</v>
      </c>
      <c r="AT25" s="150">
        <v>15.368</v>
      </c>
      <c r="AU25" s="150">
        <v>15.368</v>
      </c>
      <c r="AX25" s="4" t="s">
        <v>164</v>
      </c>
      <c r="AY25" s="2" t="s">
        <v>37</v>
      </c>
      <c r="AZ25" s="164">
        <v>1.7413647847482499E-3</v>
      </c>
      <c r="BA25" s="164">
        <v>3.8885959961303399E-5</v>
      </c>
    </row>
    <row r="26" spans="1:53">
      <c r="A26" s="2" t="s">
        <v>26</v>
      </c>
      <c r="B26" s="2">
        <v>1182</v>
      </c>
      <c r="C26" s="2" t="s">
        <v>1383</v>
      </c>
      <c r="D26" s="2" t="s">
        <v>34</v>
      </c>
      <c r="E26" s="2" t="s">
        <v>1450</v>
      </c>
      <c r="F26" s="2" t="s">
        <v>1451</v>
      </c>
      <c r="G26" s="2" t="s">
        <v>1083</v>
      </c>
      <c r="I26" s="2" t="s">
        <v>31</v>
      </c>
      <c r="J26" s="2" t="s">
        <v>31</v>
      </c>
      <c r="K26" s="2" t="s">
        <v>497</v>
      </c>
      <c r="L26" s="2" t="s">
        <v>164</v>
      </c>
      <c r="M26" s="2" t="s">
        <v>386</v>
      </c>
      <c r="N26" s="27" t="s">
        <v>1383</v>
      </c>
      <c r="O26" s="2" t="s">
        <v>1386</v>
      </c>
      <c r="P26" s="2" t="s">
        <v>1392</v>
      </c>
      <c r="Q26" s="2" t="s">
        <v>98</v>
      </c>
      <c r="R26" s="2" t="s">
        <v>453</v>
      </c>
      <c r="S26" s="2" t="s">
        <v>35</v>
      </c>
      <c r="T26" s="150">
        <v>3.19</v>
      </c>
      <c r="U26" s="2" t="s">
        <v>1393</v>
      </c>
      <c r="V26" s="162">
        <v>5.6619999999999997E-2</v>
      </c>
      <c r="W26" s="2" t="s">
        <v>800</v>
      </c>
      <c r="X26" s="2" t="s">
        <v>1388</v>
      </c>
      <c r="Y26" s="172">
        <v>5.6619999999999999</v>
      </c>
      <c r="Z26" s="164">
        <v>3.49E-2</v>
      </c>
      <c r="AA26" s="2" t="s">
        <v>1389</v>
      </c>
      <c r="AB26" s="4" t="s">
        <v>458</v>
      </c>
      <c r="AG26" s="2" t="s">
        <v>164</v>
      </c>
      <c r="AJ26" s="2" t="s">
        <v>164</v>
      </c>
      <c r="AK26" s="2" t="s">
        <v>203</v>
      </c>
      <c r="AN26" s="2" t="s">
        <v>1374</v>
      </c>
      <c r="AQ26" s="150">
        <v>2712.72</v>
      </c>
      <c r="AR26" s="150">
        <v>125.19</v>
      </c>
      <c r="AS26" s="150">
        <v>1</v>
      </c>
      <c r="AT26" s="150">
        <v>3.3959999999999999</v>
      </c>
      <c r="AU26" s="150">
        <v>3.3959999999999999</v>
      </c>
      <c r="AX26" s="4" t="s">
        <v>164</v>
      </c>
      <c r="AY26" s="2" t="s">
        <v>37</v>
      </c>
      <c r="AZ26" s="164">
        <v>3.8481509543058801E-4</v>
      </c>
      <c r="BA26" s="164">
        <v>8.5932048956545106E-6</v>
      </c>
    </row>
    <row r="27" spans="1:53">
      <c r="A27" s="2" t="s">
        <v>26</v>
      </c>
      <c r="B27" s="2">
        <v>1182</v>
      </c>
      <c r="C27" s="2" t="s">
        <v>1383</v>
      </c>
      <c r="D27" s="2" t="s">
        <v>34</v>
      </c>
      <c r="E27" s="2" t="s">
        <v>1452</v>
      </c>
      <c r="F27" s="2" t="s">
        <v>1453</v>
      </c>
      <c r="G27" s="2" t="s">
        <v>1083</v>
      </c>
      <c r="I27" s="2" t="s">
        <v>31</v>
      </c>
      <c r="J27" s="2" t="s">
        <v>31</v>
      </c>
      <c r="K27" s="2" t="s">
        <v>497</v>
      </c>
      <c r="L27" s="2" t="s">
        <v>164</v>
      </c>
      <c r="M27" s="2" t="s">
        <v>386</v>
      </c>
      <c r="N27" s="190" t="s">
        <v>1383</v>
      </c>
      <c r="O27" s="2" t="s">
        <v>1454</v>
      </c>
      <c r="P27" s="2" t="s">
        <v>1392</v>
      </c>
      <c r="Q27" s="2" t="s">
        <v>98</v>
      </c>
      <c r="R27" s="2" t="s">
        <v>453</v>
      </c>
      <c r="S27" s="2" t="s">
        <v>35</v>
      </c>
      <c r="T27" s="150">
        <v>3.49</v>
      </c>
      <c r="U27" s="2" t="s">
        <v>1393</v>
      </c>
      <c r="V27" s="162">
        <v>5.5E-2</v>
      </c>
      <c r="W27" s="2" t="s">
        <v>800</v>
      </c>
      <c r="X27" s="2" t="s">
        <v>954</v>
      </c>
      <c r="Y27" s="172">
        <v>5.5</v>
      </c>
      <c r="Z27" s="164">
        <v>2.9960000000000001E-2</v>
      </c>
      <c r="AA27" s="2" t="s">
        <v>1399</v>
      </c>
      <c r="AB27" s="4" t="s">
        <v>458</v>
      </c>
      <c r="AC27" s="2" t="s">
        <v>529</v>
      </c>
      <c r="AD27" s="150">
        <v>6161</v>
      </c>
      <c r="AE27" s="150">
        <v>0.78</v>
      </c>
      <c r="AF27" s="2" t="s">
        <v>1400</v>
      </c>
      <c r="AG27" s="2" t="s">
        <v>164</v>
      </c>
      <c r="AI27" s="2" t="s">
        <v>1401</v>
      </c>
      <c r="AJ27" s="2" t="s">
        <v>386</v>
      </c>
      <c r="AK27" s="2" t="s">
        <v>937</v>
      </c>
      <c r="AL27" s="2" t="s">
        <v>1373</v>
      </c>
      <c r="AN27" s="2" t="s">
        <v>1374</v>
      </c>
      <c r="AO27" s="2" t="s">
        <v>1400</v>
      </c>
      <c r="AP27" s="151">
        <v>0</v>
      </c>
      <c r="AQ27" s="150">
        <v>15861.79</v>
      </c>
      <c r="AR27" s="150">
        <v>124.15</v>
      </c>
      <c r="AS27" s="150">
        <v>1</v>
      </c>
      <c r="AT27" s="150">
        <v>19.692</v>
      </c>
      <c r="AU27" s="150">
        <v>19.692</v>
      </c>
      <c r="AX27" s="4" t="s">
        <v>164</v>
      </c>
      <c r="AY27" s="2" t="s">
        <v>37</v>
      </c>
      <c r="AZ27" s="164">
        <v>2.2313947710597198E-3</v>
      </c>
      <c r="BA27" s="164">
        <v>4.9828690970016702E-5</v>
      </c>
    </row>
    <row r="28" spans="1:53">
      <c r="A28" s="2" t="s">
        <v>26</v>
      </c>
      <c r="B28" s="2">
        <v>1182</v>
      </c>
      <c r="C28" s="2" t="s">
        <v>1383</v>
      </c>
      <c r="D28" s="2" t="s">
        <v>34</v>
      </c>
      <c r="E28" s="2" t="s">
        <v>1455</v>
      </c>
      <c r="F28" s="2" t="s">
        <v>1456</v>
      </c>
      <c r="G28" s="2" t="s">
        <v>1083</v>
      </c>
      <c r="I28" s="2" t="s">
        <v>31</v>
      </c>
      <c r="J28" s="2" t="s">
        <v>31</v>
      </c>
      <c r="K28" s="2" t="s">
        <v>497</v>
      </c>
      <c r="L28" s="2" t="s">
        <v>164</v>
      </c>
      <c r="M28" s="2" t="s">
        <v>386</v>
      </c>
      <c r="N28" s="190" t="s">
        <v>1383</v>
      </c>
      <c r="O28" s="2" t="s">
        <v>1457</v>
      </c>
      <c r="P28" s="2" t="s">
        <v>1392</v>
      </c>
      <c r="Q28" s="2" t="s">
        <v>98</v>
      </c>
      <c r="R28" s="2" t="s">
        <v>453</v>
      </c>
      <c r="S28" s="2" t="s">
        <v>35</v>
      </c>
      <c r="T28" s="150">
        <v>3.49</v>
      </c>
      <c r="U28" s="2" t="s">
        <v>1393</v>
      </c>
      <c r="V28" s="162">
        <v>5.5309999999999998E-2</v>
      </c>
      <c r="W28" s="2" t="s">
        <v>800</v>
      </c>
      <c r="X28" s="2" t="s">
        <v>954</v>
      </c>
      <c r="Y28" s="172">
        <v>5.5309999999999997</v>
      </c>
      <c r="Z28" s="164">
        <v>2.9579999999999999E-2</v>
      </c>
      <c r="AA28" s="2" t="s">
        <v>1389</v>
      </c>
      <c r="AB28" s="4" t="s">
        <v>458</v>
      </c>
      <c r="AC28" s="2" t="s">
        <v>529</v>
      </c>
      <c r="AD28" s="150">
        <v>9674</v>
      </c>
      <c r="AE28" s="150">
        <v>0.78</v>
      </c>
      <c r="AF28" s="2" t="s">
        <v>1400</v>
      </c>
      <c r="AG28" s="2" t="s">
        <v>164</v>
      </c>
      <c r="AI28" s="2" t="s">
        <v>1401</v>
      </c>
      <c r="AJ28" s="2" t="s">
        <v>386</v>
      </c>
      <c r="AK28" s="2" t="s">
        <v>937</v>
      </c>
      <c r="AL28" s="2" t="s">
        <v>1373</v>
      </c>
      <c r="AN28" s="2" t="s">
        <v>1374</v>
      </c>
      <c r="AO28" s="2" t="s">
        <v>1400</v>
      </c>
      <c r="AP28" s="151">
        <v>0</v>
      </c>
      <c r="AQ28" s="150">
        <v>11489.26</v>
      </c>
      <c r="AR28" s="150">
        <v>126.7</v>
      </c>
      <c r="AS28" s="150">
        <v>1</v>
      </c>
      <c r="AT28" s="150">
        <v>14.557</v>
      </c>
      <c r="AU28" s="150">
        <v>14.557</v>
      </c>
      <c r="AX28" s="4" t="s">
        <v>164</v>
      </c>
      <c r="AY28" s="2" t="s">
        <v>37</v>
      </c>
      <c r="AZ28" s="164">
        <v>1.6494766186471201E-3</v>
      </c>
      <c r="BA28" s="164">
        <v>3.6834029441505698E-5</v>
      </c>
    </row>
    <row r="29" spans="1:53">
      <c r="A29" s="2" t="s">
        <v>26</v>
      </c>
      <c r="B29" s="2">
        <v>1182</v>
      </c>
      <c r="C29" s="2" t="s">
        <v>1383</v>
      </c>
      <c r="D29" s="2" t="s">
        <v>34</v>
      </c>
      <c r="E29" s="2" t="s">
        <v>1458</v>
      </c>
      <c r="F29" s="2" t="s">
        <v>1459</v>
      </c>
      <c r="G29" s="2" t="s">
        <v>1083</v>
      </c>
      <c r="I29" s="2" t="s">
        <v>31</v>
      </c>
      <c r="J29" s="2" t="s">
        <v>31</v>
      </c>
      <c r="K29" s="2" t="s">
        <v>497</v>
      </c>
      <c r="L29" s="2" t="s">
        <v>164</v>
      </c>
      <c r="M29" s="2" t="s">
        <v>386</v>
      </c>
      <c r="N29" s="27" t="s">
        <v>1383</v>
      </c>
      <c r="O29" s="2" t="s">
        <v>1460</v>
      </c>
      <c r="P29" s="2" t="s">
        <v>1387</v>
      </c>
      <c r="Q29" s="2" t="s">
        <v>217</v>
      </c>
      <c r="R29" s="2" t="s">
        <v>453</v>
      </c>
      <c r="S29" s="2" t="s">
        <v>35</v>
      </c>
      <c r="T29" s="150">
        <v>3.47</v>
      </c>
      <c r="U29" s="2" t="s">
        <v>203</v>
      </c>
      <c r="V29" s="162">
        <v>5.5E-2</v>
      </c>
      <c r="W29" s="2" t="s">
        <v>800</v>
      </c>
      <c r="X29" s="2" t="s">
        <v>1388</v>
      </c>
      <c r="Y29" s="172">
        <v>5.5</v>
      </c>
      <c r="Z29" s="164">
        <v>2.988E-2</v>
      </c>
      <c r="AA29" s="2" t="s">
        <v>1399</v>
      </c>
      <c r="AB29" s="4" t="s">
        <v>458</v>
      </c>
      <c r="AG29" s="2" t="s">
        <v>164</v>
      </c>
      <c r="AJ29" s="2" t="s">
        <v>164</v>
      </c>
      <c r="AK29" s="2" t="s">
        <v>203</v>
      </c>
      <c r="AN29" s="2" t="s">
        <v>1374</v>
      </c>
      <c r="AQ29" s="150">
        <v>2740.41</v>
      </c>
      <c r="AR29" s="150">
        <v>125.22</v>
      </c>
      <c r="AS29" s="150">
        <v>1</v>
      </c>
      <c r="AT29" s="150">
        <v>3.4319999999999999</v>
      </c>
      <c r="AU29" s="150">
        <v>3.4319999999999999</v>
      </c>
      <c r="AX29" s="4" t="s">
        <v>164</v>
      </c>
      <c r="AY29" s="2" t="s">
        <v>37</v>
      </c>
      <c r="AZ29" s="164">
        <v>3.8883623957691998E-4</v>
      </c>
      <c r="BA29" s="164">
        <v>8.6830000101775597E-6</v>
      </c>
    </row>
    <row r="30" spans="1:53">
      <c r="A30" s="2" t="s">
        <v>26</v>
      </c>
      <c r="B30" s="2">
        <v>1182</v>
      </c>
      <c r="C30" s="2" t="s">
        <v>1383</v>
      </c>
      <c r="D30" s="2" t="s">
        <v>34</v>
      </c>
      <c r="E30" s="2" t="s">
        <v>1461</v>
      </c>
      <c r="F30" s="2" t="s">
        <v>1462</v>
      </c>
      <c r="G30" s="2" t="s">
        <v>1083</v>
      </c>
      <c r="I30" s="2" t="s">
        <v>31</v>
      </c>
      <c r="J30" s="2" t="s">
        <v>31</v>
      </c>
      <c r="K30" s="2" t="s">
        <v>497</v>
      </c>
      <c r="L30" s="2" t="s">
        <v>164</v>
      </c>
      <c r="M30" s="2" t="s">
        <v>386</v>
      </c>
      <c r="N30" s="190" t="s">
        <v>1383</v>
      </c>
      <c r="O30" s="2" t="s">
        <v>1463</v>
      </c>
      <c r="P30" s="2" t="s">
        <v>1392</v>
      </c>
      <c r="Q30" s="2" t="s">
        <v>98</v>
      </c>
      <c r="R30" s="2" t="s">
        <v>453</v>
      </c>
      <c r="S30" s="2" t="s">
        <v>35</v>
      </c>
      <c r="T30" s="150">
        <v>3.46</v>
      </c>
      <c r="U30" s="2" t="s">
        <v>1393</v>
      </c>
      <c r="V30" s="162">
        <v>5.5E-2</v>
      </c>
      <c r="W30" s="2" t="s">
        <v>800</v>
      </c>
      <c r="X30" s="2" t="s">
        <v>954</v>
      </c>
      <c r="Y30" s="172">
        <v>5.5</v>
      </c>
      <c r="Z30" s="164">
        <v>3.279E-2</v>
      </c>
      <c r="AA30" s="2" t="s">
        <v>1389</v>
      </c>
      <c r="AB30" s="4" t="s">
        <v>458</v>
      </c>
      <c r="AC30" s="2" t="s">
        <v>529</v>
      </c>
      <c r="AD30" s="150">
        <v>2154</v>
      </c>
      <c r="AE30" s="150">
        <v>0.78</v>
      </c>
      <c r="AF30" s="2" t="s">
        <v>1400</v>
      </c>
      <c r="AG30" s="2" t="s">
        <v>164</v>
      </c>
      <c r="AI30" s="2" t="s">
        <v>1401</v>
      </c>
      <c r="AJ30" s="2" t="s">
        <v>386</v>
      </c>
      <c r="AK30" s="2" t="s">
        <v>937</v>
      </c>
      <c r="AL30" s="2" t="s">
        <v>1373</v>
      </c>
      <c r="AN30" s="2" t="s">
        <v>1374</v>
      </c>
      <c r="AO30" s="2" t="s">
        <v>1400</v>
      </c>
      <c r="AP30" s="151">
        <v>0</v>
      </c>
      <c r="AQ30" s="150">
        <v>5547.73</v>
      </c>
      <c r="AR30" s="150">
        <v>124.51</v>
      </c>
      <c r="AS30" s="150">
        <v>1</v>
      </c>
      <c r="AT30" s="150">
        <v>6.907</v>
      </c>
      <c r="AU30" s="150">
        <v>6.907</v>
      </c>
      <c r="AX30" s="4" t="s">
        <v>164</v>
      </c>
      <c r="AY30" s="2" t="s">
        <v>37</v>
      </c>
      <c r="AZ30" s="164">
        <v>7.8270307657074295E-4</v>
      </c>
      <c r="BA30" s="164">
        <v>1.7478336970917401E-5</v>
      </c>
    </row>
    <row r="31" spans="1:53">
      <c r="A31" s="2" t="s">
        <v>26</v>
      </c>
      <c r="B31" s="2">
        <v>1182</v>
      </c>
      <c r="C31" s="2" t="s">
        <v>1383</v>
      </c>
      <c r="D31" s="2" t="s">
        <v>34</v>
      </c>
      <c r="E31" s="2" t="s">
        <v>1464</v>
      </c>
      <c r="F31" s="2" t="s">
        <v>1465</v>
      </c>
      <c r="G31" s="2" t="s">
        <v>1083</v>
      </c>
      <c r="I31" s="2" t="s">
        <v>31</v>
      </c>
      <c r="J31" s="2" t="s">
        <v>31</v>
      </c>
      <c r="K31" s="2" t="s">
        <v>497</v>
      </c>
      <c r="L31" s="2" t="s">
        <v>164</v>
      </c>
      <c r="M31" s="2" t="s">
        <v>386</v>
      </c>
      <c r="N31" s="190" t="s">
        <v>1383</v>
      </c>
      <c r="O31" s="2" t="s">
        <v>1466</v>
      </c>
      <c r="P31" s="2" t="s">
        <v>1392</v>
      </c>
      <c r="Q31" s="2" t="s">
        <v>98</v>
      </c>
      <c r="R31" s="2" t="s">
        <v>453</v>
      </c>
      <c r="S31" s="2" t="s">
        <v>35</v>
      </c>
      <c r="T31" s="150">
        <v>3.46</v>
      </c>
      <c r="U31" s="2" t="s">
        <v>1393</v>
      </c>
      <c r="V31" s="162">
        <v>5.5E-2</v>
      </c>
      <c r="W31" s="2" t="s">
        <v>800</v>
      </c>
      <c r="X31" s="2" t="s">
        <v>954</v>
      </c>
      <c r="Y31" s="172">
        <v>5.5</v>
      </c>
      <c r="Z31" s="164">
        <v>3.2759999999999997E-2</v>
      </c>
      <c r="AA31" s="2" t="s">
        <v>1389</v>
      </c>
      <c r="AB31" s="4" t="s">
        <v>458</v>
      </c>
      <c r="AC31" s="2" t="s">
        <v>529</v>
      </c>
      <c r="AD31" s="150">
        <v>3341</v>
      </c>
      <c r="AE31" s="150">
        <v>0.78</v>
      </c>
      <c r="AF31" s="2" t="s">
        <v>1400</v>
      </c>
      <c r="AG31" s="2" t="s">
        <v>164</v>
      </c>
      <c r="AI31" s="2" t="s">
        <v>1401</v>
      </c>
      <c r="AJ31" s="2" t="s">
        <v>386</v>
      </c>
      <c r="AK31" s="2" t="s">
        <v>937</v>
      </c>
      <c r="AL31" s="2" t="s">
        <v>1373</v>
      </c>
      <c r="AN31" s="2" t="s">
        <v>1374</v>
      </c>
      <c r="AO31" s="2" t="s">
        <v>1400</v>
      </c>
      <c r="AP31" s="151">
        <v>0</v>
      </c>
      <c r="AQ31" s="150">
        <v>8602.25</v>
      </c>
      <c r="AR31" s="150">
        <v>124.74</v>
      </c>
      <c r="AS31" s="150">
        <v>1</v>
      </c>
      <c r="AT31" s="150">
        <v>10.73</v>
      </c>
      <c r="AU31" s="150">
        <v>10.73</v>
      </c>
      <c r="AX31" s="4" t="s">
        <v>164</v>
      </c>
      <c r="AY31" s="2" t="s">
        <v>37</v>
      </c>
      <c r="AZ31" s="164">
        <v>1.21589281188185E-3</v>
      </c>
      <c r="BA31" s="164">
        <v>2.71517832531049E-5</v>
      </c>
    </row>
    <row r="32" spans="1:53">
      <c r="A32" s="2" t="s">
        <v>26</v>
      </c>
      <c r="B32" s="2">
        <v>1182</v>
      </c>
      <c r="C32" s="2" t="s">
        <v>1383</v>
      </c>
      <c r="D32" s="2" t="s">
        <v>34</v>
      </c>
      <c r="E32" s="2" t="s">
        <v>1467</v>
      </c>
      <c r="F32" s="2" t="s">
        <v>1468</v>
      </c>
      <c r="G32" s="2" t="s">
        <v>1083</v>
      </c>
      <c r="I32" s="2" t="s">
        <v>31</v>
      </c>
      <c r="J32" s="2" t="s">
        <v>31</v>
      </c>
      <c r="K32" s="2" t="s">
        <v>497</v>
      </c>
      <c r="L32" s="2" t="s">
        <v>164</v>
      </c>
      <c r="M32" s="2" t="s">
        <v>386</v>
      </c>
      <c r="N32" s="27" t="s">
        <v>1383</v>
      </c>
      <c r="O32" s="2" t="s">
        <v>1460</v>
      </c>
      <c r="P32" s="2" t="s">
        <v>1387</v>
      </c>
      <c r="Q32" s="2" t="s">
        <v>217</v>
      </c>
      <c r="R32" s="2" t="s">
        <v>453</v>
      </c>
      <c r="S32" s="2" t="s">
        <v>35</v>
      </c>
      <c r="T32" s="150">
        <v>3.46</v>
      </c>
      <c r="U32" s="2" t="s">
        <v>203</v>
      </c>
      <c r="V32" s="162">
        <v>5.5E-2</v>
      </c>
      <c r="W32" s="2" t="s">
        <v>800</v>
      </c>
      <c r="X32" s="2" t="s">
        <v>1388</v>
      </c>
      <c r="Y32" s="172">
        <v>5.5</v>
      </c>
      <c r="Z32" s="164">
        <v>3.3079999999999998E-2</v>
      </c>
      <c r="AA32" s="2" t="s">
        <v>1399</v>
      </c>
      <c r="AB32" s="4" t="s">
        <v>458</v>
      </c>
      <c r="AG32" s="2" t="s">
        <v>164</v>
      </c>
      <c r="AJ32" s="2" t="s">
        <v>164</v>
      </c>
      <c r="AK32" s="2" t="s">
        <v>203</v>
      </c>
      <c r="AN32" s="2" t="s">
        <v>1374</v>
      </c>
      <c r="AQ32" s="150">
        <v>2269.31</v>
      </c>
      <c r="AR32" s="150">
        <v>124.33</v>
      </c>
      <c r="AS32" s="150">
        <v>1</v>
      </c>
      <c r="AT32" s="150">
        <v>2.8210000000000002</v>
      </c>
      <c r="AU32" s="150">
        <v>2.8210000000000002</v>
      </c>
      <c r="AX32" s="4" t="s">
        <v>164</v>
      </c>
      <c r="AY32" s="2" t="s">
        <v>37</v>
      </c>
      <c r="AZ32" s="164">
        <v>3.1970339775754398E-4</v>
      </c>
      <c r="BA32" s="164">
        <v>7.13921266444458E-6</v>
      </c>
    </row>
    <row r="33" spans="1:53">
      <c r="A33" s="2" t="s">
        <v>26</v>
      </c>
      <c r="B33" s="2">
        <v>1182</v>
      </c>
      <c r="C33" s="2" t="s">
        <v>1383</v>
      </c>
      <c r="D33" s="2" t="s">
        <v>34</v>
      </c>
      <c r="E33" s="2" t="s">
        <v>1469</v>
      </c>
      <c r="F33" s="2" t="s">
        <v>1470</v>
      </c>
      <c r="G33" s="2" t="s">
        <v>1083</v>
      </c>
      <c r="I33" s="2" t="s">
        <v>31</v>
      </c>
      <c r="J33" s="2" t="s">
        <v>31</v>
      </c>
      <c r="K33" s="2" t="s">
        <v>497</v>
      </c>
      <c r="L33" s="2" t="s">
        <v>164</v>
      </c>
      <c r="M33" s="2" t="s">
        <v>386</v>
      </c>
      <c r="N33" s="190" t="s">
        <v>1383</v>
      </c>
      <c r="O33" s="2" t="s">
        <v>1471</v>
      </c>
      <c r="P33" s="2" t="s">
        <v>1392</v>
      </c>
      <c r="Q33" s="2" t="s">
        <v>98</v>
      </c>
      <c r="R33" s="2" t="s">
        <v>453</v>
      </c>
      <c r="S33" s="2" t="s">
        <v>35</v>
      </c>
      <c r="T33" s="150">
        <v>3.47</v>
      </c>
      <c r="U33" s="2" t="s">
        <v>1393</v>
      </c>
      <c r="V33" s="162">
        <v>5.5E-2</v>
      </c>
      <c r="W33" s="2" t="s">
        <v>800</v>
      </c>
      <c r="X33" s="2" t="s">
        <v>954</v>
      </c>
      <c r="Y33" s="172">
        <v>5.5</v>
      </c>
      <c r="Z33" s="164">
        <v>3.0769999999999999E-2</v>
      </c>
      <c r="AA33" s="2" t="s">
        <v>1389</v>
      </c>
      <c r="AB33" s="4" t="s">
        <v>458</v>
      </c>
      <c r="AC33" s="2" t="s">
        <v>529</v>
      </c>
      <c r="AD33" s="150">
        <v>774</v>
      </c>
      <c r="AE33" s="150">
        <v>0.78</v>
      </c>
      <c r="AF33" s="2" t="s">
        <v>1400</v>
      </c>
      <c r="AG33" s="2" t="s">
        <v>164</v>
      </c>
      <c r="AI33" s="2" t="s">
        <v>1401</v>
      </c>
      <c r="AJ33" s="2" t="s">
        <v>386</v>
      </c>
      <c r="AK33" s="2" t="s">
        <v>937</v>
      </c>
      <c r="AL33" s="2" t="s">
        <v>1373</v>
      </c>
      <c r="AN33" s="2" t="s">
        <v>1374</v>
      </c>
      <c r="AO33" s="2" t="s">
        <v>1400</v>
      </c>
      <c r="AP33" s="151">
        <v>0</v>
      </c>
      <c r="AQ33" s="150">
        <v>1991.92</v>
      </c>
      <c r="AR33" s="150">
        <v>123.32</v>
      </c>
      <c r="AS33" s="150">
        <v>1</v>
      </c>
      <c r="AT33" s="150">
        <v>2.456</v>
      </c>
      <c r="AU33" s="150">
        <v>2.456</v>
      </c>
      <c r="AX33" s="4" t="s">
        <v>164</v>
      </c>
      <c r="AY33" s="2" t="s">
        <v>37</v>
      </c>
      <c r="AZ33" s="164">
        <v>2.78344663684548E-4</v>
      </c>
      <c r="BA33" s="164">
        <v>6.2156416290711901E-6</v>
      </c>
    </row>
    <row r="34" spans="1:53">
      <c r="A34" s="2" t="s">
        <v>26</v>
      </c>
      <c r="B34" s="2">
        <v>1182</v>
      </c>
      <c r="C34" s="2" t="s">
        <v>1383</v>
      </c>
      <c r="D34" s="2" t="s">
        <v>34</v>
      </c>
      <c r="E34" s="2" t="s">
        <v>1472</v>
      </c>
      <c r="F34" s="2" t="s">
        <v>1473</v>
      </c>
      <c r="G34" s="2" t="s">
        <v>1083</v>
      </c>
      <c r="I34" s="2" t="s">
        <v>31</v>
      </c>
      <c r="J34" s="2" t="s">
        <v>31</v>
      </c>
      <c r="K34" s="2" t="s">
        <v>497</v>
      </c>
      <c r="L34" s="2" t="s">
        <v>164</v>
      </c>
      <c r="M34" s="2" t="s">
        <v>386</v>
      </c>
      <c r="N34" s="190" t="s">
        <v>1383</v>
      </c>
      <c r="O34" s="2" t="s">
        <v>1474</v>
      </c>
      <c r="P34" s="2" t="s">
        <v>1392</v>
      </c>
      <c r="Q34" s="2" t="s">
        <v>98</v>
      </c>
      <c r="R34" s="2" t="s">
        <v>453</v>
      </c>
      <c r="S34" s="2" t="s">
        <v>35</v>
      </c>
      <c r="T34" s="150">
        <v>3.46</v>
      </c>
      <c r="U34" s="2" t="s">
        <v>1393</v>
      </c>
      <c r="V34" s="162">
        <v>5.5E-2</v>
      </c>
      <c r="W34" s="2" t="s">
        <v>800</v>
      </c>
      <c r="X34" s="2" t="s">
        <v>954</v>
      </c>
      <c r="Y34" s="172">
        <v>5.5</v>
      </c>
      <c r="Z34" s="164">
        <v>3.1359999999999999E-2</v>
      </c>
      <c r="AA34" s="2" t="s">
        <v>1389</v>
      </c>
      <c r="AB34" s="4" t="s">
        <v>458</v>
      </c>
      <c r="AC34" s="2" t="s">
        <v>529</v>
      </c>
      <c r="AD34" s="150">
        <v>862</v>
      </c>
      <c r="AE34" s="150">
        <v>0.78</v>
      </c>
      <c r="AF34" s="2" t="s">
        <v>1400</v>
      </c>
      <c r="AG34" s="2" t="s">
        <v>164</v>
      </c>
      <c r="AI34" s="2" t="s">
        <v>1401</v>
      </c>
      <c r="AJ34" s="2" t="s">
        <v>386</v>
      </c>
      <c r="AK34" s="2" t="s">
        <v>937</v>
      </c>
      <c r="AL34" s="2" t="s">
        <v>1373</v>
      </c>
      <c r="AN34" s="2" t="s">
        <v>1374</v>
      </c>
      <c r="AO34" s="2" t="s">
        <v>1400</v>
      </c>
      <c r="AP34" s="151">
        <v>0</v>
      </c>
      <c r="AQ34" s="150">
        <v>2220.44</v>
      </c>
      <c r="AR34" s="150">
        <v>122.67</v>
      </c>
      <c r="AS34" s="150">
        <v>1</v>
      </c>
      <c r="AT34" s="150">
        <v>2.7240000000000002</v>
      </c>
      <c r="AU34" s="150">
        <v>2.7240000000000002</v>
      </c>
      <c r="AX34" s="4" t="s">
        <v>164</v>
      </c>
      <c r="AY34" s="2" t="s">
        <v>37</v>
      </c>
      <c r="AZ34" s="164">
        <v>3.0864191073520298E-4</v>
      </c>
      <c r="BA34" s="164">
        <v>6.8922015009993403E-6</v>
      </c>
    </row>
    <row r="35" spans="1:53">
      <c r="A35" s="2" t="s">
        <v>26</v>
      </c>
      <c r="B35" s="2">
        <v>1182</v>
      </c>
      <c r="C35" s="2" t="s">
        <v>1383</v>
      </c>
      <c r="D35" s="2" t="s">
        <v>34</v>
      </c>
      <c r="E35" s="2" t="s">
        <v>1475</v>
      </c>
      <c r="F35" s="2" t="s">
        <v>1476</v>
      </c>
      <c r="G35" s="2" t="s">
        <v>1083</v>
      </c>
      <c r="I35" s="2" t="s">
        <v>31</v>
      </c>
      <c r="J35" s="2" t="s">
        <v>31</v>
      </c>
      <c r="K35" s="2" t="s">
        <v>497</v>
      </c>
      <c r="L35" s="2" t="s">
        <v>164</v>
      </c>
      <c r="M35" s="2" t="s">
        <v>386</v>
      </c>
      <c r="N35" s="190" t="s">
        <v>1383</v>
      </c>
      <c r="O35" s="2" t="s">
        <v>1477</v>
      </c>
      <c r="P35" s="2" t="s">
        <v>1392</v>
      </c>
      <c r="Q35" s="2" t="s">
        <v>98</v>
      </c>
      <c r="R35" s="2" t="s">
        <v>453</v>
      </c>
      <c r="S35" s="2" t="s">
        <v>35</v>
      </c>
      <c r="T35" s="150">
        <v>3.46</v>
      </c>
      <c r="U35" s="2" t="s">
        <v>1393</v>
      </c>
      <c r="V35" s="162">
        <v>5.5E-2</v>
      </c>
      <c r="W35" s="2" t="s">
        <v>800</v>
      </c>
      <c r="X35" s="2" t="s">
        <v>954</v>
      </c>
      <c r="Y35" s="172">
        <v>5.5</v>
      </c>
      <c r="Z35" s="164">
        <v>3.2759999999999997E-2</v>
      </c>
      <c r="AA35" s="2" t="s">
        <v>1389</v>
      </c>
      <c r="AB35" s="4" t="s">
        <v>458</v>
      </c>
      <c r="AC35" s="2" t="s">
        <v>529</v>
      </c>
      <c r="AD35" s="150">
        <v>2532</v>
      </c>
      <c r="AE35" s="150">
        <v>0.78</v>
      </c>
      <c r="AF35" s="2" t="s">
        <v>1400</v>
      </c>
      <c r="AG35" s="2" t="s">
        <v>164</v>
      </c>
      <c r="AI35" s="2" t="s">
        <v>1401</v>
      </c>
      <c r="AJ35" s="2" t="s">
        <v>386</v>
      </c>
      <c r="AK35" s="2" t="s">
        <v>937</v>
      </c>
      <c r="AL35" s="2" t="s">
        <v>1373</v>
      </c>
      <c r="AN35" s="2" t="s">
        <v>1374</v>
      </c>
      <c r="AO35" s="2" t="s">
        <v>1400</v>
      </c>
      <c r="AP35" s="151">
        <v>0</v>
      </c>
      <c r="AQ35" s="150">
        <v>6519.67</v>
      </c>
      <c r="AR35" s="150">
        <v>122.42</v>
      </c>
      <c r="AS35" s="150">
        <v>1</v>
      </c>
      <c r="AT35" s="150">
        <v>7.9809999999999999</v>
      </c>
      <c r="AU35" s="150">
        <v>7.9809999999999999</v>
      </c>
      <c r="AX35" s="4" t="s">
        <v>164</v>
      </c>
      <c r="AY35" s="2" t="s">
        <v>37</v>
      </c>
      <c r="AZ35" s="164">
        <v>9.0438943545001797E-4</v>
      </c>
      <c r="BA35" s="164">
        <v>2.0195683112668102E-5</v>
      </c>
    </row>
    <row r="36" spans="1:53">
      <c r="A36" s="2" t="s">
        <v>26</v>
      </c>
      <c r="B36" s="2">
        <v>1182</v>
      </c>
      <c r="C36" s="2" t="s">
        <v>1383</v>
      </c>
      <c r="D36" s="2" t="s">
        <v>34</v>
      </c>
      <c r="E36" s="2" t="s">
        <v>1478</v>
      </c>
      <c r="F36" s="2" t="s">
        <v>1479</v>
      </c>
      <c r="G36" s="2" t="s">
        <v>1083</v>
      </c>
      <c r="I36" s="2" t="s">
        <v>31</v>
      </c>
      <c r="J36" s="2" t="s">
        <v>31</v>
      </c>
      <c r="K36" s="2" t="s">
        <v>497</v>
      </c>
      <c r="L36" s="2" t="s">
        <v>164</v>
      </c>
      <c r="M36" s="2" t="s">
        <v>386</v>
      </c>
      <c r="N36" s="190" t="s">
        <v>1383</v>
      </c>
      <c r="O36" s="2" t="s">
        <v>1480</v>
      </c>
      <c r="P36" s="2" t="s">
        <v>1387</v>
      </c>
      <c r="Q36" s="2" t="s">
        <v>217</v>
      </c>
      <c r="R36" s="2" t="s">
        <v>453</v>
      </c>
      <c r="S36" s="2" t="s">
        <v>35</v>
      </c>
      <c r="T36" s="150">
        <v>3.46</v>
      </c>
      <c r="U36" s="2" t="s">
        <v>1393</v>
      </c>
      <c r="V36" s="162">
        <v>5.5E-2</v>
      </c>
      <c r="W36" s="2" t="s">
        <v>800</v>
      </c>
      <c r="X36" s="2" t="s">
        <v>954</v>
      </c>
      <c r="Y36" s="172">
        <v>5.5</v>
      </c>
      <c r="Z36" s="164">
        <v>3.2730000000000002E-2</v>
      </c>
      <c r="AA36" s="2" t="s">
        <v>1389</v>
      </c>
      <c r="AB36" s="4" t="s">
        <v>458</v>
      </c>
      <c r="AC36" s="2" t="s">
        <v>529</v>
      </c>
      <c r="AD36" s="150">
        <v>470</v>
      </c>
      <c r="AE36" s="150">
        <v>0.78</v>
      </c>
      <c r="AF36" s="2" t="s">
        <v>1400</v>
      </c>
      <c r="AG36" s="2" t="s">
        <v>164</v>
      </c>
      <c r="AI36" s="2" t="s">
        <v>1401</v>
      </c>
      <c r="AJ36" s="2" t="s">
        <v>386</v>
      </c>
      <c r="AK36" s="2" t="s">
        <v>937</v>
      </c>
      <c r="AL36" s="2" t="s">
        <v>1373</v>
      </c>
      <c r="AN36" s="2" t="s">
        <v>1374</v>
      </c>
      <c r="AO36" s="2" t="s">
        <v>1400</v>
      </c>
      <c r="AP36" s="151">
        <v>0</v>
      </c>
      <c r="AQ36" s="150">
        <v>1210.2</v>
      </c>
      <c r="AR36" s="150">
        <v>123.04</v>
      </c>
      <c r="AS36" s="150">
        <v>1</v>
      </c>
      <c r="AT36" s="150">
        <v>1.4890000000000001</v>
      </c>
      <c r="AU36" s="150">
        <v>1.4890000000000001</v>
      </c>
      <c r="AX36" s="4" t="s">
        <v>164</v>
      </c>
      <c r="AY36" s="2" t="s">
        <v>37</v>
      </c>
      <c r="AZ36" s="164">
        <v>1.6872559269914901E-4</v>
      </c>
      <c r="BA36" s="164">
        <v>3.7677669260406299E-6</v>
      </c>
    </row>
    <row r="37" spans="1:53">
      <c r="A37" s="2" t="s">
        <v>26</v>
      </c>
      <c r="B37" s="2">
        <v>1182</v>
      </c>
      <c r="C37" s="2" t="s">
        <v>1383</v>
      </c>
      <c r="D37" s="2" t="s">
        <v>34</v>
      </c>
      <c r="E37" s="2" t="s">
        <v>1481</v>
      </c>
      <c r="F37" s="2" t="s">
        <v>1482</v>
      </c>
      <c r="G37" s="2" t="s">
        <v>1083</v>
      </c>
      <c r="I37" s="2" t="s">
        <v>31</v>
      </c>
      <c r="J37" s="2" t="s">
        <v>31</v>
      </c>
      <c r="K37" s="2" t="s">
        <v>497</v>
      </c>
      <c r="L37" s="2" t="s">
        <v>164</v>
      </c>
      <c r="M37" s="2" t="s">
        <v>386</v>
      </c>
      <c r="N37" s="190" t="s">
        <v>1383</v>
      </c>
      <c r="O37" s="2" t="s">
        <v>1483</v>
      </c>
      <c r="P37" s="2" t="s">
        <v>1392</v>
      </c>
      <c r="Q37" s="2" t="s">
        <v>98</v>
      </c>
      <c r="R37" s="2" t="s">
        <v>453</v>
      </c>
      <c r="S37" s="2" t="s">
        <v>35</v>
      </c>
      <c r="T37" s="150">
        <v>3.46</v>
      </c>
      <c r="U37" s="2" t="s">
        <v>1393</v>
      </c>
      <c r="V37" s="162">
        <v>5.5E-2</v>
      </c>
      <c r="W37" s="2" t="s">
        <v>800</v>
      </c>
      <c r="X37" s="2" t="s">
        <v>954</v>
      </c>
      <c r="Y37" s="172">
        <v>5.5</v>
      </c>
      <c r="Z37" s="164">
        <v>3.2759999999999997E-2</v>
      </c>
      <c r="AA37" s="2" t="s">
        <v>1484</v>
      </c>
      <c r="AB37" s="4" t="s">
        <v>458</v>
      </c>
      <c r="AC37" s="2" t="s">
        <v>529</v>
      </c>
      <c r="AD37" s="150">
        <v>938</v>
      </c>
      <c r="AE37" s="150">
        <v>0.78</v>
      </c>
      <c r="AF37" s="2" t="s">
        <v>1400</v>
      </c>
      <c r="AG37" s="2" t="s">
        <v>164</v>
      </c>
      <c r="AI37" s="2" t="s">
        <v>1401</v>
      </c>
      <c r="AJ37" s="2" t="s">
        <v>386</v>
      </c>
      <c r="AK37" s="2" t="s">
        <v>937</v>
      </c>
      <c r="AL37" s="2" t="s">
        <v>1373</v>
      </c>
      <c r="AN37" s="2" t="s">
        <v>1374</v>
      </c>
      <c r="AO37" s="2" t="s">
        <v>1400</v>
      </c>
      <c r="AP37" s="151">
        <v>0</v>
      </c>
      <c r="AQ37" s="150">
        <v>2415.06</v>
      </c>
      <c r="AR37" s="150">
        <v>123.27</v>
      </c>
      <c r="AS37" s="150">
        <v>1</v>
      </c>
      <c r="AT37" s="150">
        <v>2.9769999999999999</v>
      </c>
      <c r="AU37" s="150">
        <v>2.9769999999999999</v>
      </c>
      <c r="AX37" s="4" t="s">
        <v>164</v>
      </c>
      <c r="AY37" s="2" t="s">
        <v>37</v>
      </c>
      <c r="AZ37" s="164">
        <v>3.3733609420615003E-4</v>
      </c>
      <c r="BA37" s="164">
        <v>7.5329637808767596E-6</v>
      </c>
    </row>
    <row r="38" spans="1:53">
      <c r="A38" s="2" t="s">
        <v>26</v>
      </c>
      <c r="B38" s="2">
        <v>1182</v>
      </c>
      <c r="C38" s="2" t="s">
        <v>1383</v>
      </c>
      <c r="D38" s="2" t="s">
        <v>34</v>
      </c>
      <c r="E38" s="2" t="s">
        <v>1485</v>
      </c>
      <c r="F38" s="2" t="s">
        <v>1486</v>
      </c>
      <c r="G38" s="2" t="s">
        <v>1083</v>
      </c>
      <c r="I38" s="2" t="s">
        <v>31</v>
      </c>
      <c r="J38" s="2" t="s">
        <v>31</v>
      </c>
      <c r="K38" s="2" t="s">
        <v>497</v>
      </c>
      <c r="L38" s="2" t="s">
        <v>164</v>
      </c>
      <c r="M38" s="2" t="s">
        <v>386</v>
      </c>
      <c r="N38" s="190" t="s">
        <v>1383</v>
      </c>
      <c r="O38" s="2" t="s">
        <v>1487</v>
      </c>
      <c r="P38" s="2" t="s">
        <v>1392</v>
      </c>
      <c r="Q38" s="2" t="s">
        <v>98</v>
      </c>
      <c r="R38" s="2" t="s">
        <v>453</v>
      </c>
      <c r="S38" s="2" t="s">
        <v>35</v>
      </c>
      <c r="T38" s="150">
        <v>3.46</v>
      </c>
      <c r="U38" s="2" t="s">
        <v>1393</v>
      </c>
      <c r="V38" s="162">
        <v>5.5E-2</v>
      </c>
      <c r="W38" s="2" t="s">
        <v>800</v>
      </c>
      <c r="X38" s="2" t="s">
        <v>954</v>
      </c>
      <c r="Y38" s="172">
        <v>5.5</v>
      </c>
      <c r="Z38" s="164">
        <v>3.2739999999999998E-2</v>
      </c>
      <c r="AA38" s="2" t="s">
        <v>1389</v>
      </c>
      <c r="AB38" s="4" t="s">
        <v>458</v>
      </c>
      <c r="AC38" s="2" t="s">
        <v>529</v>
      </c>
      <c r="AD38" s="150">
        <v>588</v>
      </c>
      <c r="AE38" s="150">
        <v>0.78</v>
      </c>
      <c r="AF38" s="2" t="s">
        <v>1400</v>
      </c>
      <c r="AG38" s="2" t="s">
        <v>164</v>
      </c>
      <c r="AI38" s="2" t="s">
        <v>1401</v>
      </c>
      <c r="AJ38" s="2" t="s">
        <v>386</v>
      </c>
      <c r="AK38" s="2" t="s">
        <v>937</v>
      </c>
      <c r="AL38" s="2" t="s">
        <v>1373</v>
      </c>
      <c r="AN38" s="2" t="s">
        <v>1374</v>
      </c>
      <c r="AO38" s="2" t="s">
        <v>1400</v>
      </c>
      <c r="AP38" s="151">
        <v>0</v>
      </c>
      <c r="AQ38" s="150">
        <v>1513.32</v>
      </c>
      <c r="AR38" s="150">
        <v>122.79</v>
      </c>
      <c r="AS38" s="150">
        <v>1</v>
      </c>
      <c r="AT38" s="150">
        <v>1.8580000000000001</v>
      </c>
      <c r="AU38" s="150">
        <v>1.8580000000000001</v>
      </c>
      <c r="AX38" s="4" t="s">
        <v>164</v>
      </c>
      <c r="AY38" s="2" t="s">
        <v>37</v>
      </c>
      <c r="AZ38" s="164">
        <v>2.1055776518711801E-4</v>
      </c>
      <c r="BA38" s="164">
        <v>4.7019101903978697E-6</v>
      </c>
    </row>
    <row r="39" spans="1:53">
      <c r="A39" s="2" t="s">
        <v>26</v>
      </c>
      <c r="B39" s="2">
        <v>1182</v>
      </c>
      <c r="C39" s="2" t="s">
        <v>1383</v>
      </c>
      <c r="D39" s="2" t="s">
        <v>34</v>
      </c>
      <c r="E39" s="2" t="s">
        <v>1488</v>
      </c>
      <c r="F39" s="2" t="s">
        <v>1489</v>
      </c>
      <c r="G39" s="2" t="s">
        <v>1083</v>
      </c>
      <c r="I39" s="2" t="s">
        <v>31</v>
      </c>
      <c r="J39" s="2" t="s">
        <v>31</v>
      </c>
      <c r="K39" s="2" t="s">
        <v>497</v>
      </c>
      <c r="L39" s="2" t="s">
        <v>164</v>
      </c>
      <c r="M39" s="2" t="s">
        <v>386</v>
      </c>
      <c r="N39" s="190" t="s">
        <v>1383</v>
      </c>
      <c r="O39" s="2" t="s">
        <v>1490</v>
      </c>
      <c r="P39" s="2" t="s">
        <v>1392</v>
      </c>
      <c r="Q39" s="2" t="s">
        <v>98</v>
      </c>
      <c r="R39" s="2" t="s">
        <v>453</v>
      </c>
      <c r="S39" s="2" t="s">
        <v>35</v>
      </c>
      <c r="T39" s="150">
        <v>3.46</v>
      </c>
      <c r="U39" s="2" t="s">
        <v>1393</v>
      </c>
      <c r="V39" s="162">
        <v>5.5E-2</v>
      </c>
      <c r="W39" s="2" t="s">
        <v>800</v>
      </c>
      <c r="X39" s="2" t="s">
        <v>954</v>
      </c>
      <c r="Y39" s="172">
        <v>5.5</v>
      </c>
      <c r="Z39" s="164">
        <v>3.2739999999999998E-2</v>
      </c>
      <c r="AA39" s="2" t="s">
        <v>1399</v>
      </c>
      <c r="AB39" s="4" t="s">
        <v>458</v>
      </c>
      <c r="AC39" s="2" t="s">
        <v>529</v>
      </c>
      <c r="AD39" s="150">
        <v>331</v>
      </c>
      <c r="AE39" s="150">
        <v>0.78</v>
      </c>
      <c r="AF39" s="2" t="s">
        <v>1400</v>
      </c>
      <c r="AG39" s="2" t="s">
        <v>164</v>
      </c>
      <c r="AI39" s="2" t="s">
        <v>1401</v>
      </c>
      <c r="AJ39" s="2" t="s">
        <v>386</v>
      </c>
      <c r="AK39" s="2" t="s">
        <v>937</v>
      </c>
      <c r="AL39" s="2" t="s">
        <v>1373</v>
      </c>
      <c r="AN39" s="2" t="s">
        <v>1374</v>
      </c>
      <c r="AO39" s="2" t="s">
        <v>1400</v>
      </c>
      <c r="AP39" s="151">
        <v>0</v>
      </c>
      <c r="AQ39" s="150">
        <v>852.17</v>
      </c>
      <c r="AR39" s="150">
        <v>122.67</v>
      </c>
      <c r="AS39" s="150">
        <v>1</v>
      </c>
      <c r="AT39" s="150">
        <v>1.0449999999999999</v>
      </c>
      <c r="AU39" s="150">
        <v>1.0449999999999999</v>
      </c>
      <c r="AX39" s="4" t="s">
        <v>164</v>
      </c>
      <c r="AY39" s="2" t="s">
        <v>37</v>
      </c>
      <c r="AZ39" s="164">
        <v>1.1845191812038E-4</v>
      </c>
      <c r="BA39" s="164">
        <v>2.6451186940906301E-6</v>
      </c>
    </row>
    <row r="40" spans="1:53">
      <c r="A40" s="2" t="s">
        <v>26</v>
      </c>
      <c r="B40" s="2">
        <v>1182</v>
      </c>
      <c r="C40" s="2" t="s">
        <v>1383</v>
      </c>
      <c r="D40" s="2" t="s">
        <v>34</v>
      </c>
      <c r="E40" s="2" t="s">
        <v>1491</v>
      </c>
      <c r="F40" s="2" t="s">
        <v>1492</v>
      </c>
      <c r="G40" s="2" t="s">
        <v>1083</v>
      </c>
      <c r="I40" s="2" t="s">
        <v>31</v>
      </c>
      <c r="J40" s="2" t="s">
        <v>31</v>
      </c>
      <c r="K40" s="2" t="s">
        <v>497</v>
      </c>
      <c r="L40" s="2" t="s">
        <v>164</v>
      </c>
      <c r="M40" s="2" t="s">
        <v>386</v>
      </c>
      <c r="N40" s="190" t="s">
        <v>1383</v>
      </c>
      <c r="O40" s="2" t="s">
        <v>1493</v>
      </c>
      <c r="P40" s="2" t="s">
        <v>1392</v>
      </c>
      <c r="Q40" s="2" t="s">
        <v>98</v>
      </c>
      <c r="R40" s="2" t="s">
        <v>453</v>
      </c>
      <c r="S40" s="2" t="s">
        <v>35</v>
      </c>
      <c r="T40" s="150">
        <v>3.46</v>
      </c>
      <c r="U40" s="2" t="s">
        <v>1393</v>
      </c>
      <c r="V40" s="162">
        <v>5.5E-2</v>
      </c>
      <c r="W40" s="2" t="s">
        <v>800</v>
      </c>
      <c r="X40" s="2" t="s">
        <v>954</v>
      </c>
      <c r="Y40" s="172">
        <v>5.5</v>
      </c>
      <c r="Z40" s="164">
        <v>3.2710000000000003E-2</v>
      </c>
      <c r="AA40" s="2" t="s">
        <v>1399</v>
      </c>
      <c r="AB40" s="4" t="s">
        <v>458</v>
      </c>
      <c r="AC40" s="2" t="s">
        <v>529</v>
      </c>
      <c r="AD40" s="150">
        <v>987</v>
      </c>
      <c r="AE40" s="150">
        <v>0.78</v>
      </c>
      <c r="AF40" s="2" t="s">
        <v>1400</v>
      </c>
      <c r="AG40" s="2" t="s">
        <v>164</v>
      </c>
      <c r="AI40" s="2" t="s">
        <v>1401</v>
      </c>
      <c r="AJ40" s="2" t="s">
        <v>386</v>
      </c>
      <c r="AK40" s="2" t="s">
        <v>937</v>
      </c>
      <c r="AL40" s="2" t="s">
        <v>1373</v>
      </c>
      <c r="AN40" s="2" t="s">
        <v>1374</v>
      </c>
      <c r="AO40" s="2" t="s">
        <v>1400</v>
      </c>
      <c r="AP40" s="151">
        <v>0</v>
      </c>
      <c r="AQ40" s="150">
        <v>2541.96</v>
      </c>
      <c r="AR40" s="150">
        <v>122.32</v>
      </c>
      <c r="AS40" s="150">
        <v>1</v>
      </c>
      <c r="AT40" s="150">
        <v>3.109</v>
      </c>
      <c r="AU40" s="150">
        <v>3.109</v>
      </c>
      <c r="AX40" s="4" t="s">
        <v>164</v>
      </c>
      <c r="AY40" s="2" t="s">
        <v>37</v>
      </c>
      <c r="AZ40" s="164">
        <v>3.5232517475923802E-4</v>
      </c>
      <c r="BA40" s="164">
        <v>7.8676810046021796E-6</v>
      </c>
    </row>
    <row r="41" spans="1:53">
      <c r="A41" s="2" t="s">
        <v>26</v>
      </c>
      <c r="B41" s="2">
        <v>1182</v>
      </c>
      <c r="C41" s="2" t="s">
        <v>1383</v>
      </c>
      <c r="D41" s="2" t="s">
        <v>34</v>
      </c>
      <c r="E41" s="2" t="s">
        <v>1494</v>
      </c>
      <c r="F41" s="2" t="s">
        <v>1495</v>
      </c>
      <c r="G41" s="2" t="s">
        <v>1083</v>
      </c>
      <c r="I41" s="2" t="s">
        <v>31</v>
      </c>
      <c r="J41" s="2" t="s">
        <v>31</v>
      </c>
      <c r="K41" s="2" t="s">
        <v>497</v>
      </c>
      <c r="L41" s="2" t="s">
        <v>164</v>
      </c>
      <c r="M41" s="2" t="s">
        <v>386</v>
      </c>
      <c r="N41" s="27" t="s">
        <v>1383</v>
      </c>
      <c r="O41" s="2" t="s">
        <v>1460</v>
      </c>
      <c r="P41" s="2" t="s">
        <v>1387</v>
      </c>
      <c r="Q41" s="2" t="s">
        <v>217</v>
      </c>
      <c r="R41" s="2" t="s">
        <v>453</v>
      </c>
      <c r="S41" s="2" t="s">
        <v>35</v>
      </c>
      <c r="T41" s="150">
        <v>3.48</v>
      </c>
      <c r="U41" s="2" t="s">
        <v>203</v>
      </c>
      <c r="V41" s="162">
        <v>5.5E-2</v>
      </c>
      <c r="W41" s="2" t="s">
        <v>800</v>
      </c>
      <c r="X41" s="2" t="s">
        <v>1388</v>
      </c>
      <c r="Y41" s="172">
        <v>5.5</v>
      </c>
      <c r="Z41" s="164">
        <v>2.7709999999999999E-2</v>
      </c>
      <c r="AA41" s="2" t="s">
        <v>1399</v>
      </c>
      <c r="AB41" s="4" t="s">
        <v>458</v>
      </c>
      <c r="AG41" s="2" t="s">
        <v>164</v>
      </c>
      <c r="AJ41" s="2" t="s">
        <v>164</v>
      </c>
      <c r="AK41" s="2" t="s">
        <v>203</v>
      </c>
      <c r="AN41" s="2" t="s">
        <v>1374</v>
      </c>
      <c r="AQ41" s="150">
        <v>989.56</v>
      </c>
      <c r="AR41" s="150">
        <v>122.32</v>
      </c>
      <c r="AS41" s="150">
        <v>1</v>
      </c>
      <c r="AT41" s="150">
        <v>1.21</v>
      </c>
      <c r="AU41" s="150">
        <v>1.21</v>
      </c>
      <c r="AX41" s="4" t="s">
        <v>164</v>
      </c>
      <c r="AY41" s="2" t="s">
        <v>37</v>
      </c>
      <c r="AZ41" s="164">
        <v>1.3715672155925E-4</v>
      </c>
      <c r="BA41" s="164">
        <v>3.0628107503320801E-6</v>
      </c>
    </row>
    <row r="42" spans="1:53">
      <c r="A42" s="2" t="s">
        <v>26</v>
      </c>
      <c r="B42" s="2">
        <v>1182</v>
      </c>
      <c r="C42" s="2" t="s">
        <v>1383</v>
      </c>
      <c r="D42" s="2" t="s">
        <v>34</v>
      </c>
      <c r="E42" s="2" t="s">
        <v>1496</v>
      </c>
      <c r="F42" s="2" t="s">
        <v>1497</v>
      </c>
      <c r="G42" s="2" t="s">
        <v>1083</v>
      </c>
      <c r="I42" s="2" t="s">
        <v>31</v>
      </c>
      <c r="J42" s="2" t="s">
        <v>31</v>
      </c>
      <c r="K42" s="2" t="s">
        <v>497</v>
      </c>
      <c r="L42" s="2" t="s">
        <v>164</v>
      </c>
      <c r="M42" s="2" t="s">
        <v>386</v>
      </c>
      <c r="N42" s="190" t="s">
        <v>1383</v>
      </c>
      <c r="O42" s="2" t="s">
        <v>1498</v>
      </c>
      <c r="P42" s="2" t="s">
        <v>1387</v>
      </c>
      <c r="Q42" s="2" t="s">
        <v>217</v>
      </c>
      <c r="R42" s="2" t="s">
        <v>453</v>
      </c>
      <c r="S42" s="2" t="s">
        <v>35</v>
      </c>
      <c r="T42" s="150">
        <v>3.44</v>
      </c>
      <c r="U42" s="2" t="s">
        <v>1393</v>
      </c>
      <c r="V42" s="162">
        <v>5.5E-2</v>
      </c>
      <c r="W42" s="2" t="s">
        <v>800</v>
      </c>
      <c r="X42" s="2" t="s">
        <v>954</v>
      </c>
      <c r="Y42" s="172">
        <v>5.5</v>
      </c>
      <c r="Z42" s="164">
        <v>3.2640000000000002E-2</v>
      </c>
      <c r="AA42" s="2" t="s">
        <v>1399</v>
      </c>
      <c r="AB42" s="4" t="s">
        <v>458</v>
      </c>
      <c r="AC42" s="2" t="s">
        <v>529</v>
      </c>
      <c r="AD42" s="150">
        <v>5567</v>
      </c>
      <c r="AE42" s="150">
        <v>0.78</v>
      </c>
      <c r="AF42" s="2" t="s">
        <v>1400</v>
      </c>
      <c r="AG42" s="2" t="s">
        <v>164</v>
      </c>
      <c r="AI42" s="2" t="s">
        <v>1401</v>
      </c>
      <c r="AJ42" s="2" t="s">
        <v>386</v>
      </c>
      <c r="AK42" s="2" t="s">
        <v>937</v>
      </c>
      <c r="AL42" s="2" t="s">
        <v>1373</v>
      </c>
      <c r="AN42" s="2" t="s">
        <v>1374</v>
      </c>
      <c r="AO42" s="2" t="s">
        <v>1400</v>
      </c>
      <c r="AP42" s="151">
        <v>0</v>
      </c>
      <c r="AQ42" s="150">
        <v>6650.35</v>
      </c>
      <c r="AR42" s="150">
        <v>122.56</v>
      </c>
      <c r="AS42" s="150">
        <v>1</v>
      </c>
      <c r="AT42" s="150">
        <v>8.1509999999999998</v>
      </c>
      <c r="AU42" s="150">
        <v>8.1509999999999998</v>
      </c>
      <c r="AX42" s="4" t="s">
        <v>164</v>
      </c>
      <c r="AY42" s="2" t="s">
        <v>37</v>
      </c>
      <c r="AZ42" s="164">
        <v>9.2357197456384497E-4</v>
      </c>
      <c r="BA42" s="164">
        <v>2.0624043358878301E-5</v>
      </c>
    </row>
    <row r="43" spans="1:53">
      <c r="A43" s="2" t="s">
        <v>26</v>
      </c>
      <c r="B43" s="2">
        <v>1182</v>
      </c>
      <c r="C43" s="2" t="s">
        <v>1383</v>
      </c>
      <c r="D43" s="2" t="s">
        <v>34</v>
      </c>
      <c r="E43" s="2" t="s">
        <v>1499</v>
      </c>
      <c r="F43" s="2" t="s">
        <v>1500</v>
      </c>
      <c r="G43" s="2" t="s">
        <v>1083</v>
      </c>
      <c r="I43" s="2" t="s">
        <v>31</v>
      </c>
      <c r="J43" s="2" t="s">
        <v>31</v>
      </c>
      <c r="K43" s="2" t="s">
        <v>497</v>
      </c>
      <c r="L43" s="2" t="s">
        <v>164</v>
      </c>
      <c r="M43" s="2" t="s">
        <v>386</v>
      </c>
      <c r="N43" s="190" t="s">
        <v>1383</v>
      </c>
      <c r="O43" s="2" t="s">
        <v>1501</v>
      </c>
      <c r="P43" s="2" t="s">
        <v>1387</v>
      </c>
      <c r="Q43" s="2" t="s">
        <v>217</v>
      </c>
      <c r="R43" s="2" t="s">
        <v>453</v>
      </c>
      <c r="S43" s="2" t="s">
        <v>35</v>
      </c>
      <c r="T43" s="150">
        <v>3.44</v>
      </c>
      <c r="U43" s="2" t="s">
        <v>1393</v>
      </c>
      <c r="V43" s="162">
        <v>5.5E-2</v>
      </c>
      <c r="W43" s="2" t="s">
        <v>800</v>
      </c>
      <c r="X43" s="2" t="s">
        <v>954</v>
      </c>
      <c r="Y43" s="172">
        <v>5.5</v>
      </c>
      <c r="Z43" s="164">
        <v>3.27E-2</v>
      </c>
      <c r="AA43" s="2" t="s">
        <v>1399</v>
      </c>
      <c r="AB43" s="4" t="s">
        <v>458</v>
      </c>
      <c r="AC43" s="2" t="s">
        <v>529</v>
      </c>
      <c r="AD43" s="150">
        <v>5045</v>
      </c>
      <c r="AE43" s="150">
        <v>0.78</v>
      </c>
      <c r="AF43" s="2" t="s">
        <v>1400</v>
      </c>
      <c r="AG43" s="2" t="s">
        <v>164</v>
      </c>
      <c r="AI43" s="2" t="s">
        <v>1401</v>
      </c>
      <c r="AJ43" s="2" t="s">
        <v>386</v>
      </c>
      <c r="AK43" s="2" t="s">
        <v>937</v>
      </c>
      <c r="AL43" s="2" t="s">
        <v>1373</v>
      </c>
      <c r="AN43" s="2" t="s">
        <v>1374</v>
      </c>
      <c r="AO43" s="2" t="s">
        <v>1400</v>
      </c>
      <c r="AP43" s="151">
        <v>0</v>
      </c>
      <c r="AQ43" s="150">
        <v>12990.79</v>
      </c>
      <c r="AR43" s="150">
        <v>123.65</v>
      </c>
      <c r="AS43" s="150">
        <v>1</v>
      </c>
      <c r="AT43" s="150">
        <v>16.062999999999999</v>
      </c>
      <c r="AU43" s="150">
        <v>16.062999999999999</v>
      </c>
      <c r="AX43" s="4" t="s">
        <v>164</v>
      </c>
      <c r="AY43" s="2" t="s">
        <v>37</v>
      </c>
      <c r="AZ43" s="164">
        <v>1.8201499763880499E-3</v>
      </c>
      <c r="BA43" s="164">
        <v>4.0645291397474497E-5</v>
      </c>
    </row>
    <row r="44" spans="1:53">
      <c r="A44" s="2" t="s">
        <v>26</v>
      </c>
      <c r="B44" s="2">
        <v>1182</v>
      </c>
      <c r="C44" s="2" t="s">
        <v>1383</v>
      </c>
      <c r="D44" s="2" t="s">
        <v>34</v>
      </c>
      <c r="E44" s="2" t="s">
        <v>1502</v>
      </c>
      <c r="F44" s="2" t="s">
        <v>1503</v>
      </c>
      <c r="G44" s="2" t="s">
        <v>1083</v>
      </c>
      <c r="I44" s="2" t="s">
        <v>31</v>
      </c>
      <c r="J44" s="2" t="s">
        <v>31</v>
      </c>
      <c r="K44" s="2" t="s">
        <v>497</v>
      </c>
      <c r="L44" s="2" t="s">
        <v>164</v>
      </c>
      <c r="M44" s="2" t="s">
        <v>386</v>
      </c>
      <c r="N44" s="27" t="s">
        <v>1383</v>
      </c>
      <c r="O44" s="2" t="s">
        <v>1460</v>
      </c>
      <c r="P44" s="2" t="s">
        <v>1387</v>
      </c>
      <c r="Q44" s="2" t="s">
        <v>217</v>
      </c>
      <c r="R44" s="2" t="s">
        <v>453</v>
      </c>
      <c r="S44" s="2" t="s">
        <v>35</v>
      </c>
      <c r="T44" s="150">
        <v>3.44</v>
      </c>
      <c r="U44" s="2" t="s">
        <v>203</v>
      </c>
      <c r="V44" s="162">
        <v>5.5500000000000001E-2</v>
      </c>
      <c r="W44" s="2" t="s">
        <v>800</v>
      </c>
      <c r="X44" s="2" t="s">
        <v>1388</v>
      </c>
      <c r="Y44" s="172">
        <v>5.55</v>
      </c>
      <c r="Z44" s="164">
        <v>3.3029999999999997E-2</v>
      </c>
      <c r="AA44" s="2" t="s">
        <v>1399</v>
      </c>
      <c r="AB44" s="4" t="s">
        <v>458</v>
      </c>
      <c r="AG44" s="2" t="s">
        <v>164</v>
      </c>
      <c r="AJ44" s="2" t="s">
        <v>164</v>
      </c>
      <c r="AK44" s="2" t="s">
        <v>203</v>
      </c>
      <c r="AN44" s="2" t="s">
        <v>1374</v>
      </c>
      <c r="AQ44" s="150">
        <v>9578.7000000000007</v>
      </c>
      <c r="AR44" s="150">
        <v>126.77</v>
      </c>
      <c r="AS44" s="150">
        <v>1</v>
      </c>
      <c r="AT44" s="150">
        <v>12.143000000000001</v>
      </c>
      <c r="AU44" s="150">
        <v>12.143000000000001</v>
      </c>
      <c r="AX44" s="4" t="s">
        <v>164</v>
      </c>
      <c r="AY44" s="2" t="s">
        <v>37</v>
      </c>
      <c r="AZ44" s="164">
        <v>1.3759433489482699E-3</v>
      </c>
      <c r="BA44" s="164">
        <v>3.0725829788707698E-5</v>
      </c>
    </row>
    <row r="45" spans="1:53">
      <c r="A45" s="2" t="s">
        <v>26</v>
      </c>
      <c r="B45" s="2">
        <v>1182</v>
      </c>
      <c r="C45" s="2" t="s">
        <v>1383</v>
      </c>
      <c r="D45" s="2" t="s">
        <v>34</v>
      </c>
      <c r="E45" s="2" t="s">
        <v>1504</v>
      </c>
      <c r="F45" s="2" t="s">
        <v>1505</v>
      </c>
      <c r="G45" s="2" t="s">
        <v>1083</v>
      </c>
      <c r="I45" s="2" t="s">
        <v>31</v>
      </c>
      <c r="J45" s="2" t="s">
        <v>31</v>
      </c>
      <c r="K45" s="2" t="s">
        <v>497</v>
      </c>
      <c r="L45" s="2" t="s">
        <v>164</v>
      </c>
      <c r="M45" s="2" t="s">
        <v>386</v>
      </c>
      <c r="N45" s="190" t="s">
        <v>1383</v>
      </c>
      <c r="O45" s="2" t="s">
        <v>1506</v>
      </c>
      <c r="P45" s="2" t="s">
        <v>1392</v>
      </c>
      <c r="Q45" s="2" t="s">
        <v>98</v>
      </c>
      <c r="R45" s="2" t="s">
        <v>453</v>
      </c>
      <c r="S45" s="2" t="s">
        <v>35</v>
      </c>
      <c r="T45" s="150">
        <v>3.21</v>
      </c>
      <c r="U45" s="2" t="s">
        <v>1393</v>
      </c>
      <c r="V45" s="162">
        <v>5.5E-2</v>
      </c>
      <c r="W45" s="2" t="s">
        <v>800</v>
      </c>
      <c r="X45" s="2" t="s">
        <v>954</v>
      </c>
      <c r="Y45" s="172">
        <v>5.5</v>
      </c>
      <c r="Z45" s="164">
        <v>2.998E-2</v>
      </c>
      <c r="AA45" s="2" t="s">
        <v>1389</v>
      </c>
      <c r="AB45" s="4" t="s">
        <v>458</v>
      </c>
      <c r="AC45" s="2" t="s">
        <v>529</v>
      </c>
      <c r="AD45" s="150">
        <v>936</v>
      </c>
      <c r="AE45" s="150">
        <v>0.78</v>
      </c>
      <c r="AF45" s="2" t="s">
        <v>1400</v>
      </c>
      <c r="AG45" s="2" t="s">
        <v>164</v>
      </c>
      <c r="AI45" s="2" t="s">
        <v>1401</v>
      </c>
      <c r="AJ45" s="2" t="s">
        <v>386</v>
      </c>
      <c r="AK45" s="2" t="s">
        <v>937</v>
      </c>
      <c r="AL45" s="2" t="s">
        <v>1373</v>
      </c>
      <c r="AN45" s="2" t="s">
        <v>1374</v>
      </c>
      <c r="AO45" s="2" t="s">
        <v>1400</v>
      </c>
      <c r="AP45" s="151">
        <v>0</v>
      </c>
      <c r="AQ45" s="150">
        <v>4203.88</v>
      </c>
      <c r="AR45" s="150">
        <v>124.99</v>
      </c>
      <c r="AS45" s="150">
        <v>1</v>
      </c>
      <c r="AT45" s="150">
        <v>5.2539999999999996</v>
      </c>
      <c r="AU45" s="150">
        <v>5.2539999999999996</v>
      </c>
      <c r="AX45" s="4" t="s">
        <v>164</v>
      </c>
      <c r="AY45" s="2" t="s">
        <v>37</v>
      </c>
      <c r="AZ45" s="164">
        <v>5.9539210287858101E-4</v>
      </c>
      <c r="BA45" s="164">
        <v>1.32955447799296E-5</v>
      </c>
    </row>
    <row r="46" spans="1:53">
      <c r="A46" s="2" t="s">
        <v>26</v>
      </c>
      <c r="B46" s="2">
        <v>1182</v>
      </c>
      <c r="C46" s="2" t="s">
        <v>1383</v>
      </c>
      <c r="D46" s="2" t="s">
        <v>34</v>
      </c>
      <c r="E46" s="2" t="s">
        <v>1507</v>
      </c>
      <c r="F46" s="2" t="s">
        <v>1508</v>
      </c>
      <c r="G46" s="2" t="s">
        <v>1083</v>
      </c>
      <c r="I46" s="2" t="s">
        <v>31</v>
      </c>
      <c r="J46" s="2" t="s">
        <v>31</v>
      </c>
      <c r="K46" s="2" t="s">
        <v>497</v>
      </c>
      <c r="L46" s="2" t="s">
        <v>164</v>
      </c>
      <c r="M46" s="2" t="s">
        <v>386</v>
      </c>
      <c r="N46" s="190" t="s">
        <v>1383</v>
      </c>
      <c r="O46" s="2" t="s">
        <v>1509</v>
      </c>
      <c r="P46" s="2" t="s">
        <v>1387</v>
      </c>
      <c r="Q46" s="2" t="s">
        <v>217</v>
      </c>
      <c r="R46" s="2" t="s">
        <v>453</v>
      </c>
      <c r="S46" s="2" t="s">
        <v>35</v>
      </c>
      <c r="T46" s="150">
        <v>3.46</v>
      </c>
      <c r="U46" s="2" t="s">
        <v>1393</v>
      </c>
      <c r="V46" s="162">
        <v>5.5E-2</v>
      </c>
      <c r="W46" s="2" t="s">
        <v>800</v>
      </c>
      <c r="X46" s="2" t="s">
        <v>954</v>
      </c>
      <c r="Y46" s="172">
        <v>5.5</v>
      </c>
      <c r="Z46" s="164">
        <v>3.2870000000000003E-2</v>
      </c>
      <c r="AA46" s="2" t="s">
        <v>1389</v>
      </c>
      <c r="AB46" s="4" t="s">
        <v>458</v>
      </c>
      <c r="AC46" s="2" t="s">
        <v>529</v>
      </c>
      <c r="AD46" s="150">
        <v>1524</v>
      </c>
      <c r="AE46" s="150">
        <v>0.78</v>
      </c>
      <c r="AF46" s="2" t="s">
        <v>1400</v>
      </c>
      <c r="AG46" s="2" t="s">
        <v>164</v>
      </c>
      <c r="AI46" s="2" t="s">
        <v>1401</v>
      </c>
      <c r="AJ46" s="2" t="s">
        <v>386</v>
      </c>
      <c r="AK46" s="2" t="s">
        <v>937</v>
      </c>
      <c r="AL46" s="2" t="s">
        <v>1373</v>
      </c>
      <c r="AN46" s="2" t="s">
        <v>1374</v>
      </c>
      <c r="AO46" s="2" t="s">
        <v>1400</v>
      </c>
      <c r="AP46" s="151">
        <v>0</v>
      </c>
      <c r="AQ46" s="150">
        <v>3924.4</v>
      </c>
      <c r="AR46" s="150">
        <v>125.3</v>
      </c>
      <c r="AS46" s="150">
        <v>1</v>
      </c>
      <c r="AT46" s="150">
        <v>4.9169999999999998</v>
      </c>
      <c r="AU46" s="150">
        <v>4.9169999999999998</v>
      </c>
      <c r="AX46" s="4" t="s">
        <v>164</v>
      </c>
      <c r="AY46" s="2" t="s">
        <v>37</v>
      </c>
      <c r="AZ46" s="164">
        <v>5.5718809598100398E-4</v>
      </c>
      <c r="BA46" s="164">
        <v>1.2442421129105701E-5</v>
      </c>
    </row>
    <row r="47" spans="1:53">
      <c r="A47" s="2" t="s">
        <v>26</v>
      </c>
      <c r="B47" s="2">
        <v>1182</v>
      </c>
      <c r="C47" s="2" t="s">
        <v>1383</v>
      </c>
      <c r="D47" s="2" t="s">
        <v>34</v>
      </c>
      <c r="E47" s="2" t="s">
        <v>1510</v>
      </c>
      <c r="F47" s="2" t="s">
        <v>1511</v>
      </c>
      <c r="G47" s="2" t="s">
        <v>1083</v>
      </c>
      <c r="I47" s="2" t="s">
        <v>31</v>
      </c>
      <c r="J47" s="2" t="s">
        <v>31</v>
      </c>
      <c r="K47" s="2" t="s">
        <v>497</v>
      </c>
      <c r="L47" s="2" t="s">
        <v>164</v>
      </c>
      <c r="M47" s="2" t="s">
        <v>386</v>
      </c>
      <c r="N47" s="27" t="s">
        <v>1383</v>
      </c>
      <c r="O47" s="2" t="s">
        <v>1460</v>
      </c>
      <c r="P47" s="2" t="s">
        <v>1387</v>
      </c>
      <c r="Q47" s="2" t="s">
        <v>217</v>
      </c>
      <c r="R47" s="2" t="s">
        <v>453</v>
      </c>
      <c r="S47" s="2" t="s">
        <v>35</v>
      </c>
      <c r="T47" s="150">
        <v>3.48</v>
      </c>
      <c r="U47" s="2" t="s">
        <v>203</v>
      </c>
      <c r="V47" s="162">
        <v>5.5E-2</v>
      </c>
      <c r="W47" s="2" t="s">
        <v>800</v>
      </c>
      <c r="X47" s="2" t="s">
        <v>1388</v>
      </c>
      <c r="Y47" s="172">
        <v>5.5</v>
      </c>
      <c r="Z47" s="164">
        <v>3.2680000000000001E-2</v>
      </c>
      <c r="AA47" s="2" t="s">
        <v>1399</v>
      </c>
      <c r="AB47" s="4" t="s">
        <v>458</v>
      </c>
      <c r="AG47" s="2" t="s">
        <v>164</v>
      </c>
      <c r="AJ47" s="2" t="s">
        <v>164</v>
      </c>
      <c r="AK47" s="2" t="s">
        <v>203</v>
      </c>
      <c r="AN47" s="2" t="s">
        <v>1374</v>
      </c>
      <c r="AQ47" s="150">
        <v>5023.91</v>
      </c>
      <c r="AR47" s="150">
        <v>123.93</v>
      </c>
      <c r="AS47" s="150">
        <v>1</v>
      </c>
      <c r="AT47" s="150">
        <v>6.226</v>
      </c>
      <c r="AU47" s="150">
        <v>6.226</v>
      </c>
      <c r="AX47" s="4" t="s">
        <v>164</v>
      </c>
      <c r="AY47" s="2" t="s">
        <v>37</v>
      </c>
      <c r="AZ47" s="164">
        <v>7.0549800784589596E-4</v>
      </c>
      <c r="BA47" s="164">
        <v>1.5754290844833499E-5</v>
      </c>
    </row>
    <row r="48" spans="1:53">
      <c r="A48" s="2" t="s">
        <v>26</v>
      </c>
      <c r="B48" s="2">
        <v>1182</v>
      </c>
      <c r="C48" s="2" t="s">
        <v>1512</v>
      </c>
      <c r="D48" s="2" t="s">
        <v>34</v>
      </c>
      <c r="E48" s="2" t="s">
        <v>1513</v>
      </c>
      <c r="F48" s="2" t="s">
        <v>1514</v>
      </c>
      <c r="G48" s="2" t="s">
        <v>1083</v>
      </c>
      <c r="I48" s="2" t="s">
        <v>31</v>
      </c>
      <c r="J48" s="2" t="s">
        <v>31</v>
      </c>
      <c r="K48" s="2" t="s">
        <v>529</v>
      </c>
      <c r="L48" s="2" t="s">
        <v>164</v>
      </c>
      <c r="M48" s="2" t="s">
        <v>386</v>
      </c>
      <c r="N48" s="190">
        <v>513184192</v>
      </c>
      <c r="O48" s="2" t="s">
        <v>1515</v>
      </c>
      <c r="P48" s="2" t="s">
        <v>1392</v>
      </c>
      <c r="Q48" s="2" t="s">
        <v>98</v>
      </c>
      <c r="R48" s="2" t="s">
        <v>453</v>
      </c>
      <c r="S48" s="2" t="s">
        <v>35</v>
      </c>
      <c r="T48" s="150">
        <v>2.0299999999999998</v>
      </c>
      <c r="U48" s="2" t="s">
        <v>1393</v>
      </c>
      <c r="V48" s="162">
        <v>2.562E-2</v>
      </c>
      <c r="W48" s="2" t="s">
        <v>800</v>
      </c>
      <c r="X48" s="2" t="s">
        <v>954</v>
      </c>
      <c r="Y48" s="172">
        <v>2.5619999999999998</v>
      </c>
      <c r="Z48" s="164">
        <v>2.1350000000000001E-2</v>
      </c>
      <c r="AA48" s="2" t="s">
        <v>1516</v>
      </c>
      <c r="AB48" s="4" t="s">
        <v>458</v>
      </c>
      <c r="AG48" s="2" t="s">
        <v>164</v>
      </c>
      <c r="AI48" s="2" t="s">
        <v>1517</v>
      </c>
      <c r="AJ48" s="2" t="s">
        <v>386</v>
      </c>
      <c r="AK48" s="2" t="s">
        <v>937</v>
      </c>
      <c r="AL48" s="2" t="s">
        <v>1373</v>
      </c>
      <c r="AN48" s="2" t="s">
        <v>1374</v>
      </c>
      <c r="AQ48" s="150">
        <v>165572.01</v>
      </c>
      <c r="AR48" s="150">
        <v>113.36</v>
      </c>
      <c r="AS48" s="150">
        <v>1</v>
      </c>
      <c r="AT48" s="150">
        <v>187.69200000000001</v>
      </c>
      <c r="AU48" s="150">
        <v>187.69200000000001</v>
      </c>
      <c r="AX48" s="4" t="s">
        <v>164</v>
      </c>
      <c r="AY48" s="2" t="s">
        <v>37</v>
      </c>
      <c r="AZ48" s="164">
        <v>2.1267882370335001E-2</v>
      </c>
      <c r="BA48" s="164">
        <v>4.7492749914207201E-4</v>
      </c>
    </row>
    <row r="49" spans="1:53">
      <c r="A49" s="2" t="s">
        <v>26</v>
      </c>
      <c r="B49" s="2">
        <v>1182</v>
      </c>
      <c r="C49" s="2" t="s">
        <v>1518</v>
      </c>
      <c r="D49" s="2" t="s">
        <v>1376</v>
      </c>
      <c r="E49" s="2" t="s">
        <v>1519</v>
      </c>
      <c r="F49" s="2" t="s">
        <v>1520</v>
      </c>
      <c r="G49" s="2" t="s">
        <v>1083</v>
      </c>
      <c r="H49" s="2" t="s">
        <v>866</v>
      </c>
      <c r="I49" s="2" t="s">
        <v>31</v>
      </c>
      <c r="J49" s="2" t="s">
        <v>31</v>
      </c>
      <c r="K49" s="2" t="s">
        <v>490</v>
      </c>
      <c r="L49" s="2" t="s">
        <v>164</v>
      </c>
      <c r="M49" s="2" t="s">
        <v>386</v>
      </c>
      <c r="N49" s="190" t="s">
        <v>1521</v>
      </c>
      <c r="O49" s="2" t="s">
        <v>1522</v>
      </c>
      <c r="P49" s="2" t="s">
        <v>1523</v>
      </c>
      <c r="Q49" s="2" t="s">
        <v>203</v>
      </c>
      <c r="R49" s="2" t="s">
        <v>453</v>
      </c>
      <c r="S49" s="2" t="s">
        <v>35</v>
      </c>
      <c r="T49" s="150">
        <v>0.16</v>
      </c>
      <c r="U49" s="2" t="s">
        <v>1393</v>
      </c>
      <c r="V49" s="162">
        <v>0.1065</v>
      </c>
      <c r="W49" s="2" t="s">
        <v>800</v>
      </c>
      <c r="X49" s="2" t="s">
        <v>949</v>
      </c>
      <c r="Y49" s="172">
        <v>4.6500000000000004</v>
      </c>
      <c r="Z49" s="164">
        <v>0.10203</v>
      </c>
      <c r="AA49" s="2" t="s">
        <v>1524</v>
      </c>
      <c r="AB49" s="4" t="s">
        <v>458</v>
      </c>
      <c r="AC49" s="2" t="s">
        <v>819</v>
      </c>
      <c r="AD49" s="150">
        <v>817674</v>
      </c>
      <c r="AE49" s="150">
        <v>0.55000000000000004</v>
      </c>
      <c r="AF49" s="2" t="s">
        <v>1525</v>
      </c>
      <c r="AG49" s="2" t="s">
        <v>386</v>
      </c>
      <c r="AH49" s="2" t="s">
        <v>826</v>
      </c>
      <c r="AI49" s="2" t="s">
        <v>1526</v>
      </c>
      <c r="AJ49" s="2" t="s">
        <v>164</v>
      </c>
      <c r="AK49" s="2" t="s">
        <v>937</v>
      </c>
      <c r="AL49" s="2" t="s">
        <v>1373</v>
      </c>
      <c r="AN49" s="2" t="s">
        <v>1374</v>
      </c>
      <c r="AO49" s="2" t="s">
        <v>1527</v>
      </c>
      <c r="AP49" s="151">
        <v>0</v>
      </c>
      <c r="AQ49" s="150">
        <v>337568.83</v>
      </c>
      <c r="AR49" s="150">
        <v>103.96</v>
      </c>
      <c r="AS49" s="150">
        <v>1</v>
      </c>
      <c r="AT49" s="150">
        <v>350.93700000000001</v>
      </c>
      <c r="AU49" s="150">
        <v>350.93700000000001</v>
      </c>
      <c r="AX49" s="4" t="s">
        <v>164</v>
      </c>
      <c r="AY49" s="2" t="s">
        <v>37</v>
      </c>
      <c r="AZ49" s="164">
        <v>3.9765468240158898E-2</v>
      </c>
      <c r="BA49" s="164">
        <v>8.87992234236468E-4</v>
      </c>
    </row>
    <row r="50" spans="1:53">
      <c r="A50" s="2" t="s">
        <v>26</v>
      </c>
      <c r="B50" s="2">
        <v>1182</v>
      </c>
      <c r="C50" s="2" t="s">
        <v>1528</v>
      </c>
      <c r="D50" s="2" t="s">
        <v>1376</v>
      </c>
      <c r="E50" s="2" t="s">
        <v>1529</v>
      </c>
      <c r="F50" s="2" t="s">
        <v>1530</v>
      </c>
      <c r="G50" s="2" t="s">
        <v>1083</v>
      </c>
      <c r="H50" s="2" t="s">
        <v>866</v>
      </c>
      <c r="I50" s="2" t="s">
        <v>31</v>
      </c>
      <c r="J50" s="2" t="s">
        <v>31</v>
      </c>
      <c r="K50" s="2" t="s">
        <v>507</v>
      </c>
      <c r="L50" s="2" t="s">
        <v>164</v>
      </c>
      <c r="M50" s="2" t="s">
        <v>386</v>
      </c>
      <c r="N50" s="190" t="s">
        <v>1365</v>
      </c>
      <c r="O50" s="2" t="s">
        <v>1369</v>
      </c>
      <c r="P50" s="2" t="s">
        <v>1531</v>
      </c>
      <c r="Q50" s="2" t="s">
        <v>217</v>
      </c>
      <c r="R50" s="2" t="s">
        <v>453</v>
      </c>
      <c r="S50" s="2" t="s">
        <v>35</v>
      </c>
      <c r="T50" s="150">
        <v>0.53</v>
      </c>
      <c r="U50" s="2" t="s">
        <v>1393</v>
      </c>
      <c r="V50" s="162">
        <v>4.2500000000000003E-2</v>
      </c>
      <c r="W50" s="2" t="s">
        <v>800</v>
      </c>
      <c r="X50" s="2" t="s">
        <v>949</v>
      </c>
      <c r="Y50" s="172">
        <v>4.25</v>
      </c>
      <c r="Z50" s="164">
        <v>7.6039999999999996E-2</v>
      </c>
      <c r="AA50" s="2" t="s">
        <v>1532</v>
      </c>
      <c r="AB50" s="4" t="s">
        <v>458</v>
      </c>
      <c r="AC50" s="2" t="s">
        <v>819</v>
      </c>
      <c r="AD50" s="150">
        <v>67322</v>
      </c>
      <c r="AE50" s="150">
        <v>0.72</v>
      </c>
      <c r="AF50" s="2" t="s">
        <v>1533</v>
      </c>
      <c r="AG50" s="2" t="s">
        <v>386</v>
      </c>
      <c r="AH50" s="2" t="s">
        <v>828</v>
      </c>
      <c r="AI50" s="2" t="s">
        <v>1372</v>
      </c>
      <c r="AJ50" s="2" t="s">
        <v>386</v>
      </c>
      <c r="AK50" s="2" t="s">
        <v>937</v>
      </c>
      <c r="AL50" s="2" t="s">
        <v>1373</v>
      </c>
      <c r="AN50" s="2" t="s">
        <v>1374</v>
      </c>
      <c r="AO50" s="2" t="s">
        <v>1533</v>
      </c>
      <c r="AP50" s="151">
        <v>0</v>
      </c>
      <c r="AQ50" s="150">
        <v>485000</v>
      </c>
      <c r="AR50" s="150">
        <v>104.5</v>
      </c>
      <c r="AS50" s="150">
        <v>1</v>
      </c>
      <c r="AT50" s="150">
        <v>506.82499999999999</v>
      </c>
      <c r="AU50" s="150">
        <v>506.82499999999999</v>
      </c>
      <c r="AX50" s="4" t="s">
        <v>386</v>
      </c>
      <c r="AY50" s="2" t="s">
        <v>37</v>
      </c>
      <c r="AZ50" s="164">
        <v>5.7429564162831702E-2</v>
      </c>
      <c r="BA50" s="164">
        <v>1.28244452408278E-3</v>
      </c>
    </row>
    <row r="51" spans="1:53">
      <c r="A51" s="2" t="s">
        <v>26</v>
      </c>
      <c r="B51" s="2">
        <v>1182</v>
      </c>
      <c r="C51" s="2" t="s">
        <v>1534</v>
      </c>
      <c r="D51" s="2" t="s">
        <v>1376</v>
      </c>
      <c r="E51" s="2" t="s">
        <v>1535</v>
      </c>
      <c r="F51" s="2" t="s">
        <v>1536</v>
      </c>
      <c r="G51" s="2" t="s">
        <v>1083</v>
      </c>
      <c r="I51" s="2" t="s">
        <v>31</v>
      </c>
      <c r="J51" s="2" t="s">
        <v>31</v>
      </c>
      <c r="K51" s="2" t="s">
        <v>484</v>
      </c>
      <c r="L51" s="2" t="s">
        <v>164</v>
      </c>
      <c r="M51" s="2" t="s">
        <v>386</v>
      </c>
      <c r="N51" s="190">
        <v>512065202</v>
      </c>
      <c r="O51" s="2" t="s">
        <v>1537</v>
      </c>
      <c r="P51" s="2" t="s">
        <v>1523</v>
      </c>
      <c r="Q51" s="2" t="s">
        <v>203</v>
      </c>
      <c r="R51" s="2" t="s">
        <v>453</v>
      </c>
      <c r="S51" s="2" t="s">
        <v>35</v>
      </c>
      <c r="T51" s="150">
        <v>3.16</v>
      </c>
      <c r="U51" s="2" t="s">
        <v>203</v>
      </c>
      <c r="V51" s="162">
        <v>7.2499999999999995E-2</v>
      </c>
      <c r="W51" s="2" t="s">
        <v>800</v>
      </c>
      <c r="X51" s="2" t="s">
        <v>954</v>
      </c>
      <c r="Y51" s="172">
        <v>7.25</v>
      </c>
      <c r="Z51" s="164">
        <v>0.13708999999999999</v>
      </c>
      <c r="AA51" s="2" t="s">
        <v>1538</v>
      </c>
      <c r="AB51" s="4" t="s">
        <v>458</v>
      </c>
      <c r="AG51" s="2" t="s">
        <v>386</v>
      </c>
      <c r="AI51" s="2" t="s">
        <v>1539</v>
      </c>
      <c r="AJ51" s="2" t="s">
        <v>386</v>
      </c>
      <c r="AK51" s="2" t="s">
        <v>937</v>
      </c>
      <c r="AL51" s="2" t="s">
        <v>1373</v>
      </c>
      <c r="AN51" s="2" t="s">
        <v>1374</v>
      </c>
      <c r="AQ51" s="150">
        <v>176549</v>
      </c>
      <c r="AR51" s="150">
        <v>99.78</v>
      </c>
      <c r="AS51" s="150">
        <v>1</v>
      </c>
      <c r="AT51" s="150">
        <v>176.161</v>
      </c>
      <c r="AU51" s="150">
        <v>176.161</v>
      </c>
      <c r="AX51" s="4" t="s">
        <v>386</v>
      </c>
      <c r="AY51" s="2" t="s">
        <v>37</v>
      </c>
      <c r="AZ51" s="164">
        <v>1.99611819320521E-2</v>
      </c>
      <c r="BA51" s="164">
        <v>4.45747914617609E-4</v>
      </c>
    </row>
    <row r="52" spans="1:53">
      <c r="A52" s="2" t="s">
        <v>26</v>
      </c>
      <c r="B52" s="2">
        <v>1182</v>
      </c>
      <c r="C52" s="2" t="s">
        <v>1540</v>
      </c>
      <c r="D52" s="2" t="s">
        <v>1376</v>
      </c>
      <c r="E52" s="2" t="s">
        <v>1541</v>
      </c>
      <c r="F52" s="2" t="s">
        <v>1542</v>
      </c>
      <c r="G52" s="2" t="s">
        <v>1083</v>
      </c>
      <c r="I52" s="2" t="s">
        <v>31</v>
      </c>
      <c r="J52" s="2" t="s">
        <v>31</v>
      </c>
      <c r="K52" s="2" t="s">
        <v>486</v>
      </c>
      <c r="L52" s="2" t="s">
        <v>164</v>
      </c>
      <c r="M52" s="2" t="s">
        <v>386</v>
      </c>
      <c r="N52" s="190"/>
      <c r="O52" s="2" t="s">
        <v>1543</v>
      </c>
      <c r="P52" s="2" t="s">
        <v>1523</v>
      </c>
      <c r="Q52" s="2" t="s">
        <v>203</v>
      </c>
      <c r="R52" s="2" t="s">
        <v>453</v>
      </c>
      <c r="S52" s="2" t="s">
        <v>35</v>
      </c>
      <c r="T52" s="150">
        <v>1.01</v>
      </c>
      <c r="U52" s="2" t="s">
        <v>1393</v>
      </c>
      <c r="V52" s="162">
        <v>1.7999999999999999E-2</v>
      </c>
      <c r="W52" s="2" t="s">
        <v>800</v>
      </c>
      <c r="X52" s="2" t="s">
        <v>1388</v>
      </c>
      <c r="Y52" s="172">
        <v>1.8</v>
      </c>
      <c r="Z52" s="164">
        <v>5.3350000000000002E-2</v>
      </c>
      <c r="AA52" s="2" t="s">
        <v>1544</v>
      </c>
      <c r="AB52" s="4" t="s">
        <v>458</v>
      </c>
      <c r="AG52" s="2" t="s">
        <v>164</v>
      </c>
      <c r="AJ52" s="2" t="s">
        <v>164</v>
      </c>
      <c r="AK52" s="2" t="s">
        <v>203</v>
      </c>
      <c r="AN52" s="2" t="s">
        <v>1374</v>
      </c>
      <c r="AQ52" s="150">
        <v>250000</v>
      </c>
      <c r="AR52" s="150">
        <v>98.44</v>
      </c>
      <c r="AS52" s="150">
        <v>1</v>
      </c>
      <c r="AT52" s="150">
        <v>246.1</v>
      </c>
      <c r="AU52" s="150">
        <v>246.1</v>
      </c>
      <c r="AX52" s="4" t="s">
        <v>164</v>
      </c>
      <c r="AY52" s="2" t="s">
        <v>37</v>
      </c>
      <c r="AZ52" s="164">
        <v>2.7886185054945702E-2</v>
      </c>
      <c r="BA52" s="164">
        <v>6.2271907932081401E-4</v>
      </c>
    </row>
    <row r="53" spans="1:53">
      <c r="A53" s="2" t="s">
        <v>26</v>
      </c>
      <c r="B53" s="2">
        <v>1182</v>
      </c>
      <c r="C53" s="2" t="s">
        <v>1540</v>
      </c>
      <c r="D53" s="2" t="s">
        <v>1376</v>
      </c>
      <c r="E53" s="2" t="s">
        <v>1545</v>
      </c>
      <c r="F53" s="2" t="s">
        <v>1546</v>
      </c>
      <c r="G53" s="2" t="s">
        <v>1083</v>
      </c>
      <c r="I53" s="2" t="s">
        <v>31</v>
      </c>
      <c r="J53" s="2" t="s">
        <v>31</v>
      </c>
      <c r="K53" s="2" t="s">
        <v>486</v>
      </c>
      <c r="L53" s="2" t="s">
        <v>164</v>
      </c>
      <c r="M53" s="2" t="s">
        <v>386</v>
      </c>
      <c r="N53" s="190"/>
      <c r="O53" s="2" t="s">
        <v>1543</v>
      </c>
      <c r="P53" s="2" t="s">
        <v>1523</v>
      </c>
      <c r="Q53" s="2" t="s">
        <v>203</v>
      </c>
      <c r="R53" s="2" t="s">
        <v>453</v>
      </c>
      <c r="S53" s="2" t="s">
        <v>35</v>
      </c>
      <c r="T53" s="150">
        <v>1.51</v>
      </c>
      <c r="U53" s="2" t="s">
        <v>1393</v>
      </c>
      <c r="V53" s="162">
        <v>2.8000000000000001E-2</v>
      </c>
      <c r="W53" s="2" t="s">
        <v>800</v>
      </c>
      <c r="X53" s="2" t="s">
        <v>1388</v>
      </c>
      <c r="Y53" s="172">
        <v>2.8</v>
      </c>
      <c r="Z53" s="164">
        <v>5.6939999999999998E-2</v>
      </c>
      <c r="AA53" s="2" t="s">
        <v>1547</v>
      </c>
      <c r="AB53" s="4" t="s">
        <v>458</v>
      </c>
      <c r="AG53" s="2" t="s">
        <v>164</v>
      </c>
      <c r="AJ53" s="2" t="s">
        <v>164</v>
      </c>
      <c r="AK53" s="2" t="s">
        <v>203</v>
      </c>
      <c r="AN53" s="2" t="s">
        <v>1374</v>
      </c>
      <c r="AQ53" s="150">
        <v>250000</v>
      </c>
      <c r="AR53" s="150">
        <v>96.71</v>
      </c>
      <c r="AS53" s="150">
        <v>1</v>
      </c>
      <c r="AT53" s="150">
        <v>241.77500000000001</v>
      </c>
      <c r="AU53" s="150">
        <v>241.77500000000001</v>
      </c>
      <c r="AX53" s="4" t="s">
        <v>164</v>
      </c>
      <c r="AY53" s="2" t="s">
        <v>37</v>
      </c>
      <c r="AZ53" s="164">
        <v>2.7396108864931001E-2</v>
      </c>
      <c r="BA53" s="164">
        <v>6.1177531654932902E-4</v>
      </c>
    </row>
    <row r="54" spans="1:53">
      <c r="A54" s="2" t="s">
        <v>26</v>
      </c>
      <c r="B54" s="2">
        <v>1182</v>
      </c>
      <c r="C54" s="2" t="s">
        <v>1548</v>
      </c>
      <c r="D54" s="2" t="s">
        <v>1376</v>
      </c>
      <c r="E54" s="2" t="s">
        <v>1549</v>
      </c>
      <c r="F54" s="2" t="s">
        <v>1550</v>
      </c>
      <c r="G54" s="2" t="s">
        <v>1083</v>
      </c>
      <c r="I54" s="2" t="s">
        <v>31</v>
      </c>
      <c r="J54" s="2" t="s">
        <v>31</v>
      </c>
      <c r="K54" s="2" t="s">
        <v>483</v>
      </c>
      <c r="L54" s="2" t="s">
        <v>164</v>
      </c>
      <c r="M54" s="2" t="s">
        <v>386</v>
      </c>
      <c r="N54" s="190">
        <v>513846667</v>
      </c>
      <c r="O54" s="2" t="s">
        <v>1379</v>
      </c>
      <c r="P54" s="2" t="s">
        <v>1380</v>
      </c>
      <c r="Q54" s="2" t="s">
        <v>98</v>
      </c>
      <c r="R54" s="2" t="s">
        <v>453</v>
      </c>
      <c r="S54" s="2" t="s">
        <v>35</v>
      </c>
      <c r="T54" s="150">
        <v>5.0999999999999996</v>
      </c>
      <c r="U54" s="2" t="s">
        <v>203</v>
      </c>
      <c r="V54" s="162">
        <v>3.5499999999999997E-2</v>
      </c>
      <c r="W54" s="2" t="s">
        <v>800</v>
      </c>
      <c r="X54" s="2" t="s">
        <v>954</v>
      </c>
      <c r="Y54" s="172">
        <v>3.55</v>
      </c>
      <c r="Z54" s="164">
        <v>3.058E-2</v>
      </c>
      <c r="AA54" s="2" t="s">
        <v>1381</v>
      </c>
      <c r="AB54" s="4" t="s">
        <v>458</v>
      </c>
      <c r="AG54" s="2" t="s">
        <v>164</v>
      </c>
      <c r="AI54" s="2" t="s">
        <v>1382</v>
      </c>
      <c r="AJ54" s="2" t="s">
        <v>386</v>
      </c>
      <c r="AK54" s="2" t="s">
        <v>937</v>
      </c>
      <c r="AL54" s="2" t="s">
        <v>1373</v>
      </c>
      <c r="AN54" s="2" t="s">
        <v>1374</v>
      </c>
      <c r="AQ54" s="150">
        <v>733945.9</v>
      </c>
      <c r="AR54" s="150">
        <v>107.9</v>
      </c>
      <c r="AS54" s="150">
        <v>1</v>
      </c>
      <c r="AT54" s="150">
        <v>791.928</v>
      </c>
      <c r="AU54" s="150">
        <v>791.928</v>
      </c>
      <c r="AX54" s="4" t="s">
        <v>164</v>
      </c>
      <c r="AY54" s="2" t="s">
        <v>37</v>
      </c>
      <c r="AZ54" s="164">
        <v>8.9735230928681395E-2</v>
      </c>
      <c r="BA54" s="164">
        <v>2.0038538895315299E-3</v>
      </c>
    </row>
    <row r="55" spans="1:53">
      <c r="A55" s="2" t="s">
        <v>26</v>
      </c>
      <c r="B55" s="2">
        <v>1182</v>
      </c>
      <c r="C55" s="2" t="s">
        <v>1551</v>
      </c>
      <c r="D55" s="2" t="s">
        <v>1376</v>
      </c>
      <c r="E55" s="2" t="s">
        <v>1552</v>
      </c>
      <c r="F55" s="2" t="s">
        <v>1553</v>
      </c>
      <c r="G55" s="2" t="s">
        <v>1082</v>
      </c>
      <c r="I55" s="2" t="s">
        <v>31</v>
      </c>
      <c r="J55" s="2" t="s">
        <v>31</v>
      </c>
      <c r="K55" s="2" t="s">
        <v>522</v>
      </c>
      <c r="L55" s="2" t="s">
        <v>164</v>
      </c>
      <c r="M55" s="2" t="s">
        <v>164</v>
      </c>
      <c r="N55" s="190"/>
      <c r="O55" s="2" t="s">
        <v>1554</v>
      </c>
      <c r="P55" s="2" t="s">
        <v>1555</v>
      </c>
      <c r="Q55" s="2" t="s">
        <v>34</v>
      </c>
      <c r="R55" s="2" t="s">
        <v>453</v>
      </c>
      <c r="S55" s="2" t="s">
        <v>35</v>
      </c>
      <c r="T55" s="150">
        <v>2.27</v>
      </c>
      <c r="U55" s="2" t="s">
        <v>203</v>
      </c>
      <c r="V55" s="162">
        <v>5.3964955699999997E-2</v>
      </c>
      <c r="W55" s="2" t="s">
        <v>800</v>
      </c>
      <c r="X55" s="2" t="s">
        <v>1388</v>
      </c>
      <c r="Z55" s="164">
        <v>5.3499999999999999E-2</v>
      </c>
      <c r="AB55" s="4" t="s">
        <v>458</v>
      </c>
      <c r="AG55" s="2" t="s">
        <v>164</v>
      </c>
      <c r="AJ55" s="2" t="s">
        <v>164</v>
      </c>
      <c r="AK55" s="2" t="s">
        <v>203</v>
      </c>
      <c r="AN55" s="2" t="s">
        <v>1374</v>
      </c>
      <c r="AQ55" s="150">
        <v>5440045.8399999999</v>
      </c>
      <c r="AR55" s="150">
        <v>101.081</v>
      </c>
      <c r="AS55" s="150">
        <v>1</v>
      </c>
      <c r="AT55" s="150">
        <v>5498.8590000000004</v>
      </c>
      <c r="AU55" s="150">
        <v>5498.8590000000004</v>
      </c>
      <c r="AX55" s="4" t="s">
        <v>164</v>
      </c>
      <c r="AY55" s="2" t="s">
        <v>37</v>
      </c>
      <c r="AZ55" s="164">
        <v>0.62308900439416004</v>
      </c>
      <c r="BA55" s="164">
        <v>1.3914037018212999E-2</v>
      </c>
    </row>
    <row r="56" spans="1:53">
      <c r="A56" s="2" t="s">
        <v>112</v>
      </c>
      <c r="B56" s="2">
        <v>12905</v>
      </c>
      <c r="C56" s="2" t="s">
        <v>1528</v>
      </c>
      <c r="D56" s="2" t="s">
        <v>1376</v>
      </c>
      <c r="E56" s="2" t="s">
        <v>1529</v>
      </c>
      <c r="F56" s="2" t="s">
        <v>1530</v>
      </c>
      <c r="G56" s="2" t="s">
        <v>1083</v>
      </c>
      <c r="H56" s="2" t="s">
        <v>866</v>
      </c>
      <c r="I56" s="2" t="s">
        <v>31</v>
      </c>
      <c r="J56" s="2" t="s">
        <v>31</v>
      </c>
      <c r="K56" s="2" t="s">
        <v>507</v>
      </c>
      <c r="L56" s="2" t="s">
        <v>164</v>
      </c>
      <c r="M56" s="2" t="s">
        <v>386</v>
      </c>
      <c r="N56" s="190" t="s">
        <v>1365</v>
      </c>
      <c r="O56" s="2" t="s">
        <v>1369</v>
      </c>
      <c r="P56" s="2" t="s">
        <v>1531</v>
      </c>
      <c r="Q56" s="2" t="s">
        <v>217</v>
      </c>
      <c r="R56" s="2" t="s">
        <v>453</v>
      </c>
      <c r="S56" s="2" t="s">
        <v>35</v>
      </c>
      <c r="T56" s="150">
        <v>0.53</v>
      </c>
      <c r="U56" s="2" t="s">
        <v>1393</v>
      </c>
      <c r="V56" s="162">
        <v>4.2500000000000003E-2</v>
      </c>
      <c r="W56" s="2" t="s">
        <v>800</v>
      </c>
      <c r="X56" s="2" t="s">
        <v>949</v>
      </c>
      <c r="Y56" s="150">
        <v>4.25</v>
      </c>
      <c r="Z56" s="164">
        <v>7.6039999999999996E-2</v>
      </c>
      <c r="AA56" s="2" t="s">
        <v>1532</v>
      </c>
      <c r="AB56" s="4" t="s">
        <v>458</v>
      </c>
      <c r="AC56" s="2" t="s">
        <v>819</v>
      </c>
      <c r="AD56" s="150">
        <v>67322</v>
      </c>
      <c r="AE56" s="150">
        <v>0.72</v>
      </c>
      <c r="AF56" s="2" t="s">
        <v>1533</v>
      </c>
      <c r="AG56" s="2" t="s">
        <v>386</v>
      </c>
      <c r="AH56" s="2" t="s">
        <v>828</v>
      </c>
      <c r="AI56" s="2" t="s">
        <v>1372</v>
      </c>
      <c r="AJ56" s="2" t="s">
        <v>386</v>
      </c>
      <c r="AK56" s="2" t="s">
        <v>937</v>
      </c>
      <c r="AL56" s="2" t="s">
        <v>1373</v>
      </c>
      <c r="AN56" s="2" t="s">
        <v>1374</v>
      </c>
      <c r="AO56" s="2" t="s">
        <v>1533</v>
      </c>
      <c r="AP56" s="151">
        <v>0</v>
      </c>
      <c r="AQ56" s="150">
        <v>25000</v>
      </c>
      <c r="AR56" s="150">
        <v>104.5</v>
      </c>
      <c r="AS56" s="150">
        <v>1</v>
      </c>
      <c r="AT56" s="150">
        <v>26.125</v>
      </c>
      <c r="AU56" s="150">
        <v>26.125</v>
      </c>
      <c r="AX56" s="4" t="s">
        <v>386</v>
      </c>
      <c r="AY56" s="2" t="s">
        <v>37</v>
      </c>
      <c r="AZ56" s="164">
        <v>1</v>
      </c>
      <c r="BA56" s="164">
        <v>8.3967292735573698E-4</v>
      </c>
    </row>
    <row r="57" spans="1:53">
      <c r="A57" s="2" t="s">
        <v>128</v>
      </c>
      <c r="B57" s="2">
        <v>7228</v>
      </c>
      <c r="C57" s="2" t="s">
        <v>1365</v>
      </c>
      <c r="D57" s="2" t="s">
        <v>34</v>
      </c>
      <c r="E57" s="2" t="s">
        <v>1366</v>
      </c>
      <c r="F57" s="2" t="s">
        <v>1367</v>
      </c>
      <c r="G57" s="2" t="s">
        <v>1083</v>
      </c>
      <c r="I57" s="2" t="s">
        <v>31</v>
      </c>
      <c r="J57" s="2" t="s">
        <v>31</v>
      </c>
      <c r="K57" s="2" t="s">
        <v>492</v>
      </c>
      <c r="L57" s="2" t="s">
        <v>164</v>
      </c>
      <c r="M57" s="2" t="s">
        <v>386</v>
      </c>
      <c r="N57" s="190">
        <v>514984558</v>
      </c>
      <c r="O57" s="2" t="s">
        <v>1369</v>
      </c>
      <c r="P57" s="2" t="s">
        <v>1370</v>
      </c>
      <c r="Q57" s="2" t="s">
        <v>98</v>
      </c>
      <c r="R57" s="2" t="s">
        <v>453</v>
      </c>
      <c r="S57" s="2" t="s">
        <v>35</v>
      </c>
      <c r="T57" s="150">
        <v>1.71</v>
      </c>
      <c r="U57" s="2" t="s">
        <v>203</v>
      </c>
      <c r="V57" s="162">
        <v>5.5E-2</v>
      </c>
      <c r="W57" s="2" t="s">
        <v>800</v>
      </c>
      <c r="X57" s="2" t="s">
        <v>954</v>
      </c>
      <c r="Y57" s="150">
        <v>5.5</v>
      </c>
      <c r="Z57" s="164">
        <v>0.25139</v>
      </c>
      <c r="AA57" s="2" t="s">
        <v>1371</v>
      </c>
      <c r="AB57" s="4" t="s">
        <v>458</v>
      </c>
      <c r="AG57" s="2" t="s">
        <v>386</v>
      </c>
      <c r="AH57" s="2" t="s">
        <v>828</v>
      </c>
      <c r="AI57" s="2" t="s">
        <v>1372</v>
      </c>
      <c r="AJ57" s="2" t="s">
        <v>386</v>
      </c>
      <c r="AK57" s="2" t="s">
        <v>937</v>
      </c>
      <c r="AL57" s="2" t="s">
        <v>1373</v>
      </c>
      <c r="AN57" s="2" t="s">
        <v>1374</v>
      </c>
      <c r="AQ57" s="150">
        <v>1523529</v>
      </c>
      <c r="AR57" s="150">
        <v>77.09</v>
      </c>
      <c r="AS57" s="150">
        <v>1</v>
      </c>
      <c r="AT57" s="150">
        <v>1174.489</v>
      </c>
      <c r="AU57" s="150">
        <v>1174.489</v>
      </c>
      <c r="AX57" s="4" t="s">
        <v>386</v>
      </c>
      <c r="AY57" s="2" t="s">
        <v>37</v>
      </c>
      <c r="AZ57" s="164">
        <v>2.31295569797456E-2</v>
      </c>
      <c r="BA57" s="164">
        <v>5.0185193416719205E-4</v>
      </c>
    </row>
    <row r="58" spans="1:53">
      <c r="A58" s="2" t="s">
        <v>128</v>
      </c>
      <c r="B58" s="2">
        <v>7228</v>
      </c>
      <c r="C58" s="2" t="s">
        <v>1375</v>
      </c>
      <c r="D58" s="2" t="s">
        <v>1376</v>
      </c>
      <c r="E58" s="2" t="s">
        <v>1377</v>
      </c>
      <c r="F58" s="2" t="s">
        <v>1378</v>
      </c>
      <c r="G58" s="2" t="s">
        <v>1083</v>
      </c>
      <c r="I58" s="2" t="s">
        <v>31</v>
      </c>
      <c r="J58" s="2" t="s">
        <v>31</v>
      </c>
      <c r="K58" s="2" t="s">
        <v>483</v>
      </c>
      <c r="L58" s="2" t="s">
        <v>164</v>
      </c>
      <c r="M58" s="2" t="s">
        <v>386</v>
      </c>
      <c r="N58" s="190">
        <v>513846667</v>
      </c>
      <c r="O58" s="2" t="s">
        <v>1379</v>
      </c>
      <c r="P58" s="2" t="s">
        <v>1380</v>
      </c>
      <c r="Q58" s="2" t="s">
        <v>98</v>
      </c>
      <c r="R58" s="2" t="s">
        <v>453</v>
      </c>
      <c r="S58" s="2" t="s">
        <v>35</v>
      </c>
      <c r="T58" s="150">
        <v>4.74</v>
      </c>
      <c r="U58" s="2" t="s">
        <v>203</v>
      </c>
      <c r="V58" s="162">
        <v>3.5499999999999997E-2</v>
      </c>
      <c r="W58" s="2" t="s">
        <v>800</v>
      </c>
      <c r="X58" s="2" t="s">
        <v>954</v>
      </c>
      <c r="Y58" s="150">
        <v>3.55</v>
      </c>
      <c r="Z58" s="164">
        <v>6.046E-2</v>
      </c>
      <c r="AA58" s="2" t="s">
        <v>1381</v>
      </c>
      <c r="AB58" s="4" t="s">
        <v>458</v>
      </c>
      <c r="AG58" s="2" t="s">
        <v>164</v>
      </c>
      <c r="AI58" s="2" t="s">
        <v>1382</v>
      </c>
      <c r="AJ58" s="2" t="s">
        <v>386</v>
      </c>
      <c r="AK58" s="2" t="s">
        <v>937</v>
      </c>
      <c r="AL58" s="2" t="s">
        <v>1373</v>
      </c>
      <c r="AN58" s="2" t="s">
        <v>1374</v>
      </c>
      <c r="AQ58" s="150">
        <v>1756167.57</v>
      </c>
      <c r="AR58" s="150">
        <v>107.76</v>
      </c>
      <c r="AS58" s="150">
        <v>1</v>
      </c>
      <c r="AT58" s="150">
        <v>1892.4459999999999</v>
      </c>
      <c r="AU58" s="150">
        <v>1892.4459999999999</v>
      </c>
      <c r="AX58" s="4" t="s">
        <v>164</v>
      </c>
      <c r="AY58" s="2" t="s">
        <v>37</v>
      </c>
      <c r="AZ58" s="164">
        <v>3.72685142273926E-2</v>
      </c>
      <c r="BA58" s="164">
        <v>8.0863096361650296E-4</v>
      </c>
    </row>
    <row r="59" spans="1:53">
      <c r="A59" s="2" t="s">
        <v>128</v>
      </c>
      <c r="B59" s="2">
        <v>7228</v>
      </c>
      <c r="C59" s="2" t="s">
        <v>1383</v>
      </c>
      <c r="D59" s="2" t="s">
        <v>34</v>
      </c>
      <c r="E59" s="2" t="s">
        <v>1384</v>
      </c>
      <c r="F59" s="2" t="s">
        <v>1385</v>
      </c>
      <c r="G59" s="2" t="s">
        <v>1083</v>
      </c>
      <c r="I59" s="2" t="s">
        <v>31</v>
      </c>
      <c r="J59" s="2" t="s">
        <v>31</v>
      </c>
      <c r="K59" s="2" t="s">
        <v>497</v>
      </c>
      <c r="L59" s="2" t="s">
        <v>164</v>
      </c>
      <c r="M59" s="2" t="s">
        <v>386</v>
      </c>
      <c r="N59" s="27" t="s">
        <v>1383</v>
      </c>
      <c r="O59" s="2" t="s">
        <v>1386</v>
      </c>
      <c r="P59" s="2" t="s">
        <v>1387</v>
      </c>
      <c r="Q59" s="2" t="s">
        <v>217</v>
      </c>
      <c r="R59" s="2" t="s">
        <v>453</v>
      </c>
      <c r="S59" s="2" t="s">
        <v>35</v>
      </c>
      <c r="T59" s="150">
        <v>3.2</v>
      </c>
      <c r="U59" s="2" t="s">
        <v>203</v>
      </c>
      <c r="V59" s="162">
        <v>5.5E-2</v>
      </c>
      <c r="W59" s="2" t="s">
        <v>800</v>
      </c>
      <c r="X59" s="2" t="s">
        <v>1388</v>
      </c>
      <c r="Y59" s="150">
        <v>5.5</v>
      </c>
      <c r="Z59" s="164">
        <v>3.2500000000000001E-2</v>
      </c>
      <c r="AA59" s="2" t="s">
        <v>1389</v>
      </c>
      <c r="AB59" s="4" t="s">
        <v>458</v>
      </c>
      <c r="AG59" s="2" t="s">
        <v>164</v>
      </c>
      <c r="AJ59" s="2" t="s">
        <v>164</v>
      </c>
      <c r="AK59" s="2" t="s">
        <v>203</v>
      </c>
      <c r="AN59" s="2" t="s">
        <v>1374</v>
      </c>
      <c r="AQ59" s="150">
        <v>48693.67</v>
      </c>
      <c r="AR59" s="150">
        <v>120.53</v>
      </c>
      <c r="AS59" s="150">
        <v>1</v>
      </c>
      <c r="AT59" s="150">
        <v>58.69</v>
      </c>
      <c r="AU59" s="150">
        <v>58.69</v>
      </c>
      <c r="AX59" s="4" t="s">
        <v>164</v>
      </c>
      <c r="AY59" s="2" t="s">
        <v>37</v>
      </c>
      <c r="AZ59" s="164">
        <v>1.1558093627222501E-3</v>
      </c>
      <c r="BA59" s="164">
        <v>2.50780922746879E-5</v>
      </c>
    </row>
    <row r="60" spans="1:53">
      <c r="A60" s="2" t="s">
        <v>128</v>
      </c>
      <c r="B60" s="2">
        <v>7228</v>
      </c>
      <c r="C60" s="2" t="s">
        <v>1383</v>
      </c>
      <c r="D60" s="2" t="s">
        <v>34</v>
      </c>
      <c r="E60" s="2" t="s">
        <v>1390</v>
      </c>
      <c r="F60" s="2" t="s">
        <v>1391</v>
      </c>
      <c r="G60" s="2" t="s">
        <v>1083</v>
      </c>
      <c r="I60" s="2" t="s">
        <v>31</v>
      </c>
      <c r="J60" s="2" t="s">
        <v>31</v>
      </c>
      <c r="K60" s="2" t="s">
        <v>497</v>
      </c>
      <c r="L60" s="2" t="s">
        <v>164</v>
      </c>
      <c r="M60" s="2" t="s">
        <v>386</v>
      </c>
      <c r="N60" s="27" t="s">
        <v>1383</v>
      </c>
      <c r="O60" s="2" t="s">
        <v>1386</v>
      </c>
      <c r="P60" s="2" t="s">
        <v>1392</v>
      </c>
      <c r="Q60" s="2" t="s">
        <v>98</v>
      </c>
      <c r="R60" s="2" t="s">
        <v>453</v>
      </c>
      <c r="S60" s="2" t="s">
        <v>35</v>
      </c>
      <c r="T60" s="150">
        <v>3.22</v>
      </c>
      <c r="U60" s="2" t="s">
        <v>1393</v>
      </c>
      <c r="V60" s="162">
        <v>5.5E-2</v>
      </c>
      <c r="W60" s="2" t="s">
        <v>800</v>
      </c>
      <c r="X60" s="2" t="s">
        <v>1388</v>
      </c>
      <c r="Y60" s="150">
        <v>5.5</v>
      </c>
      <c r="Z60" s="164">
        <v>2.5940000000000001E-2</v>
      </c>
      <c r="AA60" s="2" t="s">
        <v>1389</v>
      </c>
      <c r="AB60" s="4" t="s">
        <v>458</v>
      </c>
      <c r="AG60" s="2" t="s">
        <v>164</v>
      </c>
      <c r="AJ60" s="2" t="s">
        <v>164</v>
      </c>
      <c r="AK60" s="2" t="s">
        <v>203</v>
      </c>
      <c r="AN60" s="2" t="s">
        <v>1374</v>
      </c>
      <c r="AQ60" s="150">
        <v>70143.88</v>
      </c>
      <c r="AR60" s="150">
        <v>124.99</v>
      </c>
      <c r="AS60" s="150">
        <v>1</v>
      </c>
      <c r="AT60" s="150">
        <v>87.673000000000002</v>
      </c>
      <c r="AU60" s="150">
        <v>87.673000000000002</v>
      </c>
      <c r="AX60" s="4" t="s">
        <v>164</v>
      </c>
      <c r="AY60" s="2" t="s">
        <v>37</v>
      </c>
      <c r="AZ60" s="164">
        <v>1.72656763887561E-3</v>
      </c>
      <c r="BA60" s="164">
        <v>3.7462079788167997E-5</v>
      </c>
    </row>
    <row r="61" spans="1:53">
      <c r="A61" s="2" t="s">
        <v>128</v>
      </c>
      <c r="B61" s="2">
        <v>7228</v>
      </c>
      <c r="C61" s="2" t="s">
        <v>1383</v>
      </c>
      <c r="D61" s="2" t="s">
        <v>34</v>
      </c>
      <c r="E61" s="2" t="s">
        <v>1394</v>
      </c>
      <c r="F61" s="2" t="s">
        <v>1395</v>
      </c>
      <c r="G61" s="2" t="s">
        <v>1083</v>
      </c>
      <c r="I61" s="2" t="s">
        <v>31</v>
      </c>
      <c r="J61" s="2" t="s">
        <v>31</v>
      </c>
      <c r="K61" s="2" t="s">
        <v>497</v>
      </c>
      <c r="L61" s="2" t="s">
        <v>164</v>
      </c>
      <c r="M61" s="2" t="s">
        <v>386</v>
      </c>
      <c r="N61" s="27" t="s">
        <v>1383</v>
      </c>
      <c r="O61" s="2" t="s">
        <v>1386</v>
      </c>
      <c r="P61" s="2" t="s">
        <v>1392</v>
      </c>
      <c r="Q61" s="2" t="s">
        <v>98</v>
      </c>
      <c r="R61" s="2" t="s">
        <v>453</v>
      </c>
      <c r="S61" s="2" t="s">
        <v>35</v>
      </c>
      <c r="T61" s="150">
        <v>3.23</v>
      </c>
      <c r="U61" s="2" t="s">
        <v>1393</v>
      </c>
      <c r="V61" s="162">
        <v>5.5E-2</v>
      </c>
      <c r="W61" s="2" t="s">
        <v>800</v>
      </c>
      <c r="X61" s="2" t="s">
        <v>1388</v>
      </c>
      <c r="Y61" s="150">
        <v>5.5</v>
      </c>
      <c r="Z61" s="164">
        <v>2.5340000000000001E-2</v>
      </c>
      <c r="AA61" s="2" t="s">
        <v>1389</v>
      </c>
      <c r="AB61" s="4" t="s">
        <v>458</v>
      </c>
      <c r="AG61" s="2" t="s">
        <v>164</v>
      </c>
      <c r="AJ61" s="2" t="s">
        <v>164</v>
      </c>
      <c r="AK61" s="2" t="s">
        <v>203</v>
      </c>
      <c r="AN61" s="2" t="s">
        <v>1374</v>
      </c>
      <c r="AQ61" s="150">
        <v>7728.41</v>
      </c>
      <c r="AR61" s="150">
        <v>124.99</v>
      </c>
      <c r="AS61" s="150">
        <v>1</v>
      </c>
      <c r="AT61" s="150">
        <v>9.66</v>
      </c>
      <c r="AU61" s="150">
        <v>9.66</v>
      </c>
      <c r="AX61" s="4" t="s">
        <v>164</v>
      </c>
      <c r="AY61" s="2" t="s">
        <v>37</v>
      </c>
      <c r="AZ61" s="164">
        <v>1.90232171444788E-4</v>
      </c>
      <c r="BA61" s="164">
        <v>4.1275491469202404E-6</v>
      </c>
    </row>
    <row r="62" spans="1:53">
      <c r="A62" s="2" t="s">
        <v>128</v>
      </c>
      <c r="B62" s="2">
        <v>7228</v>
      </c>
      <c r="C62" s="2" t="s">
        <v>1383</v>
      </c>
      <c r="D62" s="2" t="s">
        <v>34</v>
      </c>
      <c r="E62" s="2" t="s">
        <v>1396</v>
      </c>
      <c r="F62" s="2" t="s">
        <v>1397</v>
      </c>
      <c r="G62" s="2" t="s">
        <v>1083</v>
      </c>
      <c r="I62" s="2" t="s">
        <v>31</v>
      </c>
      <c r="J62" s="2" t="s">
        <v>31</v>
      </c>
      <c r="K62" s="2" t="s">
        <v>497</v>
      </c>
      <c r="L62" s="2" t="s">
        <v>164</v>
      </c>
      <c r="M62" s="2" t="s">
        <v>386</v>
      </c>
      <c r="N62" s="27" t="s">
        <v>1383</v>
      </c>
      <c r="O62" s="2" t="s">
        <v>1398</v>
      </c>
      <c r="P62" s="2" t="s">
        <v>1392</v>
      </c>
      <c r="Q62" s="2" t="s">
        <v>98</v>
      </c>
      <c r="R62" s="2" t="s">
        <v>453</v>
      </c>
      <c r="S62" s="2" t="s">
        <v>35</v>
      </c>
      <c r="T62" s="150">
        <v>3.33</v>
      </c>
      <c r="U62" s="2" t="s">
        <v>203</v>
      </c>
      <c r="V62" s="162">
        <v>5.5300000000000002E-2</v>
      </c>
      <c r="W62" s="2" t="s">
        <v>800</v>
      </c>
      <c r="X62" s="2" t="s">
        <v>954</v>
      </c>
      <c r="Y62" s="150">
        <v>5.53</v>
      </c>
      <c r="Z62" s="164">
        <v>2.9010000000000001E-2</v>
      </c>
      <c r="AA62" s="2" t="s">
        <v>1399</v>
      </c>
      <c r="AB62" s="4" t="s">
        <v>458</v>
      </c>
      <c r="AC62" s="2" t="s">
        <v>529</v>
      </c>
      <c r="AD62" s="150">
        <v>4791</v>
      </c>
      <c r="AE62" s="150">
        <v>0.78</v>
      </c>
      <c r="AF62" s="2" t="s">
        <v>1400</v>
      </c>
      <c r="AG62" s="2" t="s">
        <v>164</v>
      </c>
      <c r="AI62" s="2" t="s">
        <v>1401</v>
      </c>
      <c r="AJ62" s="2" t="s">
        <v>386</v>
      </c>
      <c r="AK62" s="2" t="s">
        <v>937</v>
      </c>
      <c r="AL62" s="2" t="s">
        <v>1373</v>
      </c>
      <c r="AN62" s="2" t="s">
        <v>1374</v>
      </c>
      <c r="AO62" s="2" t="s">
        <v>1400</v>
      </c>
      <c r="AP62" s="151">
        <v>0</v>
      </c>
      <c r="AQ62" s="150">
        <v>96586.12</v>
      </c>
      <c r="AR62" s="150">
        <v>126.56</v>
      </c>
      <c r="AS62" s="150">
        <v>1</v>
      </c>
      <c r="AT62" s="150">
        <v>122.239</v>
      </c>
      <c r="AU62" s="150">
        <v>122.239</v>
      </c>
      <c r="AX62" s="4" t="s">
        <v>164</v>
      </c>
      <c r="AY62" s="2" t="s">
        <v>37</v>
      </c>
      <c r="AZ62" s="164">
        <v>2.4072973058447502E-3</v>
      </c>
      <c r="BA62" s="164">
        <v>5.2232163811507203E-5</v>
      </c>
    </row>
    <row r="63" spans="1:53">
      <c r="A63" s="2" t="s">
        <v>128</v>
      </c>
      <c r="B63" s="2">
        <v>7228</v>
      </c>
      <c r="C63" s="2" t="s">
        <v>1383</v>
      </c>
      <c r="D63" s="2" t="s">
        <v>34</v>
      </c>
      <c r="E63" s="2" t="s">
        <v>1402</v>
      </c>
      <c r="F63" s="2" t="s">
        <v>1403</v>
      </c>
      <c r="G63" s="2" t="s">
        <v>1083</v>
      </c>
      <c r="I63" s="2" t="s">
        <v>31</v>
      </c>
      <c r="J63" s="2" t="s">
        <v>31</v>
      </c>
      <c r="K63" s="2" t="s">
        <v>497</v>
      </c>
      <c r="L63" s="2" t="s">
        <v>164</v>
      </c>
      <c r="M63" s="2" t="s">
        <v>386</v>
      </c>
      <c r="N63" s="190" t="s">
        <v>1383</v>
      </c>
      <c r="O63" s="2" t="s">
        <v>1404</v>
      </c>
      <c r="P63" s="2" t="s">
        <v>1392</v>
      </c>
      <c r="Q63" s="2" t="s">
        <v>98</v>
      </c>
      <c r="R63" s="2" t="s">
        <v>453</v>
      </c>
      <c r="S63" s="2" t="s">
        <v>35</v>
      </c>
      <c r="T63" s="150">
        <v>3.33</v>
      </c>
      <c r="U63" s="2" t="s">
        <v>203</v>
      </c>
      <c r="V63" s="162">
        <v>5.5301000000000003E-2</v>
      </c>
      <c r="W63" s="2" t="s">
        <v>800</v>
      </c>
      <c r="X63" s="2" t="s">
        <v>954</v>
      </c>
      <c r="Y63" s="150">
        <v>5.5301</v>
      </c>
      <c r="Z63" s="164">
        <v>2.9010000000000001E-2</v>
      </c>
      <c r="AA63" s="2" t="s">
        <v>1399</v>
      </c>
      <c r="AB63" s="4" t="s">
        <v>458</v>
      </c>
      <c r="AC63" s="2" t="s">
        <v>529</v>
      </c>
      <c r="AD63" s="150">
        <v>4596</v>
      </c>
      <c r="AE63" s="150">
        <v>0.78</v>
      </c>
      <c r="AF63" s="2" t="s">
        <v>1400</v>
      </c>
      <c r="AG63" s="2" t="s">
        <v>164</v>
      </c>
      <c r="AI63" s="2" t="s">
        <v>1401</v>
      </c>
      <c r="AJ63" s="2" t="s">
        <v>386</v>
      </c>
      <c r="AK63" s="2" t="s">
        <v>937</v>
      </c>
      <c r="AL63" s="2" t="s">
        <v>1373</v>
      </c>
      <c r="AN63" s="2" t="s">
        <v>1374</v>
      </c>
      <c r="AO63" s="2" t="s">
        <v>1400</v>
      </c>
      <c r="AP63" s="151">
        <v>0</v>
      </c>
      <c r="AQ63" s="150">
        <v>92665.75</v>
      </c>
      <c r="AR63" s="150">
        <v>126.56</v>
      </c>
      <c r="AS63" s="150">
        <v>1</v>
      </c>
      <c r="AT63" s="150">
        <v>117.27800000000001</v>
      </c>
      <c r="AU63" s="150">
        <v>117.27800000000001</v>
      </c>
      <c r="AX63" s="4" t="s">
        <v>164</v>
      </c>
      <c r="AY63" s="2" t="s">
        <v>37</v>
      </c>
      <c r="AZ63" s="164">
        <v>2.3095866188545902E-3</v>
      </c>
      <c r="BA63" s="164">
        <v>5.0112093059708503E-5</v>
      </c>
    </row>
    <row r="64" spans="1:53">
      <c r="A64" s="2" t="s">
        <v>128</v>
      </c>
      <c r="B64" s="2">
        <v>7228</v>
      </c>
      <c r="C64" s="2" t="s">
        <v>1383</v>
      </c>
      <c r="D64" s="2" t="s">
        <v>34</v>
      </c>
      <c r="E64" s="2" t="s">
        <v>1405</v>
      </c>
      <c r="F64" s="2" t="s">
        <v>1406</v>
      </c>
      <c r="G64" s="2" t="s">
        <v>1083</v>
      </c>
      <c r="I64" s="2" t="s">
        <v>31</v>
      </c>
      <c r="J64" s="2" t="s">
        <v>31</v>
      </c>
      <c r="K64" s="2" t="s">
        <v>497</v>
      </c>
      <c r="L64" s="2" t="s">
        <v>164</v>
      </c>
      <c r="M64" s="2" t="s">
        <v>386</v>
      </c>
      <c r="N64" s="190" t="s">
        <v>1383</v>
      </c>
      <c r="O64" s="2" t="s">
        <v>1407</v>
      </c>
      <c r="P64" s="2" t="s">
        <v>1392</v>
      </c>
      <c r="Q64" s="2" t="s">
        <v>98</v>
      </c>
      <c r="R64" s="2" t="s">
        <v>453</v>
      </c>
      <c r="S64" s="2" t="s">
        <v>35</v>
      </c>
      <c r="T64" s="150">
        <v>3.33</v>
      </c>
      <c r="U64" s="2" t="s">
        <v>203</v>
      </c>
      <c r="V64" s="162">
        <v>5.5300000000000002E-2</v>
      </c>
      <c r="W64" s="2" t="s">
        <v>800</v>
      </c>
      <c r="X64" s="2" t="s">
        <v>954</v>
      </c>
      <c r="Y64" s="150">
        <v>5.53</v>
      </c>
      <c r="Z64" s="164">
        <v>2.9000000000000001E-2</v>
      </c>
      <c r="AA64" s="2" t="s">
        <v>1399</v>
      </c>
      <c r="AB64" s="4" t="s">
        <v>458</v>
      </c>
      <c r="AC64" s="2" t="s">
        <v>529</v>
      </c>
      <c r="AD64" s="150">
        <v>4622</v>
      </c>
      <c r="AE64" s="150">
        <v>0.78</v>
      </c>
      <c r="AF64" s="2" t="s">
        <v>1400</v>
      </c>
      <c r="AG64" s="2" t="s">
        <v>164</v>
      </c>
      <c r="AI64" s="2" t="s">
        <v>1401</v>
      </c>
      <c r="AJ64" s="2" t="s">
        <v>386</v>
      </c>
      <c r="AK64" s="2" t="s">
        <v>937</v>
      </c>
      <c r="AL64" s="2" t="s">
        <v>1373</v>
      </c>
      <c r="AN64" s="2" t="s">
        <v>1374</v>
      </c>
      <c r="AO64" s="2" t="s">
        <v>1400</v>
      </c>
      <c r="AP64" s="151">
        <v>0</v>
      </c>
      <c r="AQ64" s="150">
        <v>93194.59</v>
      </c>
      <c r="AR64" s="150">
        <v>124.99</v>
      </c>
      <c r="AS64" s="150">
        <v>1</v>
      </c>
      <c r="AT64" s="150">
        <v>116.48399999999999</v>
      </c>
      <c r="AU64" s="150">
        <v>116.48399999999999</v>
      </c>
      <c r="AX64" s="4" t="s">
        <v>164</v>
      </c>
      <c r="AY64" s="2" t="s">
        <v>37</v>
      </c>
      <c r="AZ64" s="164">
        <v>2.2939529893738499E-3</v>
      </c>
      <c r="BA64" s="164">
        <v>4.9772883484711798E-5</v>
      </c>
    </row>
    <row r="65" spans="1:53">
      <c r="A65" s="2" t="s">
        <v>128</v>
      </c>
      <c r="B65" s="2">
        <v>7228</v>
      </c>
      <c r="C65" s="2" t="s">
        <v>1383</v>
      </c>
      <c r="D65" s="2" t="s">
        <v>34</v>
      </c>
      <c r="E65" s="2" t="s">
        <v>1408</v>
      </c>
      <c r="F65" s="2" t="s">
        <v>1409</v>
      </c>
      <c r="G65" s="2" t="s">
        <v>1083</v>
      </c>
      <c r="I65" s="2" t="s">
        <v>31</v>
      </c>
      <c r="J65" s="2" t="s">
        <v>31</v>
      </c>
      <c r="K65" s="2" t="s">
        <v>497</v>
      </c>
      <c r="L65" s="2" t="s">
        <v>164</v>
      </c>
      <c r="M65" s="2" t="s">
        <v>386</v>
      </c>
      <c r="N65" s="190" t="s">
        <v>1383</v>
      </c>
      <c r="O65" s="2" t="s">
        <v>1410</v>
      </c>
      <c r="P65" s="2" t="s">
        <v>1392</v>
      </c>
      <c r="Q65" s="2" t="s">
        <v>98</v>
      </c>
      <c r="R65" s="2" t="s">
        <v>453</v>
      </c>
      <c r="S65" s="2" t="s">
        <v>35</v>
      </c>
      <c r="T65" s="150">
        <v>3.34</v>
      </c>
      <c r="U65" s="2" t="s">
        <v>203</v>
      </c>
      <c r="V65" s="162">
        <v>5.5E-2</v>
      </c>
      <c r="W65" s="2" t="s">
        <v>800</v>
      </c>
      <c r="X65" s="2" t="s">
        <v>1388</v>
      </c>
      <c r="Y65" s="150">
        <v>5.5</v>
      </c>
      <c r="Z65" s="164">
        <v>2.9010000000000001E-2</v>
      </c>
      <c r="AA65" s="2" t="s">
        <v>1399</v>
      </c>
      <c r="AB65" s="4" t="s">
        <v>458</v>
      </c>
      <c r="AC65" s="2" t="s">
        <v>529</v>
      </c>
      <c r="AD65" s="150">
        <v>3155</v>
      </c>
      <c r="AE65" s="150">
        <v>0.78</v>
      </c>
      <c r="AF65" s="2" t="s">
        <v>1400</v>
      </c>
      <c r="AG65" s="2" t="s">
        <v>164</v>
      </c>
      <c r="AI65" s="2" t="s">
        <v>1401</v>
      </c>
      <c r="AJ65" s="2" t="s">
        <v>386</v>
      </c>
      <c r="AK65" s="2" t="s">
        <v>203</v>
      </c>
      <c r="AN65" s="2" t="s">
        <v>1374</v>
      </c>
      <c r="AO65" s="2" t="s">
        <v>1400</v>
      </c>
      <c r="AP65" s="151">
        <v>0</v>
      </c>
      <c r="AQ65" s="150">
        <v>29429.88</v>
      </c>
      <c r="AR65" s="150">
        <v>124.49</v>
      </c>
      <c r="AS65" s="150">
        <v>1</v>
      </c>
      <c r="AT65" s="150">
        <v>36.637</v>
      </c>
      <c r="AU65" s="150">
        <v>36.637</v>
      </c>
      <c r="AX65" s="4" t="s">
        <v>164</v>
      </c>
      <c r="AY65" s="2" t="s">
        <v>37</v>
      </c>
      <c r="AZ65" s="164">
        <v>7.21508582772133E-4</v>
      </c>
      <c r="BA65" s="164">
        <v>1.5654881677997802E-5</v>
      </c>
    </row>
    <row r="66" spans="1:53">
      <c r="A66" s="2" t="s">
        <v>128</v>
      </c>
      <c r="B66" s="2">
        <v>7228</v>
      </c>
      <c r="C66" s="2" t="s">
        <v>1383</v>
      </c>
      <c r="D66" s="2" t="s">
        <v>34</v>
      </c>
      <c r="E66" s="2" t="s">
        <v>1411</v>
      </c>
      <c r="F66" s="2" t="s">
        <v>1412</v>
      </c>
      <c r="G66" s="2" t="s">
        <v>1083</v>
      </c>
      <c r="I66" s="2" t="s">
        <v>31</v>
      </c>
      <c r="J66" s="2" t="s">
        <v>31</v>
      </c>
      <c r="K66" s="2" t="s">
        <v>497</v>
      </c>
      <c r="L66" s="2" t="s">
        <v>164</v>
      </c>
      <c r="M66" s="2" t="s">
        <v>386</v>
      </c>
      <c r="N66" s="190" t="s">
        <v>1383</v>
      </c>
      <c r="O66" s="2" t="s">
        <v>1413</v>
      </c>
      <c r="P66" s="2" t="s">
        <v>1392</v>
      </c>
      <c r="Q66" s="2" t="s">
        <v>98</v>
      </c>
      <c r="R66" s="2" t="s">
        <v>453</v>
      </c>
      <c r="S66" s="2" t="s">
        <v>35</v>
      </c>
      <c r="T66" s="150">
        <v>3.33</v>
      </c>
      <c r="U66" s="2" t="s">
        <v>1393</v>
      </c>
      <c r="V66" s="162">
        <v>5.6132000000000001E-2</v>
      </c>
      <c r="W66" s="2" t="s">
        <v>800</v>
      </c>
      <c r="X66" s="2" t="s">
        <v>954</v>
      </c>
      <c r="Y66" s="150">
        <v>5.6132</v>
      </c>
      <c r="Z66" s="164">
        <v>2.886E-2</v>
      </c>
      <c r="AA66" s="2" t="s">
        <v>1399</v>
      </c>
      <c r="AB66" s="4" t="s">
        <v>458</v>
      </c>
      <c r="AC66" s="2" t="s">
        <v>529</v>
      </c>
      <c r="AD66" s="150">
        <v>465</v>
      </c>
      <c r="AE66" s="150">
        <v>0.78</v>
      </c>
      <c r="AF66" s="2" t="s">
        <v>1400</v>
      </c>
      <c r="AG66" s="2" t="s">
        <v>164</v>
      </c>
      <c r="AI66" s="2" t="s">
        <v>1401</v>
      </c>
      <c r="AJ66" s="2" t="s">
        <v>386</v>
      </c>
      <c r="AK66" s="2" t="s">
        <v>937</v>
      </c>
      <c r="AL66" s="2" t="s">
        <v>1373</v>
      </c>
      <c r="AN66" s="2" t="s">
        <v>1374</v>
      </c>
      <c r="AO66" s="2" t="s">
        <v>1400</v>
      </c>
      <c r="AP66" s="151">
        <v>0</v>
      </c>
      <c r="AQ66" s="150">
        <v>4322.29</v>
      </c>
      <c r="AR66" s="150">
        <v>127.15</v>
      </c>
      <c r="AS66" s="150">
        <v>1</v>
      </c>
      <c r="AT66" s="150">
        <v>5.4960000000000004</v>
      </c>
      <c r="AU66" s="150">
        <v>5.4960000000000004</v>
      </c>
      <c r="AX66" s="4" t="s">
        <v>164</v>
      </c>
      <c r="AY66" s="2" t="s">
        <v>37</v>
      </c>
      <c r="AZ66" s="164">
        <v>1.0823028699156501E-4</v>
      </c>
      <c r="BA66" s="164">
        <v>2.3483190322128099E-6</v>
      </c>
    </row>
    <row r="67" spans="1:53">
      <c r="A67" s="2" t="s">
        <v>128</v>
      </c>
      <c r="B67" s="2">
        <v>7228</v>
      </c>
      <c r="C67" s="2" t="s">
        <v>1383</v>
      </c>
      <c r="D67" s="2" t="s">
        <v>34</v>
      </c>
      <c r="E67" s="2" t="s">
        <v>1414</v>
      </c>
      <c r="F67" s="2" t="s">
        <v>1415</v>
      </c>
      <c r="G67" s="2" t="s">
        <v>1083</v>
      </c>
      <c r="I67" s="2" t="s">
        <v>31</v>
      </c>
      <c r="J67" s="2" t="s">
        <v>31</v>
      </c>
      <c r="K67" s="2" t="s">
        <v>497</v>
      </c>
      <c r="L67" s="2" t="s">
        <v>164</v>
      </c>
      <c r="M67" s="2" t="s">
        <v>386</v>
      </c>
      <c r="N67" s="27" t="s">
        <v>1383</v>
      </c>
      <c r="O67" s="2" t="s">
        <v>1386</v>
      </c>
      <c r="P67" s="2" t="s">
        <v>1392</v>
      </c>
      <c r="Q67" s="2" t="s">
        <v>98</v>
      </c>
      <c r="R67" s="2" t="s">
        <v>453</v>
      </c>
      <c r="S67" s="2" t="s">
        <v>35</v>
      </c>
      <c r="T67" s="150">
        <v>3.21</v>
      </c>
      <c r="U67" s="2" t="s">
        <v>1393</v>
      </c>
      <c r="V67" s="162">
        <v>5.6691999999999999E-2</v>
      </c>
      <c r="W67" s="2" t="s">
        <v>800</v>
      </c>
      <c r="X67" s="2" t="s">
        <v>1388</v>
      </c>
      <c r="Y67" s="150">
        <v>5.6692</v>
      </c>
      <c r="Z67" s="164">
        <v>2.7910000000000001E-2</v>
      </c>
      <c r="AA67" s="2" t="s">
        <v>1416</v>
      </c>
      <c r="AB67" s="4" t="s">
        <v>458</v>
      </c>
      <c r="AG67" s="2" t="s">
        <v>164</v>
      </c>
      <c r="AJ67" s="2" t="s">
        <v>164</v>
      </c>
      <c r="AK67" s="2" t="s">
        <v>203</v>
      </c>
      <c r="AN67" s="2" t="s">
        <v>1374</v>
      </c>
      <c r="AQ67" s="150">
        <v>8703.1299999999992</v>
      </c>
      <c r="AR67" s="150">
        <v>127.57</v>
      </c>
      <c r="AS67" s="150">
        <v>1</v>
      </c>
      <c r="AT67" s="150">
        <v>11.103</v>
      </c>
      <c r="AU67" s="150">
        <v>11.103</v>
      </c>
      <c r="AX67" s="4" t="s">
        <v>164</v>
      </c>
      <c r="AY67" s="2" t="s">
        <v>37</v>
      </c>
      <c r="AZ67" s="164">
        <v>2.18646520099998E-4</v>
      </c>
      <c r="BA67" s="164">
        <v>4.7440674763981997E-6</v>
      </c>
    </row>
    <row r="68" spans="1:53">
      <c r="A68" s="2" t="s">
        <v>128</v>
      </c>
      <c r="B68" s="2">
        <v>7228</v>
      </c>
      <c r="C68" s="2" t="s">
        <v>1383</v>
      </c>
      <c r="D68" s="2" t="s">
        <v>34</v>
      </c>
      <c r="E68" s="2" t="s">
        <v>1417</v>
      </c>
      <c r="F68" s="2" t="s">
        <v>1418</v>
      </c>
      <c r="G68" s="2" t="s">
        <v>1083</v>
      </c>
      <c r="I68" s="2" t="s">
        <v>31</v>
      </c>
      <c r="J68" s="2" t="s">
        <v>31</v>
      </c>
      <c r="K68" s="2" t="s">
        <v>497</v>
      </c>
      <c r="L68" s="2" t="s">
        <v>164</v>
      </c>
      <c r="M68" s="2" t="s">
        <v>386</v>
      </c>
      <c r="N68" s="190" t="s">
        <v>1383</v>
      </c>
      <c r="O68" s="2" t="s">
        <v>1419</v>
      </c>
      <c r="P68" s="2" t="s">
        <v>1392</v>
      </c>
      <c r="Q68" s="2" t="s">
        <v>98</v>
      </c>
      <c r="R68" s="2" t="s">
        <v>453</v>
      </c>
      <c r="S68" s="2" t="s">
        <v>35</v>
      </c>
      <c r="T68" s="150">
        <v>3.34</v>
      </c>
      <c r="U68" s="2" t="s">
        <v>1393</v>
      </c>
      <c r="V68" s="162">
        <v>5.5E-2</v>
      </c>
      <c r="W68" s="2" t="s">
        <v>800</v>
      </c>
      <c r="X68" s="2" t="s">
        <v>954</v>
      </c>
      <c r="Y68" s="150">
        <v>5.5</v>
      </c>
      <c r="Z68" s="164">
        <v>2.8160000000000001E-2</v>
      </c>
      <c r="AA68" s="2" t="s">
        <v>1399</v>
      </c>
      <c r="AB68" s="4" t="s">
        <v>458</v>
      </c>
      <c r="AC68" s="2" t="s">
        <v>529</v>
      </c>
      <c r="AD68" s="150">
        <v>562</v>
      </c>
      <c r="AE68" s="150">
        <v>0.78</v>
      </c>
      <c r="AF68" s="2" t="s">
        <v>1400</v>
      </c>
      <c r="AG68" s="2" t="s">
        <v>164</v>
      </c>
      <c r="AI68" s="2" t="s">
        <v>1401</v>
      </c>
      <c r="AJ68" s="2" t="s">
        <v>386</v>
      </c>
      <c r="AK68" s="2" t="s">
        <v>937</v>
      </c>
      <c r="AL68" s="2" t="s">
        <v>1373</v>
      </c>
      <c r="AN68" s="2" t="s">
        <v>1374</v>
      </c>
      <c r="AO68" s="2" t="s">
        <v>1400</v>
      </c>
      <c r="AP68" s="151">
        <v>0</v>
      </c>
      <c r="AQ68" s="150">
        <v>5222.26</v>
      </c>
      <c r="AR68" s="150">
        <v>127.53</v>
      </c>
      <c r="AS68" s="150">
        <v>1</v>
      </c>
      <c r="AT68" s="150">
        <v>6.66</v>
      </c>
      <c r="AU68" s="150">
        <v>6.66</v>
      </c>
      <c r="AX68" s="4" t="s">
        <v>164</v>
      </c>
      <c r="AY68" s="2" t="s">
        <v>37</v>
      </c>
      <c r="AZ68" s="164">
        <v>1.31156371531224E-4</v>
      </c>
      <c r="BA68" s="164">
        <v>2.8457561374363799E-6</v>
      </c>
    </row>
    <row r="69" spans="1:53">
      <c r="A69" s="2" t="s">
        <v>128</v>
      </c>
      <c r="B69" s="2">
        <v>7228</v>
      </c>
      <c r="C69" s="2" t="s">
        <v>1383</v>
      </c>
      <c r="D69" s="2" t="s">
        <v>34</v>
      </c>
      <c r="E69" s="2" t="s">
        <v>1420</v>
      </c>
      <c r="F69" s="2" t="s">
        <v>1421</v>
      </c>
      <c r="G69" s="2" t="s">
        <v>1083</v>
      </c>
      <c r="I69" s="2" t="s">
        <v>31</v>
      </c>
      <c r="J69" s="2" t="s">
        <v>31</v>
      </c>
      <c r="K69" s="2" t="s">
        <v>497</v>
      </c>
      <c r="L69" s="2" t="s">
        <v>164</v>
      </c>
      <c r="M69" s="2" t="s">
        <v>386</v>
      </c>
      <c r="N69" s="190" t="s">
        <v>1383</v>
      </c>
      <c r="O69" s="2" t="s">
        <v>1422</v>
      </c>
      <c r="P69" s="2" t="s">
        <v>1392</v>
      </c>
      <c r="Q69" s="2" t="s">
        <v>98</v>
      </c>
      <c r="R69" s="2" t="s">
        <v>453</v>
      </c>
      <c r="S69" s="2" t="s">
        <v>35</v>
      </c>
      <c r="T69" s="150">
        <v>3.34</v>
      </c>
      <c r="U69" s="2" t="s">
        <v>1393</v>
      </c>
      <c r="V69" s="162">
        <v>5.5E-2</v>
      </c>
      <c r="W69" s="2" t="s">
        <v>800</v>
      </c>
      <c r="X69" s="2" t="s">
        <v>954</v>
      </c>
      <c r="Y69" s="150">
        <v>5.5</v>
      </c>
      <c r="Z69" s="164">
        <v>2.9000000000000001E-2</v>
      </c>
      <c r="AA69" s="2" t="s">
        <v>1399</v>
      </c>
      <c r="AB69" s="4" t="s">
        <v>458</v>
      </c>
      <c r="AC69" s="2" t="s">
        <v>529</v>
      </c>
      <c r="AD69" s="150">
        <v>4665</v>
      </c>
      <c r="AE69" s="150">
        <v>0.78</v>
      </c>
      <c r="AF69" s="2" t="s">
        <v>1400</v>
      </c>
      <c r="AG69" s="2" t="s">
        <v>164</v>
      </c>
      <c r="AI69" s="2" t="s">
        <v>1401</v>
      </c>
      <c r="AJ69" s="2" t="s">
        <v>386</v>
      </c>
      <c r="AK69" s="2" t="s">
        <v>937</v>
      </c>
      <c r="AL69" s="2" t="s">
        <v>1373</v>
      </c>
      <c r="AN69" s="2" t="s">
        <v>1374</v>
      </c>
      <c r="AO69" s="2" t="s">
        <v>1400</v>
      </c>
      <c r="AP69" s="151">
        <v>0</v>
      </c>
      <c r="AQ69" s="150">
        <v>94049.83</v>
      </c>
      <c r="AR69" s="150">
        <v>127.17</v>
      </c>
      <c r="AS69" s="150">
        <v>1</v>
      </c>
      <c r="AT69" s="150">
        <v>119.60299999999999</v>
      </c>
      <c r="AU69" s="150">
        <v>119.60299999999999</v>
      </c>
      <c r="AX69" s="4" t="s">
        <v>164</v>
      </c>
      <c r="AY69" s="2" t="s">
        <v>37</v>
      </c>
      <c r="AZ69" s="164">
        <v>2.3553813371559799E-3</v>
      </c>
      <c r="BA69" s="164">
        <v>5.1105720735946401E-5</v>
      </c>
    </row>
    <row r="70" spans="1:53">
      <c r="A70" s="2" t="s">
        <v>128</v>
      </c>
      <c r="B70" s="2">
        <v>7228</v>
      </c>
      <c r="C70" s="2" t="s">
        <v>1383</v>
      </c>
      <c r="D70" s="2" t="s">
        <v>34</v>
      </c>
      <c r="E70" s="2" t="s">
        <v>1423</v>
      </c>
      <c r="F70" s="2" t="s">
        <v>1424</v>
      </c>
      <c r="G70" s="2" t="s">
        <v>1083</v>
      </c>
      <c r="I70" s="2" t="s">
        <v>31</v>
      </c>
      <c r="J70" s="2" t="s">
        <v>31</v>
      </c>
      <c r="K70" s="2" t="s">
        <v>497</v>
      </c>
      <c r="L70" s="2" t="s">
        <v>164</v>
      </c>
      <c r="M70" s="2" t="s">
        <v>386</v>
      </c>
      <c r="N70" s="190" t="s">
        <v>1383</v>
      </c>
      <c r="O70" s="2" t="s">
        <v>1425</v>
      </c>
      <c r="P70" s="2" t="s">
        <v>1392</v>
      </c>
      <c r="Q70" s="2" t="s">
        <v>98</v>
      </c>
      <c r="R70" s="2" t="s">
        <v>453</v>
      </c>
      <c r="S70" s="2" t="s">
        <v>35</v>
      </c>
      <c r="T70" s="150">
        <v>3.49</v>
      </c>
      <c r="U70" s="2" t="s">
        <v>1393</v>
      </c>
      <c r="V70" s="162">
        <v>5.5E-2</v>
      </c>
      <c r="W70" s="2" t="s">
        <v>800</v>
      </c>
      <c r="X70" s="2" t="s">
        <v>954</v>
      </c>
      <c r="Y70" s="150">
        <v>5.5</v>
      </c>
      <c r="Z70" s="164">
        <v>2.887E-2</v>
      </c>
      <c r="AA70" s="2" t="s">
        <v>1389</v>
      </c>
      <c r="AB70" s="4" t="s">
        <v>458</v>
      </c>
      <c r="AC70" s="2" t="s">
        <v>529</v>
      </c>
      <c r="AD70" s="150">
        <v>534</v>
      </c>
      <c r="AE70" s="150">
        <v>0.78</v>
      </c>
      <c r="AF70" s="2" t="s">
        <v>1400</v>
      </c>
      <c r="AG70" s="2" t="s">
        <v>164</v>
      </c>
      <c r="AI70" s="2" t="s">
        <v>1401</v>
      </c>
      <c r="AJ70" s="2" t="s">
        <v>386</v>
      </c>
      <c r="AK70" s="2" t="s">
        <v>937</v>
      </c>
      <c r="AL70" s="2" t="s">
        <v>1373</v>
      </c>
      <c r="AN70" s="2" t="s">
        <v>1374</v>
      </c>
      <c r="AO70" s="2" t="s">
        <v>1400</v>
      </c>
      <c r="AP70" s="151">
        <v>0</v>
      </c>
      <c r="AQ70" s="150">
        <v>10766.93</v>
      </c>
      <c r="AR70" s="150">
        <v>124.46</v>
      </c>
      <c r="AS70" s="150">
        <v>1</v>
      </c>
      <c r="AT70" s="150">
        <v>13.401</v>
      </c>
      <c r="AU70" s="150">
        <v>13.401</v>
      </c>
      <c r="AX70" s="4" t="s">
        <v>164</v>
      </c>
      <c r="AY70" s="2" t="s">
        <v>37</v>
      </c>
      <c r="AZ70" s="164">
        <v>2.6390051007063001E-4</v>
      </c>
      <c r="BA70" s="164">
        <v>5.7259627377485202E-6</v>
      </c>
    </row>
    <row r="71" spans="1:53">
      <c r="A71" s="2" t="s">
        <v>128</v>
      </c>
      <c r="B71" s="2">
        <v>7228</v>
      </c>
      <c r="C71" s="2" t="s">
        <v>1383</v>
      </c>
      <c r="D71" s="2" t="s">
        <v>34</v>
      </c>
      <c r="E71" s="2" t="s">
        <v>1426</v>
      </c>
      <c r="F71" s="2" t="s">
        <v>1427</v>
      </c>
      <c r="G71" s="2" t="s">
        <v>1083</v>
      </c>
      <c r="I71" s="2" t="s">
        <v>31</v>
      </c>
      <c r="J71" s="2" t="s">
        <v>31</v>
      </c>
      <c r="K71" s="2" t="s">
        <v>497</v>
      </c>
      <c r="L71" s="2" t="s">
        <v>164</v>
      </c>
      <c r="M71" s="2" t="s">
        <v>386</v>
      </c>
      <c r="N71" s="27" t="s">
        <v>1383</v>
      </c>
      <c r="O71" s="2" t="s">
        <v>1386</v>
      </c>
      <c r="P71" s="2" t="s">
        <v>1387</v>
      </c>
      <c r="Q71" s="2" t="s">
        <v>217</v>
      </c>
      <c r="R71" s="2" t="s">
        <v>453</v>
      </c>
      <c r="S71" s="2" t="s">
        <v>35</v>
      </c>
      <c r="T71" s="150">
        <v>3.22</v>
      </c>
      <c r="U71" s="2" t="s">
        <v>203</v>
      </c>
      <c r="V71" s="162">
        <v>5.5E-2</v>
      </c>
      <c r="W71" s="2" t="s">
        <v>800</v>
      </c>
      <c r="X71" s="2" t="s">
        <v>1388</v>
      </c>
      <c r="Y71" s="150">
        <v>5.5</v>
      </c>
      <c r="Z71" s="164">
        <v>2.63E-2</v>
      </c>
      <c r="AA71" s="2" t="s">
        <v>1389</v>
      </c>
      <c r="AB71" s="4" t="s">
        <v>458</v>
      </c>
      <c r="AG71" s="2" t="s">
        <v>164</v>
      </c>
      <c r="AJ71" s="2" t="s">
        <v>164</v>
      </c>
      <c r="AK71" s="2" t="s">
        <v>203</v>
      </c>
      <c r="AN71" s="2" t="s">
        <v>1374</v>
      </c>
      <c r="AQ71" s="150">
        <v>8918.25</v>
      </c>
      <c r="AR71" s="150">
        <v>124.4</v>
      </c>
      <c r="AS71" s="150">
        <v>1</v>
      </c>
      <c r="AT71" s="150">
        <v>11.093999999999999</v>
      </c>
      <c r="AU71" s="150">
        <v>11.093999999999999</v>
      </c>
      <c r="AX71" s="4" t="s">
        <v>164</v>
      </c>
      <c r="AY71" s="2" t="s">
        <v>37</v>
      </c>
      <c r="AZ71" s="164">
        <v>2.1848346072040099E-4</v>
      </c>
      <c r="BA71" s="164">
        <v>4.7405295069893403E-6</v>
      </c>
    </row>
    <row r="72" spans="1:53">
      <c r="A72" s="2" t="s">
        <v>128</v>
      </c>
      <c r="B72" s="2">
        <v>7228</v>
      </c>
      <c r="C72" s="2" t="s">
        <v>1383</v>
      </c>
      <c r="D72" s="2" t="s">
        <v>34</v>
      </c>
      <c r="E72" s="2" t="s">
        <v>1428</v>
      </c>
      <c r="F72" s="2" t="s">
        <v>1429</v>
      </c>
      <c r="G72" s="2" t="s">
        <v>1083</v>
      </c>
      <c r="I72" s="2" t="s">
        <v>31</v>
      </c>
      <c r="J72" s="2" t="s">
        <v>31</v>
      </c>
      <c r="K72" s="2" t="s">
        <v>497</v>
      </c>
      <c r="L72" s="2" t="s">
        <v>164</v>
      </c>
      <c r="M72" s="2" t="s">
        <v>386</v>
      </c>
      <c r="N72" s="190" t="s">
        <v>1383</v>
      </c>
      <c r="O72" s="2" t="s">
        <v>1430</v>
      </c>
      <c r="P72" s="2" t="s">
        <v>1392</v>
      </c>
      <c r="Q72" s="2" t="s">
        <v>98</v>
      </c>
      <c r="R72" s="2" t="s">
        <v>453</v>
      </c>
      <c r="S72" s="2" t="s">
        <v>35</v>
      </c>
      <c r="T72" s="150">
        <v>3.21</v>
      </c>
      <c r="U72" s="2" t="s">
        <v>1393</v>
      </c>
      <c r="V72" s="162">
        <v>5.5E-2</v>
      </c>
      <c r="W72" s="2" t="s">
        <v>800</v>
      </c>
      <c r="X72" s="2" t="s">
        <v>954</v>
      </c>
      <c r="Y72" s="150">
        <v>5.5</v>
      </c>
      <c r="Z72" s="164">
        <v>2.8729999999999999E-2</v>
      </c>
      <c r="AA72" s="2" t="s">
        <v>1399</v>
      </c>
      <c r="AB72" s="4" t="s">
        <v>458</v>
      </c>
      <c r="AC72" s="2" t="s">
        <v>529</v>
      </c>
      <c r="AD72" s="150">
        <v>2192</v>
      </c>
      <c r="AE72" s="150">
        <v>0.78</v>
      </c>
      <c r="AF72" s="2" t="s">
        <v>1400</v>
      </c>
      <c r="AG72" s="2" t="s">
        <v>164</v>
      </c>
      <c r="AI72" s="2" t="s">
        <v>1401</v>
      </c>
      <c r="AJ72" s="2" t="s">
        <v>386</v>
      </c>
      <c r="AK72" s="2" t="s">
        <v>937</v>
      </c>
      <c r="AL72" s="2" t="s">
        <v>1373</v>
      </c>
      <c r="AN72" s="2" t="s">
        <v>1374</v>
      </c>
      <c r="AO72" s="2" t="s">
        <v>1400</v>
      </c>
      <c r="AP72" s="151">
        <v>0</v>
      </c>
      <c r="AQ72" s="150">
        <v>20390.669999999998</v>
      </c>
      <c r="AR72" s="150">
        <v>126.48</v>
      </c>
      <c r="AS72" s="150">
        <v>1</v>
      </c>
      <c r="AT72" s="150">
        <v>25.79</v>
      </c>
      <c r="AU72" s="150">
        <v>25.79</v>
      </c>
      <c r="AX72" s="4" t="s">
        <v>164</v>
      </c>
      <c r="AY72" s="2" t="s">
        <v>37</v>
      </c>
      <c r="AZ72" s="164">
        <v>5.0789261320878802E-4</v>
      </c>
      <c r="BA72" s="164">
        <v>1.1019964217700399E-5</v>
      </c>
    </row>
    <row r="73" spans="1:53">
      <c r="A73" s="2" t="s">
        <v>128</v>
      </c>
      <c r="B73" s="2">
        <v>7228</v>
      </c>
      <c r="C73" s="2" t="s">
        <v>1383</v>
      </c>
      <c r="D73" s="2" t="s">
        <v>34</v>
      </c>
      <c r="E73" s="2" t="s">
        <v>1431</v>
      </c>
      <c r="F73" s="2" t="s">
        <v>1432</v>
      </c>
      <c r="G73" s="2" t="s">
        <v>1083</v>
      </c>
      <c r="I73" s="2" t="s">
        <v>31</v>
      </c>
      <c r="J73" s="2" t="s">
        <v>31</v>
      </c>
      <c r="K73" s="2" t="s">
        <v>497</v>
      </c>
      <c r="L73" s="2" t="s">
        <v>164</v>
      </c>
      <c r="M73" s="2" t="s">
        <v>386</v>
      </c>
      <c r="N73" s="190" t="s">
        <v>1383</v>
      </c>
      <c r="O73" s="2" t="s">
        <v>1433</v>
      </c>
      <c r="P73" s="2" t="s">
        <v>1392</v>
      </c>
      <c r="Q73" s="2" t="s">
        <v>98</v>
      </c>
      <c r="R73" s="2" t="s">
        <v>453</v>
      </c>
      <c r="S73" s="2" t="s">
        <v>35</v>
      </c>
      <c r="T73" s="150">
        <v>3.49</v>
      </c>
      <c r="U73" s="2" t="s">
        <v>1393</v>
      </c>
      <c r="V73" s="162">
        <v>5.5E-2</v>
      </c>
      <c r="W73" s="2" t="s">
        <v>800</v>
      </c>
      <c r="X73" s="2" t="s">
        <v>954</v>
      </c>
      <c r="Y73" s="150">
        <v>5.5</v>
      </c>
      <c r="Z73" s="164">
        <v>2.9940000000000001E-2</v>
      </c>
      <c r="AA73" s="2" t="s">
        <v>1389</v>
      </c>
      <c r="AB73" s="4" t="s">
        <v>458</v>
      </c>
      <c r="AC73" s="2" t="s">
        <v>529</v>
      </c>
      <c r="AD73" s="150">
        <v>3904</v>
      </c>
      <c r="AE73" s="150">
        <v>0.78</v>
      </c>
      <c r="AF73" s="2" t="s">
        <v>1400</v>
      </c>
      <c r="AG73" s="2" t="s">
        <v>164</v>
      </c>
      <c r="AI73" s="2" t="s">
        <v>1401</v>
      </c>
      <c r="AJ73" s="2" t="s">
        <v>386</v>
      </c>
      <c r="AK73" s="2" t="s">
        <v>937</v>
      </c>
      <c r="AL73" s="2" t="s">
        <v>1373</v>
      </c>
      <c r="AN73" s="2" t="s">
        <v>1374</v>
      </c>
      <c r="AO73" s="2" t="s">
        <v>1400</v>
      </c>
      <c r="AP73" s="151">
        <v>0</v>
      </c>
      <c r="AQ73" s="150">
        <v>78716.05</v>
      </c>
      <c r="AR73" s="150">
        <v>124.18</v>
      </c>
      <c r="AS73" s="150">
        <v>1</v>
      </c>
      <c r="AT73" s="150">
        <v>97.75</v>
      </c>
      <c r="AU73" s="150">
        <v>97.75</v>
      </c>
      <c r="AX73" s="4" t="s">
        <v>164</v>
      </c>
      <c r="AY73" s="2" t="s">
        <v>37</v>
      </c>
      <c r="AZ73" s="164">
        <v>1.92501222489151E-3</v>
      </c>
      <c r="BA73" s="164">
        <v>4.1767817222062701E-5</v>
      </c>
    </row>
    <row r="74" spans="1:53">
      <c r="A74" s="2" t="s">
        <v>128</v>
      </c>
      <c r="B74" s="2">
        <v>7228</v>
      </c>
      <c r="C74" s="2" t="s">
        <v>1383</v>
      </c>
      <c r="D74" s="2" t="s">
        <v>34</v>
      </c>
      <c r="E74" s="2" t="s">
        <v>1434</v>
      </c>
      <c r="F74" s="2" t="s">
        <v>1435</v>
      </c>
      <c r="G74" s="2" t="s">
        <v>1083</v>
      </c>
      <c r="I74" s="2" t="s">
        <v>31</v>
      </c>
      <c r="J74" s="2" t="s">
        <v>31</v>
      </c>
      <c r="K74" s="2" t="s">
        <v>497</v>
      </c>
      <c r="L74" s="2" t="s">
        <v>164</v>
      </c>
      <c r="M74" s="2" t="s">
        <v>386</v>
      </c>
      <c r="N74" s="27" t="s">
        <v>1383</v>
      </c>
      <c r="O74" s="2" t="s">
        <v>1386</v>
      </c>
      <c r="P74" s="2" t="s">
        <v>1392</v>
      </c>
      <c r="Q74" s="2" t="s">
        <v>98</v>
      </c>
      <c r="R74" s="2" t="s">
        <v>453</v>
      </c>
      <c r="S74" s="2" t="s">
        <v>35</v>
      </c>
      <c r="T74" s="150">
        <v>3.33</v>
      </c>
      <c r="U74" s="2" t="s">
        <v>1393</v>
      </c>
      <c r="V74" s="162">
        <v>5.5E-2</v>
      </c>
      <c r="W74" s="2" t="s">
        <v>800</v>
      </c>
      <c r="X74" s="2" t="s">
        <v>1388</v>
      </c>
      <c r="Y74" s="150">
        <v>5.5</v>
      </c>
      <c r="Z74" s="164">
        <v>3.014E-2</v>
      </c>
      <c r="AA74" s="2" t="s">
        <v>1399</v>
      </c>
      <c r="AB74" s="4" t="s">
        <v>458</v>
      </c>
      <c r="AG74" s="2" t="s">
        <v>164</v>
      </c>
      <c r="AJ74" s="2" t="s">
        <v>164</v>
      </c>
      <c r="AK74" s="2" t="s">
        <v>203</v>
      </c>
      <c r="AN74" s="2" t="s">
        <v>1374</v>
      </c>
      <c r="AQ74" s="150">
        <v>95612.45</v>
      </c>
      <c r="AR74" s="150">
        <v>126.1</v>
      </c>
      <c r="AS74" s="150">
        <v>1</v>
      </c>
      <c r="AT74" s="150">
        <v>120.56699999999999</v>
      </c>
      <c r="AU74" s="150">
        <v>120.56699999999999</v>
      </c>
      <c r="AX74" s="4" t="s">
        <v>164</v>
      </c>
      <c r="AY74" s="2" t="s">
        <v>37</v>
      </c>
      <c r="AZ74" s="164">
        <v>2.3743682531069199E-3</v>
      </c>
      <c r="BA74" s="164">
        <v>5.1517688008047399E-5</v>
      </c>
    </row>
    <row r="75" spans="1:53">
      <c r="A75" s="2" t="s">
        <v>128</v>
      </c>
      <c r="B75" s="2">
        <v>7228</v>
      </c>
      <c r="C75" s="2" t="s">
        <v>1383</v>
      </c>
      <c r="D75" s="2" t="s">
        <v>34</v>
      </c>
      <c r="E75" s="2" t="s">
        <v>1436</v>
      </c>
      <c r="F75" s="2" t="s">
        <v>1437</v>
      </c>
      <c r="G75" s="2" t="s">
        <v>1083</v>
      </c>
      <c r="I75" s="2" t="s">
        <v>31</v>
      </c>
      <c r="J75" s="2" t="s">
        <v>31</v>
      </c>
      <c r="K75" s="2" t="s">
        <v>497</v>
      </c>
      <c r="L75" s="2" t="s">
        <v>164</v>
      </c>
      <c r="M75" s="2" t="s">
        <v>386</v>
      </c>
      <c r="N75" s="27" t="s">
        <v>1383</v>
      </c>
      <c r="O75" s="2" t="s">
        <v>1386</v>
      </c>
      <c r="P75" s="2" t="s">
        <v>1392</v>
      </c>
      <c r="Q75" s="2" t="s">
        <v>98</v>
      </c>
      <c r="R75" s="2" t="s">
        <v>453</v>
      </c>
      <c r="S75" s="2" t="s">
        <v>35</v>
      </c>
      <c r="T75" s="150">
        <v>3.34</v>
      </c>
      <c r="U75" s="2" t="s">
        <v>1393</v>
      </c>
      <c r="V75" s="162">
        <v>5.5888E-2</v>
      </c>
      <c r="W75" s="2" t="s">
        <v>800</v>
      </c>
      <c r="X75" s="2" t="s">
        <v>1388</v>
      </c>
      <c r="Y75" s="150">
        <v>5.5888</v>
      </c>
      <c r="Z75" s="164">
        <v>2.7910000000000001E-2</v>
      </c>
      <c r="AA75" s="2" t="s">
        <v>1399</v>
      </c>
      <c r="AB75" s="4" t="s">
        <v>458</v>
      </c>
      <c r="AG75" s="2" t="s">
        <v>164</v>
      </c>
      <c r="AJ75" s="2" t="s">
        <v>164</v>
      </c>
      <c r="AK75" s="2" t="s">
        <v>203</v>
      </c>
      <c r="AN75" s="2" t="s">
        <v>1374</v>
      </c>
      <c r="AQ75" s="150">
        <v>20016.45</v>
      </c>
      <c r="AR75" s="150">
        <v>127.86</v>
      </c>
      <c r="AS75" s="150">
        <v>1</v>
      </c>
      <c r="AT75" s="150">
        <v>25.593</v>
      </c>
      <c r="AU75" s="150">
        <v>25.593</v>
      </c>
      <c r="AX75" s="4" t="s">
        <v>164</v>
      </c>
      <c r="AY75" s="2" t="s">
        <v>37</v>
      </c>
      <c r="AZ75" s="164">
        <v>5.0401133028518598E-4</v>
      </c>
      <c r="BA75" s="164">
        <v>1.0935750354721301E-5</v>
      </c>
    </row>
    <row r="76" spans="1:53">
      <c r="A76" s="2" t="s">
        <v>128</v>
      </c>
      <c r="B76" s="2">
        <v>7228</v>
      </c>
      <c r="C76" s="2" t="s">
        <v>1383</v>
      </c>
      <c r="D76" s="2" t="s">
        <v>34</v>
      </c>
      <c r="E76" s="2" t="s">
        <v>1438</v>
      </c>
      <c r="F76" s="2" t="s">
        <v>1439</v>
      </c>
      <c r="G76" s="2" t="s">
        <v>1083</v>
      </c>
      <c r="I76" s="2" t="s">
        <v>31</v>
      </c>
      <c r="J76" s="2" t="s">
        <v>31</v>
      </c>
      <c r="K76" s="2" t="s">
        <v>497</v>
      </c>
      <c r="L76" s="2" t="s">
        <v>164</v>
      </c>
      <c r="M76" s="2" t="s">
        <v>386</v>
      </c>
      <c r="N76" s="190" t="s">
        <v>1383</v>
      </c>
      <c r="O76" s="2" t="s">
        <v>1440</v>
      </c>
      <c r="P76" s="2" t="s">
        <v>1392</v>
      </c>
      <c r="Q76" s="2" t="s">
        <v>98</v>
      </c>
      <c r="R76" s="2" t="s">
        <v>453</v>
      </c>
      <c r="S76" s="2" t="s">
        <v>35</v>
      </c>
      <c r="T76" s="150">
        <v>3.33</v>
      </c>
      <c r="U76" s="2" t="s">
        <v>1393</v>
      </c>
      <c r="V76" s="162">
        <v>5.6193E-2</v>
      </c>
      <c r="W76" s="2" t="s">
        <v>800</v>
      </c>
      <c r="X76" s="2" t="s">
        <v>954</v>
      </c>
      <c r="Y76" s="150">
        <v>5.6193</v>
      </c>
      <c r="Z76" s="164">
        <v>2.9010000000000001E-2</v>
      </c>
      <c r="AA76" s="2" t="s">
        <v>1399</v>
      </c>
      <c r="AB76" s="4" t="s">
        <v>458</v>
      </c>
      <c r="AC76" s="2" t="s">
        <v>529</v>
      </c>
      <c r="AD76" s="150">
        <v>3026</v>
      </c>
      <c r="AE76" s="150">
        <v>0.78</v>
      </c>
      <c r="AF76" s="2" t="s">
        <v>1400</v>
      </c>
      <c r="AG76" s="2" t="s">
        <v>164</v>
      </c>
      <c r="AI76" s="2" t="s">
        <v>1401</v>
      </c>
      <c r="AJ76" s="2" t="s">
        <v>386</v>
      </c>
      <c r="AK76" s="2" t="s">
        <v>937</v>
      </c>
      <c r="AL76" s="2" t="s">
        <v>1373</v>
      </c>
      <c r="AN76" s="2" t="s">
        <v>1374</v>
      </c>
      <c r="AO76" s="2" t="s">
        <v>1400</v>
      </c>
      <c r="AP76" s="151">
        <v>0</v>
      </c>
      <c r="AQ76" s="150">
        <v>28130.13</v>
      </c>
      <c r="AR76" s="150">
        <v>126.83</v>
      </c>
      <c r="AS76" s="150">
        <v>1</v>
      </c>
      <c r="AT76" s="150">
        <v>35.677</v>
      </c>
      <c r="AU76" s="150">
        <v>35.677</v>
      </c>
      <c r="AX76" s="4" t="s">
        <v>164</v>
      </c>
      <c r="AY76" s="2" t="s">
        <v>37</v>
      </c>
      <c r="AZ76" s="164">
        <v>7.0260668095524503E-4</v>
      </c>
      <c r="BA76" s="164">
        <v>1.5244758994085101E-5</v>
      </c>
    </row>
    <row r="77" spans="1:53">
      <c r="A77" s="2" t="s">
        <v>128</v>
      </c>
      <c r="B77" s="2">
        <v>7228</v>
      </c>
      <c r="C77" s="2" t="s">
        <v>1383</v>
      </c>
      <c r="D77" s="2" t="s">
        <v>34</v>
      </c>
      <c r="E77" s="2" t="s">
        <v>1441</v>
      </c>
      <c r="F77" s="2" t="s">
        <v>1442</v>
      </c>
      <c r="G77" s="2" t="s">
        <v>1083</v>
      </c>
      <c r="I77" s="2" t="s">
        <v>31</v>
      </c>
      <c r="J77" s="2" t="s">
        <v>31</v>
      </c>
      <c r="K77" s="2" t="s">
        <v>497</v>
      </c>
      <c r="L77" s="2" t="s">
        <v>164</v>
      </c>
      <c r="M77" s="2" t="s">
        <v>386</v>
      </c>
      <c r="N77" s="27" t="s">
        <v>1383</v>
      </c>
      <c r="O77" s="2" t="s">
        <v>1386</v>
      </c>
      <c r="P77" s="2" t="s">
        <v>1387</v>
      </c>
      <c r="Q77" s="2" t="s">
        <v>217</v>
      </c>
      <c r="R77" s="2" t="s">
        <v>453</v>
      </c>
      <c r="S77" s="2" t="s">
        <v>35</v>
      </c>
      <c r="T77" s="150">
        <v>3.19</v>
      </c>
      <c r="U77" s="2" t="s">
        <v>203</v>
      </c>
      <c r="V77" s="162">
        <v>5.5E-2</v>
      </c>
      <c r="W77" s="2" t="s">
        <v>800</v>
      </c>
      <c r="X77" s="2" t="s">
        <v>1388</v>
      </c>
      <c r="Y77" s="150">
        <v>5.5</v>
      </c>
      <c r="Z77" s="164">
        <v>3.526E-2</v>
      </c>
      <c r="AA77" s="2" t="s">
        <v>1389</v>
      </c>
      <c r="AB77" s="4" t="s">
        <v>458</v>
      </c>
      <c r="AG77" s="2" t="s">
        <v>164</v>
      </c>
      <c r="AJ77" s="2" t="s">
        <v>164</v>
      </c>
      <c r="AK77" s="2" t="s">
        <v>203</v>
      </c>
      <c r="AN77" s="2" t="s">
        <v>1374</v>
      </c>
      <c r="AQ77" s="150">
        <v>35632.379999999997</v>
      </c>
      <c r="AR77" s="150">
        <v>120.3</v>
      </c>
      <c r="AS77" s="150">
        <v>1</v>
      </c>
      <c r="AT77" s="150">
        <v>42.866</v>
      </c>
      <c r="AU77" s="150">
        <v>42.866</v>
      </c>
      <c r="AX77" s="4" t="s">
        <v>164</v>
      </c>
      <c r="AY77" s="2" t="s">
        <v>37</v>
      </c>
      <c r="AZ77" s="164">
        <v>8.4416822691913199E-4</v>
      </c>
      <c r="BA77" s="164">
        <v>1.8316280671214001E-5</v>
      </c>
    </row>
    <row r="78" spans="1:53">
      <c r="A78" s="2" t="s">
        <v>128</v>
      </c>
      <c r="B78" s="2">
        <v>7228</v>
      </c>
      <c r="C78" s="2" t="s">
        <v>1383</v>
      </c>
      <c r="D78" s="2" t="s">
        <v>34</v>
      </c>
      <c r="E78" s="2" t="s">
        <v>1443</v>
      </c>
      <c r="F78" s="2" t="s">
        <v>1444</v>
      </c>
      <c r="G78" s="2" t="s">
        <v>1083</v>
      </c>
      <c r="I78" s="2" t="s">
        <v>31</v>
      </c>
      <c r="J78" s="2" t="s">
        <v>31</v>
      </c>
      <c r="K78" s="2" t="s">
        <v>497</v>
      </c>
      <c r="L78" s="2" t="s">
        <v>164</v>
      </c>
      <c r="M78" s="2" t="s">
        <v>386</v>
      </c>
      <c r="N78" s="27" t="s">
        <v>1383</v>
      </c>
      <c r="O78" s="2" t="s">
        <v>1386</v>
      </c>
      <c r="P78" s="2" t="s">
        <v>1387</v>
      </c>
      <c r="Q78" s="2" t="s">
        <v>217</v>
      </c>
      <c r="R78" s="2" t="s">
        <v>453</v>
      </c>
      <c r="S78" s="2" t="s">
        <v>35</v>
      </c>
      <c r="T78" s="150">
        <v>3.21</v>
      </c>
      <c r="U78" s="2" t="s">
        <v>203</v>
      </c>
      <c r="V78" s="162">
        <v>5.5E-2</v>
      </c>
      <c r="W78" s="2" t="s">
        <v>800</v>
      </c>
      <c r="X78" s="2" t="s">
        <v>1388</v>
      </c>
      <c r="Y78" s="150">
        <v>5.5</v>
      </c>
      <c r="Z78" s="164">
        <v>2.8760000000000001E-2</v>
      </c>
      <c r="AA78" s="2" t="s">
        <v>1389</v>
      </c>
      <c r="AB78" s="4" t="s">
        <v>458</v>
      </c>
      <c r="AG78" s="2" t="s">
        <v>164</v>
      </c>
      <c r="AJ78" s="2" t="s">
        <v>164</v>
      </c>
      <c r="AK78" s="2" t="s">
        <v>203</v>
      </c>
      <c r="AN78" s="2" t="s">
        <v>1374</v>
      </c>
      <c r="AQ78" s="150">
        <v>4427.5</v>
      </c>
      <c r="AR78" s="150">
        <v>122.29</v>
      </c>
      <c r="AS78" s="150">
        <v>1</v>
      </c>
      <c r="AT78" s="150">
        <v>5.4139999999999997</v>
      </c>
      <c r="AU78" s="150">
        <v>5.4139999999999997</v>
      </c>
      <c r="AX78" s="4" t="s">
        <v>164</v>
      </c>
      <c r="AY78" s="2" t="s">
        <v>37</v>
      </c>
      <c r="AZ78" s="164">
        <v>1.0662721310830101E-4</v>
      </c>
      <c r="BA78" s="164">
        <v>2.31353644949265E-6</v>
      </c>
    </row>
    <row r="79" spans="1:53">
      <c r="A79" s="2" t="s">
        <v>128</v>
      </c>
      <c r="B79" s="2">
        <v>7228</v>
      </c>
      <c r="C79" s="2" t="s">
        <v>1383</v>
      </c>
      <c r="D79" s="2" t="s">
        <v>34</v>
      </c>
      <c r="E79" s="2" t="s">
        <v>1445</v>
      </c>
      <c r="F79" s="2" t="s">
        <v>1446</v>
      </c>
      <c r="G79" s="2" t="s">
        <v>1083</v>
      </c>
      <c r="I79" s="2" t="s">
        <v>31</v>
      </c>
      <c r="J79" s="2" t="s">
        <v>31</v>
      </c>
      <c r="K79" s="2" t="s">
        <v>497</v>
      </c>
      <c r="L79" s="2" t="s">
        <v>164</v>
      </c>
      <c r="M79" s="2" t="s">
        <v>386</v>
      </c>
      <c r="N79" s="27" t="s">
        <v>1383</v>
      </c>
      <c r="O79" s="2" t="s">
        <v>1386</v>
      </c>
      <c r="P79" s="2" t="s">
        <v>1387</v>
      </c>
      <c r="Q79" s="2" t="s">
        <v>217</v>
      </c>
      <c r="R79" s="2" t="s">
        <v>453</v>
      </c>
      <c r="S79" s="2" t="s">
        <v>35</v>
      </c>
      <c r="T79" s="150">
        <v>3.21</v>
      </c>
      <c r="U79" s="2" t="s">
        <v>203</v>
      </c>
      <c r="V79" s="162">
        <v>5.5E-2</v>
      </c>
      <c r="W79" s="2" t="s">
        <v>800</v>
      </c>
      <c r="X79" s="2" t="s">
        <v>1388</v>
      </c>
      <c r="Y79" s="150">
        <v>5.5</v>
      </c>
      <c r="Z79" s="164">
        <v>3.0009999999999998E-2</v>
      </c>
      <c r="AA79" s="2" t="s">
        <v>1389</v>
      </c>
      <c r="AB79" s="4" t="s">
        <v>458</v>
      </c>
      <c r="AG79" s="2" t="s">
        <v>164</v>
      </c>
      <c r="AJ79" s="2" t="s">
        <v>164</v>
      </c>
      <c r="AK79" s="2" t="s">
        <v>203</v>
      </c>
      <c r="AN79" s="2" t="s">
        <v>1374</v>
      </c>
      <c r="AQ79" s="150">
        <v>9832.5300000000007</v>
      </c>
      <c r="AR79" s="150">
        <v>122.31</v>
      </c>
      <c r="AS79" s="150">
        <v>1</v>
      </c>
      <c r="AT79" s="150">
        <v>12.026</v>
      </c>
      <c r="AU79" s="150">
        <v>12.026</v>
      </c>
      <c r="AX79" s="4" t="s">
        <v>164</v>
      </c>
      <c r="AY79" s="2" t="s">
        <v>37</v>
      </c>
      <c r="AZ79" s="164">
        <v>2.36834948725455E-4</v>
      </c>
      <c r="BA79" s="164">
        <v>5.1387096259707397E-6</v>
      </c>
    </row>
    <row r="80" spans="1:53">
      <c r="A80" s="2" t="s">
        <v>128</v>
      </c>
      <c r="B80" s="2">
        <v>7228</v>
      </c>
      <c r="C80" s="2" t="s">
        <v>1383</v>
      </c>
      <c r="D80" s="2" t="s">
        <v>34</v>
      </c>
      <c r="E80" s="2" t="s">
        <v>1447</v>
      </c>
      <c r="F80" s="2" t="s">
        <v>1448</v>
      </c>
      <c r="G80" s="2" t="s">
        <v>1083</v>
      </c>
      <c r="I80" s="2" t="s">
        <v>31</v>
      </c>
      <c r="J80" s="2" t="s">
        <v>31</v>
      </c>
      <c r="K80" s="2" t="s">
        <v>497</v>
      </c>
      <c r="L80" s="2" t="s">
        <v>164</v>
      </c>
      <c r="M80" s="2" t="s">
        <v>386</v>
      </c>
      <c r="N80" s="190" t="s">
        <v>1383</v>
      </c>
      <c r="O80" s="2" t="s">
        <v>1449</v>
      </c>
      <c r="P80" s="2" t="s">
        <v>1392</v>
      </c>
      <c r="Q80" s="2" t="s">
        <v>98</v>
      </c>
      <c r="R80" s="2" t="s">
        <v>453</v>
      </c>
      <c r="S80" s="2" t="s">
        <v>35</v>
      </c>
      <c r="T80" s="150">
        <v>3.33</v>
      </c>
      <c r="U80" s="2" t="s">
        <v>203</v>
      </c>
      <c r="V80" s="162">
        <v>5.7230999999999997E-2</v>
      </c>
      <c r="W80" s="2" t="s">
        <v>800</v>
      </c>
      <c r="X80" s="2" t="s">
        <v>954</v>
      </c>
      <c r="Y80" s="150">
        <v>5.7230999999999996</v>
      </c>
      <c r="Z80" s="164">
        <v>2.896E-2</v>
      </c>
      <c r="AA80" s="2" t="s">
        <v>1399</v>
      </c>
      <c r="AB80" s="4" t="s">
        <v>458</v>
      </c>
      <c r="AC80" s="2" t="s">
        <v>529</v>
      </c>
      <c r="AD80" s="150">
        <v>4685</v>
      </c>
      <c r="AE80" s="150">
        <v>0.78</v>
      </c>
      <c r="AF80" s="2" t="s">
        <v>1400</v>
      </c>
      <c r="AG80" s="2" t="s">
        <v>164</v>
      </c>
      <c r="AI80" s="2" t="s">
        <v>1401</v>
      </c>
      <c r="AJ80" s="2" t="s">
        <v>386</v>
      </c>
      <c r="AK80" s="2" t="s">
        <v>937</v>
      </c>
      <c r="AL80" s="2" t="s">
        <v>1373</v>
      </c>
      <c r="AN80" s="2" t="s">
        <v>1374</v>
      </c>
      <c r="AO80" s="2" t="s">
        <v>1400</v>
      </c>
      <c r="AP80" s="151">
        <v>0</v>
      </c>
      <c r="AQ80" s="150">
        <v>94458.01</v>
      </c>
      <c r="AR80" s="150">
        <v>127.39</v>
      </c>
      <c r="AS80" s="150">
        <v>1</v>
      </c>
      <c r="AT80" s="150">
        <v>120.33</v>
      </c>
      <c r="AU80" s="150">
        <v>120.33</v>
      </c>
      <c r="AX80" s="4" t="s">
        <v>164</v>
      </c>
      <c r="AY80" s="2" t="s">
        <v>37</v>
      </c>
      <c r="AZ80" s="164">
        <v>2.3696962040501801E-3</v>
      </c>
      <c r="BA80" s="164">
        <v>5.1416316552567203E-5</v>
      </c>
    </row>
    <row r="81" spans="1:53">
      <c r="A81" s="2" t="s">
        <v>128</v>
      </c>
      <c r="B81" s="2">
        <v>7228</v>
      </c>
      <c r="C81" s="2" t="s">
        <v>1383</v>
      </c>
      <c r="D81" s="2" t="s">
        <v>34</v>
      </c>
      <c r="E81" s="2" t="s">
        <v>1450</v>
      </c>
      <c r="F81" s="2" t="s">
        <v>1451</v>
      </c>
      <c r="G81" s="2" t="s">
        <v>1083</v>
      </c>
      <c r="I81" s="2" t="s">
        <v>31</v>
      </c>
      <c r="J81" s="2" t="s">
        <v>31</v>
      </c>
      <c r="K81" s="2" t="s">
        <v>497</v>
      </c>
      <c r="L81" s="2" t="s">
        <v>164</v>
      </c>
      <c r="M81" s="2" t="s">
        <v>386</v>
      </c>
      <c r="N81" s="27" t="s">
        <v>1383</v>
      </c>
      <c r="O81" s="2" t="s">
        <v>1386</v>
      </c>
      <c r="P81" s="2" t="s">
        <v>1392</v>
      </c>
      <c r="Q81" s="2" t="s">
        <v>98</v>
      </c>
      <c r="R81" s="2" t="s">
        <v>453</v>
      </c>
      <c r="S81" s="2" t="s">
        <v>35</v>
      </c>
      <c r="T81" s="150">
        <v>3.19</v>
      </c>
      <c r="U81" s="2" t="s">
        <v>1393</v>
      </c>
      <c r="V81" s="162">
        <v>5.6619999999999997E-2</v>
      </c>
      <c r="W81" s="2" t="s">
        <v>800</v>
      </c>
      <c r="X81" s="2" t="s">
        <v>1388</v>
      </c>
      <c r="Y81" s="150">
        <v>5.6619999999999999</v>
      </c>
      <c r="Z81" s="164">
        <v>3.49E-2</v>
      </c>
      <c r="AA81" s="2" t="s">
        <v>1389</v>
      </c>
      <c r="AB81" s="4" t="s">
        <v>458</v>
      </c>
      <c r="AG81" s="2" t="s">
        <v>164</v>
      </c>
      <c r="AJ81" s="2" t="s">
        <v>164</v>
      </c>
      <c r="AK81" s="2" t="s">
        <v>203</v>
      </c>
      <c r="AN81" s="2" t="s">
        <v>1374</v>
      </c>
      <c r="AQ81" s="150">
        <v>21240.560000000001</v>
      </c>
      <c r="AR81" s="150">
        <v>125.19</v>
      </c>
      <c r="AS81" s="150">
        <v>1</v>
      </c>
      <c r="AT81" s="150">
        <v>26.591000000000001</v>
      </c>
      <c r="AU81" s="150">
        <v>26.591000000000001</v>
      </c>
      <c r="AX81" s="4" t="s">
        <v>164</v>
      </c>
      <c r="AY81" s="2" t="s">
        <v>37</v>
      </c>
      <c r="AZ81" s="164">
        <v>5.23665720285122E-4</v>
      </c>
      <c r="BA81" s="164">
        <v>1.13622000980079E-5</v>
      </c>
    </row>
    <row r="82" spans="1:53">
      <c r="A82" s="2" t="s">
        <v>128</v>
      </c>
      <c r="B82" s="2">
        <v>7228</v>
      </c>
      <c r="C82" s="2" t="s">
        <v>1383</v>
      </c>
      <c r="D82" s="2" t="s">
        <v>34</v>
      </c>
      <c r="E82" s="2" t="s">
        <v>1452</v>
      </c>
      <c r="F82" s="2" t="s">
        <v>1453</v>
      </c>
      <c r="G82" s="2" t="s">
        <v>1083</v>
      </c>
      <c r="I82" s="2" t="s">
        <v>31</v>
      </c>
      <c r="J82" s="2" t="s">
        <v>31</v>
      </c>
      <c r="K82" s="2" t="s">
        <v>497</v>
      </c>
      <c r="L82" s="2" t="s">
        <v>164</v>
      </c>
      <c r="M82" s="2" t="s">
        <v>386</v>
      </c>
      <c r="N82" s="190" t="s">
        <v>1383</v>
      </c>
      <c r="O82" s="2" t="s">
        <v>1454</v>
      </c>
      <c r="P82" s="2" t="s">
        <v>1392</v>
      </c>
      <c r="Q82" s="2" t="s">
        <v>98</v>
      </c>
      <c r="R82" s="2" t="s">
        <v>453</v>
      </c>
      <c r="S82" s="2" t="s">
        <v>35</v>
      </c>
      <c r="T82" s="150">
        <v>3.49</v>
      </c>
      <c r="U82" s="2" t="s">
        <v>1393</v>
      </c>
      <c r="V82" s="162">
        <v>5.5E-2</v>
      </c>
      <c r="W82" s="2" t="s">
        <v>800</v>
      </c>
      <c r="X82" s="2" t="s">
        <v>954</v>
      </c>
      <c r="Y82" s="150">
        <v>5.5</v>
      </c>
      <c r="Z82" s="164">
        <v>2.9960000000000001E-2</v>
      </c>
      <c r="AA82" s="2" t="s">
        <v>1399</v>
      </c>
      <c r="AB82" s="4" t="s">
        <v>458</v>
      </c>
      <c r="AC82" s="2" t="s">
        <v>529</v>
      </c>
      <c r="AD82" s="150">
        <v>6161</v>
      </c>
      <c r="AE82" s="150">
        <v>0.78</v>
      </c>
      <c r="AF82" s="2" t="s">
        <v>1400</v>
      </c>
      <c r="AG82" s="2" t="s">
        <v>164</v>
      </c>
      <c r="AI82" s="2" t="s">
        <v>1401</v>
      </c>
      <c r="AJ82" s="2" t="s">
        <v>386</v>
      </c>
      <c r="AK82" s="2" t="s">
        <v>937</v>
      </c>
      <c r="AL82" s="2" t="s">
        <v>1373</v>
      </c>
      <c r="AN82" s="2" t="s">
        <v>1374</v>
      </c>
      <c r="AO82" s="2" t="s">
        <v>1400</v>
      </c>
      <c r="AP82" s="151">
        <v>0</v>
      </c>
      <c r="AQ82" s="150">
        <v>124197.81</v>
      </c>
      <c r="AR82" s="150">
        <v>124.15</v>
      </c>
      <c r="AS82" s="150">
        <v>1</v>
      </c>
      <c r="AT82" s="150">
        <v>154.19200000000001</v>
      </c>
      <c r="AU82" s="150">
        <v>154.19200000000001</v>
      </c>
      <c r="AX82" s="4" t="s">
        <v>164</v>
      </c>
      <c r="AY82" s="2" t="s">
        <v>37</v>
      </c>
      <c r="AZ82" s="164">
        <v>3.03654139029335E-3</v>
      </c>
      <c r="BA82" s="164">
        <v>6.5885143032869901E-5</v>
      </c>
    </row>
    <row r="83" spans="1:53">
      <c r="A83" s="2" t="s">
        <v>128</v>
      </c>
      <c r="B83" s="2">
        <v>7228</v>
      </c>
      <c r="C83" s="2" t="s">
        <v>1383</v>
      </c>
      <c r="D83" s="2" t="s">
        <v>34</v>
      </c>
      <c r="E83" s="2" t="s">
        <v>1455</v>
      </c>
      <c r="F83" s="2" t="s">
        <v>1456</v>
      </c>
      <c r="G83" s="2" t="s">
        <v>1083</v>
      </c>
      <c r="I83" s="2" t="s">
        <v>31</v>
      </c>
      <c r="J83" s="2" t="s">
        <v>31</v>
      </c>
      <c r="K83" s="2" t="s">
        <v>497</v>
      </c>
      <c r="L83" s="2" t="s">
        <v>164</v>
      </c>
      <c r="M83" s="2" t="s">
        <v>386</v>
      </c>
      <c r="N83" s="190" t="s">
        <v>1383</v>
      </c>
      <c r="O83" s="2" t="s">
        <v>1457</v>
      </c>
      <c r="P83" s="2" t="s">
        <v>1392</v>
      </c>
      <c r="Q83" s="2" t="s">
        <v>98</v>
      </c>
      <c r="R83" s="2" t="s">
        <v>453</v>
      </c>
      <c r="S83" s="2" t="s">
        <v>35</v>
      </c>
      <c r="T83" s="150">
        <v>3.49</v>
      </c>
      <c r="U83" s="2" t="s">
        <v>1393</v>
      </c>
      <c r="V83" s="162">
        <v>5.5309999999999998E-2</v>
      </c>
      <c r="W83" s="2" t="s">
        <v>800</v>
      </c>
      <c r="X83" s="2" t="s">
        <v>954</v>
      </c>
      <c r="Y83" s="150">
        <v>5.5309999999999997</v>
      </c>
      <c r="Z83" s="164">
        <v>2.9579999999999999E-2</v>
      </c>
      <c r="AA83" s="2" t="s">
        <v>1389</v>
      </c>
      <c r="AB83" s="4" t="s">
        <v>458</v>
      </c>
      <c r="AC83" s="2" t="s">
        <v>529</v>
      </c>
      <c r="AD83" s="150">
        <v>9674</v>
      </c>
      <c r="AE83" s="150">
        <v>0.78</v>
      </c>
      <c r="AF83" s="2" t="s">
        <v>1400</v>
      </c>
      <c r="AG83" s="2" t="s">
        <v>164</v>
      </c>
      <c r="AI83" s="2" t="s">
        <v>1401</v>
      </c>
      <c r="AJ83" s="2" t="s">
        <v>386</v>
      </c>
      <c r="AK83" s="2" t="s">
        <v>937</v>
      </c>
      <c r="AL83" s="2" t="s">
        <v>1373</v>
      </c>
      <c r="AN83" s="2" t="s">
        <v>1374</v>
      </c>
      <c r="AO83" s="2" t="s">
        <v>1400</v>
      </c>
      <c r="AP83" s="151">
        <v>0</v>
      </c>
      <c r="AQ83" s="150">
        <v>89960.85</v>
      </c>
      <c r="AR83" s="150">
        <v>126.7</v>
      </c>
      <c r="AS83" s="150">
        <v>1</v>
      </c>
      <c r="AT83" s="150">
        <v>113.98</v>
      </c>
      <c r="AU83" s="150">
        <v>113.98</v>
      </c>
      <c r="AX83" s="4" t="s">
        <v>164</v>
      </c>
      <c r="AY83" s="2" t="s">
        <v>37</v>
      </c>
      <c r="AZ83" s="164">
        <v>2.2446503921806599E-3</v>
      </c>
      <c r="BA83" s="164">
        <v>4.8703143853186E-5</v>
      </c>
    </row>
    <row r="84" spans="1:53">
      <c r="A84" s="2" t="s">
        <v>128</v>
      </c>
      <c r="B84" s="2">
        <v>7228</v>
      </c>
      <c r="C84" s="2" t="s">
        <v>1383</v>
      </c>
      <c r="D84" s="2" t="s">
        <v>34</v>
      </c>
      <c r="E84" s="2" t="s">
        <v>1458</v>
      </c>
      <c r="F84" s="2" t="s">
        <v>1459</v>
      </c>
      <c r="G84" s="2" t="s">
        <v>1083</v>
      </c>
      <c r="I84" s="2" t="s">
        <v>31</v>
      </c>
      <c r="J84" s="2" t="s">
        <v>31</v>
      </c>
      <c r="K84" s="2" t="s">
        <v>497</v>
      </c>
      <c r="L84" s="2" t="s">
        <v>164</v>
      </c>
      <c r="M84" s="2" t="s">
        <v>386</v>
      </c>
      <c r="N84" s="27" t="s">
        <v>1383</v>
      </c>
      <c r="O84" s="2" t="s">
        <v>1460</v>
      </c>
      <c r="P84" s="2" t="s">
        <v>1387</v>
      </c>
      <c r="Q84" s="2" t="s">
        <v>217</v>
      </c>
      <c r="R84" s="2" t="s">
        <v>453</v>
      </c>
      <c r="S84" s="2" t="s">
        <v>35</v>
      </c>
      <c r="T84" s="150">
        <v>3.47</v>
      </c>
      <c r="U84" s="2" t="s">
        <v>203</v>
      </c>
      <c r="V84" s="162">
        <v>5.5E-2</v>
      </c>
      <c r="W84" s="2" t="s">
        <v>800</v>
      </c>
      <c r="X84" s="2" t="s">
        <v>1388</v>
      </c>
      <c r="Y84" s="150">
        <v>5.5</v>
      </c>
      <c r="Z84" s="164">
        <v>2.988E-2</v>
      </c>
      <c r="AA84" s="2" t="s">
        <v>1399</v>
      </c>
      <c r="AB84" s="4" t="s">
        <v>458</v>
      </c>
      <c r="AG84" s="2" t="s">
        <v>164</v>
      </c>
      <c r="AJ84" s="2" t="s">
        <v>164</v>
      </c>
      <c r="AK84" s="2" t="s">
        <v>203</v>
      </c>
      <c r="AN84" s="2" t="s">
        <v>1374</v>
      </c>
      <c r="AQ84" s="150">
        <v>21457.34</v>
      </c>
      <c r="AR84" s="150">
        <v>125.22</v>
      </c>
      <c r="AS84" s="150">
        <v>1</v>
      </c>
      <c r="AT84" s="150">
        <v>26.869</v>
      </c>
      <c r="AU84" s="150">
        <v>26.869</v>
      </c>
      <c r="AX84" s="4" t="s">
        <v>164</v>
      </c>
      <c r="AY84" s="2" t="s">
        <v>37</v>
      </c>
      <c r="AZ84" s="164">
        <v>5.2913699390580795E-4</v>
      </c>
      <c r="BA84" s="164">
        <v>1.1480912672196101E-5</v>
      </c>
    </row>
    <row r="85" spans="1:53">
      <c r="A85" s="2" t="s">
        <v>128</v>
      </c>
      <c r="B85" s="2">
        <v>7228</v>
      </c>
      <c r="C85" s="2" t="s">
        <v>1383</v>
      </c>
      <c r="D85" s="2" t="s">
        <v>34</v>
      </c>
      <c r="E85" s="2" t="s">
        <v>1461</v>
      </c>
      <c r="F85" s="2" t="s">
        <v>1462</v>
      </c>
      <c r="G85" s="2" t="s">
        <v>1083</v>
      </c>
      <c r="I85" s="2" t="s">
        <v>31</v>
      </c>
      <c r="J85" s="2" t="s">
        <v>31</v>
      </c>
      <c r="K85" s="2" t="s">
        <v>497</v>
      </c>
      <c r="L85" s="2" t="s">
        <v>164</v>
      </c>
      <c r="M85" s="2" t="s">
        <v>386</v>
      </c>
      <c r="N85" s="190" t="s">
        <v>1383</v>
      </c>
      <c r="O85" s="2" t="s">
        <v>1463</v>
      </c>
      <c r="P85" s="2" t="s">
        <v>1392</v>
      </c>
      <c r="Q85" s="2" t="s">
        <v>98</v>
      </c>
      <c r="R85" s="2" t="s">
        <v>453</v>
      </c>
      <c r="S85" s="2" t="s">
        <v>35</v>
      </c>
      <c r="T85" s="150">
        <v>3.46</v>
      </c>
      <c r="U85" s="2" t="s">
        <v>1393</v>
      </c>
      <c r="V85" s="162">
        <v>5.5E-2</v>
      </c>
      <c r="W85" s="2" t="s">
        <v>800</v>
      </c>
      <c r="X85" s="2" t="s">
        <v>954</v>
      </c>
      <c r="Y85" s="150">
        <v>5.5</v>
      </c>
      <c r="Z85" s="164">
        <v>3.279E-2</v>
      </c>
      <c r="AA85" s="2" t="s">
        <v>1389</v>
      </c>
      <c r="AB85" s="4" t="s">
        <v>458</v>
      </c>
      <c r="AC85" s="2" t="s">
        <v>529</v>
      </c>
      <c r="AD85" s="150">
        <v>2154</v>
      </c>
      <c r="AE85" s="150">
        <v>0.78</v>
      </c>
      <c r="AF85" s="2" t="s">
        <v>1400</v>
      </c>
      <c r="AG85" s="2" t="s">
        <v>164</v>
      </c>
      <c r="AI85" s="2" t="s">
        <v>1401</v>
      </c>
      <c r="AJ85" s="2" t="s">
        <v>386</v>
      </c>
      <c r="AK85" s="2" t="s">
        <v>937</v>
      </c>
      <c r="AL85" s="2" t="s">
        <v>1373</v>
      </c>
      <c r="AN85" s="2" t="s">
        <v>1374</v>
      </c>
      <c r="AO85" s="2" t="s">
        <v>1400</v>
      </c>
      <c r="AP85" s="151">
        <v>0</v>
      </c>
      <c r="AQ85" s="150">
        <v>43438.74</v>
      </c>
      <c r="AR85" s="150">
        <v>124.51</v>
      </c>
      <c r="AS85" s="150">
        <v>1</v>
      </c>
      <c r="AT85" s="150">
        <v>54.085999999999999</v>
      </c>
      <c r="AU85" s="150">
        <v>54.085999999999999</v>
      </c>
      <c r="AX85" s="4" t="s">
        <v>164</v>
      </c>
      <c r="AY85" s="2" t="s">
        <v>37</v>
      </c>
      <c r="AZ85" s="164">
        <v>1.06512357189712E-3</v>
      </c>
      <c r="BA85" s="164">
        <v>2.3110443712853099E-5</v>
      </c>
    </row>
    <row r="86" spans="1:53">
      <c r="A86" s="2" t="s">
        <v>128</v>
      </c>
      <c r="B86" s="2">
        <v>7228</v>
      </c>
      <c r="C86" s="2" t="s">
        <v>1383</v>
      </c>
      <c r="D86" s="2" t="s">
        <v>34</v>
      </c>
      <c r="E86" s="2" t="s">
        <v>1464</v>
      </c>
      <c r="F86" s="2" t="s">
        <v>1465</v>
      </c>
      <c r="G86" s="2" t="s">
        <v>1083</v>
      </c>
      <c r="I86" s="2" t="s">
        <v>31</v>
      </c>
      <c r="J86" s="2" t="s">
        <v>31</v>
      </c>
      <c r="K86" s="2" t="s">
        <v>497</v>
      </c>
      <c r="L86" s="2" t="s">
        <v>164</v>
      </c>
      <c r="M86" s="2" t="s">
        <v>386</v>
      </c>
      <c r="N86" s="190" t="s">
        <v>1383</v>
      </c>
      <c r="O86" s="2" t="s">
        <v>1466</v>
      </c>
      <c r="P86" s="2" t="s">
        <v>1392</v>
      </c>
      <c r="Q86" s="2" t="s">
        <v>98</v>
      </c>
      <c r="R86" s="2" t="s">
        <v>453</v>
      </c>
      <c r="S86" s="2" t="s">
        <v>35</v>
      </c>
      <c r="T86" s="150">
        <v>3.46</v>
      </c>
      <c r="U86" s="2" t="s">
        <v>1393</v>
      </c>
      <c r="V86" s="162">
        <v>5.5E-2</v>
      </c>
      <c r="W86" s="2" t="s">
        <v>800</v>
      </c>
      <c r="X86" s="2" t="s">
        <v>954</v>
      </c>
      <c r="Y86" s="150">
        <v>5.5</v>
      </c>
      <c r="Z86" s="164">
        <v>3.2759999999999997E-2</v>
      </c>
      <c r="AA86" s="2" t="s">
        <v>1389</v>
      </c>
      <c r="AB86" s="4" t="s">
        <v>458</v>
      </c>
      <c r="AC86" s="2" t="s">
        <v>529</v>
      </c>
      <c r="AD86" s="150">
        <v>3341</v>
      </c>
      <c r="AE86" s="150">
        <v>0.78</v>
      </c>
      <c r="AF86" s="2" t="s">
        <v>1400</v>
      </c>
      <c r="AG86" s="2" t="s">
        <v>164</v>
      </c>
      <c r="AI86" s="2" t="s">
        <v>1401</v>
      </c>
      <c r="AJ86" s="2" t="s">
        <v>386</v>
      </c>
      <c r="AK86" s="2" t="s">
        <v>937</v>
      </c>
      <c r="AL86" s="2" t="s">
        <v>1373</v>
      </c>
      <c r="AN86" s="2" t="s">
        <v>1374</v>
      </c>
      <c r="AO86" s="2" t="s">
        <v>1400</v>
      </c>
      <c r="AP86" s="151">
        <v>0</v>
      </c>
      <c r="AQ86" s="150">
        <v>67355.61</v>
      </c>
      <c r="AR86" s="150">
        <v>124.74</v>
      </c>
      <c r="AS86" s="150">
        <v>1</v>
      </c>
      <c r="AT86" s="150">
        <v>84.019000000000005</v>
      </c>
      <c r="AU86" s="150">
        <v>84.019000000000005</v>
      </c>
      <c r="AX86" s="4" t="s">
        <v>164</v>
      </c>
      <c r="AY86" s="2" t="s">
        <v>37</v>
      </c>
      <c r="AZ86" s="164">
        <v>1.6546191896021399E-3</v>
      </c>
      <c r="BA86" s="164">
        <v>3.5900983375476601E-5</v>
      </c>
    </row>
    <row r="87" spans="1:53">
      <c r="A87" s="2" t="s">
        <v>128</v>
      </c>
      <c r="B87" s="2">
        <v>7228</v>
      </c>
      <c r="C87" s="2" t="s">
        <v>1383</v>
      </c>
      <c r="D87" s="2" t="s">
        <v>34</v>
      </c>
      <c r="E87" s="2" t="s">
        <v>1467</v>
      </c>
      <c r="F87" s="2" t="s">
        <v>1468</v>
      </c>
      <c r="G87" s="2" t="s">
        <v>1083</v>
      </c>
      <c r="I87" s="2" t="s">
        <v>31</v>
      </c>
      <c r="J87" s="2" t="s">
        <v>31</v>
      </c>
      <c r="K87" s="2" t="s">
        <v>497</v>
      </c>
      <c r="L87" s="2" t="s">
        <v>164</v>
      </c>
      <c r="M87" s="2" t="s">
        <v>386</v>
      </c>
      <c r="N87" s="27" t="s">
        <v>1383</v>
      </c>
      <c r="O87" s="2" t="s">
        <v>1460</v>
      </c>
      <c r="P87" s="2" t="s">
        <v>1387</v>
      </c>
      <c r="Q87" s="2" t="s">
        <v>217</v>
      </c>
      <c r="R87" s="2" t="s">
        <v>453</v>
      </c>
      <c r="S87" s="2" t="s">
        <v>35</v>
      </c>
      <c r="T87" s="150">
        <v>3.46</v>
      </c>
      <c r="U87" s="2" t="s">
        <v>203</v>
      </c>
      <c r="V87" s="162">
        <v>5.5E-2</v>
      </c>
      <c r="W87" s="2" t="s">
        <v>800</v>
      </c>
      <c r="X87" s="2" t="s">
        <v>1388</v>
      </c>
      <c r="Y87" s="150">
        <v>5.5</v>
      </c>
      <c r="Z87" s="164">
        <v>3.3079999999999998E-2</v>
      </c>
      <c r="AA87" s="2" t="s">
        <v>1399</v>
      </c>
      <c r="AB87" s="4" t="s">
        <v>458</v>
      </c>
      <c r="AG87" s="2" t="s">
        <v>164</v>
      </c>
      <c r="AJ87" s="2" t="s">
        <v>164</v>
      </c>
      <c r="AK87" s="2" t="s">
        <v>203</v>
      </c>
      <c r="AN87" s="2" t="s">
        <v>1374</v>
      </c>
      <c r="AQ87" s="150">
        <v>17768.599999999999</v>
      </c>
      <c r="AR87" s="150">
        <v>124.33</v>
      </c>
      <c r="AS87" s="150">
        <v>1</v>
      </c>
      <c r="AT87" s="150">
        <v>22.091999999999999</v>
      </c>
      <c r="AU87" s="150">
        <v>22.091999999999999</v>
      </c>
      <c r="AX87" s="4" t="s">
        <v>164</v>
      </c>
      <c r="AY87" s="2" t="s">
        <v>37</v>
      </c>
      <c r="AZ87" s="164">
        <v>4.3505852978962297E-4</v>
      </c>
      <c r="BA87" s="164">
        <v>9.4396518204845898E-6</v>
      </c>
    </row>
    <row r="88" spans="1:53">
      <c r="A88" s="2" t="s">
        <v>128</v>
      </c>
      <c r="B88" s="2">
        <v>7228</v>
      </c>
      <c r="C88" s="2" t="s">
        <v>1383</v>
      </c>
      <c r="D88" s="2" t="s">
        <v>34</v>
      </c>
      <c r="E88" s="2" t="s">
        <v>1469</v>
      </c>
      <c r="F88" s="2" t="s">
        <v>1470</v>
      </c>
      <c r="G88" s="2" t="s">
        <v>1083</v>
      </c>
      <c r="I88" s="2" t="s">
        <v>31</v>
      </c>
      <c r="J88" s="2" t="s">
        <v>31</v>
      </c>
      <c r="K88" s="2" t="s">
        <v>497</v>
      </c>
      <c r="L88" s="2" t="s">
        <v>164</v>
      </c>
      <c r="M88" s="2" t="s">
        <v>386</v>
      </c>
      <c r="N88" s="190" t="s">
        <v>1383</v>
      </c>
      <c r="O88" s="2" t="s">
        <v>1471</v>
      </c>
      <c r="P88" s="2" t="s">
        <v>1392</v>
      </c>
      <c r="Q88" s="2" t="s">
        <v>98</v>
      </c>
      <c r="R88" s="2" t="s">
        <v>453</v>
      </c>
      <c r="S88" s="2" t="s">
        <v>35</v>
      </c>
      <c r="T88" s="150">
        <v>3.47</v>
      </c>
      <c r="U88" s="2" t="s">
        <v>1393</v>
      </c>
      <c r="V88" s="162">
        <v>5.5E-2</v>
      </c>
      <c r="W88" s="2" t="s">
        <v>800</v>
      </c>
      <c r="X88" s="2" t="s">
        <v>954</v>
      </c>
      <c r="Y88" s="150">
        <v>5.5</v>
      </c>
      <c r="Z88" s="164">
        <v>3.0769999999999999E-2</v>
      </c>
      <c r="AA88" s="2" t="s">
        <v>1389</v>
      </c>
      <c r="AB88" s="4" t="s">
        <v>458</v>
      </c>
      <c r="AC88" s="2" t="s">
        <v>529</v>
      </c>
      <c r="AD88" s="150">
        <v>774</v>
      </c>
      <c r="AE88" s="150">
        <v>0.78</v>
      </c>
      <c r="AF88" s="2" t="s">
        <v>1400</v>
      </c>
      <c r="AG88" s="2" t="s">
        <v>164</v>
      </c>
      <c r="AI88" s="2" t="s">
        <v>1401</v>
      </c>
      <c r="AJ88" s="2" t="s">
        <v>386</v>
      </c>
      <c r="AK88" s="2" t="s">
        <v>937</v>
      </c>
      <c r="AL88" s="2" t="s">
        <v>1373</v>
      </c>
      <c r="AN88" s="2" t="s">
        <v>1374</v>
      </c>
      <c r="AO88" s="2" t="s">
        <v>1400</v>
      </c>
      <c r="AP88" s="151">
        <v>0</v>
      </c>
      <c r="AQ88" s="150">
        <v>15596.79</v>
      </c>
      <c r="AR88" s="150">
        <v>123.32</v>
      </c>
      <c r="AS88" s="150">
        <v>1</v>
      </c>
      <c r="AT88" s="150">
        <v>19.234000000000002</v>
      </c>
      <c r="AU88" s="150">
        <v>19.234000000000002</v>
      </c>
      <c r="AX88" s="4" t="s">
        <v>164</v>
      </c>
      <c r="AY88" s="2" t="s">
        <v>37</v>
      </c>
      <c r="AZ88" s="164">
        <v>3.78780213245676E-4</v>
      </c>
      <c r="BA88" s="164">
        <v>8.2185570094605096E-6</v>
      </c>
    </row>
    <row r="89" spans="1:53">
      <c r="A89" s="2" t="s">
        <v>128</v>
      </c>
      <c r="B89" s="2">
        <v>7228</v>
      </c>
      <c r="C89" s="2" t="s">
        <v>1383</v>
      </c>
      <c r="D89" s="2" t="s">
        <v>34</v>
      </c>
      <c r="E89" s="2" t="s">
        <v>1472</v>
      </c>
      <c r="F89" s="2" t="s">
        <v>1473</v>
      </c>
      <c r="G89" s="2" t="s">
        <v>1083</v>
      </c>
      <c r="I89" s="2" t="s">
        <v>31</v>
      </c>
      <c r="J89" s="2" t="s">
        <v>31</v>
      </c>
      <c r="K89" s="2" t="s">
        <v>497</v>
      </c>
      <c r="L89" s="2" t="s">
        <v>164</v>
      </c>
      <c r="M89" s="2" t="s">
        <v>386</v>
      </c>
      <c r="N89" s="190" t="s">
        <v>1383</v>
      </c>
      <c r="O89" s="2" t="s">
        <v>1474</v>
      </c>
      <c r="P89" s="2" t="s">
        <v>1392</v>
      </c>
      <c r="Q89" s="2" t="s">
        <v>98</v>
      </c>
      <c r="R89" s="2" t="s">
        <v>453</v>
      </c>
      <c r="S89" s="2" t="s">
        <v>35</v>
      </c>
      <c r="T89" s="150">
        <v>3.46</v>
      </c>
      <c r="U89" s="2" t="s">
        <v>1393</v>
      </c>
      <c r="V89" s="162">
        <v>5.5E-2</v>
      </c>
      <c r="W89" s="2" t="s">
        <v>800</v>
      </c>
      <c r="X89" s="2" t="s">
        <v>954</v>
      </c>
      <c r="Y89" s="150">
        <v>5.5</v>
      </c>
      <c r="Z89" s="164">
        <v>3.1359999999999999E-2</v>
      </c>
      <c r="AA89" s="2" t="s">
        <v>1389</v>
      </c>
      <c r="AB89" s="4" t="s">
        <v>458</v>
      </c>
      <c r="AC89" s="2" t="s">
        <v>529</v>
      </c>
      <c r="AD89" s="150">
        <v>862</v>
      </c>
      <c r="AE89" s="150">
        <v>0.78</v>
      </c>
      <c r="AF89" s="2" t="s">
        <v>1400</v>
      </c>
      <c r="AG89" s="2" t="s">
        <v>164</v>
      </c>
      <c r="AI89" s="2" t="s">
        <v>1401</v>
      </c>
      <c r="AJ89" s="2" t="s">
        <v>386</v>
      </c>
      <c r="AK89" s="2" t="s">
        <v>937</v>
      </c>
      <c r="AL89" s="2" t="s">
        <v>1373</v>
      </c>
      <c r="AN89" s="2" t="s">
        <v>1374</v>
      </c>
      <c r="AO89" s="2" t="s">
        <v>1400</v>
      </c>
      <c r="AP89" s="151">
        <v>0</v>
      </c>
      <c r="AQ89" s="150">
        <v>17386.150000000001</v>
      </c>
      <c r="AR89" s="150">
        <v>122.67</v>
      </c>
      <c r="AS89" s="150">
        <v>1</v>
      </c>
      <c r="AT89" s="150">
        <v>21.327999999999999</v>
      </c>
      <c r="AU89" s="150">
        <v>21.327999999999999</v>
      </c>
      <c r="AX89" s="4" t="s">
        <v>164</v>
      </c>
      <c r="AY89" s="2" t="s">
        <v>37</v>
      </c>
      <c r="AZ89" s="164">
        <v>4.2001067726516302E-4</v>
      </c>
      <c r="BA89" s="164">
        <v>9.113152099756E-6</v>
      </c>
    </row>
    <row r="90" spans="1:53">
      <c r="A90" s="2" t="s">
        <v>128</v>
      </c>
      <c r="B90" s="2">
        <v>7228</v>
      </c>
      <c r="C90" s="2" t="s">
        <v>1383</v>
      </c>
      <c r="D90" s="2" t="s">
        <v>34</v>
      </c>
      <c r="E90" s="2" t="s">
        <v>1475</v>
      </c>
      <c r="F90" s="2" t="s">
        <v>1476</v>
      </c>
      <c r="G90" s="2" t="s">
        <v>1083</v>
      </c>
      <c r="I90" s="2" t="s">
        <v>31</v>
      </c>
      <c r="J90" s="2" t="s">
        <v>31</v>
      </c>
      <c r="K90" s="2" t="s">
        <v>497</v>
      </c>
      <c r="L90" s="2" t="s">
        <v>164</v>
      </c>
      <c r="M90" s="2" t="s">
        <v>386</v>
      </c>
      <c r="N90" s="190" t="s">
        <v>1383</v>
      </c>
      <c r="O90" s="2" t="s">
        <v>1477</v>
      </c>
      <c r="P90" s="2" t="s">
        <v>1392</v>
      </c>
      <c r="Q90" s="2" t="s">
        <v>98</v>
      </c>
      <c r="R90" s="2" t="s">
        <v>453</v>
      </c>
      <c r="S90" s="2" t="s">
        <v>35</v>
      </c>
      <c r="T90" s="150">
        <v>3.46</v>
      </c>
      <c r="U90" s="2" t="s">
        <v>1393</v>
      </c>
      <c r="V90" s="162">
        <v>5.5E-2</v>
      </c>
      <c r="W90" s="2" t="s">
        <v>800</v>
      </c>
      <c r="X90" s="2" t="s">
        <v>954</v>
      </c>
      <c r="Y90" s="150">
        <v>5.5</v>
      </c>
      <c r="Z90" s="164">
        <v>3.2759999999999997E-2</v>
      </c>
      <c r="AA90" s="2" t="s">
        <v>1389</v>
      </c>
      <c r="AB90" s="4" t="s">
        <v>458</v>
      </c>
      <c r="AC90" s="2" t="s">
        <v>529</v>
      </c>
      <c r="AD90" s="150">
        <v>2532</v>
      </c>
      <c r="AE90" s="150">
        <v>0.78</v>
      </c>
      <c r="AF90" s="2" t="s">
        <v>1400</v>
      </c>
      <c r="AG90" s="2" t="s">
        <v>164</v>
      </c>
      <c r="AI90" s="2" t="s">
        <v>1401</v>
      </c>
      <c r="AJ90" s="2" t="s">
        <v>386</v>
      </c>
      <c r="AK90" s="2" t="s">
        <v>937</v>
      </c>
      <c r="AL90" s="2" t="s">
        <v>1373</v>
      </c>
      <c r="AN90" s="2" t="s">
        <v>1374</v>
      </c>
      <c r="AO90" s="2" t="s">
        <v>1400</v>
      </c>
      <c r="AP90" s="151">
        <v>0</v>
      </c>
      <c r="AQ90" s="150">
        <v>51048.99</v>
      </c>
      <c r="AR90" s="150">
        <v>122.42</v>
      </c>
      <c r="AS90" s="150">
        <v>1</v>
      </c>
      <c r="AT90" s="150">
        <v>62.494</v>
      </c>
      <c r="AU90" s="150">
        <v>62.494</v>
      </c>
      <c r="AX90" s="4" t="s">
        <v>164</v>
      </c>
      <c r="AY90" s="2" t="s">
        <v>37</v>
      </c>
      <c r="AZ90" s="164">
        <v>1.23071664022636E-3</v>
      </c>
      <c r="BA90" s="164">
        <v>2.67033876546018E-5</v>
      </c>
    </row>
    <row r="91" spans="1:53">
      <c r="A91" s="2" t="s">
        <v>128</v>
      </c>
      <c r="B91" s="2">
        <v>7228</v>
      </c>
      <c r="C91" s="2" t="s">
        <v>1383</v>
      </c>
      <c r="D91" s="2" t="s">
        <v>34</v>
      </c>
      <c r="E91" s="2" t="s">
        <v>1478</v>
      </c>
      <c r="F91" s="2" t="s">
        <v>1479</v>
      </c>
      <c r="G91" s="2" t="s">
        <v>1083</v>
      </c>
      <c r="I91" s="2" t="s">
        <v>31</v>
      </c>
      <c r="J91" s="2" t="s">
        <v>31</v>
      </c>
      <c r="K91" s="2" t="s">
        <v>497</v>
      </c>
      <c r="L91" s="2" t="s">
        <v>164</v>
      </c>
      <c r="M91" s="2" t="s">
        <v>386</v>
      </c>
      <c r="N91" s="190" t="s">
        <v>1383</v>
      </c>
      <c r="O91" s="2" t="s">
        <v>1480</v>
      </c>
      <c r="P91" s="2" t="s">
        <v>1387</v>
      </c>
      <c r="Q91" s="2" t="s">
        <v>217</v>
      </c>
      <c r="R91" s="2" t="s">
        <v>453</v>
      </c>
      <c r="S91" s="2" t="s">
        <v>35</v>
      </c>
      <c r="T91" s="150">
        <v>3.46</v>
      </c>
      <c r="U91" s="2" t="s">
        <v>1393</v>
      </c>
      <c r="V91" s="162">
        <v>5.5E-2</v>
      </c>
      <c r="W91" s="2" t="s">
        <v>800</v>
      </c>
      <c r="X91" s="2" t="s">
        <v>954</v>
      </c>
      <c r="Y91" s="150">
        <v>5.5</v>
      </c>
      <c r="Z91" s="164">
        <v>3.2730000000000002E-2</v>
      </c>
      <c r="AA91" s="2" t="s">
        <v>1389</v>
      </c>
      <c r="AB91" s="4" t="s">
        <v>458</v>
      </c>
      <c r="AC91" s="2" t="s">
        <v>529</v>
      </c>
      <c r="AD91" s="150">
        <v>470</v>
      </c>
      <c r="AE91" s="150">
        <v>0.78</v>
      </c>
      <c r="AF91" s="2" t="s">
        <v>1400</v>
      </c>
      <c r="AG91" s="2" t="s">
        <v>164</v>
      </c>
      <c r="AI91" s="2" t="s">
        <v>1401</v>
      </c>
      <c r="AJ91" s="2" t="s">
        <v>386</v>
      </c>
      <c r="AK91" s="2" t="s">
        <v>937</v>
      </c>
      <c r="AL91" s="2" t="s">
        <v>1373</v>
      </c>
      <c r="AN91" s="2" t="s">
        <v>1374</v>
      </c>
      <c r="AO91" s="2" t="s">
        <v>1400</v>
      </c>
      <c r="AP91" s="151">
        <v>0</v>
      </c>
      <c r="AQ91" s="150">
        <v>9475.86</v>
      </c>
      <c r="AR91" s="150">
        <v>123.04</v>
      </c>
      <c r="AS91" s="150">
        <v>1</v>
      </c>
      <c r="AT91" s="150">
        <v>11.659000000000001</v>
      </c>
      <c r="AU91" s="150">
        <v>11.659000000000001</v>
      </c>
      <c r="AX91" s="4" t="s">
        <v>164</v>
      </c>
      <c r="AY91" s="2" t="s">
        <v>37</v>
      </c>
      <c r="AZ91" s="164">
        <v>2.29606142123568E-4</v>
      </c>
      <c r="BA91" s="164">
        <v>4.9818631036593002E-6</v>
      </c>
    </row>
    <row r="92" spans="1:53">
      <c r="A92" s="2" t="s">
        <v>128</v>
      </c>
      <c r="B92" s="2">
        <v>7228</v>
      </c>
      <c r="C92" s="2" t="s">
        <v>1383</v>
      </c>
      <c r="D92" s="2" t="s">
        <v>34</v>
      </c>
      <c r="E92" s="2" t="s">
        <v>1481</v>
      </c>
      <c r="F92" s="2" t="s">
        <v>1482</v>
      </c>
      <c r="G92" s="2" t="s">
        <v>1083</v>
      </c>
      <c r="I92" s="2" t="s">
        <v>31</v>
      </c>
      <c r="J92" s="2" t="s">
        <v>31</v>
      </c>
      <c r="K92" s="2" t="s">
        <v>497</v>
      </c>
      <c r="L92" s="2" t="s">
        <v>164</v>
      </c>
      <c r="M92" s="2" t="s">
        <v>386</v>
      </c>
      <c r="N92" s="190" t="s">
        <v>1383</v>
      </c>
      <c r="O92" s="2" t="s">
        <v>1483</v>
      </c>
      <c r="P92" s="2" t="s">
        <v>1392</v>
      </c>
      <c r="Q92" s="2" t="s">
        <v>98</v>
      </c>
      <c r="R92" s="2" t="s">
        <v>453</v>
      </c>
      <c r="S92" s="2" t="s">
        <v>35</v>
      </c>
      <c r="T92" s="150">
        <v>3.46</v>
      </c>
      <c r="U92" s="2" t="s">
        <v>1393</v>
      </c>
      <c r="V92" s="162">
        <v>5.5E-2</v>
      </c>
      <c r="W92" s="2" t="s">
        <v>800</v>
      </c>
      <c r="X92" s="2" t="s">
        <v>954</v>
      </c>
      <c r="Y92" s="150">
        <v>5.5</v>
      </c>
      <c r="Z92" s="164">
        <v>3.2759999999999997E-2</v>
      </c>
      <c r="AA92" s="2" t="s">
        <v>1484</v>
      </c>
      <c r="AB92" s="4" t="s">
        <v>458</v>
      </c>
      <c r="AC92" s="2" t="s">
        <v>529</v>
      </c>
      <c r="AD92" s="150">
        <v>938</v>
      </c>
      <c r="AE92" s="150">
        <v>0.78</v>
      </c>
      <c r="AF92" s="2" t="s">
        <v>1400</v>
      </c>
      <c r="AG92" s="2" t="s">
        <v>164</v>
      </c>
      <c r="AI92" s="2" t="s">
        <v>1401</v>
      </c>
      <c r="AJ92" s="2" t="s">
        <v>386</v>
      </c>
      <c r="AK92" s="2" t="s">
        <v>937</v>
      </c>
      <c r="AL92" s="2" t="s">
        <v>1373</v>
      </c>
      <c r="AN92" s="2" t="s">
        <v>1374</v>
      </c>
      <c r="AO92" s="2" t="s">
        <v>1400</v>
      </c>
      <c r="AP92" s="151">
        <v>0</v>
      </c>
      <c r="AQ92" s="150">
        <v>18909.95</v>
      </c>
      <c r="AR92" s="150">
        <v>123.27</v>
      </c>
      <c r="AS92" s="150">
        <v>1</v>
      </c>
      <c r="AT92" s="150">
        <v>23.31</v>
      </c>
      <c r="AU92" s="150">
        <v>23.31</v>
      </c>
      <c r="AX92" s="4" t="s">
        <v>164</v>
      </c>
      <c r="AY92" s="2" t="s">
        <v>37</v>
      </c>
      <c r="AZ92" s="164">
        <v>4.5905668898351998E-4</v>
      </c>
      <c r="BA92" s="164">
        <v>9.9603501900407206E-6</v>
      </c>
    </row>
    <row r="93" spans="1:53">
      <c r="A93" s="2" t="s">
        <v>128</v>
      </c>
      <c r="B93" s="2">
        <v>7228</v>
      </c>
      <c r="C93" s="2" t="s">
        <v>1383</v>
      </c>
      <c r="D93" s="2" t="s">
        <v>34</v>
      </c>
      <c r="E93" s="2" t="s">
        <v>1485</v>
      </c>
      <c r="F93" s="2" t="s">
        <v>1486</v>
      </c>
      <c r="G93" s="2" t="s">
        <v>1083</v>
      </c>
      <c r="I93" s="2" t="s">
        <v>31</v>
      </c>
      <c r="J93" s="2" t="s">
        <v>31</v>
      </c>
      <c r="K93" s="2" t="s">
        <v>497</v>
      </c>
      <c r="L93" s="2" t="s">
        <v>164</v>
      </c>
      <c r="M93" s="2" t="s">
        <v>386</v>
      </c>
      <c r="N93" s="190" t="s">
        <v>1383</v>
      </c>
      <c r="O93" s="2" t="s">
        <v>1487</v>
      </c>
      <c r="P93" s="2" t="s">
        <v>1392</v>
      </c>
      <c r="Q93" s="2" t="s">
        <v>98</v>
      </c>
      <c r="R93" s="2" t="s">
        <v>453</v>
      </c>
      <c r="S93" s="2" t="s">
        <v>35</v>
      </c>
      <c r="T93" s="150">
        <v>3.46</v>
      </c>
      <c r="U93" s="2" t="s">
        <v>1393</v>
      </c>
      <c r="V93" s="162">
        <v>5.5E-2</v>
      </c>
      <c r="W93" s="2" t="s">
        <v>800</v>
      </c>
      <c r="X93" s="2" t="s">
        <v>954</v>
      </c>
      <c r="Y93" s="150">
        <v>5.5</v>
      </c>
      <c r="Z93" s="164">
        <v>3.2739999999999998E-2</v>
      </c>
      <c r="AA93" s="2" t="s">
        <v>1389</v>
      </c>
      <c r="AB93" s="4" t="s">
        <v>458</v>
      </c>
      <c r="AC93" s="2" t="s">
        <v>529</v>
      </c>
      <c r="AD93" s="150">
        <v>588</v>
      </c>
      <c r="AE93" s="150">
        <v>0.78</v>
      </c>
      <c r="AF93" s="2" t="s">
        <v>1400</v>
      </c>
      <c r="AG93" s="2" t="s">
        <v>164</v>
      </c>
      <c r="AI93" s="2" t="s">
        <v>1401</v>
      </c>
      <c r="AJ93" s="2" t="s">
        <v>386</v>
      </c>
      <c r="AK93" s="2" t="s">
        <v>937</v>
      </c>
      <c r="AL93" s="2" t="s">
        <v>1373</v>
      </c>
      <c r="AN93" s="2" t="s">
        <v>1374</v>
      </c>
      <c r="AO93" s="2" t="s">
        <v>1400</v>
      </c>
      <c r="AP93" s="151">
        <v>0</v>
      </c>
      <c r="AQ93" s="150">
        <v>11849.4</v>
      </c>
      <c r="AR93" s="150">
        <v>122.79</v>
      </c>
      <c r="AS93" s="150">
        <v>1</v>
      </c>
      <c r="AT93" s="150">
        <v>14.55</v>
      </c>
      <c r="AU93" s="150">
        <v>14.55</v>
      </c>
      <c r="AX93" s="4" t="s">
        <v>164</v>
      </c>
      <c r="AY93" s="2" t="s">
        <v>37</v>
      </c>
      <c r="AZ93" s="164">
        <v>2.8653514829235602E-4</v>
      </c>
      <c r="BA93" s="164">
        <v>6.2170762070075699E-6</v>
      </c>
    </row>
    <row r="94" spans="1:53">
      <c r="A94" s="2" t="s">
        <v>128</v>
      </c>
      <c r="B94" s="2">
        <v>7228</v>
      </c>
      <c r="C94" s="2" t="s">
        <v>1383</v>
      </c>
      <c r="D94" s="2" t="s">
        <v>34</v>
      </c>
      <c r="E94" s="2" t="s">
        <v>1488</v>
      </c>
      <c r="F94" s="2" t="s">
        <v>1489</v>
      </c>
      <c r="G94" s="2" t="s">
        <v>1083</v>
      </c>
      <c r="I94" s="2" t="s">
        <v>31</v>
      </c>
      <c r="J94" s="2" t="s">
        <v>31</v>
      </c>
      <c r="K94" s="2" t="s">
        <v>497</v>
      </c>
      <c r="L94" s="2" t="s">
        <v>164</v>
      </c>
      <c r="M94" s="2" t="s">
        <v>386</v>
      </c>
      <c r="N94" s="190" t="s">
        <v>1383</v>
      </c>
      <c r="O94" s="2" t="s">
        <v>1490</v>
      </c>
      <c r="P94" s="2" t="s">
        <v>1392</v>
      </c>
      <c r="Q94" s="2" t="s">
        <v>98</v>
      </c>
      <c r="R94" s="2" t="s">
        <v>453</v>
      </c>
      <c r="S94" s="2" t="s">
        <v>35</v>
      </c>
      <c r="T94" s="150">
        <v>3.46</v>
      </c>
      <c r="U94" s="2" t="s">
        <v>1393</v>
      </c>
      <c r="V94" s="162">
        <v>5.5E-2</v>
      </c>
      <c r="W94" s="2" t="s">
        <v>800</v>
      </c>
      <c r="X94" s="2" t="s">
        <v>954</v>
      </c>
      <c r="Y94" s="150">
        <v>5.5</v>
      </c>
      <c r="Z94" s="164">
        <v>3.2739999999999998E-2</v>
      </c>
      <c r="AA94" s="2" t="s">
        <v>1399</v>
      </c>
      <c r="AB94" s="4" t="s">
        <v>458</v>
      </c>
      <c r="AC94" s="2" t="s">
        <v>529</v>
      </c>
      <c r="AD94" s="150">
        <v>331</v>
      </c>
      <c r="AE94" s="150">
        <v>0.78</v>
      </c>
      <c r="AF94" s="2" t="s">
        <v>1400</v>
      </c>
      <c r="AG94" s="2" t="s">
        <v>164</v>
      </c>
      <c r="AI94" s="2" t="s">
        <v>1401</v>
      </c>
      <c r="AJ94" s="2" t="s">
        <v>386</v>
      </c>
      <c r="AK94" s="2" t="s">
        <v>937</v>
      </c>
      <c r="AL94" s="2" t="s">
        <v>1373</v>
      </c>
      <c r="AN94" s="2" t="s">
        <v>1374</v>
      </c>
      <c r="AO94" s="2" t="s">
        <v>1400</v>
      </c>
      <c r="AP94" s="151">
        <v>0</v>
      </c>
      <c r="AQ94" s="150">
        <v>6672.56</v>
      </c>
      <c r="AR94" s="150">
        <v>122.67</v>
      </c>
      <c r="AS94" s="150">
        <v>1</v>
      </c>
      <c r="AT94" s="150">
        <v>8.1850000000000005</v>
      </c>
      <c r="AU94" s="150">
        <v>8.1850000000000005</v>
      </c>
      <c r="AX94" s="4" t="s">
        <v>164</v>
      </c>
      <c r="AY94" s="2" t="s">
        <v>37</v>
      </c>
      <c r="AZ94" s="164">
        <v>1.6119419449921001E-4</v>
      </c>
      <c r="BA94" s="164">
        <v>3.4974996865176001E-6</v>
      </c>
    </row>
    <row r="95" spans="1:53">
      <c r="A95" s="2" t="s">
        <v>128</v>
      </c>
      <c r="B95" s="2">
        <v>7228</v>
      </c>
      <c r="C95" s="2" t="s">
        <v>1383</v>
      </c>
      <c r="D95" s="2" t="s">
        <v>34</v>
      </c>
      <c r="E95" s="2" t="s">
        <v>1491</v>
      </c>
      <c r="F95" s="2" t="s">
        <v>1492</v>
      </c>
      <c r="G95" s="2" t="s">
        <v>1083</v>
      </c>
      <c r="I95" s="2" t="s">
        <v>31</v>
      </c>
      <c r="J95" s="2" t="s">
        <v>31</v>
      </c>
      <c r="K95" s="2" t="s">
        <v>497</v>
      </c>
      <c r="L95" s="2" t="s">
        <v>164</v>
      </c>
      <c r="M95" s="2" t="s">
        <v>386</v>
      </c>
      <c r="N95" s="190" t="s">
        <v>1383</v>
      </c>
      <c r="O95" s="2" t="s">
        <v>1493</v>
      </c>
      <c r="P95" s="2" t="s">
        <v>1392</v>
      </c>
      <c r="Q95" s="2" t="s">
        <v>98</v>
      </c>
      <c r="R95" s="2" t="s">
        <v>453</v>
      </c>
      <c r="S95" s="2" t="s">
        <v>35</v>
      </c>
      <c r="T95" s="150">
        <v>3.46</v>
      </c>
      <c r="U95" s="2" t="s">
        <v>1393</v>
      </c>
      <c r="V95" s="162">
        <v>5.5E-2</v>
      </c>
      <c r="W95" s="2" t="s">
        <v>800</v>
      </c>
      <c r="X95" s="2" t="s">
        <v>954</v>
      </c>
      <c r="Y95" s="150">
        <v>5.5</v>
      </c>
      <c r="Z95" s="164">
        <v>3.2710000000000003E-2</v>
      </c>
      <c r="AA95" s="2" t="s">
        <v>1399</v>
      </c>
      <c r="AB95" s="4" t="s">
        <v>458</v>
      </c>
      <c r="AC95" s="2" t="s">
        <v>529</v>
      </c>
      <c r="AD95" s="150">
        <v>987</v>
      </c>
      <c r="AE95" s="150">
        <v>0.78</v>
      </c>
      <c r="AF95" s="2" t="s">
        <v>1400</v>
      </c>
      <c r="AG95" s="2" t="s">
        <v>164</v>
      </c>
      <c r="AI95" s="2" t="s">
        <v>1401</v>
      </c>
      <c r="AJ95" s="2" t="s">
        <v>386</v>
      </c>
      <c r="AK95" s="2" t="s">
        <v>937</v>
      </c>
      <c r="AL95" s="2" t="s">
        <v>1373</v>
      </c>
      <c r="AN95" s="2" t="s">
        <v>1374</v>
      </c>
      <c r="AO95" s="2" t="s">
        <v>1400</v>
      </c>
      <c r="AP95" s="151">
        <v>0</v>
      </c>
      <c r="AQ95" s="150">
        <v>19903.55</v>
      </c>
      <c r="AR95" s="150">
        <v>122.32</v>
      </c>
      <c r="AS95" s="150">
        <v>1</v>
      </c>
      <c r="AT95" s="150">
        <v>24.346</v>
      </c>
      <c r="AU95" s="150">
        <v>24.346</v>
      </c>
      <c r="AX95" s="4" t="s">
        <v>164</v>
      </c>
      <c r="AY95" s="2" t="s">
        <v>37</v>
      </c>
      <c r="AZ95" s="164">
        <v>4.79453573603413E-4</v>
      </c>
      <c r="BA95" s="164">
        <v>1.04029101580696E-5</v>
      </c>
    </row>
    <row r="96" spans="1:53">
      <c r="A96" s="2" t="s">
        <v>128</v>
      </c>
      <c r="B96" s="2">
        <v>7228</v>
      </c>
      <c r="C96" s="2" t="s">
        <v>1383</v>
      </c>
      <c r="D96" s="2" t="s">
        <v>34</v>
      </c>
      <c r="E96" s="2" t="s">
        <v>1494</v>
      </c>
      <c r="F96" s="2" t="s">
        <v>1495</v>
      </c>
      <c r="G96" s="2" t="s">
        <v>1083</v>
      </c>
      <c r="I96" s="2" t="s">
        <v>31</v>
      </c>
      <c r="J96" s="2" t="s">
        <v>31</v>
      </c>
      <c r="K96" s="2" t="s">
        <v>497</v>
      </c>
      <c r="L96" s="2" t="s">
        <v>164</v>
      </c>
      <c r="M96" s="2" t="s">
        <v>386</v>
      </c>
      <c r="N96" s="27" t="s">
        <v>1383</v>
      </c>
      <c r="O96" s="2" t="s">
        <v>1460</v>
      </c>
      <c r="P96" s="2" t="s">
        <v>1387</v>
      </c>
      <c r="Q96" s="2" t="s">
        <v>217</v>
      </c>
      <c r="R96" s="2" t="s">
        <v>453</v>
      </c>
      <c r="S96" s="2" t="s">
        <v>35</v>
      </c>
      <c r="T96" s="150">
        <v>3.48</v>
      </c>
      <c r="U96" s="2" t="s">
        <v>203</v>
      </c>
      <c r="V96" s="162">
        <v>5.5E-2</v>
      </c>
      <c r="W96" s="2" t="s">
        <v>800</v>
      </c>
      <c r="X96" s="2" t="s">
        <v>1388</v>
      </c>
      <c r="Y96" s="150">
        <v>5.5</v>
      </c>
      <c r="Z96" s="164">
        <v>2.7709999999999999E-2</v>
      </c>
      <c r="AA96" s="2" t="s">
        <v>1399</v>
      </c>
      <c r="AB96" s="4" t="s">
        <v>458</v>
      </c>
      <c r="AG96" s="2" t="s">
        <v>164</v>
      </c>
      <c r="AJ96" s="2" t="s">
        <v>164</v>
      </c>
      <c r="AK96" s="2" t="s">
        <v>203</v>
      </c>
      <c r="AN96" s="2" t="s">
        <v>1374</v>
      </c>
      <c r="AQ96" s="150">
        <v>7748.26</v>
      </c>
      <c r="AR96" s="150">
        <v>122.32</v>
      </c>
      <c r="AS96" s="150">
        <v>1</v>
      </c>
      <c r="AT96" s="150">
        <v>9.4779999999999998</v>
      </c>
      <c r="AU96" s="150">
        <v>9.4779999999999998</v>
      </c>
      <c r="AX96" s="4" t="s">
        <v>164</v>
      </c>
      <c r="AY96" s="2" t="s">
        <v>37</v>
      </c>
      <c r="AZ96" s="164">
        <v>1.8664665078382399E-4</v>
      </c>
      <c r="BA96" s="164">
        <v>4.0497525648120302E-6</v>
      </c>
    </row>
    <row r="97" spans="1:53">
      <c r="A97" s="2" t="s">
        <v>128</v>
      </c>
      <c r="B97" s="2">
        <v>7228</v>
      </c>
      <c r="C97" s="2" t="s">
        <v>1383</v>
      </c>
      <c r="D97" s="2" t="s">
        <v>34</v>
      </c>
      <c r="E97" s="2" t="s">
        <v>1496</v>
      </c>
      <c r="F97" s="2" t="s">
        <v>1497</v>
      </c>
      <c r="G97" s="2" t="s">
        <v>1083</v>
      </c>
      <c r="I97" s="2" t="s">
        <v>31</v>
      </c>
      <c r="J97" s="2" t="s">
        <v>31</v>
      </c>
      <c r="K97" s="2" t="s">
        <v>497</v>
      </c>
      <c r="L97" s="2" t="s">
        <v>164</v>
      </c>
      <c r="M97" s="2" t="s">
        <v>386</v>
      </c>
      <c r="N97" s="190" t="s">
        <v>1383</v>
      </c>
      <c r="O97" s="2" t="s">
        <v>1498</v>
      </c>
      <c r="P97" s="2" t="s">
        <v>1387</v>
      </c>
      <c r="Q97" s="2" t="s">
        <v>217</v>
      </c>
      <c r="R97" s="2" t="s">
        <v>453</v>
      </c>
      <c r="S97" s="2" t="s">
        <v>35</v>
      </c>
      <c r="T97" s="150">
        <v>3.44</v>
      </c>
      <c r="U97" s="2" t="s">
        <v>1393</v>
      </c>
      <c r="V97" s="162">
        <v>5.5E-2</v>
      </c>
      <c r="W97" s="2" t="s">
        <v>800</v>
      </c>
      <c r="X97" s="2" t="s">
        <v>954</v>
      </c>
      <c r="Y97" s="150">
        <v>5.5</v>
      </c>
      <c r="Z97" s="164">
        <v>3.2640000000000002E-2</v>
      </c>
      <c r="AA97" s="2" t="s">
        <v>1399</v>
      </c>
      <c r="AB97" s="4" t="s">
        <v>458</v>
      </c>
      <c r="AC97" s="2" t="s">
        <v>529</v>
      </c>
      <c r="AD97" s="150">
        <v>5567</v>
      </c>
      <c r="AE97" s="150">
        <v>0.78</v>
      </c>
      <c r="AF97" s="2" t="s">
        <v>1400</v>
      </c>
      <c r="AG97" s="2" t="s">
        <v>164</v>
      </c>
      <c r="AI97" s="2" t="s">
        <v>1401</v>
      </c>
      <c r="AJ97" s="2" t="s">
        <v>386</v>
      </c>
      <c r="AK97" s="2" t="s">
        <v>937</v>
      </c>
      <c r="AL97" s="2" t="s">
        <v>1373</v>
      </c>
      <c r="AN97" s="2" t="s">
        <v>1374</v>
      </c>
      <c r="AO97" s="2" t="s">
        <v>1400</v>
      </c>
      <c r="AP97" s="151">
        <v>0</v>
      </c>
      <c r="AQ97" s="150">
        <v>52072.14</v>
      </c>
      <c r="AR97" s="150">
        <v>122.56</v>
      </c>
      <c r="AS97" s="150">
        <v>1</v>
      </c>
      <c r="AT97" s="150">
        <v>63.82</v>
      </c>
      <c r="AU97" s="150">
        <v>63.82</v>
      </c>
      <c r="AX97" s="4" t="s">
        <v>164</v>
      </c>
      <c r="AY97" s="2" t="s">
        <v>37</v>
      </c>
      <c r="AZ97" s="164">
        <v>1.25681895472399E-3</v>
      </c>
      <c r="BA97" s="164">
        <v>2.72697407857208E-5</v>
      </c>
    </row>
    <row r="98" spans="1:53">
      <c r="A98" s="2" t="s">
        <v>128</v>
      </c>
      <c r="B98" s="2">
        <v>7228</v>
      </c>
      <c r="C98" s="2" t="s">
        <v>1383</v>
      </c>
      <c r="D98" s="2" t="s">
        <v>34</v>
      </c>
      <c r="E98" s="2" t="s">
        <v>1499</v>
      </c>
      <c r="F98" s="2" t="s">
        <v>1500</v>
      </c>
      <c r="G98" s="2" t="s">
        <v>1083</v>
      </c>
      <c r="I98" s="2" t="s">
        <v>31</v>
      </c>
      <c r="J98" s="2" t="s">
        <v>31</v>
      </c>
      <c r="K98" s="2" t="s">
        <v>497</v>
      </c>
      <c r="L98" s="2" t="s">
        <v>164</v>
      </c>
      <c r="M98" s="2" t="s">
        <v>386</v>
      </c>
      <c r="N98" s="190" t="s">
        <v>1383</v>
      </c>
      <c r="O98" s="2" t="s">
        <v>1501</v>
      </c>
      <c r="P98" s="2" t="s">
        <v>1387</v>
      </c>
      <c r="Q98" s="2" t="s">
        <v>217</v>
      </c>
      <c r="R98" s="2" t="s">
        <v>453</v>
      </c>
      <c r="S98" s="2" t="s">
        <v>35</v>
      </c>
      <c r="T98" s="150">
        <v>3.44</v>
      </c>
      <c r="U98" s="2" t="s">
        <v>1393</v>
      </c>
      <c r="V98" s="162">
        <v>5.5E-2</v>
      </c>
      <c r="W98" s="2" t="s">
        <v>800</v>
      </c>
      <c r="X98" s="2" t="s">
        <v>954</v>
      </c>
      <c r="Y98" s="150">
        <v>5.5</v>
      </c>
      <c r="Z98" s="164">
        <v>3.27E-2</v>
      </c>
      <c r="AA98" s="2" t="s">
        <v>1399</v>
      </c>
      <c r="AB98" s="4" t="s">
        <v>458</v>
      </c>
      <c r="AC98" s="2" t="s">
        <v>529</v>
      </c>
      <c r="AD98" s="150">
        <v>5045</v>
      </c>
      <c r="AE98" s="150">
        <v>0.78</v>
      </c>
      <c r="AF98" s="2" t="s">
        <v>1400</v>
      </c>
      <c r="AG98" s="2" t="s">
        <v>164</v>
      </c>
      <c r="AI98" s="2" t="s">
        <v>1401</v>
      </c>
      <c r="AJ98" s="2" t="s">
        <v>386</v>
      </c>
      <c r="AK98" s="2" t="s">
        <v>937</v>
      </c>
      <c r="AL98" s="2" t="s">
        <v>1373</v>
      </c>
      <c r="AN98" s="2" t="s">
        <v>1374</v>
      </c>
      <c r="AO98" s="2" t="s">
        <v>1400</v>
      </c>
      <c r="AP98" s="151">
        <v>0</v>
      </c>
      <c r="AQ98" s="150">
        <v>101717.81</v>
      </c>
      <c r="AR98" s="150">
        <v>123.65</v>
      </c>
      <c r="AS98" s="150">
        <v>1</v>
      </c>
      <c r="AT98" s="150">
        <v>125.774</v>
      </c>
      <c r="AU98" s="150">
        <v>125.774</v>
      </c>
      <c r="AX98" s="4" t="s">
        <v>164</v>
      </c>
      <c r="AY98" s="2" t="s">
        <v>37</v>
      </c>
      <c r="AZ98" s="164">
        <v>2.4769067992516801E-3</v>
      </c>
      <c r="BA98" s="164">
        <v>5.3742510893954903E-5</v>
      </c>
    </row>
    <row r="99" spans="1:53">
      <c r="A99" s="2" t="s">
        <v>128</v>
      </c>
      <c r="B99" s="2">
        <v>7228</v>
      </c>
      <c r="C99" s="2" t="s">
        <v>1383</v>
      </c>
      <c r="D99" s="2" t="s">
        <v>34</v>
      </c>
      <c r="E99" s="2" t="s">
        <v>1502</v>
      </c>
      <c r="F99" s="2" t="s">
        <v>1503</v>
      </c>
      <c r="G99" s="2" t="s">
        <v>1083</v>
      </c>
      <c r="I99" s="2" t="s">
        <v>31</v>
      </c>
      <c r="J99" s="2" t="s">
        <v>31</v>
      </c>
      <c r="K99" s="2" t="s">
        <v>497</v>
      </c>
      <c r="L99" s="2" t="s">
        <v>164</v>
      </c>
      <c r="M99" s="2" t="s">
        <v>386</v>
      </c>
      <c r="N99" s="27" t="s">
        <v>1383</v>
      </c>
      <c r="O99" s="2" t="s">
        <v>1460</v>
      </c>
      <c r="P99" s="2" t="s">
        <v>1387</v>
      </c>
      <c r="Q99" s="2" t="s">
        <v>217</v>
      </c>
      <c r="R99" s="2" t="s">
        <v>453</v>
      </c>
      <c r="S99" s="2" t="s">
        <v>35</v>
      </c>
      <c r="T99" s="150">
        <v>3.44</v>
      </c>
      <c r="U99" s="2" t="s">
        <v>203</v>
      </c>
      <c r="V99" s="162">
        <v>5.5500000000000001E-2</v>
      </c>
      <c r="W99" s="2" t="s">
        <v>800</v>
      </c>
      <c r="X99" s="2" t="s">
        <v>1388</v>
      </c>
      <c r="Y99" s="150">
        <v>5.55</v>
      </c>
      <c r="Z99" s="164">
        <v>3.3029999999999997E-2</v>
      </c>
      <c r="AA99" s="2" t="s">
        <v>1399</v>
      </c>
      <c r="AB99" s="4" t="s">
        <v>458</v>
      </c>
      <c r="AG99" s="2" t="s">
        <v>164</v>
      </c>
      <c r="AJ99" s="2" t="s">
        <v>164</v>
      </c>
      <c r="AK99" s="2" t="s">
        <v>203</v>
      </c>
      <c r="AN99" s="2" t="s">
        <v>1374</v>
      </c>
      <c r="AQ99" s="150">
        <v>75001.2</v>
      </c>
      <c r="AR99" s="150">
        <v>126.77</v>
      </c>
      <c r="AS99" s="150">
        <v>1</v>
      </c>
      <c r="AT99" s="150">
        <v>95.078999999999994</v>
      </c>
      <c r="AU99" s="150">
        <v>95.078999999999994</v>
      </c>
      <c r="AX99" s="4" t="s">
        <v>164</v>
      </c>
      <c r="AY99" s="2" t="s">
        <v>37</v>
      </c>
      <c r="AZ99" s="164">
        <v>1.87241988995827E-3</v>
      </c>
      <c r="BA99" s="164">
        <v>4.0626698737530997E-5</v>
      </c>
    </row>
    <row r="100" spans="1:53">
      <c r="A100" s="2" t="s">
        <v>128</v>
      </c>
      <c r="B100" s="2">
        <v>7228</v>
      </c>
      <c r="C100" s="2" t="s">
        <v>1383</v>
      </c>
      <c r="D100" s="2" t="s">
        <v>34</v>
      </c>
      <c r="E100" s="2" t="s">
        <v>1504</v>
      </c>
      <c r="F100" s="2" t="s">
        <v>1505</v>
      </c>
      <c r="G100" s="2" t="s">
        <v>1083</v>
      </c>
      <c r="I100" s="2" t="s">
        <v>31</v>
      </c>
      <c r="J100" s="2" t="s">
        <v>31</v>
      </c>
      <c r="K100" s="2" t="s">
        <v>497</v>
      </c>
      <c r="L100" s="2" t="s">
        <v>164</v>
      </c>
      <c r="M100" s="2" t="s">
        <v>386</v>
      </c>
      <c r="N100" s="190" t="s">
        <v>1383</v>
      </c>
      <c r="O100" s="2" t="s">
        <v>1506</v>
      </c>
      <c r="P100" s="2" t="s">
        <v>1392</v>
      </c>
      <c r="Q100" s="2" t="s">
        <v>98</v>
      </c>
      <c r="R100" s="2" t="s">
        <v>453</v>
      </c>
      <c r="S100" s="2" t="s">
        <v>35</v>
      </c>
      <c r="T100" s="150">
        <v>3.21</v>
      </c>
      <c r="U100" s="2" t="s">
        <v>1393</v>
      </c>
      <c r="V100" s="162">
        <v>5.5E-2</v>
      </c>
      <c r="W100" s="2" t="s">
        <v>800</v>
      </c>
      <c r="X100" s="2" t="s">
        <v>954</v>
      </c>
      <c r="Y100" s="150">
        <v>5.5</v>
      </c>
      <c r="Z100" s="164">
        <v>2.998E-2</v>
      </c>
      <c r="AA100" s="2" t="s">
        <v>1389</v>
      </c>
      <c r="AB100" s="4" t="s">
        <v>458</v>
      </c>
      <c r="AC100" s="2" t="s">
        <v>529</v>
      </c>
      <c r="AD100" s="150">
        <v>936</v>
      </c>
      <c r="AE100" s="150">
        <v>0.78</v>
      </c>
      <c r="AF100" s="2" t="s">
        <v>1400</v>
      </c>
      <c r="AG100" s="2" t="s">
        <v>164</v>
      </c>
      <c r="AI100" s="2" t="s">
        <v>1401</v>
      </c>
      <c r="AJ100" s="2" t="s">
        <v>386</v>
      </c>
      <c r="AK100" s="2" t="s">
        <v>937</v>
      </c>
      <c r="AL100" s="2" t="s">
        <v>1373</v>
      </c>
      <c r="AN100" s="2" t="s">
        <v>1374</v>
      </c>
      <c r="AO100" s="2" t="s">
        <v>1400</v>
      </c>
      <c r="AP100" s="151">
        <v>0</v>
      </c>
      <c r="AQ100" s="150">
        <v>32916.42</v>
      </c>
      <c r="AR100" s="150">
        <v>124.99</v>
      </c>
      <c r="AS100" s="150">
        <v>1</v>
      </c>
      <c r="AT100" s="150">
        <v>41.142000000000003</v>
      </c>
      <c r="AU100" s="150">
        <v>41.142000000000003</v>
      </c>
      <c r="AX100" s="4" t="s">
        <v>164</v>
      </c>
      <c r="AY100" s="2" t="s">
        <v>37</v>
      </c>
      <c r="AZ100" s="164">
        <v>8.1022643115319403E-4</v>
      </c>
      <c r="BA100" s="164">
        <v>1.7579830947202399E-5</v>
      </c>
    </row>
    <row r="101" spans="1:53">
      <c r="A101" s="2" t="s">
        <v>128</v>
      </c>
      <c r="B101" s="2">
        <v>7228</v>
      </c>
      <c r="C101" s="2" t="s">
        <v>1383</v>
      </c>
      <c r="D101" s="2" t="s">
        <v>34</v>
      </c>
      <c r="E101" s="2" t="s">
        <v>1507</v>
      </c>
      <c r="F101" s="2" t="s">
        <v>1508</v>
      </c>
      <c r="G101" s="2" t="s">
        <v>1083</v>
      </c>
      <c r="I101" s="2" t="s">
        <v>31</v>
      </c>
      <c r="J101" s="2" t="s">
        <v>31</v>
      </c>
      <c r="K101" s="2" t="s">
        <v>497</v>
      </c>
      <c r="L101" s="2" t="s">
        <v>164</v>
      </c>
      <c r="M101" s="2" t="s">
        <v>386</v>
      </c>
      <c r="N101" s="190" t="s">
        <v>1383</v>
      </c>
      <c r="O101" s="2" t="s">
        <v>1509</v>
      </c>
      <c r="P101" s="2" t="s">
        <v>1387</v>
      </c>
      <c r="Q101" s="2" t="s">
        <v>217</v>
      </c>
      <c r="R101" s="2" t="s">
        <v>453</v>
      </c>
      <c r="S101" s="2" t="s">
        <v>35</v>
      </c>
      <c r="T101" s="150">
        <v>3.46</v>
      </c>
      <c r="U101" s="2" t="s">
        <v>1393</v>
      </c>
      <c r="V101" s="162">
        <v>5.5E-2</v>
      </c>
      <c r="W101" s="2" t="s">
        <v>800</v>
      </c>
      <c r="X101" s="2" t="s">
        <v>954</v>
      </c>
      <c r="Y101" s="150">
        <v>5.5</v>
      </c>
      <c r="Z101" s="164">
        <v>3.2870000000000003E-2</v>
      </c>
      <c r="AA101" s="2" t="s">
        <v>1389</v>
      </c>
      <c r="AB101" s="4" t="s">
        <v>458</v>
      </c>
      <c r="AC101" s="2" t="s">
        <v>529</v>
      </c>
      <c r="AD101" s="150">
        <v>1524</v>
      </c>
      <c r="AE101" s="150">
        <v>0.78</v>
      </c>
      <c r="AF101" s="2" t="s">
        <v>1400</v>
      </c>
      <c r="AG101" s="2" t="s">
        <v>164</v>
      </c>
      <c r="AI101" s="2" t="s">
        <v>1401</v>
      </c>
      <c r="AJ101" s="2" t="s">
        <v>386</v>
      </c>
      <c r="AK101" s="2" t="s">
        <v>937</v>
      </c>
      <c r="AL101" s="2" t="s">
        <v>1373</v>
      </c>
      <c r="AN101" s="2" t="s">
        <v>1374</v>
      </c>
      <c r="AO101" s="2" t="s">
        <v>1400</v>
      </c>
      <c r="AP101" s="151">
        <v>0</v>
      </c>
      <c r="AQ101" s="150">
        <v>30728.02</v>
      </c>
      <c r="AR101" s="150">
        <v>125.3</v>
      </c>
      <c r="AS101" s="150">
        <v>1</v>
      </c>
      <c r="AT101" s="150">
        <v>38.502000000000002</v>
      </c>
      <c r="AU101" s="150">
        <v>38.502000000000002</v>
      </c>
      <c r="AX101" s="4" t="s">
        <v>164</v>
      </c>
      <c r="AY101" s="2" t="s">
        <v>37</v>
      </c>
      <c r="AZ101" s="164">
        <v>7.5823563506505795E-4</v>
      </c>
      <c r="BA101" s="164">
        <v>1.6451764309412E-5</v>
      </c>
    </row>
    <row r="102" spans="1:53">
      <c r="A102" s="2" t="s">
        <v>128</v>
      </c>
      <c r="B102" s="2">
        <v>7228</v>
      </c>
      <c r="C102" s="2" t="s">
        <v>1383</v>
      </c>
      <c r="D102" s="2" t="s">
        <v>34</v>
      </c>
      <c r="E102" s="2" t="s">
        <v>1510</v>
      </c>
      <c r="F102" s="2" t="s">
        <v>1511</v>
      </c>
      <c r="G102" s="2" t="s">
        <v>1083</v>
      </c>
      <c r="I102" s="2" t="s">
        <v>31</v>
      </c>
      <c r="J102" s="2" t="s">
        <v>31</v>
      </c>
      <c r="K102" s="2" t="s">
        <v>497</v>
      </c>
      <c r="L102" s="2" t="s">
        <v>164</v>
      </c>
      <c r="M102" s="2" t="s">
        <v>386</v>
      </c>
      <c r="N102" s="27" t="s">
        <v>1383</v>
      </c>
      <c r="O102" s="2" t="s">
        <v>1460</v>
      </c>
      <c r="P102" s="2" t="s">
        <v>1387</v>
      </c>
      <c r="Q102" s="2" t="s">
        <v>217</v>
      </c>
      <c r="R102" s="2" t="s">
        <v>453</v>
      </c>
      <c r="S102" s="2" t="s">
        <v>35</v>
      </c>
      <c r="T102" s="150">
        <v>3.48</v>
      </c>
      <c r="U102" s="2" t="s">
        <v>203</v>
      </c>
      <c r="V102" s="162">
        <v>5.5E-2</v>
      </c>
      <c r="W102" s="2" t="s">
        <v>800</v>
      </c>
      <c r="X102" s="2" t="s">
        <v>1388</v>
      </c>
      <c r="Y102" s="150">
        <v>5.5</v>
      </c>
      <c r="Z102" s="164">
        <v>3.2680000000000001E-2</v>
      </c>
      <c r="AA102" s="2" t="s">
        <v>1399</v>
      </c>
      <c r="AB102" s="4" t="s">
        <v>458</v>
      </c>
      <c r="AG102" s="2" t="s">
        <v>164</v>
      </c>
      <c r="AJ102" s="2" t="s">
        <v>164</v>
      </c>
      <c r="AK102" s="2" t="s">
        <v>203</v>
      </c>
      <c r="AN102" s="2" t="s">
        <v>1374</v>
      </c>
      <c r="AQ102" s="150">
        <v>39337.269999999997</v>
      </c>
      <c r="AR102" s="150">
        <v>123.93</v>
      </c>
      <c r="AS102" s="150">
        <v>1</v>
      </c>
      <c r="AT102" s="150">
        <v>48.750999999999998</v>
      </c>
      <c r="AU102" s="150">
        <v>48.750999999999998</v>
      </c>
      <c r="AX102" s="4" t="s">
        <v>164</v>
      </c>
      <c r="AY102" s="2" t="s">
        <v>37</v>
      </c>
      <c r="AZ102" s="164">
        <v>9.6006184410572402E-4</v>
      </c>
      <c r="BA102" s="164">
        <v>2.08308742708084E-5</v>
      </c>
    </row>
    <row r="103" spans="1:53">
      <c r="A103" s="2" t="s">
        <v>128</v>
      </c>
      <c r="B103" s="2">
        <v>7228</v>
      </c>
      <c r="C103" s="2" t="s">
        <v>1512</v>
      </c>
      <c r="D103" s="2" t="s">
        <v>34</v>
      </c>
      <c r="E103" s="2" t="s">
        <v>1513</v>
      </c>
      <c r="F103" s="2" t="s">
        <v>1514</v>
      </c>
      <c r="G103" s="2" t="s">
        <v>1083</v>
      </c>
      <c r="I103" s="2" t="s">
        <v>31</v>
      </c>
      <c r="J103" s="2" t="s">
        <v>31</v>
      </c>
      <c r="K103" s="2" t="s">
        <v>529</v>
      </c>
      <c r="L103" s="2" t="s">
        <v>164</v>
      </c>
      <c r="M103" s="2" t="s">
        <v>386</v>
      </c>
      <c r="N103" s="190">
        <v>513184192</v>
      </c>
      <c r="O103" s="2" t="s">
        <v>1556</v>
      </c>
      <c r="P103" s="2" t="s">
        <v>1392</v>
      </c>
      <c r="Q103" s="2" t="s">
        <v>98</v>
      </c>
      <c r="R103" s="2" t="s">
        <v>453</v>
      </c>
      <c r="S103" s="2" t="s">
        <v>35</v>
      </c>
      <c r="T103" s="150">
        <v>2.0299999999999998</v>
      </c>
      <c r="U103" s="2" t="s">
        <v>1393</v>
      </c>
      <c r="V103" s="162">
        <v>2.562E-2</v>
      </c>
      <c r="W103" s="2" t="s">
        <v>800</v>
      </c>
      <c r="X103" s="2" t="s">
        <v>954</v>
      </c>
      <c r="Y103" s="150">
        <v>2.5619999999999998</v>
      </c>
      <c r="Z103" s="164">
        <v>2.1350000000000001E-2</v>
      </c>
      <c r="AA103" s="2" t="s">
        <v>1516</v>
      </c>
      <c r="AB103" s="4" t="s">
        <v>458</v>
      </c>
      <c r="AG103" s="2" t="s">
        <v>164</v>
      </c>
      <c r="AI103" s="2" t="s">
        <v>1517</v>
      </c>
      <c r="AJ103" s="2" t="s">
        <v>386</v>
      </c>
      <c r="AK103" s="2" t="s">
        <v>937</v>
      </c>
      <c r="AL103" s="2" t="s">
        <v>1373</v>
      </c>
      <c r="AN103" s="2" t="s">
        <v>1374</v>
      </c>
      <c r="AQ103" s="150">
        <v>1655717.37</v>
      </c>
      <c r="AR103" s="150">
        <v>113.36</v>
      </c>
      <c r="AS103" s="150">
        <v>1</v>
      </c>
      <c r="AT103" s="150">
        <v>1876.921</v>
      </c>
      <c r="AU103" s="150">
        <v>1876.921</v>
      </c>
      <c r="AX103" s="4" t="s">
        <v>164</v>
      </c>
      <c r="AY103" s="2" t="s">
        <v>37</v>
      </c>
      <c r="AZ103" s="164">
        <v>3.69627764446675E-2</v>
      </c>
      <c r="BA103" s="164">
        <v>8.0199723960082501E-4</v>
      </c>
    </row>
    <row r="104" spans="1:53">
      <c r="A104" s="2" t="s">
        <v>128</v>
      </c>
      <c r="B104" s="2">
        <v>7228</v>
      </c>
      <c r="C104" s="2" t="s">
        <v>1528</v>
      </c>
      <c r="D104" s="2" t="s">
        <v>1376</v>
      </c>
      <c r="E104" s="2" t="s">
        <v>1529</v>
      </c>
      <c r="F104" s="2" t="s">
        <v>1530</v>
      </c>
      <c r="G104" s="2" t="s">
        <v>1083</v>
      </c>
      <c r="H104" s="2" t="s">
        <v>866</v>
      </c>
      <c r="I104" s="2" t="s">
        <v>31</v>
      </c>
      <c r="J104" s="2" t="s">
        <v>31</v>
      </c>
      <c r="K104" s="2" t="s">
        <v>507</v>
      </c>
      <c r="L104" s="2" t="s">
        <v>164</v>
      </c>
      <c r="M104" s="2" t="s">
        <v>386</v>
      </c>
      <c r="N104" s="190" t="s">
        <v>1365</v>
      </c>
      <c r="O104" s="2" t="s">
        <v>1369</v>
      </c>
      <c r="P104" s="2" t="s">
        <v>1531</v>
      </c>
      <c r="Q104" s="2" t="s">
        <v>217</v>
      </c>
      <c r="R104" s="2" t="s">
        <v>453</v>
      </c>
      <c r="S104" s="2" t="s">
        <v>35</v>
      </c>
      <c r="T104" s="150">
        <v>0.53</v>
      </c>
      <c r="U104" s="2" t="s">
        <v>1393</v>
      </c>
      <c r="V104" s="162">
        <v>4.2500000000000003E-2</v>
      </c>
      <c r="W104" s="2" t="s">
        <v>800</v>
      </c>
      <c r="X104" s="2" t="s">
        <v>949</v>
      </c>
      <c r="Y104" s="150">
        <v>4.25</v>
      </c>
      <c r="Z104" s="164">
        <v>7.6039999999999996E-2</v>
      </c>
      <c r="AA104" s="2" t="s">
        <v>1532</v>
      </c>
      <c r="AB104" s="4" t="s">
        <v>458</v>
      </c>
      <c r="AC104" s="2" t="s">
        <v>819</v>
      </c>
      <c r="AD104" s="150">
        <v>67322</v>
      </c>
      <c r="AE104" s="150">
        <v>0.72</v>
      </c>
      <c r="AF104" s="2" t="s">
        <v>1533</v>
      </c>
      <c r="AG104" s="2" t="s">
        <v>386</v>
      </c>
      <c r="AH104" s="2" t="s">
        <v>828</v>
      </c>
      <c r="AI104" s="2" t="s">
        <v>1372</v>
      </c>
      <c r="AJ104" s="2" t="s">
        <v>386</v>
      </c>
      <c r="AK104" s="2" t="s">
        <v>937</v>
      </c>
      <c r="AL104" s="2" t="s">
        <v>1373</v>
      </c>
      <c r="AN104" s="2" t="s">
        <v>1374</v>
      </c>
      <c r="AO104" s="2" t="s">
        <v>1533</v>
      </c>
      <c r="AP104" s="151">
        <v>0</v>
      </c>
      <c r="AQ104" s="150">
        <v>4025000</v>
      </c>
      <c r="AR104" s="150">
        <v>104.5</v>
      </c>
      <c r="AS104" s="150">
        <v>1</v>
      </c>
      <c r="AT104" s="150">
        <v>4206.125</v>
      </c>
      <c r="AU104" s="150">
        <v>4206.125</v>
      </c>
      <c r="AX104" s="4" t="s">
        <v>386</v>
      </c>
      <c r="AY104" s="2" t="s">
        <v>37</v>
      </c>
      <c r="AZ104" s="164">
        <v>8.28324903531657E-2</v>
      </c>
      <c r="BA104" s="164">
        <v>1.7972521277438999E-3</v>
      </c>
    </row>
    <row r="105" spans="1:53">
      <c r="A105" s="2" t="s">
        <v>128</v>
      </c>
      <c r="B105" s="2">
        <v>7228</v>
      </c>
      <c r="C105" s="2" t="s">
        <v>1534</v>
      </c>
      <c r="D105" s="2" t="s">
        <v>1376</v>
      </c>
      <c r="E105" s="2" t="s">
        <v>1535</v>
      </c>
      <c r="F105" s="2" t="s">
        <v>1536</v>
      </c>
      <c r="G105" s="2" t="s">
        <v>1083</v>
      </c>
      <c r="I105" s="2" t="s">
        <v>31</v>
      </c>
      <c r="J105" s="2" t="s">
        <v>31</v>
      </c>
      <c r="K105" s="2" t="s">
        <v>484</v>
      </c>
      <c r="L105" s="2" t="s">
        <v>164</v>
      </c>
      <c r="M105" s="2" t="s">
        <v>386</v>
      </c>
      <c r="N105" s="190">
        <v>512065202</v>
      </c>
      <c r="O105" s="2" t="s">
        <v>1537</v>
      </c>
      <c r="P105" s="2" t="s">
        <v>1523</v>
      </c>
      <c r="Q105" s="2" t="s">
        <v>203</v>
      </c>
      <c r="R105" s="2" t="s">
        <v>453</v>
      </c>
      <c r="S105" s="2" t="s">
        <v>35</v>
      </c>
      <c r="T105" s="150">
        <v>3.16</v>
      </c>
      <c r="U105" s="2" t="s">
        <v>203</v>
      </c>
      <c r="V105" s="162">
        <v>7.2499999999999995E-2</v>
      </c>
      <c r="W105" s="2" t="s">
        <v>800</v>
      </c>
      <c r="X105" s="2" t="s">
        <v>954</v>
      </c>
      <c r="Y105" s="150">
        <v>7.25</v>
      </c>
      <c r="Z105" s="164">
        <v>0.13708999999999999</v>
      </c>
      <c r="AA105" s="2" t="s">
        <v>1538</v>
      </c>
      <c r="AB105" s="4" t="s">
        <v>458</v>
      </c>
      <c r="AG105" s="2" t="s">
        <v>386</v>
      </c>
      <c r="AI105" s="2" t="s">
        <v>1539</v>
      </c>
      <c r="AJ105" s="2" t="s">
        <v>386</v>
      </c>
      <c r="AK105" s="2" t="s">
        <v>937</v>
      </c>
      <c r="AL105" s="2" t="s">
        <v>1373</v>
      </c>
      <c r="AN105" s="2" t="s">
        <v>1374</v>
      </c>
      <c r="AQ105" s="150">
        <v>1765488</v>
      </c>
      <c r="AR105" s="150">
        <v>99.78</v>
      </c>
      <c r="AS105" s="150">
        <v>1</v>
      </c>
      <c r="AT105" s="150">
        <v>1761.604</v>
      </c>
      <c r="AU105" s="150">
        <v>1761.604</v>
      </c>
      <c r="AX105" s="4" t="s">
        <v>386</v>
      </c>
      <c r="AY105" s="2" t="s">
        <v>37</v>
      </c>
      <c r="AZ105" s="164">
        <v>3.46917983273504E-2</v>
      </c>
      <c r="BA105" s="164">
        <v>7.52722851785054E-4</v>
      </c>
    </row>
    <row r="106" spans="1:53">
      <c r="A106" s="2" t="s">
        <v>128</v>
      </c>
      <c r="B106" s="2">
        <v>7228</v>
      </c>
      <c r="C106" s="2" t="s">
        <v>1540</v>
      </c>
      <c r="D106" s="2" t="s">
        <v>1376</v>
      </c>
      <c r="E106" s="2" t="s">
        <v>1541</v>
      </c>
      <c r="F106" s="2" t="s">
        <v>1542</v>
      </c>
      <c r="G106" s="2" t="s">
        <v>1083</v>
      </c>
      <c r="I106" s="2" t="s">
        <v>31</v>
      </c>
      <c r="J106" s="2" t="s">
        <v>31</v>
      </c>
      <c r="K106" s="2" t="s">
        <v>486</v>
      </c>
      <c r="L106" s="2" t="s">
        <v>164</v>
      </c>
      <c r="M106" s="2" t="s">
        <v>386</v>
      </c>
      <c r="N106" s="190"/>
      <c r="O106" s="2" t="s">
        <v>1543</v>
      </c>
      <c r="P106" s="2" t="s">
        <v>1523</v>
      </c>
      <c r="Q106" s="2" t="s">
        <v>203</v>
      </c>
      <c r="R106" s="2" t="s">
        <v>453</v>
      </c>
      <c r="S106" s="2" t="s">
        <v>35</v>
      </c>
      <c r="T106" s="150">
        <v>1.01</v>
      </c>
      <c r="U106" s="2" t="s">
        <v>1393</v>
      </c>
      <c r="V106" s="162">
        <v>1.7999999999999999E-2</v>
      </c>
      <c r="W106" s="2" t="s">
        <v>800</v>
      </c>
      <c r="X106" s="2" t="s">
        <v>1388</v>
      </c>
      <c r="Y106" s="150">
        <v>1.8</v>
      </c>
      <c r="Z106" s="164">
        <v>5.3350000000000002E-2</v>
      </c>
      <c r="AA106" s="2" t="s">
        <v>1544</v>
      </c>
      <c r="AB106" s="4" t="s">
        <v>458</v>
      </c>
      <c r="AG106" s="2" t="s">
        <v>164</v>
      </c>
      <c r="AJ106" s="2" t="s">
        <v>164</v>
      </c>
      <c r="AK106" s="2" t="s">
        <v>203</v>
      </c>
      <c r="AN106" s="2" t="s">
        <v>1374</v>
      </c>
      <c r="AQ106" s="150">
        <v>2250000</v>
      </c>
      <c r="AR106" s="150">
        <v>98.44</v>
      </c>
      <c r="AS106" s="150">
        <v>1</v>
      </c>
      <c r="AT106" s="150">
        <v>2214.9</v>
      </c>
      <c r="AU106" s="150">
        <v>2214.9</v>
      </c>
      <c r="AX106" s="4" t="s">
        <v>164</v>
      </c>
      <c r="AY106" s="2" t="s">
        <v>37</v>
      </c>
      <c r="AZ106" s="164">
        <v>4.36186948517285E-2</v>
      </c>
      <c r="BA106" s="164">
        <v>9.4641356063834695E-4</v>
      </c>
    </row>
    <row r="107" spans="1:53">
      <c r="A107" s="2" t="s">
        <v>128</v>
      </c>
      <c r="B107" s="2">
        <v>7228</v>
      </c>
      <c r="C107" s="2" t="s">
        <v>1540</v>
      </c>
      <c r="D107" s="2" t="s">
        <v>1376</v>
      </c>
      <c r="E107" s="2" t="s">
        <v>1545</v>
      </c>
      <c r="F107" s="2" t="s">
        <v>1546</v>
      </c>
      <c r="G107" s="2" t="s">
        <v>1083</v>
      </c>
      <c r="I107" s="2" t="s">
        <v>31</v>
      </c>
      <c r="J107" s="2" t="s">
        <v>31</v>
      </c>
      <c r="K107" s="2" t="s">
        <v>486</v>
      </c>
      <c r="L107" s="2" t="s">
        <v>164</v>
      </c>
      <c r="M107" s="2" t="s">
        <v>386</v>
      </c>
      <c r="N107" s="190"/>
      <c r="O107" s="2" t="s">
        <v>1543</v>
      </c>
      <c r="P107" s="2" t="s">
        <v>1523</v>
      </c>
      <c r="Q107" s="2" t="s">
        <v>203</v>
      </c>
      <c r="R107" s="2" t="s">
        <v>453</v>
      </c>
      <c r="S107" s="2" t="s">
        <v>35</v>
      </c>
      <c r="T107" s="150">
        <v>1.51</v>
      </c>
      <c r="U107" s="2" t="s">
        <v>1393</v>
      </c>
      <c r="V107" s="162">
        <v>2.8000000000000001E-2</v>
      </c>
      <c r="W107" s="2" t="s">
        <v>800</v>
      </c>
      <c r="X107" s="2" t="s">
        <v>1388</v>
      </c>
      <c r="Y107" s="150">
        <v>2.8</v>
      </c>
      <c r="Z107" s="164">
        <v>5.6939999999999998E-2</v>
      </c>
      <c r="AA107" s="2" t="s">
        <v>1547</v>
      </c>
      <c r="AB107" s="4" t="s">
        <v>458</v>
      </c>
      <c r="AG107" s="2" t="s">
        <v>164</v>
      </c>
      <c r="AJ107" s="2" t="s">
        <v>164</v>
      </c>
      <c r="AK107" s="2" t="s">
        <v>203</v>
      </c>
      <c r="AN107" s="2" t="s">
        <v>1374</v>
      </c>
      <c r="AQ107" s="150">
        <v>2250000</v>
      </c>
      <c r="AR107" s="150">
        <v>96.71</v>
      </c>
      <c r="AS107" s="150">
        <v>1</v>
      </c>
      <c r="AT107" s="150">
        <v>2175.9749999999999</v>
      </c>
      <c r="AU107" s="150">
        <v>2175.9749999999999</v>
      </c>
      <c r="AX107" s="4" t="s">
        <v>164</v>
      </c>
      <c r="AY107" s="2" t="s">
        <v>37</v>
      </c>
      <c r="AZ107" s="164">
        <v>4.2852133066951098E-2</v>
      </c>
      <c r="BA107" s="164">
        <v>9.2978114028173997E-4</v>
      </c>
    </row>
    <row r="108" spans="1:53">
      <c r="A108" s="2" t="s">
        <v>128</v>
      </c>
      <c r="B108" s="2">
        <v>7228</v>
      </c>
      <c r="C108" s="2" t="s">
        <v>1548</v>
      </c>
      <c r="D108" s="2" t="s">
        <v>1376</v>
      </c>
      <c r="E108" s="2" t="s">
        <v>1549</v>
      </c>
      <c r="F108" s="2" t="s">
        <v>1550</v>
      </c>
      <c r="G108" s="2" t="s">
        <v>1083</v>
      </c>
      <c r="I108" s="2" t="s">
        <v>31</v>
      </c>
      <c r="J108" s="2" t="s">
        <v>31</v>
      </c>
      <c r="K108" s="2" t="s">
        <v>483</v>
      </c>
      <c r="L108" s="2" t="s">
        <v>164</v>
      </c>
      <c r="M108" s="2" t="s">
        <v>386</v>
      </c>
      <c r="N108" s="190">
        <v>513846667</v>
      </c>
      <c r="O108" s="2" t="s">
        <v>1379</v>
      </c>
      <c r="P108" s="2" t="s">
        <v>1380</v>
      </c>
      <c r="Q108" s="2" t="s">
        <v>98</v>
      </c>
      <c r="R108" s="2" t="s">
        <v>453</v>
      </c>
      <c r="S108" s="2" t="s">
        <v>35</v>
      </c>
      <c r="T108" s="150">
        <v>5.0999999999999996</v>
      </c>
      <c r="U108" s="2" t="s">
        <v>203</v>
      </c>
      <c r="V108" s="162">
        <v>3.5499999999999997E-2</v>
      </c>
      <c r="W108" s="2" t="s">
        <v>800</v>
      </c>
      <c r="X108" s="2" t="s">
        <v>954</v>
      </c>
      <c r="Y108" s="150">
        <v>3.55</v>
      </c>
      <c r="Z108" s="164">
        <v>3.058E-2</v>
      </c>
      <c r="AA108" s="2" t="s">
        <v>1381</v>
      </c>
      <c r="AB108" s="4" t="s">
        <v>458</v>
      </c>
      <c r="AG108" s="2" t="s">
        <v>164</v>
      </c>
      <c r="AI108" s="2" t="s">
        <v>1382</v>
      </c>
      <c r="AJ108" s="2" t="s">
        <v>386</v>
      </c>
      <c r="AK108" s="2" t="s">
        <v>937</v>
      </c>
      <c r="AL108" s="2" t="s">
        <v>1373</v>
      </c>
      <c r="AN108" s="2" t="s">
        <v>1374</v>
      </c>
      <c r="AQ108" s="150">
        <v>3718659.02</v>
      </c>
      <c r="AR108" s="150">
        <v>107.9</v>
      </c>
      <c r="AS108" s="150">
        <v>1</v>
      </c>
      <c r="AT108" s="150">
        <v>4012.433</v>
      </c>
      <c r="AU108" s="150">
        <v>4012.433</v>
      </c>
      <c r="AX108" s="4" t="s">
        <v>164</v>
      </c>
      <c r="AY108" s="2" t="s">
        <v>37</v>
      </c>
      <c r="AZ108" s="164">
        <v>7.9018056906423606E-2</v>
      </c>
      <c r="BA108" s="164">
        <v>1.7144887265825299E-3</v>
      </c>
    </row>
    <row r="109" spans="1:53">
      <c r="A109" s="2" t="s">
        <v>128</v>
      </c>
      <c r="B109" s="2">
        <v>7228</v>
      </c>
      <c r="C109" s="2" t="s">
        <v>1551</v>
      </c>
      <c r="D109" s="2" t="s">
        <v>1376</v>
      </c>
      <c r="E109" s="2" t="s">
        <v>1557</v>
      </c>
      <c r="F109" s="2" t="s">
        <v>1558</v>
      </c>
      <c r="G109" s="2" t="s">
        <v>1082</v>
      </c>
      <c r="I109" s="2" t="s">
        <v>31</v>
      </c>
      <c r="J109" s="2" t="s">
        <v>31</v>
      </c>
      <c r="K109" s="2" t="s">
        <v>522</v>
      </c>
      <c r="L109" s="2" t="s">
        <v>164</v>
      </c>
      <c r="M109" s="2" t="s">
        <v>164</v>
      </c>
      <c r="N109" s="190"/>
      <c r="O109" s="2" t="s">
        <v>1554</v>
      </c>
      <c r="P109" s="2" t="s">
        <v>1555</v>
      </c>
      <c r="Q109" s="2" t="s">
        <v>34</v>
      </c>
      <c r="R109" s="2" t="s">
        <v>453</v>
      </c>
      <c r="S109" s="2" t="s">
        <v>35</v>
      </c>
      <c r="T109" s="150">
        <v>2.524</v>
      </c>
      <c r="U109" s="2" t="s">
        <v>203</v>
      </c>
      <c r="V109" s="162">
        <v>5.5105554930000002E-2</v>
      </c>
      <c r="W109" s="2" t="s">
        <v>800</v>
      </c>
      <c r="X109" s="2" t="s">
        <v>1388</v>
      </c>
      <c r="Z109" s="164">
        <v>5.5100000000000003E-2</v>
      </c>
      <c r="AB109" s="4" t="s">
        <v>458</v>
      </c>
      <c r="AG109" s="2" t="s">
        <v>164</v>
      </c>
      <c r="AJ109" s="2" t="s">
        <v>164</v>
      </c>
      <c r="AK109" s="2" t="s">
        <v>203</v>
      </c>
      <c r="AN109" s="2" t="s">
        <v>1374</v>
      </c>
      <c r="AQ109" s="150">
        <v>28778939.359999999</v>
      </c>
      <c r="AR109" s="150">
        <v>101.367</v>
      </c>
      <c r="AS109" s="150">
        <v>1</v>
      </c>
      <c r="AT109" s="150">
        <v>29172.280999999999</v>
      </c>
      <c r="AU109" s="150">
        <v>29172.280999999999</v>
      </c>
      <c r="AX109" s="4" t="s">
        <v>164</v>
      </c>
      <c r="AY109" s="2" t="s">
        <v>37</v>
      </c>
      <c r="AZ109" s="164">
        <v>0.57449854271963197</v>
      </c>
      <c r="BA109" s="164">
        <v>1.24651416839741E-2</v>
      </c>
    </row>
    <row r="110" spans="1:53">
      <c r="A110" s="2" t="s">
        <v>128</v>
      </c>
      <c r="B110" s="2">
        <v>7229</v>
      </c>
      <c r="C110" s="2" t="s">
        <v>1365</v>
      </c>
      <c r="D110" s="2" t="s">
        <v>34</v>
      </c>
      <c r="E110" s="2" t="s">
        <v>1366</v>
      </c>
      <c r="F110" s="2" t="s">
        <v>1367</v>
      </c>
      <c r="G110" s="2" t="s">
        <v>1083</v>
      </c>
      <c r="I110" s="2" t="s">
        <v>31</v>
      </c>
      <c r="J110" s="2" t="s">
        <v>31</v>
      </c>
      <c r="K110" s="2" t="s">
        <v>492</v>
      </c>
      <c r="L110" s="2" t="s">
        <v>164</v>
      </c>
      <c r="M110" s="2" t="s">
        <v>386</v>
      </c>
      <c r="N110" s="190">
        <v>514984558</v>
      </c>
      <c r="O110" s="2" t="s">
        <v>1369</v>
      </c>
      <c r="P110" s="2" t="s">
        <v>1370</v>
      </c>
      <c r="Q110" s="2" t="s">
        <v>98</v>
      </c>
      <c r="R110" s="2" t="s">
        <v>453</v>
      </c>
      <c r="S110" s="2" t="s">
        <v>35</v>
      </c>
      <c r="T110" s="150">
        <v>1.71</v>
      </c>
      <c r="U110" s="2" t="s">
        <v>203</v>
      </c>
      <c r="V110" s="162">
        <v>5.5E-2</v>
      </c>
      <c r="W110" s="2" t="s">
        <v>800</v>
      </c>
      <c r="X110" s="2" t="s">
        <v>954</v>
      </c>
      <c r="Y110" s="150">
        <v>5.5</v>
      </c>
      <c r="Z110" s="164">
        <v>0.25139</v>
      </c>
      <c r="AA110" s="2" t="s">
        <v>1371</v>
      </c>
      <c r="AB110" s="4" t="s">
        <v>458</v>
      </c>
      <c r="AG110" s="2" t="s">
        <v>386</v>
      </c>
      <c r="AH110" s="2" t="s">
        <v>828</v>
      </c>
      <c r="AI110" s="2" t="s">
        <v>1372</v>
      </c>
      <c r="AJ110" s="2" t="s">
        <v>386</v>
      </c>
      <c r="AK110" s="2" t="s">
        <v>937</v>
      </c>
      <c r="AL110" s="2" t="s">
        <v>1373</v>
      </c>
      <c r="AN110" s="2" t="s">
        <v>1374</v>
      </c>
      <c r="AQ110" s="150">
        <v>123529</v>
      </c>
      <c r="AR110" s="150">
        <v>77.09</v>
      </c>
      <c r="AS110" s="150">
        <v>1</v>
      </c>
      <c r="AT110" s="150">
        <v>95.228999999999999</v>
      </c>
      <c r="AU110" s="150">
        <v>95.228999999999999</v>
      </c>
      <c r="AX110" s="4" t="s">
        <v>386</v>
      </c>
      <c r="AY110" s="2" t="s">
        <v>37</v>
      </c>
      <c r="AZ110" s="164">
        <v>7.1840838338190605E-2</v>
      </c>
      <c r="BA110" s="164">
        <v>6.7344766237338702E-4</v>
      </c>
    </row>
    <row r="111" spans="1:53">
      <c r="A111" s="2" t="s">
        <v>128</v>
      </c>
      <c r="B111" s="2">
        <v>7229</v>
      </c>
      <c r="C111" s="2" t="s">
        <v>1375</v>
      </c>
      <c r="D111" s="2" t="s">
        <v>1376</v>
      </c>
      <c r="E111" s="2" t="s">
        <v>1377</v>
      </c>
      <c r="F111" s="2" t="s">
        <v>1378</v>
      </c>
      <c r="G111" s="2" t="s">
        <v>1083</v>
      </c>
      <c r="I111" s="2" t="s">
        <v>31</v>
      </c>
      <c r="J111" s="2" t="s">
        <v>31</v>
      </c>
      <c r="K111" s="2" t="s">
        <v>483</v>
      </c>
      <c r="L111" s="2" t="s">
        <v>164</v>
      </c>
      <c r="M111" s="2" t="s">
        <v>386</v>
      </c>
      <c r="N111" s="190">
        <v>513846667</v>
      </c>
      <c r="O111" s="2" t="s">
        <v>1379</v>
      </c>
      <c r="P111" s="2" t="s">
        <v>1380</v>
      </c>
      <c r="Q111" s="2" t="s">
        <v>98</v>
      </c>
      <c r="R111" s="2" t="s">
        <v>453</v>
      </c>
      <c r="S111" s="2" t="s">
        <v>35</v>
      </c>
      <c r="T111" s="150">
        <v>4.74</v>
      </c>
      <c r="U111" s="2" t="s">
        <v>203</v>
      </c>
      <c r="V111" s="162">
        <v>3.5499999999999997E-2</v>
      </c>
      <c r="W111" s="2" t="s">
        <v>800</v>
      </c>
      <c r="X111" s="2" t="s">
        <v>954</v>
      </c>
      <c r="Y111" s="150">
        <v>3.55</v>
      </c>
      <c r="Z111" s="164">
        <v>6.046E-2</v>
      </c>
      <c r="AA111" s="2" t="s">
        <v>1381</v>
      </c>
      <c r="AB111" s="4" t="s">
        <v>458</v>
      </c>
      <c r="AG111" s="2" t="s">
        <v>164</v>
      </c>
      <c r="AI111" s="2" t="s">
        <v>1382</v>
      </c>
      <c r="AJ111" s="2" t="s">
        <v>386</v>
      </c>
      <c r="AK111" s="2" t="s">
        <v>937</v>
      </c>
      <c r="AL111" s="2" t="s">
        <v>1373</v>
      </c>
      <c r="AN111" s="2" t="s">
        <v>1374</v>
      </c>
      <c r="AQ111" s="150">
        <v>127091.1</v>
      </c>
      <c r="AR111" s="150">
        <v>107.76</v>
      </c>
      <c r="AS111" s="150">
        <v>1</v>
      </c>
      <c r="AT111" s="150">
        <v>136.953</v>
      </c>
      <c r="AU111" s="150">
        <v>136.953</v>
      </c>
      <c r="AX111" s="4" t="s">
        <v>164</v>
      </c>
      <c r="AY111" s="2" t="s">
        <v>37</v>
      </c>
      <c r="AZ111" s="164">
        <v>0.10331827381320501</v>
      </c>
      <c r="BA111" s="164">
        <v>9.6852224430360001E-4</v>
      </c>
    </row>
    <row r="112" spans="1:53">
      <c r="A112" s="2" t="s">
        <v>128</v>
      </c>
      <c r="B112" s="2">
        <v>7229</v>
      </c>
      <c r="C112" s="2" t="s">
        <v>1383</v>
      </c>
      <c r="D112" s="2" t="s">
        <v>34</v>
      </c>
      <c r="E112" s="2" t="s">
        <v>1384</v>
      </c>
      <c r="F112" s="2" t="s">
        <v>1385</v>
      </c>
      <c r="G112" s="2" t="s">
        <v>1083</v>
      </c>
      <c r="I112" s="2" t="s">
        <v>31</v>
      </c>
      <c r="J112" s="2" t="s">
        <v>31</v>
      </c>
      <c r="K112" s="2" t="s">
        <v>497</v>
      </c>
      <c r="L112" s="2" t="s">
        <v>164</v>
      </c>
      <c r="M112" s="2" t="s">
        <v>386</v>
      </c>
      <c r="N112" s="27" t="s">
        <v>1383</v>
      </c>
      <c r="O112" s="2" t="s">
        <v>1386</v>
      </c>
      <c r="P112" s="2" t="s">
        <v>1387</v>
      </c>
      <c r="Q112" s="2" t="s">
        <v>217</v>
      </c>
      <c r="R112" s="2" t="s">
        <v>453</v>
      </c>
      <c r="S112" s="2" t="s">
        <v>35</v>
      </c>
      <c r="T112" s="150">
        <v>3.2</v>
      </c>
      <c r="U112" s="2" t="s">
        <v>203</v>
      </c>
      <c r="V112" s="162">
        <v>5.5E-2</v>
      </c>
      <c r="W112" s="2" t="s">
        <v>800</v>
      </c>
      <c r="X112" s="2" t="s">
        <v>1388</v>
      </c>
      <c r="Y112" s="150">
        <v>5.5</v>
      </c>
      <c r="Z112" s="164">
        <v>3.2500000000000001E-2</v>
      </c>
      <c r="AA112" s="2" t="s">
        <v>1389</v>
      </c>
      <c r="AB112" s="4" t="s">
        <v>458</v>
      </c>
      <c r="AG112" s="2" t="s">
        <v>164</v>
      </c>
      <c r="AJ112" s="2" t="s">
        <v>164</v>
      </c>
      <c r="AK112" s="2" t="s">
        <v>203</v>
      </c>
      <c r="AN112" s="2" t="s">
        <v>1374</v>
      </c>
      <c r="AQ112" s="150">
        <v>4291.01</v>
      </c>
      <c r="AR112" s="150">
        <v>120.53</v>
      </c>
      <c r="AS112" s="150">
        <v>1</v>
      </c>
      <c r="AT112" s="150">
        <v>5.1719999999999997</v>
      </c>
      <c r="AU112" s="150">
        <v>5.1719999999999997</v>
      </c>
      <c r="AX112" s="4" t="s">
        <v>164</v>
      </c>
      <c r="AY112" s="2" t="s">
        <v>37</v>
      </c>
      <c r="AZ112" s="164">
        <v>3.9017469850487802E-3</v>
      </c>
      <c r="BA112" s="164">
        <v>3.6575608623663099E-5</v>
      </c>
    </row>
    <row r="113" spans="1:53">
      <c r="A113" s="2" t="s">
        <v>128</v>
      </c>
      <c r="B113" s="2">
        <v>7229</v>
      </c>
      <c r="C113" s="2" t="s">
        <v>1383</v>
      </c>
      <c r="D113" s="2" t="s">
        <v>34</v>
      </c>
      <c r="E113" s="2" t="s">
        <v>1390</v>
      </c>
      <c r="F113" s="2" t="s">
        <v>1391</v>
      </c>
      <c r="G113" s="2" t="s">
        <v>1083</v>
      </c>
      <c r="I113" s="2" t="s">
        <v>31</v>
      </c>
      <c r="J113" s="2" t="s">
        <v>31</v>
      </c>
      <c r="K113" s="2" t="s">
        <v>497</v>
      </c>
      <c r="L113" s="2" t="s">
        <v>164</v>
      </c>
      <c r="M113" s="2" t="s">
        <v>386</v>
      </c>
      <c r="N113" s="27" t="s">
        <v>1383</v>
      </c>
      <c r="O113" s="2" t="s">
        <v>1386</v>
      </c>
      <c r="P113" s="2" t="s">
        <v>1392</v>
      </c>
      <c r="Q113" s="2" t="s">
        <v>98</v>
      </c>
      <c r="R113" s="2" t="s">
        <v>453</v>
      </c>
      <c r="S113" s="2" t="s">
        <v>35</v>
      </c>
      <c r="T113" s="150">
        <v>3.22</v>
      </c>
      <c r="U113" s="2" t="s">
        <v>1393</v>
      </c>
      <c r="V113" s="162">
        <v>5.5E-2</v>
      </c>
      <c r="W113" s="2" t="s">
        <v>800</v>
      </c>
      <c r="X113" s="2" t="s">
        <v>1388</v>
      </c>
      <c r="Y113" s="150">
        <v>5.5</v>
      </c>
      <c r="Z113" s="164">
        <v>2.5940000000000001E-2</v>
      </c>
      <c r="AA113" s="2" t="s">
        <v>1389</v>
      </c>
      <c r="AB113" s="4" t="s">
        <v>458</v>
      </c>
      <c r="AG113" s="2" t="s">
        <v>164</v>
      </c>
      <c r="AJ113" s="2" t="s">
        <v>164</v>
      </c>
      <c r="AK113" s="2" t="s">
        <v>203</v>
      </c>
      <c r="AN113" s="2" t="s">
        <v>1374</v>
      </c>
      <c r="AQ113" s="150">
        <v>6181.26</v>
      </c>
      <c r="AR113" s="150">
        <v>124.99</v>
      </c>
      <c r="AS113" s="150">
        <v>1</v>
      </c>
      <c r="AT113" s="150">
        <v>7.726</v>
      </c>
      <c r="AU113" s="150">
        <v>7.726</v>
      </c>
      <c r="AX113" s="4" t="s">
        <v>164</v>
      </c>
      <c r="AY113" s="2" t="s">
        <v>37</v>
      </c>
      <c r="AZ113" s="164">
        <v>5.8284986452482703E-3</v>
      </c>
      <c r="BA113" s="164">
        <v>5.4637290969672102E-5</v>
      </c>
    </row>
    <row r="114" spans="1:53">
      <c r="A114" s="2" t="s">
        <v>128</v>
      </c>
      <c r="B114" s="2">
        <v>7229</v>
      </c>
      <c r="C114" s="2" t="s">
        <v>1383</v>
      </c>
      <c r="D114" s="2" t="s">
        <v>34</v>
      </c>
      <c r="E114" s="2" t="s">
        <v>1394</v>
      </c>
      <c r="F114" s="2" t="s">
        <v>1395</v>
      </c>
      <c r="G114" s="2" t="s">
        <v>1083</v>
      </c>
      <c r="I114" s="2" t="s">
        <v>31</v>
      </c>
      <c r="J114" s="2" t="s">
        <v>31</v>
      </c>
      <c r="K114" s="2" t="s">
        <v>497</v>
      </c>
      <c r="L114" s="2" t="s">
        <v>164</v>
      </c>
      <c r="M114" s="2" t="s">
        <v>386</v>
      </c>
      <c r="N114" s="27" t="s">
        <v>1383</v>
      </c>
      <c r="O114" s="2" t="s">
        <v>1386</v>
      </c>
      <c r="P114" s="2" t="s">
        <v>1392</v>
      </c>
      <c r="Q114" s="2" t="s">
        <v>98</v>
      </c>
      <c r="R114" s="2" t="s">
        <v>453</v>
      </c>
      <c r="S114" s="2" t="s">
        <v>35</v>
      </c>
      <c r="T114" s="150">
        <v>3.23</v>
      </c>
      <c r="U114" s="2" t="s">
        <v>1393</v>
      </c>
      <c r="V114" s="162">
        <v>5.5E-2</v>
      </c>
      <c r="W114" s="2" t="s">
        <v>800</v>
      </c>
      <c r="X114" s="2" t="s">
        <v>1388</v>
      </c>
      <c r="Y114" s="150">
        <v>5.5</v>
      </c>
      <c r="Z114" s="164">
        <v>2.5340000000000001E-2</v>
      </c>
      <c r="AA114" s="2" t="s">
        <v>1389</v>
      </c>
      <c r="AB114" s="4" t="s">
        <v>458</v>
      </c>
      <c r="AG114" s="2" t="s">
        <v>164</v>
      </c>
      <c r="AJ114" s="2" t="s">
        <v>164</v>
      </c>
      <c r="AK114" s="2" t="s">
        <v>203</v>
      </c>
      <c r="AN114" s="2" t="s">
        <v>1374</v>
      </c>
      <c r="AQ114" s="150">
        <v>681.05</v>
      </c>
      <c r="AR114" s="150">
        <v>124.99</v>
      </c>
      <c r="AS114" s="150">
        <v>1</v>
      </c>
      <c r="AT114" s="150">
        <v>0.85099999999999998</v>
      </c>
      <c r="AU114" s="150">
        <v>0.85099999999999998</v>
      </c>
      <c r="AX114" s="4" t="s">
        <v>164</v>
      </c>
      <c r="AY114" s="2" t="s">
        <v>37</v>
      </c>
      <c r="AZ114" s="164">
        <v>6.42182823946305E-4</v>
      </c>
      <c r="BA114" s="164">
        <v>6.0199258751282396E-6</v>
      </c>
    </row>
    <row r="115" spans="1:53">
      <c r="A115" s="2" t="s">
        <v>128</v>
      </c>
      <c r="B115" s="2">
        <v>7229</v>
      </c>
      <c r="C115" s="2" t="s">
        <v>1383</v>
      </c>
      <c r="D115" s="2" t="s">
        <v>34</v>
      </c>
      <c r="E115" s="2" t="s">
        <v>1396</v>
      </c>
      <c r="F115" s="2" t="s">
        <v>1397</v>
      </c>
      <c r="G115" s="2" t="s">
        <v>1083</v>
      </c>
      <c r="I115" s="2" t="s">
        <v>31</v>
      </c>
      <c r="J115" s="2" t="s">
        <v>31</v>
      </c>
      <c r="K115" s="2" t="s">
        <v>497</v>
      </c>
      <c r="L115" s="2" t="s">
        <v>164</v>
      </c>
      <c r="M115" s="2" t="s">
        <v>386</v>
      </c>
      <c r="N115" s="27" t="s">
        <v>1383</v>
      </c>
      <c r="O115" s="2" t="s">
        <v>1398</v>
      </c>
      <c r="P115" s="2" t="s">
        <v>1392</v>
      </c>
      <c r="Q115" s="2" t="s">
        <v>98</v>
      </c>
      <c r="R115" s="2" t="s">
        <v>453</v>
      </c>
      <c r="S115" s="2" t="s">
        <v>35</v>
      </c>
      <c r="T115" s="150">
        <v>3.33</v>
      </c>
      <c r="U115" s="2" t="s">
        <v>203</v>
      </c>
      <c r="V115" s="162">
        <v>5.5300000000000002E-2</v>
      </c>
      <c r="W115" s="2" t="s">
        <v>800</v>
      </c>
      <c r="X115" s="2" t="s">
        <v>954</v>
      </c>
      <c r="Y115" s="150">
        <v>5.53</v>
      </c>
      <c r="Z115" s="164">
        <v>2.9010000000000001E-2</v>
      </c>
      <c r="AA115" s="2" t="s">
        <v>1399</v>
      </c>
      <c r="AB115" s="4" t="s">
        <v>458</v>
      </c>
      <c r="AC115" s="2" t="s">
        <v>529</v>
      </c>
      <c r="AD115" s="150">
        <v>4791</v>
      </c>
      <c r="AE115" s="150">
        <v>0.78</v>
      </c>
      <c r="AF115" s="2" t="s">
        <v>1400</v>
      </c>
      <c r="AG115" s="2" t="s">
        <v>164</v>
      </c>
      <c r="AI115" s="2" t="s">
        <v>1401</v>
      </c>
      <c r="AJ115" s="2" t="s">
        <v>386</v>
      </c>
      <c r="AK115" s="2" t="s">
        <v>937</v>
      </c>
      <c r="AL115" s="2" t="s">
        <v>1373</v>
      </c>
      <c r="AN115" s="2" t="s">
        <v>1374</v>
      </c>
      <c r="AO115" s="2" t="s">
        <v>1400</v>
      </c>
      <c r="AP115" s="151">
        <v>0</v>
      </c>
      <c r="AQ115" s="150">
        <v>8511.41</v>
      </c>
      <c r="AR115" s="150">
        <v>126.56</v>
      </c>
      <c r="AS115" s="150">
        <v>1</v>
      </c>
      <c r="AT115" s="150">
        <v>10.772</v>
      </c>
      <c r="AU115" s="150">
        <v>10.772</v>
      </c>
      <c r="AX115" s="4" t="s">
        <v>164</v>
      </c>
      <c r="AY115" s="2" t="s">
        <v>37</v>
      </c>
      <c r="AZ115" s="164">
        <v>8.1264786305996605E-3</v>
      </c>
      <c r="BA115" s="164">
        <v>7.6178927803453804E-5</v>
      </c>
    </row>
    <row r="116" spans="1:53">
      <c r="A116" s="2" t="s">
        <v>128</v>
      </c>
      <c r="B116" s="2">
        <v>7229</v>
      </c>
      <c r="C116" s="2" t="s">
        <v>1383</v>
      </c>
      <c r="D116" s="2" t="s">
        <v>34</v>
      </c>
      <c r="E116" s="2" t="s">
        <v>1402</v>
      </c>
      <c r="F116" s="2" t="s">
        <v>1403</v>
      </c>
      <c r="G116" s="2" t="s">
        <v>1083</v>
      </c>
      <c r="I116" s="2" t="s">
        <v>31</v>
      </c>
      <c r="J116" s="2" t="s">
        <v>31</v>
      </c>
      <c r="K116" s="2" t="s">
        <v>497</v>
      </c>
      <c r="L116" s="2" t="s">
        <v>164</v>
      </c>
      <c r="M116" s="2" t="s">
        <v>386</v>
      </c>
      <c r="N116" s="190" t="s">
        <v>1383</v>
      </c>
      <c r="O116" s="2" t="s">
        <v>1404</v>
      </c>
      <c r="P116" s="2" t="s">
        <v>1392</v>
      </c>
      <c r="Q116" s="2" t="s">
        <v>98</v>
      </c>
      <c r="R116" s="2" t="s">
        <v>453</v>
      </c>
      <c r="S116" s="2" t="s">
        <v>35</v>
      </c>
      <c r="T116" s="150">
        <v>3.33</v>
      </c>
      <c r="U116" s="2" t="s">
        <v>203</v>
      </c>
      <c r="V116" s="162">
        <v>5.5301000000000003E-2</v>
      </c>
      <c r="W116" s="2" t="s">
        <v>800</v>
      </c>
      <c r="X116" s="2" t="s">
        <v>954</v>
      </c>
      <c r="Y116" s="150">
        <v>5.5301</v>
      </c>
      <c r="Z116" s="164">
        <v>2.9010000000000001E-2</v>
      </c>
      <c r="AA116" s="2" t="s">
        <v>1399</v>
      </c>
      <c r="AB116" s="4" t="s">
        <v>458</v>
      </c>
      <c r="AC116" s="2" t="s">
        <v>529</v>
      </c>
      <c r="AD116" s="150">
        <v>4596</v>
      </c>
      <c r="AE116" s="150">
        <v>0.78</v>
      </c>
      <c r="AF116" s="2" t="s">
        <v>1400</v>
      </c>
      <c r="AG116" s="2" t="s">
        <v>164</v>
      </c>
      <c r="AI116" s="2" t="s">
        <v>1401</v>
      </c>
      <c r="AJ116" s="2" t="s">
        <v>386</v>
      </c>
      <c r="AK116" s="2" t="s">
        <v>937</v>
      </c>
      <c r="AL116" s="2" t="s">
        <v>1373</v>
      </c>
      <c r="AN116" s="2" t="s">
        <v>1374</v>
      </c>
      <c r="AO116" s="2" t="s">
        <v>1400</v>
      </c>
      <c r="AP116" s="151">
        <v>0</v>
      </c>
      <c r="AQ116" s="150">
        <v>8165.95</v>
      </c>
      <c r="AR116" s="150">
        <v>126.56</v>
      </c>
      <c r="AS116" s="150">
        <v>1</v>
      </c>
      <c r="AT116" s="150">
        <v>10.335000000000001</v>
      </c>
      <c r="AU116" s="150">
        <v>10.335000000000001</v>
      </c>
      <c r="AX116" s="4" t="s">
        <v>164</v>
      </c>
      <c r="AY116" s="2" t="s">
        <v>37</v>
      </c>
      <c r="AZ116" s="164">
        <v>7.7966421748623602E-3</v>
      </c>
      <c r="BA116" s="164">
        <v>7.3086987408268794E-5</v>
      </c>
    </row>
    <row r="117" spans="1:53">
      <c r="A117" s="2" t="s">
        <v>128</v>
      </c>
      <c r="B117" s="2">
        <v>7229</v>
      </c>
      <c r="C117" s="2" t="s">
        <v>1383</v>
      </c>
      <c r="D117" s="2" t="s">
        <v>34</v>
      </c>
      <c r="E117" s="2" t="s">
        <v>1405</v>
      </c>
      <c r="F117" s="2" t="s">
        <v>1406</v>
      </c>
      <c r="G117" s="2" t="s">
        <v>1083</v>
      </c>
      <c r="I117" s="2" t="s">
        <v>31</v>
      </c>
      <c r="J117" s="2" t="s">
        <v>31</v>
      </c>
      <c r="K117" s="2" t="s">
        <v>497</v>
      </c>
      <c r="L117" s="2" t="s">
        <v>164</v>
      </c>
      <c r="M117" s="2" t="s">
        <v>386</v>
      </c>
      <c r="N117" s="190" t="s">
        <v>1383</v>
      </c>
      <c r="O117" s="2" t="s">
        <v>1407</v>
      </c>
      <c r="P117" s="2" t="s">
        <v>1392</v>
      </c>
      <c r="Q117" s="2" t="s">
        <v>98</v>
      </c>
      <c r="R117" s="2" t="s">
        <v>453</v>
      </c>
      <c r="S117" s="2" t="s">
        <v>35</v>
      </c>
      <c r="T117" s="150">
        <v>3.33</v>
      </c>
      <c r="U117" s="2" t="s">
        <v>203</v>
      </c>
      <c r="V117" s="162">
        <v>5.5300000000000002E-2</v>
      </c>
      <c r="W117" s="2" t="s">
        <v>800</v>
      </c>
      <c r="X117" s="2" t="s">
        <v>954</v>
      </c>
      <c r="Y117" s="150">
        <v>5.53</v>
      </c>
      <c r="Z117" s="164">
        <v>2.9000000000000001E-2</v>
      </c>
      <c r="AA117" s="2" t="s">
        <v>1399</v>
      </c>
      <c r="AB117" s="4" t="s">
        <v>458</v>
      </c>
      <c r="AC117" s="2" t="s">
        <v>529</v>
      </c>
      <c r="AD117" s="150">
        <v>4622</v>
      </c>
      <c r="AE117" s="150">
        <v>0.78</v>
      </c>
      <c r="AF117" s="2" t="s">
        <v>1400</v>
      </c>
      <c r="AG117" s="2" t="s">
        <v>164</v>
      </c>
      <c r="AI117" s="2" t="s">
        <v>1401</v>
      </c>
      <c r="AJ117" s="2" t="s">
        <v>386</v>
      </c>
      <c r="AK117" s="2" t="s">
        <v>937</v>
      </c>
      <c r="AL117" s="2" t="s">
        <v>1373</v>
      </c>
      <c r="AN117" s="2" t="s">
        <v>1374</v>
      </c>
      <c r="AO117" s="2" t="s">
        <v>1400</v>
      </c>
      <c r="AP117" s="151">
        <v>0</v>
      </c>
      <c r="AQ117" s="150">
        <v>8212.5499999999993</v>
      </c>
      <c r="AR117" s="150">
        <v>124.99</v>
      </c>
      <c r="AS117" s="150">
        <v>1</v>
      </c>
      <c r="AT117" s="150">
        <v>10.265000000000001</v>
      </c>
      <c r="AU117" s="150">
        <v>10.265000000000001</v>
      </c>
      <c r="AX117" s="4" t="s">
        <v>164</v>
      </c>
      <c r="AY117" s="2" t="s">
        <v>37</v>
      </c>
      <c r="AZ117" s="164">
        <v>7.7438639612366598E-3</v>
      </c>
      <c r="BA117" s="164">
        <v>7.2592235879574796E-5</v>
      </c>
    </row>
    <row r="118" spans="1:53">
      <c r="A118" s="2" t="s">
        <v>128</v>
      </c>
      <c r="B118" s="2">
        <v>7229</v>
      </c>
      <c r="C118" s="2" t="s">
        <v>1383</v>
      </c>
      <c r="D118" s="2" t="s">
        <v>34</v>
      </c>
      <c r="E118" s="2" t="s">
        <v>1408</v>
      </c>
      <c r="F118" s="2" t="s">
        <v>1409</v>
      </c>
      <c r="G118" s="2" t="s">
        <v>1083</v>
      </c>
      <c r="I118" s="2" t="s">
        <v>31</v>
      </c>
      <c r="J118" s="2" t="s">
        <v>31</v>
      </c>
      <c r="K118" s="2" t="s">
        <v>497</v>
      </c>
      <c r="L118" s="2" t="s">
        <v>164</v>
      </c>
      <c r="M118" s="2" t="s">
        <v>386</v>
      </c>
      <c r="N118" s="190" t="s">
        <v>1383</v>
      </c>
      <c r="O118" s="2" t="s">
        <v>1410</v>
      </c>
      <c r="P118" s="2" t="s">
        <v>1392</v>
      </c>
      <c r="Q118" s="2" t="s">
        <v>98</v>
      </c>
      <c r="R118" s="2" t="s">
        <v>453</v>
      </c>
      <c r="S118" s="2" t="s">
        <v>35</v>
      </c>
      <c r="T118" s="150">
        <v>3.34</v>
      </c>
      <c r="U118" s="2" t="s">
        <v>203</v>
      </c>
      <c r="V118" s="162">
        <v>5.5E-2</v>
      </c>
      <c r="W118" s="2" t="s">
        <v>800</v>
      </c>
      <c r="X118" s="2" t="s">
        <v>1388</v>
      </c>
      <c r="Y118" s="150">
        <v>5.5</v>
      </c>
      <c r="Z118" s="164">
        <v>2.9010000000000001E-2</v>
      </c>
      <c r="AA118" s="2" t="s">
        <v>1399</v>
      </c>
      <c r="AB118" s="4" t="s">
        <v>458</v>
      </c>
      <c r="AC118" s="2" t="s">
        <v>529</v>
      </c>
      <c r="AD118" s="150">
        <v>3155</v>
      </c>
      <c r="AE118" s="150">
        <v>0.78</v>
      </c>
      <c r="AF118" s="2" t="s">
        <v>1400</v>
      </c>
      <c r="AG118" s="2" t="s">
        <v>164</v>
      </c>
      <c r="AI118" s="2" t="s">
        <v>1401</v>
      </c>
      <c r="AJ118" s="2" t="s">
        <v>386</v>
      </c>
      <c r="AK118" s="2" t="s">
        <v>203</v>
      </c>
      <c r="AN118" s="2" t="s">
        <v>1374</v>
      </c>
      <c r="AO118" s="2" t="s">
        <v>1400</v>
      </c>
      <c r="AP118" s="151">
        <v>0</v>
      </c>
      <c r="AQ118" s="150">
        <v>2593.4299999999998</v>
      </c>
      <c r="AR118" s="150">
        <v>124.49</v>
      </c>
      <c r="AS118" s="150">
        <v>1</v>
      </c>
      <c r="AT118" s="150">
        <v>3.2290000000000001</v>
      </c>
      <c r="AU118" s="150">
        <v>3.2290000000000001</v>
      </c>
      <c r="AX118" s="4" t="s">
        <v>164</v>
      </c>
      <c r="AY118" s="2" t="s">
        <v>37</v>
      </c>
      <c r="AZ118" s="164">
        <v>2.4356417932809801E-3</v>
      </c>
      <c r="BA118" s="164">
        <v>2.2832100933210101E-5</v>
      </c>
    </row>
    <row r="119" spans="1:53">
      <c r="A119" s="2" t="s">
        <v>128</v>
      </c>
      <c r="B119" s="2">
        <v>7229</v>
      </c>
      <c r="C119" s="2" t="s">
        <v>1383</v>
      </c>
      <c r="D119" s="2" t="s">
        <v>34</v>
      </c>
      <c r="E119" s="2" t="s">
        <v>1411</v>
      </c>
      <c r="F119" s="2" t="s">
        <v>1412</v>
      </c>
      <c r="G119" s="2" t="s">
        <v>1083</v>
      </c>
      <c r="I119" s="2" t="s">
        <v>31</v>
      </c>
      <c r="J119" s="2" t="s">
        <v>31</v>
      </c>
      <c r="K119" s="2" t="s">
        <v>497</v>
      </c>
      <c r="L119" s="2" t="s">
        <v>164</v>
      </c>
      <c r="M119" s="2" t="s">
        <v>386</v>
      </c>
      <c r="N119" s="190" t="s">
        <v>1383</v>
      </c>
      <c r="O119" s="2" t="s">
        <v>1413</v>
      </c>
      <c r="P119" s="2" t="s">
        <v>1392</v>
      </c>
      <c r="Q119" s="2" t="s">
        <v>98</v>
      </c>
      <c r="R119" s="2" t="s">
        <v>453</v>
      </c>
      <c r="S119" s="2" t="s">
        <v>35</v>
      </c>
      <c r="T119" s="150">
        <v>3.33</v>
      </c>
      <c r="U119" s="2" t="s">
        <v>1393</v>
      </c>
      <c r="V119" s="162">
        <v>5.6132000000000001E-2</v>
      </c>
      <c r="W119" s="2" t="s">
        <v>800</v>
      </c>
      <c r="X119" s="2" t="s">
        <v>954</v>
      </c>
      <c r="Y119" s="150">
        <v>5.6132</v>
      </c>
      <c r="Z119" s="164">
        <v>2.886E-2</v>
      </c>
      <c r="AA119" s="2" t="s">
        <v>1399</v>
      </c>
      <c r="AB119" s="4" t="s">
        <v>458</v>
      </c>
      <c r="AC119" s="2" t="s">
        <v>529</v>
      </c>
      <c r="AD119" s="150">
        <v>465</v>
      </c>
      <c r="AE119" s="150">
        <v>0.78</v>
      </c>
      <c r="AF119" s="2" t="s">
        <v>1400</v>
      </c>
      <c r="AG119" s="2" t="s">
        <v>164</v>
      </c>
      <c r="AI119" s="2" t="s">
        <v>1401</v>
      </c>
      <c r="AJ119" s="2" t="s">
        <v>386</v>
      </c>
      <c r="AK119" s="2" t="s">
        <v>937</v>
      </c>
      <c r="AL119" s="2" t="s">
        <v>1373</v>
      </c>
      <c r="AN119" s="2" t="s">
        <v>1374</v>
      </c>
      <c r="AO119" s="2" t="s">
        <v>1400</v>
      </c>
      <c r="AP119" s="151">
        <v>0</v>
      </c>
      <c r="AQ119" s="150">
        <v>380.89</v>
      </c>
      <c r="AR119" s="150">
        <v>127.15</v>
      </c>
      <c r="AS119" s="150">
        <v>1</v>
      </c>
      <c r="AT119" s="150">
        <v>0.48399999999999999</v>
      </c>
      <c r="AU119" s="150">
        <v>0.48399999999999999</v>
      </c>
      <c r="AX119" s="4" t="s">
        <v>164</v>
      </c>
      <c r="AY119" s="2" t="s">
        <v>37</v>
      </c>
      <c r="AZ119" s="164">
        <v>3.6535945896726003E-4</v>
      </c>
      <c r="BA119" s="164">
        <v>3.4249387849460199E-6</v>
      </c>
    </row>
    <row r="120" spans="1:53">
      <c r="A120" s="2" t="s">
        <v>128</v>
      </c>
      <c r="B120" s="2">
        <v>7229</v>
      </c>
      <c r="C120" s="2" t="s">
        <v>1383</v>
      </c>
      <c r="D120" s="2" t="s">
        <v>34</v>
      </c>
      <c r="E120" s="2" t="s">
        <v>1414</v>
      </c>
      <c r="F120" s="2" t="s">
        <v>1415</v>
      </c>
      <c r="G120" s="2" t="s">
        <v>1083</v>
      </c>
      <c r="I120" s="2" t="s">
        <v>31</v>
      </c>
      <c r="J120" s="2" t="s">
        <v>31</v>
      </c>
      <c r="K120" s="2" t="s">
        <v>497</v>
      </c>
      <c r="L120" s="2" t="s">
        <v>164</v>
      </c>
      <c r="M120" s="2" t="s">
        <v>386</v>
      </c>
      <c r="N120" s="27" t="s">
        <v>1383</v>
      </c>
      <c r="O120" s="2" t="s">
        <v>1386</v>
      </c>
      <c r="P120" s="2" t="s">
        <v>1392</v>
      </c>
      <c r="Q120" s="2" t="s">
        <v>98</v>
      </c>
      <c r="R120" s="2" t="s">
        <v>453</v>
      </c>
      <c r="S120" s="2" t="s">
        <v>35</v>
      </c>
      <c r="T120" s="150">
        <v>3.21</v>
      </c>
      <c r="U120" s="2" t="s">
        <v>1393</v>
      </c>
      <c r="V120" s="162">
        <v>5.6691999999999999E-2</v>
      </c>
      <c r="W120" s="2" t="s">
        <v>800</v>
      </c>
      <c r="X120" s="2" t="s">
        <v>1388</v>
      </c>
      <c r="Y120" s="150">
        <v>5.6692</v>
      </c>
      <c r="Z120" s="164">
        <v>2.7910000000000001E-2</v>
      </c>
      <c r="AA120" s="2" t="s">
        <v>1416</v>
      </c>
      <c r="AB120" s="4" t="s">
        <v>458</v>
      </c>
      <c r="AG120" s="2" t="s">
        <v>164</v>
      </c>
      <c r="AJ120" s="2" t="s">
        <v>164</v>
      </c>
      <c r="AK120" s="2" t="s">
        <v>203</v>
      </c>
      <c r="AN120" s="2" t="s">
        <v>1374</v>
      </c>
      <c r="AQ120" s="150">
        <v>766.94</v>
      </c>
      <c r="AR120" s="150">
        <v>127.57</v>
      </c>
      <c r="AS120" s="150">
        <v>1</v>
      </c>
      <c r="AT120" s="150">
        <v>0.97799999999999998</v>
      </c>
      <c r="AU120" s="150">
        <v>0.97799999999999998</v>
      </c>
      <c r="AX120" s="4" t="s">
        <v>164</v>
      </c>
      <c r="AY120" s="2" t="s">
        <v>37</v>
      </c>
      <c r="AZ120" s="164">
        <v>7.38098571689458E-4</v>
      </c>
      <c r="BA120" s="164">
        <v>6.9190556402674604E-6</v>
      </c>
    </row>
    <row r="121" spans="1:53">
      <c r="A121" s="2" t="s">
        <v>128</v>
      </c>
      <c r="B121" s="2">
        <v>7229</v>
      </c>
      <c r="C121" s="2" t="s">
        <v>1383</v>
      </c>
      <c r="D121" s="2" t="s">
        <v>34</v>
      </c>
      <c r="E121" s="2" t="s">
        <v>1417</v>
      </c>
      <c r="F121" s="2" t="s">
        <v>1418</v>
      </c>
      <c r="G121" s="2" t="s">
        <v>1083</v>
      </c>
      <c r="I121" s="2" t="s">
        <v>31</v>
      </c>
      <c r="J121" s="2" t="s">
        <v>31</v>
      </c>
      <c r="K121" s="2" t="s">
        <v>497</v>
      </c>
      <c r="L121" s="2" t="s">
        <v>164</v>
      </c>
      <c r="M121" s="2" t="s">
        <v>386</v>
      </c>
      <c r="N121" s="190" t="s">
        <v>1383</v>
      </c>
      <c r="O121" s="2" t="s">
        <v>1419</v>
      </c>
      <c r="P121" s="2" t="s">
        <v>1392</v>
      </c>
      <c r="Q121" s="2" t="s">
        <v>98</v>
      </c>
      <c r="R121" s="2" t="s">
        <v>453</v>
      </c>
      <c r="S121" s="2" t="s">
        <v>35</v>
      </c>
      <c r="T121" s="150">
        <v>3.34</v>
      </c>
      <c r="U121" s="2" t="s">
        <v>1393</v>
      </c>
      <c r="V121" s="162">
        <v>5.5E-2</v>
      </c>
      <c r="W121" s="2" t="s">
        <v>800</v>
      </c>
      <c r="X121" s="2" t="s">
        <v>954</v>
      </c>
      <c r="Y121" s="150">
        <v>5.5</v>
      </c>
      <c r="Z121" s="164">
        <v>2.8160000000000001E-2</v>
      </c>
      <c r="AA121" s="2" t="s">
        <v>1399</v>
      </c>
      <c r="AB121" s="4" t="s">
        <v>458</v>
      </c>
      <c r="AC121" s="2" t="s">
        <v>529</v>
      </c>
      <c r="AD121" s="150">
        <v>562</v>
      </c>
      <c r="AE121" s="150">
        <v>0.78</v>
      </c>
      <c r="AF121" s="2" t="s">
        <v>1400</v>
      </c>
      <c r="AG121" s="2" t="s">
        <v>164</v>
      </c>
      <c r="AI121" s="2" t="s">
        <v>1401</v>
      </c>
      <c r="AJ121" s="2" t="s">
        <v>386</v>
      </c>
      <c r="AK121" s="2" t="s">
        <v>937</v>
      </c>
      <c r="AL121" s="2" t="s">
        <v>1373</v>
      </c>
      <c r="AN121" s="2" t="s">
        <v>1374</v>
      </c>
      <c r="AO121" s="2" t="s">
        <v>1400</v>
      </c>
      <c r="AP121" s="151">
        <v>0</v>
      </c>
      <c r="AQ121" s="150">
        <v>460.2</v>
      </c>
      <c r="AR121" s="150">
        <v>127.53</v>
      </c>
      <c r="AS121" s="150">
        <v>1</v>
      </c>
      <c r="AT121" s="150">
        <v>0.58699999999999997</v>
      </c>
      <c r="AU121" s="150">
        <v>0.58699999999999997</v>
      </c>
      <c r="AX121" s="4" t="s">
        <v>164</v>
      </c>
      <c r="AY121" s="2" t="s">
        <v>37</v>
      </c>
      <c r="AZ121" s="164">
        <v>4.4275491837486699E-4</v>
      </c>
      <c r="BA121" s="164">
        <v>4.1504563655038096E-6</v>
      </c>
    </row>
    <row r="122" spans="1:53">
      <c r="A122" s="2" t="s">
        <v>128</v>
      </c>
      <c r="B122" s="2">
        <v>7229</v>
      </c>
      <c r="C122" s="2" t="s">
        <v>1383</v>
      </c>
      <c r="D122" s="2" t="s">
        <v>34</v>
      </c>
      <c r="E122" s="2" t="s">
        <v>1420</v>
      </c>
      <c r="F122" s="2" t="s">
        <v>1421</v>
      </c>
      <c r="G122" s="2" t="s">
        <v>1083</v>
      </c>
      <c r="I122" s="2" t="s">
        <v>31</v>
      </c>
      <c r="J122" s="2" t="s">
        <v>31</v>
      </c>
      <c r="K122" s="2" t="s">
        <v>497</v>
      </c>
      <c r="L122" s="2" t="s">
        <v>164</v>
      </c>
      <c r="M122" s="2" t="s">
        <v>386</v>
      </c>
      <c r="N122" s="190" t="s">
        <v>1383</v>
      </c>
      <c r="O122" s="2" t="s">
        <v>1422</v>
      </c>
      <c r="P122" s="2" t="s">
        <v>1392</v>
      </c>
      <c r="Q122" s="2" t="s">
        <v>98</v>
      </c>
      <c r="R122" s="2" t="s">
        <v>453</v>
      </c>
      <c r="S122" s="2" t="s">
        <v>35</v>
      </c>
      <c r="T122" s="150">
        <v>3.34</v>
      </c>
      <c r="U122" s="2" t="s">
        <v>1393</v>
      </c>
      <c r="V122" s="162">
        <v>5.5E-2</v>
      </c>
      <c r="W122" s="2" t="s">
        <v>800</v>
      </c>
      <c r="X122" s="2" t="s">
        <v>954</v>
      </c>
      <c r="Y122" s="150">
        <v>5.5</v>
      </c>
      <c r="Z122" s="164">
        <v>2.9000000000000001E-2</v>
      </c>
      <c r="AA122" s="2" t="s">
        <v>1399</v>
      </c>
      <c r="AB122" s="4" t="s">
        <v>458</v>
      </c>
      <c r="AC122" s="2" t="s">
        <v>529</v>
      </c>
      <c r="AD122" s="150">
        <v>4665</v>
      </c>
      <c r="AE122" s="150">
        <v>0.78</v>
      </c>
      <c r="AF122" s="2" t="s">
        <v>1400</v>
      </c>
      <c r="AG122" s="2" t="s">
        <v>164</v>
      </c>
      <c r="AI122" s="2" t="s">
        <v>1401</v>
      </c>
      <c r="AJ122" s="2" t="s">
        <v>386</v>
      </c>
      <c r="AK122" s="2" t="s">
        <v>937</v>
      </c>
      <c r="AL122" s="2" t="s">
        <v>1373</v>
      </c>
      <c r="AN122" s="2" t="s">
        <v>1374</v>
      </c>
      <c r="AO122" s="2" t="s">
        <v>1400</v>
      </c>
      <c r="AP122" s="151">
        <v>0</v>
      </c>
      <c r="AQ122" s="150">
        <v>8287.93</v>
      </c>
      <c r="AR122" s="150">
        <v>127.17</v>
      </c>
      <c r="AS122" s="150">
        <v>1</v>
      </c>
      <c r="AT122" s="150">
        <v>10.54</v>
      </c>
      <c r="AU122" s="150">
        <v>10.54</v>
      </c>
      <c r="AX122" s="4" t="s">
        <v>164</v>
      </c>
      <c r="AY122" s="2" t="s">
        <v>37</v>
      </c>
      <c r="AZ122" s="164">
        <v>7.95124555695257E-3</v>
      </c>
      <c r="BA122" s="164">
        <v>7.4536264569728599E-5</v>
      </c>
    </row>
    <row r="123" spans="1:53">
      <c r="A123" s="2" t="s">
        <v>128</v>
      </c>
      <c r="B123" s="2">
        <v>7229</v>
      </c>
      <c r="C123" s="2" t="s">
        <v>1383</v>
      </c>
      <c r="D123" s="2" t="s">
        <v>34</v>
      </c>
      <c r="E123" s="2" t="s">
        <v>1423</v>
      </c>
      <c r="F123" s="2" t="s">
        <v>1424</v>
      </c>
      <c r="G123" s="2" t="s">
        <v>1083</v>
      </c>
      <c r="I123" s="2" t="s">
        <v>31</v>
      </c>
      <c r="J123" s="2" t="s">
        <v>31</v>
      </c>
      <c r="K123" s="2" t="s">
        <v>497</v>
      </c>
      <c r="L123" s="2" t="s">
        <v>164</v>
      </c>
      <c r="M123" s="2" t="s">
        <v>386</v>
      </c>
      <c r="N123" s="190" t="s">
        <v>1383</v>
      </c>
      <c r="O123" s="2" t="s">
        <v>1425</v>
      </c>
      <c r="P123" s="2" t="s">
        <v>1392</v>
      </c>
      <c r="Q123" s="2" t="s">
        <v>98</v>
      </c>
      <c r="R123" s="2" t="s">
        <v>453</v>
      </c>
      <c r="S123" s="2" t="s">
        <v>35</v>
      </c>
      <c r="T123" s="150">
        <v>3.49</v>
      </c>
      <c r="U123" s="2" t="s">
        <v>1393</v>
      </c>
      <c r="V123" s="162">
        <v>5.5E-2</v>
      </c>
      <c r="W123" s="2" t="s">
        <v>800</v>
      </c>
      <c r="X123" s="2" t="s">
        <v>954</v>
      </c>
      <c r="Y123" s="150">
        <v>5.5</v>
      </c>
      <c r="Z123" s="164">
        <v>2.887E-2</v>
      </c>
      <c r="AA123" s="2" t="s">
        <v>1389</v>
      </c>
      <c r="AB123" s="4" t="s">
        <v>458</v>
      </c>
      <c r="AC123" s="2" t="s">
        <v>529</v>
      </c>
      <c r="AD123" s="150">
        <v>534</v>
      </c>
      <c r="AE123" s="150">
        <v>0.78</v>
      </c>
      <c r="AF123" s="2" t="s">
        <v>1400</v>
      </c>
      <c r="AG123" s="2" t="s">
        <v>164</v>
      </c>
      <c r="AI123" s="2" t="s">
        <v>1401</v>
      </c>
      <c r="AJ123" s="2" t="s">
        <v>386</v>
      </c>
      <c r="AK123" s="2" t="s">
        <v>937</v>
      </c>
      <c r="AL123" s="2" t="s">
        <v>1373</v>
      </c>
      <c r="AN123" s="2" t="s">
        <v>1374</v>
      </c>
      <c r="AO123" s="2" t="s">
        <v>1400</v>
      </c>
      <c r="AP123" s="151">
        <v>0</v>
      </c>
      <c r="AQ123" s="150">
        <v>948.81</v>
      </c>
      <c r="AR123" s="150">
        <v>124.46</v>
      </c>
      <c r="AS123" s="150">
        <v>1</v>
      </c>
      <c r="AT123" s="150">
        <v>1.181</v>
      </c>
      <c r="AU123" s="150">
        <v>1.181</v>
      </c>
      <c r="AX123" s="4" t="s">
        <v>164</v>
      </c>
      <c r="AY123" s="2" t="s">
        <v>37</v>
      </c>
      <c r="AZ123" s="164">
        <v>8.9086822740912003E-4</v>
      </c>
      <c r="BA123" s="164">
        <v>8.3511431535238506E-6</v>
      </c>
    </row>
    <row r="124" spans="1:53">
      <c r="A124" s="2" t="s">
        <v>128</v>
      </c>
      <c r="B124" s="2">
        <v>7229</v>
      </c>
      <c r="C124" s="2" t="s">
        <v>1383</v>
      </c>
      <c r="D124" s="2" t="s">
        <v>34</v>
      </c>
      <c r="E124" s="2" t="s">
        <v>1426</v>
      </c>
      <c r="F124" s="2" t="s">
        <v>1427</v>
      </c>
      <c r="G124" s="2" t="s">
        <v>1083</v>
      </c>
      <c r="I124" s="2" t="s">
        <v>31</v>
      </c>
      <c r="J124" s="2" t="s">
        <v>31</v>
      </c>
      <c r="K124" s="2" t="s">
        <v>497</v>
      </c>
      <c r="L124" s="2" t="s">
        <v>164</v>
      </c>
      <c r="M124" s="2" t="s">
        <v>386</v>
      </c>
      <c r="N124" s="27" t="s">
        <v>1383</v>
      </c>
      <c r="O124" s="2" t="s">
        <v>1386</v>
      </c>
      <c r="P124" s="2" t="s">
        <v>1387</v>
      </c>
      <c r="Q124" s="2" t="s">
        <v>217</v>
      </c>
      <c r="R124" s="2" t="s">
        <v>453</v>
      </c>
      <c r="S124" s="2" t="s">
        <v>35</v>
      </c>
      <c r="T124" s="150">
        <v>3.22</v>
      </c>
      <c r="U124" s="2" t="s">
        <v>203</v>
      </c>
      <c r="V124" s="162">
        <v>5.5E-2</v>
      </c>
      <c r="W124" s="2" t="s">
        <v>800</v>
      </c>
      <c r="X124" s="2" t="s">
        <v>1388</v>
      </c>
      <c r="Y124" s="150">
        <v>5.5</v>
      </c>
      <c r="Z124" s="164">
        <v>2.63E-2</v>
      </c>
      <c r="AA124" s="2" t="s">
        <v>1389</v>
      </c>
      <c r="AB124" s="4" t="s">
        <v>458</v>
      </c>
      <c r="AG124" s="2" t="s">
        <v>164</v>
      </c>
      <c r="AJ124" s="2" t="s">
        <v>164</v>
      </c>
      <c r="AK124" s="2" t="s">
        <v>203</v>
      </c>
      <c r="AN124" s="2" t="s">
        <v>1374</v>
      </c>
      <c r="AQ124" s="150">
        <v>785.89</v>
      </c>
      <c r="AR124" s="150">
        <v>124.4</v>
      </c>
      <c r="AS124" s="150">
        <v>1</v>
      </c>
      <c r="AT124" s="150">
        <v>0.97799999999999998</v>
      </c>
      <c r="AU124" s="150">
        <v>0.97799999999999998</v>
      </c>
      <c r="AX124" s="4" t="s">
        <v>164</v>
      </c>
      <c r="AY124" s="2" t="s">
        <v>37</v>
      </c>
      <c r="AZ124" s="164">
        <v>7.3754167160405804E-4</v>
      </c>
      <c r="BA124" s="164">
        <v>6.9138351686058897E-6</v>
      </c>
    </row>
    <row r="125" spans="1:53">
      <c r="A125" s="2" t="s">
        <v>128</v>
      </c>
      <c r="B125" s="2">
        <v>7229</v>
      </c>
      <c r="C125" s="2" t="s">
        <v>1383</v>
      </c>
      <c r="D125" s="2" t="s">
        <v>34</v>
      </c>
      <c r="E125" s="2" t="s">
        <v>1428</v>
      </c>
      <c r="F125" s="2" t="s">
        <v>1429</v>
      </c>
      <c r="G125" s="2" t="s">
        <v>1083</v>
      </c>
      <c r="I125" s="2" t="s">
        <v>31</v>
      </c>
      <c r="J125" s="2" t="s">
        <v>31</v>
      </c>
      <c r="K125" s="2" t="s">
        <v>497</v>
      </c>
      <c r="L125" s="2" t="s">
        <v>164</v>
      </c>
      <c r="M125" s="2" t="s">
        <v>386</v>
      </c>
      <c r="N125" s="190" t="s">
        <v>1383</v>
      </c>
      <c r="O125" s="2" t="s">
        <v>1430</v>
      </c>
      <c r="P125" s="2" t="s">
        <v>1392</v>
      </c>
      <c r="Q125" s="2" t="s">
        <v>98</v>
      </c>
      <c r="R125" s="2" t="s">
        <v>453</v>
      </c>
      <c r="S125" s="2" t="s">
        <v>35</v>
      </c>
      <c r="T125" s="150">
        <v>3.21</v>
      </c>
      <c r="U125" s="2" t="s">
        <v>1393</v>
      </c>
      <c r="V125" s="162">
        <v>5.5E-2</v>
      </c>
      <c r="W125" s="2" t="s">
        <v>800</v>
      </c>
      <c r="X125" s="2" t="s">
        <v>954</v>
      </c>
      <c r="Y125" s="150">
        <v>5.5</v>
      </c>
      <c r="Z125" s="164">
        <v>2.8729999999999999E-2</v>
      </c>
      <c r="AA125" s="2" t="s">
        <v>1399</v>
      </c>
      <c r="AB125" s="4" t="s">
        <v>458</v>
      </c>
      <c r="AC125" s="2" t="s">
        <v>529</v>
      </c>
      <c r="AD125" s="150">
        <v>2192</v>
      </c>
      <c r="AE125" s="150">
        <v>0.78</v>
      </c>
      <c r="AF125" s="2" t="s">
        <v>1400</v>
      </c>
      <c r="AG125" s="2" t="s">
        <v>164</v>
      </c>
      <c r="AI125" s="2" t="s">
        <v>1401</v>
      </c>
      <c r="AJ125" s="2" t="s">
        <v>386</v>
      </c>
      <c r="AK125" s="2" t="s">
        <v>937</v>
      </c>
      <c r="AL125" s="2" t="s">
        <v>1373</v>
      </c>
      <c r="AN125" s="2" t="s">
        <v>1374</v>
      </c>
      <c r="AO125" s="2" t="s">
        <v>1400</v>
      </c>
      <c r="AP125" s="151">
        <v>0</v>
      </c>
      <c r="AQ125" s="150">
        <v>1796.88</v>
      </c>
      <c r="AR125" s="150">
        <v>126.48</v>
      </c>
      <c r="AS125" s="150">
        <v>1</v>
      </c>
      <c r="AT125" s="150">
        <v>2.2730000000000001</v>
      </c>
      <c r="AU125" s="150">
        <v>2.2730000000000001</v>
      </c>
      <c r="AX125" s="4" t="s">
        <v>164</v>
      </c>
      <c r="AY125" s="2" t="s">
        <v>37</v>
      </c>
      <c r="AZ125" s="164">
        <v>1.71453104000955E-3</v>
      </c>
      <c r="BA125" s="164">
        <v>1.60722918561382E-5</v>
      </c>
    </row>
    <row r="126" spans="1:53">
      <c r="A126" s="2" t="s">
        <v>128</v>
      </c>
      <c r="B126" s="2">
        <v>7229</v>
      </c>
      <c r="C126" s="2" t="s">
        <v>1383</v>
      </c>
      <c r="D126" s="2" t="s">
        <v>34</v>
      </c>
      <c r="E126" s="2" t="s">
        <v>1431</v>
      </c>
      <c r="F126" s="2" t="s">
        <v>1432</v>
      </c>
      <c r="G126" s="2" t="s">
        <v>1083</v>
      </c>
      <c r="I126" s="2" t="s">
        <v>31</v>
      </c>
      <c r="J126" s="2" t="s">
        <v>31</v>
      </c>
      <c r="K126" s="2" t="s">
        <v>497</v>
      </c>
      <c r="L126" s="2" t="s">
        <v>164</v>
      </c>
      <c r="M126" s="2" t="s">
        <v>386</v>
      </c>
      <c r="N126" s="190" t="s">
        <v>1383</v>
      </c>
      <c r="O126" s="2" t="s">
        <v>1433</v>
      </c>
      <c r="P126" s="2" t="s">
        <v>1392</v>
      </c>
      <c r="Q126" s="2" t="s">
        <v>98</v>
      </c>
      <c r="R126" s="2" t="s">
        <v>453</v>
      </c>
      <c r="S126" s="2" t="s">
        <v>35</v>
      </c>
      <c r="T126" s="150">
        <v>3.49</v>
      </c>
      <c r="U126" s="2" t="s">
        <v>1393</v>
      </c>
      <c r="V126" s="162">
        <v>5.5E-2</v>
      </c>
      <c r="W126" s="2" t="s">
        <v>800</v>
      </c>
      <c r="X126" s="2" t="s">
        <v>954</v>
      </c>
      <c r="Y126" s="150">
        <v>5.5</v>
      </c>
      <c r="Z126" s="164">
        <v>2.9940000000000001E-2</v>
      </c>
      <c r="AA126" s="2" t="s">
        <v>1389</v>
      </c>
      <c r="AB126" s="4" t="s">
        <v>458</v>
      </c>
      <c r="AC126" s="2" t="s">
        <v>529</v>
      </c>
      <c r="AD126" s="150">
        <v>3904</v>
      </c>
      <c r="AE126" s="150">
        <v>0.78</v>
      </c>
      <c r="AF126" s="2" t="s">
        <v>1400</v>
      </c>
      <c r="AG126" s="2" t="s">
        <v>164</v>
      </c>
      <c r="AI126" s="2" t="s">
        <v>1401</v>
      </c>
      <c r="AJ126" s="2" t="s">
        <v>386</v>
      </c>
      <c r="AK126" s="2" t="s">
        <v>937</v>
      </c>
      <c r="AL126" s="2" t="s">
        <v>1373</v>
      </c>
      <c r="AN126" s="2" t="s">
        <v>1374</v>
      </c>
      <c r="AO126" s="2" t="s">
        <v>1400</v>
      </c>
      <c r="AP126" s="151">
        <v>0</v>
      </c>
      <c r="AQ126" s="150">
        <v>6936.67</v>
      </c>
      <c r="AR126" s="150">
        <v>124.18</v>
      </c>
      <c r="AS126" s="150">
        <v>1</v>
      </c>
      <c r="AT126" s="150">
        <v>8.6140000000000008</v>
      </c>
      <c r="AU126" s="150">
        <v>8.6140000000000008</v>
      </c>
      <c r="AX126" s="4" t="s">
        <v>164</v>
      </c>
      <c r="AY126" s="2" t="s">
        <v>37</v>
      </c>
      <c r="AZ126" s="164">
        <v>6.4984100212825196E-3</v>
      </c>
      <c r="BA126" s="164">
        <v>6.0917148786250098E-5</v>
      </c>
    </row>
    <row r="127" spans="1:53">
      <c r="A127" s="2" t="s">
        <v>128</v>
      </c>
      <c r="B127" s="2">
        <v>7229</v>
      </c>
      <c r="C127" s="2" t="s">
        <v>1383</v>
      </c>
      <c r="D127" s="2" t="s">
        <v>34</v>
      </c>
      <c r="E127" s="2" t="s">
        <v>1434</v>
      </c>
      <c r="F127" s="2" t="s">
        <v>1435</v>
      </c>
      <c r="G127" s="2" t="s">
        <v>1083</v>
      </c>
      <c r="I127" s="2" t="s">
        <v>31</v>
      </c>
      <c r="J127" s="2" t="s">
        <v>31</v>
      </c>
      <c r="K127" s="2" t="s">
        <v>497</v>
      </c>
      <c r="L127" s="2" t="s">
        <v>164</v>
      </c>
      <c r="M127" s="2" t="s">
        <v>386</v>
      </c>
      <c r="N127" s="27" t="s">
        <v>1383</v>
      </c>
      <c r="O127" s="2" t="s">
        <v>1386</v>
      </c>
      <c r="P127" s="2" t="s">
        <v>1392</v>
      </c>
      <c r="Q127" s="2" t="s">
        <v>98</v>
      </c>
      <c r="R127" s="2" t="s">
        <v>453</v>
      </c>
      <c r="S127" s="2" t="s">
        <v>35</v>
      </c>
      <c r="T127" s="150">
        <v>3.33</v>
      </c>
      <c r="U127" s="2" t="s">
        <v>1393</v>
      </c>
      <c r="V127" s="162">
        <v>5.5E-2</v>
      </c>
      <c r="W127" s="2" t="s">
        <v>800</v>
      </c>
      <c r="X127" s="2" t="s">
        <v>1388</v>
      </c>
      <c r="Y127" s="150">
        <v>5.5</v>
      </c>
      <c r="Z127" s="164">
        <v>3.014E-2</v>
      </c>
      <c r="AA127" s="2" t="s">
        <v>1399</v>
      </c>
      <c r="AB127" s="4" t="s">
        <v>458</v>
      </c>
      <c r="AG127" s="2" t="s">
        <v>164</v>
      </c>
      <c r="AJ127" s="2" t="s">
        <v>164</v>
      </c>
      <c r="AK127" s="2" t="s">
        <v>203</v>
      </c>
      <c r="AN127" s="2" t="s">
        <v>1374</v>
      </c>
      <c r="AQ127" s="150">
        <v>8425.61</v>
      </c>
      <c r="AR127" s="150">
        <v>126.1</v>
      </c>
      <c r="AS127" s="150">
        <v>1</v>
      </c>
      <c r="AT127" s="150">
        <v>10.625</v>
      </c>
      <c r="AU127" s="150">
        <v>10.625</v>
      </c>
      <c r="AX127" s="4" t="s">
        <v>164</v>
      </c>
      <c r="AY127" s="2" t="s">
        <v>37</v>
      </c>
      <c r="AZ127" s="164">
        <v>8.0153198909976402E-3</v>
      </c>
      <c r="BA127" s="164">
        <v>7.51369077620819E-5</v>
      </c>
    </row>
    <row r="128" spans="1:53">
      <c r="A128" s="2" t="s">
        <v>128</v>
      </c>
      <c r="B128" s="2">
        <v>7229</v>
      </c>
      <c r="C128" s="2" t="s">
        <v>1383</v>
      </c>
      <c r="D128" s="2" t="s">
        <v>34</v>
      </c>
      <c r="E128" s="2" t="s">
        <v>1436</v>
      </c>
      <c r="F128" s="2" t="s">
        <v>1437</v>
      </c>
      <c r="G128" s="2" t="s">
        <v>1083</v>
      </c>
      <c r="I128" s="2" t="s">
        <v>31</v>
      </c>
      <c r="J128" s="2" t="s">
        <v>31</v>
      </c>
      <c r="K128" s="2" t="s">
        <v>497</v>
      </c>
      <c r="L128" s="2" t="s">
        <v>164</v>
      </c>
      <c r="M128" s="2" t="s">
        <v>386</v>
      </c>
      <c r="N128" s="27" t="s">
        <v>1383</v>
      </c>
      <c r="O128" s="2" t="s">
        <v>1386</v>
      </c>
      <c r="P128" s="2" t="s">
        <v>1392</v>
      </c>
      <c r="Q128" s="2" t="s">
        <v>98</v>
      </c>
      <c r="R128" s="2" t="s">
        <v>453</v>
      </c>
      <c r="S128" s="2" t="s">
        <v>35</v>
      </c>
      <c r="T128" s="150">
        <v>3.34</v>
      </c>
      <c r="U128" s="2" t="s">
        <v>1393</v>
      </c>
      <c r="V128" s="162">
        <v>5.5888E-2</v>
      </c>
      <c r="W128" s="2" t="s">
        <v>800</v>
      </c>
      <c r="X128" s="2" t="s">
        <v>1388</v>
      </c>
      <c r="Y128" s="150">
        <v>5.5888</v>
      </c>
      <c r="Z128" s="164">
        <v>2.7910000000000001E-2</v>
      </c>
      <c r="AA128" s="2" t="s">
        <v>1399</v>
      </c>
      <c r="AB128" s="4" t="s">
        <v>458</v>
      </c>
      <c r="AG128" s="2" t="s">
        <v>164</v>
      </c>
      <c r="AJ128" s="2" t="s">
        <v>164</v>
      </c>
      <c r="AK128" s="2" t="s">
        <v>203</v>
      </c>
      <c r="AN128" s="2" t="s">
        <v>1374</v>
      </c>
      <c r="AQ128" s="150">
        <v>1763.9</v>
      </c>
      <c r="AR128" s="150">
        <v>127.86</v>
      </c>
      <c r="AS128" s="150">
        <v>1</v>
      </c>
      <c r="AT128" s="150">
        <v>2.2549999999999999</v>
      </c>
      <c r="AU128" s="150">
        <v>2.2549999999999999</v>
      </c>
      <c r="AX128" s="4" t="s">
        <v>164</v>
      </c>
      <c r="AY128" s="2" t="s">
        <v>37</v>
      </c>
      <c r="AZ128" s="164">
        <v>1.7014260606637601E-3</v>
      </c>
      <c r="BA128" s="164">
        <v>1.5949443655727E-5</v>
      </c>
    </row>
    <row r="129" spans="1:53">
      <c r="A129" s="2" t="s">
        <v>128</v>
      </c>
      <c r="B129" s="2">
        <v>7229</v>
      </c>
      <c r="C129" s="2" t="s">
        <v>1383</v>
      </c>
      <c r="D129" s="2" t="s">
        <v>34</v>
      </c>
      <c r="E129" s="2" t="s">
        <v>1438</v>
      </c>
      <c r="F129" s="2" t="s">
        <v>1439</v>
      </c>
      <c r="G129" s="2" t="s">
        <v>1083</v>
      </c>
      <c r="I129" s="2" t="s">
        <v>31</v>
      </c>
      <c r="J129" s="2" t="s">
        <v>31</v>
      </c>
      <c r="K129" s="2" t="s">
        <v>497</v>
      </c>
      <c r="L129" s="2" t="s">
        <v>164</v>
      </c>
      <c r="M129" s="2" t="s">
        <v>386</v>
      </c>
      <c r="N129" s="190" t="s">
        <v>1383</v>
      </c>
      <c r="O129" s="2" t="s">
        <v>1440</v>
      </c>
      <c r="P129" s="2" t="s">
        <v>1392</v>
      </c>
      <c r="Q129" s="2" t="s">
        <v>98</v>
      </c>
      <c r="R129" s="2" t="s">
        <v>453</v>
      </c>
      <c r="S129" s="2" t="s">
        <v>35</v>
      </c>
      <c r="T129" s="150">
        <v>3.33</v>
      </c>
      <c r="U129" s="2" t="s">
        <v>1393</v>
      </c>
      <c r="V129" s="162">
        <v>5.6193E-2</v>
      </c>
      <c r="W129" s="2" t="s">
        <v>800</v>
      </c>
      <c r="X129" s="2" t="s">
        <v>954</v>
      </c>
      <c r="Y129" s="150">
        <v>5.6193</v>
      </c>
      <c r="Z129" s="164">
        <v>2.9010000000000001E-2</v>
      </c>
      <c r="AA129" s="2" t="s">
        <v>1399</v>
      </c>
      <c r="AB129" s="4" t="s">
        <v>458</v>
      </c>
      <c r="AC129" s="2" t="s">
        <v>529</v>
      </c>
      <c r="AD129" s="150">
        <v>3026</v>
      </c>
      <c r="AE129" s="150">
        <v>0.78</v>
      </c>
      <c r="AF129" s="2" t="s">
        <v>1400</v>
      </c>
      <c r="AG129" s="2" t="s">
        <v>164</v>
      </c>
      <c r="AI129" s="2" t="s">
        <v>1401</v>
      </c>
      <c r="AJ129" s="2" t="s">
        <v>386</v>
      </c>
      <c r="AK129" s="2" t="s">
        <v>937</v>
      </c>
      <c r="AL129" s="2" t="s">
        <v>1373</v>
      </c>
      <c r="AN129" s="2" t="s">
        <v>1374</v>
      </c>
      <c r="AO129" s="2" t="s">
        <v>1400</v>
      </c>
      <c r="AP129" s="151">
        <v>0</v>
      </c>
      <c r="AQ129" s="150">
        <v>2478.89</v>
      </c>
      <c r="AR129" s="150">
        <v>126.83</v>
      </c>
      <c r="AS129" s="150">
        <v>1</v>
      </c>
      <c r="AT129" s="150">
        <v>3.1440000000000001</v>
      </c>
      <c r="AU129" s="150">
        <v>3.1440000000000001</v>
      </c>
      <c r="AX129" s="4" t="s">
        <v>164</v>
      </c>
      <c r="AY129" s="2" t="s">
        <v>37</v>
      </c>
      <c r="AZ129" s="164">
        <v>2.3718306024060202E-3</v>
      </c>
      <c r="BA129" s="164">
        <v>2.2233924487583101E-5</v>
      </c>
    </row>
    <row r="130" spans="1:53">
      <c r="A130" s="2" t="s">
        <v>128</v>
      </c>
      <c r="B130" s="2">
        <v>7229</v>
      </c>
      <c r="C130" s="2" t="s">
        <v>1383</v>
      </c>
      <c r="D130" s="2" t="s">
        <v>34</v>
      </c>
      <c r="E130" s="2" t="s">
        <v>1441</v>
      </c>
      <c r="F130" s="2" t="s">
        <v>1442</v>
      </c>
      <c r="G130" s="2" t="s">
        <v>1083</v>
      </c>
      <c r="I130" s="2" t="s">
        <v>31</v>
      </c>
      <c r="J130" s="2" t="s">
        <v>31</v>
      </c>
      <c r="K130" s="2" t="s">
        <v>497</v>
      </c>
      <c r="L130" s="2" t="s">
        <v>164</v>
      </c>
      <c r="M130" s="2" t="s">
        <v>386</v>
      </c>
      <c r="N130" s="27" t="s">
        <v>1383</v>
      </c>
      <c r="O130" s="2" t="s">
        <v>1386</v>
      </c>
      <c r="P130" s="2" t="s">
        <v>1387</v>
      </c>
      <c r="Q130" s="2" t="s">
        <v>217</v>
      </c>
      <c r="R130" s="2" t="s">
        <v>453</v>
      </c>
      <c r="S130" s="2" t="s">
        <v>35</v>
      </c>
      <c r="T130" s="150">
        <v>3.19</v>
      </c>
      <c r="U130" s="2" t="s">
        <v>203</v>
      </c>
      <c r="V130" s="162">
        <v>5.5E-2</v>
      </c>
      <c r="W130" s="2" t="s">
        <v>800</v>
      </c>
      <c r="X130" s="2" t="s">
        <v>1388</v>
      </c>
      <c r="Y130" s="150">
        <v>5.5</v>
      </c>
      <c r="Z130" s="164">
        <v>3.526E-2</v>
      </c>
      <c r="AA130" s="2" t="s">
        <v>1389</v>
      </c>
      <c r="AB130" s="4" t="s">
        <v>458</v>
      </c>
      <c r="AG130" s="2" t="s">
        <v>164</v>
      </c>
      <c r="AJ130" s="2" t="s">
        <v>164</v>
      </c>
      <c r="AK130" s="2" t="s">
        <v>203</v>
      </c>
      <c r="AN130" s="2" t="s">
        <v>1374</v>
      </c>
      <c r="AQ130" s="150">
        <v>3140.04</v>
      </c>
      <c r="AR130" s="150">
        <v>120.3</v>
      </c>
      <c r="AS130" s="150">
        <v>1</v>
      </c>
      <c r="AT130" s="150">
        <v>3.7770000000000001</v>
      </c>
      <c r="AU130" s="150">
        <v>3.7770000000000001</v>
      </c>
      <c r="AX130" s="4" t="s">
        <v>164</v>
      </c>
      <c r="AY130" s="2" t="s">
        <v>37</v>
      </c>
      <c r="AZ130" s="164">
        <v>2.84973993240653E-3</v>
      </c>
      <c r="BA130" s="164">
        <v>2.6713924005408601E-5</v>
      </c>
    </row>
    <row r="131" spans="1:53">
      <c r="A131" s="2" t="s">
        <v>128</v>
      </c>
      <c r="B131" s="2">
        <v>7229</v>
      </c>
      <c r="C131" s="2" t="s">
        <v>1383</v>
      </c>
      <c r="D131" s="2" t="s">
        <v>34</v>
      </c>
      <c r="E131" s="2" t="s">
        <v>1443</v>
      </c>
      <c r="F131" s="2" t="s">
        <v>1444</v>
      </c>
      <c r="G131" s="2" t="s">
        <v>1083</v>
      </c>
      <c r="I131" s="2" t="s">
        <v>31</v>
      </c>
      <c r="J131" s="2" t="s">
        <v>31</v>
      </c>
      <c r="K131" s="2" t="s">
        <v>497</v>
      </c>
      <c r="L131" s="2" t="s">
        <v>164</v>
      </c>
      <c r="M131" s="2" t="s">
        <v>386</v>
      </c>
      <c r="N131" s="27" t="s">
        <v>1383</v>
      </c>
      <c r="O131" s="2" t="s">
        <v>1386</v>
      </c>
      <c r="P131" s="2" t="s">
        <v>1387</v>
      </c>
      <c r="Q131" s="2" t="s">
        <v>217</v>
      </c>
      <c r="R131" s="2" t="s">
        <v>453</v>
      </c>
      <c r="S131" s="2" t="s">
        <v>35</v>
      </c>
      <c r="T131" s="150">
        <v>3.21</v>
      </c>
      <c r="U131" s="2" t="s">
        <v>203</v>
      </c>
      <c r="V131" s="162">
        <v>5.5E-2</v>
      </c>
      <c r="W131" s="2" t="s">
        <v>800</v>
      </c>
      <c r="X131" s="2" t="s">
        <v>1388</v>
      </c>
      <c r="Y131" s="150">
        <v>5.5</v>
      </c>
      <c r="Z131" s="164">
        <v>2.8760000000000001E-2</v>
      </c>
      <c r="AA131" s="2" t="s">
        <v>1389</v>
      </c>
      <c r="AB131" s="4" t="s">
        <v>458</v>
      </c>
      <c r="AG131" s="2" t="s">
        <v>164</v>
      </c>
      <c r="AJ131" s="2" t="s">
        <v>164</v>
      </c>
      <c r="AK131" s="2" t="s">
        <v>203</v>
      </c>
      <c r="AN131" s="2" t="s">
        <v>1374</v>
      </c>
      <c r="AQ131" s="150">
        <v>390.15</v>
      </c>
      <c r="AR131" s="150">
        <v>122.29</v>
      </c>
      <c r="AS131" s="150">
        <v>1</v>
      </c>
      <c r="AT131" s="150">
        <v>0.47699999999999998</v>
      </c>
      <c r="AU131" s="150">
        <v>0.47699999999999998</v>
      </c>
      <c r="AX131" s="4" t="s">
        <v>164</v>
      </c>
      <c r="AY131" s="2" t="s">
        <v>37</v>
      </c>
      <c r="AZ131" s="164">
        <v>3.59937401072515E-4</v>
      </c>
      <c r="BA131" s="164">
        <v>3.3741115354465198E-6</v>
      </c>
    </row>
    <row r="132" spans="1:53">
      <c r="A132" s="2" t="s">
        <v>128</v>
      </c>
      <c r="B132" s="2">
        <v>7229</v>
      </c>
      <c r="C132" s="2" t="s">
        <v>1383</v>
      </c>
      <c r="D132" s="2" t="s">
        <v>34</v>
      </c>
      <c r="E132" s="2" t="s">
        <v>1445</v>
      </c>
      <c r="F132" s="2" t="s">
        <v>1446</v>
      </c>
      <c r="G132" s="2" t="s">
        <v>1083</v>
      </c>
      <c r="I132" s="2" t="s">
        <v>31</v>
      </c>
      <c r="J132" s="2" t="s">
        <v>31</v>
      </c>
      <c r="K132" s="2" t="s">
        <v>497</v>
      </c>
      <c r="L132" s="2" t="s">
        <v>164</v>
      </c>
      <c r="M132" s="2" t="s">
        <v>386</v>
      </c>
      <c r="N132" s="27" t="s">
        <v>1383</v>
      </c>
      <c r="O132" s="2" t="s">
        <v>1386</v>
      </c>
      <c r="P132" s="2" t="s">
        <v>1387</v>
      </c>
      <c r="Q132" s="2" t="s">
        <v>217</v>
      </c>
      <c r="R132" s="2" t="s">
        <v>453</v>
      </c>
      <c r="S132" s="2" t="s">
        <v>35</v>
      </c>
      <c r="T132" s="150">
        <v>3.21</v>
      </c>
      <c r="U132" s="2" t="s">
        <v>203</v>
      </c>
      <c r="V132" s="162">
        <v>5.5E-2</v>
      </c>
      <c r="W132" s="2" t="s">
        <v>800</v>
      </c>
      <c r="X132" s="2" t="s">
        <v>1388</v>
      </c>
      <c r="Y132" s="150">
        <v>5.5</v>
      </c>
      <c r="Z132" s="164">
        <v>3.0009999999999998E-2</v>
      </c>
      <c r="AA132" s="2" t="s">
        <v>1389</v>
      </c>
      <c r="AB132" s="4" t="s">
        <v>458</v>
      </c>
      <c r="AG132" s="2" t="s">
        <v>164</v>
      </c>
      <c r="AJ132" s="2" t="s">
        <v>164</v>
      </c>
      <c r="AK132" s="2" t="s">
        <v>203</v>
      </c>
      <c r="AN132" s="2" t="s">
        <v>1374</v>
      </c>
      <c r="AQ132" s="150">
        <v>866.48</v>
      </c>
      <c r="AR132" s="150">
        <v>122.31</v>
      </c>
      <c r="AS132" s="150">
        <v>1</v>
      </c>
      <c r="AT132" s="150">
        <v>1.06</v>
      </c>
      <c r="AU132" s="150">
        <v>1.06</v>
      </c>
      <c r="AX132" s="4" t="s">
        <v>164</v>
      </c>
      <c r="AY132" s="2" t="s">
        <v>37</v>
      </c>
      <c r="AZ132" s="164">
        <v>7.99511894577187E-4</v>
      </c>
      <c r="BA132" s="164">
        <v>7.4947540827414697E-6</v>
      </c>
    </row>
    <row r="133" spans="1:53">
      <c r="A133" s="2" t="s">
        <v>128</v>
      </c>
      <c r="B133" s="2">
        <v>7229</v>
      </c>
      <c r="C133" s="2" t="s">
        <v>1383</v>
      </c>
      <c r="D133" s="2" t="s">
        <v>34</v>
      </c>
      <c r="E133" s="2" t="s">
        <v>1447</v>
      </c>
      <c r="F133" s="2" t="s">
        <v>1448</v>
      </c>
      <c r="G133" s="2" t="s">
        <v>1083</v>
      </c>
      <c r="I133" s="2" t="s">
        <v>31</v>
      </c>
      <c r="J133" s="2" t="s">
        <v>31</v>
      </c>
      <c r="K133" s="2" t="s">
        <v>497</v>
      </c>
      <c r="L133" s="2" t="s">
        <v>164</v>
      </c>
      <c r="M133" s="2" t="s">
        <v>386</v>
      </c>
      <c r="N133" s="190" t="s">
        <v>1383</v>
      </c>
      <c r="O133" s="2" t="s">
        <v>1449</v>
      </c>
      <c r="P133" s="2" t="s">
        <v>1392</v>
      </c>
      <c r="Q133" s="2" t="s">
        <v>98</v>
      </c>
      <c r="R133" s="2" t="s">
        <v>453</v>
      </c>
      <c r="S133" s="2" t="s">
        <v>35</v>
      </c>
      <c r="T133" s="150">
        <v>3.33</v>
      </c>
      <c r="U133" s="2" t="s">
        <v>203</v>
      </c>
      <c r="V133" s="162">
        <v>5.7230999999999997E-2</v>
      </c>
      <c r="W133" s="2" t="s">
        <v>800</v>
      </c>
      <c r="X133" s="2" t="s">
        <v>954</v>
      </c>
      <c r="Y133" s="150">
        <v>5.7230999999999996</v>
      </c>
      <c r="Z133" s="164">
        <v>2.896E-2</v>
      </c>
      <c r="AA133" s="2" t="s">
        <v>1399</v>
      </c>
      <c r="AB133" s="4" t="s">
        <v>458</v>
      </c>
      <c r="AC133" s="2" t="s">
        <v>529</v>
      </c>
      <c r="AD133" s="150">
        <v>4685</v>
      </c>
      <c r="AE133" s="150">
        <v>0.78</v>
      </c>
      <c r="AF133" s="2" t="s">
        <v>1400</v>
      </c>
      <c r="AG133" s="2" t="s">
        <v>164</v>
      </c>
      <c r="AI133" s="2" t="s">
        <v>1401</v>
      </c>
      <c r="AJ133" s="2" t="s">
        <v>386</v>
      </c>
      <c r="AK133" s="2" t="s">
        <v>937</v>
      </c>
      <c r="AL133" s="2" t="s">
        <v>1373</v>
      </c>
      <c r="AN133" s="2" t="s">
        <v>1374</v>
      </c>
      <c r="AO133" s="2" t="s">
        <v>1400</v>
      </c>
      <c r="AP133" s="151">
        <v>0</v>
      </c>
      <c r="AQ133" s="150">
        <v>8323.89</v>
      </c>
      <c r="AR133" s="150">
        <v>127.39</v>
      </c>
      <c r="AS133" s="150">
        <v>1</v>
      </c>
      <c r="AT133" s="150">
        <v>10.603999999999999</v>
      </c>
      <c r="AU133" s="150">
        <v>10.603999999999999</v>
      </c>
      <c r="AX133" s="4" t="s">
        <v>164</v>
      </c>
      <c r="AY133" s="2" t="s">
        <v>37</v>
      </c>
      <c r="AZ133" s="164">
        <v>7.9995598180454507E-3</v>
      </c>
      <c r="BA133" s="164">
        <v>7.4989170283873194E-5</v>
      </c>
    </row>
    <row r="134" spans="1:53">
      <c r="A134" s="2" t="s">
        <v>128</v>
      </c>
      <c r="B134" s="2">
        <v>7229</v>
      </c>
      <c r="C134" s="2" t="s">
        <v>1383</v>
      </c>
      <c r="D134" s="2" t="s">
        <v>34</v>
      </c>
      <c r="E134" s="2" t="s">
        <v>1450</v>
      </c>
      <c r="F134" s="2" t="s">
        <v>1451</v>
      </c>
      <c r="G134" s="2" t="s">
        <v>1083</v>
      </c>
      <c r="I134" s="2" t="s">
        <v>31</v>
      </c>
      <c r="J134" s="2" t="s">
        <v>31</v>
      </c>
      <c r="K134" s="2" t="s">
        <v>497</v>
      </c>
      <c r="L134" s="2" t="s">
        <v>164</v>
      </c>
      <c r="M134" s="2" t="s">
        <v>386</v>
      </c>
      <c r="N134" s="27" t="s">
        <v>1383</v>
      </c>
      <c r="O134" s="2" t="s">
        <v>1386</v>
      </c>
      <c r="P134" s="2" t="s">
        <v>1392</v>
      </c>
      <c r="Q134" s="2" t="s">
        <v>98</v>
      </c>
      <c r="R134" s="2" t="s">
        <v>453</v>
      </c>
      <c r="S134" s="2" t="s">
        <v>35</v>
      </c>
      <c r="T134" s="150">
        <v>3.19</v>
      </c>
      <c r="U134" s="2" t="s">
        <v>1393</v>
      </c>
      <c r="V134" s="162">
        <v>5.6619999999999997E-2</v>
      </c>
      <c r="W134" s="2" t="s">
        <v>800</v>
      </c>
      <c r="X134" s="2" t="s">
        <v>1388</v>
      </c>
      <c r="Y134" s="150">
        <v>5.6619999999999999</v>
      </c>
      <c r="Z134" s="164">
        <v>3.49E-2</v>
      </c>
      <c r="AA134" s="2" t="s">
        <v>1389</v>
      </c>
      <c r="AB134" s="4" t="s">
        <v>458</v>
      </c>
      <c r="AG134" s="2" t="s">
        <v>164</v>
      </c>
      <c r="AJ134" s="2" t="s">
        <v>164</v>
      </c>
      <c r="AK134" s="2" t="s">
        <v>203</v>
      </c>
      <c r="AN134" s="2" t="s">
        <v>1374</v>
      </c>
      <c r="AQ134" s="150">
        <v>1871.77</v>
      </c>
      <c r="AR134" s="150">
        <v>125.19</v>
      </c>
      <c r="AS134" s="150">
        <v>1</v>
      </c>
      <c r="AT134" s="150">
        <v>2.343</v>
      </c>
      <c r="AU134" s="150">
        <v>2.343</v>
      </c>
      <c r="AX134" s="4" t="s">
        <v>164</v>
      </c>
      <c r="AY134" s="2" t="s">
        <v>37</v>
      </c>
      <c r="AZ134" s="164">
        <v>1.76777318540439E-3</v>
      </c>
      <c r="BA134" s="164">
        <v>1.6571392356429001E-5</v>
      </c>
    </row>
    <row r="135" spans="1:53">
      <c r="A135" s="2" t="s">
        <v>128</v>
      </c>
      <c r="B135" s="2">
        <v>7229</v>
      </c>
      <c r="C135" s="2" t="s">
        <v>1383</v>
      </c>
      <c r="D135" s="2" t="s">
        <v>34</v>
      </c>
      <c r="E135" s="2" t="s">
        <v>1452</v>
      </c>
      <c r="F135" s="2" t="s">
        <v>1453</v>
      </c>
      <c r="G135" s="2" t="s">
        <v>1083</v>
      </c>
      <c r="I135" s="2" t="s">
        <v>31</v>
      </c>
      <c r="J135" s="2" t="s">
        <v>31</v>
      </c>
      <c r="K135" s="2" t="s">
        <v>497</v>
      </c>
      <c r="L135" s="2" t="s">
        <v>164</v>
      </c>
      <c r="M135" s="2" t="s">
        <v>386</v>
      </c>
      <c r="N135" s="190" t="s">
        <v>1383</v>
      </c>
      <c r="O135" s="2" t="s">
        <v>1454</v>
      </c>
      <c r="P135" s="2" t="s">
        <v>1392</v>
      </c>
      <c r="Q135" s="2" t="s">
        <v>98</v>
      </c>
      <c r="R135" s="2" t="s">
        <v>453</v>
      </c>
      <c r="S135" s="2" t="s">
        <v>35</v>
      </c>
      <c r="T135" s="150">
        <v>3.49</v>
      </c>
      <c r="U135" s="2" t="s">
        <v>1393</v>
      </c>
      <c r="V135" s="162">
        <v>5.5E-2</v>
      </c>
      <c r="W135" s="2" t="s">
        <v>800</v>
      </c>
      <c r="X135" s="2" t="s">
        <v>954</v>
      </c>
      <c r="Y135" s="150">
        <v>5.5</v>
      </c>
      <c r="Z135" s="164">
        <v>2.9960000000000001E-2</v>
      </c>
      <c r="AA135" s="2" t="s">
        <v>1399</v>
      </c>
      <c r="AB135" s="4" t="s">
        <v>458</v>
      </c>
      <c r="AC135" s="2" t="s">
        <v>529</v>
      </c>
      <c r="AD135" s="150">
        <v>6161</v>
      </c>
      <c r="AE135" s="150">
        <v>0.78</v>
      </c>
      <c r="AF135" s="2" t="s">
        <v>1400</v>
      </c>
      <c r="AG135" s="2" t="s">
        <v>164</v>
      </c>
      <c r="AI135" s="2" t="s">
        <v>1401</v>
      </c>
      <c r="AJ135" s="2" t="s">
        <v>386</v>
      </c>
      <c r="AK135" s="2" t="s">
        <v>937</v>
      </c>
      <c r="AL135" s="2" t="s">
        <v>1373</v>
      </c>
      <c r="AN135" s="2" t="s">
        <v>1374</v>
      </c>
      <c r="AO135" s="2" t="s">
        <v>1400</v>
      </c>
      <c r="AP135" s="151">
        <v>0</v>
      </c>
      <c r="AQ135" s="150">
        <v>10944.64</v>
      </c>
      <c r="AR135" s="150">
        <v>124.15</v>
      </c>
      <c r="AS135" s="150">
        <v>1</v>
      </c>
      <c r="AT135" s="150">
        <v>13.587999999999999</v>
      </c>
      <c r="AU135" s="150">
        <v>13.587999999999999</v>
      </c>
      <c r="AX135" s="4" t="s">
        <v>164</v>
      </c>
      <c r="AY135" s="2" t="s">
        <v>37</v>
      </c>
      <c r="AZ135" s="164">
        <v>1.0250678795195201E-2</v>
      </c>
      <c r="BA135" s="164">
        <v>9.6091524431652603E-5</v>
      </c>
    </row>
    <row r="136" spans="1:53">
      <c r="A136" s="2" t="s">
        <v>128</v>
      </c>
      <c r="B136" s="2">
        <v>7229</v>
      </c>
      <c r="C136" s="2" t="s">
        <v>1383</v>
      </c>
      <c r="D136" s="2" t="s">
        <v>34</v>
      </c>
      <c r="E136" s="2" t="s">
        <v>1455</v>
      </c>
      <c r="F136" s="2" t="s">
        <v>1456</v>
      </c>
      <c r="G136" s="2" t="s">
        <v>1083</v>
      </c>
      <c r="I136" s="2" t="s">
        <v>31</v>
      </c>
      <c r="J136" s="2" t="s">
        <v>31</v>
      </c>
      <c r="K136" s="2" t="s">
        <v>497</v>
      </c>
      <c r="L136" s="2" t="s">
        <v>164</v>
      </c>
      <c r="M136" s="2" t="s">
        <v>386</v>
      </c>
      <c r="N136" s="190" t="s">
        <v>1383</v>
      </c>
      <c r="O136" s="2" t="s">
        <v>1457</v>
      </c>
      <c r="P136" s="2" t="s">
        <v>1392</v>
      </c>
      <c r="Q136" s="2" t="s">
        <v>98</v>
      </c>
      <c r="R136" s="2" t="s">
        <v>453</v>
      </c>
      <c r="S136" s="2" t="s">
        <v>35</v>
      </c>
      <c r="T136" s="150">
        <v>3.49</v>
      </c>
      <c r="U136" s="2" t="s">
        <v>1393</v>
      </c>
      <c r="V136" s="162">
        <v>5.5309999999999998E-2</v>
      </c>
      <c r="W136" s="2" t="s">
        <v>800</v>
      </c>
      <c r="X136" s="2" t="s">
        <v>954</v>
      </c>
      <c r="Y136" s="150">
        <v>5.5309999999999997</v>
      </c>
      <c r="Z136" s="164">
        <v>2.9579999999999999E-2</v>
      </c>
      <c r="AA136" s="2" t="s">
        <v>1389</v>
      </c>
      <c r="AB136" s="4" t="s">
        <v>458</v>
      </c>
      <c r="AC136" s="2" t="s">
        <v>529</v>
      </c>
      <c r="AD136" s="150">
        <v>9674</v>
      </c>
      <c r="AE136" s="150">
        <v>0.78</v>
      </c>
      <c r="AF136" s="2" t="s">
        <v>1400</v>
      </c>
      <c r="AG136" s="2" t="s">
        <v>164</v>
      </c>
      <c r="AI136" s="2" t="s">
        <v>1401</v>
      </c>
      <c r="AJ136" s="2" t="s">
        <v>386</v>
      </c>
      <c r="AK136" s="2" t="s">
        <v>937</v>
      </c>
      <c r="AL136" s="2" t="s">
        <v>1373</v>
      </c>
      <c r="AN136" s="2" t="s">
        <v>1374</v>
      </c>
      <c r="AO136" s="2" t="s">
        <v>1400</v>
      </c>
      <c r="AP136" s="151">
        <v>0</v>
      </c>
      <c r="AQ136" s="150">
        <v>7927.58</v>
      </c>
      <c r="AR136" s="150">
        <v>126.7</v>
      </c>
      <c r="AS136" s="150">
        <v>1</v>
      </c>
      <c r="AT136" s="150">
        <v>10.044</v>
      </c>
      <c r="AU136" s="150">
        <v>10.044</v>
      </c>
      <c r="AX136" s="4" t="s">
        <v>164</v>
      </c>
      <c r="AY136" s="2" t="s">
        <v>37</v>
      </c>
      <c r="AZ136" s="164">
        <v>7.57742538371737E-3</v>
      </c>
      <c r="BA136" s="164">
        <v>7.1032013677942602E-5</v>
      </c>
    </row>
    <row r="137" spans="1:53">
      <c r="A137" s="2" t="s">
        <v>128</v>
      </c>
      <c r="B137" s="2">
        <v>7229</v>
      </c>
      <c r="C137" s="2" t="s">
        <v>1383</v>
      </c>
      <c r="D137" s="2" t="s">
        <v>34</v>
      </c>
      <c r="E137" s="2" t="s">
        <v>1458</v>
      </c>
      <c r="F137" s="2" t="s">
        <v>1459</v>
      </c>
      <c r="G137" s="2" t="s">
        <v>1083</v>
      </c>
      <c r="I137" s="2" t="s">
        <v>31</v>
      </c>
      <c r="J137" s="2" t="s">
        <v>31</v>
      </c>
      <c r="K137" s="2" t="s">
        <v>497</v>
      </c>
      <c r="L137" s="2" t="s">
        <v>164</v>
      </c>
      <c r="M137" s="2" t="s">
        <v>386</v>
      </c>
      <c r="N137" s="27" t="s">
        <v>1383</v>
      </c>
      <c r="O137" s="2" t="s">
        <v>1460</v>
      </c>
      <c r="P137" s="2" t="s">
        <v>1387</v>
      </c>
      <c r="Q137" s="2" t="s">
        <v>217</v>
      </c>
      <c r="R137" s="2" t="s">
        <v>453</v>
      </c>
      <c r="S137" s="2" t="s">
        <v>35</v>
      </c>
      <c r="T137" s="150">
        <v>3.47</v>
      </c>
      <c r="U137" s="2" t="s">
        <v>203</v>
      </c>
      <c r="V137" s="162">
        <v>5.5E-2</v>
      </c>
      <c r="W137" s="2" t="s">
        <v>800</v>
      </c>
      <c r="X137" s="2" t="s">
        <v>1388</v>
      </c>
      <c r="Y137" s="150">
        <v>5.5</v>
      </c>
      <c r="Z137" s="164">
        <v>2.988E-2</v>
      </c>
      <c r="AA137" s="2" t="s">
        <v>1399</v>
      </c>
      <c r="AB137" s="4" t="s">
        <v>458</v>
      </c>
      <c r="AG137" s="2" t="s">
        <v>164</v>
      </c>
      <c r="AJ137" s="2" t="s">
        <v>164</v>
      </c>
      <c r="AK137" s="2" t="s">
        <v>203</v>
      </c>
      <c r="AN137" s="2" t="s">
        <v>1374</v>
      </c>
      <c r="AQ137" s="150">
        <v>1890.88</v>
      </c>
      <c r="AR137" s="150">
        <v>125.22</v>
      </c>
      <c r="AS137" s="150">
        <v>1</v>
      </c>
      <c r="AT137" s="150">
        <v>2.3679999999999999</v>
      </c>
      <c r="AU137" s="150">
        <v>2.3679999999999999</v>
      </c>
      <c r="AX137" s="4" t="s">
        <v>164</v>
      </c>
      <c r="AY137" s="2" t="s">
        <v>37</v>
      </c>
      <c r="AZ137" s="164">
        <v>1.78624936746562E-3</v>
      </c>
      <c r="BA137" s="164">
        <v>1.67445910816463E-5</v>
      </c>
    </row>
    <row r="138" spans="1:53">
      <c r="A138" s="2" t="s">
        <v>128</v>
      </c>
      <c r="B138" s="2">
        <v>7229</v>
      </c>
      <c r="C138" s="2" t="s">
        <v>1383</v>
      </c>
      <c r="D138" s="2" t="s">
        <v>34</v>
      </c>
      <c r="E138" s="2" t="s">
        <v>1461</v>
      </c>
      <c r="F138" s="2" t="s">
        <v>1462</v>
      </c>
      <c r="G138" s="2" t="s">
        <v>1083</v>
      </c>
      <c r="I138" s="2" t="s">
        <v>31</v>
      </c>
      <c r="J138" s="2" t="s">
        <v>31</v>
      </c>
      <c r="K138" s="2" t="s">
        <v>497</v>
      </c>
      <c r="L138" s="2" t="s">
        <v>164</v>
      </c>
      <c r="M138" s="2" t="s">
        <v>386</v>
      </c>
      <c r="N138" s="190" t="s">
        <v>1383</v>
      </c>
      <c r="O138" s="2" t="s">
        <v>1463</v>
      </c>
      <c r="P138" s="2" t="s">
        <v>1392</v>
      </c>
      <c r="Q138" s="2" t="s">
        <v>98</v>
      </c>
      <c r="R138" s="2" t="s">
        <v>453</v>
      </c>
      <c r="S138" s="2" t="s">
        <v>35</v>
      </c>
      <c r="T138" s="150">
        <v>3.46</v>
      </c>
      <c r="U138" s="2" t="s">
        <v>1393</v>
      </c>
      <c r="V138" s="162">
        <v>5.5E-2</v>
      </c>
      <c r="W138" s="2" t="s">
        <v>800</v>
      </c>
      <c r="X138" s="2" t="s">
        <v>954</v>
      </c>
      <c r="Y138" s="150">
        <v>5.5</v>
      </c>
      <c r="Z138" s="164">
        <v>3.279E-2</v>
      </c>
      <c r="AA138" s="2" t="s">
        <v>1389</v>
      </c>
      <c r="AB138" s="4" t="s">
        <v>458</v>
      </c>
      <c r="AC138" s="2" t="s">
        <v>529</v>
      </c>
      <c r="AD138" s="150">
        <v>2154</v>
      </c>
      <c r="AE138" s="150">
        <v>0.78</v>
      </c>
      <c r="AF138" s="2" t="s">
        <v>1400</v>
      </c>
      <c r="AG138" s="2" t="s">
        <v>164</v>
      </c>
      <c r="AI138" s="2" t="s">
        <v>1401</v>
      </c>
      <c r="AJ138" s="2" t="s">
        <v>386</v>
      </c>
      <c r="AK138" s="2" t="s">
        <v>937</v>
      </c>
      <c r="AL138" s="2" t="s">
        <v>1373</v>
      </c>
      <c r="AN138" s="2" t="s">
        <v>1374</v>
      </c>
      <c r="AO138" s="2" t="s">
        <v>1400</v>
      </c>
      <c r="AP138" s="151">
        <v>0</v>
      </c>
      <c r="AQ138" s="150">
        <v>3827.92</v>
      </c>
      <c r="AR138" s="150">
        <v>124.51</v>
      </c>
      <c r="AS138" s="150">
        <v>1</v>
      </c>
      <c r="AT138" s="150">
        <v>4.766</v>
      </c>
      <c r="AU138" s="150">
        <v>4.766</v>
      </c>
      <c r="AX138" s="4" t="s">
        <v>164</v>
      </c>
      <c r="AY138" s="2" t="s">
        <v>37</v>
      </c>
      <c r="AZ138" s="164">
        <v>3.59560111332189E-3</v>
      </c>
      <c r="BA138" s="164">
        <v>3.3705747602704803E-5</v>
      </c>
    </row>
    <row r="139" spans="1:53">
      <c r="A139" s="2" t="s">
        <v>128</v>
      </c>
      <c r="B139" s="2">
        <v>7229</v>
      </c>
      <c r="C139" s="2" t="s">
        <v>1383</v>
      </c>
      <c r="D139" s="2" t="s">
        <v>34</v>
      </c>
      <c r="E139" s="2" t="s">
        <v>1464</v>
      </c>
      <c r="F139" s="2" t="s">
        <v>1465</v>
      </c>
      <c r="G139" s="2" t="s">
        <v>1083</v>
      </c>
      <c r="I139" s="2" t="s">
        <v>31</v>
      </c>
      <c r="J139" s="2" t="s">
        <v>31</v>
      </c>
      <c r="K139" s="2" t="s">
        <v>497</v>
      </c>
      <c r="L139" s="2" t="s">
        <v>164</v>
      </c>
      <c r="M139" s="2" t="s">
        <v>386</v>
      </c>
      <c r="N139" s="190" t="s">
        <v>1383</v>
      </c>
      <c r="O139" s="2" t="s">
        <v>1466</v>
      </c>
      <c r="P139" s="2" t="s">
        <v>1392</v>
      </c>
      <c r="Q139" s="2" t="s">
        <v>98</v>
      </c>
      <c r="R139" s="2" t="s">
        <v>453</v>
      </c>
      <c r="S139" s="2" t="s">
        <v>35</v>
      </c>
      <c r="T139" s="150">
        <v>3.46</v>
      </c>
      <c r="U139" s="2" t="s">
        <v>1393</v>
      </c>
      <c r="V139" s="162">
        <v>5.5E-2</v>
      </c>
      <c r="W139" s="2" t="s">
        <v>800</v>
      </c>
      <c r="X139" s="2" t="s">
        <v>954</v>
      </c>
      <c r="Y139" s="150">
        <v>5.5</v>
      </c>
      <c r="Z139" s="164">
        <v>3.2759999999999997E-2</v>
      </c>
      <c r="AA139" s="2" t="s">
        <v>1389</v>
      </c>
      <c r="AB139" s="4" t="s">
        <v>458</v>
      </c>
      <c r="AC139" s="2" t="s">
        <v>529</v>
      </c>
      <c r="AD139" s="150">
        <v>3341</v>
      </c>
      <c r="AE139" s="150">
        <v>0.78</v>
      </c>
      <c r="AF139" s="2" t="s">
        <v>1400</v>
      </c>
      <c r="AG139" s="2" t="s">
        <v>164</v>
      </c>
      <c r="AI139" s="2" t="s">
        <v>1401</v>
      </c>
      <c r="AJ139" s="2" t="s">
        <v>386</v>
      </c>
      <c r="AK139" s="2" t="s">
        <v>937</v>
      </c>
      <c r="AL139" s="2" t="s">
        <v>1373</v>
      </c>
      <c r="AN139" s="2" t="s">
        <v>1374</v>
      </c>
      <c r="AO139" s="2" t="s">
        <v>1400</v>
      </c>
      <c r="AP139" s="151">
        <v>0</v>
      </c>
      <c r="AQ139" s="150">
        <v>5935.55</v>
      </c>
      <c r="AR139" s="150">
        <v>124.74</v>
      </c>
      <c r="AS139" s="150">
        <v>1</v>
      </c>
      <c r="AT139" s="150">
        <v>7.4039999999999999</v>
      </c>
      <c r="AU139" s="150">
        <v>7.4039999999999999</v>
      </c>
      <c r="AX139" s="4" t="s">
        <v>164</v>
      </c>
      <c r="AY139" s="2" t="s">
        <v>37</v>
      </c>
      <c r="AZ139" s="164">
        <v>5.5856166716555704E-3</v>
      </c>
      <c r="BA139" s="164">
        <v>5.2360475983485001E-5</v>
      </c>
    </row>
    <row r="140" spans="1:53">
      <c r="A140" s="2" t="s">
        <v>128</v>
      </c>
      <c r="B140" s="2">
        <v>7229</v>
      </c>
      <c r="C140" s="2" t="s">
        <v>1383</v>
      </c>
      <c r="D140" s="2" t="s">
        <v>34</v>
      </c>
      <c r="E140" s="2" t="s">
        <v>1467</v>
      </c>
      <c r="F140" s="2" t="s">
        <v>1468</v>
      </c>
      <c r="G140" s="2" t="s">
        <v>1083</v>
      </c>
      <c r="I140" s="2" t="s">
        <v>31</v>
      </c>
      <c r="J140" s="2" t="s">
        <v>31</v>
      </c>
      <c r="K140" s="2" t="s">
        <v>497</v>
      </c>
      <c r="L140" s="2" t="s">
        <v>164</v>
      </c>
      <c r="M140" s="2" t="s">
        <v>386</v>
      </c>
      <c r="N140" s="27" t="s">
        <v>1383</v>
      </c>
      <c r="O140" s="2" t="s">
        <v>1460</v>
      </c>
      <c r="P140" s="2" t="s">
        <v>1387</v>
      </c>
      <c r="Q140" s="2" t="s">
        <v>217</v>
      </c>
      <c r="R140" s="2" t="s">
        <v>453</v>
      </c>
      <c r="S140" s="2" t="s">
        <v>35</v>
      </c>
      <c r="T140" s="150">
        <v>3.46</v>
      </c>
      <c r="U140" s="2" t="s">
        <v>203</v>
      </c>
      <c r="V140" s="162">
        <v>5.5E-2</v>
      </c>
      <c r="W140" s="2" t="s">
        <v>800</v>
      </c>
      <c r="X140" s="2" t="s">
        <v>1388</v>
      </c>
      <c r="Y140" s="150">
        <v>5.5</v>
      </c>
      <c r="Z140" s="164">
        <v>3.3079999999999998E-2</v>
      </c>
      <c r="AA140" s="2" t="s">
        <v>1399</v>
      </c>
      <c r="AB140" s="4" t="s">
        <v>458</v>
      </c>
      <c r="AG140" s="2" t="s">
        <v>164</v>
      </c>
      <c r="AJ140" s="2" t="s">
        <v>164</v>
      </c>
      <c r="AK140" s="2" t="s">
        <v>203</v>
      </c>
      <c r="AN140" s="2" t="s">
        <v>1374</v>
      </c>
      <c r="AQ140" s="150">
        <v>1565.82</v>
      </c>
      <c r="AR140" s="150">
        <v>124.33</v>
      </c>
      <c r="AS140" s="150">
        <v>1</v>
      </c>
      <c r="AT140" s="150">
        <v>1.9470000000000001</v>
      </c>
      <c r="AU140" s="150">
        <v>1.9470000000000001</v>
      </c>
      <c r="AX140" s="4" t="s">
        <v>164</v>
      </c>
      <c r="AY140" s="2" t="s">
        <v>37</v>
      </c>
      <c r="AZ140" s="164">
        <v>1.4686631218130701E-3</v>
      </c>
      <c r="BA140" s="164">
        <v>1.37674861412805E-5</v>
      </c>
    </row>
    <row r="141" spans="1:53">
      <c r="A141" s="2" t="s">
        <v>128</v>
      </c>
      <c r="B141" s="2">
        <v>7229</v>
      </c>
      <c r="C141" s="2" t="s">
        <v>1383</v>
      </c>
      <c r="D141" s="2" t="s">
        <v>34</v>
      </c>
      <c r="E141" s="2" t="s">
        <v>1469</v>
      </c>
      <c r="F141" s="2" t="s">
        <v>1470</v>
      </c>
      <c r="G141" s="2" t="s">
        <v>1083</v>
      </c>
      <c r="I141" s="2" t="s">
        <v>31</v>
      </c>
      <c r="J141" s="2" t="s">
        <v>31</v>
      </c>
      <c r="K141" s="2" t="s">
        <v>497</v>
      </c>
      <c r="L141" s="2" t="s">
        <v>164</v>
      </c>
      <c r="M141" s="2" t="s">
        <v>386</v>
      </c>
      <c r="N141" s="190" t="s">
        <v>1383</v>
      </c>
      <c r="O141" s="2" t="s">
        <v>1471</v>
      </c>
      <c r="P141" s="2" t="s">
        <v>1392</v>
      </c>
      <c r="Q141" s="2" t="s">
        <v>98</v>
      </c>
      <c r="R141" s="2" t="s">
        <v>453</v>
      </c>
      <c r="S141" s="2" t="s">
        <v>35</v>
      </c>
      <c r="T141" s="150">
        <v>3.47</v>
      </c>
      <c r="U141" s="2" t="s">
        <v>1393</v>
      </c>
      <c r="V141" s="162">
        <v>5.5E-2</v>
      </c>
      <c r="W141" s="2" t="s">
        <v>800</v>
      </c>
      <c r="X141" s="2" t="s">
        <v>954</v>
      </c>
      <c r="Y141" s="150">
        <v>5.5</v>
      </c>
      <c r="Z141" s="164">
        <v>3.0769999999999999E-2</v>
      </c>
      <c r="AA141" s="2" t="s">
        <v>1389</v>
      </c>
      <c r="AB141" s="4" t="s">
        <v>458</v>
      </c>
      <c r="AC141" s="2" t="s">
        <v>529</v>
      </c>
      <c r="AD141" s="150">
        <v>774</v>
      </c>
      <c r="AE141" s="150">
        <v>0.78</v>
      </c>
      <c r="AF141" s="2" t="s">
        <v>1400</v>
      </c>
      <c r="AG141" s="2" t="s">
        <v>164</v>
      </c>
      <c r="AI141" s="2" t="s">
        <v>1401</v>
      </c>
      <c r="AJ141" s="2" t="s">
        <v>386</v>
      </c>
      <c r="AK141" s="2" t="s">
        <v>937</v>
      </c>
      <c r="AL141" s="2" t="s">
        <v>1373</v>
      </c>
      <c r="AN141" s="2" t="s">
        <v>1374</v>
      </c>
      <c r="AO141" s="2" t="s">
        <v>1400</v>
      </c>
      <c r="AP141" s="151">
        <v>0</v>
      </c>
      <c r="AQ141" s="150">
        <v>1374.42</v>
      </c>
      <c r="AR141" s="150">
        <v>123.32</v>
      </c>
      <c r="AS141" s="150">
        <v>1</v>
      </c>
      <c r="AT141" s="150">
        <v>1.6950000000000001</v>
      </c>
      <c r="AU141" s="150">
        <v>1.6950000000000001</v>
      </c>
      <c r="AX141" s="4" t="s">
        <v>164</v>
      </c>
      <c r="AY141" s="2" t="s">
        <v>37</v>
      </c>
      <c r="AZ141" s="164">
        <v>1.2786668396290899E-3</v>
      </c>
      <c r="BA141" s="164">
        <v>1.1986430197945099E-5</v>
      </c>
    </row>
    <row r="142" spans="1:53">
      <c r="A142" s="2" t="s">
        <v>128</v>
      </c>
      <c r="B142" s="2">
        <v>7229</v>
      </c>
      <c r="C142" s="2" t="s">
        <v>1383</v>
      </c>
      <c r="D142" s="2" t="s">
        <v>34</v>
      </c>
      <c r="E142" s="2" t="s">
        <v>1472</v>
      </c>
      <c r="F142" s="2" t="s">
        <v>1473</v>
      </c>
      <c r="G142" s="2" t="s">
        <v>1083</v>
      </c>
      <c r="I142" s="2" t="s">
        <v>31</v>
      </c>
      <c r="J142" s="2" t="s">
        <v>31</v>
      </c>
      <c r="K142" s="2" t="s">
        <v>497</v>
      </c>
      <c r="L142" s="2" t="s">
        <v>164</v>
      </c>
      <c r="M142" s="2" t="s">
        <v>386</v>
      </c>
      <c r="N142" s="190" t="s">
        <v>1383</v>
      </c>
      <c r="O142" s="2" t="s">
        <v>1474</v>
      </c>
      <c r="P142" s="2" t="s">
        <v>1392</v>
      </c>
      <c r="Q142" s="2" t="s">
        <v>98</v>
      </c>
      <c r="R142" s="2" t="s">
        <v>453</v>
      </c>
      <c r="S142" s="2" t="s">
        <v>35</v>
      </c>
      <c r="T142" s="150">
        <v>3.46</v>
      </c>
      <c r="U142" s="2" t="s">
        <v>1393</v>
      </c>
      <c r="V142" s="162">
        <v>5.5E-2</v>
      </c>
      <c r="W142" s="2" t="s">
        <v>800</v>
      </c>
      <c r="X142" s="2" t="s">
        <v>954</v>
      </c>
      <c r="Y142" s="150">
        <v>5.5</v>
      </c>
      <c r="Z142" s="164">
        <v>3.1359999999999999E-2</v>
      </c>
      <c r="AA142" s="2" t="s">
        <v>1389</v>
      </c>
      <c r="AB142" s="4" t="s">
        <v>458</v>
      </c>
      <c r="AC142" s="2" t="s">
        <v>529</v>
      </c>
      <c r="AD142" s="150">
        <v>862</v>
      </c>
      <c r="AE142" s="150">
        <v>0.78</v>
      </c>
      <c r="AF142" s="2" t="s">
        <v>1400</v>
      </c>
      <c r="AG142" s="2" t="s">
        <v>164</v>
      </c>
      <c r="AI142" s="2" t="s">
        <v>1401</v>
      </c>
      <c r="AJ142" s="2" t="s">
        <v>386</v>
      </c>
      <c r="AK142" s="2" t="s">
        <v>937</v>
      </c>
      <c r="AL142" s="2" t="s">
        <v>1373</v>
      </c>
      <c r="AN142" s="2" t="s">
        <v>1374</v>
      </c>
      <c r="AO142" s="2" t="s">
        <v>1400</v>
      </c>
      <c r="AP142" s="151">
        <v>0</v>
      </c>
      <c r="AQ142" s="150">
        <v>1532.12</v>
      </c>
      <c r="AR142" s="150">
        <v>122.67</v>
      </c>
      <c r="AS142" s="150">
        <v>1</v>
      </c>
      <c r="AT142" s="150">
        <v>1.879</v>
      </c>
      <c r="AU142" s="150">
        <v>1.879</v>
      </c>
      <c r="AX142" s="4" t="s">
        <v>164</v>
      </c>
      <c r="AY142" s="2" t="s">
        <v>37</v>
      </c>
      <c r="AZ142" s="164">
        <v>1.41786723720763E-3</v>
      </c>
      <c r="BA142" s="164">
        <v>1.32913172861137E-5</v>
      </c>
    </row>
    <row r="143" spans="1:53">
      <c r="A143" s="2" t="s">
        <v>128</v>
      </c>
      <c r="B143" s="2">
        <v>7229</v>
      </c>
      <c r="C143" s="2" t="s">
        <v>1383</v>
      </c>
      <c r="D143" s="2" t="s">
        <v>34</v>
      </c>
      <c r="E143" s="2" t="s">
        <v>1475</v>
      </c>
      <c r="F143" s="2" t="s">
        <v>1476</v>
      </c>
      <c r="G143" s="2" t="s">
        <v>1083</v>
      </c>
      <c r="I143" s="2" t="s">
        <v>31</v>
      </c>
      <c r="J143" s="2" t="s">
        <v>31</v>
      </c>
      <c r="K143" s="2" t="s">
        <v>497</v>
      </c>
      <c r="L143" s="2" t="s">
        <v>164</v>
      </c>
      <c r="M143" s="2" t="s">
        <v>386</v>
      </c>
      <c r="N143" s="190" t="s">
        <v>1383</v>
      </c>
      <c r="O143" s="2" t="s">
        <v>1477</v>
      </c>
      <c r="P143" s="2" t="s">
        <v>1392</v>
      </c>
      <c r="Q143" s="2" t="s">
        <v>98</v>
      </c>
      <c r="R143" s="2" t="s">
        <v>453</v>
      </c>
      <c r="S143" s="2" t="s">
        <v>35</v>
      </c>
      <c r="T143" s="150">
        <v>3.46</v>
      </c>
      <c r="U143" s="2" t="s">
        <v>1393</v>
      </c>
      <c r="V143" s="162">
        <v>5.5E-2</v>
      </c>
      <c r="W143" s="2" t="s">
        <v>800</v>
      </c>
      <c r="X143" s="2" t="s">
        <v>954</v>
      </c>
      <c r="Y143" s="150">
        <v>5.5</v>
      </c>
      <c r="Z143" s="164">
        <v>3.2759999999999997E-2</v>
      </c>
      <c r="AA143" s="2" t="s">
        <v>1389</v>
      </c>
      <c r="AB143" s="4" t="s">
        <v>458</v>
      </c>
      <c r="AC143" s="2" t="s">
        <v>529</v>
      </c>
      <c r="AD143" s="150">
        <v>2532</v>
      </c>
      <c r="AE143" s="150">
        <v>0.78</v>
      </c>
      <c r="AF143" s="2" t="s">
        <v>1400</v>
      </c>
      <c r="AG143" s="2" t="s">
        <v>164</v>
      </c>
      <c r="AI143" s="2" t="s">
        <v>1401</v>
      </c>
      <c r="AJ143" s="2" t="s">
        <v>386</v>
      </c>
      <c r="AK143" s="2" t="s">
        <v>937</v>
      </c>
      <c r="AL143" s="2" t="s">
        <v>1373</v>
      </c>
      <c r="AN143" s="2" t="s">
        <v>1374</v>
      </c>
      <c r="AO143" s="2" t="s">
        <v>1400</v>
      </c>
      <c r="AP143" s="151">
        <v>0</v>
      </c>
      <c r="AQ143" s="150">
        <v>4498.57</v>
      </c>
      <c r="AR143" s="150">
        <v>122.42</v>
      </c>
      <c r="AS143" s="150">
        <v>1</v>
      </c>
      <c r="AT143" s="150">
        <v>5.5069999999999997</v>
      </c>
      <c r="AU143" s="150">
        <v>5.5069999999999997</v>
      </c>
      <c r="AX143" s="4" t="s">
        <v>164</v>
      </c>
      <c r="AY143" s="2" t="s">
        <v>37</v>
      </c>
      <c r="AZ143" s="164">
        <v>4.1546197196788599E-3</v>
      </c>
      <c r="BA143" s="164">
        <v>3.89460786230932E-5</v>
      </c>
    </row>
    <row r="144" spans="1:53">
      <c r="A144" s="2" t="s">
        <v>128</v>
      </c>
      <c r="B144" s="2">
        <v>7229</v>
      </c>
      <c r="C144" s="2" t="s">
        <v>1383</v>
      </c>
      <c r="D144" s="2" t="s">
        <v>34</v>
      </c>
      <c r="E144" s="2" t="s">
        <v>1478</v>
      </c>
      <c r="F144" s="2" t="s">
        <v>1479</v>
      </c>
      <c r="G144" s="2" t="s">
        <v>1083</v>
      </c>
      <c r="I144" s="2" t="s">
        <v>31</v>
      </c>
      <c r="J144" s="2" t="s">
        <v>31</v>
      </c>
      <c r="K144" s="2" t="s">
        <v>497</v>
      </c>
      <c r="L144" s="2" t="s">
        <v>164</v>
      </c>
      <c r="M144" s="2" t="s">
        <v>386</v>
      </c>
      <c r="N144" s="190" t="s">
        <v>1383</v>
      </c>
      <c r="O144" s="2" t="s">
        <v>1480</v>
      </c>
      <c r="P144" s="2" t="s">
        <v>1387</v>
      </c>
      <c r="Q144" s="2" t="s">
        <v>217</v>
      </c>
      <c r="R144" s="2" t="s">
        <v>453</v>
      </c>
      <c r="S144" s="2" t="s">
        <v>35</v>
      </c>
      <c r="T144" s="150">
        <v>3.46</v>
      </c>
      <c r="U144" s="2" t="s">
        <v>1393</v>
      </c>
      <c r="V144" s="162">
        <v>5.5E-2</v>
      </c>
      <c r="W144" s="2" t="s">
        <v>800</v>
      </c>
      <c r="X144" s="2" t="s">
        <v>954</v>
      </c>
      <c r="Y144" s="150">
        <v>5.5</v>
      </c>
      <c r="Z144" s="164">
        <v>3.2730000000000002E-2</v>
      </c>
      <c r="AA144" s="2" t="s">
        <v>1389</v>
      </c>
      <c r="AB144" s="4" t="s">
        <v>458</v>
      </c>
      <c r="AC144" s="2" t="s">
        <v>529</v>
      </c>
      <c r="AD144" s="150">
        <v>470</v>
      </c>
      <c r="AE144" s="150">
        <v>0.78</v>
      </c>
      <c r="AF144" s="2" t="s">
        <v>1400</v>
      </c>
      <c r="AG144" s="2" t="s">
        <v>164</v>
      </c>
      <c r="AI144" s="2" t="s">
        <v>1401</v>
      </c>
      <c r="AJ144" s="2" t="s">
        <v>386</v>
      </c>
      <c r="AK144" s="2" t="s">
        <v>937</v>
      </c>
      <c r="AL144" s="2" t="s">
        <v>1373</v>
      </c>
      <c r="AN144" s="2" t="s">
        <v>1374</v>
      </c>
      <c r="AO144" s="2" t="s">
        <v>1400</v>
      </c>
      <c r="AP144" s="151">
        <v>0</v>
      </c>
      <c r="AQ144" s="150">
        <v>835.04</v>
      </c>
      <c r="AR144" s="150">
        <v>123.04</v>
      </c>
      <c r="AS144" s="150">
        <v>1</v>
      </c>
      <c r="AT144" s="150">
        <v>1.0269999999999999</v>
      </c>
      <c r="AU144" s="150">
        <v>1.0269999999999999</v>
      </c>
      <c r="AX144" s="4" t="s">
        <v>164</v>
      </c>
      <c r="AY144" s="2" t="s">
        <v>37</v>
      </c>
      <c r="AZ144" s="164">
        <v>7.7510050925752496E-4</v>
      </c>
      <c r="BA144" s="164">
        <v>7.2659178002160302E-6</v>
      </c>
    </row>
    <row r="145" spans="1:53">
      <c r="A145" s="2" t="s">
        <v>128</v>
      </c>
      <c r="B145" s="2">
        <v>7229</v>
      </c>
      <c r="C145" s="2" t="s">
        <v>1383</v>
      </c>
      <c r="D145" s="2" t="s">
        <v>34</v>
      </c>
      <c r="E145" s="2" t="s">
        <v>1481</v>
      </c>
      <c r="F145" s="2" t="s">
        <v>1482</v>
      </c>
      <c r="G145" s="2" t="s">
        <v>1083</v>
      </c>
      <c r="I145" s="2" t="s">
        <v>31</v>
      </c>
      <c r="J145" s="2" t="s">
        <v>31</v>
      </c>
      <c r="K145" s="2" t="s">
        <v>497</v>
      </c>
      <c r="L145" s="2" t="s">
        <v>164</v>
      </c>
      <c r="M145" s="2" t="s">
        <v>386</v>
      </c>
      <c r="N145" s="190" t="s">
        <v>1383</v>
      </c>
      <c r="O145" s="2" t="s">
        <v>1483</v>
      </c>
      <c r="P145" s="2" t="s">
        <v>1392</v>
      </c>
      <c r="Q145" s="2" t="s">
        <v>98</v>
      </c>
      <c r="R145" s="2" t="s">
        <v>453</v>
      </c>
      <c r="S145" s="2" t="s">
        <v>35</v>
      </c>
      <c r="T145" s="150">
        <v>3.46</v>
      </c>
      <c r="U145" s="2" t="s">
        <v>1393</v>
      </c>
      <c r="V145" s="162">
        <v>5.5E-2</v>
      </c>
      <c r="W145" s="2" t="s">
        <v>800</v>
      </c>
      <c r="X145" s="2" t="s">
        <v>954</v>
      </c>
      <c r="Y145" s="150">
        <v>5.5</v>
      </c>
      <c r="Z145" s="164">
        <v>3.2759999999999997E-2</v>
      </c>
      <c r="AA145" s="2" t="s">
        <v>1484</v>
      </c>
      <c r="AB145" s="4" t="s">
        <v>458</v>
      </c>
      <c r="AC145" s="2" t="s">
        <v>529</v>
      </c>
      <c r="AD145" s="150">
        <v>938</v>
      </c>
      <c r="AE145" s="150">
        <v>0.78</v>
      </c>
      <c r="AF145" s="2" t="s">
        <v>1400</v>
      </c>
      <c r="AG145" s="2" t="s">
        <v>164</v>
      </c>
      <c r="AI145" s="2" t="s">
        <v>1401</v>
      </c>
      <c r="AJ145" s="2" t="s">
        <v>386</v>
      </c>
      <c r="AK145" s="2" t="s">
        <v>937</v>
      </c>
      <c r="AL145" s="2" t="s">
        <v>1373</v>
      </c>
      <c r="AN145" s="2" t="s">
        <v>1374</v>
      </c>
      <c r="AO145" s="2" t="s">
        <v>1400</v>
      </c>
      <c r="AP145" s="151">
        <v>0</v>
      </c>
      <c r="AQ145" s="150">
        <v>1666.4</v>
      </c>
      <c r="AR145" s="150">
        <v>123.27</v>
      </c>
      <c r="AS145" s="150">
        <v>1</v>
      </c>
      <c r="AT145" s="150">
        <v>2.0539999999999998</v>
      </c>
      <c r="AU145" s="150">
        <v>2.0539999999999998</v>
      </c>
      <c r="AX145" s="4" t="s">
        <v>164</v>
      </c>
      <c r="AY145" s="2" t="s">
        <v>37</v>
      </c>
      <c r="AZ145" s="164">
        <v>1.5496765925369701E-3</v>
      </c>
      <c r="BA145" s="164">
        <v>1.45269195463158E-5</v>
      </c>
    </row>
    <row r="146" spans="1:53">
      <c r="A146" s="2" t="s">
        <v>128</v>
      </c>
      <c r="B146" s="2">
        <v>7229</v>
      </c>
      <c r="C146" s="2" t="s">
        <v>1383</v>
      </c>
      <c r="D146" s="2" t="s">
        <v>34</v>
      </c>
      <c r="E146" s="2" t="s">
        <v>1485</v>
      </c>
      <c r="F146" s="2" t="s">
        <v>1486</v>
      </c>
      <c r="G146" s="2" t="s">
        <v>1083</v>
      </c>
      <c r="I146" s="2" t="s">
        <v>31</v>
      </c>
      <c r="J146" s="2" t="s">
        <v>31</v>
      </c>
      <c r="K146" s="2" t="s">
        <v>497</v>
      </c>
      <c r="L146" s="2" t="s">
        <v>164</v>
      </c>
      <c r="M146" s="2" t="s">
        <v>386</v>
      </c>
      <c r="N146" s="190" t="s">
        <v>1383</v>
      </c>
      <c r="O146" s="2" t="s">
        <v>1487</v>
      </c>
      <c r="P146" s="2" t="s">
        <v>1392</v>
      </c>
      <c r="Q146" s="2" t="s">
        <v>98</v>
      </c>
      <c r="R146" s="2" t="s">
        <v>453</v>
      </c>
      <c r="S146" s="2" t="s">
        <v>35</v>
      </c>
      <c r="T146" s="150">
        <v>3.46</v>
      </c>
      <c r="U146" s="2" t="s">
        <v>1393</v>
      </c>
      <c r="V146" s="162">
        <v>5.5E-2</v>
      </c>
      <c r="W146" s="2" t="s">
        <v>800</v>
      </c>
      <c r="X146" s="2" t="s">
        <v>954</v>
      </c>
      <c r="Y146" s="150">
        <v>5.5</v>
      </c>
      <c r="Z146" s="164">
        <v>3.2739999999999998E-2</v>
      </c>
      <c r="AA146" s="2" t="s">
        <v>1389</v>
      </c>
      <c r="AB146" s="4" t="s">
        <v>458</v>
      </c>
      <c r="AC146" s="2" t="s">
        <v>529</v>
      </c>
      <c r="AD146" s="150">
        <v>588</v>
      </c>
      <c r="AE146" s="150">
        <v>0.78</v>
      </c>
      <c r="AF146" s="2" t="s">
        <v>1400</v>
      </c>
      <c r="AG146" s="2" t="s">
        <v>164</v>
      </c>
      <c r="AI146" s="2" t="s">
        <v>1401</v>
      </c>
      <c r="AJ146" s="2" t="s">
        <v>386</v>
      </c>
      <c r="AK146" s="2" t="s">
        <v>937</v>
      </c>
      <c r="AL146" s="2" t="s">
        <v>1373</v>
      </c>
      <c r="AN146" s="2" t="s">
        <v>1374</v>
      </c>
      <c r="AO146" s="2" t="s">
        <v>1400</v>
      </c>
      <c r="AP146" s="151">
        <v>0</v>
      </c>
      <c r="AQ146" s="150">
        <v>1044.2</v>
      </c>
      <c r="AR146" s="150">
        <v>122.79</v>
      </c>
      <c r="AS146" s="150">
        <v>1</v>
      </c>
      <c r="AT146" s="150">
        <v>1.282</v>
      </c>
      <c r="AU146" s="150">
        <v>1.282</v>
      </c>
      <c r="AX146" s="4" t="s">
        <v>164</v>
      </c>
      <c r="AY146" s="2" t="s">
        <v>37</v>
      </c>
      <c r="AZ146" s="164">
        <v>9.67277550791526E-4</v>
      </c>
      <c r="BA146" s="164">
        <v>9.0674165351508296E-6</v>
      </c>
    </row>
    <row r="147" spans="1:53">
      <c r="A147" s="2" t="s">
        <v>128</v>
      </c>
      <c r="B147" s="2">
        <v>7229</v>
      </c>
      <c r="C147" s="2" t="s">
        <v>1383</v>
      </c>
      <c r="D147" s="2" t="s">
        <v>34</v>
      </c>
      <c r="E147" s="2" t="s">
        <v>1488</v>
      </c>
      <c r="F147" s="2" t="s">
        <v>1489</v>
      </c>
      <c r="G147" s="2" t="s">
        <v>1083</v>
      </c>
      <c r="I147" s="2" t="s">
        <v>31</v>
      </c>
      <c r="J147" s="2" t="s">
        <v>31</v>
      </c>
      <c r="K147" s="2" t="s">
        <v>497</v>
      </c>
      <c r="L147" s="2" t="s">
        <v>164</v>
      </c>
      <c r="M147" s="2" t="s">
        <v>386</v>
      </c>
      <c r="N147" s="190" t="s">
        <v>1383</v>
      </c>
      <c r="O147" s="2" t="s">
        <v>1490</v>
      </c>
      <c r="P147" s="2" t="s">
        <v>1392</v>
      </c>
      <c r="Q147" s="2" t="s">
        <v>98</v>
      </c>
      <c r="R147" s="2" t="s">
        <v>453</v>
      </c>
      <c r="S147" s="2" t="s">
        <v>35</v>
      </c>
      <c r="T147" s="150">
        <v>3.46</v>
      </c>
      <c r="U147" s="2" t="s">
        <v>1393</v>
      </c>
      <c r="V147" s="162">
        <v>5.5E-2</v>
      </c>
      <c r="W147" s="2" t="s">
        <v>800</v>
      </c>
      <c r="X147" s="2" t="s">
        <v>954</v>
      </c>
      <c r="Y147" s="150">
        <v>5.5</v>
      </c>
      <c r="Z147" s="164">
        <v>3.2739999999999998E-2</v>
      </c>
      <c r="AA147" s="2" t="s">
        <v>1399</v>
      </c>
      <c r="AB147" s="4" t="s">
        <v>458</v>
      </c>
      <c r="AC147" s="2" t="s">
        <v>529</v>
      </c>
      <c r="AD147" s="150">
        <v>331</v>
      </c>
      <c r="AE147" s="150">
        <v>0.78</v>
      </c>
      <c r="AF147" s="2" t="s">
        <v>1400</v>
      </c>
      <c r="AG147" s="2" t="s">
        <v>164</v>
      </c>
      <c r="AI147" s="2" t="s">
        <v>1401</v>
      </c>
      <c r="AJ147" s="2" t="s">
        <v>386</v>
      </c>
      <c r="AK147" s="2" t="s">
        <v>937</v>
      </c>
      <c r="AL147" s="2" t="s">
        <v>1373</v>
      </c>
      <c r="AN147" s="2" t="s">
        <v>1374</v>
      </c>
      <c r="AO147" s="2" t="s">
        <v>1400</v>
      </c>
      <c r="AP147" s="151">
        <v>0</v>
      </c>
      <c r="AQ147" s="150">
        <v>588</v>
      </c>
      <c r="AR147" s="150">
        <v>122.67</v>
      </c>
      <c r="AS147" s="150">
        <v>1</v>
      </c>
      <c r="AT147" s="150">
        <v>0.72099999999999997</v>
      </c>
      <c r="AU147" s="150">
        <v>0.72099999999999997</v>
      </c>
      <c r="AX147" s="4" t="s">
        <v>164</v>
      </c>
      <c r="AY147" s="2" t="s">
        <v>37</v>
      </c>
      <c r="AZ147" s="164">
        <v>5.4415185199467901E-4</v>
      </c>
      <c r="BA147" s="164">
        <v>5.10096765542832E-6</v>
      </c>
    </row>
    <row r="148" spans="1:53">
      <c r="A148" s="2" t="s">
        <v>128</v>
      </c>
      <c r="B148" s="2">
        <v>7229</v>
      </c>
      <c r="C148" s="2" t="s">
        <v>1383</v>
      </c>
      <c r="D148" s="2" t="s">
        <v>34</v>
      </c>
      <c r="E148" s="2" t="s">
        <v>1491</v>
      </c>
      <c r="F148" s="2" t="s">
        <v>1492</v>
      </c>
      <c r="G148" s="2" t="s">
        <v>1083</v>
      </c>
      <c r="I148" s="2" t="s">
        <v>31</v>
      </c>
      <c r="J148" s="2" t="s">
        <v>31</v>
      </c>
      <c r="K148" s="2" t="s">
        <v>497</v>
      </c>
      <c r="L148" s="2" t="s">
        <v>164</v>
      </c>
      <c r="M148" s="2" t="s">
        <v>386</v>
      </c>
      <c r="N148" s="190" t="s">
        <v>1383</v>
      </c>
      <c r="O148" s="2" t="s">
        <v>1493</v>
      </c>
      <c r="P148" s="2" t="s">
        <v>1392</v>
      </c>
      <c r="Q148" s="2" t="s">
        <v>98</v>
      </c>
      <c r="R148" s="2" t="s">
        <v>453</v>
      </c>
      <c r="S148" s="2" t="s">
        <v>35</v>
      </c>
      <c r="T148" s="150">
        <v>3.46</v>
      </c>
      <c r="U148" s="2" t="s">
        <v>1393</v>
      </c>
      <c r="V148" s="162">
        <v>5.5E-2</v>
      </c>
      <c r="W148" s="2" t="s">
        <v>800</v>
      </c>
      <c r="X148" s="2" t="s">
        <v>954</v>
      </c>
      <c r="Y148" s="150">
        <v>5.5</v>
      </c>
      <c r="Z148" s="164">
        <v>3.2710000000000003E-2</v>
      </c>
      <c r="AA148" s="2" t="s">
        <v>1399</v>
      </c>
      <c r="AB148" s="4" t="s">
        <v>458</v>
      </c>
      <c r="AC148" s="2" t="s">
        <v>529</v>
      </c>
      <c r="AD148" s="150">
        <v>987</v>
      </c>
      <c r="AE148" s="150">
        <v>0.78</v>
      </c>
      <c r="AF148" s="2" t="s">
        <v>1400</v>
      </c>
      <c r="AG148" s="2" t="s">
        <v>164</v>
      </c>
      <c r="AI148" s="2" t="s">
        <v>1401</v>
      </c>
      <c r="AJ148" s="2" t="s">
        <v>386</v>
      </c>
      <c r="AK148" s="2" t="s">
        <v>937</v>
      </c>
      <c r="AL148" s="2" t="s">
        <v>1373</v>
      </c>
      <c r="AN148" s="2" t="s">
        <v>1374</v>
      </c>
      <c r="AO148" s="2" t="s">
        <v>1400</v>
      </c>
      <c r="AP148" s="151">
        <v>0</v>
      </c>
      <c r="AQ148" s="150">
        <v>1753.96</v>
      </c>
      <c r="AR148" s="150">
        <v>122.32</v>
      </c>
      <c r="AS148" s="150">
        <v>1</v>
      </c>
      <c r="AT148" s="150">
        <v>2.145</v>
      </c>
      <c r="AU148" s="150">
        <v>2.145</v>
      </c>
      <c r="AX148" s="4" t="s">
        <v>164</v>
      </c>
      <c r="AY148" s="2" t="s">
        <v>37</v>
      </c>
      <c r="AZ148" s="164">
        <v>1.61853307044595E-3</v>
      </c>
      <c r="BA148" s="164">
        <v>1.51723913303278E-5</v>
      </c>
    </row>
    <row r="149" spans="1:53">
      <c r="A149" s="2" t="s">
        <v>128</v>
      </c>
      <c r="B149" s="2">
        <v>7229</v>
      </c>
      <c r="C149" s="2" t="s">
        <v>1383</v>
      </c>
      <c r="D149" s="2" t="s">
        <v>34</v>
      </c>
      <c r="E149" s="2" t="s">
        <v>1494</v>
      </c>
      <c r="F149" s="2" t="s">
        <v>1495</v>
      </c>
      <c r="G149" s="2" t="s">
        <v>1083</v>
      </c>
      <c r="I149" s="2" t="s">
        <v>31</v>
      </c>
      <c r="J149" s="2" t="s">
        <v>31</v>
      </c>
      <c r="K149" s="2" t="s">
        <v>497</v>
      </c>
      <c r="L149" s="2" t="s">
        <v>164</v>
      </c>
      <c r="M149" s="2" t="s">
        <v>386</v>
      </c>
      <c r="N149" s="27" t="s">
        <v>1383</v>
      </c>
      <c r="O149" s="2" t="s">
        <v>1460</v>
      </c>
      <c r="P149" s="2" t="s">
        <v>1387</v>
      </c>
      <c r="Q149" s="2" t="s">
        <v>217</v>
      </c>
      <c r="R149" s="2" t="s">
        <v>453</v>
      </c>
      <c r="S149" s="2" t="s">
        <v>35</v>
      </c>
      <c r="T149" s="150">
        <v>3.48</v>
      </c>
      <c r="U149" s="2" t="s">
        <v>203</v>
      </c>
      <c r="V149" s="162">
        <v>5.5E-2</v>
      </c>
      <c r="W149" s="2" t="s">
        <v>800</v>
      </c>
      <c r="X149" s="2" t="s">
        <v>1388</v>
      </c>
      <c r="Y149" s="150">
        <v>5.5</v>
      </c>
      <c r="Z149" s="164">
        <v>2.7709999999999999E-2</v>
      </c>
      <c r="AA149" s="2" t="s">
        <v>1399</v>
      </c>
      <c r="AB149" s="4" t="s">
        <v>458</v>
      </c>
      <c r="AG149" s="2" t="s">
        <v>164</v>
      </c>
      <c r="AJ149" s="2" t="s">
        <v>164</v>
      </c>
      <c r="AK149" s="2" t="s">
        <v>203</v>
      </c>
      <c r="AN149" s="2" t="s">
        <v>1374</v>
      </c>
      <c r="AQ149" s="150">
        <v>682.79</v>
      </c>
      <c r="AR149" s="150">
        <v>122.32</v>
      </c>
      <c r="AS149" s="150">
        <v>1</v>
      </c>
      <c r="AT149" s="150">
        <v>0.83499999999999996</v>
      </c>
      <c r="AU149" s="150">
        <v>0.83499999999999996</v>
      </c>
      <c r="AX149" s="4" t="s">
        <v>164</v>
      </c>
      <c r="AY149" s="2" t="s">
        <v>37</v>
      </c>
      <c r="AZ149" s="164">
        <v>6.3007035232832498E-4</v>
      </c>
      <c r="BA149" s="164">
        <v>5.9063816030208897E-6</v>
      </c>
    </row>
    <row r="150" spans="1:53">
      <c r="A150" s="2" t="s">
        <v>128</v>
      </c>
      <c r="B150" s="2">
        <v>7229</v>
      </c>
      <c r="C150" s="2" t="s">
        <v>1383</v>
      </c>
      <c r="D150" s="2" t="s">
        <v>34</v>
      </c>
      <c r="E150" s="2" t="s">
        <v>1496</v>
      </c>
      <c r="F150" s="2" t="s">
        <v>1497</v>
      </c>
      <c r="G150" s="2" t="s">
        <v>1083</v>
      </c>
      <c r="I150" s="2" t="s">
        <v>31</v>
      </c>
      <c r="J150" s="2" t="s">
        <v>31</v>
      </c>
      <c r="K150" s="2" t="s">
        <v>497</v>
      </c>
      <c r="L150" s="2" t="s">
        <v>164</v>
      </c>
      <c r="M150" s="2" t="s">
        <v>386</v>
      </c>
      <c r="N150" s="190" t="s">
        <v>1383</v>
      </c>
      <c r="O150" s="2" t="s">
        <v>1498</v>
      </c>
      <c r="P150" s="2" t="s">
        <v>1387</v>
      </c>
      <c r="Q150" s="2" t="s">
        <v>217</v>
      </c>
      <c r="R150" s="2" t="s">
        <v>453</v>
      </c>
      <c r="S150" s="2" t="s">
        <v>35</v>
      </c>
      <c r="T150" s="150">
        <v>3.44</v>
      </c>
      <c r="U150" s="2" t="s">
        <v>1393</v>
      </c>
      <c r="V150" s="162">
        <v>5.5E-2</v>
      </c>
      <c r="W150" s="2" t="s">
        <v>800</v>
      </c>
      <c r="X150" s="2" t="s">
        <v>954</v>
      </c>
      <c r="Y150" s="150">
        <v>5.5</v>
      </c>
      <c r="Z150" s="164">
        <v>3.2640000000000002E-2</v>
      </c>
      <c r="AA150" s="2" t="s">
        <v>1399</v>
      </c>
      <c r="AB150" s="4" t="s">
        <v>458</v>
      </c>
      <c r="AC150" s="2" t="s">
        <v>529</v>
      </c>
      <c r="AD150" s="150">
        <v>5567</v>
      </c>
      <c r="AE150" s="150">
        <v>0.78</v>
      </c>
      <c r="AF150" s="2" t="s">
        <v>1400</v>
      </c>
      <c r="AG150" s="2" t="s">
        <v>164</v>
      </c>
      <c r="AI150" s="2" t="s">
        <v>1401</v>
      </c>
      <c r="AJ150" s="2" t="s">
        <v>386</v>
      </c>
      <c r="AK150" s="2" t="s">
        <v>937</v>
      </c>
      <c r="AL150" s="2" t="s">
        <v>1373</v>
      </c>
      <c r="AN150" s="2" t="s">
        <v>1374</v>
      </c>
      <c r="AO150" s="2" t="s">
        <v>1400</v>
      </c>
      <c r="AP150" s="151">
        <v>0</v>
      </c>
      <c r="AQ150" s="150">
        <v>4588.7299999999996</v>
      </c>
      <c r="AR150" s="150">
        <v>122.56</v>
      </c>
      <c r="AS150" s="150">
        <v>1</v>
      </c>
      <c r="AT150" s="150">
        <v>5.6239999999999997</v>
      </c>
      <c r="AU150" s="150">
        <v>5.6239999999999997</v>
      </c>
      <c r="AX150" s="4" t="s">
        <v>164</v>
      </c>
      <c r="AY150" s="2" t="s">
        <v>37</v>
      </c>
      <c r="AZ150" s="164">
        <v>4.2427327578110699E-3</v>
      </c>
      <c r="BA150" s="164">
        <v>3.9772064523694999E-5</v>
      </c>
    </row>
    <row r="151" spans="1:53">
      <c r="A151" s="2" t="s">
        <v>128</v>
      </c>
      <c r="B151" s="2">
        <v>7229</v>
      </c>
      <c r="C151" s="2" t="s">
        <v>1383</v>
      </c>
      <c r="D151" s="2" t="s">
        <v>34</v>
      </c>
      <c r="E151" s="2" t="s">
        <v>1499</v>
      </c>
      <c r="F151" s="2" t="s">
        <v>1500</v>
      </c>
      <c r="G151" s="2" t="s">
        <v>1083</v>
      </c>
      <c r="I151" s="2" t="s">
        <v>31</v>
      </c>
      <c r="J151" s="2" t="s">
        <v>31</v>
      </c>
      <c r="K151" s="2" t="s">
        <v>497</v>
      </c>
      <c r="L151" s="2" t="s">
        <v>164</v>
      </c>
      <c r="M151" s="2" t="s">
        <v>386</v>
      </c>
      <c r="N151" s="190" t="s">
        <v>1383</v>
      </c>
      <c r="O151" s="2" t="s">
        <v>1501</v>
      </c>
      <c r="P151" s="2" t="s">
        <v>1387</v>
      </c>
      <c r="Q151" s="2" t="s">
        <v>217</v>
      </c>
      <c r="R151" s="2" t="s">
        <v>453</v>
      </c>
      <c r="S151" s="2" t="s">
        <v>35</v>
      </c>
      <c r="T151" s="150">
        <v>3.44</v>
      </c>
      <c r="U151" s="2" t="s">
        <v>1393</v>
      </c>
      <c r="V151" s="162">
        <v>5.5E-2</v>
      </c>
      <c r="W151" s="2" t="s">
        <v>800</v>
      </c>
      <c r="X151" s="2" t="s">
        <v>954</v>
      </c>
      <c r="Y151" s="150">
        <v>5.5</v>
      </c>
      <c r="Z151" s="164">
        <v>3.27E-2</v>
      </c>
      <c r="AA151" s="2" t="s">
        <v>1399</v>
      </c>
      <c r="AB151" s="4" t="s">
        <v>458</v>
      </c>
      <c r="AC151" s="2" t="s">
        <v>529</v>
      </c>
      <c r="AD151" s="150">
        <v>5045</v>
      </c>
      <c r="AE151" s="150">
        <v>0.78</v>
      </c>
      <c r="AF151" s="2" t="s">
        <v>1400</v>
      </c>
      <c r="AG151" s="2" t="s">
        <v>164</v>
      </c>
      <c r="AI151" s="2" t="s">
        <v>1401</v>
      </c>
      <c r="AJ151" s="2" t="s">
        <v>386</v>
      </c>
      <c r="AK151" s="2" t="s">
        <v>937</v>
      </c>
      <c r="AL151" s="2" t="s">
        <v>1373</v>
      </c>
      <c r="AN151" s="2" t="s">
        <v>1374</v>
      </c>
      <c r="AO151" s="2" t="s">
        <v>1400</v>
      </c>
      <c r="AP151" s="151">
        <v>0</v>
      </c>
      <c r="AQ151" s="150">
        <v>8963.6299999999992</v>
      </c>
      <c r="AR151" s="150">
        <v>123.65</v>
      </c>
      <c r="AS151" s="150">
        <v>1</v>
      </c>
      <c r="AT151" s="150">
        <v>11.084</v>
      </c>
      <c r="AU151" s="150">
        <v>11.084</v>
      </c>
      <c r="AX151" s="4" t="s">
        <v>164</v>
      </c>
      <c r="AY151" s="2" t="s">
        <v>37</v>
      </c>
      <c r="AZ151" s="164">
        <v>8.3614666598873007E-3</v>
      </c>
      <c r="BA151" s="164">
        <v>7.8381743676293704E-5</v>
      </c>
    </row>
    <row r="152" spans="1:53">
      <c r="A152" s="2" t="s">
        <v>128</v>
      </c>
      <c r="B152" s="2">
        <v>7229</v>
      </c>
      <c r="C152" s="2" t="s">
        <v>1383</v>
      </c>
      <c r="D152" s="2" t="s">
        <v>34</v>
      </c>
      <c r="E152" s="2" t="s">
        <v>1502</v>
      </c>
      <c r="F152" s="2" t="s">
        <v>1503</v>
      </c>
      <c r="G152" s="2" t="s">
        <v>1083</v>
      </c>
      <c r="I152" s="2" t="s">
        <v>31</v>
      </c>
      <c r="J152" s="2" t="s">
        <v>31</v>
      </c>
      <c r="K152" s="2" t="s">
        <v>497</v>
      </c>
      <c r="L152" s="2" t="s">
        <v>164</v>
      </c>
      <c r="M152" s="2" t="s">
        <v>386</v>
      </c>
      <c r="N152" s="27" t="s">
        <v>1383</v>
      </c>
      <c r="O152" s="2" t="s">
        <v>1460</v>
      </c>
      <c r="P152" s="2" t="s">
        <v>1387</v>
      </c>
      <c r="Q152" s="2" t="s">
        <v>217</v>
      </c>
      <c r="R152" s="2" t="s">
        <v>453</v>
      </c>
      <c r="S152" s="2" t="s">
        <v>35</v>
      </c>
      <c r="T152" s="150">
        <v>3.44</v>
      </c>
      <c r="U152" s="2" t="s">
        <v>203</v>
      </c>
      <c r="V152" s="162">
        <v>5.5500000000000001E-2</v>
      </c>
      <c r="W152" s="2" t="s">
        <v>800</v>
      </c>
      <c r="X152" s="2" t="s">
        <v>1388</v>
      </c>
      <c r="Y152" s="150">
        <v>5.55</v>
      </c>
      <c r="Z152" s="164">
        <v>3.3029999999999997E-2</v>
      </c>
      <c r="AA152" s="2" t="s">
        <v>1399</v>
      </c>
      <c r="AB152" s="4" t="s">
        <v>458</v>
      </c>
      <c r="AG152" s="2" t="s">
        <v>164</v>
      </c>
      <c r="AJ152" s="2" t="s">
        <v>164</v>
      </c>
      <c r="AK152" s="2" t="s">
        <v>203</v>
      </c>
      <c r="AN152" s="2" t="s">
        <v>1374</v>
      </c>
      <c r="AQ152" s="150">
        <v>6609.3</v>
      </c>
      <c r="AR152" s="150">
        <v>126.77</v>
      </c>
      <c r="AS152" s="150">
        <v>1</v>
      </c>
      <c r="AT152" s="150">
        <v>8.3789999999999996</v>
      </c>
      <c r="AU152" s="150">
        <v>8.3789999999999996</v>
      </c>
      <c r="AX152" s="4" t="s">
        <v>164</v>
      </c>
      <c r="AY152" s="2" t="s">
        <v>37</v>
      </c>
      <c r="AZ152" s="164">
        <v>6.3208629762472003E-3</v>
      </c>
      <c r="BA152" s="164">
        <v>5.9252794009688803E-5</v>
      </c>
    </row>
    <row r="153" spans="1:53">
      <c r="A153" s="2" t="s">
        <v>128</v>
      </c>
      <c r="B153" s="2">
        <v>7229</v>
      </c>
      <c r="C153" s="2" t="s">
        <v>1383</v>
      </c>
      <c r="D153" s="2" t="s">
        <v>34</v>
      </c>
      <c r="E153" s="2" t="s">
        <v>1504</v>
      </c>
      <c r="F153" s="2" t="s">
        <v>1505</v>
      </c>
      <c r="G153" s="2" t="s">
        <v>1083</v>
      </c>
      <c r="I153" s="2" t="s">
        <v>31</v>
      </c>
      <c r="J153" s="2" t="s">
        <v>31</v>
      </c>
      <c r="K153" s="2" t="s">
        <v>497</v>
      </c>
      <c r="L153" s="2" t="s">
        <v>164</v>
      </c>
      <c r="M153" s="2" t="s">
        <v>386</v>
      </c>
      <c r="N153" s="190" t="s">
        <v>1383</v>
      </c>
      <c r="O153" s="2" t="s">
        <v>1506</v>
      </c>
      <c r="P153" s="2" t="s">
        <v>1392</v>
      </c>
      <c r="Q153" s="2" t="s">
        <v>98</v>
      </c>
      <c r="R153" s="2" t="s">
        <v>453</v>
      </c>
      <c r="S153" s="2" t="s">
        <v>35</v>
      </c>
      <c r="T153" s="150">
        <v>3.21</v>
      </c>
      <c r="U153" s="2" t="s">
        <v>1393</v>
      </c>
      <c r="V153" s="162">
        <v>5.5E-2</v>
      </c>
      <c r="W153" s="2" t="s">
        <v>800</v>
      </c>
      <c r="X153" s="2" t="s">
        <v>954</v>
      </c>
      <c r="Y153" s="150">
        <v>5.5</v>
      </c>
      <c r="Z153" s="164">
        <v>2.998E-2</v>
      </c>
      <c r="AA153" s="2" t="s">
        <v>1389</v>
      </c>
      <c r="AB153" s="4" t="s">
        <v>458</v>
      </c>
      <c r="AC153" s="2" t="s">
        <v>529</v>
      </c>
      <c r="AD153" s="150">
        <v>936</v>
      </c>
      <c r="AE153" s="150">
        <v>0.78</v>
      </c>
      <c r="AF153" s="2" t="s">
        <v>1400</v>
      </c>
      <c r="AG153" s="2" t="s">
        <v>164</v>
      </c>
      <c r="AI153" s="2" t="s">
        <v>1401</v>
      </c>
      <c r="AJ153" s="2" t="s">
        <v>386</v>
      </c>
      <c r="AK153" s="2" t="s">
        <v>937</v>
      </c>
      <c r="AL153" s="2" t="s">
        <v>1373</v>
      </c>
      <c r="AN153" s="2" t="s">
        <v>1374</v>
      </c>
      <c r="AO153" s="2" t="s">
        <v>1400</v>
      </c>
      <c r="AP153" s="151">
        <v>0</v>
      </c>
      <c r="AQ153" s="150">
        <v>2900.68</v>
      </c>
      <c r="AR153" s="150">
        <v>124.99</v>
      </c>
      <c r="AS153" s="150">
        <v>1</v>
      </c>
      <c r="AT153" s="150">
        <v>3.6259999999999999</v>
      </c>
      <c r="AU153" s="150">
        <v>3.6259999999999999</v>
      </c>
      <c r="AX153" s="4" t="s">
        <v>164</v>
      </c>
      <c r="AY153" s="2" t="s">
        <v>37</v>
      </c>
      <c r="AZ153" s="164">
        <v>2.73513967221873E-3</v>
      </c>
      <c r="BA153" s="164">
        <v>2.5639642592272199E-5</v>
      </c>
    </row>
    <row r="154" spans="1:53">
      <c r="A154" s="2" t="s">
        <v>128</v>
      </c>
      <c r="B154" s="2">
        <v>7229</v>
      </c>
      <c r="C154" s="2" t="s">
        <v>1383</v>
      </c>
      <c r="D154" s="2" t="s">
        <v>34</v>
      </c>
      <c r="E154" s="2" t="s">
        <v>1507</v>
      </c>
      <c r="F154" s="2" t="s">
        <v>1508</v>
      </c>
      <c r="G154" s="2" t="s">
        <v>1083</v>
      </c>
      <c r="I154" s="2" t="s">
        <v>31</v>
      </c>
      <c r="J154" s="2" t="s">
        <v>31</v>
      </c>
      <c r="K154" s="2" t="s">
        <v>497</v>
      </c>
      <c r="L154" s="2" t="s">
        <v>164</v>
      </c>
      <c r="M154" s="2" t="s">
        <v>386</v>
      </c>
      <c r="N154" s="190" t="s">
        <v>1383</v>
      </c>
      <c r="O154" s="2" t="s">
        <v>1509</v>
      </c>
      <c r="P154" s="2" t="s">
        <v>1387</v>
      </c>
      <c r="Q154" s="2" t="s">
        <v>217</v>
      </c>
      <c r="R154" s="2" t="s">
        <v>453</v>
      </c>
      <c r="S154" s="2" t="s">
        <v>35</v>
      </c>
      <c r="T154" s="150">
        <v>3.46</v>
      </c>
      <c r="U154" s="2" t="s">
        <v>1393</v>
      </c>
      <c r="V154" s="162">
        <v>5.5E-2</v>
      </c>
      <c r="W154" s="2" t="s">
        <v>800</v>
      </c>
      <c r="X154" s="2" t="s">
        <v>954</v>
      </c>
      <c r="Y154" s="150">
        <v>5.5</v>
      </c>
      <c r="Z154" s="164">
        <v>3.2870000000000003E-2</v>
      </c>
      <c r="AA154" s="2" t="s">
        <v>1389</v>
      </c>
      <c r="AB154" s="4" t="s">
        <v>458</v>
      </c>
      <c r="AC154" s="2" t="s">
        <v>529</v>
      </c>
      <c r="AD154" s="150">
        <v>1524</v>
      </c>
      <c r="AE154" s="150">
        <v>0.78</v>
      </c>
      <c r="AF154" s="2" t="s">
        <v>1400</v>
      </c>
      <c r="AG154" s="2" t="s">
        <v>164</v>
      </c>
      <c r="AI154" s="2" t="s">
        <v>1401</v>
      </c>
      <c r="AJ154" s="2" t="s">
        <v>386</v>
      </c>
      <c r="AK154" s="2" t="s">
        <v>937</v>
      </c>
      <c r="AL154" s="2" t="s">
        <v>1373</v>
      </c>
      <c r="AN154" s="2" t="s">
        <v>1374</v>
      </c>
      <c r="AO154" s="2" t="s">
        <v>1400</v>
      </c>
      <c r="AP154" s="151">
        <v>0</v>
      </c>
      <c r="AQ154" s="150">
        <v>2707.84</v>
      </c>
      <c r="AR154" s="150">
        <v>125.3</v>
      </c>
      <c r="AS154" s="150">
        <v>1</v>
      </c>
      <c r="AT154" s="150">
        <v>3.3929999999999998</v>
      </c>
      <c r="AU154" s="150">
        <v>3.3929999999999998</v>
      </c>
      <c r="AX154" s="4" t="s">
        <v>164</v>
      </c>
      <c r="AY154" s="2" t="s">
        <v>37</v>
      </c>
      <c r="AZ154" s="164">
        <v>2.55963765553773E-3</v>
      </c>
      <c r="BA154" s="164">
        <v>2.3994458242957602E-5</v>
      </c>
    </row>
    <row r="155" spans="1:53">
      <c r="A155" s="2" t="s">
        <v>128</v>
      </c>
      <c r="B155" s="2">
        <v>7229</v>
      </c>
      <c r="C155" s="2" t="s">
        <v>1383</v>
      </c>
      <c r="D155" s="2" t="s">
        <v>34</v>
      </c>
      <c r="E155" s="2" t="s">
        <v>1510</v>
      </c>
      <c r="F155" s="2" t="s">
        <v>1511</v>
      </c>
      <c r="G155" s="2" t="s">
        <v>1083</v>
      </c>
      <c r="I155" s="2" t="s">
        <v>31</v>
      </c>
      <c r="J155" s="2" t="s">
        <v>31</v>
      </c>
      <c r="K155" s="2" t="s">
        <v>497</v>
      </c>
      <c r="L155" s="2" t="s">
        <v>164</v>
      </c>
      <c r="M155" s="2" t="s">
        <v>386</v>
      </c>
      <c r="N155" s="27" t="s">
        <v>1383</v>
      </c>
      <c r="O155" s="2" t="s">
        <v>1460</v>
      </c>
      <c r="P155" s="2" t="s">
        <v>1387</v>
      </c>
      <c r="Q155" s="2" t="s">
        <v>217</v>
      </c>
      <c r="R155" s="2" t="s">
        <v>453</v>
      </c>
      <c r="S155" s="2" t="s">
        <v>35</v>
      </c>
      <c r="T155" s="150">
        <v>3.48</v>
      </c>
      <c r="U155" s="2" t="s">
        <v>203</v>
      </c>
      <c r="V155" s="162">
        <v>5.5E-2</v>
      </c>
      <c r="W155" s="2" t="s">
        <v>800</v>
      </c>
      <c r="X155" s="2" t="s">
        <v>1388</v>
      </c>
      <c r="Y155" s="150">
        <v>5.5</v>
      </c>
      <c r="Z155" s="164">
        <v>3.2680000000000001E-2</v>
      </c>
      <c r="AA155" s="2" t="s">
        <v>1399</v>
      </c>
      <c r="AB155" s="4" t="s">
        <v>458</v>
      </c>
      <c r="AG155" s="2" t="s">
        <v>164</v>
      </c>
      <c r="AJ155" s="2" t="s">
        <v>164</v>
      </c>
      <c r="AK155" s="2" t="s">
        <v>203</v>
      </c>
      <c r="AN155" s="2" t="s">
        <v>1374</v>
      </c>
      <c r="AQ155" s="150">
        <v>3466.49</v>
      </c>
      <c r="AR155" s="150">
        <v>123.93</v>
      </c>
      <c r="AS155" s="150">
        <v>1</v>
      </c>
      <c r="AT155" s="150">
        <v>4.2960000000000003</v>
      </c>
      <c r="AU155" s="150">
        <v>4.2960000000000003</v>
      </c>
      <c r="AX155" s="4" t="s">
        <v>164</v>
      </c>
      <c r="AY155" s="2" t="s">
        <v>37</v>
      </c>
      <c r="AZ155" s="164">
        <v>3.2409387366562899E-3</v>
      </c>
      <c r="BA155" s="164">
        <v>3.0381085001012101E-5</v>
      </c>
    </row>
    <row r="156" spans="1:53">
      <c r="A156" s="2" t="s">
        <v>128</v>
      </c>
      <c r="B156" s="2">
        <v>7229</v>
      </c>
      <c r="C156" s="2" t="s">
        <v>1512</v>
      </c>
      <c r="D156" s="2" t="s">
        <v>34</v>
      </c>
      <c r="E156" s="2" t="s">
        <v>1513</v>
      </c>
      <c r="F156" s="2" t="s">
        <v>1514</v>
      </c>
      <c r="G156" s="2" t="s">
        <v>1083</v>
      </c>
      <c r="I156" s="2" t="s">
        <v>31</v>
      </c>
      <c r="J156" s="2" t="s">
        <v>31</v>
      </c>
      <c r="K156" s="2" t="s">
        <v>529</v>
      </c>
      <c r="L156" s="2" t="s">
        <v>164</v>
      </c>
      <c r="M156" s="2" t="s">
        <v>386</v>
      </c>
      <c r="N156" s="190">
        <v>513184192</v>
      </c>
      <c r="O156" s="2" t="s">
        <v>1515</v>
      </c>
      <c r="P156" s="2" t="s">
        <v>1392</v>
      </c>
      <c r="Q156" s="2" t="s">
        <v>98</v>
      </c>
      <c r="R156" s="2" t="s">
        <v>453</v>
      </c>
      <c r="S156" s="2" t="s">
        <v>35</v>
      </c>
      <c r="T156" s="150">
        <v>2.0299999999999998</v>
      </c>
      <c r="U156" s="2" t="s">
        <v>1393</v>
      </c>
      <c r="V156" s="162">
        <v>2.562E-2</v>
      </c>
      <c r="W156" s="2" t="s">
        <v>800</v>
      </c>
      <c r="X156" s="2" t="s">
        <v>954</v>
      </c>
      <c r="Y156" s="150">
        <v>2.5619999999999998</v>
      </c>
      <c r="Z156" s="164">
        <v>2.1350000000000001E-2</v>
      </c>
      <c r="AA156" s="2" t="s">
        <v>1516</v>
      </c>
      <c r="AB156" s="4" t="s">
        <v>458</v>
      </c>
      <c r="AG156" s="2" t="s">
        <v>164</v>
      </c>
      <c r="AI156" s="2" t="s">
        <v>1517</v>
      </c>
      <c r="AJ156" s="2" t="s">
        <v>386</v>
      </c>
      <c r="AK156" s="2" t="s">
        <v>937</v>
      </c>
      <c r="AL156" s="2" t="s">
        <v>1373</v>
      </c>
      <c r="AN156" s="2" t="s">
        <v>1374</v>
      </c>
      <c r="AQ156" s="150">
        <v>165572.01</v>
      </c>
      <c r="AR156" s="150">
        <v>113.36</v>
      </c>
      <c r="AS156" s="150">
        <v>1</v>
      </c>
      <c r="AT156" s="150">
        <v>187.69200000000001</v>
      </c>
      <c r="AU156" s="150">
        <v>187.69200000000001</v>
      </c>
      <c r="AX156" s="4" t="s">
        <v>164</v>
      </c>
      <c r="AY156" s="2" t="s">
        <v>37</v>
      </c>
      <c r="AZ156" s="164">
        <v>0.141596063108238</v>
      </c>
      <c r="BA156" s="164">
        <v>1.3273444451277401E-3</v>
      </c>
    </row>
    <row r="157" spans="1:53">
      <c r="A157" s="2" t="s">
        <v>128</v>
      </c>
      <c r="B157" s="2">
        <v>7229</v>
      </c>
      <c r="C157" s="2" t="s">
        <v>1528</v>
      </c>
      <c r="D157" s="2" t="s">
        <v>1376</v>
      </c>
      <c r="E157" s="2" t="s">
        <v>1529</v>
      </c>
      <c r="F157" s="2" t="s">
        <v>1530</v>
      </c>
      <c r="G157" s="2" t="s">
        <v>1083</v>
      </c>
      <c r="H157" s="2" t="s">
        <v>866</v>
      </c>
      <c r="I157" s="2" t="s">
        <v>31</v>
      </c>
      <c r="J157" s="2" t="s">
        <v>31</v>
      </c>
      <c r="K157" s="2" t="s">
        <v>507</v>
      </c>
      <c r="L157" s="2" t="s">
        <v>164</v>
      </c>
      <c r="M157" s="2" t="s">
        <v>386</v>
      </c>
      <c r="N157" s="190" t="s">
        <v>1365</v>
      </c>
      <c r="O157" s="2" t="s">
        <v>1369</v>
      </c>
      <c r="P157" s="2" t="s">
        <v>1531</v>
      </c>
      <c r="Q157" s="2" t="s">
        <v>217</v>
      </c>
      <c r="R157" s="2" t="s">
        <v>453</v>
      </c>
      <c r="S157" s="2" t="s">
        <v>35</v>
      </c>
      <c r="T157" s="150">
        <v>0.53</v>
      </c>
      <c r="U157" s="2" t="s">
        <v>1393</v>
      </c>
      <c r="V157" s="162">
        <v>4.2500000000000003E-2</v>
      </c>
      <c r="W157" s="2" t="s">
        <v>800</v>
      </c>
      <c r="X157" s="2" t="s">
        <v>949</v>
      </c>
      <c r="Y157" s="150">
        <v>4.25</v>
      </c>
      <c r="Z157" s="164">
        <v>7.6039999999999996E-2</v>
      </c>
      <c r="AA157" s="2" t="s">
        <v>1532</v>
      </c>
      <c r="AB157" s="4" t="s">
        <v>458</v>
      </c>
      <c r="AC157" s="2" t="s">
        <v>819</v>
      </c>
      <c r="AD157" s="150">
        <v>67322</v>
      </c>
      <c r="AE157" s="150">
        <v>0.72</v>
      </c>
      <c r="AF157" s="2" t="s">
        <v>1533</v>
      </c>
      <c r="AG157" s="2" t="s">
        <v>386</v>
      </c>
      <c r="AH157" s="2" t="s">
        <v>828</v>
      </c>
      <c r="AI157" s="2" t="s">
        <v>1372</v>
      </c>
      <c r="AJ157" s="2" t="s">
        <v>386</v>
      </c>
      <c r="AK157" s="2" t="s">
        <v>937</v>
      </c>
      <c r="AL157" s="2" t="s">
        <v>1373</v>
      </c>
      <c r="AN157" s="2" t="s">
        <v>1374</v>
      </c>
      <c r="AO157" s="2" t="s">
        <v>1533</v>
      </c>
      <c r="AP157" s="151">
        <v>0</v>
      </c>
      <c r="AQ157" s="150">
        <v>325000</v>
      </c>
      <c r="AR157" s="150">
        <v>104.5</v>
      </c>
      <c r="AS157" s="150">
        <v>1</v>
      </c>
      <c r="AT157" s="150">
        <v>339.625</v>
      </c>
      <c r="AU157" s="150">
        <v>339.625</v>
      </c>
      <c r="AX157" s="4" t="s">
        <v>386</v>
      </c>
      <c r="AY157" s="2" t="s">
        <v>37</v>
      </c>
      <c r="AZ157" s="164">
        <v>0.25621471678854801</v>
      </c>
      <c r="BA157" s="164">
        <v>2.4017982818441098E-3</v>
      </c>
    </row>
    <row r="158" spans="1:53">
      <c r="A158" s="2" t="s">
        <v>128</v>
      </c>
      <c r="B158" s="2">
        <v>7229</v>
      </c>
      <c r="C158" s="2" t="s">
        <v>1534</v>
      </c>
      <c r="D158" s="2" t="s">
        <v>1376</v>
      </c>
      <c r="E158" s="2" t="s">
        <v>1535</v>
      </c>
      <c r="F158" s="2" t="s">
        <v>1536</v>
      </c>
      <c r="G158" s="2" t="s">
        <v>1083</v>
      </c>
      <c r="I158" s="2" t="s">
        <v>31</v>
      </c>
      <c r="J158" s="2" t="s">
        <v>31</v>
      </c>
      <c r="K158" s="2" t="s">
        <v>484</v>
      </c>
      <c r="L158" s="2" t="s">
        <v>164</v>
      </c>
      <c r="M158" s="2" t="s">
        <v>386</v>
      </c>
      <c r="N158" s="190">
        <v>512065202</v>
      </c>
      <c r="O158" s="2" t="s">
        <v>1537</v>
      </c>
      <c r="P158" s="2" t="s">
        <v>1523</v>
      </c>
      <c r="Q158" s="2" t="s">
        <v>203</v>
      </c>
      <c r="R158" s="2" t="s">
        <v>453</v>
      </c>
      <c r="S158" s="2" t="s">
        <v>35</v>
      </c>
      <c r="T158" s="150">
        <v>3.16</v>
      </c>
      <c r="U158" s="2" t="s">
        <v>203</v>
      </c>
      <c r="V158" s="162">
        <v>7.2499999999999995E-2</v>
      </c>
      <c r="W158" s="2" t="s">
        <v>800</v>
      </c>
      <c r="X158" s="2" t="s">
        <v>954</v>
      </c>
      <c r="Y158" s="150">
        <v>7.25</v>
      </c>
      <c r="Z158" s="164">
        <v>0.13708999999999999</v>
      </c>
      <c r="AA158" s="2" t="s">
        <v>1538</v>
      </c>
      <c r="AB158" s="4" t="s">
        <v>458</v>
      </c>
      <c r="AG158" s="2" t="s">
        <v>386</v>
      </c>
      <c r="AI158" s="2" t="s">
        <v>1539</v>
      </c>
      <c r="AJ158" s="2" t="s">
        <v>386</v>
      </c>
      <c r="AK158" s="2" t="s">
        <v>937</v>
      </c>
      <c r="AL158" s="2" t="s">
        <v>1373</v>
      </c>
      <c r="AN158" s="2" t="s">
        <v>1374</v>
      </c>
      <c r="AQ158" s="150">
        <v>73904</v>
      </c>
      <c r="AR158" s="150">
        <v>99.78</v>
      </c>
      <c r="AS158" s="150">
        <v>1</v>
      </c>
      <c r="AT158" s="150">
        <v>73.741</v>
      </c>
      <c r="AU158" s="150">
        <v>73.741</v>
      </c>
      <c r="AX158" s="4" t="s">
        <v>386</v>
      </c>
      <c r="AY158" s="2" t="s">
        <v>37</v>
      </c>
      <c r="AZ158" s="164">
        <v>5.5630871656079099E-2</v>
      </c>
      <c r="BA158" s="164">
        <v>5.2149280742265795E-4</v>
      </c>
    </row>
    <row r="159" spans="1:53">
      <c r="A159" s="2" t="s">
        <v>128</v>
      </c>
      <c r="B159" s="2">
        <v>7229</v>
      </c>
      <c r="C159" s="2" t="s">
        <v>1548</v>
      </c>
      <c r="D159" s="2" t="s">
        <v>1376</v>
      </c>
      <c r="E159" s="2" t="s">
        <v>1549</v>
      </c>
      <c r="F159" s="2" t="s">
        <v>1550</v>
      </c>
      <c r="G159" s="2" t="s">
        <v>1083</v>
      </c>
      <c r="I159" s="2" t="s">
        <v>31</v>
      </c>
      <c r="J159" s="2" t="s">
        <v>31</v>
      </c>
      <c r="K159" s="2" t="s">
        <v>483</v>
      </c>
      <c r="L159" s="2" t="s">
        <v>164</v>
      </c>
      <c r="M159" s="2" t="s">
        <v>386</v>
      </c>
      <c r="N159" s="190">
        <v>513846667</v>
      </c>
      <c r="O159" s="2" t="s">
        <v>1379</v>
      </c>
      <c r="P159" s="2" t="s">
        <v>1380</v>
      </c>
      <c r="Q159" s="2" t="s">
        <v>98</v>
      </c>
      <c r="R159" s="2" t="s">
        <v>453</v>
      </c>
      <c r="S159" s="2" t="s">
        <v>35</v>
      </c>
      <c r="T159" s="150">
        <v>5.0999999999999996</v>
      </c>
      <c r="U159" s="2" t="s">
        <v>203</v>
      </c>
      <c r="V159" s="162">
        <v>3.5499999999999997E-2</v>
      </c>
      <c r="W159" s="2" t="s">
        <v>800</v>
      </c>
      <c r="X159" s="2" t="s">
        <v>954</v>
      </c>
      <c r="Y159" s="150">
        <v>3.55</v>
      </c>
      <c r="Z159" s="164">
        <v>3.058E-2</v>
      </c>
      <c r="AA159" s="2" t="s">
        <v>1381</v>
      </c>
      <c r="AB159" s="4" t="s">
        <v>458</v>
      </c>
      <c r="AG159" s="2" t="s">
        <v>164</v>
      </c>
      <c r="AI159" s="2" t="s">
        <v>1382</v>
      </c>
      <c r="AJ159" s="2" t="s">
        <v>386</v>
      </c>
      <c r="AK159" s="2" t="s">
        <v>937</v>
      </c>
      <c r="AL159" s="2" t="s">
        <v>1373</v>
      </c>
      <c r="AN159" s="2" t="s">
        <v>1374</v>
      </c>
      <c r="AQ159" s="150">
        <v>269113.71000000002</v>
      </c>
      <c r="AR159" s="150">
        <v>107.9</v>
      </c>
      <c r="AS159" s="150">
        <v>1</v>
      </c>
      <c r="AT159" s="150">
        <v>290.37400000000002</v>
      </c>
      <c r="AU159" s="150">
        <v>290.37400000000002</v>
      </c>
      <c r="AX159" s="4" t="s">
        <v>164</v>
      </c>
      <c r="AY159" s="2" t="s">
        <v>37</v>
      </c>
      <c r="AZ159" s="164">
        <v>0.219059296394256</v>
      </c>
      <c r="BA159" s="164">
        <v>2.0534973490063798E-3</v>
      </c>
    </row>
    <row r="160" spans="1:53">
      <c r="A160" s="2" t="s">
        <v>144</v>
      </c>
      <c r="B160" s="2">
        <v>969</v>
      </c>
      <c r="C160" s="2" t="s">
        <v>1365</v>
      </c>
      <c r="D160" s="2" t="s">
        <v>34</v>
      </c>
      <c r="E160" s="2" t="s">
        <v>1366</v>
      </c>
      <c r="F160" s="2" t="s">
        <v>1367</v>
      </c>
      <c r="G160" s="2" t="s">
        <v>1083</v>
      </c>
      <c r="I160" s="2" t="s">
        <v>31</v>
      </c>
      <c r="J160" s="2" t="s">
        <v>31</v>
      </c>
      <c r="K160" s="2" t="s">
        <v>492</v>
      </c>
      <c r="L160" s="2" t="s">
        <v>164</v>
      </c>
      <c r="M160" s="2" t="s">
        <v>386</v>
      </c>
      <c r="N160" s="190">
        <v>514984558</v>
      </c>
      <c r="O160" s="2" t="s">
        <v>1369</v>
      </c>
      <c r="P160" s="2" t="s">
        <v>1370</v>
      </c>
      <c r="Q160" s="2" t="s">
        <v>98</v>
      </c>
      <c r="R160" s="2" t="s">
        <v>453</v>
      </c>
      <c r="S160" s="2" t="s">
        <v>35</v>
      </c>
      <c r="T160" s="150">
        <v>1.71</v>
      </c>
      <c r="U160" s="2" t="s">
        <v>203</v>
      </c>
      <c r="V160" s="162">
        <v>5.5E-2</v>
      </c>
      <c r="W160" s="2" t="s">
        <v>800</v>
      </c>
      <c r="X160" s="2" t="s">
        <v>954</v>
      </c>
      <c r="Y160" s="150">
        <v>5.5</v>
      </c>
      <c r="Z160" s="164">
        <v>0.25139</v>
      </c>
      <c r="AA160" s="2" t="s">
        <v>1371</v>
      </c>
      <c r="AB160" s="4" t="s">
        <v>458</v>
      </c>
      <c r="AG160" s="2" t="s">
        <v>386</v>
      </c>
      <c r="AH160" s="2" t="s">
        <v>828</v>
      </c>
      <c r="AI160" s="2" t="s">
        <v>1372</v>
      </c>
      <c r="AJ160" s="2" t="s">
        <v>386</v>
      </c>
      <c r="AK160" s="2" t="s">
        <v>937</v>
      </c>
      <c r="AL160" s="2" t="s">
        <v>1373</v>
      </c>
      <c r="AN160" s="2" t="s">
        <v>1374</v>
      </c>
      <c r="AQ160" s="150">
        <v>61765</v>
      </c>
      <c r="AR160" s="150">
        <v>77.09</v>
      </c>
      <c r="AS160" s="150">
        <v>1</v>
      </c>
      <c r="AT160" s="150">
        <v>47.615000000000002</v>
      </c>
      <c r="AU160" s="150">
        <v>47.615000000000002</v>
      </c>
      <c r="AX160" s="4" t="s">
        <v>386</v>
      </c>
      <c r="AY160" s="2" t="s">
        <v>37</v>
      </c>
      <c r="AZ160" s="164">
        <v>5.0794046169327998E-2</v>
      </c>
      <c r="BA160" s="164">
        <v>6.4557485209178395E-4</v>
      </c>
    </row>
    <row r="161" spans="1:53">
      <c r="A161" s="2" t="s">
        <v>144</v>
      </c>
      <c r="B161" s="2">
        <v>969</v>
      </c>
      <c r="C161" s="2" t="s">
        <v>1375</v>
      </c>
      <c r="D161" s="2" t="s">
        <v>1376</v>
      </c>
      <c r="E161" s="2" t="s">
        <v>1377</v>
      </c>
      <c r="F161" s="2" t="s">
        <v>1378</v>
      </c>
      <c r="G161" s="2" t="s">
        <v>1083</v>
      </c>
      <c r="I161" s="2" t="s">
        <v>31</v>
      </c>
      <c r="J161" s="2" t="s">
        <v>31</v>
      </c>
      <c r="K161" s="2" t="s">
        <v>483</v>
      </c>
      <c r="L161" s="2" t="s">
        <v>164</v>
      </c>
      <c r="M161" s="2" t="s">
        <v>386</v>
      </c>
      <c r="N161" s="190">
        <v>513846667</v>
      </c>
      <c r="O161" s="2" t="s">
        <v>1379</v>
      </c>
      <c r="P161" s="2" t="s">
        <v>1380</v>
      </c>
      <c r="Q161" s="2" t="s">
        <v>98</v>
      </c>
      <c r="R161" s="2" t="s">
        <v>453</v>
      </c>
      <c r="S161" s="2" t="s">
        <v>35</v>
      </c>
      <c r="T161" s="150">
        <v>4.74</v>
      </c>
      <c r="U161" s="2" t="s">
        <v>203</v>
      </c>
      <c r="V161" s="162">
        <v>3.5499999999999997E-2</v>
      </c>
      <c r="W161" s="2" t="s">
        <v>800</v>
      </c>
      <c r="X161" s="2" t="s">
        <v>954</v>
      </c>
      <c r="Y161" s="150">
        <v>3.55</v>
      </c>
      <c r="Z161" s="164">
        <v>6.046E-2</v>
      </c>
      <c r="AA161" s="2" t="s">
        <v>1381</v>
      </c>
      <c r="AB161" s="4" t="s">
        <v>458</v>
      </c>
      <c r="AG161" s="2" t="s">
        <v>164</v>
      </c>
      <c r="AI161" s="2" t="s">
        <v>1382</v>
      </c>
      <c r="AJ161" s="2" t="s">
        <v>386</v>
      </c>
      <c r="AK161" s="2" t="s">
        <v>937</v>
      </c>
      <c r="AL161" s="2" t="s">
        <v>1373</v>
      </c>
      <c r="AN161" s="2" t="s">
        <v>1374</v>
      </c>
      <c r="AQ161" s="150">
        <v>80876.03</v>
      </c>
      <c r="AR161" s="150">
        <v>107.76</v>
      </c>
      <c r="AS161" s="150">
        <v>1</v>
      </c>
      <c r="AT161" s="150">
        <v>87.152000000000001</v>
      </c>
      <c r="AU161" s="150">
        <v>87.152000000000001</v>
      </c>
      <c r="AX161" s="4" t="s">
        <v>164</v>
      </c>
      <c r="AY161" s="2" t="s">
        <v>37</v>
      </c>
      <c r="AZ161" s="164">
        <v>9.2971475905095205E-2</v>
      </c>
      <c r="BA161" s="164">
        <v>1.1816354736951401E-3</v>
      </c>
    </row>
    <row r="162" spans="1:53">
      <c r="A162" s="2" t="s">
        <v>144</v>
      </c>
      <c r="B162" s="2">
        <v>969</v>
      </c>
      <c r="C162" s="2" t="s">
        <v>1383</v>
      </c>
      <c r="D162" s="2" t="s">
        <v>34</v>
      </c>
      <c r="E162" s="2" t="s">
        <v>1384</v>
      </c>
      <c r="F162" s="2" t="s">
        <v>1385</v>
      </c>
      <c r="G162" s="2" t="s">
        <v>1083</v>
      </c>
      <c r="I162" s="2" t="s">
        <v>31</v>
      </c>
      <c r="J162" s="2" t="s">
        <v>31</v>
      </c>
      <c r="K162" s="2" t="s">
        <v>497</v>
      </c>
      <c r="L162" s="2" t="s">
        <v>164</v>
      </c>
      <c r="M162" s="2" t="s">
        <v>386</v>
      </c>
      <c r="N162" s="27" t="s">
        <v>1383</v>
      </c>
      <c r="O162" s="2" t="s">
        <v>1386</v>
      </c>
      <c r="P162" s="2" t="s">
        <v>1387</v>
      </c>
      <c r="Q162" s="2" t="s">
        <v>217</v>
      </c>
      <c r="R162" s="2" t="s">
        <v>453</v>
      </c>
      <c r="S162" s="2" t="s">
        <v>35</v>
      </c>
      <c r="T162" s="150">
        <v>3.2</v>
      </c>
      <c r="U162" s="2" t="s">
        <v>203</v>
      </c>
      <c r="V162" s="162">
        <v>5.5E-2</v>
      </c>
      <c r="W162" s="2" t="s">
        <v>800</v>
      </c>
      <c r="X162" s="2" t="s">
        <v>1388</v>
      </c>
      <c r="Y162" s="150">
        <v>5.5</v>
      </c>
      <c r="Z162" s="164">
        <v>3.2500000000000001E-2</v>
      </c>
      <c r="AA162" s="2" t="s">
        <v>1389</v>
      </c>
      <c r="AB162" s="4" t="s">
        <v>458</v>
      </c>
      <c r="AG162" s="2" t="s">
        <v>164</v>
      </c>
      <c r="AJ162" s="2" t="s">
        <v>164</v>
      </c>
      <c r="AK162" s="2" t="s">
        <v>203</v>
      </c>
      <c r="AN162" s="2" t="s">
        <v>1374</v>
      </c>
      <c r="AQ162" s="150">
        <v>2985.06</v>
      </c>
      <c r="AR162" s="150">
        <v>120.53</v>
      </c>
      <c r="AS162" s="150">
        <v>1</v>
      </c>
      <c r="AT162" s="150">
        <v>3.5979999999999999</v>
      </c>
      <c r="AU162" s="150">
        <v>3.5979999999999999</v>
      </c>
      <c r="AX162" s="4" t="s">
        <v>164</v>
      </c>
      <c r="AY162" s="2" t="s">
        <v>37</v>
      </c>
      <c r="AZ162" s="164">
        <v>3.8381375910222599E-3</v>
      </c>
      <c r="BA162" s="164">
        <v>4.8781408344041997E-5</v>
      </c>
    </row>
    <row r="163" spans="1:53">
      <c r="A163" s="2" t="s">
        <v>144</v>
      </c>
      <c r="B163" s="2">
        <v>969</v>
      </c>
      <c r="C163" s="2" t="s">
        <v>1383</v>
      </c>
      <c r="D163" s="2" t="s">
        <v>34</v>
      </c>
      <c r="E163" s="2" t="s">
        <v>1390</v>
      </c>
      <c r="F163" s="2" t="s">
        <v>1391</v>
      </c>
      <c r="G163" s="2" t="s">
        <v>1083</v>
      </c>
      <c r="I163" s="2" t="s">
        <v>31</v>
      </c>
      <c r="J163" s="2" t="s">
        <v>31</v>
      </c>
      <c r="K163" s="2" t="s">
        <v>497</v>
      </c>
      <c r="L163" s="2" t="s">
        <v>164</v>
      </c>
      <c r="M163" s="2" t="s">
        <v>386</v>
      </c>
      <c r="N163" s="27" t="s">
        <v>1383</v>
      </c>
      <c r="O163" s="2" t="s">
        <v>1386</v>
      </c>
      <c r="P163" s="2" t="s">
        <v>1392</v>
      </c>
      <c r="Q163" s="2" t="s">
        <v>98</v>
      </c>
      <c r="R163" s="2" t="s">
        <v>453</v>
      </c>
      <c r="S163" s="2" t="s">
        <v>35</v>
      </c>
      <c r="T163" s="150">
        <v>3.22</v>
      </c>
      <c r="U163" s="2" t="s">
        <v>1393</v>
      </c>
      <c r="V163" s="162">
        <v>5.5E-2</v>
      </c>
      <c r="W163" s="2" t="s">
        <v>800</v>
      </c>
      <c r="X163" s="2" t="s">
        <v>1388</v>
      </c>
      <c r="Y163" s="150">
        <v>5.5</v>
      </c>
      <c r="Z163" s="164">
        <v>2.5940000000000001E-2</v>
      </c>
      <c r="AA163" s="2" t="s">
        <v>1389</v>
      </c>
      <c r="AB163" s="4" t="s">
        <v>458</v>
      </c>
      <c r="AG163" s="2" t="s">
        <v>164</v>
      </c>
      <c r="AJ163" s="2" t="s">
        <v>164</v>
      </c>
      <c r="AK163" s="2" t="s">
        <v>203</v>
      </c>
      <c r="AN163" s="2" t="s">
        <v>1374</v>
      </c>
      <c r="AQ163" s="150">
        <v>4300.01</v>
      </c>
      <c r="AR163" s="150">
        <v>124.99</v>
      </c>
      <c r="AS163" s="150">
        <v>1</v>
      </c>
      <c r="AT163" s="150">
        <v>5.375</v>
      </c>
      <c r="AU163" s="150">
        <v>5.375</v>
      </c>
      <c r="AX163" s="4" t="s">
        <v>164</v>
      </c>
      <c r="AY163" s="2" t="s">
        <v>37</v>
      </c>
      <c r="AZ163" s="164">
        <v>5.7334634934814999E-3</v>
      </c>
      <c r="BA163" s="164">
        <v>7.2870348513661803E-5</v>
      </c>
    </row>
    <row r="164" spans="1:53">
      <c r="A164" s="2" t="s">
        <v>144</v>
      </c>
      <c r="B164" s="2">
        <v>969</v>
      </c>
      <c r="C164" s="2" t="s">
        <v>1383</v>
      </c>
      <c r="D164" s="2" t="s">
        <v>34</v>
      </c>
      <c r="E164" s="2" t="s">
        <v>1394</v>
      </c>
      <c r="F164" s="2" t="s">
        <v>1395</v>
      </c>
      <c r="G164" s="2" t="s">
        <v>1083</v>
      </c>
      <c r="I164" s="2" t="s">
        <v>31</v>
      </c>
      <c r="J164" s="2" t="s">
        <v>31</v>
      </c>
      <c r="K164" s="2" t="s">
        <v>497</v>
      </c>
      <c r="L164" s="2" t="s">
        <v>164</v>
      </c>
      <c r="M164" s="2" t="s">
        <v>386</v>
      </c>
      <c r="N164" s="27" t="s">
        <v>1383</v>
      </c>
      <c r="O164" s="2" t="s">
        <v>1386</v>
      </c>
      <c r="P164" s="2" t="s">
        <v>1392</v>
      </c>
      <c r="Q164" s="2" t="s">
        <v>98</v>
      </c>
      <c r="R164" s="2" t="s">
        <v>453</v>
      </c>
      <c r="S164" s="2" t="s">
        <v>35</v>
      </c>
      <c r="T164" s="150">
        <v>3.23</v>
      </c>
      <c r="U164" s="2" t="s">
        <v>1393</v>
      </c>
      <c r="V164" s="162">
        <v>5.5E-2</v>
      </c>
      <c r="W164" s="2" t="s">
        <v>800</v>
      </c>
      <c r="X164" s="2" t="s">
        <v>1388</v>
      </c>
      <c r="Y164" s="150">
        <v>5.5</v>
      </c>
      <c r="Z164" s="164">
        <v>2.5340000000000001E-2</v>
      </c>
      <c r="AA164" s="2" t="s">
        <v>1389</v>
      </c>
      <c r="AB164" s="4" t="s">
        <v>458</v>
      </c>
      <c r="AG164" s="2" t="s">
        <v>164</v>
      </c>
      <c r="AJ164" s="2" t="s">
        <v>164</v>
      </c>
      <c r="AK164" s="2" t="s">
        <v>203</v>
      </c>
      <c r="AN164" s="2" t="s">
        <v>1374</v>
      </c>
      <c r="AQ164" s="150">
        <v>473.78</v>
      </c>
      <c r="AR164" s="150">
        <v>124.99</v>
      </c>
      <c r="AS164" s="150">
        <v>1</v>
      </c>
      <c r="AT164" s="150">
        <v>0.59199999999999997</v>
      </c>
      <c r="AU164" s="150">
        <v>0.59199999999999997</v>
      </c>
      <c r="AX164" s="4" t="s">
        <v>164</v>
      </c>
      <c r="AY164" s="2" t="s">
        <v>37</v>
      </c>
      <c r="AZ164" s="164">
        <v>6.3171953877820303E-4</v>
      </c>
      <c r="BA164" s="164">
        <v>8.0289380068424602E-6</v>
      </c>
    </row>
    <row r="165" spans="1:53">
      <c r="A165" s="2" t="s">
        <v>144</v>
      </c>
      <c r="B165" s="2">
        <v>969</v>
      </c>
      <c r="C165" s="2" t="s">
        <v>1383</v>
      </c>
      <c r="D165" s="2" t="s">
        <v>34</v>
      </c>
      <c r="E165" s="2" t="s">
        <v>1396</v>
      </c>
      <c r="F165" s="2" t="s">
        <v>1397</v>
      </c>
      <c r="G165" s="2" t="s">
        <v>1083</v>
      </c>
      <c r="I165" s="2" t="s">
        <v>31</v>
      </c>
      <c r="J165" s="2" t="s">
        <v>31</v>
      </c>
      <c r="K165" s="2" t="s">
        <v>497</v>
      </c>
      <c r="L165" s="2" t="s">
        <v>164</v>
      </c>
      <c r="M165" s="2" t="s">
        <v>386</v>
      </c>
      <c r="N165" s="27" t="s">
        <v>1383</v>
      </c>
      <c r="O165" s="2" t="s">
        <v>1398</v>
      </c>
      <c r="P165" s="2" t="s">
        <v>1392</v>
      </c>
      <c r="Q165" s="2" t="s">
        <v>98</v>
      </c>
      <c r="R165" s="2" t="s">
        <v>453</v>
      </c>
      <c r="S165" s="2" t="s">
        <v>35</v>
      </c>
      <c r="T165" s="150">
        <v>3.33</v>
      </c>
      <c r="U165" s="2" t="s">
        <v>203</v>
      </c>
      <c r="V165" s="162">
        <v>5.5300000000000002E-2</v>
      </c>
      <c r="W165" s="2" t="s">
        <v>800</v>
      </c>
      <c r="X165" s="2" t="s">
        <v>954</v>
      </c>
      <c r="Y165" s="150">
        <v>5.53</v>
      </c>
      <c r="Z165" s="164">
        <v>2.9010000000000001E-2</v>
      </c>
      <c r="AA165" s="2" t="s">
        <v>1399</v>
      </c>
      <c r="AB165" s="4" t="s">
        <v>458</v>
      </c>
      <c r="AC165" s="2" t="s">
        <v>529</v>
      </c>
      <c r="AD165" s="150">
        <v>4791</v>
      </c>
      <c r="AE165" s="150">
        <v>0.78</v>
      </c>
      <c r="AF165" s="2" t="s">
        <v>1400</v>
      </c>
      <c r="AG165" s="2" t="s">
        <v>164</v>
      </c>
      <c r="AI165" s="2" t="s">
        <v>1401</v>
      </c>
      <c r="AJ165" s="2" t="s">
        <v>386</v>
      </c>
      <c r="AK165" s="2" t="s">
        <v>937</v>
      </c>
      <c r="AL165" s="2" t="s">
        <v>1373</v>
      </c>
      <c r="AN165" s="2" t="s">
        <v>1374</v>
      </c>
      <c r="AO165" s="2" t="s">
        <v>1400</v>
      </c>
      <c r="AP165" s="151">
        <v>0</v>
      </c>
      <c r="AQ165" s="150">
        <v>5921</v>
      </c>
      <c r="AR165" s="150">
        <v>126.56</v>
      </c>
      <c r="AS165" s="150">
        <v>1</v>
      </c>
      <c r="AT165" s="150">
        <v>7.4939999999999998</v>
      </c>
      <c r="AU165" s="150">
        <v>7.4939999999999998</v>
      </c>
      <c r="AX165" s="4" t="s">
        <v>164</v>
      </c>
      <c r="AY165" s="2" t="s">
        <v>37</v>
      </c>
      <c r="AZ165" s="164">
        <v>7.9939945012853404E-3</v>
      </c>
      <c r="BA165" s="164">
        <v>1.01600919930378E-4</v>
      </c>
    </row>
    <row r="166" spans="1:53">
      <c r="A166" s="2" t="s">
        <v>144</v>
      </c>
      <c r="B166" s="2">
        <v>969</v>
      </c>
      <c r="C166" s="2" t="s">
        <v>1383</v>
      </c>
      <c r="D166" s="2" t="s">
        <v>34</v>
      </c>
      <c r="E166" s="2" t="s">
        <v>1402</v>
      </c>
      <c r="F166" s="2" t="s">
        <v>1403</v>
      </c>
      <c r="G166" s="2" t="s">
        <v>1083</v>
      </c>
      <c r="I166" s="2" t="s">
        <v>31</v>
      </c>
      <c r="J166" s="2" t="s">
        <v>31</v>
      </c>
      <c r="K166" s="2" t="s">
        <v>497</v>
      </c>
      <c r="L166" s="2" t="s">
        <v>164</v>
      </c>
      <c r="M166" s="2" t="s">
        <v>386</v>
      </c>
      <c r="N166" s="190" t="s">
        <v>1383</v>
      </c>
      <c r="O166" s="2" t="s">
        <v>1404</v>
      </c>
      <c r="P166" s="2" t="s">
        <v>1392</v>
      </c>
      <c r="Q166" s="2" t="s">
        <v>98</v>
      </c>
      <c r="R166" s="2" t="s">
        <v>453</v>
      </c>
      <c r="S166" s="2" t="s">
        <v>35</v>
      </c>
      <c r="T166" s="150">
        <v>3.33</v>
      </c>
      <c r="U166" s="2" t="s">
        <v>203</v>
      </c>
      <c r="V166" s="162">
        <v>5.5301000000000003E-2</v>
      </c>
      <c r="W166" s="2" t="s">
        <v>800</v>
      </c>
      <c r="X166" s="2" t="s">
        <v>954</v>
      </c>
      <c r="Y166" s="150">
        <v>5.5301</v>
      </c>
      <c r="Z166" s="164">
        <v>2.9010000000000001E-2</v>
      </c>
      <c r="AA166" s="2" t="s">
        <v>1399</v>
      </c>
      <c r="AB166" s="4" t="s">
        <v>458</v>
      </c>
      <c r="AC166" s="2" t="s">
        <v>529</v>
      </c>
      <c r="AD166" s="150">
        <v>4596</v>
      </c>
      <c r="AE166" s="150">
        <v>0.78</v>
      </c>
      <c r="AF166" s="2" t="s">
        <v>1400</v>
      </c>
      <c r="AG166" s="2" t="s">
        <v>164</v>
      </c>
      <c r="AI166" s="2" t="s">
        <v>1401</v>
      </c>
      <c r="AJ166" s="2" t="s">
        <v>386</v>
      </c>
      <c r="AK166" s="2" t="s">
        <v>937</v>
      </c>
      <c r="AL166" s="2" t="s">
        <v>1373</v>
      </c>
      <c r="AN166" s="2" t="s">
        <v>1374</v>
      </c>
      <c r="AO166" s="2" t="s">
        <v>1400</v>
      </c>
      <c r="AP166" s="151">
        <v>0</v>
      </c>
      <c r="AQ166" s="150">
        <v>5680.66</v>
      </c>
      <c r="AR166" s="150">
        <v>126.56</v>
      </c>
      <c r="AS166" s="150">
        <v>1</v>
      </c>
      <c r="AT166" s="150">
        <v>7.1890000000000001</v>
      </c>
      <c r="AU166" s="150">
        <v>7.1890000000000001</v>
      </c>
      <c r="AX166" s="4" t="s">
        <v>164</v>
      </c>
      <c r="AY166" s="2" t="s">
        <v>37</v>
      </c>
      <c r="AZ166" s="164">
        <v>7.6695093402586699E-3</v>
      </c>
      <c r="BA166" s="164">
        <v>9.7476825166644296E-5</v>
      </c>
    </row>
    <row r="167" spans="1:53">
      <c r="A167" s="2" t="s">
        <v>144</v>
      </c>
      <c r="B167" s="2">
        <v>969</v>
      </c>
      <c r="C167" s="2" t="s">
        <v>1383</v>
      </c>
      <c r="D167" s="2" t="s">
        <v>34</v>
      </c>
      <c r="E167" s="2" t="s">
        <v>1405</v>
      </c>
      <c r="F167" s="2" t="s">
        <v>1406</v>
      </c>
      <c r="G167" s="2" t="s">
        <v>1083</v>
      </c>
      <c r="I167" s="2" t="s">
        <v>31</v>
      </c>
      <c r="J167" s="2" t="s">
        <v>31</v>
      </c>
      <c r="K167" s="2" t="s">
        <v>497</v>
      </c>
      <c r="L167" s="2" t="s">
        <v>164</v>
      </c>
      <c r="M167" s="2" t="s">
        <v>386</v>
      </c>
      <c r="N167" s="190" t="s">
        <v>1383</v>
      </c>
      <c r="O167" s="2" t="s">
        <v>1407</v>
      </c>
      <c r="P167" s="2" t="s">
        <v>1392</v>
      </c>
      <c r="Q167" s="2" t="s">
        <v>98</v>
      </c>
      <c r="R167" s="2" t="s">
        <v>453</v>
      </c>
      <c r="S167" s="2" t="s">
        <v>35</v>
      </c>
      <c r="T167" s="150">
        <v>3.33</v>
      </c>
      <c r="U167" s="2" t="s">
        <v>203</v>
      </c>
      <c r="V167" s="162">
        <v>5.5300000000000002E-2</v>
      </c>
      <c r="W167" s="2" t="s">
        <v>800</v>
      </c>
      <c r="X167" s="2" t="s">
        <v>954</v>
      </c>
      <c r="Y167" s="150">
        <v>5.53</v>
      </c>
      <c r="Z167" s="164">
        <v>2.9000000000000001E-2</v>
      </c>
      <c r="AA167" s="2" t="s">
        <v>1399</v>
      </c>
      <c r="AB167" s="4" t="s">
        <v>458</v>
      </c>
      <c r="AC167" s="2" t="s">
        <v>529</v>
      </c>
      <c r="AD167" s="150">
        <v>4622</v>
      </c>
      <c r="AE167" s="150">
        <v>0.78</v>
      </c>
      <c r="AF167" s="2" t="s">
        <v>1400</v>
      </c>
      <c r="AG167" s="2" t="s">
        <v>164</v>
      </c>
      <c r="AI167" s="2" t="s">
        <v>1401</v>
      </c>
      <c r="AJ167" s="2" t="s">
        <v>386</v>
      </c>
      <c r="AK167" s="2" t="s">
        <v>937</v>
      </c>
      <c r="AL167" s="2" t="s">
        <v>1373</v>
      </c>
      <c r="AN167" s="2" t="s">
        <v>1374</v>
      </c>
      <c r="AO167" s="2" t="s">
        <v>1400</v>
      </c>
      <c r="AP167" s="151">
        <v>0</v>
      </c>
      <c r="AQ167" s="150">
        <v>5713.08</v>
      </c>
      <c r="AR167" s="150">
        <v>124.99</v>
      </c>
      <c r="AS167" s="150">
        <v>1</v>
      </c>
      <c r="AT167" s="150">
        <v>7.141</v>
      </c>
      <c r="AU167" s="150">
        <v>7.141</v>
      </c>
      <c r="AX167" s="4" t="s">
        <v>164</v>
      </c>
      <c r="AY167" s="2" t="s">
        <v>37</v>
      </c>
      <c r="AZ167" s="164">
        <v>7.61759521846211E-3</v>
      </c>
      <c r="BA167" s="164">
        <v>9.6817014538670999E-5</v>
      </c>
    </row>
    <row r="168" spans="1:53">
      <c r="A168" s="2" t="s">
        <v>144</v>
      </c>
      <c r="B168" s="2">
        <v>969</v>
      </c>
      <c r="C168" s="2" t="s">
        <v>1383</v>
      </c>
      <c r="D168" s="2" t="s">
        <v>34</v>
      </c>
      <c r="E168" s="2" t="s">
        <v>1408</v>
      </c>
      <c r="F168" s="2" t="s">
        <v>1409</v>
      </c>
      <c r="G168" s="2" t="s">
        <v>1083</v>
      </c>
      <c r="I168" s="2" t="s">
        <v>31</v>
      </c>
      <c r="J168" s="2" t="s">
        <v>31</v>
      </c>
      <c r="K168" s="2" t="s">
        <v>497</v>
      </c>
      <c r="L168" s="2" t="s">
        <v>164</v>
      </c>
      <c r="M168" s="2" t="s">
        <v>386</v>
      </c>
      <c r="N168" s="190" t="s">
        <v>1383</v>
      </c>
      <c r="O168" s="2" t="s">
        <v>1410</v>
      </c>
      <c r="P168" s="2" t="s">
        <v>1392</v>
      </c>
      <c r="Q168" s="2" t="s">
        <v>98</v>
      </c>
      <c r="R168" s="2" t="s">
        <v>453</v>
      </c>
      <c r="S168" s="2" t="s">
        <v>35</v>
      </c>
      <c r="T168" s="150">
        <v>3.34</v>
      </c>
      <c r="U168" s="2" t="s">
        <v>203</v>
      </c>
      <c r="V168" s="162">
        <v>5.5E-2</v>
      </c>
      <c r="W168" s="2" t="s">
        <v>800</v>
      </c>
      <c r="X168" s="2" t="s">
        <v>1388</v>
      </c>
      <c r="Y168" s="150">
        <v>5.5</v>
      </c>
      <c r="Z168" s="164">
        <v>2.9010000000000001E-2</v>
      </c>
      <c r="AA168" s="2" t="s">
        <v>1399</v>
      </c>
      <c r="AB168" s="4" t="s">
        <v>458</v>
      </c>
      <c r="AC168" s="2" t="s">
        <v>529</v>
      </c>
      <c r="AD168" s="150">
        <v>3155</v>
      </c>
      <c r="AE168" s="150">
        <v>0.78</v>
      </c>
      <c r="AF168" s="2" t="s">
        <v>1400</v>
      </c>
      <c r="AG168" s="2" t="s">
        <v>164</v>
      </c>
      <c r="AI168" s="2" t="s">
        <v>1401</v>
      </c>
      <c r="AJ168" s="2" t="s">
        <v>386</v>
      </c>
      <c r="AK168" s="2" t="s">
        <v>203</v>
      </c>
      <c r="AN168" s="2" t="s">
        <v>1374</v>
      </c>
      <c r="AO168" s="2" t="s">
        <v>1400</v>
      </c>
      <c r="AP168" s="151">
        <v>0</v>
      </c>
      <c r="AQ168" s="150">
        <v>1804.13</v>
      </c>
      <c r="AR168" s="150">
        <v>124.49</v>
      </c>
      <c r="AS168" s="150">
        <v>1</v>
      </c>
      <c r="AT168" s="150">
        <v>2.246</v>
      </c>
      <c r="AU168" s="150">
        <v>2.246</v>
      </c>
      <c r="AX168" s="4" t="s">
        <v>164</v>
      </c>
      <c r="AY168" s="2" t="s">
        <v>37</v>
      </c>
      <c r="AZ168" s="164">
        <v>2.3959326904373799E-3</v>
      </c>
      <c r="BA168" s="164">
        <v>3.0451480220628501E-5</v>
      </c>
    </row>
    <row r="169" spans="1:53">
      <c r="A169" s="2" t="s">
        <v>144</v>
      </c>
      <c r="B169" s="2">
        <v>969</v>
      </c>
      <c r="C169" s="2" t="s">
        <v>1383</v>
      </c>
      <c r="D169" s="2" t="s">
        <v>34</v>
      </c>
      <c r="E169" s="2" t="s">
        <v>1411</v>
      </c>
      <c r="F169" s="2" t="s">
        <v>1412</v>
      </c>
      <c r="G169" s="2" t="s">
        <v>1083</v>
      </c>
      <c r="I169" s="2" t="s">
        <v>31</v>
      </c>
      <c r="J169" s="2" t="s">
        <v>31</v>
      </c>
      <c r="K169" s="2" t="s">
        <v>497</v>
      </c>
      <c r="L169" s="2" t="s">
        <v>164</v>
      </c>
      <c r="M169" s="2" t="s">
        <v>386</v>
      </c>
      <c r="N169" s="190" t="s">
        <v>1383</v>
      </c>
      <c r="O169" s="2" t="s">
        <v>1413</v>
      </c>
      <c r="P169" s="2" t="s">
        <v>1392</v>
      </c>
      <c r="Q169" s="2" t="s">
        <v>98</v>
      </c>
      <c r="R169" s="2" t="s">
        <v>453</v>
      </c>
      <c r="S169" s="2" t="s">
        <v>35</v>
      </c>
      <c r="T169" s="150">
        <v>3.33</v>
      </c>
      <c r="U169" s="2" t="s">
        <v>1393</v>
      </c>
      <c r="V169" s="162">
        <v>5.6132000000000001E-2</v>
      </c>
      <c r="W169" s="2" t="s">
        <v>800</v>
      </c>
      <c r="X169" s="2" t="s">
        <v>954</v>
      </c>
      <c r="Y169" s="150">
        <v>5.6132</v>
      </c>
      <c r="Z169" s="164">
        <v>2.886E-2</v>
      </c>
      <c r="AA169" s="2" t="s">
        <v>1399</v>
      </c>
      <c r="AB169" s="4" t="s">
        <v>458</v>
      </c>
      <c r="AC169" s="2" t="s">
        <v>529</v>
      </c>
      <c r="AD169" s="150">
        <v>465</v>
      </c>
      <c r="AE169" s="150">
        <v>0.78</v>
      </c>
      <c r="AF169" s="2" t="s">
        <v>1400</v>
      </c>
      <c r="AG169" s="2" t="s">
        <v>164</v>
      </c>
      <c r="AI169" s="2" t="s">
        <v>1401</v>
      </c>
      <c r="AJ169" s="2" t="s">
        <v>386</v>
      </c>
      <c r="AK169" s="2" t="s">
        <v>937</v>
      </c>
      <c r="AL169" s="2" t="s">
        <v>1373</v>
      </c>
      <c r="AN169" s="2" t="s">
        <v>1374</v>
      </c>
      <c r="AO169" s="2" t="s">
        <v>1400</v>
      </c>
      <c r="AP169" s="151">
        <v>0</v>
      </c>
      <c r="AQ169" s="150">
        <v>264.95999999999998</v>
      </c>
      <c r="AR169" s="150">
        <v>127.15</v>
      </c>
      <c r="AS169" s="150">
        <v>1</v>
      </c>
      <c r="AT169" s="150">
        <v>0.33700000000000002</v>
      </c>
      <c r="AU169" s="150">
        <v>0.33700000000000002</v>
      </c>
      <c r="AX169" s="4" t="s">
        <v>164</v>
      </c>
      <c r="AY169" s="2" t="s">
        <v>37</v>
      </c>
      <c r="AZ169" s="164">
        <v>3.5939248990520998E-4</v>
      </c>
      <c r="BA169" s="164">
        <v>4.5677549045808499E-6</v>
      </c>
    </row>
    <row r="170" spans="1:53">
      <c r="A170" s="2" t="s">
        <v>144</v>
      </c>
      <c r="B170" s="2">
        <v>969</v>
      </c>
      <c r="C170" s="2" t="s">
        <v>1383</v>
      </c>
      <c r="D170" s="2" t="s">
        <v>34</v>
      </c>
      <c r="E170" s="2" t="s">
        <v>1414</v>
      </c>
      <c r="F170" s="2" t="s">
        <v>1415</v>
      </c>
      <c r="G170" s="2" t="s">
        <v>1083</v>
      </c>
      <c r="I170" s="2" t="s">
        <v>31</v>
      </c>
      <c r="J170" s="2" t="s">
        <v>31</v>
      </c>
      <c r="K170" s="2" t="s">
        <v>497</v>
      </c>
      <c r="L170" s="2" t="s">
        <v>164</v>
      </c>
      <c r="M170" s="2" t="s">
        <v>386</v>
      </c>
      <c r="N170" s="27" t="s">
        <v>1383</v>
      </c>
      <c r="O170" s="2" t="s">
        <v>1386</v>
      </c>
      <c r="P170" s="2" t="s">
        <v>1392</v>
      </c>
      <c r="Q170" s="2" t="s">
        <v>98</v>
      </c>
      <c r="R170" s="2" t="s">
        <v>453</v>
      </c>
      <c r="S170" s="2" t="s">
        <v>35</v>
      </c>
      <c r="T170" s="150">
        <v>3.21</v>
      </c>
      <c r="U170" s="2" t="s">
        <v>1393</v>
      </c>
      <c r="V170" s="162">
        <v>5.6691999999999999E-2</v>
      </c>
      <c r="W170" s="2" t="s">
        <v>800</v>
      </c>
      <c r="X170" s="2" t="s">
        <v>1388</v>
      </c>
      <c r="Y170" s="150">
        <v>5.6692</v>
      </c>
      <c r="Z170" s="164">
        <v>2.7910000000000001E-2</v>
      </c>
      <c r="AA170" s="2" t="s">
        <v>1416</v>
      </c>
      <c r="AB170" s="4" t="s">
        <v>458</v>
      </c>
      <c r="AG170" s="2" t="s">
        <v>164</v>
      </c>
      <c r="AJ170" s="2" t="s">
        <v>164</v>
      </c>
      <c r="AK170" s="2" t="s">
        <v>203</v>
      </c>
      <c r="AN170" s="2" t="s">
        <v>1374</v>
      </c>
      <c r="AQ170" s="150">
        <v>533.52</v>
      </c>
      <c r="AR170" s="150">
        <v>127.57</v>
      </c>
      <c r="AS170" s="150">
        <v>1</v>
      </c>
      <c r="AT170" s="150">
        <v>0.68100000000000005</v>
      </c>
      <c r="AU170" s="150">
        <v>0.68100000000000005</v>
      </c>
      <c r="AX170" s="4" t="s">
        <v>164</v>
      </c>
      <c r="AY170" s="2" t="s">
        <v>37</v>
      </c>
      <c r="AZ170" s="164">
        <v>7.2605843948158797E-4</v>
      </c>
      <c r="BA170" s="164">
        <v>9.2279529792875103E-6</v>
      </c>
    </row>
    <row r="171" spans="1:53">
      <c r="A171" s="2" t="s">
        <v>144</v>
      </c>
      <c r="B171" s="2">
        <v>969</v>
      </c>
      <c r="C171" s="2" t="s">
        <v>1383</v>
      </c>
      <c r="D171" s="2" t="s">
        <v>34</v>
      </c>
      <c r="E171" s="2" t="s">
        <v>1417</v>
      </c>
      <c r="F171" s="2" t="s">
        <v>1418</v>
      </c>
      <c r="G171" s="2" t="s">
        <v>1083</v>
      </c>
      <c r="I171" s="2" t="s">
        <v>31</v>
      </c>
      <c r="J171" s="2" t="s">
        <v>31</v>
      </c>
      <c r="K171" s="2" t="s">
        <v>497</v>
      </c>
      <c r="L171" s="2" t="s">
        <v>164</v>
      </c>
      <c r="M171" s="2" t="s">
        <v>386</v>
      </c>
      <c r="N171" s="190" t="s">
        <v>1383</v>
      </c>
      <c r="O171" s="2" t="s">
        <v>1419</v>
      </c>
      <c r="P171" s="2" t="s">
        <v>1392</v>
      </c>
      <c r="Q171" s="2" t="s">
        <v>98</v>
      </c>
      <c r="R171" s="2" t="s">
        <v>453</v>
      </c>
      <c r="S171" s="2" t="s">
        <v>35</v>
      </c>
      <c r="T171" s="150">
        <v>3.34</v>
      </c>
      <c r="U171" s="2" t="s">
        <v>1393</v>
      </c>
      <c r="V171" s="162">
        <v>5.5E-2</v>
      </c>
      <c r="W171" s="2" t="s">
        <v>800</v>
      </c>
      <c r="X171" s="2" t="s">
        <v>954</v>
      </c>
      <c r="Y171" s="150">
        <v>5.5</v>
      </c>
      <c r="Z171" s="164">
        <v>2.8160000000000001E-2</v>
      </c>
      <c r="AA171" s="2" t="s">
        <v>1399</v>
      </c>
      <c r="AB171" s="4" t="s">
        <v>458</v>
      </c>
      <c r="AC171" s="2" t="s">
        <v>529</v>
      </c>
      <c r="AD171" s="150">
        <v>562</v>
      </c>
      <c r="AE171" s="150">
        <v>0.78</v>
      </c>
      <c r="AF171" s="2" t="s">
        <v>1400</v>
      </c>
      <c r="AG171" s="2" t="s">
        <v>164</v>
      </c>
      <c r="AI171" s="2" t="s">
        <v>1401</v>
      </c>
      <c r="AJ171" s="2" t="s">
        <v>386</v>
      </c>
      <c r="AK171" s="2" t="s">
        <v>937</v>
      </c>
      <c r="AL171" s="2" t="s">
        <v>1373</v>
      </c>
      <c r="AN171" s="2" t="s">
        <v>1374</v>
      </c>
      <c r="AO171" s="2" t="s">
        <v>1400</v>
      </c>
      <c r="AP171" s="151">
        <v>0</v>
      </c>
      <c r="AQ171" s="150">
        <v>320.14</v>
      </c>
      <c r="AR171" s="150">
        <v>127.53</v>
      </c>
      <c r="AS171" s="150">
        <v>1</v>
      </c>
      <c r="AT171" s="150">
        <v>0.40799999999999997</v>
      </c>
      <c r="AU171" s="150">
        <v>0.40799999999999997</v>
      </c>
      <c r="AX171" s="4" t="s">
        <v>164</v>
      </c>
      <c r="AY171" s="2" t="s">
        <v>37</v>
      </c>
      <c r="AZ171" s="164">
        <v>4.3553656164184201E-4</v>
      </c>
      <c r="BA171" s="164">
        <v>5.5355198604414704E-6</v>
      </c>
    </row>
    <row r="172" spans="1:53">
      <c r="A172" s="2" t="s">
        <v>144</v>
      </c>
      <c r="B172" s="2">
        <v>969</v>
      </c>
      <c r="C172" s="2" t="s">
        <v>1383</v>
      </c>
      <c r="D172" s="2" t="s">
        <v>34</v>
      </c>
      <c r="E172" s="2" t="s">
        <v>1420</v>
      </c>
      <c r="F172" s="2" t="s">
        <v>1421</v>
      </c>
      <c r="G172" s="2" t="s">
        <v>1083</v>
      </c>
      <c r="I172" s="2" t="s">
        <v>31</v>
      </c>
      <c r="J172" s="2" t="s">
        <v>31</v>
      </c>
      <c r="K172" s="2" t="s">
        <v>497</v>
      </c>
      <c r="L172" s="2" t="s">
        <v>164</v>
      </c>
      <c r="M172" s="2" t="s">
        <v>386</v>
      </c>
      <c r="N172" s="190" t="s">
        <v>1383</v>
      </c>
      <c r="O172" s="2" t="s">
        <v>1422</v>
      </c>
      <c r="P172" s="2" t="s">
        <v>1392</v>
      </c>
      <c r="Q172" s="2" t="s">
        <v>98</v>
      </c>
      <c r="R172" s="2" t="s">
        <v>453</v>
      </c>
      <c r="S172" s="2" t="s">
        <v>35</v>
      </c>
      <c r="T172" s="150">
        <v>3.34</v>
      </c>
      <c r="U172" s="2" t="s">
        <v>1393</v>
      </c>
      <c r="V172" s="162">
        <v>5.5E-2</v>
      </c>
      <c r="W172" s="2" t="s">
        <v>800</v>
      </c>
      <c r="X172" s="2" t="s">
        <v>954</v>
      </c>
      <c r="Y172" s="150">
        <v>5.5</v>
      </c>
      <c r="Z172" s="164">
        <v>2.9000000000000001E-2</v>
      </c>
      <c r="AA172" s="2" t="s">
        <v>1399</v>
      </c>
      <c r="AB172" s="4" t="s">
        <v>458</v>
      </c>
      <c r="AC172" s="2" t="s">
        <v>529</v>
      </c>
      <c r="AD172" s="150">
        <v>4665</v>
      </c>
      <c r="AE172" s="150">
        <v>0.78</v>
      </c>
      <c r="AF172" s="2" t="s">
        <v>1400</v>
      </c>
      <c r="AG172" s="2" t="s">
        <v>164</v>
      </c>
      <c r="AI172" s="2" t="s">
        <v>1401</v>
      </c>
      <c r="AJ172" s="2" t="s">
        <v>386</v>
      </c>
      <c r="AK172" s="2" t="s">
        <v>937</v>
      </c>
      <c r="AL172" s="2" t="s">
        <v>1373</v>
      </c>
      <c r="AN172" s="2" t="s">
        <v>1374</v>
      </c>
      <c r="AO172" s="2" t="s">
        <v>1400</v>
      </c>
      <c r="AP172" s="151">
        <v>0</v>
      </c>
      <c r="AQ172" s="150">
        <v>5765.5</v>
      </c>
      <c r="AR172" s="150">
        <v>127.17</v>
      </c>
      <c r="AS172" s="150">
        <v>1</v>
      </c>
      <c r="AT172" s="150">
        <v>7.3319999999999999</v>
      </c>
      <c r="AU172" s="150">
        <v>7.3319999999999999</v>
      </c>
      <c r="AX172" s="4" t="s">
        <v>164</v>
      </c>
      <c r="AY172" s="2" t="s">
        <v>37</v>
      </c>
      <c r="AZ172" s="164">
        <v>7.8215705276179492E-3</v>
      </c>
      <c r="BA172" s="164">
        <v>9.9409470544236696E-5</v>
      </c>
    </row>
    <row r="173" spans="1:53">
      <c r="A173" s="2" t="s">
        <v>144</v>
      </c>
      <c r="B173" s="2">
        <v>969</v>
      </c>
      <c r="C173" s="2" t="s">
        <v>1383</v>
      </c>
      <c r="D173" s="2" t="s">
        <v>34</v>
      </c>
      <c r="E173" s="2" t="s">
        <v>1423</v>
      </c>
      <c r="F173" s="2" t="s">
        <v>1424</v>
      </c>
      <c r="G173" s="2" t="s">
        <v>1083</v>
      </c>
      <c r="I173" s="2" t="s">
        <v>31</v>
      </c>
      <c r="J173" s="2" t="s">
        <v>31</v>
      </c>
      <c r="K173" s="2" t="s">
        <v>497</v>
      </c>
      <c r="L173" s="2" t="s">
        <v>164</v>
      </c>
      <c r="M173" s="2" t="s">
        <v>386</v>
      </c>
      <c r="N173" s="190" t="s">
        <v>1383</v>
      </c>
      <c r="O173" s="2" t="s">
        <v>1425</v>
      </c>
      <c r="P173" s="2" t="s">
        <v>1392</v>
      </c>
      <c r="Q173" s="2" t="s">
        <v>98</v>
      </c>
      <c r="R173" s="2" t="s">
        <v>453</v>
      </c>
      <c r="S173" s="2" t="s">
        <v>35</v>
      </c>
      <c r="T173" s="150">
        <v>3.49</v>
      </c>
      <c r="U173" s="2" t="s">
        <v>1393</v>
      </c>
      <c r="V173" s="162">
        <v>5.5E-2</v>
      </c>
      <c r="W173" s="2" t="s">
        <v>800</v>
      </c>
      <c r="X173" s="2" t="s">
        <v>954</v>
      </c>
      <c r="Y173" s="150">
        <v>5.5</v>
      </c>
      <c r="Z173" s="164">
        <v>2.887E-2</v>
      </c>
      <c r="AA173" s="2" t="s">
        <v>1389</v>
      </c>
      <c r="AB173" s="4" t="s">
        <v>458</v>
      </c>
      <c r="AC173" s="2" t="s">
        <v>529</v>
      </c>
      <c r="AD173" s="150">
        <v>534</v>
      </c>
      <c r="AE173" s="150">
        <v>0.78</v>
      </c>
      <c r="AF173" s="2" t="s">
        <v>1400</v>
      </c>
      <c r="AG173" s="2" t="s">
        <v>164</v>
      </c>
      <c r="AI173" s="2" t="s">
        <v>1401</v>
      </c>
      <c r="AJ173" s="2" t="s">
        <v>386</v>
      </c>
      <c r="AK173" s="2" t="s">
        <v>937</v>
      </c>
      <c r="AL173" s="2" t="s">
        <v>1373</v>
      </c>
      <c r="AN173" s="2" t="s">
        <v>1374</v>
      </c>
      <c r="AO173" s="2" t="s">
        <v>1400</v>
      </c>
      <c r="AP173" s="151">
        <v>0</v>
      </c>
      <c r="AQ173" s="150">
        <v>660.03</v>
      </c>
      <c r="AR173" s="150">
        <v>124.46</v>
      </c>
      <c r="AS173" s="150">
        <v>1</v>
      </c>
      <c r="AT173" s="150">
        <v>0.82099999999999995</v>
      </c>
      <c r="AU173" s="150">
        <v>0.82099999999999995</v>
      </c>
      <c r="AX173" s="4" t="s">
        <v>164</v>
      </c>
      <c r="AY173" s="2" t="s">
        <v>37</v>
      </c>
      <c r="AZ173" s="164">
        <v>8.7632618815837503E-4</v>
      </c>
      <c r="BA173" s="164">
        <v>1.1137804368223701E-5</v>
      </c>
    </row>
    <row r="174" spans="1:53">
      <c r="A174" s="2" t="s">
        <v>144</v>
      </c>
      <c r="B174" s="2">
        <v>969</v>
      </c>
      <c r="C174" s="2" t="s">
        <v>1383</v>
      </c>
      <c r="D174" s="2" t="s">
        <v>34</v>
      </c>
      <c r="E174" s="2" t="s">
        <v>1426</v>
      </c>
      <c r="F174" s="2" t="s">
        <v>1427</v>
      </c>
      <c r="G174" s="2" t="s">
        <v>1083</v>
      </c>
      <c r="I174" s="2" t="s">
        <v>31</v>
      </c>
      <c r="J174" s="2" t="s">
        <v>31</v>
      </c>
      <c r="K174" s="2" t="s">
        <v>497</v>
      </c>
      <c r="L174" s="2" t="s">
        <v>164</v>
      </c>
      <c r="M174" s="2" t="s">
        <v>386</v>
      </c>
      <c r="N174" s="27" t="s">
        <v>1383</v>
      </c>
      <c r="O174" s="2" t="s">
        <v>1386</v>
      </c>
      <c r="P174" s="2" t="s">
        <v>1387</v>
      </c>
      <c r="Q174" s="2" t="s">
        <v>217</v>
      </c>
      <c r="R174" s="2" t="s">
        <v>453</v>
      </c>
      <c r="S174" s="2" t="s">
        <v>35</v>
      </c>
      <c r="T174" s="150">
        <v>3.22</v>
      </c>
      <c r="U174" s="2" t="s">
        <v>203</v>
      </c>
      <c r="V174" s="162">
        <v>5.5E-2</v>
      </c>
      <c r="W174" s="2" t="s">
        <v>800</v>
      </c>
      <c r="X174" s="2" t="s">
        <v>1388</v>
      </c>
      <c r="Y174" s="150">
        <v>5.5</v>
      </c>
      <c r="Z174" s="164">
        <v>2.63E-2</v>
      </c>
      <c r="AA174" s="2" t="s">
        <v>1389</v>
      </c>
      <c r="AB174" s="4" t="s">
        <v>458</v>
      </c>
      <c r="AG174" s="2" t="s">
        <v>164</v>
      </c>
      <c r="AJ174" s="2" t="s">
        <v>164</v>
      </c>
      <c r="AK174" s="2" t="s">
        <v>203</v>
      </c>
      <c r="AN174" s="2" t="s">
        <v>1374</v>
      </c>
      <c r="AQ174" s="150">
        <v>546.70000000000005</v>
      </c>
      <c r="AR174" s="150">
        <v>124.4</v>
      </c>
      <c r="AS174" s="150">
        <v>1</v>
      </c>
      <c r="AT174" s="150">
        <v>0.68</v>
      </c>
      <c r="AU174" s="150">
        <v>0.68</v>
      </c>
      <c r="AX174" s="4" t="s">
        <v>164</v>
      </c>
      <c r="AY174" s="2" t="s">
        <v>37</v>
      </c>
      <c r="AZ174" s="164">
        <v>7.2550727589205401E-4</v>
      </c>
      <c r="BA174" s="164">
        <v>9.2209478796818207E-6</v>
      </c>
    </row>
    <row r="175" spans="1:53">
      <c r="A175" s="2" t="s">
        <v>144</v>
      </c>
      <c r="B175" s="2">
        <v>969</v>
      </c>
      <c r="C175" s="2" t="s">
        <v>1383</v>
      </c>
      <c r="D175" s="2" t="s">
        <v>34</v>
      </c>
      <c r="E175" s="2" t="s">
        <v>1428</v>
      </c>
      <c r="F175" s="2" t="s">
        <v>1429</v>
      </c>
      <c r="G175" s="2" t="s">
        <v>1083</v>
      </c>
      <c r="I175" s="2" t="s">
        <v>31</v>
      </c>
      <c r="J175" s="2" t="s">
        <v>31</v>
      </c>
      <c r="K175" s="2" t="s">
        <v>497</v>
      </c>
      <c r="L175" s="2" t="s">
        <v>164</v>
      </c>
      <c r="M175" s="2" t="s">
        <v>386</v>
      </c>
      <c r="N175" s="190" t="s">
        <v>1383</v>
      </c>
      <c r="O175" s="2" t="s">
        <v>1430</v>
      </c>
      <c r="P175" s="2" t="s">
        <v>1392</v>
      </c>
      <c r="Q175" s="2" t="s">
        <v>98</v>
      </c>
      <c r="R175" s="2" t="s">
        <v>453</v>
      </c>
      <c r="S175" s="2" t="s">
        <v>35</v>
      </c>
      <c r="T175" s="150">
        <v>3.21</v>
      </c>
      <c r="U175" s="2" t="s">
        <v>1393</v>
      </c>
      <c r="V175" s="162">
        <v>5.5E-2</v>
      </c>
      <c r="W175" s="2" t="s">
        <v>800</v>
      </c>
      <c r="X175" s="2" t="s">
        <v>954</v>
      </c>
      <c r="Y175" s="150">
        <v>5.5</v>
      </c>
      <c r="Z175" s="164">
        <v>2.8729999999999999E-2</v>
      </c>
      <c r="AA175" s="2" t="s">
        <v>1399</v>
      </c>
      <c r="AB175" s="4" t="s">
        <v>458</v>
      </c>
      <c r="AC175" s="2" t="s">
        <v>529</v>
      </c>
      <c r="AD175" s="150">
        <v>2192</v>
      </c>
      <c r="AE175" s="150">
        <v>0.78</v>
      </c>
      <c r="AF175" s="2" t="s">
        <v>1400</v>
      </c>
      <c r="AG175" s="2" t="s">
        <v>164</v>
      </c>
      <c r="AI175" s="2" t="s">
        <v>1401</v>
      </c>
      <c r="AJ175" s="2" t="s">
        <v>386</v>
      </c>
      <c r="AK175" s="2" t="s">
        <v>937</v>
      </c>
      <c r="AL175" s="2" t="s">
        <v>1373</v>
      </c>
      <c r="AN175" s="2" t="s">
        <v>1374</v>
      </c>
      <c r="AO175" s="2" t="s">
        <v>1400</v>
      </c>
      <c r="AP175" s="151">
        <v>0</v>
      </c>
      <c r="AQ175" s="150">
        <v>1250.01</v>
      </c>
      <c r="AR175" s="150">
        <v>126.48</v>
      </c>
      <c r="AS175" s="150">
        <v>1</v>
      </c>
      <c r="AT175" s="150">
        <v>1.581</v>
      </c>
      <c r="AU175" s="150">
        <v>1.581</v>
      </c>
      <c r="AX175" s="4" t="s">
        <v>164</v>
      </c>
      <c r="AY175" s="2" t="s">
        <v>37</v>
      </c>
      <c r="AZ175" s="164">
        <v>1.6865827814024801E-3</v>
      </c>
      <c r="BA175" s="164">
        <v>2.1435886915067902E-5</v>
      </c>
    </row>
    <row r="176" spans="1:53">
      <c r="A176" s="2" t="s">
        <v>144</v>
      </c>
      <c r="B176" s="2">
        <v>969</v>
      </c>
      <c r="C176" s="2" t="s">
        <v>1383</v>
      </c>
      <c r="D176" s="2" t="s">
        <v>34</v>
      </c>
      <c r="E176" s="2" t="s">
        <v>1431</v>
      </c>
      <c r="F176" s="2" t="s">
        <v>1432</v>
      </c>
      <c r="G176" s="2" t="s">
        <v>1083</v>
      </c>
      <c r="I176" s="2" t="s">
        <v>31</v>
      </c>
      <c r="J176" s="2" t="s">
        <v>31</v>
      </c>
      <c r="K176" s="2" t="s">
        <v>497</v>
      </c>
      <c r="L176" s="2" t="s">
        <v>164</v>
      </c>
      <c r="M176" s="2" t="s">
        <v>386</v>
      </c>
      <c r="N176" s="190" t="s">
        <v>1383</v>
      </c>
      <c r="O176" s="2" t="s">
        <v>1433</v>
      </c>
      <c r="P176" s="2" t="s">
        <v>1392</v>
      </c>
      <c r="Q176" s="2" t="s">
        <v>98</v>
      </c>
      <c r="R176" s="2" t="s">
        <v>453</v>
      </c>
      <c r="S176" s="2" t="s">
        <v>35</v>
      </c>
      <c r="T176" s="150">
        <v>3.49</v>
      </c>
      <c r="U176" s="2" t="s">
        <v>1393</v>
      </c>
      <c r="V176" s="162">
        <v>5.5E-2</v>
      </c>
      <c r="W176" s="2" t="s">
        <v>800</v>
      </c>
      <c r="X176" s="2" t="s">
        <v>954</v>
      </c>
      <c r="Y176" s="150">
        <v>5.5</v>
      </c>
      <c r="Z176" s="164">
        <v>2.9940000000000001E-2</v>
      </c>
      <c r="AA176" s="2" t="s">
        <v>1389</v>
      </c>
      <c r="AB176" s="4" t="s">
        <v>458</v>
      </c>
      <c r="AC176" s="2" t="s">
        <v>529</v>
      </c>
      <c r="AD176" s="150">
        <v>3904</v>
      </c>
      <c r="AE176" s="150">
        <v>0.78</v>
      </c>
      <c r="AF176" s="2" t="s">
        <v>1400</v>
      </c>
      <c r="AG176" s="2" t="s">
        <v>164</v>
      </c>
      <c r="AI176" s="2" t="s">
        <v>1401</v>
      </c>
      <c r="AJ176" s="2" t="s">
        <v>386</v>
      </c>
      <c r="AK176" s="2" t="s">
        <v>937</v>
      </c>
      <c r="AL176" s="2" t="s">
        <v>1373</v>
      </c>
      <c r="AN176" s="2" t="s">
        <v>1374</v>
      </c>
      <c r="AO176" s="2" t="s">
        <v>1400</v>
      </c>
      <c r="AP176" s="151">
        <v>0</v>
      </c>
      <c r="AQ176" s="150">
        <v>4825.49</v>
      </c>
      <c r="AR176" s="150">
        <v>124.18</v>
      </c>
      <c r="AS176" s="150">
        <v>1</v>
      </c>
      <c r="AT176" s="150">
        <v>5.992</v>
      </c>
      <c r="AU176" s="150">
        <v>5.992</v>
      </c>
      <c r="AX176" s="4" t="s">
        <v>164</v>
      </c>
      <c r="AY176" s="2" t="s">
        <v>37</v>
      </c>
      <c r="AZ176" s="164">
        <v>6.3924213513638596E-3</v>
      </c>
      <c r="BA176" s="164">
        <v>8.1245476185495195E-5</v>
      </c>
    </row>
    <row r="177" spans="1:53">
      <c r="A177" s="2" t="s">
        <v>144</v>
      </c>
      <c r="B177" s="2">
        <v>969</v>
      </c>
      <c r="C177" s="2" t="s">
        <v>1383</v>
      </c>
      <c r="D177" s="2" t="s">
        <v>34</v>
      </c>
      <c r="E177" s="2" t="s">
        <v>1434</v>
      </c>
      <c r="F177" s="2" t="s">
        <v>1435</v>
      </c>
      <c r="G177" s="2" t="s">
        <v>1083</v>
      </c>
      <c r="I177" s="2" t="s">
        <v>31</v>
      </c>
      <c r="J177" s="2" t="s">
        <v>31</v>
      </c>
      <c r="K177" s="2" t="s">
        <v>497</v>
      </c>
      <c r="L177" s="2" t="s">
        <v>164</v>
      </c>
      <c r="M177" s="2" t="s">
        <v>386</v>
      </c>
      <c r="N177" s="27" t="s">
        <v>1383</v>
      </c>
      <c r="O177" s="2" t="s">
        <v>1386</v>
      </c>
      <c r="P177" s="2" t="s">
        <v>1392</v>
      </c>
      <c r="Q177" s="2" t="s">
        <v>98</v>
      </c>
      <c r="R177" s="2" t="s">
        <v>453</v>
      </c>
      <c r="S177" s="2" t="s">
        <v>35</v>
      </c>
      <c r="T177" s="150">
        <v>3.33</v>
      </c>
      <c r="U177" s="2" t="s">
        <v>1393</v>
      </c>
      <c r="V177" s="162">
        <v>5.5E-2</v>
      </c>
      <c r="W177" s="2" t="s">
        <v>800</v>
      </c>
      <c r="X177" s="2" t="s">
        <v>1388</v>
      </c>
      <c r="Y177" s="150">
        <v>5.5</v>
      </c>
      <c r="Z177" s="164">
        <v>3.014E-2</v>
      </c>
      <c r="AA177" s="2" t="s">
        <v>1399</v>
      </c>
      <c r="AB177" s="4" t="s">
        <v>458</v>
      </c>
      <c r="AG177" s="2" t="s">
        <v>164</v>
      </c>
      <c r="AJ177" s="2" t="s">
        <v>164</v>
      </c>
      <c r="AK177" s="2" t="s">
        <v>203</v>
      </c>
      <c r="AN177" s="2" t="s">
        <v>1374</v>
      </c>
      <c r="AQ177" s="150">
        <v>5861.3</v>
      </c>
      <c r="AR177" s="150">
        <v>126.1</v>
      </c>
      <c r="AS177" s="150">
        <v>1</v>
      </c>
      <c r="AT177" s="150">
        <v>7.391</v>
      </c>
      <c r="AU177" s="150">
        <v>7.391</v>
      </c>
      <c r="AX177" s="4" t="s">
        <v>164</v>
      </c>
      <c r="AY177" s="2" t="s">
        <v>37</v>
      </c>
      <c r="AZ177" s="164">
        <v>7.8846306705927897E-3</v>
      </c>
      <c r="BA177" s="164">
        <v>1.0021094326681E-4</v>
      </c>
    </row>
    <row r="178" spans="1:53">
      <c r="A178" s="2" t="s">
        <v>144</v>
      </c>
      <c r="B178" s="2">
        <v>969</v>
      </c>
      <c r="C178" s="2" t="s">
        <v>1383</v>
      </c>
      <c r="D178" s="2" t="s">
        <v>34</v>
      </c>
      <c r="E178" s="2" t="s">
        <v>1436</v>
      </c>
      <c r="F178" s="2" t="s">
        <v>1437</v>
      </c>
      <c r="G178" s="2" t="s">
        <v>1083</v>
      </c>
      <c r="I178" s="2" t="s">
        <v>31</v>
      </c>
      <c r="J178" s="2" t="s">
        <v>31</v>
      </c>
      <c r="K178" s="2" t="s">
        <v>497</v>
      </c>
      <c r="L178" s="2" t="s">
        <v>164</v>
      </c>
      <c r="M178" s="2" t="s">
        <v>386</v>
      </c>
      <c r="N178" s="27" t="s">
        <v>1383</v>
      </c>
      <c r="O178" s="2" t="s">
        <v>1386</v>
      </c>
      <c r="P178" s="2" t="s">
        <v>1392</v>
      </c>
      <c r="Q178" s="2" t="s">
        <v>98</v>
      </c>
      <c r="R178" s="2" t="s">
        <v>453</v>
      </c>
      <c r="S178" s="2" t="s">
        <v>35</v>
      </c>
      <c r="T178" s="150">
        <v>3.34</v>
      </c>
      <c r="U178" s="2" t="s">
        <v>1393</v>
      </c>
      <c r="V178" s="162">
        <v>5.5888E-2</v>
      </c>
      <c r="W178" s="2" t="s">
        <v>800</v>
      </c>
      <c r="X178" s="2" t="s">
        <v>1388</v>
      </c>
      <c r="Y178" s="150">
        <v>5.5888</v>
      </c>
      <c r="Z178" s="164">
        <v>2.7910000000000001E-2</v>
      </c>
      <c r="AA178" s="2" t="s">
        <v>1399</v>
      </c>
      <c r="AB178" s="4" t="s">
        <v>458</v>
      </c>
      <c r="AG178" s="2" t="s">
        <v>164</v>
      </c>
      <c r="AJ178" s="2" t="s">
        <v>164</v>
      </c>
      <c r="AK178" s="2" t="s">
        <v>203</v>
      </c>
      <c r="AN178" s="2" t="s">
        <v>1374</v>
      </c>
      <c r="AQ178" s="150">
        <v>1227.07</v>
      </c>
      <c r="AR178" s="150">
        <v>127.86</v>
      </c>
      <c r="AS178" s="150">
        <v>1</v>
      </c>
      <c r="AT178" s="150">
        <v>1.569</v>
      </c>
      <c r="AU178" s="150">
        <v>1.569</v>
      </c>
      <c r="AX178" s="4" t="s">
        <v>164</v>
      </c>
      <c r="AY178" s="2" t="s">
        <v>37</v>
      </c>
      <c r="AZ178" s="164">
        <v>1.67369514541017E-3</v>
      </c>
      <c r="BA178" s="164">
        <v>2.1272089495350501E-5</v>
      </c>
    </row>
    <row r="179" spans="1:53">
      <c r="A179" s="2" t="s">
        <v>144</v>
      </c>
      <c r="B179" s="2">
        <v>969</v>
      </c>
      <c r="C179" s="2" t="s">
        <v>1383</v>
      </c>
      <c r="D179" s="2" t="s">
        <v>34</v>
      </c>
      <c r="E179" s="2" t="s">
        <v>1438</v>
      </c>
      <c r="F179" s="2" t="s">
        <v>1439</v>
      </c>
      <c r="G179" s="2" t="s">
        <v>1083</v>
      </c>
      <c r="I179" s="2" t="s">
        <v>31</v>
      </c>
      <c r="J179" s="2" t="s">
        <v>31</v>
      </c>
      <c r="K179" s="2" t="s">
        <v>497</v>
      </c>
      <c r="L179" s="2" t="s">
        <v>164</v>
      </c>
      <c r="M179" s="2" t="s">
        <v>386</v>
      </c>
      <c r="N179" s="190" t="s">
        <v>1383</v>
      </c>
      <c r="O179" s="2" t="s">
        <v>1440</v>
      </c>
      <c r="P179" s="2" t="s">
        <v>1392</v>
      </c>
      <c r="Q179" s="2" t="s">
        <v>98</v>
      </c>
      <c r="R179" s="2" t="s">
        <v>453</v>
      </c>
      <c r="S179" s="2" t="s">
        <v>35</v>
      </c>
      <c r="T179" s="150">
        <v>3.33</v>
      </c>
      <c r="U179" s="2" t="s">
        <v>1393</v>
      </c>
      <c r="V179" s="162">
        <v>5.6193E-2</v>
      </c>
      <c r="W179" s="2" t="s">
        <v>800</v>
      </c>
      <c r="X179" s="2" t="s">
        <v>954</v>
      </c>
      <c r="Y179" s="150">
        <v>5.6193</v>
      </c>
      <c r="Z179" s="164">
        <v>2.9010000000000001E-2</v>
      </c>
      <c r="AA179" s="2" t="s">
        <v>1399</v>
      </c>
      <c r="AB179" s="4" t="s">
        <v>458</v>
      </c>
      <c r="AC179" s="2" t="s">
        <v>529</v>
      </c>
      <c r="AD179" s="150">
        <v>3026</v>
      </c>
      <c r="AE179" s="150">
        <v>0.78</v>
      </c>
      <c r="AF179" s="2" t="s">
        <v>1400</v>
      </c>
      <c r="AG179" s="2" t="s">
        <v>164</v>
      </c>
      <c r="AI179" s="2" t="s">
        <v>1401</v>
      </c>
      <c r="AJ179" s="2" t="s">
        <v>386</v>
      </c>
      <c r="AK179" s="2" t="s">
        <v>937</v>
      </c>
      <c r="AL179" s="2" t="s">
        <v>1373</v>
      </c>
      <c r="AN179" s="2" t="s">
        <v>1374</v>
      </c>
      <c r="AO179" s="2" t="s">
        <v>1400</v>
      </c>
      <c r="AP179" s="151">
        <v>0</v>
      </c>
      <c r="AQ179" s="150">
        <v>1724.45</v>
      </c>
      <c r="AR179" s="150">
        <v>126.83</v>
      </c>
      <c r="AS179" s="150">
        <v>1</v>
      </c>
      <c r="AT179" s="150">
        <v>2.1869999999999998</v>
      </c>
      <c r="AU179" s="150">
        <v>2.1869999999999998</v>
      </c>
      <c r="AX179" s="4" t="s">
        <v>164</v>
      </c>
      <c r="AY179" s="2" t="s">
        <v>37</v>
      </c>
      <c r="AZ179" s="164">
        <v>2.3331621210617398E-3</v>
      </c>
      <c r="BA179" s="164">
        <v>2.9653687878878199E-5</v>
      </c>
    </row>
    <row r="180" spans="1:53">
      <c r="A180" s="2" t="s">
        <v>144</v>
      </c>
      <c r="B180" s="2">
        <v>969</v>
      </c>
      <c r="C180" s="2" t="s">
        <v>1383</v>
      </c>
      <c r="D180" s="2" t="s">
        <v>34</v>
      </c>
      <c r="E180" s="2" t="s">
        <v>1441</v>
      </c>
      <c r="F180" s="2" t="s">
        <v>1442</v>
      </c>
      <c r="G180" s="2" t="s">
        <v>1083</v>
      </c>
      <c r="I180" s="2" t="s">
        <v>31</v>
      </c>
      <c r="J180" s="2" t="s">
        <v>31</v>
      </c>
      <c r="K180" s="2" t="s">
        <v>497</v>
      </c>
      <c r="L180" s="2" t="s">
        <v>164</v>
      </c>
      <c r="M180" s="2" t="s">
        <v>386</v>
      </c>
      <c r="N180" s="27" t="s">
        <v>1383</v>
      </c>
      <c r="O180" s="2" t="s">
        <v>1386</v>
      </c>
      <c r="P180" s="2" t="s">
        <v>1387</v>
      </c>
      <c r="Q180" s="2" t="s">
        <v>217</v>
      </c>
      <c r="R180" s="2" t="s">
        <v>453</v>
      </c>
      <c r="S180" s="2" t="s">
        <v>35</v>
      </c>
      <c r="T180" s="150">
        <v>3.19</v>
      </c>
      <c r="U180" s="2" t="s">
        <v>203</v>
      </c>
      <c r="V180" s="162">
        <v>5.5E-2</v>
      </c>
      <c r="W180" s="2" t="s">
        <v>800</v>
      </c>
      <c r="X180" s="2" t="s">
        <v>1388</v>
      </c>
      <c r="Y180" s="150">
        <v>5.5</v>
      </c>
      <c r="Z180" s="164">
        <v>3.526E-2</v>
      </c>
      <c r="AA180" s="2" t="s">
        <v>1389</v>
      </c>
      <c r="AB180" s="4" t="s">
        <v>458</v>
      </c>
      <c r="AG180" s="2" t="s">
        <v>164</v>
      </c>
      <c r="AJ180" s="2" t="s">
        <v>164</v>
      </c>
      <c r="AK180" s="2" t="s">
        <v>203</v>
      </c>
      <c r="AN180" s="2" t="s">
        <v>1374</v>
      </c>
      <c r="AQ180" s="150">
        <v>2184.37</v>
      </c>
      <c r="AR180" s="150">
        <v>120.3</v>
      </c>
      <c r="AS180" s="150">
        <v>1</v>
      </c>
      <c r="AT180" s="150">
        <v>2.6280000000000001</v>
      </c>
      <c r="AU180" s="150">
        <v>2.6280000000000001</v>
      </c>
      <c r="AX180" s="4" t="s">
        <v>164</v>
      </c>
      <c r="AY180" s="2" t="s">
        <v>37</v>
      </c>
      <c r="AZ180" s="164">
        <v>2.8032649608159201E-3</v>
      </c>
      <c r="BA180" s="164">
        <v>3.5628533242260499E-5</v>
      </c>
    </row>
    <row r="181" spans="1:53">
      <c r="A181" s="2" t="s">
        <v>144</v>
      </c>
      <c r="B181" s="2">
        <v>969</v>
      </c>
      <c r="C181" s="2" t="s">
        <v>1383</v>
      </c>
      <c r="D181" s="2" t="s">
        <v>34</v>
      </c>
      <c r="E181" s="2" t="s">
        <v>1443</v>
      </c>
      <c r="F181" s="2" t="s">
        <v>1444</v>
      </c>
      <c r="G181" s="2" t="s">
        <v>1083</v>
      </c>
      <c r="I181" s="2" t="s">
        <v>31</v>
      </c>
      <c r="J181" s="2" t="s">
        <v>31</v>
      </c>
      <c r="K181" s="2" t="s">
        <v>497</v>
      </c>
      <c r="L181" s="2" t="s">
        <v>164</v>
      </c>
      <c r="M181" s="2" t="s">
        <v>386</v>
      </c>
      <c r="N181" s="27" t="s">
        <v>1383</v>
      </c>
      <c r="O181" s="2" t="s">
        <v>1386</v>
      </c>
      <c r="P181" s="2" t="s">
        <v>1387</v>
      </c>
      <c r="Q181" s="2" t="s">
        <v>217</v>
      </c>
      <c r="R181" s="2" t="s">
        <v>453</v>
      </c>
      <c r="S181" s="2" t="s">
        <v>35</v>
      </c>
      <c r="T181" s="150">
        <v>3.21</v>
      </c>
      <c r="U181" s="2" t="s">
        <v>203</v>
      </c>
      <c r="V181" s="162">
        <v>5.5E-2</v>
      </c>
      <c r="W181" s="2" t="s">
        <v>800</v>
      </c>
      <c r="X181" s="2" t="s">
        <v>1388</v>
      </c>
      <c r="Y181" s="150">
        <v>5.5</v>
      </c>
      <c r="Z181" s="164">
        <v>2.8760000000000001E-2</v>
      </c>
      <c r="AA181" s="2" t="s">
        <v>1389</v>
      </c>
      <c r="AB181" s="4" t="s">
        <v>458</v>
      </c>
      <c r="AG181" s="2" t="s">
        <v>164</v>
      </c>
      <c r="AJ181" s="2" t="s">
        <v>164</v>
      </c>
      <c r="AK181" s="2" t="s">
        <v>203</v>
      </c>
      <c r="AN181" s="2" t="s">
        <v>1374</v>
      </c>
      <c r="AQ181" s="150">
        <v>271.42</v>
      </c>
      <c r="AR181" s="150">
        <v>122.29</v>
      </c>
      <c r="AS181" s="150">
        <v>1</v>
      </c>
      <c r="AT181" s="150">
        <v>0.33200000000000002</v>
      </c>
      <c r="AU181" s="150">
        <v>0.33200000000000002</v>
      </c>
      <c r="AX181" s="4" t="s">
        <v>164</v>
      </c>
      <c r="AY181" s="2" t="s">
        <v>37</v>
      </c>
      <c r="AZ181" s="164">
        <v>3.5408302683623499E-4</v>
      </c>
      <c r="BA181" s="164">
        <v>4.5002734555934201E-6</v>
      </c>
    </row>
    <row r="182" spans="1:53">
      <c r="A182" s="2" t="s">
        <v>144</v>
      </c>
      <c r="B182" s="2">
        <v>969</v>
      </c>
      <c r="C182" s="2" t="s">
        <v>1383</v>
      </c>
      <c r="D182" s="2" t="s">
        <v>34</v>
      </c>
      <c r="E182" s="2" t="s">
        <v>1445</v>
      </c>
      <c r="F182" s="2" t="s">
        <v>1446</v>
      </c>
      <c r="G182" s="2" t="s">
        <v>1083</v>
      </c>
      <c r="I182" s="2" t="s">
        <v>31</v>
      </c>
      <c r="J182" s="2" t="s">
        <v>31</v>
      </c>
      <c r="K182" s="2" t="s">
        <v>497</v>
      </c>
      <c r="L182" s="2" t="s">
        <v>164</v>
      </c>
      <c r="M182" s="2" t="s">
        <v>386</v>
      </c>
      <c r="N182" s="27" t="s">
        <v>1383</v>
      </c>
      <c r="O182" s="2" t="s">
        <v>1386</v>
      </c>
      <c r="P182" s="2" t="s">
        <v>1387</v>
      </c>
      <c r="Q182" s="2" t="s">
        <v>217</v>
      </c>
      <c r="R182" s="2" t="s">
        <v>453</v>
      </c>
      <c r="S182" s="2" t="s">
        <v>35</v>
      </c>
      <c r="T182" s="150">
        <v>3.21</v>
      </c>
      <c r="U182" s="2" t="s">
        <v>203</v>
      </c>
      <c r="V182" s="162">
        <v>5.5E-2</v>
      </c>
      <c r="W182" s="2" t="s">
        <v>800</v>
      </c>
      <c r="X182" s="2" t="s">
        <v>1388</v>
      </c>
      <c r="Y182" s="150">
        <v>5.5</v>
      </c>
      <c r="Z182" s="164">
        <v>3.0009999999999998E-2</v>
      </c>
      <c r="AA182" s="2" t="s">
        <v>1389</v>
      </c>
      <c r="AB182" s="4" t="s">
        <v>458</v>
      </c>
      <c r="AG182" s="2" t="s">
        <v>164</v>
      </c>
      <c r="AJ182" s="2" t="s">
        <v>164</v>
      </c>
      <c r="AK182" s="2" t="s">
        <v>203</v>
      </c>
      <c r="AN182" s="2" t="s">
        <v>1374</v>
      </c>
      <c r="AQ182" s="150">
        <v>602.75</v>
      </c>
      <c r="AR182" s="150">
        <v>122.31</v>
      </c>
      <c r="AS182" s="150">
        <v>1</v>
      </c>
      <c r="AT182" s="150">
        <v>0.73699999999999999</v>
      </c>
      <c r="AU182" s="150">
        <v>0.73699999999999999</v>
      </c>
      <c r="AX182" s="4" t="s">
        <v>164</v>
      </c>
      <c r="AY182" s="2" t="s">
        <v>37</v>
      </c>
      <c r="AZ182" s="164">
        <v>7.8645069973522501E-4</v>
      </c>
      <c r="BA182" s="164">
        <v>9.9955178303088197E-6</v>
      </c>
    </row>
    <row r="183" spans="1:53">
      <c r="A183" s="2" t="s">
        <v>144</v>
      </c>
      <c r="B183" s="2">
        <v>969</v>
      </c>
      <c r="C183" s="2" t="s">
        <v>1383</v>
      </c>
      <c r="D183" s="2" t="s">
        <v>34</v>
      </c>
      <c r="E183" s="2" t="s">
        <v>1447</v>
      </c>
      <c r="F183" s="2" t="s">
        <v>1448</v>
      </c>
      <c r="G183" s="2" t="s">
        <v>1083</v>
      </c>
      <c r="I183" s="2" t="s">
        <v>31</v>
      </c>
      <c r="J183" s="2" t="s">
        <v>31</v>
      </c>
      <c r="K183" s="2" t="s">
        <v>497</v>
      </c>
      <c r="L183" s="2" t="s">
        <v>164</v>
      </c>
      <c r="M183" s="2" t="s">
        <v>386</v>
      </c>
      <c r="N183" s="190" t="s">
        <v>1383</v>
      </c>
      <c r="O183" s="2" t="s">
        <v>1449</v>
      </c>
      <c r="P183" s="2" t="s">
        <v>1392</v>
      </c>
      <c r="Q183" s="2" t="s">
        <v>98</v>
      </c>
      <c r="R183" s="2" t="s">
        <v>453</v>
      </c>
      <c r="S183" s="2" t="s">
        <v>35</v>
      </c>
      <c r="T183" s="150">
        <v>3.33</v>
      </c>
      <c r="U183" s="2" t="s">
        <v>203</v>
      </c>
      <c r="V183" s="162">
        <v>5.7230999999999997E-2</v>
      </c>
      <c r="W183" s="2" t="s">
        <v>800</v>
      </c>
      <c r="X183" s="2" t="s">
        <v>954</v>
      </c>
      <c r="Y183" s="150">
        <v>5.7230999999999996</v>
      </c>
      <c r="Z183" s="164">
        <v>2.896E-2</v>
      </c>
      <c r="AA183" s="2" t="s">
        <v>1399</v>
      </c>
      <c r="AB183" s="4" t="s">
        <v>458</v>
      </c>
      <c r="AC183" s="2" t="s">
        <v>529</v>
      </c>
      <c r="AD183" s="150">
        <v>4685</v>
      </c>
      <c r="AE183" s="150">
        <v>0.78</v>
      </c>
      <c r="AF183" s="2" t="s">
        <v>1400</v>
      </c>
      <c r="AG183" s="2" t="s">
        <v>164</v>
      </c>
      <c r="AI183" s="2" t="s">
        <v>1401</v>
      </c>
      <c r="AJ183" s="2" t="s">
        <v>386</v>
      </c>
      <c r="AK183" s="2" t="s">
        <v>937</v>
      </c>
      <c r="AL183" s="2" t="s">
        <v>1373</v>
      </c>
      <c r="AN183" s="2" t="s">
        <v>1374</v>
      </c>
      <c r="AO183" s="2" t="s">
        <v>1400</v>
      </c>
      <c r="AP183" s="151">
        <v>0</v>
      </c>
      <c r="AQ183" s="150">
        <v>5790.53</v>
      </c>
      <c r="AR183" s="150">
        <v>127.39</v>
      </c>
      <c r="AS183" s="150">
        <v>1</v>
      </c>
      <c r="AT183" s="150">
        <v>7.3769999999999998</v>
      </c>
      <c r="AU183" s="150">
        <v>7.3769999999999998</v>
      </c>
      <c r="AX183" s="4" t="s">
        <v>164</v>
      </c>
      <c r="AY183" s="2" t="s">
        <v>37</v>
      </c>
      <c r="AZ183" s="164">
        <v>7.8691164381567095E-3</v>
      </c>
      <c r="BA183" s="164">
        <v>1.00013762709923E-4</v>
      </c>
    </row>
    <row r="184" spans="1:53">
      <c r="A184" s="2" t="s">
        <v>144</v>
      </c>
      <c r="B184" s="2">
        <v>969</v>
      </c>
      <c r="C184" s="2" t="s">
        <v>1383</v>
      </c>
      <c r="D184" s="2" t="s">
        <v>34</v>
      </c>
      <c r="E184" s="2" t="s">
        <v>1450</v>
      </c>
      <c r="F184" s="2" t="s">
        <v>1451</v>
      </c>
      <c r="G184" s="2" t="s">
        <v>1083</v>
      </c>
      <c r="I184" s="2" t="s">
        <v>31</v>
      </c>
      <c r="J184" s="2" t="s">
        <v>31</v>
      </c>
      <c r="K184" s="2" t="s">
        <v>497</v>
      </c>
      <c r="L184" s="2" t="s">
        <v>164</v>
      </c>
      <c r="M184" s="2" t="s">
        <v>386</v>
      </c>
      <c r="N184" s="27" t="s">
        <v>1383</v>
      </c>
      <c r="O184" s="2" t="s">
        <v>1386</v>
      </c>
      <c r="P184" s="2" t="s">
        <v>1392</v>
      </c>
      <c r="Q184" s="2" t="s">
        <v>98</v>
      </c>
      <c r="R184" s="2" t="s">
        <v>453</v>
      </c>
      <c r="S184" s="2" t="s">
        <v>35</v>
      </c>
      <c r="T184" s="150">
        <v>3.19</v>
      </c>
      <c r="U184" s="2" t="s">
        <v>1393</v>
      </c>
      <c r="V184" s="162">
        <v>5.6619999999999997E-2</v>
      </c>
      <c r="W184" s="2" t="s">
        <v>800</v>
      </c>
      <c r="X184" s="2" t="s">
        <v>1388</v>
      </c>
      <c r="Y184" s="150">
        <v>5.6619999999999999</v>
      </c>
      <c r="Z184" s="164">
        <v>3.49E-2</v>
      </c>
      <c r="AA184" s="2" t="s">
        <v>1389</v>
      </c>
      <c r="AB184" s="4" t="s">
        <v>458</v>
      </c>
      <c r="AG184" s="2" t="s">
        <v>164</v>
      </c>
      <c r="AJ184" s="2" t="s">
        <v>164</v>
      </c>
      <c r="AK184" s="2" t="s">
        <v>203</v>
      </c>
      <c r="AN184" s="2" t="s">
        <v>1374</v>
      </c>
      <c r="AQ184" s="150">
        <v>1302.0999999999999</v>
      </c>
      <c r="AR184" s="150">
        <v>125.19</v>
      </c>
      <c r="AS184" s="150">
        <v>1</v>
      </c>
      <c r="AT184" s="150">
        <v>1.63</v>
      </c>
      <c r="AU184" s="150">
        <v>1.63</v>
      </c>
      <c r="AX184" s="4" t="s">
        <v>164</v>
      </c>
      <c r="AY184" s="2" t="s">
        <v>37</v>
      </c>
      <c r="AZ184" s="164">
        <v>1.73894680222417E-3</v>
      </c>
      <c r="BA184" s="164">
        <v>2.2101415604871499E-5</v>
      </c>
    </row>
    <row r="185" spans="1:53">
      <c r="A185" s="2" t="s">
        <v>144</v>
      </c>
      <c r="B185" s="2">
        <v>969</v>
      </c>
      <c r="C185" s="2" t="s">
        <v>1383</v>
      </c>
      <c r="D185" s="2" t="s">
        <v>34</v>
      </c>
      <c r="E185" s="2" t="s">
        <v>1452</v>
      </c>
      <c r="F185" s="2" t="s">
        <v>1453</v>
      </c>
      <c r="G185" s="2" t="s">
        <v>1083</v>
      </c>
      <c r="I185" s="2" t="s">
        <v>31</v>
      </c>
      <c r="J185" s="2" t="s">
        <v>31</v>
      </c>
      <c r="K185" s="2" t="s">
        <v>497</v>
      </c>
      <c r="L185" s="2" t="s">
        <v>164</v>
      </c>
      <c r="M185" s="2" t="s">
        <v>386</v>
      </c>
      <c r="N185" s="190" t="s">
        <v>1383</v>
      </c>
      <c r="O185" s="2" t="s">
        <v>1454</v>
      </c>
      <c r="P185" s="2" t="s">
        <v>1392</v>
      </c>
      <c r="Q185" s="2" t="s">
        <v>98</v>
      </c>
      <c r="R185" s="2" t="s">
        <v>453</v>
      </c>
      <c r="S185" s="2" t="s">
        <v>35</v>
      </c>
      <c r="T185" s="150">
        <v>3.49</v>
      </c>
      <c r="U185" s="2" t="s">
        <v>1393</v>
      </c>
      <c r="V185" s="162">
        <v>5.5E-2</v>
      </c>
      <c r="W185" s="2" t="s">
        <v>800</v>
      </c>
      <c r="X185" s="2" t="s">
        <v>954</v>
      </c>
      <c r="Y185" s="150">
        <v>5.5</v>
      </c>
      <c r="Z185" s="164">
        <v>2.9960000000000001E-2</v>
      </c>
      <c r="AA185" s="2" t="s">
        <v>1399</v>
      </c>
      <c r="AB185" s="4" t="s">
        <v>458</v>
      </c>
      <c r="AC185" s="2" t="s">
        <v>529</v>
      </c>
      <c r="AD185" s="150">
        <v>6161</v>
      </c>
      <c r="AE185" s="150">
        <v>0.78</v>
      </c>
      <c r="AF185" s="2" t="s">
        <v>1400</v>
      </c>
      <c r="AG185" s="2" t="s">
        <v>164</v>
      </c>
      <c r="AI185" s="2" t="s">
        <v>1401</v>
      </c>
      <c r="AJ185" s="2" t="s">
        <v>386</v>
      </c>
      <c r="AK185" s="2" t="s">
        <v>937</v>
      </c>
      <c r="AL185" s="2" t="s">
        <v>1373</v>
      </c>
      <c r="AN185" s="2" t="s">
        <v>1374</v>
      </c>
      <c r="AO185" s="2" t="s">
        <v>1400</v>
      </c>
      <c r="AP185" s="151">
        <v>0</v>
      </c>
      <c r="AQ185" s="150">
        <v>7613.63</v>
      </c>
      <c r="AR185" s="150">
        <v>124.15</v>
      </c>
      <c r="AS185" s="150">
        <v>1</v>
      </c>
      <c r="AT185" s="150">
        <v>9.452</v>
      </c>
      <c r="AU185" s="150">
        <v>9.452</v>
      </c>
      <c r="AX185" s="4" t="s">
        <v>164</v>
      </c>
      <c r="AY185" s="2" t="s">
        <v>37</v>
      </c>
      <c r="AZ185" s="164">
        <v>1.00834885482428E-2</v>
      </c>
      <c r="BA185" s="164">
        <v>1.28157670416732E-4</v>
      </c>
    </row>
    <row r="186" spans="1:53">
      <c r="A186" s="2" t="s">
        <v>144</v>
      </c>
      <c r="B186" s="2">
        <v>969</v>
      </c>
      <c r="C186" s="2" t="s">
        <v>1383</v>
      </c>
      <c r="D186" s="2" t="s">
        <v>34</v>
      </c>
      <c r="E186" s="2" t="s">
        <v>1455</v>
      </c>
      <c r="F186" s="2" t="s">
        <v>1456</v>
      </c>
      <c r="G186" s="2" t="s">
        <v>1083</v>
      </c>
      <c r="I186" s="2" t="s">
        <v>31</v>
      </c>
      <c r="J186" s="2" t="s">
        <v>31</v>
      </c>
      <c r="K186" s="2" t="s">
        <v>497</v>
      </c>
      <c r="L186" s="2" t="s">
        <v>164</v>
      </c>
      <c r="M186" s="2" t="s">
        <v>386</v>
      </c>
      <c r="N186" s="190" t="s">
        <v>1383</v>
      </c>
      <c r="O186" s="2" t="s">
        <v>1457</v>
      </c>
      <c r="P186" s="2" t="s">
        <v>1392</v>
      </c>
      <c r="Q186" s="2" t="s">
        <v>98</v>
      </c>
      <c r="R186" s="2" t="s">
        <v>453</v>
      </c>
      <c r="S186" s="2" t="s">
        <v>35</v>
      </c>
      <c r="T186" s="150">
        <v>3.49</v>
      </c>
      <c r="U186" s="2" t="s">
        <v>1393</v>
      </c>
      <c r="V186" s="162">
        <v>5.5309999999999998E-2</v>
      </c>
      <c r="W186" s="2" t="s">
        <v>800</v>
      </c>
      <c r="X186" s="2" t="s">
        <v>954</v>
      </c>
      <c r="Y186" s="150">
        <v>5.5309999999999997</v>
      </c>
      <c r="Z186" s="164">
        <v>2.9579999999999999E-2</v>
      </c>
      <c r="AA186" s="2" t="s">
        <v>1389</v>
      </c>
      <c r="AB186" s="4" t="s">
        <v>458</v>
      </c>
      <c r="AC186" s="2" t="s">
        <v>529</v>
      </c>
      <c r="AD186" s="150">
        <v>9674</v>
      </c>
      <c r="AE186" s="150">
        <v>0.78</v>
      </c>
      <c r="AF186" s="2" t="s">
        <v>1400</v>
      </c>
      <c r="AG186" s="2" t="s">
        <v>164</v>
      </c>
      <c r="AI186" s="2" t="s">
        <v>1401</v>
      </c>
      <c r="AJ186" s="2" t="s">
        <v>386</v>
      </c>
      <c r="AK186" s="2" t="s">
        <v>937</v>
      </c>
      <c r="AL186" s="2" t="s">
        <v>1373</v>
      </c>
      <c r="AN186" s="2" t="s">
        <v>1374</v>
      </c>
      <c r="AO186" s="2" t="s">
        <v>1400</v>
      </c>
      <c r="AP186" s="151">
        <v>0</v>
      </c>
      <c r="AQ186" s="150">
        <v>5514.84</v>
      </c>
      <c r="AR186" s="150">
        <v>126.7</v>
      </c>
      <c r="AS186" s="150">
        <v>1</v>
      </c>
      <c r="AT186" s="150">
        <v>6.9870000000000001</v>
      </c>
      <c r="AU186" s="150">
        <v>6.9870000000000001</v>
      </c>
      <c r="AX186" s="4" t="s">
        <v>164</v>
      </c>
      <c r="AY186" s="2" t="s">
        <v>37</v>
      </c>
      <c r="AZ186" s="164">
        <v>7.4538706118575503E-3</v>
      </c>
      <c r="BA186" s="164">
        <v>9.4736131115047404E-5</v>
      </c>
    </row>
    <row r="187" spans="1:53">
      <c r="A187" s="2" t="s">
        <v>144</v>
      </c>
      <c r="B187" s="2">
        <v>969</v>
      </c>
      <c r="C187" s="2" t="s">
        <v>1383</v>
      </c>
      <c r="D187" s="2" t="s">
        <v>34</v>
      </c>
      <c r="E187" s="2" t="s">
        <v>1458</v>
      </c>
      <c r="F187" s="2" t="s">
        <v>1459</v>
      </c>
      <c r="G187" s="2" t="s">
        <v>1083</v>
      </c>
      <c r="I187" s="2" t="s">
        <v>31</v>
      </c>
      <c r="J187" s="2" t="s">
        <v>31</v>
      </c>
      <c r="K187" s="2" t="s">
        <v>497</v>
      </c>
      <c r="L187" s="2" t="s">
        <v>164</v>
      </c>
      <c r="M187" s="2" t="s">
        <v>386</v>
      </c>
      <c r="N187" s="27" t="s">
        <v>1383</v>
      </c>
      <c r="O187" s="2" t="s">
        <v>1460</v>
      </c>
      <c r="P187" s="2" t="s">
        <v>1387</v>
      </c>
      <c r="Q187" s="2" t="s">
        <v>217</v>
      </c>
      <c r="R187" s="2" t="s">
        <v>453</v>
      </c>
      <c r="S187" s="2" t="s">
        <v>35</v>
      </c>
      <c r="T187" s="150">
        <v>3.47</v>
      </c>
      <c r="U187" s="2" t="s">
        <v>203</v>
      </c>
      <c r="V187" s="162">
        <v>5.5E-2</v>
      </c>
      <c r="W187" s="2" t="s">
        <v>800</v>
      </c>
      <c r="X187" s="2" t="s">
        <v>1388</v>
      </c>
      <c r="Y187" s="150">
        <v>5.5</v>
      </c>
      <c r="Z187" s="164">
        <v>2.988E-2</v>
      </c>
      <c r="AA187" s="2" t="s">
        <v>1399</v>
      </c>
      <c r="AB187" s="4" t="s">
        <v>458</v>
      </c>
      <c r="AG187" s="2" t="s">
        <v>164</v>
      </c>
      <c r="AJ187" s="2" t="s">
        <v>164</v>
      </c>
      <c r="AK187" s="2" t="s">
        <v>203</v>
      </c>
      <c r="AN187" s="2" t="s">
        <v>1374</v>
      </c>
      <c r="AQ187" s="150">
        <v>1315.41</v>
      </c>
      <c r="AR187" s="150">
        <v>125.22</v>
      </c>
      <c r="AS187" s="150">
        <v>1</v>
      </c>
      <c r="AT187" s="150">
        <v>1.647</v>
      </c>
      <c r="AU187" s="150">
        <v>1.647</v>
      </c>
      <c r="AX187" s="4" t="s">
        <v>164</v>
      </c>
      <c r="AY187" s="2" t="s">
        <v>37</v>
      </c>
      <c r="AZ187" s="164">
        <v>1.7571432014818801E-3</v>
      </c>
      <c r="BA187" s="164">
        <v>2.2332685579313699E-5</v>
      </c>
    </row>
    <row r="188" spans="1:53">
      <c r="A188" s="2" t="s">
        <v>144</v>
      </c>
      <c r="B188" s="2">
        <v>969</v>
      </c>
      <c r="C188" s="2" t="s">
        <v>1383</v>
      </c>
      <c r="D188" s="2" t="s">
        <v>34</v>
      </c>
      <c r="E188" s="2" t="s">
        <v>1461</v>
      </c>
      <c r="F188" s="2" t="s">
        <v>1462</v>
      </c>
      <c r="G188" s="2" t="s">
        <v>1083</v>
      </c>
      <c r="I188" s="2" t="s">
        <v>31</v>
      </c>
      <c r="J188" s="2" t="s">
        <v>31</v>
      </c>
      <c r="K188" s="2" t="s">
        <v>497</v>
      </c>
      <c r="L188" s="2" t="s">
        <v>164</v>
      </c>
      <c r="M188" s="2" t="s">
        <v>386</v>
      </c>
      <c r="N188" s="190" t="s">
        <v>1383</v>
      </c>
      <c r="O188" s="2" t="s">
        <v>1463</v>
      </c>
      <c r="P188" s="2" t="s">
        <v>1392</v>
      </c>
      <c r="Q188" s="2" t="s">
        <v>98</v>
      </c>
      <c r="R188" s="2" t="s">
        <v>453</v>
      </c>
      <c r="S188" s="2" t="s">
        <v>35</v>
      </c>
      <c r="T188" s="150">
        <v>3.46</v>
      </c>
      <c r="U188" s="2" t="s">
        <v>1393</v>
      </c>
      <c r="V188" s="162">
        <v>5.5E-2</v>
      </c>
      <c r="W188" s="2" t="s">
        <v>800</v>
      </c>
      <c r="X188" s="2" t="s">
        <v>954</v>
      </c>
      <c r="Y188" s="150">
        <v>5.5</v>
      </c>
      <c r="Z188" s="164">
        <v>3.279E-2</v>
      </c>
      <c r="AA188" s="2" t="s">
        <v>1389</v>
      </c>
      <c r="AB188" s="4" t="s">
        <v>458</v>
      </c>
      <c r="AC188" s="2" t="s">
        <v>529</v>
      </c>
      <c r="AD188" s="150">
        <v>2154</v>
      </c>
      <c r="AE188" s="150">
        <v>0.78</v>
      </c>
      <c r="AF188" s="2" t="s">
        <v>1400</v>
      </c>
      <c r="AG188" s="2" t="s">
        <v>164</v>
      </c>
      <c r="AI188" s="2" t="s">
        <v>1401</v>
      </c>
      <c r="AJ188" s="2" t="s">
        <v>386</v>
      </c>
      <c r="AK188" s="2" t="s">
        <v>937</v>
      </c>
      <c r="AL188" s="2" t="s">
        <v>1373</v>
      </c>
      <c r="AN188" s="2" t="s">
        <v>1374</v>
      </c>
      <c r="AO188" s="2" t="s">
        <v>1400</v>
      </c>
      <c r="AP188" s="151">
        <v>0</v>
      </c>
      <c r="AQ188" s="150">
        <v>2662.91</v>
      </c>
      <c r="AR188" s="150">
        <v>124.51</v>
      </c>
      <c r="AS188" s="150">
        <v>1</v>
      </c>
      <c r="AT188" s="150">
        <v>3.3159999999999998</v>
      </c>
      <c r="AU188" s="150">
        <v>3.3159999999999998</v>
      </c>
      <c r="AX188" s="4" t="s">
        <v>164</v>
      </c>
      <c r="AY188" s="2" t="s">
        <v>37</v>
      </c>
      <c r="AZ188" s="164">
        <v>3.5369835473156299E-3</v>
      </c>
      <c r="BA188" s="164">
        <v>4.4953844054821202E-5</v>
      </c>
    </row>
    <row r="189" spans="1:53">
      <c r="A189" s="2" t="s">
        <v>144</v>
      </c>
      <c r="B189" s="2">
        <v>969</v>
      </c>
      <c r="C189" s="2" t="s">
        <v>1383</v>
      </c>
      <c r="D189" s="2" t="s">
        <v>34</v>
      </c>
      <c r="E189" s="2" t="s">
        <v>1464</v>
      </c>
      <c r="F189" s="2" t="s">
        <v>1465</v>
      </c>
      <c r="G189" s="2" t="s">
        <v>1083</v>
      </c>
      <c r="I189" s="2" t="s">
        <v>31</v>
      </c>
      <c r="J189" s="2" t="s">
        <v>31</v>
      </c>
      <c r="K189" s="2" t="s">
        <v>497</v>
      </c>
      <c r="L189" s="2" t="s">
        <v>164</v>
      </c>
      <c r="M189" s="2" t="s">
        <v>386</v>
      </c>
      <c r="N189" s="190" t="s">
        <v>1383</v>
      </c>
      <c r="O189" s="2" t="s">
        <v>1466</v>
      </c>
      <c r="P189" s="2" t="s">
        <v>1392</v>
      </c>
      <c r="Q189" s="2" t="s">
        <v>98</v>
      </c>
      <c r="R189" s="2" t="s">
        <v>453</v>
      </c>
      <c r="S189" s="2" t="s">
        <v>35</v>
      </c>
      <c r="T189" s="150">
        <v>3.46</v>
      </c>
      <c r="U189" s="2" t="s">
        <v>1393</v>
      </c>
      <c r="V189" s="162">
        <v>5.5E-2</v>
      </c>
      <c r="W189" s="2" t="s">
        <v>800</v>
      </c>
      <c r="X189" s="2" t="s">
        <v>954</v>
      </c>
      <c r="Y189" s="150">
        <v>5.5</v>
      </c>
      <c r="Z189" s="164">
        <v>3.2759999999999997E-2</v>
      </c>
      <c r="AA189" s="2" t="s">
        <v>1389</v>
      </c>
      <c r="AB189" s="4" t="s">
        <v>458</v>
      </c>
      <c r="AC189" s="2" t="s">
        <v>529</v>
      </c>
      <c r="AD189" s="150">
        <v>3341</v>
      </c>
      <c r="AE189" s="150">
        <v>0.78</v>
      </c>
      <c r="AF189" s="2" t="s">
        <v>1400</v>
      </c>
      <c r="AG189" s="2" t="s">
        <v>164</v>
      </c>
      <c r="AI189" s="2" t="s">
        <v>1401</v>
      </c>
      <c r="AJ189" s="2" t="s">
        <v>386</v>
      </c>
      <c r="AK189" s="2" t="s">
        <v>937</v>
      </c>
      <c r="AL189" s="2" t="s">
        <v>1373</v>
      </c>
      <c r="AN189" s="2" t="s">
        <v>1374</v>
      </c>
      <c r="AO189" s="2" t="s">
        <v>1400</v>
      </c>
      <c r="AP189" s="151">
        <v>0</v>
      </c>
      <c r="AQ189" s="150">
        <v>4129.08</v>
      </c>
      <c r="AR189" s="150">
        <v>124.74</v>
      </c>
      <c r="AS189" s="150">
        <v>1</v>
      </c>
      <c r="AT189" s="150">
        <v>5.1509999999999998</v>
      </c>
      <c r="AU189" s="150">
        <v>5.1509999999999998</v>
      </c>
      <c r="AX189" s="4" t="s">
        <v>164</v>
      </c>
      <c r="AY189" s="2" t="s">
        <v>37</v>
      </c>
      <c r="AZ189" s="164">
        <v>5.4945401974994196E-3</v>
      </c>
      <c r="BA189" s="164">
        <v>6.9833715618721203E-5</v>
      </c>
    </row>
    <row r="190" spans="1:53">
      <c r="A190" s="2" t="s">
        <v>144</v>
      </c>
      <c r="B190" s="2">
        <v>969</v>
      </c>
      <c r="C190" s="2" t="s">
        <v>1383</v>
      </c>
      <c r="D190" s="2" t="s">
        <v>34</v>
      </c>
      <c r="E190" s="2" t="s">
        <v>1467</v>
      </c>
      <c r="F190" s="2" t="s">
        <v>1468</v>
      </c>
      <c r="G190" s="2" t="s">
        <v>1083</v>
      </c>
      <c r="I190" s="2" t="s">
        <v>31</v>
      </c>
      <c r="J190" s="2" t="s">
        <v>31</v>
      </c>
      <c r="K190" s="2" t="s">
        <v>497</v>
      </c>
      <c r="L190" s="2" t="s">
        <v>164</v>
      </c>
      <c r="M190" s="2" t="s">
        <v>386</v>
      </c>
      <c r="N190" s="27" t="s">
        <v>1383</v>
      </c>
      <c r="O190" s="2" t="s">
        <v>1460</v>
      </c>
      <c r="P190" s="2" t="s">
        <v>1387</v>
      </c>
      <c r="Q190" s="2" t="s">
        <v>217</v>
      </c>
      <c r="R190" s="2" t="s">
        <v>453</v>
      </c>
      <c r="S190" s="2" t="s">
        <v>35</v>
      </c>
      <c r="T190" s="150">
        <v>3.46</v>
      </c>
      <c r="U190" s="2" t="s">
        <v>203</v>
      </c>
      <c r="V190" s="162">
        <v>5.5E-2</v>
      </c>
      <c r="W190" s="2" t="s">
        <v>800</v>
      </c>
      <c r="X190" s="2" t="s">
        <v>1388</v>
      </c>
      <c r="Y190" s="150">
        <v>5.5</v>
      </c>
      <c r="Z190" s="164">
        <v>3.3079999999999998E-2</v>
      </c>
      <c r="AA190" s="2" t="s">
        <v>1399</v>
      </c>
      <c r="AB190" s="4" t="s">
        <v>458</v>
      </c>
      <c r="AG190" s="2" t="s">
        <v>164</v>
      </c>
      <c r="AJ190" s="2" t="s">
        <v>164</v>
      </c>
      <c r="AK190" s="2" t="s">
        <v>203</v>
      </c>
      <c r="AN190" s="2" t="s">
        <v>1374</v>
      </c>
      <c r="AQ190" s="150">
        <v>1089.27</v>
      </c>
      <c r="AR190" s="150">
        <v>124.33</v>
      </c>
      <c r="AS190" s="150">
        <v>1</v>
      </c>
      <c r="AT190" s="150">
        <v>1.3540000000000001</v>
      </c>
      <c r="AU190" s="150">
        <v>1.3540000000000001</v>
      </c>
      <c r="AX190" s="4" t="s">
        <v>164</v>
      </c>
      <c r="AY190" s="2" t="s">
        <v>37</v>
      </c>
      <c r="AZ190" s="164">
        <v>1.4447203637403499E-3</v>
      </c>
      <c r="BA190" s="164">
        <v>1.8361898794722499E-5</v>
      </c>
    </row>
    <row r="191" spans="1:53">
      <c r="A191" s="2" t="s">
        <v>144</v>
      </c>
      <c r="B191" s="2">
        <v>969</v>
      </c>
      <c r="C191" s="2" t="s">
        <v>1383</v>
      </c>
      <c r="D191" s="2" t="s">
        <v>34</v>
      </c>
      <c r="E191" s="2" t="s">
        <v>1469</v>
      </c>
      <c r="F191" s="2" t="s">
        <v>1470</v>
      </c>
      <c r="G191" s="2" t="s">
        <v>1083</v>
      </c>
      <c r="I191" s="2" t="s">
        <v>31</v>
      </c>
      <c r="J191" s="2" t="s">
        <v>31</v>
      </c>
      <c r="K191" s="2" t="s">
        <v>497</v>
      </c>
      <c r="L191" s="2" t="s">
        <v>164</v>
      </c>
      <c r="M191" s="2" t="s">
        <v>386</v>
      </c>
      <c r="N191" s="190" t="s">
        <v>1383</v>
      </c>
      <c r="O191" s="2" t="s">
        <v>1471</v>
      </c>
      <c r="P191" s="2" t="s">
        <v>1392</v>
      </c>
      <c r="Q191" s="2" t="s">
        <v>98</v>
      </c>
      <c r="R191" s="2" t="s">
        <v>453</v>
      </c>
      <c r="S191" s="2" t="s">
        <v>35</v>
      </c>
      <c r="T191" s="150">
        <v>3.47</v>
      </c>
      <c r="U191" s="2" t="s">
        <v>1393</v>
      </c>
      <c r="V191" s="162">
        <v>5.5E-2</v>
      </c>
      <c r="W191" s="2" t="s">
        <v>800</v>
      </c>
      <c r="X191" s="2" t="s">
        <v>954</v>
      </c>
      <c r="Y191" s="150">
        <v>5.5</v>
      </c>
      <c r="Z191" s="164">
        <v>3.0769999999999999E-2</v>
      </c>
      <c r="AA191" s="2" t="s">
        <v>1389</v>
      </c>
      <c r="AB191" s="4" t="s">
        <v>458</v>
      </c>
      <c r="AC191" s="2" t="s">
        <v>529</v>
      </c>
      <c r="AD191" s="150">
        <v>774</v>
      </c>
      <c r="AE191" s="150">
        <v>0.78</v>
      </c>
      <c r="AF191" s="2" t="s">
        <v>1400</v>
      </c>
      <c r="AG191" s="2" t="s">
        <v>164</v>
      </c>
      <c r="AI191" s="2" t="s">
        <v>1401</v>
      </c>
      <c r="AJ191" s="2" t="s">
        <v>386</v>
      </c>
      <c r="AK191" s="2" t="s">
        <v>937</v>
      </c>
      <c r="AL191" s="2" t="s">
        <v>1373</v>
      </c>
      <c r="AN191" s="2" t="s">
        <v>1374</v>
      </c>
      <c r="AO191" s="2" t="s">
        <v>1400</v>
      </c>
      <c r="AP191" s="151">
        <v>0</v>
      </c>
      <c r="AQ191" s="150">
        <v>956.12</v>
      </c>
      <c r="AR191" s="150">
        <v>123.32</v>
      </c>
      <c r="AS191" s="150">
        <v>1</v>
      </c>
      <c r="AT191" s="150">
        <v>1.179</v>
      </c>
      <c r="AU191" s="150">
        <v>1.179</v>
      </c>
      <c r="AX191" s="4" t="s">
        <v>164</v>
      </c>
      <c r="AY191" s="2" t="s">
        <v>37</v>
      </c>
      <c r="AZ191" s="164">
        <v>1.25781924946798E-3</v>
      </c>
      <c r="BA191" s="164">
        <v>1.5986449932075401E-5</v>
      </c>
    </row>
    <row r="192" spans="1:53">
      <c r="A192" s="2" t="s">
        <v>144</v>
      </c>
      <c r="B192" s="2">
        <v>969</v>
      </c>
      <c r="C192" s="2" t="s">
        <v>1383</v>
      </c>
      <c r="D192" s="2" t="s">
        <v>34</v>
      </c>
      <c r="E192" s="2" t="s">
        <v>1472</v>
      </c>
      <c r="F192" s="2" t="s">
        <v>1473</v>
      </c>
      <c r="G192" s="2" t="s">
        <v>1083</v>
      </c>
      <c r="I192" s="2" t="s">
        <v>31</v>
      </c>
      <c r="J192" s="2" t="s">
        <v>31</v>
      </c>
      <c r="K192" s="2" t="s">
        <v>497</v>
      </c>
      <c r="L192" s="2" t="s">
        <v>164</v>
      </c>
      <c r="M192" s="2" t="s">
        <v>386</v>
      </c>
      <c r="N192" s="190" t="s">
        <v>1383</v>
      </c>
      <c r="O192" s="2" t="s">
        <v>1474</v>
      </c>
      <c r="P192" s="2" t="s">
        <v>1392</v>
      </c>
      <c r="Q192" s="2" t="s">
        <v>98</v>
      </c>
      <c r="R192" s="2" t="s">
        <v>453</v>
      </c>
      <c r="S192" s="2" t="s">
        <v>35</v>
      </c>
      <c r="T192" s="150">
        <v>3.46</v>
      </c>
      <c r="U192" s="2" t="s">
        <v>1393</v>
      </c>
      <c r="V192" s="162">
        <v>5.5E-2</v>
      </c>
      <c r="W192" s="2" t="s">
        <v>800</v>
      </c>
      <c r="X192" s="2" t="s">
        <v>954</v>
      </c>
      <c r="Y192" s="150">
        <v>5.5</v>
      </c>
      <c r="Z192" s="164">
        <v>3.1359999999999999E-2</v>
      </c>
      <c r="AA192" s="2" t="s">
        <v>1389</v>
      </c>
      <c r="AB192" s="4" t="s">
        <v>458</v>
      </c>
      <c r="AC192" s="2" t="s">
        <v>529</v>
      </c>
      <c r="AD192" s="150">
        <v>862</v>
      </c>
      <c r="AE192" s="150">
        <v>0.78</v>
      </c>
      <c r="AF192" s="2" t="s">
        <v>1400</v>
      </c>
      <c r="AG192" s="2" t="s">
        <v>164</v>
      </c>
      <c r="AI192" s="2" t="s">
        <v>1401</v>
      </c>
      <c r="AJ192" s="2" t="s">
        <v>386</v>
      </c>
      <c r="AK192" s="2" t="s">
        <v>937</v>
      </c>
      <c r="AL192" s="2" t="s">
        <v>1373</v>
      </c>
      <c r="AN192" s="2" t="s">
        <v>1374</v>
      </c>
      <c r="AO192" s="2" t="s">
        <v>1400</v>
      </c>
      <c r="AP192" s="151">
        <v>0</v>
      </c>
      <c r="AQ192" s="150">
        <v>1065.82</v>
      </c>
      <c r="AR192" s="150">
        <v>122.67</v>
      </c>
      <c r="AS192" s="150">
        <v>1</v>
      </c>
      <c r="AT192" s="150">
        <v>1.3069999999999999</v>
      </c>
      <c r="AU192" s="150">
        <v>1.3069999999999999</v>
      </c>
      <c r="AX192" s="4" t="s">
        <v>164</v>
      </c>
      <c r="AY192" s="2" t="s">
        <v>37</v>
      </c>
      <c r="AZ192" s="164">
        <v>1.39474415059408E-3</v>
      </c>
      <c r="BA192" s="164">
        <v>1.7726718318994001E-5</v>
      </c>
    </row>
    <row r="193" spans="1:53">
      <c r="A193" s="2" t="s">
        <v>144</v>
      </c>
      <c r="B193" s="2">
        <v>969</v>
      </c>
      <c r="C193" s="2" t="s">
        <v>1383</v>
      </c>
      <c r="D193" s="2" t="s">
        <v>34</v>
      </c>
      <c r="E193" s="2" t="s">
        <v>1475</v>
      </c>
      <c r="F193" s="2" t="s">
        <v>1476</v>
      </c>
      <c r="G193" s="2" t="s">
        <v>1083</v>
      </c>
      <c r="I193" s="2" t="s">
        <v>31</v>
      </c>
      <c r="J193" s="2" t="s">
        <v>31</v>
      </c>
      <c r="K193" s="2" t="s">
        <v>497</v>
      </c>
      <c r="L193" s="2" t="s">
        <v>164</v>
      </c>
      <c r="M193" s="2" t="s">
        <v>386</v>
      </c>
      <c r="N193" s="190" t="s">
        <v>1383</v>
      </c>
      <c r="O193" s="2" t="s">
        <v>1477</v>
      </c>
      <c r="P193" s="2" t="s">
        <v>1392</v>
      </c>
      <c r="Q193" s="2" t="s">
        <v>98</v>
      </c>
      <c r="R193" s="2" t="s">
        <v>453</v>
      </c>
      <c r="S193" s="2" t="s">
        <v>35</v>
      </c>
      <c r="T193" s="150">
        <v>3.46</v>
      </c>
      <c r="U193" s="2" t="s">
        <v>1393</v>
      </c>
      <c r="V193" s="162">
        <v>5.5E-2</v>
      </c>
      <c r="W193" s="2" t="s">
        <v>800</v>
      </c>
      <c r="X193" s="2" t="s">
        <v>954</v>
      </c>
      <c r="Y193" s="150">
        <v>5.5</v>
      </c>
      <c r="Z193" s="164">
        <v>3.2759999999999997E-2</v>
      </c>
      <c r="AA193" s="2" t="s">
        <v>1389</v>
      </c>
      <c r="AB193" s="4" t="s">
        <v>458</v>
      </c>
      <c r="AC193" s="2" t="s">
        <v>529</v>
      </c>
      <c r="AD193" s="150">
        <v>2532</v>
      </c>
      <c r="AE193" s="150">
        <v>0.78</v>
      </c>
      <c r="AF193" s="2" t="s">
        <v>1400</v>
      </c>
      <c r="AG193" s="2" t="s">
        <v>164</v>
      </c>
      <c r="AI193" s="2" t="s">
        <v>1401</v>
      </c>
      <c r="AJ193" s="2" t="s">
        <v>386</v>
      </c>
      <c r="AK193" s="2" t="s">
        <v>937</v>
      </c>
      <c r="AL193" s="2" t="s">
        <v>1373</v>
      </c>
      <c r="AN193" s="2" t="s">
        <v>1374</v>
      </c>
      <c r="AO193" s="2" t="s">
        <v>1400</v>
      </c>
      <c r="AP193" s="151">
        <v>0</v>
      </c>
      <c r="AQ193" s="150">
        <v>3129.44</v>
      </c>
      <c r="AR193" s="150">
        <v>122.42</v>
      </c>
      <c r="AS193" s="150">
        <v>1</v>
      </c>
      <c r="AT193" s="150">
        <v>3.831</v>
      </c>
      <c r="AU193" s="150">
        <v>3.831</v>
      </c>
      <c r="AX193" s="4" t="s">
        <v>164</v>
      </c>
      <c r="AY193" s="2" t="s">
        <v>37</v>
      </c>
      <c r="AZ193" s="164">
        <v>4.0868746965956396E-3</v>
      </c>
      <c r="BA193" s="164">
        <v>5.1942771382634402E-5</v>
      </c>
    </row>
    <row r="194" spans="1:53">
      <c r="A194" s="2" t="s">
        <v>144</v>
      </c>
      <c r="B194" s="2">
        <v>969</v>
      </c>
      <c r="C194" s="2" t="s">
        <v>1383</v>
      </c>
      <c r="D194" s="2" t="s">
        <v>34</v>
      </c>
      <c r="E194" s="2" t="s">
        <v>1478</v>
      </c>
      <c r="F194" s="2" t="s">
        <v>1479</v>
      </c>
      <c r="G194" s="2" t="s">
        <v>1083</v>
      </c>
      <c r="I194" s="2" t="s">
        <v>31</v>
      </c>
      <c r="J194" s="2" t="s">
        <v>31</v>
      </c>
      <c r="K194" s="2" t="s">
        <v>497</v>
      </c>
      <c r="L194" s="2" t="s">
        <v>164</v>
      </c>
      <c r="M194" s="2" t="s">
        <v>386</v>
      </c>
      <c r="N194" s="190" t="s">
        <v>1383</v>
      </c>
      <c r="O194" s="2" t="s">
        <v>1480</v>
      </c>
      <c r="P194" s="2" t="s">
        <v>1387</v>
      </c>
      <c r="Q194" s="2" t="s">
        <v>217</v>
      </c>
      <c r="R194" s="2" t="s">
        <v>453</v>
      </c>
      <c r="S194" s="2" t="s">
        <v>35</v>
      </c>
      <c r="T194" s="150">
        <v>3.46</v>
      </c>
      <c r="U194" s="2" t="s">
        <v>1393</v>
      </c>
      <c r="V194" s="162">
        <v>5.5E-2</v>
      </c>
      <c r="W194" s="2" t="s">
        <v>800</v>
      </c>
      <c r="X194" s="2" t="s">
        <v>954</v>
      </c>
      <c r="Y194" s="150">
        <v>5.5</v>
      </c>
      <c r="Z194" s="164">
        <v>3.2730000000000002E-2</v>
      </c>
      <c r="AA194" s="2" t="s">
        <v>1389</v>
      </c>
      <c r="AB194" s="4" t="s">
        <v>458</v>
      </c>
      <c r="AC194" s="2" t="s">
        <v>529</v>
      </c>
      <c r="AD194" s="150">
        <v>470</v>
      </c>
      <c r="AE194" s="150">
        <v>0.78</v>
      </c>
      <c r="AF194" s="2" t="s">
        <v>1400</v>
      </c>
      <c r="AG194" s="2" t="s">
        <v>164</v>
      </c>
      <c r="AI194" s="2" t="s">
        <v>1401</v>
      </c>
      <c r="AJ194" s="2" t="s">
        <v>386</v>
      </c>
      <c r="AK194" s="2" t="s">
        <v>937</v>
      </c>
      <c r="AL194" s="2" t="s">
        <v>1373</v>
      </c>
      <c r="AN194" s="2" t="s">
        <v>1374</v>
      </c>
      <c r="AO194" s="2" t="s">
        <v>1400</v>
      </c>
      <c r="AP194" s="151">
        <v>0</v>
      </c>
      <c r="AQ194" s="150">
        <v>580.9</v>
      </c>
      <c r="AR194" s="150">
        <v>123.04</v>
      </c>
      <c r="AS194" s="150">
        <v>1</v>
      </c>
      <c r="AT194" s="150">
        <v>0.71499999999999997</v>
      </c>
      <c r="AU194" s="150">
        <v>0.71499999999999997</v>
      </c>
      <c r="AX194" s="4" t="s">
        <v>164</v>
      </c>
      <c r="AY194" s="2" t="s">
        <v>37</v>
      </c>
      <c r="AZ194" s="164">
        <v>7.6246518286337498E-4</v>
      </c>
      <c r="BA194" s="164">
        <v>9.6906701626260702E-6</v>
      </c>
    </row>
    <row r="195" spans="1:53">
      <c r="A195" s="2" t="s">
        <v>144</v>
      </c>
      <c r="B195" s="2">
        <v>969</v>
      </c>
      <c r="C195" s="2" t="s">
        <v>1383</v>
      </c>
      <c r="D195" s="2" t="s">
        <v>34</v>
      </c>
      <c r="E195" s="2" t="s">
        <v>1481</v>
      </c>
      <c r="F195" s="2" t="s">
        <v>1482</v>
      </c>
      <c r="G195" s="2" t="s">
        <v>1083</v>
      </c>
      <c r="I195" s="2" t="s">
        <v>31</v>
      </c>
      <c r="J195" s="2" t="s">
        <v>31</v>
      </c>
      <c r="K195" s="2" t="s">
        <v>497</v>
      </c>
      <c r="L195" s="2" t="s">
        <v>164</v>
      </c>
      <c r="M195" s="2" t="s">
        <v>386</v>
      </c>
      <c r="N195" s="190" t="s">
        <v>1383</v>
      </c>
      <c r="O195" s="2" t="s">
        <v>1483</v>
      </c>
      <c r="P195" s="2" t="s">
        <v>1392</v>
      </c>
      <c r="Q195" s="2" t="s">
        <v>98</v>
      </c>
      <c r="R195" s="2" t="s">
        <v>453</v>
      </c>
      <c r="S195" s="2" t="s">
        <v>35</v>
      </c>
      <c r="T195" s="150">
        <v>3.46</v>
      </c>
      <c r="U195" s="2" t="s">
        <v>1393</v>
      </c>
      <c r="V195" s="162">
        <v>5.5E-2</v>
      </c>
      <c r="W195" s="2" t="s">
        <v>800</v>
      </c>
      <c r="X195" s="2" t="s">
        <v>954</v>
      </c>
      <c r="Y195" s="150">
        <v>5.5</v>
      </c>
      <c r="Z195" s="164">
        <v>3.2759999999999997E-2</v>
      </c>
      <c r="AA195" s="2" t="s">
        <v>1484</v>
      </c>
      <c r="AB195" s="4" t="s">
        <v>458</v>
      </c>
      <c r="AC195" s="2" t="s">
        <v>529</v>
      </c>
      <c r="AD195" s="150">
        <v>938</v>
      </c>
      <c r="AE195" s="150">
        <v>0.78</v>
      </c>
      <c r="AF195" s="2" t="s">
        <v>1400</v>
      </c>
      <c r="AG195" s="2" t="s">
        <v>164</v>
      </c>
      <c r="AI195" s="2" t="s">
        <v>1401</v>
      </c>
      <c r="AJ195" s="2" t="s">
        <v>386</v>
      </c>
      <c r="AK195" s="2" t="s">
        <v>937</v>
      </c>
      <c r="AL195" s="2" t="s">
        <v>1373</v>
      </c>
      <c r="AN195" s="2" t="s">
        <v>1374</v>
      </c>
      <c r="AO195" s="2" t="s">
        <v>1400</v>
      </c>
      <c r="AP195" s="151">
        <v>0</v>
      </c>
      <c r="AQ195" s="150">
        <v>1159.22</v>
      </c>
      <c r="AR195" s="150">
        <v>123.27</v>
      </c>
      <c r="AS195" s="150">
        <v>1</v>
      </c>
      <c r="AT195" s="150">
        <v>1.429</v>
      </c>
      <c r="AU195" s="150">
        <v>1.429</v>
      </c>
      <c r="AX195" s="4" t="s">
        <v>164</v>
      </c>
      <c r="AY195" s="2" t="s">
        <v>37</v>
      </c>
      <c r="AZ195" s="164">
        <v>1.52438820357406E-3</v>
      </c>
      <c r="BA195" s="164">
        <v>1.9374449630812002E-5</v>
      </c>
    </row>
    <row r="196" spans="1:53">
      <c r="A196" s="2" t="s">
        <v>144</v>
      </c>
      <c r="B196" s="2">
        <v>969</v>
      </c>
      <c r="C196" s="2" t="s">
        <v>1383</v>
      </c>
      <c r="D196" s="2" t="s">
        <v>34</v>
      </c>
      <c r="E196" s="2" t="s">
        <v>1485</v>
      </c>
      <c r="F196" s="2" t="s">
        <v>1486</v>
      </c>
      <c r="G196" s="2" t="s">
        <v>1083</v>
      </c>
      <c r="I196" s="2" t="s">
        <v>31</v>
      </c>
      <c r="J196" s="2" t="s">
        <v>31</v>
      </c>
      <c r="K196" s="2" t="s">
        <v>497</v>
      </c>
      <c r="L196" s="2" t="s">
        <v>164</v>
      </c>
      <c r="M196" s="2" t="s">
        <v>386</v>
      </c>
      <c r="N196" s="190" t="s">
        <v>1383</v>
      </c>
      <c r="O196" s="2" t="s">
        <v>1487</v>
      </c>
      <c r="P196" s="2" t="s">
        <v>1392</v>
      </c>
      <c r="Q196" s="2" t="s">
        <v>98</v>
      </c>
      <c r="R196" s="2" t="s">
        <v>453</v>
      </c>
      <c r="S196" s="2" t="s">
        <v>35</v>
      </c>
      <c r="T196" s="150">
        <v>3.46</v>
      </c>
      <c r="U196" s="2" t="s">
        <v>1393</v>
      </c>
      <c r="V196" s="162">
        <v>5.5E-2</v>
      </c>
      <c r="W196" s="2" t="s">
        <v>800</v>
      </c>
      <c r="X196" s="2" t="s">
        <v>954</v>
      </c>
      <c r="Y196" s="150">
        <v>5.5</v>
      </c>
      <c r="Z196" s="164">
        <v>3.2739999999999998E-2</v>
      </c>
      <c r="AA196" s="2" t="s">
        <v>1389</v>
      </c>
      <c r="AB196" s="4" t="s">
        <v>458</v>
      </c>
      <c r="AC196" s="2" t="s">
        <v>529</v>
      </c>
      <c r="AD196" s="150">
        <v>588</v>
      </c>
      <c r="AE196" s="150">
        <v>0.78</v>
      </c>
      <c r="AF196" s="2" t="s">
        <v>1400</v>
      </c>
      <c r="AG196" s="2" t="s">
        <v>164</v>
      </c>
      <c r="AI196" s="2" t="s">
        <v>1401</v>
      </c>
      <c r="AJ196" s="2" t="s">
        <v>386</v>
      </c>
      <c r="AK196" s="2" t="s">
        <v>937</v>
      </c>
      <c r="AL196" s="2" t="s">
        <v>1373</v>
      </c>
      <c r="AN196" s="2" t="s">
        <v>1374</v>
      </c>
      <c r="AO196" s="2" t="s">
        <v>1400</v>
      </c>
      <c r="AP196" s="151">
        <v>0</v>
      </c>
      <c r="AQ196" s="150">
        <v>726.4</v>
      </c>
      <c r="AR196" s="150">
        <v>122.79</v>
      </c>
      <c r="AS196" s="150">
        <v>1</v>
      </c>
      <c r="AT196" s="150">
        <v>0.89200000000000002</v>
      </c>
      <c r="AU196" s="150">
        <v>0.89200000000000002</v>
      </c>
      <c r="AX196" s="4" t="s">
        <v>164</v>
      </c>
      <c r="AY196" s="2" t="s">
        <v>37</v>
      </c>
      <c r="AZ196" s="164">
        <v>9.5150517102452305E-4</v>
      </c>
      <c r="BA196" s="164">
        <v>1.20933033765609E-5</v>
      </c>
    </row>
    <row r="197" spans="1:53">
      <c r="A197" s="2" t="s">
        <v>144</v>
      </c>
      <c r="B197" s="2">
        <v>969</v>
      </c>
      <c r="C197" s="2" t="s">
        <v>1383</v>
      </c>
      <c r="D197" s="2" t="s">
        <v>34</v>
      </c>
      <c r="E197" s="2" t="s">
        <v>1488</v>
      </c>
      <c r="F197" s="2" t="s">
        <v>1489</v>
      </c>
      <c r="G197" s="2" t="s">
        <v>1083</v>
      </c>
      <c r="I197" s="2" t="s">
        <v>31</v>
      </c>
      <c r="J197" s="2" t="s">
        <v>31</v>
      </c>
      <c r="K197" s="2" t="s">
        <v>497</v>
      </c>
      <c r="L197" s="2" t="s">
        <v>164</v>
      </c>
      <c r="M197" s="2" t="s">
        <v>386</v>
      </c>
      <c r="N197" s="190" t="s">
        <v>1383</v>
      </c>
      <c r="O197" s="2" t="s">
        <v>1490</v>
      </c>
      <c r="P197" s="2" t="s">
        <v>1392</v>
      </c>
      <c r="Q197" s="2" t="s">
        <v>98</v>
      </c>
      <c r="R197" s="2" t="s">
        <v>453</v>
      </c>
      <c r="S197" s="2" t="s">
        <v>35</v>
      </c>
      <c r="T197" s="150">
        <v>3.46</v>
      </c>
      <c r="U197" s="2" t="s">
        <v>1393</v>
      </c>
      <c r="V197" s="162">
        <v>5.5E-2</v>
      </c>
      <c r="W197" s="2" t="s">
        <v>800</v>
      </c>
      <c r="X197" s="2" t="s">
        <v>954</v>
      </c>
      <c r="Y197" s="150">
        <v>5.5</v>
      </c>
      <c r="Z197" s="164">
        <v>3.2739999999999998E-2</v>
      </c>
      <c r="AA197" s="2" t="s">
        <v>1399</v>
      </c>
      <c r="AB197" s="4" t="s">
        <v>458</v>
      </c>
      <c r="AC197" s="2" t="s">
        <v>529</v>
      </c>
      <c r="AD197" s="150">
        <v>331</v>
      </c>
      <c r="AE197" s="150">
        <v>0.78</v>
      </c>
      <c r="AF197" s="2" t="s">
        <v>1400</v>
      </c>
      <c r="AG197" s="2" t="s">
        <v>164</v>
      </c>
      <c r="AI197" s="2" t="s">
        <v>1401</v>
      </c>
      <c r="AJ197" s="2" t="s">
        <v>386</v>
      </c>
      <c r="AK197" s="2" t="s">
        <v>937</v>
      </c>
      <c r="AL197" s="2" t="s">
        <v>1373</v>
      </c>
      <c r="AN197" s="2" t="s">
        <v>1374</v>
      </c>
      <c r="AO197" s="2" t="s">
        <v>1400</v>
      </c>
      <c r="AP197" s="151">
        <v>0</v>
      </c>
      <c r="AQ197" s="150">
        <v>409.05</v>
      </c>
      <c r="AR197" s="150">
        <v>122.67</v>
      </c>
      <c r="AS197" s="150">
        <v>1</v>
      </c>
      <c r="AT197" s="150">
        <v>0.502</v>
      </c>
      <c r="AU197" s="150">
        <v>0.502</v>
      </c>
      <c r="AX197" s="4" t="s">
        <v>164</v>
      </c>
      <c r="AY197" s="2" t="s">
        <v>37</v>
      </c>
      <c r="AZ197" s="164">
        <v>5.3528747330741405E-4</v>
      </c>
      <c r="BA197" s="164">
        <v>6.8033196303170199E-6</v>
      </c>
    </row>
    <row r="198" spans="1:53">
      <c r="A198" s="2" t="s">
        <v>144</v>
      </c>
      <c r="B198" s="2">
        <v>969</v>
      </c>
      <c r="C198" s="2" t="s">
        <v>1383</v>
      </c>
      <c r="D198" s="2" t="s">
        <v>34</v>
      </c>
      <c r="E198" s="2" t="s">
        <v>1491</v>
      </c>
      <c r="F198" s="2" t="s">
        <v>1492</v>
      </c>
      <c r="G198" s="2" t="s">
        <v>1083</v>
      </c>
      <c r="I198" s="2" t="s">
        <v>31</v>
      </c>
      <c r="J198" s="2" t="s">
        <v>31</v>
      </c>
      <c r="K198" s="2" t="s">
        <v>497</v>
      </c>
      <c r="L198" s="2" t="s">
        <v>164</v>
      </c>
      <c r="M198" s="2" t="s">
        <v>386</v>
      </c>
      <c r="N198" s="190" t="s">
        <v>1383</v>
      </c>
      <c r="O198" s="2" t="s">
        <v>1493</v>
      </c>
      <c r="P198" s="2" t="s">
        <v>1392</v>
      </c>
      <c r="Q198" s="2" t="s">
        <v>98</v>
      </c>
      <c r="R198" s="2" t="s">
        <v>453</v>
      </c>
      <c r="S198" s="2" t="s">
        <v>35</v>
      </c>
      <c r="T198" s="150">
        <v>3.46</v>
      </c>
      <c r="U198" s="2" t="s">
        <v>1393</v>
      </c>
      <c r="V198" s="162">
        <v>5.5E-2</v>
      </c>
      <c r="W198" s="2" t="s">
        <v>800</v>
      </c>
      <c r="X198" s="2" t="s">
        <v>954</v>
      </c>
      <c r="Y198" s="150">
        <v>5.5</v>
      </c>
      <c r="Z198" s="164">
        <v>3.2710000000000003E-2</v>
      </c>
      <c r="AA198" s="2" t="s">
        <v>1399</v>
      </c>
      <c r="AB198" s="4" t="s">
        <v>458</v>
      </c>
      <c r="AC198" s="2" t="s">
        <v>529</v>
      </c>
      <c r="AD198" s="150">
        <v>987</v>
      </c>
      <c r="AE198" s="150">
        <v>0.78</v>
      </c>
      <c r="AF198" s="2" t="s">
        <v>1400</v>
      </c>
      <c r="AG198" s="2" t="s">
        <v>164</v>
      </c>
      <c r="AI198" s="2" t="s">
        <v>1401</v>
      </c>
      <c r="AJ198" s="2" t="s">
        <v>386</v>
      </c>
      <c r="AK198" s="2" t="s">
        <v>937</v>
      </c>
      <c r="AL198" s="2" t="s">
        <v>1373</v>
      </c>
      <c r="AN198" s="2" t="s">
        <v>1374</v>
      </c>
      <c r="AO198" s="2" t="s">
        <v>1400</v>
      </c>
      <c r="AP198" s="151">
        <v>0</v>
      </c>
      <c r="AQ198" s="150">
        <v>1220.1300000000001</v>
      </c>
      <c r="AR198" s="150">
        <v>122.32</v>
      </c>
      <c r="AS198" s="150">
        <v>1</v>
      </c>
      <c r="AT198" s="150">
        <v>1.492</v>
      </c>
      <c r="AU198" s="150">
        <v>1.492</v>
      </c>
      <c r="AX198" s="4" t="s">
        <v>164</v>
      </c>
      <c r="AY198" s="2" t="s">
        <v>37</v>
      </c>
      <c r="AZ198" s="164">
        <v>1.5921203589673099E-3</v>
      </c>
      <c r="BA198" s="164">
        <v>2.0235302023907201E-5</v>
      </c>
    </row>
    <row r="199" spans="1:53">
      <c r="A199" s="2" t="s">
        <v>144</v>
      </c>
      <c r="B199" s="2">
        <v>969</v>
      </c>
      <c r="C199" s="2" t="s">
        <v>1383</v>
      </c>
      <c r="D199" s="2" t="s">
        <v>34</v>
      </c>
      <c r="E199" s="2" t="s">
        <v>1494</v>
      </c>
      <c r="F199" s="2" t="s">
        <v>1495</v>
      </c>
      <c r="G199" s="2" t="s">
        <v>1083</v>
      </c>
      <c r="I199" s="2" t="s">
        <v>31</v>
      </c>
      <c r="J199" s="2" t="s">
        <v>31</v>
      </c>
      <c r="K199" s="2" t="s">
        <v>497</v>
      </c>
      <c r="L199" s="2" t="s">
        <v>164</v>
      </c>
      <c r="M199" s="2" t="s">
        <v>386</v>
      </c>
      <c r="N199" s="27" t="s">
        <v>1383</v>
      </c>
      <c r="O199" s="2" t="s">
        <v>1460</v>
      </c>
      <c r="P199" s="2" t="s">
        <v>1387</v>
      </c>
      <c r="Q199" s="2" t="s">
        <v>217</v>
      </c>
      <c r="R199" s="2" t="s">
        <v>453</v>
      </c>
      <c r="S199" s="2" t="s">
        <v>35</v>
      </c>
      <c r="T199" s="150">
        <v>3.48</v>
      </c>
      <c r="U199" s="2" t="s">
        <v>203</v>
      </c>
      <c r="V199" s="162">
        <v>5.5E-2</v>
      </c>
      <c r="W199" s="2" t="s">
        <v>800</v>
      </c>
      <c r="X199" s="2" t="s">
        <v>1388</v>
      </c>
      <c r="Y199" s="150">
        <v>5.5</v>
      </c>
      <c r="Z199" s="164">
        <v>2.7709999999999999E-2</v>
      </c>
      <c r="AA199" s="2" t="s">
        <v>1399</v>
      </c>
      <c r="AB199" s="4" t="s">
        <v>458</v>
      </c>
      <c r="AG199" s="2" t="s">
        <v>164</v>
      </c>
      <c r="AJ199" s="2" t="s">
        <v>164</v>
      </c>
      <c r="AK199" s="2" t="s">
        <v>203</v>
      </c>
      <c r="AN199" s="2" t="s">
        <v>1374</v>
      </c>
      <c r="AQ199" s="150">
        <v>474.99</v>
      </c>
      <c r="AR199" s="150">
        <v>122.32</v>
      </c>
      <c r="AS199" s="150">
        <v>1</v>
      </c>
      <c r="AT199" s="150">
        <v>0.58099999999999996</v>
      </c>
      <c r="AU199" s="150">
        <v>0.58099999999999996</v>
      </c>
      <c r="AX199" s="4" t="s">
        <v>164</v>
      </c>
      <c r="AY199" s="2" t="s">
        <v>37</v>
      </c>
      <c r="AZ199" s="164">
        <v>6.1980383180962795E-4</v>
      </c>
      <c r="BA199" s="164">
        <v>7.8774934706430198E-6</v>
      </c>
    </row>
    <row r="200" spans="1:53">
      <c r="A200" s="2" t="s">
        <v>144</v>
      </c>
      <c r="B200" s="2">
        <v>969</v>
      </c>
      <c r="C200" s="2" t="s">
        <v>1383</v>
      </c>
      <c r="D200" s="2" t="s">
        <v>34</v>
      </c>
      <c r="E200" s="2" t="s">
        <v>1496</v>
      </c>
      <c r="F200" s="2" t="s">
        <v>1497</v>
      </c>
      <c r="G200" s="2" t="s">
        <v>1083</v>
      </c>
      <c r="I200" s="2" t="s">
        <v>31</v>
      </c>
      <c r="J200" s="2" t="s">
        <v>31</v>
      </c>
      <c r="K200" s="2" t="s">
        <v>497</v>
      </c>
      <c r="L200" s="2" t="s">
        <v>164</v>
      </c>
      <c r="M200" s="2" t="s">
        <v>386</v>
      </c>
      <c r="N200" s="190" t="s">
        <v>1383</v>
      </c>
      <c r="O200" s="2" t="s">
        <v>1498</v>
      </c>
      <c r="P200" s="2" t="s">
        <v>1387</v>
      </c>
      <c r="Q200" s="2" t="s">
        <v>217</v>
      </c>
      <c r="R200" s="2" t="s">
        <v>453</v>
      </c>
      <c r="S200" s="2" t="s">
        <v>35</v>
      </c>
      <c r="T200" s="150">
        <v>3.44</v>
      </c>
      <c r="U200" s="2" t="s">
        <v>1393</v>
      </c>
      <c r="V200" s="162">
        <v>5.5E-2</v>
      </c>
      <c r="W200" s="2" t="s">
        <v>800</v>
      </c>
      <c r="X200" s="2" t="s">
        <v>954</v>
      </c>
      <c r="Y200" s="150">
        <v>5.5</v>
      </c>
      <c r="Z200" s="164">
        <v>3.2640000000000002E-2</v>
      </c>
      <c r="AA200" s="2" t="s">
        <v>1399</v>
      </c>
      <c r="AB200" s="4" t="s">
        <v>458</v>
      </c>
      <c r="AC200" s="2" t="s">
        <v>529</v>
      </c>
      <c r="AD200" s="150">
        <v>5567</v>
      </c>
      <c r="AE200" s="150">
        <v>0.78</v>
      </c>
      <c r="AF200" s="2" t="s">
        <v>1400</v>
      </c>
      <c r="AG200" s="2" t="s">
        <v>164</v>
      </c>
      <c r="AI200" s="2" t="s">
        <v>1401</v>
      </c>
      <c r="AJ200" s="2" t="s">
        <v>386</v>
      </c>
      <c r="AK200" s="2" t="s">
        <v>937</v>
      </c>
      <c r="AL200" s="2" t="s">
        <v>1373</v>
      </c>
      <c r="AN200" s="2" t="s">
        <v>1374</v>
      </c>
      <c r="AO200" s="2" t="s">
        <v>1400</v>
      </c>
      <c r="AP200" s="151">
        <v>0</v>
      </c>
      <c r="AQ200" s="150">
        <v>3192.15</v>
      </c>
      <c r="AR200" s="150">
        <v>122.56</v>
      </c>
      <c r="AS200" s="150">
        <v>1</v>
      </c>
      <c r="AT200" s="150">
        <v>3.9119999999999999</v>
      </c>
      <c r="AU200" s="150">
        <v>3.9119999999999999</v>
      </c>
      <c r="AX200" s="4" t="s">
        <v>164</v>
      </c>
      <c r="AY200" s="2" t="s">
        <v>37</v>
      </c>
      <c r="AZ200" s="164">
        <v>4.1735378935193997E-3</v>
      </c>
      <c r="BA200" s="164">
        <v>5.3044230800719603E-5</v>
      </c>
    </row>
    <row r="201" spans="1:53">
      <c r="A201" s="2" t="s">
        <v>144</v>
      </c>
      <c r="B201" s="2">
        <v>969</v>
      </c>
      <c r="C201" s="2" t="s">
        <v>1383</v>
      </c>
      <c r="D201" s="2" t="s">
        <v>34</v>
      </c>
      <c r="E201" s="2" t="s">
        <v>1499</v>
      </c>
      <c r="F201" s="2" t="s">
        <v>1500</v>
      </c>
      <c r="G201" s="2" t="s">
        <v>1083</v>
      </c>
      <c r="I201" s="2" t="s">
        <v>31</v>
      </c>
      <c r="J201" s="2" t="s">
        <v>31</v>
      </c>
      <c r="K201" s="2" t="s">
        <v>497</v>
      </c>
      <c r="L201" s="2" t="s">
        <v>164</v>
      </c>
      <c r="M201" s="2" t="s">
        <v>386</v>
      </c>
      <c r="N201" s="190" t="s">
        <v>1383</v>
      </c>
      <c r="O201" s="2" t="s">
        <v>1501</v>
      </c>
      <c r="P201" s="2" t="s">
        <v>1387</v>
      </c>
      <c r="Q201" s="2" t="s">
        <v>217</v>
      </c>
      <c r="R201" s="2" t="s">
        <v>453</v>
      </c>
      <c r="S201" s="2" t="s">
        <v>35</v>
      </c>
      <c r="T201" s="150">
        <v>3.44</v>
      </c>
      <c r="U201" s="2" t="s">
        <v>1393</v>
      </c>
      <c r="V201" s="162">
        <v>5.5E-2</v>
      </c>
      <c r="W201" s="2" t="s">
        <v>800</v>
      </c>
      <c r="X201" s="2" t="s">
        <v>954</v>
      </c>
      <c r="Y201" s="150">
        <v>5.5</v>
      </c>
      <c r="Z201" s="164">
        <v>3.27E-2</v>
      </c>
      <c r="AA201" s="2" t="s">
        <v>1399</v>
      </c>
      <c r="AB201" s="4" t="s">
        <v>458</v>
      </c>
      <c r="AC201" s="2" t="s">
        <v>529</v>
      </c>
      <c r="AD201" s="150">
        <v>5045</v>
      </c>
      <c r="AE201" s="150">
        <v>0.78</v>
      </c>
      <c r="AF201" s="2" t="s">
        <v>1400</v>
      </c>
      <c r="AG201" s="2" t="s">
        <v>164</v>
      </c>
      <c r="AI201" s="2" t="s">
        <v>1401</v>
      </c>
      <c r="AJ201" s="2" t="s">
        <v>386</v>
      </c>
      <c r="AK201" s="2" t="s">
        <v>937</v>
      </c>
      <c r="AL201" s="2" t="s">
        <v>1373</v>
      </c>
      <c r="AN201" s="2" t="s">
        <v>1374</v>
      </c>
      <c r="AO201" s="2" t="s">
        <v>1400</v>
      </c>
      <c r="AP201" s="151">
        <v>0</v>
      </c>
      <c r="AQ201" s="150">
        <v>6235.57</v>
      </c>
      <c r="AR201" s="150">
        <v>123.65</v>
      </c>
      <c r="AS201" s="150">
        <v>1</v>
      </c>
      <c r="AT201" s="150">
        <v>7.71</v>
      </c>
      <c r="AU201" s="150">
        <v>7.71</v>
      </c>
      <c r="AX201" s="4" t="s">
        <v>164</v>
      </c>
      <c r="AY201" s="2" t="s">
        <v>37</v>
      </c>
      <c r="AZ201" s="164">
        <v>8.2251267197738596E-3</v>
      </c>
      <c r="BA201" s="164">
        <v>1.04538530910747E-4</v>
      </c>
    </row>
    <row r="202" spans="1:53">
      <c r="A202" s="2" t="s">
        <v>144</v>
      </c>
      <c r="B202" s="2">
        <v>969</v>
      </c>
      <c r="C202" s="2" t="s">
        <v>1383</v>
      </c>
      <c r="D202" s="2" t="s">
        <v>34</v>
      </c>
      <c r="E202" s="2" t="s">
        <v>1502</v>
      </c>
      <c r="F202" s="2" t="s">
        <v>1503</v>
      </c>
      <c r="G202" s="2" t="s">
        <v>1083</v>
      </c>
      <c r="I202" s="2" t="s">
        <v>31</v>
      </c>
      <c r="J202" s="2" t="s">
        <v>31</v>
      </c>
      <c r="K202" s="2" t="s">
        <v>497</v>
      </c>
      <c r="L202" s="2" t="s">
        <v>164</v>
      </c>
      <c r="M202" s="2" t="s">
        <v>386</v>
      </c>
      <c r="N202" s="27" t="s">
        <v>1383</v>
      </c>
      <c r="O202" s="2" t="s">
        <v>1460</v>
      </c>
      <c r="P202" s="2" t="s">
        <v>1387</v>
      </c>
      <c r="Q202" s="2" t="s">
        <v>217</v>
      </c>
      <c r="R202" s="2" t="s">
        <v>453</v>
      </c>
      <c r="S202" s="2" t="s">
        <v>35</v>
      </c>
      <c r="T202" s="150">
        <v>3.44</v>
      </c>
      <c r="U202" s="2" t="s">
        <v>203</v>
      </c>
      <c r="V202" s="162">
        <v>5.5500000000000001E-2</v>
      </c>
      <c r="W202" s="2" t="s">
        <v>800</v>
      </c>
      <c r="X202" s="2" t="s">
        <v>1388</v>
      </c>
      <c r="Y202" s="150">
        <v>5.55</v>
      </c>
      <c r="Z202" s="164">
        <v>3.3029999999999997E-2</v>
      </c>
      <c r="AA202" s="2" t="s">
        <v>1399</v>
      </c>
      <c r="AB202" s="4" t="s">
        <v>458</v>
      </c>
      <c r="AG202" s="2" t="s">
        <v>164</v>
      </c>
      <c r="AJ202" s="2" t="s">
        <v>164</v>
      </c>
      <c r="AK202" s="2" t="s">
        <v>203</v>
      </c>
      <c r="AN202" s="2" t="s">
        <v>1374</v>
      </c>
      <c r="AQ202" s="150">
        <v>4597.7700000000004</v>
      </c>
      <c r="AR202" s="150">
        <v>126.77</v>
      </c>
      <c r="AS202" s="150">
        <v>1</v>
      </c>
      <c r="AT202" s="150">
        <v>5.8289999999999997</v>
      </c>
      <c r="AU202" s="150">
        <v>5.8289999999999997</v>
      </c>
      <c r="AX202" s="4" t="s">
        <v>164</v>
      </c>
      <c r="AY202" s="2" t="s">
        <v>37</v>
      </c>
      <c r="AZ202" s="164">
        <v>6.2177900062656104E-3</v>
      </c>
      <c r="BA202" s="164">
        <v>7.9025971867871699E-5</v>
      </c>
    </row>
    <row r="203" spans="1:53">
      <c r="A203" s="2" t="s">
        <v>144</v>
      </c>
      <c r="B203" s="2">
        <v>969</v>
      </c>
      <c r="C203" s="2" t="s">
        <v>1383</v>
      </c>
      <c r="D203" s="2" t="s">
        <v>34</v>
      </c>
      <c r="E203" s="2" t="s">
        <v>1504</v>
      </c>
      <c r="F203" s="2" t="s">
        <v>1505</v>
      </c>
      <c r="G203" s="2" t="s">
        <v>1083</v>
      </c>
      <c r="I203" s="2" t="s">
        <v>31</v>
      </c>
      <c r="J203" s="2" t="s">
        <v>31</v>
      </c>
      <c r="K203" s="2" t="s">
        <v>497</v>
      </c>
      <c r="L203" s="2" t="s">
        <v>164</v>
      </c>
      <c r="M203" s="2" t="s">
        <v>386</v>
      </c>
      <c r="N203" s="190" t="s">
        <v>1383</v>
      </c>
      <c r="O203" s="2" t="s">
        <v>1506</v>
      </c>
      <c r="P203" s="2" t="s">
        <v>1392</v>
      </c>
      <c r="Q203" s="2" t="s">
        <v>98</v>
      </c>
      <c r="R203" s="2" t="s">
        <v>453</v>
      </c>
      <c r="S203" s="2" t="s">
        <v>35</v>
      </c>
      <c r="T203" s="150">
        <v>3.21</v>
      </c>
      <c r="U203" s="2" t="s">
        <v>1393</v>
      </c>
      <c r="V203" s="162">
        <v>5.5E-2</v>
      </c>
      <c r="W203" s="2" t="s">
        <v>800</v>
      </c>
      <c r="X203" s="2" t="s">
        <v>954</v>
      </c>
      <c r="Y203" s="150">
        <v>5.5</v>
      </c>
      <c r="Z203" s="164">
        <v>2.998E-2</v>
      </c>
      <c r="AA203" s="2" t="s">
        <v>1389</v>
      </c>
      <c r="AB203" s="4" t="s">
        <v>458</v>
      </c>
      <c r="AC203" s="2" t="s">
        <v>529</v>
      </c>
      <c r="AD203" s="150">
        <v>936</v>
      </c>
      <c r="AE203" s="150">
        <v>0.78</v>
      </c>
      <c r="AF203" s="2" t="s">
        <v>1400</v>
      </c>
      <c r="AG203" s="2" t="s">
        <v>164</v>
      </c>
      <c r="AI203" s="2" t="s">
        <v>1401</v>
      </c>
      <c r="AJ203" s="2" t="s">
        <v>386</v>
      </c>
      <c r="AK203" s="2" t="s">
        <v>937</v>
      </c>
      <c r="AL203" s="2" t="s">
        <v>1373</v>
      </c>
      <c r="AN203" s="2" t="s">
        <v>1374</v>
      </c>
      <c r="AO203" s="2" t="s">
        <v>1400</v>
      </c>
      <c r="AP203" s="151">
        <v>0</v>
      </c>
      <c r="AQ203" s="150">
        <v>2017.87</v>
      </c>
      <c r="AR203" s="150">
        <v>124.99</v>
      </c>
      <c r="AS203" s="150">
        <v>1</v>
      </c>
      <c r="AT203" s="150">
        <v>2.5219999999999998</v>
      </c>
      <c r="AU203" s="150">
        <v>2.5219999999999998</v>
      </c>
      <c r="AX203" s="4" t="s">
        <v>164</v>
      </c>
      <c r="AY203" s="2" t="s">
        <v>37</v>
      </c>
      <c r="AZ203" s="164">
        <v>2.69054815676975E-3</v>
      </c>
      <c r="BA203" s="164">
        <v>3.4195941440894901E-5</v>
      </c>
    </row>
    <row r="204" spans="1:53">
      <c r="A204" s="2" t="s">
        <v>144</v>
      </c>
      <c r="B204" s="2">
        <v>969</v>
      </c>
      <c r="C204" s="2" t="s">
        <v>1383</v>
      </c>
      <c r="D204" s="2" t="s">
        <v>34</v>
      </c>
      <c r="E204" s="2" t="s">
        <v>1507</v>
      </c>
      <c r="F204" s="2" t="s">
        <v>1508</v>
      </c>
      <c r="G204" s="2" t="s">
        <v>1083</v>
      </c>
      <c r="I204" s="2" t="s">
        <v>31</v>
      </c>
      <c r="J204" s="2" t="s">
        <v>31</v>
      </c>
      <c r="K204" s="2" t="s">
        <v>497</v>
      </c>
      <c r="L204" s="2" t="s">
        <v>164</v>
      </c>
      <c r="M204" s="2" t="s">
        <v>386</v>
      </c>
      <c r="N204" s="190" t="s">
        <v>1383</v>
      </c>
      <c r="O204" s="2" t="s">
        <v>1509</v>
      </c>
      <c r="P204" s="2" t="s">
        <v>1387</v>
      </c>
      <c r="Q204" s="2" t="s">
        <v>217</v>
      </c>
      <c r="R204" s="2" t="s">
        <v>453</v>
      </c>
      <c r="S204" s="2" t="s">
        <v>35</v>
      </c>
      <c r="T204" s="150">
        <v>3.46</v>
      </c>
      <c r="U204" s="2" t="s">
        <v>1393</v>
      </c>
      <c r="V204" s="162">
        <v>5.5E-2</v>
      </c>
      <c r="W204" s="2" t="s">
        <v>800</v>
      </c>
      <c r="X204" s="2" t="s">
        <v>954</v>
      </c>
      <c r="Y204" s="150">
        <v>5.5</v>
      </c>
      <c r="Z204" s="164">
        <v>3.2870000000000003E-2</v>
      </c>
      <c r="AA204" s="2" t="s">
        <v>1389</v>
      </c>
      <c r="AB204" s="4" t="s">
        <v>458</v>
      </c>
      <c r="AC204" s="2" t="s">
        <v>529</v>
      </c>
      <c r="AD204" s="150">
        <v>1524</v>
      </c>
      <c r="AE204" s="150">
        <v>0.78</v>
      </c>
      <c r="AF204" s="2" t="s">
        <v>1400</v>
      </c>
      <c r="AG204" s="2" t="s">
        <v>164</v>
      </c>
      <c r="AI204" s="2" t="s">
        <v>1401</v>
      </c>
      <c r="AJ204" s="2" t="s">
        <v>386</v>
      </c>
      <c r="AK204" s="2" t="s">
        <v>937</v>
      </c>
      <c r="AL204" s="2" t="s">
        <v>1373</v>
      </c>
      <c r="AN204" s="2" t="s">
        <v>1374</v>
      </c>
      <c r="AO204" s="2" t="s">
        <v>1400</v>
      </c>
      <c r="AP204" s="151">
        <v>0</v>
      </c>
      <c r="AQ204" s="150">
        <v>1883.72</v>
      </c>
      <c r="AR204" s="150">
        <v>125.3</v>
      </c>
      <c r="AS204" s="150">
        <v>1</v>
      </c>
      <c r="AT204" s="150">
        <v>2.36</v>
      </c>
      <c r="AU204" s="150">
        <v>2.36</v>
      </c>
      <c r="AX204" s="4" t="s">
        <v>164</v>
      </c>
      <c r="AY204" s="2" t="s">
        <v>37</v>
      </c>
      <c r="AZ204" s="164">
        <v>2.5179073047999398E-3</v>
      </c>
      <c r="BA204" s="164">
        <v>3.2001735606142799E-5</v>
      </c>
    </row>
    <row r="205" spans="1:53">
      <c r="A205" s="2" t="s">
        <v>144</v>
      </c>
      <c r="B205" s="2">
        <v>969</v>
      </c>
      <c r="C205" s="2" t="s">
        <v>1383</v>
      </c>
      <c r="D205" s="2" t="s">
        <v>34</v>
      </c>
      <c r="E205" s="2" t="s">
        <v>1510</v>
      </c>
      <c r="F205" s="2" t="s">
        <v>1511</v>
      </c>
      <c r="G205" s="2" t="s">
        <v>1083</v>
      </c>
      <c r="I205" s="2" t="s">
        <v>31</v>
      </c>
      <c r="J205" s="2" t="s">
        <v>31</v>
      </c>
      <c r="K205" s="2" t="s">
        <v>497</v>
      </c>
      <c r="L205" s="2" t="s">
        <v>164</v>
      </c>
      <c r="M205" s="2" t="s">
        <v>386</v>
      </c>
      <c r="N205" s="27" t="s">
        <v>1383</v>
      </c>
      <c r="O205" s="2" t="s">
        <v>1460</v>
      </c>
      <c r="P205" s="2" t="s">
        <v>1387</v>
      </c>
      <c r="Q205" s="2" t="s">
        <v>217</v>
      </c>
      <c r="R205" s="2" t="s">
        <v>453</v>
      </c>
      <c r="S205" s="2" t="s">
        <v>35</v>
      </c>
      <c r="T205" s="150">
        <v>3.48</v>
      </c>
      <c r="U205" s="2" t="s">
        <v>203</v>
      </c>
      <c r="V205" s="162">
        <v>5.5E-2</v>
      </c>
      <c r="W205" s="2" t="s">
        <v>800</v>
      </c>
      <c r="X205" s="2" t="s">
        <v>1388</v>
      </c>
      <c r="Y205" s="150">
        <v>5.5</v>
      </c>
      <c r="Z205" s="164">
        <v>3.2680000000000001E-2</v>
      </c>
      <c r="AA205" s="2" t="s">
        <v>1399</v>
      </c>
      <c r="AB205" s="4" t="s">
        <v>458</v>
      </c>
      <c r="AG205" s="2" t="s">
        <v>164</v>
      </c>
      <c r="AJ205" s="2" t="s">
        <v>164</v>
      </c>
      <c r="AK205" s="2" t="s">
        <v>203</v>
      </c>
      <c r="AN205" s="2" t="s">
        <v>1374</v>
      </c>
      <c r="AQ205" s="150">
        <v>2411.48</v>
      </c>
      <c r="AR205" s="150">
        <v>123.93</v>
      </c>
      <c r="AS205" s="150">
        <v>1</v>
      </c>
      <c r="AT205" s="150">
        <v>2.9889999999999999</v>
      </c>
      <c r="AU205" s="150">
        <v>2.9889999999999999</v>
      </c>
      <c r="AX205" s="4" t="s">
        <v>164</v>
      </c>
      <c r="AY205" s="2" t="s">
        <v>37</v>
      </c>
      <c r="AZ205" s="164">
        <v>3.1881036464748201E-3</v>
      </c>
      <c r="BA205" s="164">
        <v>4.0519700540593602E-5</v>
      </c>
    </row>
    <row r="206" spans="1:53">
      <c r="A206" s="2" t="s">
        <v>144</v>
      </c>
      <c r="B206" s="2">
        <v>969</v>
      </c>
      <c r="C206" s="2" t="s">
        <v>1512</v>
      </c>
      <c r="D206" s="2" t="s">
        <v>34</v>
      </c>
      <c r="E206" s="2" t="s">
        <v>1513</v>
      </c>
      <c r="F206" s="2" t="s">
        <v>1514</v>
      </c>
      <c r="G206" s="2" t="s">
        <v>1083</v>
      </c>
      <c r="I206" s="2" t="s">
        <v>31</v>
      </c>
      <c r="J206" s="2" t="s">
        <v>31</v>
      </c>
      <c r="K206" s="2" t="s">
        <v>529</v>
      </c>
      <c r="L206" s="2" t="s">
        <v>164</v>
      </c>
      <c r="M206" s="2" t="s">
        <v>386</v>
      </c>
      <c r="N206" s="190">
        <v>513184192</v>
      </c>
      <c r="O206" s="2" t="s">
        <v>1515</v>
      </c>
      <c r="P206" s="2" t="s">
        <v>1392</v>
      </c>
      <c r="Q206" s="2" t="s">
        <v>98</v>
      </c>
      <c r="R206" s="2" t="s">
        <v>453</v>
      </c>
      <c r="S206" s="2" t="s">
        <v>35</v>
      </c>
      <c r="T206" s="150">
        <v>2.0299999999999998</v>
      </c>
      <c r="U206" s="2" t="s">
        <v>1393</v>
      </c>
      <c r="V206" s="162">
        <v>2.562E-2</v>
      </c>
      <c r="W206" s="2" t="s">
        <v>800</v>
      </c>
      <c r="X206" s="2" t="s">
        <v>954</v>
      </c>
      <c r="Y206" s="150">
        <v>2.5619999999999998</v>
      </c>
      <c r="Z206" s="164">
        <v>2.1350000000000001E-2</v>
      </c>
      <c r="AA206" s="2" t="s">
        <v>1516</v>
      </c>
      <c r="AB206" s="4" t="s">
        <v>458</v>
      </c>
      <c r="AG206" s="2" t="s">
        <v>164</v>
      </c>
      <c r="AI206" s="2" t="s">
        <v>1517</v>
      </c>
      <c r="AJ206" s="2" t="s">
        <v>386</v>
      </c>
      <c r="AK206" s="2" t="s">
        <v>937</v>
      </c>
      <c r="AL206" s="2" t="s">
        <v>1373</v>
      </c>
      <c r="AN206" s="2" t="s">
        <v>1374</v>
      </c>
      <c r="AQ206" s="150">
        <v>165572.01</v>
      </c>
      <c r="AR206" s="150">
        <v>113.36</v>
      </c>
      <c r="AS206" s="150">
        <v>1</v>
      </c>
      <c r="AT206" s="150">
        <v>187.69200000000001</v>
      </c>
      <c r="AU206" s="150">
        <v>187.69200000000001</v>
      </c>
      <c r="AX206" s="4" t="s">
        <v>164</v>
      </c>
      <c r="AY206" s="2" t="s">
        <v>37</v>
      </c>
      <c r="AZ206" s="164">
        <v>0.20022535679398201</v>
      </c>
      <c r="BA206" s="164">
        <v>2.5447954011459202E-3</v>
      </c>
    </row>
    <row r="207" spans="1:53">
      <c r="A207" s="2" t="s">
        <v>144</v>
      </c>
      <c r="B207" s="2">
        <v>969</v>
      </c>
      <c r="C207" s="2" t="s">
        <v>1528</v>
      </c>
      <c r="D207" s="2" t="s">
        <v>1376</v>
      </c>
      <c r="E207" s="2" t="s">
        <v>1529</v>
      </c>
      <c r="F207" s="2" t="s">
        <v>1530</v>
      </c>
      <c r="G207" s="2" t="s">
        <v>1083</v>
      </c>
      <c r="H207" s="2" t="s">
        <v>866</v>
      </c>
      <c r="I207" s="2" t="s">
        <v>31</v>
      </c>
      <c r="J207" s="2" t="s">
        <v>31</v>
      </c>
      <c r="K207" s="2" t="s">
        <v>507</v>
      </c>
      <c r="L207" s="2" t="s">
        <v>164</v>
      </c>
      <c r="M207" s="2" t="s">
        <v>386</v>
      </c>
      <c r="N207" s="190" t="s">
        <v>1365</v>
      </c>
      <c r="O207" s="2" t="s">
        <v>1369</v>
      </c>
      <c r="P207" s="2" t="s">
        <v>1531</v>
      </c>
      <c r="Q207" s="2" t="s">
        <v>217</v>
      </c>
      <c r="R207" s="2" t="s">
        <v>453</v>
      </c>
      <c r="S207" s="2" t="s">
        <v>35</v>
      </c>
      <c r="T207" s="150">
        <v>0.53</v>
      </c>
      <c r="U207" s="2" t="s">
        <v>1393</v>
      </c>
      <c r="V207" s="162">
        <v>4.2500000000000003E-2</v>
      </c>
      <c r="W207" s="2" t="s">
        <v>800</v>
      </c>
      <c r="X207" s="2" t="s">
        <v>949</v>
      </c>
      <c r="Y207" s="150">
        <v>4.25</v>
      </c>
      <c r="Z207" s="164">
        <v>7.6039999999999996E-2</v>
      </c>
      <c r="AA207" s="2" t="s">
        <v>1532</v>
      </c>
      <c r="AB207" s="4" t="s">
        <v>458</v>
      </c>
      <c r="AC207" s="2" t="s">
        <v>819</v>
      </c>
      <c r="AD207" s="150">
        <v>67322</v>
      </c>
      <c r="AE207" s="150">
        <v>0.72</v>
      </c>
      <c r="AF207" s="2" t="s">
        <v>1533</v>
      </c>
      <c r="AG207" s="2" t="s">
        <v>386</v>
      </c>
      <c r="AH207" s="2" t="s">
        <v>828</v>
      </c>
      <c r="AI207" s="2" t="s">
        <v>1372</v>
      </c>
      <c r="AJ207" s="2" t="s">
        <v>386</v>
      </c>
      <c r="AK207" s="2" t="s">
        <v>937</v>
      </c>
      <c r="AL207" s="2" t="s">
        <v>1373</v>
      </c>
      <c r="AN207" s="2" t="s">
        <v>1374</v>
      </c>
      <c r="AO207" s="2" t="s">
        <v>1533</v>
      </c>
      <c r="AP207" s="151">
        <v>0</v>
      </c>
      <c r="AQ207" s="150">
        <v>140000</v>
      </c>
      <c r="AR207" s="150">
        <v>104.5</v>
      </c>
      <c r="AS207" s="150">
        <v>1</v>
      </c>
      <c r="AT207" s="150">
        <v>146.30000000000001</v>
      </c>
      <c r="AU207" s="150">
        <v>146.30000000000001</v>
      </c>
      <c r="AX207" s="4" t="s">
        <v>386</v>
      </c>
      <c r="AY207" s="2" t="s">
        <v>37</v>
      </c>
      <c r="AZ207" s="164">
        <v>0.15606899870872001</v>
      </c>
      <c r="BA207" s="164">
        <v>1.9835832810329501E-3</v>
      </c>
    </row>
    <row r="208" spans="1:53">
      <c r="A208" s="2" t="s">
        <v>144</v>
      </c>
      <c r="B208" s="2">
        <v>969</v>
      </c>
      <c r="C208" s="2" t="s">
        <v>1534</v>
      </c>
      <c r="D208" s="2" t="s">
        <v>1376</v>
      </c>
      <c r="E208" s="2" t="s">
        <v>1535</v>
      </c>
      <c r="F208" s="2" t="s">
        <v>1536</v>
      </c>
      <c r="G208" s="2" t="s">
        <v>1083</v>
      </c>
      <c r="I208" s="2" t="s">
        <v>31</v>
      </c>
      <c r="J208" s="2" t="s">
        <v>31</v>
      </c>
      <c r="K208" s="2" t="s">
        <v>484</v>
      </c>
      <c r="L208" s="2" t="s">
        <v>164</v>
      </c>
      <c r="M208" s="2" t="s">
        <v>386</v>
      </c>
      <c r="N208" s="190">
        <v>512065202</v>
      </c>
      <c r="O208" s="2" t="s">
        <v>1537</v>
      </c>
      <c r="P208" s="2" t="s">
        <v>1523</v>
      </c>
      <c r="Q208" s="2" t="s">
        <v>203</v>
      </c>
      <c r="R208" s="2" t="s">
        <v>453</v>
      </c>
      <c r="S208" s="2" t="s">
        <v>35</v>
      </c>
      <c r="T208" s="150">
        <v>3.16</v>
      </c>
      <c r="U208" s="2" t="s">
        <v>203</v>
      </c>
      <c r="V208" s="162">
        <v>7.2499999999999995E-2</v>
      </c>
      <c r="W208" s="2" t="s">
        <v>800</v>
      </c>
      <c r="X208" s="2" t="s">
        <v>954</v>
      </c>
      <c r="Y208" s="150">
        <v>7.25</v>
      </c>
      <c r="Z208" s="164">
        <v>0.13708999999999999</v>
      </c>
      <c r="AA208" s="2" t="s">
        <v>1538</v>
      </c>
      <c r="AB208" s="4" t="s">
        <v>458</v>
      </c>
      <c r="AG208" s="2" t="s">
        <v>386</v>
      </c>
      <c r="AI208" s="2" t="s">
        <v>1539</v>
      </c>
      <c r="AJ208" s="2" t="s">
        <v>386</v>
      </c>
      <c r="AK208" s="2" t="s">
        <v>937</v>
      </c>
      <c r="AL208" s="2" t="s">
        <v>1373</v>
      </c>
      <c r="AN208" s="2" t="s">
        <v>1374</v>
      </c>
      <c r="AQ208" s="150">
        <v>143704</v>
      </c>
      <c r="AR208" s="150">
        <v>99.78</v>
      </c>
      <c r="AS208" s="150">
        <v>1</v>
      </c>
      <c r="AT208" s="150">
        <v>143.38800000000001</v>
      </c>
      <c r="AU208" s="150">
        <v>143.38800000000001</v>
      </c>
      <c r="AX208" s="4" t="s">
        <v>386</v>
      </c>
      <c r="AY208" s="2" t="s">
        <v>37</v>
      </c>
      <c r="AZ208" s="164">
        <v>0.152962394831025</v>
      </c>
      <c r="BA208" s="164">
        <v>1.9440994145151101E-3</v>
      </c>
    </row>
    <row r="209" spans="1:53">
      <c r="A209" s="2" t="s">
        <v>144</v>
      </c>
      <c r="B209" s="2">
        <v>969</v>
      </c>
      <c r="C209" s="2" t="s">
        <v>1548</v>
      </c>
      <c r="D209" s="2" t="s">
        <v>1376</v>
      </c>
      <c r="E209" s="2" t="s">
        <v>1549</v>
      </c>
      <c r="F209" s="2" t="s">
        <v>1550</v>
      </c>
      <c r="G209" s="2" t="s">
        <v>1083</v>
      </c>
      <c r="I209" s="2" t="s">
        <v>31</v>
      </c>
      <c r="J209" s="2" t="s">
        <v>31</v>
      </c>
      <c r="K209" s="2" t="s">
        <v>483</v>
      </c>
      <c r="L209" s="2" t="s">
        <v>164</v>
      </c>
      <c r="M209" s="2" t="s">
        <v>386</v>
      </c>
      <c r="N209" s="190">
        <v>513846667</v>
      </c>
      <c r="O209" s="2" t="s">
        <v>1379</v>
      </c>
      <c r="P209" s="2" t="s">
        <v>1380</v>
      </c>
      <c r="Q209" s="2" t="s">
        <v>98</v>
      </c>
      <c r="R209" s="2" t="s">
        <v>453</v>
      </c>
      <c r="S209" s="2" t="s">
        <v>35</v>
      </c>
      <c r="T209" s="150">
        <v>5.0999999999999996</v>
      </c>
      <c r="U209" s="2" t="s">
        <v>203</v>
      </c>
      <c r="V209" s="162">
        <v>3.5499999999999997E-2</v>
      </c>
      <c r="W209" s="2" t="s">
        <v>800</v>
      </c>
      <c r="X209" s="2" t="s">
        <v>954</v>
      </c>
      <c r="Y209" s="150">
        <v>3.55</v>
      </c>
      <c r="Z209" s="164">
        <v>3.058E-2</v>
      </c>
      <c r="AA209" s="2" t="s">
        <v>1381</v>
      </c>
      <c r="AB209" s="4" t="s">
        <v>458</v>
      </c>
      <c r="AG209" s="2" t="s">
        <v>164</v>
      </c>
      <c r="AI209" s="2" t="s">
        <v>1382</v>
      </c>
      <c r="AJ209" s="2" t="s">
        <v>386</v>
      </c>
      <c r="AK209" s="2" t="s">
        <v>937</v>
      </c>
      <c r="AL209" s="2" t="s">
        <v>1373</v>
      </c>
      <c r="AN209" s="2" t="s">
        <v>1374</v>
      </c>
      <c r="AQ209" s="150">
        <v>171254.12</v>
      </c>
      <c r="AR209" s="150">
        <v>107.9</v>
      </c>
      <c r="AS209" s="150">
        <v>1</v>
      </c>
      <c r="AT209" s="150">
        <v>184.78299999999999</v>
      </c>
      <c r="AU209" s="150">
        <v>184.78299999999999</v>
      </c>
      <c r="AX209" s="4" t="s">
        <v>164</v>
      </c>
      <c r="AY209" s="2" t="s">
        <v>37</v>
      </c>
      <c r="AZ209" s="164">
        <v>0.19712186122188199</v>
      </c>
      <c r="BA209" s="164">
        <v>2.5053510401228398E-3</v>
      </c>
    </row>
    <row r="210" spans="1:53">
      <c r="N210" s="27" t="s">
        <v>1383</v>
      </c>
    </row>
  </sheetData>
  <sheetProtection formatColumns="0"/>
  <autoFilter ref="A1:BB210" xr:uid="{8A4C9513-9A03-45BC-A8D6-13076AA5E358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5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150</v>
      </c>
      <c r="M1" s="19" t="s">
        <v>221</v>
      </c>
      <c r="N1" s="19" t="s">
        <v>193</v>
      </c>
      <c r="O1" s="19" t="s">
        <v>9</v>
      </c>
      <c r="P1" s="19" t="s">
        <v>10</v>
      </c>
      <c r="Q1" s="19" t="s">
        <v>222</v>
      </c>
      <c r="R1" s="19" t="s">
        <v>11</v>
      </c>
      <c r="S1" s="19" t="s">
        <v>12</v>
      </c>
      <c r="T1" s="143" t="s">
        <v>14</v>
      </c>
      <c r="U1" s="19" t="s">
        <v>15</v>
      </c>
      <c r="V1" s="19" t="s">
        <v>186</v>
      </c>
      <c r="W1" s="19" t="s">
        <v>187</v>
      </c>
      <c r="X1" s="19" t="s">
        <v>159</v>
      </c>
      <c r="Y1" s="19" t="s">
        <v>17</v>
      </c>
      <c r="Z1" s="19" t="s">
        <v>18</v>
      </c>
      <c r="AA1" s="19" t="s">
        <v>19</v>
      </c>
      <c r="AB1" s="19" t="s">
        <v>20</v>
      </c>
      <c r="AC1" s="19" t="s">
        <v>24</v>
      </c>
      <c r="AD1" s="19" t="s">
        <v>25</v>
      </c>
    </row>
    <row r="2" spans="1:30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20"/>
      <c r="O2" s="20"/>
      <c r="P2" s="20"/>
      <c r="Q2" s="20"/>
      <c r="R2" s="18"/>
      <c r="S2" s="20"/>
      <c r="T2" s="148"/>
      <c r="U2" s="20"/>
      <c r="V2" s="20"/>
      <c r="W2" s="20"/>
      <c r="Y2" s="20"/>
      <c r="Z2" s="20"/>
      <c r="AA2" s="20"/>
      <c r="AB2" s="20"/>
      <c r="AC2" s="20"/>
      <c r="AD2" s="20"/>
    </row>
    <row r="3" spans="1:30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20"/>
      <c r="O3" s="20"/>
      <c r="P3" s="20"/>
      <c r="Q3" s="20"/>
      <c r="R3" s="18"/>
      <c r="S3" s="20"/>
      <c r="T3" s="148"/>
      <c r="U3" s="20"/>
      <c r="V3" s="20"/>
      <c r="W3" s="20"/>
      <c r="Y3" s="20"/>
      <c r="Z3" s="20"/>
      <c r="AA3" s="20"/>
      <c r="AB3" s="20"/>
      <c r="AC3" s="20"/>
      <c r="AD3" s="20"/>
    </row>
    <row r="4" spans="1:30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20"/>
      <c r="O4" s="20"/>
      <c r="P4" s="20"/>
      <c r="Q4" s="20"/>
      <c r="R4" s="18"/>
      <c r="S4" s="20"/>
      <c r="T4" s="148"/>
      <c r="U4" s="20"/>
      <c r="V4" s="20"/>
      <c r="W4" s="20"/>
      <c r="Y4" s="20"/>
      <c r="Z4" s="20"/>
      <c r="AA4" s="20"/>
      <c r="AB4" s="20"/>
      <c r="AC4" s="20"/>
      <c r="AD4" s="20"/>
    </row>
    <row r="5" spans="1:30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20"/>
      <c r="O5" s="20"/>
      <c r="P5" s="20"/>
      <c r="Q5" s="20"/>
      <c r="R5" s="18"/>
      <c r="S5" s="20"/>
      <c r="T5" s="148"/>
      <c r="U5" s="20"/>
      <c r="V5" s="20"/>
      <c r="W5" s="20"/>
      <c r="Y5" s="20"/>
      <c r="Z5" s="20"/>
      <c r="AA5" s="20"/>
      <c r="AB5" s="20"/>
      <c r="AC5" s="20"/>
      <c r="AD5" s="20"/>
    </row>
    <row r="6" spans="1:30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20"/>
      <c r="O6" s="20"/>
      <c r="P6" s="20"/>
      <c r="Q6" s="20"/>
      <c r="R6" s="18"/>
      <c r="S6" s="20"/>
      <c r="T6" s="148"/>
      <c r="U6" s="20"/>
      <c r="V6" s="20"/>
      <c r="W6" s="20"/>
      <c r="Y6" s="20"/>
      <c r="Z6" s="20"/>
      <c r="AA6" s="20"/>
      <c r="AB6" s="20"/>
      <c r="AC6" s="20"/>
      <c r="AD6" s="20"/>
    </row>
    <row r="7" spans="1:30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20"/>
      <c r="O7" s="20"/>
      <c r="P7" s="20"/>
      <c r="Q7" s="20"/>
      <c r="R7" s="18"/>
      <c r="S7" s="20"/>
      <c r="T7" s="148"/>
      <c r="U7" s="20"/>
      <c r="V7" s="20"/>
      <c r="W7" s="20"/>
      <c r="Y7" s="20"/>
      <c r="Z7" s="20"/>
      <c r="AA7" s="20"/>
      <c r="AB7" s="20"/>
      <c r="AC7" s="20"/>
      <c r="AD7" s="20"/>
    </row>
    <row r="8" spans="1:30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20"/>
      <c r="O8" s="20"/>
      <c r="P8" s="20"/>
      <c r="Q8" s="20"/>
      <c r="R8" s="18"/>
      <c r="S8" s="20"/>
      <c r="T8" s="148"/>
      <c r="U8" s="20"/>
      <c r="V8" s="20"/>
      <c r="W8" s="20"/>
      <c r="Y8" s="20"/>
      <c r="Z8" s="20"/>
      <c r="AA8" s="20"/>
      <c r="AB8" s="20"/>
      <c r="AC8" s="20"/>
      <c r="AD8" s="20"/>
    </row>
    <row r="9" spans="1:30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20"/>
      <c r="O9" s="20"/>
      <c r="P9" s="20"/>
      <c r="Q9" s="20"/>
      <c r="R9" s="18"/>
      <c r="S9" s="20"/>
      <c r="T9" s="148"/>
      <c r="U9" s="20"/>
      <c r="V9" s="20"/>
      <c r="W9" s="20"/>
      <c r="Y9" s="20"/>
      <c r="Z9" s="20"/>
      <c r="AA9" s="20"/>
      <c r="AB9" s="20"/>
      <c r="AC9" s="20"/>
      <c r="AD9" s="20"/>
    </row>
    <row r="10" spans="1:30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20"/>
      <c r="O10" s="20"/>
      <c r="P10" s="20"/>
      <c r="Q10" s="20"/>
      <c r="R10" s="18"/>
      <c r="S10" s="20"/>
      <c r="T10" s="148"/>
      <c r="U10" s="20"/>
      <c r="V10" s="20"/>
      <c r="W10" s="20"/>
      <c r="Y10" s="20"/>
      <c r="Z10" s="20"/>
      <c r="AA10" s="20"/>
      <c r="AB10" s="20"/>
      <c r="AC10" s="20"/>
      <c r="AD10" s="20"/>
    </row>
    <row r="11" spans="1:30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20"/>
      <c r="O11" s="20"/>
      <c r="P11" s="20"/>
      <c r="Q11" s="20"/>
      <c r="R11" s="18"/>
      <c r="S11" s="20"/>
      <c r="T11" s="148"/>
      <c r="U11" s="20"/>
      <c r="V11" s="20"/>
      <c r="W11" s="20"/>
      <c r="Y11" s="20"/>
      <c r="Z11" s="20"/>
      <c r="AA11" s="20"/>
      <c r="AB11" s="20"/>
      <c r="AC11" s="20"/>
      <c r="AD11" s="20"/>
    </row>
    <row r="12" spans="1:30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20"/>
      <c r="O12" s="20"/>
      <c r="P12" s="20"/>
      <c r="Q12" s="20"/>
      <c r="R12" s="18"/>
      <c r="S12" s="20"/>
      <c r="T12" s="148"/>
      <c r="U12" s="20"/>
      <c r="V12" s="20"/>
      <c r="W12" s="20"/>
      <c r="Y12" s="20"/>
      <c r="Z12" s="20"/>
      <c r="AA12" s="20"/>
      <c r="AB12" s="20"/>
      <c r="AC12" s="20"/>
      <c r="AD12" s="20"/>
    </row>
    <row r="13" spans="1:30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20"/>
      <c r="O13" s="20"/>
      <c r="P13" s="20"/>
      <c r="Q13" s="20"/>
      <c r="R13" s="18"/>
      <c r="S13" s="20"/>
      <c r="T13" s="148"/>
      <c r="U13" s="20"/>
      <c r="V13" s="20"/>
      <c r="W13" s="20"/>
      <c r="Y13" s="20"/>
      <c r="Z13" s="20"/>
      <c r="AA13" s="20"/>
      <c r="AB13" s="20"/>
      <c r="AC13" s="20"/>
      <c r="AD13" s="20"/>
    </row>
    <row r="14" spans="1:30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20"/>
      <c r="O14" s="20"/>
      <c r="P14" s="20"/>
      <c r="Q14" s="20"/>
      <c r="R14" s="18"/>
      <c r="S14" s="20"/>
      <c r="T14" s="148"/>
      <c r="U14" s="20"/>
      <c r="V14" s="20"/>
      <c r="W14" s="20"/>
      <c r="Y14" s="20"/>
      <c r="Z14" s="20"/>
      <c r="AA14" s="20"/>
      <c r="AB14" s="20"/>
      <c r="AC14" s="20"/>
      <c r="AD14" s="20"/>
    </row>
    <row r="15" spans="1:30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20"/>
      <c r="O15" s="20"/>
      <c r="P15" s="20"/>
      <c r="Q15" s="20"/>
      <c r="R15" s="18"/>
      <c r="S15" s="20"/>
      <c r="T15" s="148"/>
      <c r="U15" s="20"/>
      <c r="V15" s="20"/>
      <c r="W15" s="20"/>
      <c r="Y15" s="20"/>
      <c r="Z15" s="20"/>
      <c r="AA15" s="20"/>
      <c r="AB15" s="20"/>
      <c r="AC15" s="20"/>
      <c r="AD15" s="20"/>
    </row>
    <row r="16" spans="1:30">
      <c r="A16" s="2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20"/>
      <c r="O16" s="20"/>
      <c r="P16" s="20"/>
      <c r="Q16" s="20"/>
      <c r="R16" s="18"/>
      <c r="S16" s="20"/>
      <c r="T16" s="148"/>
      <c r="U16" s="20"/>
      <c r="V16" s="20"/>
      <c r="W16" s="20"/>
      <c r="Y16" s="20"/>
      <c r="Z16" s="20"/>
      <c r="AA16" s="20"/>
      <c r="AB16" s="20"/>
      <c r="AC16" s="20"/>
      <c r="AD16" s="20"/>
    </row>
    <row r="17" spans="1:30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20"/>
      <c r="O17" s="20"/>
      <c r="P17" s="20"/>
      <c r="Q17" s="20"/>
      <c r="R17" s="18"/>
      <c r="S17" s="20"/>
      <c r="T17" s="148"/>
      <c r="U17" s="20"/>
      <c r="V17" s="20"/>
      <c r="W17" s="20"/>
      <c r="Y17" s="20"/>
      <c r="Z17" s="20"/>
      <c r="AA17" s="20"/>
      <c r="AB17" s="20"/>
      <c r="AC17" s="20"/>
      <c r="AD17" s="20"/>
    </row>
    <row r="18" spans="1:30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20"/>
      <c r="O18" s="20"/>
      <c r="P18" s="20"/>
      <c r="Q18" s="20"/>
      <c r="R18" s="18"/>
      <c r="S18" s="20"/>
      <c r="T18" s="148"/>
      <c r="U18" s="20"/>
      <c r="V18" s="20"/>
      <c r="W18" s="20"/>
      <c r="Y18" s="20"/>
      <c r="Z18" s="20"/>
      <c r="AA18" s="20"/>
      <c r="AB18" s="20"/>
      <c r="AC18" s="20"/>
      <c r="AD18" s="20"/>
    </row>
    <row r="19" spans="1:30">
      <c r="A19" s="20"/>
      <c r="B19" s="20"/>
      <c r="C19" s="20"/>
      <c r="D19" s="20"/>
      <c r="E19" s="18"/>
      <c r="F19" s="20"/>
      <c r="G19" s="20"/>
      <c r="H19" s="20"/>
      <c r="I19" s="20"/>
      <c r="J19" s="18"/>
      <c r="K19" s="18"/>
      <c r="L19" s="20"/>
      <c r="M19" s="20"/>
      <c r="N19" s="20"/>
      <c r="O19" s="20"/>
      <c r="P19" s="20"/>
      <c r="Q19" s="20"/>
      <c r="R19" s="18"/>
      <c r="S19" s="20"/>
      <c r="T19" s="148"/>
      <c r="U19" s="20"/>
      <c r="V19" s="20"/>
      <c r="W19" s="20"/>
      <c r="Y19" s="20"/>
      <c r="Z19" s="20"/>
      <c r="AA19" s="20"/>
      <c r="AB19" s="20"/>
      <c r="AC19" s="20"/>
      <c r="AD19" s="20"/>
    </row>
    <row r="20" spans="1:30">
      <c r="E20" s="18"/>
      <c r="H20" s="20"/>
      <c r="I20" s="20"/>
      <c r="J20" s="18"/>
      <c r="K20" s="18"/>
      <c r="L20" s="20"/>
      <c r="M20" s="20"/>
      <c r="P20" s="20"/>
      <c r="Q20" s="20"/>
      <c r="V20" s="20"/>
      <c r="W20" s="20"/>
    </row>
    <row r="21" spans="1:30">
      <c r="T21" s="14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H39" sqref="A26:H39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5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19" t="s">
        <v>0</v>
      </c>
      <c r="B1" s="19" t="s">
        <v>1</v>
      </c>
      <c r="C1" s="19" t="s">
        <v>205</v>
      </c>
      <c r="D1" s="19" t="s">
        <v>206</v>
      </c>
      <c r="E1" s="19" t="s">
        <v>207</v>
      </c>
      <c r="F1" s="19" t="s">
        <v>5</v>
      </c>
      <c r="G1" s="19" t="s">
        <v>208</v>
      </c>
      <c r="H1" s="19" t="s">
        <v>6</v>
      </c>
      <c r="I1" s="19" t="s">
        <v>7</v>
      </c>
      <c r="J1" s="19" t="s">
        <v>150</v>
      </c>
      <c r="K1" s="19" t="s">
        <v>209</v>
      </c>
      <c r="L1" s="19" t="s">
        <v>10</v>
      </c>
      <c r="M1" s="19" t="s">
        <v>11</v>
      </c>
      <c r="N1" s="19" t="s">
        <v>12</v>
      </c>
      <c r="O1" s="159" t="s">
        <v>14</v>
      </c>
      <c r="P1" s="163" t="s">
        <v>15</v>
      </c>
      <c r="Q1" s="19" t="s">
        <v>160</v>
      </c>
      <c r="R1" s="19" t="s">
        <v>18</v>
      </c>
      <c r="S1" s="19" t="s">
        <v>210</v>
      </c>
      <c r="T1" s="19" t="s">
        <v>20</v>
      </c>
      <c r="U1" s="163" t="s">
        <v>24</v>
      </c>
      <c r="V1" s="163" t="s">
        <v>25</v>
      </c>
    </row>
    <row r="2" spans="1:22">
      <c r="A2" s="20" t="s">
        <v>26</v>
      </c>
      <c r="B2" s="20">
        <v>1182</v>
      </c>
      <c r="C2" s="20" t="s">
        <v>211</v>
      </c>
      <c r="D2" s="2" t="s">
        <v>212</v>
      </c>
      <c r="E2" s="18" t="s">
        <v>213</v>
      </c>
      <c r="F2" s="20" t="s">
        <v>214</v>
      </c>
      <c r="G2" s="20" t="s">
        <v>215</v>
      </c>
      <c r="H2" s="18" t="s">
        <v>31</v>
      </c>
      <c r="I2" s="18"/>
      <c r="J2" s="20" t="s">
        <v>164</v>
      </c>
      <c r="K2" s="20" t="s">
        <v>216</v>
      </c>
      <c r="L2" s="2" t="s">
        <v>217</v>
      </c>
      <c r="M2" s="18" t="s">
        <v>99</v>
      </c>
      <c r="N2" s="153">
        <v>0.68</v>
      </c>
      <c r="O2" s="167">
        <v>5.6000000000000001E-2</v>
      </c>
      <c r="P2" s="168">
        <v>5.074E-2</v>
      </c>
      <c r="Q2" s="150">
        <v>1110</v>
      </c>
      <c r="R2" s="153">
        <v>3.7589999999999999</v>
      </c>
      <c r="S2" s="153">
        <v>101.82599999999999</v>
      </c>
      <c r="T2" s="153">
        <v>4248.6670000000004</v>
      </c>
      <c r="U2" s="168">
        <v>0.53996583036331303</v>
      </c>
      <c r="V2" s="168">
        <v>1.07506139615807E-2</v>
      </c>
    </row>
    <row r="3" spans="1:22">
      <c r="A3" s="20" t="s">
        <v>26</v>
      </c>
      <c r="B3" s="20">
        <v>1182</v>
      </c>
      <c r="C3" s="20" t="s">
        <v>211</v>
      </c>
      <c r="D3" s="2" t="s">
        <v>212</v>
      </c>
      <c r="E3" s="18" t="s">
        <v>213</v>
      </c>
      <c r="F3" s="20" t="s">
        <v>214</v>
      </c>
      <c r="G3" s="20" t="s">
        <v>218</v>
      </c>
      <c r="H3" s="18" t="s">
        <v>31</v>
      </c>
      <c r="I3" s="18" t="s">
        <v>31</v>
      </c>
      <c r="J3" s="20" t="s">
        <v>164</v>
      </c>
      <c r="K3" s="20" t="s">
        <v>216</v>
      </c>
      <c r="L3" s="2" t="s">
        <v>217</v>
      </c>
      <c r="M3" s="18" t="s">
        <v>99</v>
      </c>
      <c r="N3" s="153">
        <v>0.06</v>
      </c>
      <c r="O3" s="167">
        <v>6.4699999999999994E-2</v>
      </c>
      <c r="P3" s="168">
        <v>4.2639999999999997E-2</v>
      </c>
      <c r="Q3" s="150">
        <v>907</v>
      </c>
      <c r="R3" s="153">
        <v>3.7589999999999999</v>
      </c>
      <c r="S3" s="150">
        <v>106.169</v>
      </c>
      <c r="T3" s="153">
        <v>3619.7330000000002</v>
      </c>
      <c r="U3" s="168">
        <v>0.46003416963668697</v>
      </c>
      <c r="V3" s="168">
        <v>9.1591902464877792E-3</v>
      </c>
    </row>
    <row r="4" spans="1:22">
      <c r="A4" s="20" t="s">
        <v>26</v>
      </c>
      <c r="B4" s="20">
        <v>14769</v>
      </c>
      <c r="C4" s="20" t="s">
        <v>211</v>
      </c>
      <c r="D4" s="2" t="s">
        <v>212</v>
      </c>
      <c r="E4" s="18" t="s">
        <v>213</v>
      </c>
      <c r="F4" s="20" t="s">
        <v>214</v>
      </c>
      <c r="G4" s="20"/>
      <c r="H4" s="18" t="s">
        <v>31</v>
      </c>
      <c r="I4" s="18"/>
      <c r="J4" s="20" t="s">
        <v>164</v>
      </c>
      <c r="K4" s="20" t="s">
        <v>216</v>
      </c>
      <c r="L4" s="2" t="s">
        <v>217</v>
      </c>
      <c r="M4" s="18" t="s">
        <v>99</v>
      </c>
      <c r="N4" s="153">
        <v>0</v>
      </c>
      <c r="O4" s="167">
        <v>0</v>
      </c>
      <c r="P4" s="168">
        <v>0</v>
      </c>
      <c r="Q4" s="150">
        <v>70</v>
      </c>
      <c r="R4" s="153">
        <v>3.7589999999999999</v>
      </c>
      <c r="S4" s="150">
        <v>101.82599999999999</v>
      </c>
      <c r="T4" s="153">
        <v>267.93400000000003</v>
      </c>
      <c r="U4" s="168">
        <v>1</v>
      </c>
      <c r="V4" s="168">
        <v>2.4039157885881401E-2</v>
      </c>
    </row>
    <row r="5" spans="1:22">
      <c r="A5" s="20" t="s">
        <v>112</v>
      </c>
      <c r="B5" s="20">
        <v>12905</v>
      </c>
      <c r="C5" s="20" t="s">
        <v>211</v>
      </c>
      <c r="D5" s="2" t="s">
        <v>212</v>
      </c>
      <c r="E5" s="18" t="s">
        <v>213</v>
      </c>
      <c r="F5" s="20" t="s">
        <v>214</v>
      </c>
      <c r="G5" s="20" t="s">
        <v>215</v>
      </c>
      <c r="H5" s="18" t="s">
        <v>31</v>
      </c>
      <c r="I5" s="18"/>
      <c r="J5" s="20" t="s">
        <v>164</v>
      </c>
      <c r="K5" s="20" t="s">
        <v>216</v>
      </c>
      <c r="L5" s="2" t="s">
        <v>217</v>
      </c>
      <c r="M5" s="18" t="s">
        <v>99</v>
      </c>
      <c r="N5" s="153">
        <v>0.68</v>
      </c>
      <c r="O5" s="167">
        <v>5.6000000000000001E-2</v>
      </c>
      <c r="P5" s="168">
        <v>5.074E-2</v>
      </c>
      <c r="Q5" s="150">
        <v>150</v>
      </c>
      <c r="R5" s="153">
        <v>3.7589999999999999</v>
      </c>
      <c r="S5" s="150">
        <v>101.82599999999999</v>
      </c>
      <c r="T5" s="153">
        <v>574.14300000000003</v>
      </c>
      <c r="U5" s="168">
        <v>0.406553031742802</v>
      </c>
      <c r="V5" s="168">
        <v>1.8453297690873401E-2</v>
      </c>
    </row>
    <row r="6" spans="1:22">
      <c r="A6" s="20" t="s">
        <v>112</v>
      </c>
      <c r="B6" s="20">
        <v>12905</v>
      </c>
      <c r="C6" s="20" t="s">
        <v>211</v>
      </c>
      <c r="D6" s="2" t="s">
        <v>212</v>
      </c>
      <c r="E6" s="18" t="s">
        <v>213</v>
      </c>
      <c r="F6" s="20" t="s">
        <v>214</v>
      </c>
      <c r="G6" s="20" t="s">
        <v>218</v>
      </c>
      <c r="H6" s="18" t="s">
        <v>31</v>
      </c>
      <c r="I6" s="18" t="s">
        <v>31</v>
      </c>
      <c r="J6" s="20" t="s">
        <v>164</v>
      </c>
      <c r="K6" s="20" t="s">
        <v>216</v>
      </c>
      <c r="L6" s="2" t="s">
        <v>217</v>
      </c>
      <c r="M6" s="18" t="s">
        <v>99</v>
      </c>
      <c r="N6" s="153">
        <v>0.06</v>
      </c>
      <c r="O6" s="167">
        <v>6.4699999999999994E-2</v>
      </c>
      <c r="P6" s="168">
        <v>4.428E-2</v>
      </c>
      <c r="Q6" s="150">
        <v>210</v>
      </c>
      <c r="R6" s="153">
        <v>3.7589999999999999</v>
      </c>
      <c r="S6" s="150">
        <v>106.16800000000001</v>
      </c>
      <c r="T6" s="153">
        <v>838.07899999999995</v>
      </c>
      <c r="U6" s="168">
        <v>0.593446968257198</v>
      </c>
      <c r="V6" s="168">
        <v>2.6936347078883201E-2</v>
      </c>
    </row>
    <row r="7" spans="1:22">
      <c r="A7" s="20" t="s">
        <v>112</v>
      </c>
      <c r="B7" s="20">
        <v>13680</v>
      </c>
      <c r="C7" s="20" t="s">
        <v>211</v>
      </c>
      <c r="D7" s="2" t="s">
        <v>212</v>
      </c>
      <c r="E7" s="18" t="s">
        <v>213</v>
      </c>
      <c r="F7" s="20" t="s">
        <v>214</v>
      </c>
      <c r="G7" s="20" t="s">
        <v>215</v>
      </c>
      <c r="H7" s="18" t="s">
        <v>31</v>
      </c>
      <c r="I7" s="18"/>
      <c r="J7" s="20" t="s">
        <v>164</v>
      </c>
      <c r="K7" s="20" t="s">
        <v>216</v>
      </c>
      <c r="L7" s="2" t="s">
        <v>217</v>
      </c>
      <c r="M7" s="18" t="s">
        <v>99</v>
      </c>
      <c r="N7" s="153">
        <v>0.68</v>
      </c>
      <c r="O7" s="167">
        <v>0</v>
      </c>
      <c r="P7" s="168">
        <v>5.0849999999999999E-2</v>
      </c>
      <c r="Q7" s="150">
        <v>60</v>
      </c>
      <c r="R7" s="153">
        <v>3.7589999999999999</v>
      </c>
      <c r="S7" s="153">
        <v>101.827</v>
      </c>
      <c r="T7" s="153">
        <v>229.66</v>
      </c>
      <c r="U7" s="168">
        <v>0.20223796367289901</v>
      </c>
      <c r="V7" s="168">
        <v>7.1522083810268196E-3</v>
      </c>
    </row>
    <row r="8" spans="1:22">
      <c r="A8" s="20" t="s">
        <v>112</v>
      </c>
      <c r="B8" s="20">
        <v>13680</v>
      </c>
      <c r="C8" s="20" t="s">
        <v>211</v>
      </c>
      <c r="D8" s="2" t="s">
        <v>212</v>
      </c>
      <c r="E8" s="18" t="s">
        <v>213</v>
      </c>
      <c r="F8" s="20" t="s">
        <v>214</v>
      </c>
      <c r="G8" s="20" t="s">
        <v>218</v>
      </c>
      <c r="H8" s="18" t="s">
        <v>31</v>
      </c>
      <c r="I8" s="18" t="s">
        <v>31</v>
      </c>
      <c r="J8" s="20" t="s">
        <v>164</v>
      </c>
      <c r="K8" s="20" t="s">
        <v>216</v>
      </c>
      <c r="L8" s="2" t="s">
        <v>217</v>
      </c>
      <c r="M8" s="18" t="s">
        <v>99</v>
      </c>
      <c r="N8" s="153">
        <v>0.06</v>
      </c>
      <c r="O8" s="167">
        <v>6.4699999999999994E-2</v>
      </c>
      <c r="P8" s="168">
        <v>4.2639999999999997E-2</v>
      </c>
      <c r="Q8" s="150">
        <v>227</v>
      </c>
      <c r="R8" s="153">
        <v>3.7589999999999999</v>
      </c>
      <c r="S8" s="153">
        <v>106.169</v>
      </c>
      <c r="T8" s="153">
        <v>905.93200000000002</v>
      </c>
      <c r="U8" s="168">
        <v>0.79776203632710097</v>
      </c>
      <c r="V8" s="168">
        <v>2.8213102123161402E-2</v>
      </c>
    </row>
    <row r="9" spans="1:22">
      <c r="A9" s="20" t="s">
        <v>128</v>
      </c>
      <c r="B9" s="20">
        <v>7228</v>
      </c>
      <c r="C9" s="20" t="s">
        <v>211</v>
      </c>
      <c r="D9" s="2" t="s">
        <v>212</v>
      </c>
      <c r="E9" s="18" t="s">
        <v>213</v>
      </c>
      <c r="F9" s="20" t="s">
        <v>219</v>
      </c>
      <c r="G9" s="20" t="s">
        <v>220</v>
      </c>
      <c r="H9" s="18" t="s">
        <v>31</v>
      </c>
      <c r="I9" s="18" t="s">
        <v>31</v>
      </c>
      <c r="J9" s="20" t="s">
        <v>164</v>
      </c>
      <c r="K9" s="20" t="s">
        <v>216</v>
      </c>
      <c r="L9" s="2" t="s">
        <v>217</v>
      </c>
      <c r="M9" s="18" t="s">
        <v>35</v>
      </c>
      <c r="N9" s="153">
        <v>4.72</v>
      </c>
      <c r="O9" s="167">
        <v>5.2999999999999999E-2</v>
      </c>
      <c r="P9" s="168">
        <v>2.3449999999999999E-2</v>
      </c>
      <c r="Q9" s="150">
        <v>275</v>
      </c>
      <c r="R9" s="153">
        <v>1</v>
      </c>
      <c r="S9" s="153">
        <v>164.93</v>
      </c>
      <c r="T9" s="153">
        <v>453.55700000000002</v>
      </c>
      <c r="U9" s="168">
        <v>9.8049278622273101E-3</v>
      </c>
      <c r="V9" s="168">
        <v>1.93802407747541E-4</v>
      </c>
    </row>
    <row r="10" spans="1:22">
      <c r="A10" s="20" t="s">
        <v>128</v>
      </c>
      <c r="B10" s="20">
        <v>7228</v>
      </c>
      <c r="C10" s="20" t="s">
        <v>211</v>
      </c>
      <c r="D10" s="2" t="s">
        <v>212</v>
      </c>
      <c r="E10" s="18" t="s">
        <v>213</v>
      </c>
      <c r="F10" s="20" t="s">
        <v>214</v>
      </c>
      <c r="G10" s="20" t="s">
        <v>215</v>
      </c>
      <c r="H10" s="18" t="s">
        <v>31</v>
      </c>
      <c r="I10" s="18"/>
      <c r="J10" s="20" t="s">
        <v>164</v>
      </c>
      <c r="K10" s="20" t="s">
        <v>216</v>
      </c>
      <c r="L10" s="2" t="s">
        <v>217</v>
      </c>
      <c r="M10" s="18" t="s">
        <v>99</v>
      </c>
      <c r="N10" s="153">
        <v>0.68</v>
      </c>
      <c r="O10" s="167">
        <v>5.6000000000000001E-2</v>
      </c>
      <c r="P10" s="168">
        <v>5.074E-2</v>
      </c>
      <c r="Q10" s="150">
        <v>9600</v>
      </c>
      <c r="R10" s="153">
        <v>3.7589999999999999</v>
      </c>
      <c r="S10" s="153">
        <v>101.82599999999999</v>
      </c>
      <c r="T10" s="153">
        <v>36745.264999999999</v>
      </c>
      <c r="U10" s="168">
        <v>0.79435284505463599</v>
      </c>
      <c r="V10" s="168">
        <v>1.57010328006357E-2</v>
      </c>
    </row>
    <row r="11" spans="1:22">
      <c r="A11" s="20" t="s">
        <v>128</v>
      </c>
      <c r="B11" s="20">
        <v>7228</v>
      </c>
      <c r="C11" s="20" t="s">
        <v>211</v>
      </c>
      <c r="D11" s="2" t="s">
        <v>212</v>
      </c>
      <c r="E11" s="18" t="s">
        <v>213</v>
      </c>
      <c r="F11" s="20" t="s">
        <v>214</v>
      </c>
      <c r="G11" s="20" t="s">
        <v>218</v>
      </c>
      <c r="H11" s="18" t="s">
        <v>31</v>
      </c>
      <c r="I11" s="18" t="s">
        <v>31</v>
      </c>
      <c r="J11" s="20" t="s">
        <v>164</v>
      </c>
      <c r="K11" s="20" t="s">
        <v>216</v>
      </c>
      <c r="L11" s="2" t="s">
        <v>217</v>
      </c>
      <c r="M11" s="18" t="s">
        <v>99</v>
      </c>
      <c r="N11" s="153">
        <v>0.06</v>
      </c>
      <c r="O11" s="167">
        <v>6.4699999999999994E-2</v>
      </c>
      <c r="P11" s="168">
        <v>4.2639999999999997E-2</v>
      </c>
      <c r="Q11" s="150">
        <v>2270</v>
      </c>
      <c r="R11" s="153">
        <v>3.7589999999999999</v>
      </c>
      <c r="S11" s="153">
        <v>106.169</v>
      </c>
      <c r="T11" s="153">
        <v>9059.2919999999995</v>
      </c>
      <c r="U11" s="168">
        <v>0.19584222708313601</v>
      </c>
      <c r="V11" s="168">
        <v>3.87098157994307E-3</v>
      </c>
    </row>
    <row r="12" spans="1:22">
      <c r="A12" s="20" t="s">
        <v>128</v>
      </c>
      <c r="B12" s="20">
        <v>7229</v>
      </c>
      <c r="C12" s="20" t="s">
        <v>211</v>
      </c>
      <c r="D12" s="2" t="s">
        <v>212</v>
      </c>
      <c r="E12" s="18" t="s">
        <v>213</v>
      </c>
      <c r="F12" s="20" t="s">
        <v>214</v>
      </c>
      <c r="G12" s="20" t="s">
        <v>215</v>
      </c>
      <c r="H12" s="18" t="s">
        <v>31</v>
      </c>
      <c r="I12" s="18"/>
      <c r="J12" s="20" t="s">
        <v>164</v>
      </c>
      <c r="K12" s="20" t="s">
        <v>216</v>
      </c>
      <c r="L12" s="2" t="s">
        <v>217</v>
      </c>
      <c r="M12" s="18" t="s">
        <v>99</v>
      </c>
      <c r="N12" s="153">
        <v>0.68</v>
      </c>
      <c r="O12" s="167">
        <v>5.6000000000000001E-2</v>
      </c>
      <c r="P12" s="168">
        <v>5.074E-2</v>
      </c>
      <c r="Q12" s="150">
        <v>300</v>
      </c>
      <c r="R12" s="153">
        <v>3.7589999999999999</v>
      </c>
      <c r="S12" s="153">
        <v>101.82599999999999</v>
      </c>
      <c r="T12" s="153">
        <v>1148.29</v>
      </c>
      <c r="U12" s="168">
        <v>1</v>
      </c>
      <c r="V12" s="168">
        <v>8.1206031949457008E-3</v>
      </c>
    </row>
    <row r="13" spans="1:22">
      <c r="A13" s="20" t="s">
        <v>144</v>
      </c>
      <c r="B13" s="20">
        <v>969</v>
      </c>
      <c r="C13" s="20" t="s">
        <v>211</v>
      </c>
      <c r="D13" s="2" t="s">
        <v>212</v>
      </c>
      <c r="E13" s="18" t="s">
        <v>213</v>
      </c>
      <c r="F13" s="20" t="s">
        <v>214</v>
      </c>
      <c r="G13" s="20" t="s">
        <v>215</v>
      </c>
      <c r="H13" s="18" t="s">
        <v>31</v>
      </c>
      <c r="I13" s="18"/>
      <c r="J13" s="20" t="s">
        <v>164</v>
      </c>
      <c r="K13" s="20" t="s">
        <v>216</v>
      </c>
      <c r="L13" s="2" t="s">
        <v>217</v>
      </c>
      <c r="M13" s="18" t="s">
        <v>99</v>
      </c>
      <c r="N13" s="153">
        <v>0.68</v>
      </c>
      <c r="O13" s="167">
        <v>5.6000000000000001E-2</v>
      </c>
      <c r="P13" s="168">
        <v>5.074E-2</v>
      </c>
      <c r="Q13" s="150">
        <v>170</v>
      </c>
      <c r="R13" s="153">
        <v>3.7589999999999999</v>
      </c>
      <c r="S13" s="153">
        <v>101.82599999999999</v>
      </c>
      <c r="T13" s="153">
        <v>650.69600000000003</v>
      </c>
      <c r="U13" s="168">
        <v>1</v>
      </c>
      <c r="V13" s="168">
        <v>8.8223511130093406E-3</v>
      </c>
    </row>
    <row r="14" spans="1:22">
      <c r="A14" s="20"/>
      <c r="B14" s="20"/>
      <c r="C14" s="20"/>
      <c r="E14" s="18"/>
      <c r="F14" s="20"/>
      <c r="G14" s="20"/>
      <c r="H14" s="18"/>
      <c r="I14" s="18"/>
      <c r="J14" s="20"/>
      <c r="K14" s="20"/>
      <c r="M14" s="18"/>
      <c r="N14" s="20"/>
      <c r="O14" s="148"/>
      <c r="P14" s="20"/>
      <c r="R14" s="20"/>
      <c r="S14" s="20"/>
      <c r="T14" s="20"/>
      <c r="U14" s="20"/>
      <c r="V14" s="20"/>
    </row>
    <row r="15" spans="1:22">
      <c r="A15" s="20"/>
      <c r="B15" s="20"/>
      <c r="C15" s="20"/>
      <c r="E15" s="18"/>
      <c r="F15" s="20"/>
      <c r="G15" s="20"/>
      <c r="H15" s="18"/>
      <c r="I15" s="18"/>
      <c r="J15" s="20"/>
      <c r="K15" s="20"/>
      <c r="M15" s="18"/>
      <c r="N15" s="20"/>
      <c r="O15" s="148"/>
      <c r="P15" s="20"/>
      <c r="R15" s="20"/>
      <c r="S15" s="20"/>
      <c r="T15" s="20"/>
      <c r="U15" s="20"/>
      <c r="V15" s="20"/>
    </row>
    <row r="16" spans="1:22">
      <c r="A16" s="20"/>
      <c r="B16" s="20"/>
      <c r="C16" s="20"/>
      <c r="E16" s="18"/>
      <c r="F16" s="20"/>
      <c r="G16" s="20"/>
      <c r="H16" s="18"/>
      <c r="I16" s="18"/>
      <c r="J16" s="20"/>
      <c r="K16" s="20"/>
      <c r="M16" s="18"/>
      <c r="N16" s="20"/>
      <c r="O16" s="148"/>
      <c r="P16" s="20"/>
      <c r="R16" s="20"/>
      <c r="S16" s="20"/>
      <c r="T16" s="20"/>
      <c r="U16" s="20"/>
      <c r="V16" s="20"/>
    </row>
    <row r="17" spans="1:22">
      <c r="A17" s="20"/>
      <c r="B17" s="20"/>
      <c r="C17" s="20"/>
      <c r="E17" s="18"/>
      <c r="F17" s="20"/>
      <c r="G17" s="20"/>
      <c r="H17" s="18"/>
      <c r="I17" s="18"/>
      <c r="J17" s="20"/>
      <c r="K17" s="20"/>
      <c r="M17" s="18"/>
      <c r="N17" s="20"/>
      <c r="O17" s="148"/>
      <c r="P17" s="20"/>
      <c r="R17" s="20"/>
      <c r="S17" s="20"/>
      <c r="T17" s="20"/>
      <c r="U17" s="20"/>
      <c r="V17" s="20"/>
    </row>
    <row r="18" spans="1:22">
      <c r="A18" s="20"/>
      <c r="B18" s="20"/>
      <c r="C18" s="20"/>
      <c r="E18" s="18"/>
      <c r="F18" s="20"/>
      <c r="G18" s="20"/>
      <c r="H18" s="18"/>
      <c r="I18" s="18"/>
      <c r="J18" s="20"/>
      <c r="K18" s="20"/>
      <c r="M18" s="18"/>
      <c r="N18" s="20"/>
      <c r="O18" s="148"/>
      <c r="P18" s="20"/>
      <c r="R18" s="20"/>
      <c r="S18" s="20"/>
      <c r="T18" s="20"/>
      <c r="U18" s="20"/>
      <c r="V18" s="20"/>
    </row>
    <row r="19" spans="1:22">
      <c r="A19" s="20"/>
      <c r="B19" s="20"/>
      <c r="C19" s="20"/>
      <c r="E19" s="18"/>
      <c r="F19" s="20"/>
      <c r="G19" s="20"/>
      <c r="H19" s="18"/>
      <c r="I19" s="18"/>
      <c r="J19" s="20"/>
      <c r="K19" s="20"/>
      <c r="M19" s="18"/>
      <c r="N19" s="20"/>
      <c r="O19" s="148"/>
      <c r="P19" s="20"/>
      <c r="R19" s="20"/>
      <c r="S19" s="20"/>
      <c r="T19" s="20"/>
      <c r="U19" s="20"/>
      <c r="V19" s="20"/>
    </row>
    <row r="20" spans="1:22">
      <c r="E20" s="18"/>
      <c r="F20" s="20"/>
      <c r="H20" s="18"/>
      <c r="I20" s="18"/>
      <c r="J20" s="2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66"/>
  <sheetViews>
    <sheetView rightToLeft="1" zoomScale="70" zoomScaleNormal="70" workbookViewId="0">
      <selection activeCell="L35" sqref="L35:R35"/>
    </sheetView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19" t="s">
        <v>0</v>
      </c>
      <c r="B1" s="19" t="s">
        <v>1</v>
      </c>
      <c r="C1" s="19" t="s">
        <v>191</v>
      </c>
      <c r="D1" s="19" t="s">
        <v>5</v>
      </c>
      <c r="E1" s="19" t="s">
        <v>192</v>
      </c>
      <c r="F1" s="19" t="s">
        <v>150</v>
      </c>
      <c r="G1" s="19" t="s">
        <v>193</v>
      </c>
      <c r="H1" s="19" t="s">
        <v>194</v>
      </c>
      <c r="I1" s="19" t="s">
        <v>195</v>
      </c>
      <c r="J1" s="19" t="s">
        <v>196</v>
      </c>
      <c r="K1" s="170" t="s">
        <v>197</v>
      </c>
      <c r="L1" s="19" t="s">
        <v>198</v>
      </c>
      <c r="M1" s="19" t="s">
        <v>186</v>
      </c>
      <c r="N1" s="19" t="s">
        <v>199</v>
      </c>
      <c r="O1" s="19" t="s">
        <v>187</v>
      </c>
      <c r="P1" s="19" t="s">
        <v>159</v>
      </c>
      <c r="Q1" s="19" t="s">
        <v>11</v>
      </c>
      <c r="R1" s="19" t="s">
        <v>200</v>
      </c>
      <c r="S1" s="19" t="s">
        <v>20</v>
      </c>
      <c r="T1" s="19" t="s">
        <v>21</v>
      </c>
      <c r="U1" s="19" t="s">
        <v>201</v>
      </c>
      <c r="V1" s="19" t="s">
        <v>22</v>
      </c>
      <c r="W1" s="163" t="s">
        <v>24</v>
      </c>
      <c r="X1" s="163" t="s">
        <v>25</v>
      </c>
    </row>
    <row r="2" spans="1:24" s="178" customFormat="1">
      <c r="A2" s="180">
        <v>424</v>
      </c>
      <c r="B2" s="180">
        <v>7228</v>
      </c>
      <c r="C2" s="181" t="s">
        <v>3288</v>
      </c>
      <c r="D2" s="180" t="s">
        <v>202</v>
      </c>
      <c r="E2" s="182" t="s">
        <v>31</v>
      </c>
      <c r="F2" s="180" t="s">
        <v>164</v>
      </c>
      <c r="G2" s="183">
        <v>30317</v>
      </c>
      <c r="H2" s="180" t="s">
        <v>905</v>
      </c>
      <c r="I2" s="180" t="s">
        <v>918</v>
      </c>
      <c r="J2" s="181" t="s">
        <v>3288</v>
      </c>
      <c r="K2" s="184">
        <v>0</v>
      </c>
      <c r="L2" s="180" t="s">
        <v>928</v>
      </c>
      <c r="M2" s="180" t="s">
        <v>938</v>
      </c>
      <c r="N2" s="182" t="s">
        <v>3289</v>
      </c>
      <c r="O2" s="180" t="s">
        <v>940</v>
      </c>
      <c r="P2" s="185">
        <v>45139</v>
      </c>
      <c r="Q2" s="179" t="s">
        <v>35</v>
      </c>
      <c r="R2" s="186">
        <v>2304583.1300465493</v>
      </c>
      <c r="S2" s="187">
        <v>2304.5831300465493</v>
      </c>
      <c r="T2" s="180"/>
      <c r="U2" s="180"/>
      <c r="V2" s="180" t="s">
        <v>37</v>
      </c>
      <c r="W2" s="188">
        <v>6.3385316830610614E-3</v>
      </c>
      <c r="X2" s="188">
        <v>9.8646212350195737E-4</v>
      </c>
    </row>
    <row r="3" spans="1:24" s="178" customFormat="1">
      <c r="A3" s="180">
        <v>424</v>
      </c>
      <c r="B3" s="180">
        <v>7228</v>
      </c>
      <c r="C3" s="181" t="s">
        <v>3290</v>
      </c>
      <c r="D3" s="180" t="s">
        <v>202</v>
      </c>
      <c r="E3" s="182" t="s">
        <v>31</v>
      </c>
      <c r="F3" s="180" t="s">
        <v>164</v>
      </c>
      <c r="G3" s="183">
        <v>30317</v>
      </c>
      <c r="H3" s="180" t="s">
        <v>907</v>
      </c>
      <c r="I3" s="180" t="s">
        <v>918</v>
      </c>
      <c r="J3" s="181" t="s">
        <v>3290</v>
      </c>
      <c r="K3" s="184">
        <v>0</v>
      </c>
      <c r="L3" s="180" t="s">
        <v>928</v>
      </c>
      <c r="M3" s="180" t="s">
        <v>938</v>
      </c>
      <c r="N3" s="182" t="s">
        <v>3289</v>
      </c>
      <c r="O3" s="180" t="s">
        <v>940</v>
      </c>
      <c r="P3" s="185">
        <v>45139</v>
      </c>
      <c r="Q3" s="179" t="s">
        <v>35</v>
      </c>
      <c r="R3" s="186">
        <v>2113916.1804383816</v>
      </c>
      <c r="S3" s="187">
        <v>2113.9161804383816</v>
      </c>
      <c r="V3" s="180" t="s">
        <v>37</v>
      </c>
      <c r="W3" s="188">
        <v>5.8141207884193193E-3</v>
      </c>
      <c r="X3" s="188">
        <v>9.0484835069424164E-4</v>
      </c>
    </row>
    <row r="4" spans="1:24" s="178" customFormat="1">
      <c r="A4" s="180">
        <v>424</v>
      </c>
      <c r="B4" s="180">
        <v>7228</v>
      </c>
      <c r="C4" s="181" t="s">
        <v>3291</v>
      </c>
      <c r="D4" s="180" t="s">
        <v>202</v>
      </c>
      <c r="E4" s="182" t="s">
        <v>31</v>
      </c>
      <c r="F4" s="180" t="s">
        <v>164</v>
      </c>
      <c r="G4" s="183">
        <v>30317</v>
      </c>
      <c r="H4" s="180" t="s">
        <v>905</v>
      </c>
      <c r="I4" s="180" t="s">
        <v>918</v>
      </c>
      <c r="J4" s="181" t="s">
        <v>3291</v>
      </c>
      <c r="K4" s="184">
        <v>0</v>
      </c>
      <c r="L4" s="180" t="s">
        <v>928</v>
      </c>
      <c r="M4" s="180" t="s">
        <v>938</v>
      </c>
      <c r="N4" s="182" t="s">
        <v>3289</v>
      </c>
      <c r="O4" s="180" t="s">
        <v>940</v>
      </c>
      <c r="P4" s="185">
        <v>45139</v>
      </c>
      <c r="Q4" s="179" t="s">
        <v>35</v>
      </c>
      <c r="R4" s="186">
        <v>27978302.388155047</v>
      </c>
      <c r="S4" s="187">
        <v>27978.302388155047</v>
      </c>
      <c r="V4" s="180" t="s">
        <v>37</v>
      </c>
      <c r="W4" s="188">
        <v>7.695159867025568E-2</v>
      </c>
      <c r="X4" s="188">
        <v>1.1975934053306138E-2</v>
      </c>
    </row>
    <row r="5" spans="1:24" s="178" customFormat="1">
      <c r="A5" s="180">
        <v>424</v>
      </c>
      <c r="B5" s="180">
        <v>7228</v>
      </c>
      <c r="C5" s="181" t="s">
        <v>3292</v>
      </c>
      <c r="D5" s="180" t="s">
        <v>202</v>
      </c>
      <c r="E5" s="182" t="s">
        <v>31</v>
      </c>
      <c r="F5" s="180" t="s">
        <v>164</v>
      </c>
      <c r="G5" s="183">
        <v>30317</v>
      </c>
      <c r="H5" s="180" t="s">
        <v>905</v>
      </c>
      <c r="I5" s="180" t="s">
        <v>918</v>
      </c>
      <c r="J5" s="181" t="s">
        <v>3292</v>
      </c>
      <c r="K5" s="184">
        <v>0</v>
      </c>
      <c r="L5" s="180" t="s">
        <v>928</v>
      </c>
      <c r="M5" s="180" t="s">
        <v>938</v>
      </c>
      <c r="N5" s="182" t="s">
        <v>3289</v>
      </c>
      <c r="O5" s="180" t="s">
        <v>940</v>
      </c>
      <c r="P5" s="185">
        <v>45139</v>
      </c>
      <c r="Q5" s="179" t="s">
        <v>35</v>
      </c>
      <c r="R5" s="186">
        <v>30423813.263564158</v>
      </c>
      <c r="S5" s="187">
        <v>30423.81326356416</v>
      </c>
      <c r="V5" s="180" t="s">
        <v>37</v>
      </c>
      <c r="W5" s="188">
        <v>8.3677738405878041E-2</v>
      </c>
      <c r="X5" s="188">
        <v>1.3022719400187713E-2</v>
      </c>
    </row>
    <row r="6" spans="1:24" s="178" customFormat="1">
      <c r="A6" s="180">
        <v>424</v>
      </c>
      <c r="B6" s="180">
        <v>7228</v>
      </c>
      <c r="C6" s="181" t="s">
        <v>3293</v>
      </c>
      <c r="D6" s="180" t="s">
        <v>202</v>
      </c>
      <c r="E6" s="182" t="s">
        <v>31</v>
      </c>
      <c r="F6" s="180" t="s">
        <v>164</v>
      </c>
      <c r="G6" s="183">
        <v>30317</v>
      </c>
      <c r="H6" s="180" t="s">
        <v>905</v>
      </c>
      <c r="I6" s="180" t="s">
        <v>918</v>
      </c>
      <c r="J6" s="181" t="s">
        <v>3293</v>
      </c>
      <c r="K6" s="184">
        <v>0</v>
      </c>
      <c r="L6" s="180" t="s">
        <v>928</v>
      </c>
      <c r="M6" s="180" t="s">
        <v>938</v>
      </c>
      <c r="N6" s="182" t="s">
        <v>3289</v>
      </c>
      <c r="O6" s="180" t="s">
        <v>940</v>
      </c>
      <c r="P6" s="185">
        <v>45139</v>
      </c>
      <c r="Q6" s="179" t="s">
        <v>35</v>
      </c>
      <c r="R6" s="186">
        <v>27024967.640114211</v>
      </c>
      <c r="S6" s="187">
        <v>27024.96764011421</v>
      </c>
      <c r="T6" s="180"/>
      <c r="U6" s="180"/>
      <c r="V6" s="180" t="s">
        <v>37</v>
      </c>
      <c r="W6" s="188">
        <v>7.4329544197046973E-2</v>
      </c>
      <c r="X6" s="188">
        <v>1.1567865189267558E-2</v>
      </c>
    </row>
    <row r="7" spans="1:24" s="178" customFormat="1">
      <c r="A7" s="180">
        <v>424</v>
      </c>
      <c r="B7" s="180">
        <v>7228</v>
      </c>
      <c r="C7" s="181" t="s">
        <v>3294</v>
      </c>
      <c r="D7" s="180" t="s">
        <v>202</v>
      </c>
      <c r="E7" s="182" t="s">
        <v>31</v>
      </c>
      <c r="F7" s="180" t="s">
        <v>164</v>
      </c>
      <c r="G7" s="183">
        <v>30317</v>
      </c>
      <c r="H7" s="180" t="s">
        <v>905</v>
      </c>
      <c r="I7" s="180" t="s">
        <v>918</v>
      </c>
      <c r="J7" s="181" t="s">
        <v>3294</v>
      </c>
      <c r="K7" s="184">
        <v>3.0927835051546282E-2</v>
      </c>
      <c r="L7" s="180" t="s">
        <v>928</v>
      </c>
      <c r="M7" s="180" t="s">
        <v>938</v>
      </c>
      <c r="N7" s="182" t="s">
        <v>3289</v>
      </c>
      <c r="O7" s="180" t="s">
        <v>940</v>
      </c>
      <c r="P7" s="185">
        <v>45323</v>
      </c>
      <c r="Q7" s="179" t="s">
        <v>35</v>
      </c>
      <c r="R7" s="186">
        <v>8759911.4006441925</v>
      </c>
      <c r="S7" s="187">
        <v>8759.9114006441923</v>
      </c>
      <c r="T7" s="180"/>
      <c r="U7" s="180"/>
      <c r="V7" s="180" t="s">
        <v>37</v>
      </c>
      <c r="W7" s="188">
        <v>2.4093284043379026E-2</v>
      </c>
      <c r="X7" s="188">
        <v>3.7496242549488481E-3</v>
      </c>
    </row>
    <row r="8" spans="1:24" s="178" customFormat="1">
      <c r="A8" s="180">
        <v>424</v>
      </c>
      <c r="B8" s="180">
        <v>7228</v>
      </c>
      <c r="C8" s="189" t="s">
        <v>3295</v>
      </c>
      <c r="D8" s="180" t="s">
        <v>202</v>
      </c>
      <c r="E8" s="182" t="s">
        <v>31</v>
      </c>
      <c r="F8" s="180" t="s">
        <v>164</v>
      </c>
      <c r="G8" s="183">
        <v>30317</v>
      </c>
      <c r="H8" s="180" t="s">
        <v>905</v>
      </c>
      <c r="I8" s="180" t="s">
        <v>918</v>
      </c>
      <c r="J8" s="189" t="s">
        <v>3295</v>
      </c>
      <c r="K8" s="184">
        <v>0</v>
      </c>
      <c r="L8" s="180" t="s">
        <v>928</v>
      </c>
      <c r="M8" s="180" t="s">
        <v>938</v>
      </c>
      <c r="N8" s="182" t="s">
        <v>3289</v>
      </c>
      <c r="O8" s="180" t="s">
        <v>940</v>
      </c>
      <c r="P8" s="185">
        <v>45413</v>
      </c>
      <c r="Q8" s="179" t="s">
        <v>35</v>
      </c>
      <c r="R8" s="186">
        <v>12845149.496428518</v>
      </c>
      <c r="S8" s="187">
        <v>12845.149496428518</v>
      </c>
      <c r="T8" s="180"/>
      <c r="U8" s="180"/>
      <c r="V8" s="180" t="s">
        <v>37</v>
      </c>
      <c r="W8" s="188">
        <v>3.5329333967277388E-2</v>
      </c>
      <c r="X8" s="188">
        <v>5.4982843898067736E-3</v>
      </c>
    </row>
    <row r="9" spans="1:24" s="178" customFormat="1">
      <c r="A9" s="180">
        <v>424</v>
      </c>
      <c r="B9" s="180">
        <v>7228</v>
      </c>
      <c r="C9" s="189" t="s">
        <v>3296</v>
      </c>
      <c r="D9" s="180" t="s">
        <v>202</v>
      </c>
      <c r="E9" s="182" t="s">
        <v>31</v>
      </c>
      <c r="F9" s="180" t="s">
        <v>164</v>
      </c>
      <c r="G9" s="183">
        <v>30317</v>
      </c>
      <c r="H9" s="180" t="s">
        <v>905</v>
      </c>
      <c r="I9" s="180" t="s">
        <v>918</v>
      </c>
      <c r="J9" s="189" t="s">
        <v>3296</v>
      </c>
      <c r="K9" s="184">
        <v>0</v>
      </c>
      <c r="L9" s="180" t="s">
        <v>928</v>
      </c>
      <c r="M9" s="180" t="s">
        <v>938</v>
      </c>
      <c r="N9" s="182" t="s">
        <v>3289</v>
      </c>
      <c r="O9" s="180" t="s">
        <v>940</v>
      </c>
      <c r="P9" s="185">
        <v>45231</v>
      </c>
      <c r="Q9" s="179" t="s">
        <v>35</v>
      </c>
      <c r="R9" s="186">
        <v>35646429.709353104</v>
      </c>
      <c r="S9" s="187">
        <v>35646.429709353106</v>
      </c>
      <c r="T9" s="180"/>
      <c r="U9" s="180"/>
      <c r="V9" s="180" t="s">
        <v>37</v>
      </c>
      <c r="W9" s="188">
        <v>9.8042036824325787E-2</v>
      </c>
      <c r="X9" s="188">
        <v>1.5258227090138193E-2</v>
      </c>
    </row>
    <row r="10" spans="1:24" s="178" customFormat="1">
      <c r="A10" s="180">
        <v>424</v>
      </c>
      <c r="B10" s="180">
        <v>7228</v>
      </c>
      <c r="C10" s="181" t="s">
        <v>3297</v>
      </c>
      <c r="D10" s="180" t="s">
        <v>202</v>
      </c>
      <c r="E10" s="182" t="s">
        <v>31</v>
      </c>
      <c r="F10" s="180" t="s">
        <v>164</v>
      </c>
      <c r="G10" s="183">
        <v>30317</v>
      </c>
      <c r="H10" s="180" t="s">
        <v>905</v>
      </c>
      <c r="I10" s="180" t="s">
        <v>918</v>
      </c>
      <c r="J10" s="181" t="s">
        <v>3297</v>
      </c>
      <c r="K10" s="184">
        <v>5.6808868567484794E-2</v>
      </c>
      <c r="L10" s="180" t="s">
        <v>928</v>
      </c>
      <c r="M10" s="180" t="s">
        <v>938</v>
      </c>
      <c r="N10" s="182" t="s">
        <v>3289</v>
      </c>
      <c r="O10" s="180" t="s">
        <v>940</v>
      </c>
      <c r="P10" s="185">
        <v>45231</v>
      </c>
      <c r="Q10" s="179" t="s">
        <v>35</v>
      </c>
      <c r="R10" s="186">
        <v>10469162.405647937</v>
      </c>
      <c r="S10" s="187">
        <v>10469.162405647938</v>
      </c>
      <c r="T10" s="180"/>
      <c r="U10" s="180"/>
      <c r="V10" s="180" t="s">
        <v>37</v>
      </c>
      <c r="W10" s="188">
        <v>2.8794412637209079E-2</v>
      </c>
      <c r="X10" s="188">
        <v>4.4812582559144772E-3</v>
      </c>
    </row>
    <row r="11" spans="1:24" s="178" customFormat="1">
      <c r="A11" s="180">
        <v>424</v>
      </c>
      <c r="B11" s="180">
        <v>7228</v>
      </c>
      <c r="C11" s="181" t="s">
        <v>3298</v>
      </c>
      <c r="D11" s="180" t="s">
        <v>202</v>
      </c>
      <c r="E11" s="182" t="s">
        <v>31</v>
      </c>
      <c r="F11" s="180" t="s">
        <v>164</v>
      </c>
      <c r="G11" s="183">
        <v>30317</v>
      </c>
      <c r="H11" s="180" t="s">
        <v>905</v>
      </c>
      <c r="I11" s="180" t="s">
        <v>918</v>
      </c>
      <c r="J11" s="181" t="s">
        <v>3298</v>
      </c>
      <c r="K11" s="184">
        <v>1.2316761780930552E-3</v>
      </c>
      <c r="L11" s="180" t="s">
        <v>928</v>
      </c>
      <c r="M11" s="180" t="s">
        <v>938</v>
      </c>
      <c r="N11" s="182" t="s">
        <v>3289</v>
      </c>
      <c r="O11" s="180" t="s">
        <v>940</v>
      </c>
      <c r="P11" s="185">
        <v>45413</v>
      </c>
      <c r="Q11" s="179" t="s">
        <v>35</v>
      </c>
      <c r="R11" s="186">
        <v>11146887.26613594</v>
      </c>
      <c r="S11" s="187">
        <v>11146.88726613594</v>
      </c>
      <c r="T11" s="180"/>
      <c r="U11" s="180"/>
      <c r="V11" s="180" t="s">
        <v>37</v>
      </c>
      <c r="W11" s="188">
        <v>3.0658428929177067E-2</v>
      </c>
      <c r="X11" s="188">
        <v>4.771354063833352E-3</v>
      </c>
    </row>
    <row r="12" spans="1:24" s="178" customFormat="1">
      <c r="A12" s="180">
        <v>424</v>
      </c>
      <c r="B12" s="180">
        <v>7228</v>
      </c>
      <c r="C12" s="189" t="s">
        <v>3299</v>
      </c>
      <c r="D12" s="180" t="s">
        <v>202</v>
      </c>
      <c r="E12" s="182" t="s">
        <v>31</v>
      </c>
      <c r="F12" s="180" t="s">
        <v>164</v>
      </c>
      <c r="G12" s="183">
        <v>30317</v>
      </c>
      <c r="H12" s="180" t="s">
        <v>905</v>
      </c>
      <c r="I12" s="180" t="s">
        <v>918</v>
      </c>
      <c r="J12" s="189" t="s">
        <v>3299</v>
      </c>
      <c r="K12" s="184">
        <v>5.7164022470522768E-2</v>
      </c>
      <c r="L12" s="180" t="s">
        <v>928</v>
      </c>
      <c r="M12" s="180" t="s">
        <v>938</v>
      </c>
      <c r="N12" s="182" t="s">
        <v>3289</v>
      </c>
      <c r="O12" s="180" t="s">
        <v>940</v>
      </c>
      <c r="P12" s="185">
        <v>45323</v>
      </c>
      <c r="Q12" s="179" t="s">
        <v>35</v>
      </c>
      <c r="R12" s="186">
        <v>29270923.460689131</v>
      </c>
      <c r="S12" s="187">
        <v>29270.92346068913</v>
      </c>
      <c r="T12" s="180"/>
      <c r="U12" s="180"/>
      <c r="V12" s="180" t="s">
        <v>37</v>
      </c>
      <c r="W12" s="188">
        <v>8.050682716933967E-2</v>
      </c>
      <c r="X12" s="188">
        <v>1.2529232266536395E-2</v>
      </c>
    </row>
    <row r="13" spans="1:24" s="178" customFormat="1">
      <c r="A13" s="180">
        <v>424</v>
      </c>
      <c r="B13" s="180">
        <v>7228</v>
      </c>
      <c r="C13" s="181" t="s">
        <v>3300</v>
      </c>
      <c r="D13" s="180" t="s">
        <v>202</v>
      </c>
      <c r="E13" s="182" t="s">
        <v>31</v>
      </c>
      <c r="F13" s="180" t="s">
        <v>164</v>
      </c>
      <c r="G13" s="183">
        <v>30317</v>
      </c>
      <c r="H13" s="180" t="s">
        <v>905</v>
      </c>
      <c r="I13" s="180" t="s">
        <v>918</v>
      </c>
      <c r="J13" s="181" t="s">
        <v>3300</v>
      </c>
      <c r="K13" s="184">
        <v>0.14237949289495688</v>
      </c>
      <c r="L13" s="180" t="s">
        <v>928</v>
      </c>
      <c r="M13" s="180" t="s">
        <v>938</v>
      </c>
      <c r="N13" s="182" t="s">
        <v>3289</v>
      </c>
      <c r="O13" s="180" t="s">
        <v>940</v>
      </c>
      <c r="P13" s="185">
        <v>45413</v>
      </c>
      <c r="Q13" s="179" t="s">
        <v>35</v>
      </c>
      <c r="R13" s="186">
        <v>21023787.361546062</v>
      </c>
      <c r="S13" s="187">
        <v>21023.787361546063</v>
      </c>
      <c r="T13" s="180"/>
      <c r="U13" s="180"/>
      <c r="V13" s="180" t="s">
        <v>37</v>
      </c>
      <c r="W13" s="188">
        <v>5.782388170410966E-2</v>
      </c>
      <c r="X13" s="188">
        <v>8.999098211877235E-3</v>
      </c>
    </row>
    <row r="14" spans="1:24" s="178" customFormat="1">
      <c r="A14" s="180">
        <v>424</v>
      </c>
      <c r="B14" s="180">
        <v>7228</v>
      </c>
      <c r="C14" s="189" t="s">
        <v>3301</v>
      </c>
      <c r="D14" s="180" t="s">
        <v>202</v>
      </c>
      <c r="E14" s="182" t="s">
        <v>31</v>
      </c>
      <c r="F14" s="180" t="s">
        <v>164</v>
      </c>
      <c r="G14" s="183">
        <v>30317</v>
      </c>
      <c r="H14" s="180" t="s">
        <v>905</v>
      </c>
      <c r="I14" s="180" t="s">
        <v>918</v>
      </c>
      <c r="J14" s="189" t="s">
        <v>3301</v>
      </c>
      <c r="K14" s="184">
        <v>0</v>
      </c>
      <c r="L14" s="180" t="s">
        <v>928</v>
      </c>
      <c r="M14" s="180" t="s">
        <v>938</v>
      </c>
      <c r="N14" s="182" t="s">
        <v>3289</v>
      </c>
      <c r="O14" s="180" t="s">
        <v>940</v>
      </c>
      <c r="P14" s="185">
        <v>45413</v>
      </c>
      <c r="Q14" s="179" t="s">
        <v>35</v>
      </c>
      <c r="R14" s="186">
        <v>54961820.691397913</v>
      </c>
      <c r="S14" s="187">
        <v>54961.820691397916</v>
      </c>
      <c r="T14" s="180"/>
      <c r="U14" s="180"/>
      <c r="V14" s="180" t="s">
        <v>37</v>
      </c>
      <c r="W14" s="188">
        <v>0.15116714049890229</v>
      </c>
      <c r="X14" s="188">
        <v>2.3526057118050277E-2</v>
      </c>
    </row>
    <row r="15" spans="1:24" s="178" customFormat="1">
      <c r="A15" s="180">
        <v>424</v>
      </c>
      <c r="B15" s="180">
        <v>7228</v>
      </c>
      <c r="C15" s="181" t="s">
        <v>3302</v>
      </c>
      <c r="D15" s="180" t="s">
        <v>202</v>
      </c>
      <c r="E15" s="182" t="s">
        <v>31</v>
      </c>
      <c r="F15" s="180" t="s">
        <v>164</v>
      </c>
      <c r="G15" s="183">
        <v>30317</v>
      </c>
      <c r="H15" s="180" t="s">
        <v>905</v>
      </c>
      <c r="I15" s="180" t="s">
        <v>918</v>
      </c>
      <c r="J15" s="181" t="s">
        <v>3302</v>
      </c>
      <c r="K15" s="184">
        <v>0</v>
      </c>
      <c r="L15" s="180" t="s">
        <v>928</v>
      </c>
      <c r="M15" s="180" t="s">
        <v>938</v>
      </c>
      <c r="N15" s="182" t="s">
        <v>3289</v>
      </c>
      <c r="O15" s="180" t="s">
        <v>940</v>
      </c>
      <c r="P15" s="185">
        <v>45323</v>
      </c>
      <c r="Q15" s="179" t="s">
        <v>35</v>
      </c>
      <c r="R15" s="186">
        <v>26610474.271400802</v>
      </c>
      <c r="S15" s="187">
        <v>26610.474271400803</v>
      </c>
      <c r="T15" s="180"/>
      <c r="U15" s="180"/>
      <c r="V15" s="180" t="s">
        <v>37</v>
      </c>
      <c r="W15" s="188">
        <v>7.3189520513043185E-2</v>
      </c>
      <c r="X15" s="188">
        <v>1.1390443944033393E-2</v>
      </c>
    </row>
    <row r="16" spans="1:24" s="178" customFormat="1">
      <c r="A16" s="180">
        <v>424</v>
      </c>
      <c r="B16" s="180">
        <v>7228</v>
      </c>
      <c r="C16" s="189" t="s">
        <v>3303</v>
      </c>
      <c r="D16" s="180" t="s">
        <v>202</v>
      </c>
      <c r="E16" s="182" t="s">
        <v>31</v>
      </c>
      <c r="F16" s="180" t="s">
        <v>164</v>
      </c>
      <c r="G16" s="183">
        <v>30317</v>
      </c>
      <c r="H16" s="180" t="s">
        <v>905</v>
      </c>
      <c r="I16" s="180" t="s">
        <v>918</v>
      </c>
      <c r="J16" s="189" t="s">
        <v>3303</v>
      </c>
      <c r="K16" s="184">
        <v>0</v>
      </c>
      <c r="L16" s="180" t="s">
        <v>928</v>
      </c>
      <c r="M16" s="180" t="s">
        <v>938</v>
      </c>
      <c r="N16" s="182" t="s">
        <v>3289</v>
      </c>
      <c r="O16" s="180" t="s">
        <v>940</v>
      </c>
      <c r="P16" s="185">
        <v>45139</v>
      </c>
      <c r="Q16" s="179" t="s">
        <v>35</v>
      </c>
      <c r="R16" s="186">
        <v>63002992.044438042</v>
      </c>
      <c r="S16" s="187">
        <v>63002.99204443804</v>
      </c>
      <c r="T16" s="180"/>
      <c r="U16" s="180"/>
      <c r="V16" s="180" t="s">
        <v>37</v>
      </c>
      <c r="W16" s="188">
        <v>0.17328359996857579</v>
      </c>
      <c r="X16" s="188">
        <v>2.6968029275593084E-2</v>
      </c>
    </row>
    <row r="17" spans="1:24" s="178" customFormat="1">
      <c r="A17" s="180">
        <v>424</v>
      </c>
      <c r="B17" s="180">
        <v>7229</v>
      </c>
      <c r="C17" s="181" t="s">
        <v>3288</v>
      </c>
      <c r="D17" s="180" t="s">
        <v>202</v>
      </c>
      <c r="E17" s="182" t="s">
        <v>31</v>
      </c>
      <c r="F17" s="180" t="s">
        <v>164</v>
      </c>
      <c r="G17" s="183">
        <v>30317</v>
      </c>
      <c r="H17" s="180" t="s">
        <v>905</v>
      </c>
      <c r="I17" s="180" t="s">
        <v>918</v>
      </c>
      <c r="J17" s="181" t="s">
        <v>3288</v>
      </c>
      <c r="K17" s="184">
        <v>0</v>
      </c>
      <c r="L17" s="180" t="s">
        <v>928</v>
      </c>
      <c r="M17" s="180" t="s">
        <v>938</v>
      </c>
      <c r="N17" s="182" t="s">
        <v>3289</v>
      </c>
      <c r="O17" s="180" t="s">
        <v>940</v>
      </c>
      <c r="P17" s="185">
        <v>45139</v>
      </c>
      <c r="Q17" s="179" t="s">
        <v>35</v>
      </c>
      <c r="R17" s="186">
        <v>150941.66229900633</v>
      </c>
      <c r="S17" s="187">
        <v>150.94166229900634</v>
      </c>
      <c r="T17" s="180"/>
      <c r="U17" s="180"/>
      <c r="V17" s="180" t="s">
        <v>37</v>
      </c>
      <c r="W17" s="188">
        <v>6.3385316830610605E-3</v>
      </c>
      <c r="X17" s="188">
        <v>1.0689401086466592E-3</v>
      </c>
    </row>
    <row r="18" spans="1:24" s="178" customFormat="1">
      <c r="A18" s="180">
        <v>424</v>
      </c>
      <c r="B18" s="180">
        <v>7229</v>
      </c>
      <c r="C18" s="181" t="s">
        <v>3290</v>
      </c>
      <c r="D18" s="180" t="s">
        <v>202</v>
      </c>
      <c r="E18" s="182" t="s">
        <v>31</v>
      </c>
      <c r="F18" s="180" t="s">
        <v>164</v>
      </c>
      <c r="G18" s="183">
        <v>30317</v>
      </c>
      <c r="H18" s="180" t="s">
        <v>907</v>
      </c>
      <c r="I18" s="180" t="s">
        <v>918</v>
      </c>
      <c r="J18" s="181" t="s">
        <v>3290</v>
      </c>
      <c r="K18" s="184">
        <v>0</v>
      </c>
      <c r="L18" s="180" t="s">
        <v>928</v>
      </c>
      <c r="M18" s="180" t="s">
        <v>938</v>
      </c>
      <c r="N18" s="182" t="s">
        <v>3289</v>
      </c>
      <c r="O18" s="180" t="s">
        <v>940</v>
      </c>
      <c r="P18" s="185">
        <v>45139</v>
      </c>
      <c r="Q18" s="179" t="s">
        <v>35</v>
      </c>
      <c r="R18" s="186">
        <v>138453.68304405257</v>
      </c>
      <c r="S18" s="187">
        <v>138.45368304405255</v>
      </c>
      <c r="T18" s="180"/>
      <c r="U18" s="180"/>
      <c r="V18" s="180" t="s">
        <v>37</v>
      </c>
      <c r="W18" s="188">
        <v>5.8141207884193176E-3</v>
      </c>
      <c r="X18" s="188">
        <v>9.8050261764351821E-4</v>
      </c>
    </row>
    <row r="19" spans="1:24" s="178" customFormat="1">
      <c r="A19" s="180">
        <v>424</v>
      </c>
      <c r="B19" s="180">
        <v>7229</v>
      </c>
      <c r="C19" s="181" t="s">
        <v>3291</v>
      </c>
      <c r="D19" s="180" t="s">
        <v>202</v>
      </c>
      <c r="E19" s="182" t="s">
        <v>31</v>
      </c>
      <c r="F19" s="180" t="s">
        <v>164</v>
      </c>
      <c r="G19" s="183">
        <v>30317</v>
      </c>
      <c r="H19" s="180" t="s">
        <v>905</v>
      </c>
      <c r="I19" s="180" t="s">
        <v>918</v>
      </c>
      <c r="J19" s="181" t="s">
        <v>3291</v>
      </c>
      <c r="K19" s="184">
        <v>0</v>
      </c>
      <c r="L19" s="180" t="s">
        <v>928</v>
      </c>
      <c r="M19" s="180" t="s">
        <v>938</v>
      </c>
      <c r="N19" s="182" t="s">
        <v>3289</v>
      </c>
      <c r="O19" s="180" t="s">
        <v>940</v>
      </c>
      <c r="P19" s="185">
        <v>45139</v>
      </c>
      <c r="Q19" s="179" t="s">
        <v>35</v>
      </c>
      <c r="R19" s="186">
        <v>1832475.2167595197</v>
      </c>
      <c r="S19" s="187">
        <v>1832.4752167595198</v>
      </c>
      <c r="T19" s="180"/>
      <c r="U19" s="180"/>
      <c r="V19" s="180" t="s">
        <v>37</v>
      </c>
      <c r="W19" s="188">
        <v>7.6951598670255694E-2</v>
      </c>
      <c r="X19" s="188">
        <v>1.2977240527634801E-2</v>
      </c>
    </row>
    <row r="20" spans="1:24" s="178" customFormat="1">
      <c r="A20" s="180">
        <v>424</v>
      </c>
      <c r="B20" s="180">
        <v>7229</v>
      </c>
      <c r="C20" s="181" t="s">
        <v>3292</v>
      </c>
      <c r="D20" s="180" t="s">
        <v>202</v>
      </c>
      <c r="E20" s="182" t="s">
        <v>31</v>
      </c>
      <c r="F20" s="180" t="s">
        <v>164</v>
      </c>
      <c r="G20" s="183">
        <v>30317</v>
      </c>
      <c r="H20" s="180" t="s">
        <v>905</v>
      </c>
      <c r="I20" s="180" t="s">
        <v>918</v>
      </c>
      <c r="J20" s="181" t="s">
        <v>3292</v>
      </c>
      <c r="K20" s="184">
        <v>0</v>
      </c>
      <c r="L20" s="180" t="s">
        <v>928</v>
      </c>
      <c r="M20" s="180" t="s">
        <v>938</v>
      </c>
      <c r="N20" s="182" t="s">
        <v>3289</v>
      </c>
      <c r="O20" s="180" t="s">
        <v>940</v>
      </c>
      <c r="P20" s="185">
        <v>45139</v>
      </c>
      <c r="Q20" s="179" t="s">
        <v>35</v>
      </c>
      <c r="R20" s="186">
        <v>1992647.1245947962</v>
      </c>
      <c r="S20" s="187">
        <v>1992.6471245947962</v>
      </c>
      <c r="V20" s="180" t="s">
        <v>37</v>
      </c>
      <c r="W20" s="188">
        <v>8.3677738405878041E-2</v>
      </c>
      <c r="X20" s="188">
        <v>1.4111547477457697E-2</v>
      </c>
    </row>
    <row r="21" spans="1:24" s="178" customFormat="1">
      <c r="A21" s="180">
        <v>424</v>
      </c>
      <c r="B21" s="180">
        <v>7229</v>
      </c>
      <c r="C21" s="181" t="s">
        <v>3293</v>
      </c>
      <c r="D21" s="180" t="s">
        <v>202</v>
      </c>
      <c r="E21" s="182" t="s">
        <v>31</v>
      </c>
      <c r="F21" s="180" t="s">
        <v>164</v>
      </c>
      <c r="G21" s="183">
        <v>30317</v>
      </c>
      <c r="H21" s="180" t="s">
        <v>905</v>
      </c>
      <c r="I21" s="180" t="s">
        <v>918</v>
      </c>
      <c r="J21" s="181" t="s">
        <v>3293</v>
      </c>
      <c r="K21" s="184">
        <v>0</v>
      </c>
      <c r="L21" s="180" t="s">
        <v>928</v>
      </c>
      <c r="M21" s="180" t="s">
        <v>938</v>
      </c>
      <c r="N21" s="182" t="s">
        <v>3289</v>
      </c>
      <c r="O21" s="180" t="s">
        <v>940</v>
      </c>
      <c r="P21" s="185">
        <v>45139</v>
      </c>
      <c r="Q21" s="179" t="s">
        <v>35</v>
      </c>
      <c r="R21" s="186">
        <v>1770035.3204847509</v>
      </c>
      <c r="S21" s="187">
        <v>1770.0353204847509</v>
      </c>
      <c r="V21" s="180" t="s">
        <v>37</v>
      </c>
      <c r="W21" s="188">
        <v>7.4329544197046987E-2</v>
      </c>
      <c r="X21" s="188">
        <v>1.2535053072619099E-2</v>
      </c>
    </row>
    <row r="22" spans="1:24" s="178" customFormat="1">
      <c r="A22" s="180">
        <v>424</v>
      </c>
      <c r="B22" s="180">
        <v>7229</v>
      </c>
      <c r="C22" s="181" t="s">
        <v>3294</v>
      </c>
      <c r="D22" s="180" t="s">
        <v>202</v>
      </c>
      <c r="E22" s="182" t="s">
        <v>31</v>
      </c>
      <c r="F22" s="180" t="s">
        <v>164</v>
      </c>
      <c r="G22" s="183">
        <v>30317</v>
      </c>
      <c r="H22" s="180" t="s">
        <v>905</v>
      </c>
      <c r="I22" s="180" t="s">
        <v>918</v>
      </c>
      <c r="J22" s="181" t="s">
        <v>3294</v>
      </c>
      <c r="K22" s="184">
        <v>3.0927835051546282E-2</v>
      </c>
      <c r="L22" s="180" t="s">
        <v>928</v>
      </c>
      <c r="M22" s="180" t="s">
        <v>938</v>
      </c>
      <c r="N22" s="182" t="s">
        <v>3289</v>
      </c>
      <c r="O22" s="180" t="s">
        <v>940</v>
      </c>
      <c r="P22" s="185">
        <v>45323</v>
      </c>
      <c r="Q22" s="179" t="s">
        <v>35</v>
      </c>
      <c r="R22" s="186">
        <v>573741.76317021996</v>
      </c>
      <c r="S22" s="187">
        <v>573.74176317022</v>
      </c>
      <c r="V22" s="180" t="s">
        <v>37</v>
      </c>
      <c r="W22" s="188">
        <v>2.4093284043379026E-2</v>
      </c>
      <c r="X22" s="188">
        <v>4.0631299093778304E-3</v>
      </c>
    </row>
    <row r="23" spans="1:24" s="178" customFormat="1">
      <c r="A23" s="180">
        <v>424</v>
      </c>
      <c r="B23" s="180">
        <v>7229</v>
      </c>
      <c r="C23" s="189" t="s">
        <v>3295</v>
      </c>
      <c r="D23" s="180" t="s">
        <v>202</v>
      </c>
      <c r="E23" s="182" t="s">
        <v>31</v>
      </c>
      <c r="F23" s="180" t="s">
        <v>164</v>
      </c>
      <c r="G23" s="183">
        <v>30317</v>
      </c>
      <c r="H23" s="180" t="s">
        <v>905</v>
      </c>
      <c r="I23" s="180" t="s">
        <v>918</v>
      </c>
      <c r="J23" s="189" t="s">
        <v>3295</v>
      </c>
      <c r="K23" s="184">
        <v>0</v>
      </c>
      <c r="L23" s="180" t="s">
        <v>928</v>
      </c>
      <c r="M23" s="180" t="s">
        <v>938</v>
      </c>
      <c r="N23" s="182" t="s">
        <v>3289</v>
      </c>
      <c r="O23" s="180" t="s">
        <v>940</v>
      </c>
      <c r="P23" s="185">
        <v>45413</v>
      </c>
      <c r="Q23" s="179" t="s">
        <v>35</v>
      </c>
      <c r="R23" s="186">
        <v>841309.73285003728</v>
      </c>
      <c r="S23" s="187">
        <v>841.30973285003734</v>
      </c>
      <c r="V23" s="180" t="s">
        <v>37</v>
      </c>
      <c r="W23" s="188">
        <v>3.5329333967277395E-2</v>
      </c>
      <c r="X23" s="188">
        <v>5.9579953177985564E-3</v>
      </c>
    </row>
    <row r="24" spans="1:24" s="178" customFormat="1">
      <c r="A24" s="180">
        <v>424</v>
      </c>
      <c r="B24" s="180">
        <v>7229</v>
      </c>
      <c r="C24" s="189" t="s">
        <v>3296</v>
      </c>
      <c r="D24" s="180" t="s">
        <v>202</v>
      </c>
      <c r="E24" s="182" t="s">
        <v>31</v>
      </c>
      <c r="F24" s="180" t="s">
        <v>164</v>
      </c>
      <c r="G24" s="183">
        <v>30317</v>
      </c>
      <c r="H24" s="180" t="s">
        <v>905</v>
      </c>
      <c r="I24" s="180" t="s">
        <v>918</v>
      </c>
      <c r="J24" s="189" t="s">
        <v>3296</v>
      </c>
      <c r="K24" s="184">
        <v>0</v>
      </c>
      <c r="L24" s="180" t="s">
        <v>928</v>
      </c>
      <c r="M24" s="180" t="s">
        <v>938</v>
      </c>
      <c r="N24" s="182" t="s">
        <v>3289</v>
      </c>
      <c r="O24" s="180" t="s">
        <v>940</v>
      </c>
      <c r="P24" s="185">
        <v>45231</v>
      </c>
      <c r="Q24" s="179" t="s">
        <v>35</v>
      </c>
      <c r="R24" s="186">
        <v>2334709.1650565728</v>
      </c>
      <c r="S24" s="187">
        <v>2334.7091650565726</v>
      </c>
      <c r="V24" s="180" t="s">
        <v>37</v>
      </c>
      <c r="W24" s="188">
        <v>9.804203682432576E-2</v>
      </c>
      <c r="X24" s="188">
        <v>1.6533965709282856E-2</v>
      </c>
    </row>
    <row r="25" spans="1:24" s="178" customFormat="1">
      <c r="A25" s="180">
        <v>424</v>
      </c>
      <c r="B25" s="180">
        <v>7229</v>
      </c>
      <c r="C25" s="181" t="s">
        <v>3297</v>
      </c>
      <c r="D25" s="180" t="s">
        <v>202</v>
      </c>
      <c r="E25" s="182" t="s">
        <v>31</v>
      </c>
      <c r="F25" s="180" t="s">
        <v>164</v>
      </c>
      <c r="G25" s="183">
        <v>30317</v>
      </c>
      <c r="H25" s="180" t="s">
        <v>905</v>
      </c>
      <c r="I25" s="180" t="s">
        <v>918</v>
      </c>
      <c r="J25" s="181" t="s">
        <v>3297</v>
      </c>
      <c r="K25" s="184">
        <v>5.6808868567484794E-2</v>
      </c>
      <c r="L25" s="180" t="s">
        <v>928</v>
      </c>
      <c r="M25" s="180" t="s">
        <v>938</v>
      </c>
      <c r="N25" s="182" t="s">
        <v>3289</v>
      </c>
      <c r="O25" s="180" t="s">
        <v>940</v>
      </c>
      <c r="P25" s="185">
        <v>45231</v>
      </c>
      <c r="Q25" s="179" t="s">
        <v>35</v>
      </c>
      <c r="R25" s="186">
        <v>685691.37549611658</v>
      </c>
      <c r="S25" s="187">
        <v>685.69137549611662</v>
      </c>
      <c r="V25" s="180" t="s">
        <v>37</v>
      </c>
      <c r="W25" s="188">
        <v>2.8794412637209083E-2</v>
      </c>
      <c r="X25" s="188">
        <v>4.8559357453539925E-3</v>
      </c>
    </row>
    <row r="26" spans="1:24" s="178" customFormat="1">
      <c r="A26" s="180">
        <v>424</v>
      </c>
      <c r="B26" s="180">
        <v>7229</v>
      </c>
      <c r="C26" s="181" t="s">
        <v>3298</v>
      </c>
      <c r="D26" s="180" t="s">
        <v>202</v>
      </c>
      <c r="E26" s="182" t="s">
        <v>31</v>
      </c>
      <c r="F26" s="180" t="s">
        <v>164</v>
      </c>
      <c r="G26" s="183">
        <v>30317</v>
      </c>
      <c r="H26" s="180" t="s">
        <v>905</v>
      </c>
      <c r="I26" s="180" t="s">
        <v>918</v>
      </c>
      <c r="J26" s="181" t="s">
        <v>3298</v>
      </c>
      <c r="K26" s="184">
        <v>1.2316761780930552E-3</v>
      </c>
      <c r="L26" s="180" t="s">
        <v>928</v>
      </c>
      <c r="M26" s="180" t="s">
        <v>938</v>
      </c>
      <c r="N26" s="182" t="s">
        <v>3289</v>
      </c>
      <c r="O26" s="180" t="s">
        <v>940</v>
      </c>
      <c r="P26" s="185">
        <v>45413</v>
      </c>
      <c r="Q26" s="179" t="s">
        <v>35</v>
      </c>
      <c r="R26" s="186">
        <v>730079.84458178375</v>
      </c>
      <c r="S26" s="187">
        <v>730.07984458178373</v>
      </c>
      <c r="V26" s="180" t="s">
        <v>37</v>
      </c>
      <c r="W26" s="188">
        <v>3.0658428929177067E-2</v>
      </c>
      <c r="X26" s="188">
        <v>5.1702864305418839E-3</v>
      </c>
    </row>
    <row r="27" spans="1:24" s="178" customFormat="1">
      <c r="A27" s="180">
        <v>424</v>
      </c>
      <c r="B27" s="180">
        <v>7229</v>
      </c>
      <c r="C27" s="189" t="s">
        <v>3299</v>
      </c>
      <c r="D27" s="180" t="s">
        <v>202</v>
      </c>
      <c r="E27" s="182" t="s">
        <v>31</v>
      </c>
      <c r="F27" s="180" t="s">
        <v>164</v>
      </c>
      <c r="G27" s="183">
        <v>30317</v>
      </c>
      <c r="H27" s="180" t="s">
        <v>905</v>
      </c>
      <c r="I27" s="180" t="s">
        <v>918</v>
      </c>
      <c r="J27" s="189" t="s">
        <v>3299</v>
      </c>
      <c r="K27" s="184">
        <v>5.7164022470522768E-2</v>
      </c>
      <c r="L27" s="180" t="s">
        <v>928</v>
      </c>
      <c r="M27" s="180" t="s">
        <v>938</v>
      </c>
      <c r="N27" s="182" t="s">
        <v>3289</v>
      </c>
      <c r="O27" s="180" t="s">
        <v>940</v>
      </c>
      <c r="P27" s="185">
        <v>45323</v>
      </c>
      <c r="Q27" s="179" t="s">
        <v>35</v>
      </c>
      <c r="R27" s="186">
        <v>1917137.111080979</v>
      </c>
      <c r="S27" s="187">
        <v>1917.1371110809789</v>
      </c>
      <c r="V27" s="180" t="s">
        <v>37</v>
      </c>
      <c r="W27" s="188">
        <v>8.050682716933967E-2</v>
      </c>
      <c r="X27" s="188">
        <v>1.3576799941091774E-2</v>
      </c>
    </row>
    <row r="28" spans="1:24" s="178" customFormat="1">
      <c r="A28" s="180">
        <v>424</v>
      </c>
      <c r="B28" s="180">
        <v>7229</v>
      </c>
      <c r="C28" s="181" t="s">
        <v>3300</v>
      </c>
      <c r="D28" s="180" t="s">
        <v>202</v>
      </c>
      <c r="E28" s="182" t="s">
        <v>31</v>
      </c>
      <c r="F28" s="180" t="s">
        <v>164</v>
      </c>
      <c r="G28" s="183">
        <v>30317</v>
      </c>
      <c r="H28" s="180" t="s">
        <v>905</v>
      </c>
      <c r="I28" s="180" t="s">
        <v>918</v>
      </c>
      <c r="J28" s="181" t="s">
        <v>3300</v>
      </c>
      <c r="K28" s="184">
        <v>0.14237949289495688</v>
      </c>
      <c r="L28" s="180" t="s">
        <v>928</v>
      </c>
      <c r="M28" s="180" t="s">
        <v>938</v>
      </c>
      <c r="N28" s="182" t="s">
        <v>3289</v>
      </c>
      <c r="O28" s="180" t="s">
        <v>940</v>
      </c>
      <c r="P28" s="185">
        <v>45413</v>
      </c>
      <c r="Q28" s="179" t="s">
        <v>35</v>
      </c>
      <c r="R28" s="186">
        <v>1376980.2316085279</v>
      </c>
      <c r="S28" s="187">
        <v>1376.9802316085279</v>
      </c>
      <c r="V28" s="180" t="s">
        <v>37</v>
      </c>
      <c r="W28" s="188">
        <v>5.782388170410966E-2</v>
      </c>
      <c r="X28" s="188">
        <v>9.7515117825067929E-3</v>
      </c>
    </row>
    <row r="29" spans="1:24" s="178" customFormat="1">
      <c r="A29" s="180">
        <v>424</v>
      </c>
      <c r="B29" s="180">
        <v>7229</v>
      </c>
      <c r="C29" s="189" t="s">
        <v>3301</v>
      </c>
      <c r="D29" s="180" t="s">
        <v>202</v>
      </c>
      <c r="E29" s="182" t="s">
        <v>31</v>
      </c>
      <c r="F29" s="180" t="s">
        <v>164</v>
      </c>
      <c r="G29" s="183">
        <v>30317</v>
      </c>
      <c r="H29" s="180" t="s">
        <v>905</v>
      </c>
      <c r="I29" s="180" t="s">
        <v>918</v>
      </c>
      <c r="J29" s="189" t="s">
        <v>3301</v>
      </c>
      <c r="K29" s="184">
        <v>0</v>
      </c>
      <c r="L29" s="180" t="s">
        <v>928</v>
      </c>
      <c r="M29" s="180" t="s">
        <v>938</v>
      </c>
      <c r="N29" s="182" t="s">
        <v>3289</v>
      </c>
      <c r="O29" s="180" t="s">
        <v>940</v>
      </c>
      <c r="P29" s="185">
        <v>45413</v>
      </c>
      <c r="Q29" s="179" t="s">
        <v>35</v>
      </c>
      <c r="R29" s="186">
        <v>3599795.7591453674</v>
      </c>
      <c r="S29" s="187">
        <v>3599.7957591453674</v>
      </c>
      <c r="V29" s="180" t="s">
        <v>37</v>
      </c>
      <c r="W29" s="188">
        <v>0.15116714049890229</v>
      </c>
      <c r="X29" s="188">
        <v>2.5493068058731479E-2</v>
      </c>
    </row>
    <row r="30" spans="1:24" s="178" customFormat="1">
      <c r="A30" s="180">
        <v>424</v>
      </c>
      <c r="B30" s="180">
        <v>7229</v>
      </c>
      <c r="C30" s="181" t="s">
        <v>3302</v>
      </c>
      <c r="D30" s="180" t="s">
        <v>202</v>
      </c>
      <c r="E30" s="182" t="s">
        <v>31</v>
      </c>
      <c r="F30" s="180" t="s">
        <v>164</v>
      </c>
      <c r="G30" s="183">
        <v>30317</v>
      </c>
      <c r="H30" s="180" t="s">
        <v>905</v>
      </c>
      <c r="I30" s="180" t="s">
        <v>918</v>
      </c>
      <c r="J30" s="181" t="s">
        <v>3302</v>
      </c>
      <c r="K30" s="184">
        <v>0</v>
      </c>
      <c r="L30" s="180" t="s">
        <v>928</v>
      </c>
      <c r="M30" s="180" t="s">
        <v>938</v>
      </c>
      <c r="N30" s="182" t="s">
        <v>3289</v>
      </c>
      <c r="O30" s="180" t="s">
        <v>940</v>
      </c>
      <c r="P30" s="185">
        <v>45323</v>
      </c>
      <c r="Q30" s="179" t="s">
        <v>35</v>
      </c>
      <c r="R30" s="186">
        <v>1742887.539495721</v>
      </c>
      <c r="S30" s="187">
        <v>1742.8875394957211</v>
      </c>
      <c r="V30" s="180" t="s">
        <v>37</v>
      </c>
      <c r="W30" s="188">
        <v>7.3189520513043199E-2</v>
      </c>
      <c r="X30" s="188">
        <v>1.2342797657394879E-2</v>
      </c>
    </row>
    <row r="31" spans="1:24" s="178" customFormat="1">
      <c r="A31" s="180">
        <v>424</v>
      </c>
      <c r="B31" s="180">
        <v>7229</v>
      </c>
      <c r="C31" s="189" t="s">
        <v>3303</v>
      </c>
      <c r="D31" s="180" t="s">
        <v>202</v>
      </c>
      <c r="E31" s="182" t="s">
        <v>31</v>
      </c>
      <c r="F31" s="180" t="s">
        <v>164</v>
      </c>
      <c r="G31" s="183">
        <v>30317</v>
      </c>
      <c r="H31" s="180" t="s">
        <v>905</v>
      </c>
      <c r="I31" s="180" t="s">
        <v>918</v>
      </c>
      <c r="J31" s="189" t="s">
        <v>3303</v>
      </c>
      <c r="K31" s="184">
        <v>0</v>
      </c>
      <c r="L31" s="180" t="s">
        <v>928</v>
      </c>
      <c r="M31" s="180" t="s">
        <v>938</v>
      </c>
      <c r="N31" s="182" t="s">
        <v>3289</v>
      </c>
      <c r="O31" s="180" t="s">
        <v>940</v>
      </c>
      <c r="P31" s="185">
        <v>45139</v>
      </c>
      <c r="Q31" s="179" t="s">
        <v>35</v>
      </c>
      <c r="R31" s="186">
        <v>4126462.7103325478</v>
      </c>
      <c r="S31" s="187">
        <v>4126.4627103325474</v>
      </c>
      <c r="V31" s="180" t="s">
        <v>37</v>
      </c>
      <c r="W31" s="188">
        <v>0.17328359996857579</v>
      </c>
      <c r="X31" s="188">
        <v>2.922282311408133E-2</v>
      </c>
    </row>
    <row r="32" spans="1:24" s="178" customFormat="1">
      <c r="A32" s="180">
        <v>1182</v>
      </c>
      <c r="B32" s="180">
        <v>1182</v>
      </c>
      <c r="C32" s="181" t="s">
        <v>3288</v>
      </c>
      <c r="D32" s="180" t="s">
        <v>202</v>
      </c>
      <c r="E32" s="182" t="s">
        <v>31</v>
      </c>
      <c r="F32" s="180" t="s">
        <v>164</v>
      </c>
      <c r="G32" s="183">
        <v>30317</v>
      </c>
      <c r="H32" s="180" t="s">
        <v>905</v>
      </c>
      <c r="I32" s="180" t="s">
        <v>918</v>
      </c>
      <c r="J32" s="181" t="s">
        <v>3288</v>
      </c>
      <c r="K32" s="184">
        <v>0</v>
      </c>
      <c r="L32" s="180" t="s">
        <v>928</v>
      </c>
      <c r="M32" s="180" t="s">
        <v>938</v>
      </c>
      <c r="N32" s="182" t="s">
        <v>3289</v>
      </c>
      <c r="O32" s="180" t="s">
        <v>940</v>
      </c>
      <c r="P32" s="185">
        <v>45139</v>
      </c>
      <c r="Q32" s="179" t="s">
        <v>35</v>
      </c>
      <c r="R32" s="186">
        <v>229496.13834067996</v>
      </c>
      <c r="S32" s="187">
        <v>229.49613834067995</v>
      </c>
      <c r="V32" s="180" t="s">
        <v>37</v>
      </c>
      <c r="W32" s="188">
        <v>6.3385316830610605E-3</v>
      </c>
      <c r="X32" s="188">
        <v>5.8177339301403955E-4</v>
      </c>
    </row>
    <row r="33" spans="1:24" s="178" customFormat="1">
      <c r="A33" s="180">
        <v>1182</v>
      </c>
      <c r="B33" s="180">
        <v>1182</v>
      </c>
      <c r="C33" s="181" t="s">
        <v>3290</v>
      </c>
      <c r="D33" s="180" t="s">
        <v>202</v>
      </c>
      <c r="E33" s="182" t="s">
        <v>31</v>
      </c>
      <c r="F33" s="180" t="s">
        <v>164</v>
      </c>
      <c r="G33" s="183">
        <v>30317</v>
      </c>
      <c r="H33" s="180" t="s">
        <v>907</v>
      </c>
      <c r="I33" s="180" t="s">
        <v>918</v>
      </c>
      <c r="J33" s="181" t="s">
        <v>3290</v>
      </c>
      <c r="K33" s="184">
        <v>0</v>
      </c>
      <c r="L33" s="180" t="s">
        <v>928</v>
      </c>
      <c r="M33" s="180" t="s">
        <v>938</v>
      </c>
      <c r="N33" s="182" t="s">
        <v>3289</v>
      </c>
      <c r="O33" s="180" t="s">
        <v>940</v>
      </c>
      <c r="P33" s="185">
        <v>45139</v>
      </c>
      <c r="Q33" s="179" t="s">
        <v>35</v>
      </c>
      <c r="R33" s="186">
        <v>210509.04775853737</v>
      </c>
      <c r="S33" s="187">
        <v>210.50904775853738</v>
      </c>
      <c r="V33" s="180" t="s">
        <v>37</v>
      </c>
      <c r="W33" s="188">
        <v>5.8141207884193184E-3</v>
      </c>
      <c r="X33" s="188">
        <v>5.3364106193733846E-4</v>
      </c>
    </row>
    <row r="34" spans="1:24" s="178" customFormat="1">
      <c r="A34" s="180">
        <v>1182</v>
      </c>
      <c r="B34" s="180">
        <v>1182</v>
      </c>
      <c r="C34" s="181" t="s">
        <v>3291</v>
      </c>
      <c r="D34" s="180" t="s">
        <v>202</v>
      </c>
      <c r="E34" s="182" t="s">
        <v>31</v>
      </c>
      <c r="F34" s="180" t="s">
        <v>164</v>
      </c>
      <c r="G34" s="183">
        <v>30317</v>
      </c>
      <c r="H34" s="180" t="s">
        <v>905</v>
      </c>
      <c r="I34" s="180" t="s">
        <v>918</v>
      </c>
      <c r="J34" s="181" t="s">
        <v>3291</v>
      </c>
      <c r="K34" s="184">
        <v>0</v>
      </c>
      <c r="L34" s="180" t="s">
        <v>928</v>
      </c>
      <c r="M34" s="180" t="s">
        <v>938</v>
      </c>
      <c r="N34" s="182" t="s">
        <v>3289</v>
      </c>
      <c r="O34" s="180" t="s">
        <v>940</v>
      </c>
      <c r="P34" s="185">
        <v>45139</v>
      </c>
      <c r="Q34" s="179" t="s">
        <v>35</v>
      </c>
      <c r="R34" s="186">
        <v>2786149.1615100536</v>
      </c>
      <c r="S34" s="187">
        <v>2786.1491615100535</v>
      </c>
      <c r="V34" s="180" t="s">
        <v>37</v>
      </c>
      <c r="W34" s="188">
        <v>7.695159867025568E-2</v>
      </c>
      <c r="X34" s="188">
        <v>7.0628964079941861E-3</v>
      </c>
    </row>
    <row r="35" spans="1:24" s="178" customFormat="1">
      <c r="A35" s="180">
        <v>1182</v>
      </c>
      <c r="B35" s="180">
        <v>1182</v>
      </c>
      <c r="C35" s="181" t="s">
        <v>3292</v>
      </c>
      <c r="D35" s="180" t="s">
        <v>202</v>
      </c>
      <c r="E35" s="182" t="s">
        <v>31</v>
      </c>
      <c r="F35" s="180" t="s">
        <v>164</v>
      </c>
      <c r="G35" s="183">
        <v>30317</v>
      </c>
      <c r="H35" s="180" t="s">
        <v>905</v>
      </c>
      <c r="I35" s="180" t="s">
        <v>918</v>
      </c>
      <c r="J35" s="181" t="s">
        <v>3292</v>
      </c>
      <c r="K35" s="184">
        <v>0</v>
      </c>
      <c r="L35" s="180" t="s">
        <v>928</v>
      </c>
      <c r="M35" s="180" t="s">
        <v>938</v>
      </c>
      <c r="N35" s="182" t="s">
        <v>3289</v>
      </c>
      <c r="O35" s="180" t="s">
        <v>940</v>
      </c>
      <c r="P35" s="185">
        <v>45139</v>
      </c>
      <c r="Q35" s="179" t="s">
        <v>35</v>
      </c>
      <c r="R35" s="186">
        <v>3029679.2363679693</v>
      </c>
      <c r="S35" s="187">
        <v>3029.6792363679692</v>
      </c>
      <c r="V35" s="180" t="s">
        <v>37</v>
      </c>
      <c r="W35" s="188">
        <v>8.3677738405878041E-2</v>
      </c>
      <c r="X35" s="188">
        <v>7.6802458718040478E-3</v>
      </c>
    </row>
    <row r="36" spans="1:24" s="178" customFormat="1">
      <c r="A36" s="180">
        <v>1182</v>
      </c>
      <c r="B36" s="180">
        <v>1182</v>
      </c>
      <c r="C36" s="181" t="s">
        <v>3293</v>
      </c>
      <c r="D36" s="180" t="s">
        <v>202</v>
      </c>
      <c r="E36" s="182" t="s">
        <v>31</v>
      </c>
      <c r="F36" s="180" t="s">
        <v>164</v>
      </c>
      <c r="G36" s="183">
        <v>30317</v>
      </c>
      <c r="H36" s="180" t="s">
        <v>905</v>
      </c>
      <c r="I36" s="180" t="s">
        <v>918</v>
      </c>
      <c r="J36" s="181" t="s">
        <v>3293</v>
      </c>
      <c r="K36" s="184">
        <v>0</v>
      </c>
      <c r="L36" s="180" t="s">
        <v>928</v>
      </c>
      <c r="M36" s="180" t="s">
        <v>938</v>
      </c>
      <c r="N36" s="182" t="s">
        <v>3289</v>
      </c>
      <c r="O36" s="180" t="s">
        <v>940</v>
      </c>
      <c r="P36" s="185">
        <v>45139</v>
      </c>
      <c r="Q36" s="179" t="s">
        <v>35</v>
      </c>
      <c r="R36" s="186">
        <v>2691213.7085993406</v>
      </c>
      <c r="S36" s="187">
        <v>2691.2137085993409</v>
      </c>
      <c r="V36" s="180" t="s">
        <v>37</v>
      </c>
      <c r="W36" s="188">
        <v>7.4329544197046973E-2</v>
      </c>
      <c r="X36" s="188">
        <v>6.8222347526106803E-3</v>
      </c>
    </row>
    <row r="37" spans="1:24" s="178" customFormat="1">
      <c r="A37" s="180">
        <v>1182</v>
      </c>
      <c r="B37" s="180">
        <v>1182</v>
      </c>
      <c r="C37" s="181" t="s">
        <v>3294</v>
      </c>
      <c r="D37" s="180" t="s">
        <v>202</v>
      </c>
      <c r="E37" s="182" t="s">
        <v>31</v>
      </c>
      <c r="F37" s="180" t="s">
        <v>164</v>
      </c>
      <c r="G37" s="183">
        <v>30317</v>
      </c>
      <c r="H37" s="180" t="s">
        <v>905</v>
      </c>
      <c r="I37" s="180" t="s">
        <v>918</v>
      </c>
      <c r="J37" s="181" t="s">
        <v>3294</v>
      </c>
      <c r="K37" s="184">
        <v>3.0927835051546282E-2</v>
      </c>
      <c r="L37" s="180" t="s">
        <v>928</v>
      </c>
      <c r="M37" s="180" t="s">
        <v>938</v>
      </c>
      <c r="N37" s="182" t="s">
        <v>3289</v>
      </c>
      <c r="O37" s="180" t="s">
        <v>940</v>
      </c>
      <c r="P37" s="185">
        <v>45323</v>
      </c>
      <c r="Q37" s="179" t="s">
        <v>35</v>
      </c>
      <c r="R37" s="186">
        <v>872333.83445522864</v>
      </c>
      <c r="S37" s="187">
        <v>872.33383445522861</v>
      </c>
      <c r="V37" s="180" t="s">
        <v>37</v>
      </c>
      <c r="W37" s="188">
        <v>2.4093284043379022E-2</v>
      </c>
      <c r="X37" s="188">
        <v>2.2113688639004325E-3</v>
      </c>
    </row>
    <row r="38" spans="1:24" s="178" customFormat="1">
      <c r="A38" s="180">
        <v>1182</v>
      </c>
      <c r="B38" s="180">
        <v>1182</v>
      </c>
      <c r="C38" s="189" t="s">
        <v>3295</v>
      </c>
      <c r="D38" s="180" t="s">
        <v>202</v>
      </c>
      <c r="E38" s="182" t="s">
        <v>31</v>
      </c>
      <c r="F38" s="180" t="s">
        <v>164</v>
      </c>
      <c r="G38" s="183">
        <v>30317</v>
      </c>
      <c r="H38" s="180" t="s">
        <v>905</v>
      </c>
      <c r="I38" s="180" t="s">
        <v>918</v>
      </c>
      <c r="J38" s="189" t="s">
        <v>3295</v>
      </c>
      <c r="K38" s="184">
        <v>0</v>
      </c>
      <c r="L38" s="180" t="s">
        <v>928</v>
      </c>
      <c r="M38" s="180" t="s">
        <v>938</v>
      </c>
      <c r="N38" s="182" t="s">
        <v>3289</v>
      </c>
      <c r="O38" s="180" t="s">
        <v>940</v>
      </c>
      <c r="P38" s="185">
        <v>45413</v>
      </c>
      <c r="Q38" s="179" t="s">
        <v>35</v>
      </c>
      <c r="R38" s="186">
        <v>1279152.0372621713</v>
      </c>
      <c r="S38" s="187">
        <v>1279.1520372621712</v>
      </c>
      <c r="V38" s="180" t="s">
        <v>37</v>
      </c>
      <c r="W38" s="188">
        <v>3.5329333967277388E-2</v>
      </c>
      <c r="X38" s="188">
        <v>3.2426542175368863E-3</v>
      </c>
    </row>
    <row r="39" spans="1:24" s="178" customFormat="1">
      <c r="A39" s="180">
        <v>1182</v>
      </c>
      <c r="B39" s="180">
        <v>1182</v>
      </c>
      <c r="C39" s="189" t="s">
        <v>3296</v>
      </c>
      <c r="D39" s="180" t="s">
        <v>202</v>
      </c>
      <c r="E39" s="182" t="s">
        <v>31</v>
      </c>
      <c r="F39" s="180" t="s">
        <v>164</v>
      </c>
      <c r="G39" s="183">
        <v>30317</v>
      </c>
      <c r="H39" s="180" t="s">
        <v>905</v>
      </c>
      <c r="I39" s="180" t="s">
        <v>918</v>
      </c>
      <c r="J39" s="189" t="s">
        <v>3296</v>
      </c>
      <c r="K39" s="184">
        <v>0</v>
      </c>
      <c r="L39" s="180" t="s">
        <v>928</v>
      </c>
      <c r="M39" s="180" t="s">
        <v>938</v>
      </c>
      <c r="N39" s="182" t="s">
        <v>3289</v>
      </c>
      <c r="O39" s="180" t="s">
        <v>940</v>
      </c>
      <c r="P39" s="185">
        <v>45231</v>
      </c>
      <c r="Q39" s="179" t="s">
        <v>35</v>
      </c>
      <c r="R39" s="186">
        <v>3549760.4131831792</v>
      </c>
      <c r="S39" s="187">
        <v>3549.760413183179</v>
      </c>
      <c r="V39" s="180" t="s">
        <v>37</v>
      </c>
      <c r="W39" s="188">
        <v>9.804203682432576E-2</v>
      </c>
      <c r="X39" s="188">
        <v>8.9986532012962962E-3</v>
      </c>
    </row>
    <row r="40" spans="1:24" s="178" customFormat="1">
      <c r="A40" s="180">
        <v>1182</v>
      </c>
      <c r="B40" s="180">
        <v>1182</v>
      </c>
      <c r="C40" s="181" t="s">
        <v>3297</v>
      </c>
      <c r="D40" s="180" t="s">
        <v>202</v>
      </c>
      <c r="E40" s="182" t="s">
        <v>31</v>
      </c>
      <c r="F40" s="180" t="s">
        <v>164</v>
      </c>
      <c r="G40" s="183">
        <v>30317</v>
      </c>
      <c r="H40" s="180" t="s">
        <v>905</v>
      </c>
      <c r="I40" s="180" t="s">
        <v>918</v>
      </c>
      <c r="J40" s="181" t="s">
        <v>3297</v>
      </c>
      <c r="K40" s="184">
        <v>5.6808868567484794E-2</v>
      </c>
      <c r="L40" s="180" t="s">
        <v>928</v>
      </c>
      <c r="M40" s="180" t="s">
        <v>938</v>
      </c>
      <c r="N40" s="182" t="s">
        <v>3289</v>
      </c>
      <c r="O40" s="180" t="s">
        <v>940</v>
      </c>
      <c r="P40" s="185">
        <v>45231</v>
      </c>
      <c r="Q40" s="179" t="s">
        <v>35</v>
      </c>
      <c r="R40" s="186">
        <v>1042545.3143489319</v>
      </c>
      <c r="S40" s="187">
        <v>1042.5453143489319</v>
      </c>
      <c r="V40" s="180" t="s">
        <v>37</v>
      </c>
      <c r="W40" s="188">
        <v>2.8794412637209079E-2</v>
      </c>
      <c r="X40" s="188">
        <v>2.6428554714907609E-3</v>
      </c>
    </row>
    <row r="41" spans="1:24" s="178" customFormat="1">
      <c r="A41" s="180">
        <v>1182</v>
      </c>
      <c r="B41" s="180">
        <v>1182</v>
      </c>
      <c r="C41" s="181" t="s">
        <v>3298</v>
      </c>
      <c r="D41" s="180" t="s">
        <v>202</v>
      </c>
      <c r="E41" s="182" t="s">
        <v>31</v>
      </c>
      <c r="F41" s="180" t="s">
        <v>164</v>
      </c>
      <c r="G41" s="183">
        <v>30317</v>
      </c>
      <c r="H41" s="180" t="s">
        <v>905</v>
      </c>
      <c r="I41" s="180" t="s">
        <v>918</v>
      </c>
      <c r="J41" s="181" t="s">
        <v>3298</v>
      </c>
      <c r="K41" s="184">
        <v>1.2316761780930552E-3</v>
      </c>
      <c r="L41" s="180" t="s">
        <v>928</v>
      </c>
      <c r="M41" s="180" t="s">
        <v>938</v>
      </c>
      <c r="N41" s="182" t="s">
        <v>3289</v>
      </c>
      <c r="O41" s="180" t="s">
        <v>940</v>
      </c>
      <c r="P41" s="185">
        <v>45413</v>
      </c>
      <c r="Q41" s="179" t="s">
        <v>35</v>
      </c>
      <c r="R41" s="186">
        <v>1110034.8469727046</v>
      </c>
      <c r="S41" s="187">
        <v>1110.0348469727046</v>
      </c>
      <c r="V41" s="180" t="s">
        <v>37</v>
      </c>
      <c r="W41" s="188">
        <v>3.0658428929177067E-2</v>
      </c>
      <c r="X41" s="188">
        <v>2.813941637346756E-3</v>
      </c>
    </row>
    <row r="42" spans="1:24" s="178" customFormat="1">
      <c r="A42" s="180">
        <v>1182</v>
      </c>
      <c r="B42" s="180">
        <v>1182</v>
      </c>
      <c r="C42" s="189" t="s">
        <v>3299</v>
      </c>
      <c r="D42" s="180" t="s">
        <v>202</v>
      </c>
      <c r="E42" s="182" t="s">
        <v>31</v>
      </c>
      <c r="F42" s="180" t="s">
        <v>164</v>
      </c>
      <c r="G42" s="183">
        <v>30317</v>
      </c>
      <c r="H42" s="180" t="s">
        <v>905</v>
      </c>
      <c r="I42" s="180" t="s">
        <v>918</v>
      </c>
      <c r="J42" s="189" t="s">
        <v>3299</v>
      </c>
      <c r="K42" s="184">
        <v>5.7164022470522768E-2</v>
      </c>
      <c r="L42" s="180" t="s">
        <v>928</v>
      </c>
      <c r="M42" s="180" t="s">
        <v>938</v>
      </c>
      <c r="N42" s="182" t="s">
        <v>3289</v>
      </c>
      <c r="O42" s="180" t="s">
        <v>940</v>
      </c>
      <c r="P42" s="185">
        <v>45323</v>
      </c>
      <c r="Q42" s="179" t="s">
        <v>35</v>
      </c>
      <c r="R42" s="186">
        <v>2914871.5931796664</v>
      </c>
      <c r="S42" s="187">
        <v>2914.8715931796664</v>
      </c>
      <c r="V42" s="180" t="s">
        <v>37</v>
      </c>
      <c r="W42" s="188">
        <v>8.0506827169339656E-2</v>
      </c>
      <c r="X42" s="188">
        <v>7.3892081549843712E-3</v>
      </c>
    </row>
    <row r="43" spans="1:24" s="178" customFormat="1">
      <c r="A43" s="180">
        <v>1182</v>
      </c>
      <c r="B43" s="180">
        <v>1182</v>
      </c>
      <c r="C43" s="181" t="s">
        <v>3300</v>
      </c>
      <c r="D43" s="180" t="s">
        <v>202</v>
      </c>
      <c r="E43" s="182" t="s">
        <v>31</v>
      </c>
      <c r="F43" s="180" t="s">
        <v>164</v>
      </c>
      <c r="G43" s="183">
        <v>30317</v>
      </c>
      <c r="H43" s="180" t="s">
        <v>905</v>
      </c>
      <c r="I43" s="180" t="s">
        <v>918</v>
      </c>
      <c r="J43" s="181" t="s">
        <v>3300</v>
      </c>
      <c r="K43" s="184">
        <v>0.14237949289495688</v>
      </c>
      <c r="L43" s="180" t="s">
        <v>928</v>
      </c>
      <c r="M43" s="180" t="s">
        <v>938</v>
      </c>
      <c r="N43" s="182" t="s">
        <v>3289</v>
      </c>
      <c r="O43" s="180" t="s">
        <v>940</v>
      </c>
      <c r="P43" s="185">
        <v>45413</v>
      </c>
      <c r="Q43" s="179" t="s">
        <v>35</v>
      </c>
      <c r="R43" s="186">
        <v>2093601.2026925487</v>
      </c>
      <c r="S43" s="187">
        <v>2093.6012026925487</v>
      </c>
      <c r="V43" s="180" t="s">
        <v>37</v>
      </c>
      <c r="W43" s="188">
        <v>5.7823881704109653E-2</v>
      </c>
      <c r="X43" s="188">
        <v>5.3072852733610379E-3</v>
      </c>
    </row>
    <row r="44" spans="1:24" s="178" customFormat="1">
      <c r="A44" s="180">
        <v>1182</v>
      </c>
      <c r="B44" s="180">
        <v>1182</v>
      </c>
      <c r="C44" s="189" t="s">
        <v>3301</v>
      </c>
      <c r="D44" s="180" t="s">
        <v>202</v>
      </c>
      <c r="E44" s="182" t="s">
        <v>31</v>
      </c>
      <c r="F44" s="180" t="s">
        <v>164</v>
      </c>
      <c r="G44" s="183">
        <v>30317</v>
      </c>
      <c r="H44" s="180" t="s">
        <v>905</v>
      </c>
      <c r="I44" s="180" t="s">
        <v>918</v>
      </c>
      <c r="J44" s="189" t="s">
        <v>3301</v>
      </c>
      <c r="K44" s="184">
        <v>0</v>
      </c>
      <c r="L44" s="180" t="s">
        <v>928</v>
      </c>
      <c r="M44" s="180" t="s">
        <v>938</v>
      </c>
      <c r="N44" s="182" t="s">
        <v>3289</v>
      </c>
      <c r="O44" s="180" t="s">
        <v>940</v>
      </c>
      <c r="P44" s="185">
        <v>45413</v>
      </c>
      <c r="Q44" s="179" t="s">
        <v>35</v>
      </c>
      <c r="R44" s="186">
        <v>5473235.2417219719</v>
      </c>
      <c r="S44" s="187">
        <v>5473.2352417219718</v>
      </c>
      <c r="V44" s="180" t="s">
        <v>37</v>
      </c>
      <c r="W44" s="188">
        <v>0.15116714049890229</v>
      </c>
      <c r="X44" s="188">
        <v>1.3874667610370801E-2</v>
      </c>
    </row>
    <row r="45" spans="1:24" s="178" customFormat="1">
      <c r="A45" s="180">
        <v>1182</v>
      </c>
      <c r="B45" s="180">
        <v>1182</v>
      </c>
      <c r="C45" s="181" t="s">
        <v>3302</v>
      </c>
      <c r="D45" s="180" t="s">
        <v>202</v>
      </c>
      <c r="E45" s="182" t="s">
        <v>31</v>
      </c>
      <c r="F45" s="180" t="s">
        <v>164</v>
      </c>
      <c r="G45" s="183">
        <v>30317</v>
      </c>
      <c r="H45" s="180" t="s">
        <v>905</v>
      </c>
      <c r="I45" s="180" t="s">
        <v>918</v>
      </c>
      <c r="J45" s="181" t="s">
        <v>3302</v>
      </c>
      <c r="K45" s="184">
        <v>0</v>
      </c>
      <c r="L45" s="180" t="s">
        <v>928</v>
      </c>
      <c r="M45" s="180" t="s">
        <v>938</v>
      </c>
      <c r="N45" s="182" t="s">
        <v>3289</v>
      </c>
      <c r="O45" s="180" t="s">
        <v>940</v>
      </c>
      <c r="P45" s="185">
        <v>45323</v>
      </c>
      <c r="Q45" s="179" t="s">
        <v>35</v>
      </c>
      <c r="R45" s="186">
        <v>2649937.4247251176</v>
      </c>
      <c r="S45" s="187">
        <v>2649.9374247251176</v>
      </c>
      <c r="V45" s="180" t="s">
        <v>37</v>
      </c>
      <c r="W45" s="188">
        <v>7.3189520513043185E-2</v>
      </c>
      <c r="X45" s="188">
        <v>6.7175992502700255E-3</v>
      </c>
    </row>
    <row r="46" spans="1:24" s="178" customFormat="1">
      <c r="A46" s="180">
        <v>1182</v>
      </c>
      <c r="B46" s="180">
        <v>1182</v>
      </c>
      <c r="C46" s="189" t="s">
        <v>3303</v>
      </c>
      <c r="D46" s="180" t="s">
        <v>202</v>
      </c>
      <c r="E46" s="182" t="s">
        <v>31</v>
      </c>
      <c r="F46" s="180" t="s">
        <v>164</v>
      </c>
      <c r="G46" s="183">
        <v>30317</v>
      </c>
      <c r="H46" s="180" t="s">
        <v>905</v>
      </c>
      <c r="I46" s="180" t="s">
        <v>918</v>
      </c>
      <c r="J46" s="189" t="s">
        <v>3303</v>
      </c>
      <c r="K46" s="184">
        <v>0</v>
      </c>
      <c r="L46" s="180" t="s">
        <v>928</v>
      </c>
      <c r="M46" s="180" t="s">
        <v>938</v>
      </c>
      <c r="N46" s="182" t="s">
        <v>3289</v>
      </c>
      <c r="O46" s="180" t="s">
        <v>940</v>
      </c>
      <c r="P46" s="185">
        <v>45139</v>
      </c>
      <c r="Q46" s="179" t="s">
        <v>35</v>
      </c>
      <c r="R46" s="186">
        <v>6273995.1488818983</v>
      </c>
      <c r="S46" s="187">
        <v>6273.9951488818979</v>
      </c>
      <c r="V46" s="180" t="s">
        <v>37</v>
      </c>
      <c r="W46" s="188">
        <v>0.17328359996857576</v>
      </c>
      <c r="X46" s="188">
        <v>1.59045963557795E-2</v>
      </c>
    </row>
    <row r="47" spans="1:24" s="178" customFormat="1">
      <c r="A47" s="180">
        <v>12904</v>
      </c>
      <c r="B47" s="180">
        <v>12905</v>
      </c>
      <c r="C47" s="181" t="s">
        <v>3288</v>
      </c>
      <c r="D47" s="180" t="s">
        <v>202</v>
      </c>
      <c r="E47" s="182" t="s">
        <v>31</v>
      </c>
      <c r="F47" s="180" t="s">
        <v>164</v>
      </c>
      <c r="G47" s="183">
        <v>30317</v>
      </c>
      <c r="H47" s="180" t="s">
        <v>905</v>
      </c>
      <c r="I47" s="180" t="s">
        <v>918</v>
      </c>
      <c r="J47" s="181" t="s">
        <v>3288</v>
      </c>
      <c r="K47" s="184">
        <v>0</v>
      </c>
      <c r="L47" s="180" t="s">
        <v>928</v>
      </c>
      <c r="M47" s="180" t="s">
        <v>938</v>
      </c>
      <c r="N47" s="182" t="s">
        <v>3289</v>
      </c>
      <c r="O47" s="180" t="s">
        <v>940</v>
      </c>
      <c r="P47" s="185">
        <v>45139</v>
      </c>
      <c r="Q47" s="179" t="s">
        <v>35</v>
      </c>
      <c r="R47" s="186">
        <v>11579.022598785861</v>
      </c>
      <c r="S47" s="187">
        <v>11.579022598785862</v>
      </c>
      <c r="V47" s="180" t="s">
        <v>37</v>
      </c>
      <c r="W47" s="188">
        <v>6.3385316830610614E-3</v>
      </c>
      <c r="X47" s="188">
        <v>3.7230500164205386E-4</v>
      </c>
    </row>
    <row r="48" spans="1:24" s="178" customFormat="1">
      <c r="A48" s="180">
        <v>12904</v>
      </c>
      <c r="B48" s="180">
        <v>12905</v>
      </c>
      <c r="C48" s="181" t="s">
        <v>3290</v>
      </c>
      <c r="D48" s="180" t="s">
        <v>202</v>
      </c>
      <c r="E48" s="182" t="s">
        <v>31</v>
      </c>
      <c r="F48" s="180" t="s">
        <v>164</v>
      </c>
      <c r="G48" s="183">
        <v>30317</v>
      </c>
      <c r="H48" s="180" t="s">
        <v>907</v>
      </c>
      <c r="I48" s="180" t="s">
        <v>918</v>
      </c>
      <c r="J48" s="181" t="s">
        <v>3290</v>
      </c>
      <c r="K48" s="184">
        <v>0</v>
      </c>
      <c r="L48" s="180" t="s">
        <v>928</v>
      </c>
      <c r="M48" s="180" t="s">
        <v>938</v>
      </c>
      <c r="N48" s="182" t="s">
        <v>3289</v>
      </c>
      <c r="O48" s="180" t="s">
        <v>940</v>
      </c>
      <c r="P48" s="185">
        <v>45139</v>
      </c>
      <c r="Q48" s="179" t="s">
        <v>35</v>
      </c>
      <c r="R48" s="186">
        <v>10621.045908958255</v>
      </c>
      <c r="S48" s="187">
        <v>10.621045908958255</v>
      </c>
      <c r="V48" s="180" t="s">
        <v>37</v>
      </c>
      <c r="W48" s="188">
        <v>5.8141207884193193E-3</v>
      </c>
      <c r="X48" s="188">
        <v>3.4150278927598472E-4</v>
      </c>
    </row>
    <row r="49" spans="1:24" s="178" customFormat="1">
      <c r="A49" s="180">
        <v>12904</v>
      </c>
      <c r="B49" s="180">
        <v>12905</v>
      </c>
      <c r="C49" s="181" t="s">
        <v>3291</v>
      </c>
      <c r="D49" s="180" t="s">
        <v>202</v>
      </c>
      <c r="E49" s="182" t="s">
        <v>31</v>
      </c>
      <c r="F49" s="180" t="s">
        <v>164</v>
      </c>
      <c r="G49" s="183">
        <v>30317</v>
      </c>
      <c r="H49" s="180" t="s">
        <v>905</v>
      </c>
      <c r="I49" s="180" t="s">
        <v>918</v>
      </c>
      <c r="J49" s="181" t="s">
        <v>3291</v>
      </c>
      <c r="K49" s="184">
        <v>0</v>
      </c>
      <c r="L49" s="180" t="s">
        <v>928</v>
      </c>
      <c r="M49" s="180" t="s">
        <v>938</v>
      </c>
      <c r="N49" s="182" t="s">
        <v>3289</v>
      </c>
      <c r="O49" s="180" t="s">
        <v>940</v>
      </c>
      <c r="P49" s="185">
        <v>45139</v>
      </c>
      <c r="Q49" s="179" t="s">
        <v>35</v>
      </c>
      <c r="R49" s="186">
        <v>140572.66644209455</v>
      </c>
      <c r="S49" s="187">
        <v>140.57266644209454</v>
      </c>
      <c r="V49" s="180" t="s">
        <v>37</v>
      </c>
      <c r="W49" s="188">
        <v>7.6951598670255694E-2</v>
      </c>
      <c r="X49" s="188">
        <v>4.5198898580645032E-3</v>
      </c>
    </row>
    <row r="50" spans="1:24" s="178" customFormat="1">
      <c r="A50" s="180">
        <v>12904</v>
      </c>
      <c r="B50" s="180">
        <v>12905</v>
      </c>
      <c r="C50" s="181" t="s">
        <v>3292</v>
      </c>
      <c r="D50" s="180" t="s">
        <v>202</v>
      </c>
      <c r="E50" s="182" t="s">
        <v>31</v>
      </c>
      <c r="F50" s="180" t="s">
        <v>164</v>
      </c>
      <c r="G50" s="183">
        <v>30317</v>
      </c>
      <c r="H50" s="180" t="s">
        <v>905</v>
      </c>
      <c r="I50" s="180" t="s">
        <v>918</v>
      </c>
      <c r="J50" s="181" t="s">
        <v>3292</v>
      </c>
      <c r="K50" s="184">
        <v>0</v>
      </c>
      <c r="L50" s="180" t="s">
        <v>928</v>
      </c>
      <c r="M50" s="180" t="s">
        <v>938</v>
      </c>
      <c r="N50" s="182" t="s">
        <v>3289</v>
      </c>
      <c r="O50" s="180" t="s">
        <v>940</v>
      </c>
      <c r="P50" s="185">
        <v>45139</v>
      </c>
      <c r="Q50" s="179" t="s">
        <v>35</v>
      </c>
      <c r="R50" s="186">
        <v>152859.7587681443</v>
      </c>
      <c r="S50" s="187">
        <v>152.8597587681443</v>
      </c>
      <c r="V50" s="180" t="s">
        <v>37</v>
      </c>
      <c r="W50" s="188">
        <v>8.3677738405878041E-2</v>
      </c>
      <c r="X50" s="188">
        <v>4.9149617123249566E-3</v>
      </c>
    </row>
    <row r="51" spans="1:24" s="178" customFormat="1">
      <c r="A51" s="180">
        <v>12904</v>
      </c>
      <c r="B51" s="180">
        <v>12905</v>
      </c>
      <c r="C51" s="181" t="s">
        <v>3293</v>
      </c>
      <c r="D51" s="180" t="s">
        <v>202</v>
      </c>
      <c r="E51" s="182" t="s">
        <v>31</v>
      </c>
      <c r="F51" s="180" t="s">
        <v>164</v>
      </c>
      <c r="G51" s="183">
        <v>30317</v>
      </c>
      <c r="H51" s="180" t="s">
        <v>905</v>
      </c>
      <c r="I51" s="180" t="s">
        <v>918</v>
      </c>
      <c r="J51" s="181" t="s">
        <v>3293</v>
      </c>
      <c r="K51" s="184">
        <v>0</v>
      </c>
      <c r="L51" s="180" t="s">
        <v>928</v>
      </c>
      <c r="M51" s="180" t="s">
        <v>938</v>
      </c>
      <c r="N51" s="182" t="s">
        <v>3289</v>
      </c>
      <c r="O51" s="180" t="s">
        <v>940</v>
      </c>
      <c r="P51" s="185">
        <v>45139</v>
      </c>
      <c r="Q51" s="179" t="s">
        <v>35</v>
      </c>
      <c r="R51" s="186">
        <v>135782.78299295649</v>
      </c>
      <c r="S51" s="187">
        <v>135.7827829929565</v>
      </c>
      <c r="V51" s="180" t="s">
        <v>37</v>
      </c>
      <c r="W51" s="188">
        <v>7.4329544197046973E-2</v>
      </c>
      <c r="X51" s="188">
        <v>4.3658787962341569E-3</v>
      </c>
    </row>
    <row r="52" spans="1:24" s="178" customFormat="1">
      <c r="A52" s="180">
        <v>12904</v>
      </c>
      <c r="B52" s="180">
        <v>12905</v>
      </c>
      <c r="C52" s="181" t="s">
        <v>3294</v>
      </c>
      <c r="D52" s="180" t="s">
        <v>202</v>
      </c>
      <c r="E52" s="182" t="s">
        <v>31</v>
      </c>
      <c r="F52" s="180" t="s">
        <v>164</v>
      </c>
      <c r="G52" s="183">
        <v>30317</v>
      </c>
      <c r="H52" s="180" t="s">
        <v>905</v>
      </c>
      <c r="I52" s="180" t="s">
        <v>918</v>
      </c>
      <c r="J52" s="181" t="s">
        <v>3294</v>
      </c>
      <c r="K52" s="184">
        <v>3.0927835051546282E-2</v>
      </c>
      <c r="L52" s="180" t="s">
        <v>928</v>
      </c>
      <c r="M52" s="180" t="s">
        <v>938</v>
      </c>
      <c r="N52" s="182" t="s">
        <v>3289</v>
      </c>
      <c r="O52" s="180" t="s">
        <v>940</v>
      </c>
      <c r="P52" s="185">
        <v>45323</v>
      </c>
      <c r="Q52" s="179" t="s">
        <v>35</v>
      </c>
      <c r="R52" s="186">
        <v>44012.824162855104</v>
      </c>
      <c r="S52" s="187">
        <v>44.012824162855104</v>
      </c>
      <c r="V52" s="180" t="s">
        <v>37</v>
      </c>
      <c r="W52" s="188">
        <v>2.4093284043379022E-2</v>
      </c>
      <c r="X52" s="188">
        <v>1.415162154873193E-3</v>
      </c>
    </row>
    <row r="53" spans="1:24" s="178" customFormat="1">
      <c r="A53" s="180">
        <v>12904</v>
      </c>
      <c r="B53" s="180">
        <v>12905</v>
      </c>
      <c r="C53" s="189" t="s">
        <v>3295</v>
      </c>
      <c r="D53" s="180" t="s">
        <v>202</v>
      </c>
      <c r="E53" s="182" t="s">
        <v>31</v>
      </c>
      <c r="F53" s="180" t="s">
        <v>164</v>
      </c>
      <c r="G53" s="183">
        <v>30317</v>
      </c>
      <c r="H53" s="180" t="s">
        <v>905</v>
      </c>
      <c r="I53" s="180" t="s">
        <v>918</v>
      </c>
      <c r="J53" s="189" t="s">
        <v>3295</v>
      </c>
      <c r="K53" s="184">
        <v>0</v>
      </c>
      <c r="L53" s="180" t="s">
        <v>928</v>
      </c>
      <c r="M53" s="180" t="s">
        <v>938</v>
      </c>
      <c r="N53" s="182" t="s">
        <v>3289</v>
      </c>
      <c r="O53" s="180" t="s">
        <v>940</v>
      </c>
      <c r="P53" s="185">
        <v>45413</v>
      </c>
      <c r="Q53" s="179" t="s">
        <v>35</v>
      </c>
      <c r="R53" s="186">
        <v>64538.473082081626</v>
      </c>
      <c r="S53" s="187">
        <v>64.538473082081623</v>
      </c>
      <c r="V53" s="180" t="s">
        <v>37</v>
      </c>
      <c r="W53" s="188">
        <v>3.5329333967277388E-2</v>
      </c>
      <c r="X53" s="188">
        <v>2.0751316548358362E-3</v>
      </c>
    </row>
    <row r="54" spans="1:24" s="178" customFormat="1">
      <c r="A54" s="180">
        <v>12904</v>
      </c>
      <c r="B54" s="180">
        <v>12905</v>
      </c>
      <c r="C54" s="189" t="s">
        <v>3296</v>
      </c>
      <c r="D54" s="180" t="s">
        <v>202</v>
      </c>
      <c r="E54" s="182" t="s">
        <v>31</v>
      </c>
      <c r="F54" s="180" t="s">
        <v>164</v>
      </c>
      <c r="G54" s="183">
        <v>30317</v>
      </c>
      <c r="H54" s="180" t="s">
        <v>905</v>
      </c>
      <c r="I54" s="180" t="s">
        <v>918</v>
      </c>
      <c r="J54" s="189" t="s">
        <v>3296</v>
      </c>
      <c r="K54" s="184">
        <v>0</v>
      </c>
      <c r="L54" s="180" t="s">
        <v>928</v>
      </c>
      <c r="M54" s="180" t="s">
        <v>938</v>
      </c>
      <c r="N54" s="182" t="s">
        <v>3289</v>
      </c>
      <c r="O54" s="180" t="s">
        <v>940</v>
      </c>
      <c r="P54" s="185">
        <v>45231</v>
      </c>
      <c r="Q54" s="179" t="s">
        <v>35</v>
      </c>
      <c r="R54" s="186">
        <v>179099.98983733525</v>
      </c>
      <c r="S54" s="187">
        <v>179.09998983733524</v>
      </c>
      <c r="V54" s="180" t="s">
        <v>37</v>
      </c>
      <c r="W54" s="188">
        <v>9.804203682432576E-2</v>
      </c>
      <c r="X54" s="188">
        <v>5.7586744858303292E-3</v>
      </c>
    </row>
    <row r="55" spans="1:24" s="178" customFormat="1">
      <c r="A55" s="180">
        <v>12904</v>
      </c>
      <c r="B55" s="180">
        <v>12905</v>
      </c>
      <c r="C55" s="181" t="s">
        <v>3297</v>
      </c>
      <c r="D55" s="180" t="s">
        <v>202</v>
      </c>
      <c r="E55" s="182" t="s">
        <v>31</v>
      </c>
      <c r="F55" s="180" t="s">
        <v>164</v>
      </c>
      <c r="G55" s="183">
        <v>30317</v>
      </c>
      <c r="H55" s="180" t="s">
        <v>905</v>
      </c>
      <c r="I55" s="180" t="s">
        <v>918</v>
      </c>
      <c r="J55" s="181" t="s">
        <v>3297</v>
      </c>
      <c r="K55" s="184">
        <v>5.6808868567484794E-2</v>
      </c>
      <c r="L55" s="180" t="s">
        <v>928</v>
      </c>
      <c r="M55" s="180" t="s">
        <v>938</v>
      </c>
      <c r="N55" s="182" t="s">
        <v>3289</v>
      </c>
      <c r="O55" s="180" t="s">
        <v>940</v>
      </c>
      <c r="P55" s="185">
        <v>45231</v>
      </c>
      <c r="Q55" s="179" t="s">
        <v>35</v>
      </c>
      <c r="R55" s="186">
        <v>52600.692292192689</v>
      </c>
      <c r="S55" s="187">
        <v>52.60069229219269</v>
      </c>
      <c r="V55" s="180" t="s">
        <v>37</v>
      </c>
      <c r="W55" s="188">
        <v>2.8794412637209079E-2</v>
      </c>
      <c r="X55" s="188">
        <v>1.69129135582406E-3</v>
      </c>
    </row>
    <row r="56" spans="1:24" s="178" customFormat="1">
      <c r="A56" s="180">
        <v>12904</v>
      </c>
      <c r="B56" s="180">
        <v>12905</v>
      </c>
      <c r="C56" s="181" t="s">
        <v>3298</v>
      </c>
      <c r="D56" s="180" t="s">
        <v>202</v>
      </c>
      <c r="E56" s="182" t="s">
        <v>31</v>
      </c>
      <c r="F56" s="180" t="s">
        <v>164</v>
      </c>
      <c r="G56" s="183">
        <v>30317</v>
      </c>
      <c r="H56" s="180" t="s">
        <v>905</v>
      </c>
      <c r="I56" s="180" t="s">
        <v>918</v>
      </c>
      <c r="J56" s="181" t="s">
        <v>3298</v>
      </c>
      <c r="K56" s="184">
        <v>1.2316761780930552E-3</v>
      </c>
      <c r="L56" s="180" t="s">
        <v>928</v>
      </c>
      <c r="M56" s="180" t="s">
        <v>938</v>
      </c>
      <c r="N56" s="182" t="s">
        <v>3289</v>
      </c>
      <c r="O56" s="180" t="s">
        <v>940</v>
      </c>
      <c r="P56" s="185">
        <v>45413</v>
      </c>
      <c r="Q56" s="179" t="s">
        <v>35</v>
      </c>
      <c r="R56" s="186">
        <v>56005.816356947558</v>
      </c>
      <c r="S56" s="187">
        <v>56.005816356947555</v>
      </c>
      <c r="V56" s="180" t="s">
        <v>37</v>
      </c>
      <c r="W56" s="188">
        <v>3.065842892917707E-2</v>
      </c>
      <c r="X56" s="188">
        <v>1.8007776885178826E-3</v>
      </c>
    </row>
    <row r="57" spans="1:24" s="178" customFormat="1">
      <c r="A57" s="180">
        <v>12904</v>
      </c>
      <c r="B57" s="180">
        <v>12905</v>
      </c>
      <c r="C57" s="189" t="s">
        <v>3299</v>
      </c>
      <c r="D57" s="180" t="s">
        <v>202</v>
      </c>
      <c r="E57" s="182" t="s">
        <v>31</v>
      </c>
      <c r="F57" s="180" t="s">
        <v>164</v>
      </c>
      <c r="G57" s="183">
        <v>30317</v>
      </c>
      <c r="H57" s="180" t="s">
        <v>905</v>
      </c>
      <c r="I57" s="180" t="s">
        <v>918</v>
      </c>
      <c r="J57" s="189" t="s">
        <v>3299</v>
      </c>
      <c r="K57" s="184">
        <v>5.7164022470522768E-2</v>
      </c>
      <c r="L57" s="180" t="s">
        <v>928</v>
      </c>
      <c r="M57" s="180" t="s">
        <v>938</v>
      </c>
      <c r="N57" s="182" t="s">
        <v>3289</v>
      </c>
      <c r="O57" s="180" t="s">
        <v>940</v>
      </c>
      <c r="P57" s="185">
        <v>45323</v>
      </c>
      <c r="Q57" s="179" t="s">
        <v>35</v>
      </c>
      <c r="R57" s="186">
        <v>147067.24171490609</v>
      </c>
      <c r="S57" s="187">
        <v>147.06724171490609</v>
      </c>
      <c r="V57" s="180" t="s">
        <v>37</v>
      </c>
      <c r="W57" s="188">
        <v>8.050682716933967E-2</v>
      </c>
      <c r="X57" s="188">
        <v>4.7287125662835968E-3</v>
      </c>
    </row>
    <row r="58" spans="1:24" s="178" customFormat="1">
      <c r="A58" s="180">
        <v>12904</v>
      </c>
      <c r="B58" s="180">
        <v>12905</v>
      </c>
      <c r="C58" s="181" t="s">
        <v>3300</v>
      </c>
      <c r="D58" s="180" t="s">
        <v>202</v>
      </c>
      <c r="E58" s="182" t="s">
        <v>31</v>
      </c>
      <c r="F58" s="180" t="s">
        <v>164</v>
      </c>
      <c r="G58" s="183">
        <v>30317</v>
      </c>
      <c r="H58" s="180" t="s">
        <v>905</v>
      </c>
      <c r="I58" s="180" t="s">
        <v>918</v>
      </c>
      <c r="J58" s="181" t="s">
        <v>3300</v>
      </c>
      <c r="K58" s="184">
        <v>0.14237949289495688</v>
      </c>
      <c r="L58" s="180" t="s">
        <v>928</v>
      </c>
      <c r="M58" s="180" t="s">
        <v>938</v>
      </c>
      <c r="N58" s="182" t="s">
        <v>3289</v>
      </c>
      <c r="O58" s="180" t="s">
        <v>940</v>
      </c>
      <c r="P58" s="185">
        <v>45413</v>
      </c>
      <c r="Q58" s="179" t="s">
        <v>35</v>
      </c>
      <c r="R58" s="186">
        <v>105630.77799085225</v>
      </c>
      <c r="S58" s="187">
        <v>105.63077799085225</v>
      </c>
      <c r="V58" s="180" t="s">
        <v>37</v>
      </c>
      <c r="W58" s="188">
        <v>5.7823881704109653E-2</v>
      </c>
      <c r="X58" s="188">
        <v>3.396389171695663E-3</v>
      </c>
    </row>
    <row r="59" spans="1:24" s="178" customFormat="1">
      <c r="A59" s="180">
        <v>12904</v>
      </c>
      <c r="B59" s="180">
        <v>12905</v>
      </c>
      <c r="C59" s="189" t="s">
        <v>3301</v>
      </c>
      <c r="D59" s="180" t="s">
        <v>202</v>
      </c>
      <c r="E59" s="182" t="s">
        <v>31</v>
      </c>
      <c r="F59" s="180" t="s">
        <v>164</v>
      </c>
      <c r="G59" s="183">
        <v>30317</v>
      </c>
      <c r="H59" s="180" t="s">
        <v>905</v>
      </c>
      <c r="I59" s="180" t="s">
        <v>918</v>
      </c>
      <c r="J59" s="189" t="s">
        <v>3301</v>
      </c>
      <c r="K59" s="184">
        <v>0</v>
      </c>
      <c r="L59" s="180" t="s">
        <v>928</v>
      </c>
      <c r="M59" s="180" t="s">
        <v>938</v>
      </c>
      <c r="N59" s="182" t="s">
        <v>3289</v>
      </c>
      <c r="O59" s="180" t="s">
        <v>940</v>
      </c>
      <c r="P59" s="185">
        <v>45413</v>
      </c>
      <c r="Q59" s="179" t="s">
        <v>35</v>
      </c>
      <c r="R59" s="186">
        <v>276147.19363291463</v>
      </c>
      <c r="S59" s="187">
        <v>276.14719363291465</v>
      </c>
      <c r="V59" s="180" t="s">
        <v>37</v>
      </c>
      <c r="W59" s="188">
        <v>0.15116714049890229</v>
      </c>
      <c r="X59" s="188">
        <v>8.8790725211756027E-3</v>
      </c>
    </row>
    <row r="60" spans="1:24" s="178" customFormat="1">
      <c r="A60" s="180">
        <v>12904</v>
      </c>
      <c r="B60" s="180">
        <v>12905</v>
      </c>
      <c r="C60" s="181" t="s">
        <v>3302</v>
      </c>
      <c r="D60" s="180" t="s">
        <v>202</v>
      </c>
      <c r="E60" s="182" t="s">
        <v>31</v>
      </c>
      <c r="F60" s="180" t="s">
        <v>164</v>
      </c>
      <c r="G60" s="183">
        <v>30317</v>
      </c>
      <c r="H60" s="180" t="s">
        <v>905</v>
      </c>
      <c r="I60" s="180" t="s">
        <v>918</v>
      </c>
      <c r="J60" s="181" t="s">
        <v>3302</v>
      </c>
      <c r="K60" s="184">
        <v>0</v>
      </c>
      <c r="L60" s="180" t="s">
        <v>928</v>
      </c>
      <c r="M60" s="180" t="s">
        <v>938</v>
      </c>
      <c r="N60" s="182" t="s">
        <v>3289</v>
      </c>
      <c r="O60" s="180" t="s">
        <v>940</v>
      </c>
      <c r="P60" s="185">
        <v>45323</v>
      </c>
      <c r="Q60" s="179" t="s">
        <v>35</v>
      </c>
      <c r="R60" s="186">
        <v>133700.22497159214</v>
      </c>
      <c r="S60" s="187">
        <v>133.70022497159215</v>
      </c>
      <c r="V60" s="180" t="s">
        <v>37</v>
      </c>
      <c r="W60" s="188">
        <v>7.3189520513043185E-2</v>
      </c>
      <c r="X60" s="188">
        <v>4.2989174650035714E-3</v>
      </c>
    </row>
    <row r="61" spans="1:24" s="178" customFormat="1">
      <c r="A61" s="180">
        <v>12904</v>
      </c>
      <c r="B61" s="180">
        <v>12905</v>
      </c>
      <c r="C61" s="189" t="s">
        <v>3303</v>
      </c>
      <c r="D61" s="180" t="s">
        <v>202</v>
      </c>
      <c r="E61" s="182" t="s">
        <v>31</v>
      </c>
      <c r="F61" s="180" t="s">
        <v>164</v>
      </c>
      <c r="G61" s="183">
        <v>30317</v>
      </c>
      <c r="H61" s="180" t="s">
        <v>905</v>
      </c>
      <c r="I61" s="180" t="s">
        <v>918</v>
      </c>
      <c r="J61" s="189" t="s">
        <v>3303</v>
      </c>
      <c r="K61" s="184">
        <v>0</v>
      </c>
      <c r="L61" s="180" t="s">
        <v>928</v>
      </c>
      <c r="M61" s="180" t="s">
        <v>938</v>
      </c>
      <c r="N61" s="182" t="s">
        <v>3289</v>
      </c>
      <c r="O61" s="180" t="s">
        <v>940</v>
      </c>
      <c r="P61" s="185">
        <v>45139</v>
      </c>
      <c r="Q61" s="179" t="s">
        <v>35</v>
      </c>
      <c r="R61" s="186">
        <v>316548.81924738328</v>
      </c>
      <c r="S61" s="187">
        <v>316.54881924738328</v>
      </c>
      <c r="V61" s="180" t="s">
        <v>37</v>
      </c>
      <c r="W61" s="188">
        <v>0.17328359996857579</v>
      </c>
      <c r="X61" s="188">
        <v>1.0178122347048955E-2</v>
      </c>
    </row>
    <row r="62" spans="1:24" s="178" customFormat="1"/>
    <row r="63" spans="1:24" s="178" customFormat="1"/>
    <row r="64" spans="1:24" s="178" customFormat="1"/>
    <row r="65" s="178" customFormat="1"/>
    <row r="66" s="178" customFormat="1"/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61" xr:uid="{7DFBB33B-7A87-4715-B186-2111185B01A1}">
      <formula1>Holding_interest</formula1>
    </dataValidation>
    <dataValidation type="list" allowBlank="1" showInputMessage="1" showErrorMessage="1" sqref="V2:V61" xr:uid="{E93844F3-4060-45D2-9C5D-898A748DC6AC}">
      <formula1>In_the_books</formula1>
    </dataValidation>
    <dataValidation type="list" allowBlank="1" showInputMessage="1" showErrorMessage="1" sqref="L2:L61" xr:uid="{ABFA6300-32F5-477E-B64F-7B16E936E799}">
      <formula1>Valuation_Method</formula1>
    </dataValidation>
    <dataValidation type="list" allowBlank="1" showInputMessage="1" showErrorMessage="1" sqref="O2:O61" xr:uid="{D1056535-0A09-4878-83C5-2E12EB2B009A}">
      <formula1>Dependence_Independence</formula1>
    </dataValidation>
    <dataValidation type="list" allowBlank="1" showInputMessage="1" showErrorMessage="1" sqref="E2:E61" xr:uid="{C99BAD8C-8117-42D0-9B91-30D118487731}">
      <formula1>Country_list</formula1>
    </dataValidation>
    <dataValidation type="list" allowBlank="1" showInputMessage="1" showErrorMessage="1" sqref="I2:I61" xr:uid="{52DFAAE0-8D26-4925-92C1-0A45A161E2FE}">
      <formula1>real_estate_lifestage</formula1>
    </dataValidation>
    <dataValidation type="list" allowBlank="1" showInputMessage="1" showErrorMessage="1" sqref="M2:M61" xr:uid="{A46FE95C-7A93-48C1-8A03-41D09A03BE23}">
      <formula1>Valuation_Realestate</formula1>
    </dataValidation>
    <dataValidation type="list" allowBlank="1" showInputMessage="1" showErrorMessage="1" sqref="H2:H61" xr:uid="{8156F7FE-16F8-46B9-98C7-7DA29AEF8082}">
      <formula1>Real_Estate_Main_Use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19" t="s">
        <v>0</v>
      </c>
      <c r="B1" s="19" t="s">
        <v>1</v>
      </c>
      <c r="C1" s="19" t="s">
        <v>2</v>
      </c>
      <c r="D1" s="19" t="s">
        <v>182</v>
      </c>
      <c r="E1" s="19" t="s">
        <v>183</v>
      </c>
      <c r="F1" s="19" t="s">
        <v>3</v>
      </c>
      <c r="G1" s="19" t="s">
        <v>4</v>
      </c>
      <c r="H1" s="19" t="s">
        <v>184</v>
      </c>
      <c r="I1" s="19" t="s">
        <v>5</v>
      </c>
      <c r="J1" s="19" t="s">
        <v>6</v>
      </c>
      <c r="K1" s="19" t="s">
        <v>7</v>
      </c>
      <c r="L1" s="19" t="s">
        <v>185</v>
      </c>
      <c r="M1" s="19" t="s">
        <v>150</v>
      </c>
      <c r="N1" s="19" t="s">
        <v>11</v>
      </c>
      <c r="O1" s="19" t="s">
        <v>186</v>
      </c>
      <c r="P1" s="19" t="s">
        <v>187</v>
      </c>
      <c r="Q1" s="19" t="s">
        <v>159</v>
      </c>
      <c r="R1" s="19" t="s">
        <v>188</v>
      </c>
      <c r="S1" s="19" t="s">
        <v>189</v>
      </c>
      <c r="T1" s="19" t="s">
        <v>190</v>
      </c>
      <c r="U1" s="19" t="s">
        <v>20</v>
      </c>
      <c r="V1" s="19" t="s">
        <v>24</v>
      </c>
      <c r="W1" s="19" t="s">
        <v>25</v>
      </c>
    </row>
    <row r="2" spans="1:23">
      <c r="A2" s="20"/>
      <c r="B2" s="20"/>
      <c r="C2" s="20"/>
      <c r="D2" s="20"/>
      <c r="E2" s="18"/>
      <c r="F2" s="20"/>
      <c r="G2" s="20"/>
      <c r="H2" s="20"/>
      <c r="I2" s="20"/>
      <c r="J2" s="18"/>
      <c r="K2" s="18"/>
      <c r="L2" s="20"/>
      <c r="M2" s="20"/>
      <c r="N2" s="18"/>
      <c r="O2" s="20"/>
      <c r="P2" s="20"/>
      <c r="Q2" s="20"/>
      <c r="R2" s="20"/>
      <c r="S2" s="20"/>
      <c r="T2" s="20"/>
      <c r="U2" s="20"/>
      <c r="V2" s="20"/>
      <c r="W2" s="20"/>
    </row>
    <row r="3" spans="1:23">
      <c r="A3" s="20"/>
      <c r="B3" s="20"/>
      <c r="C3" s="20"/>
      <c r="D3" s="20"/>
      <c r="E3" s="18"/>
      <c r="F3" s="20"/>
      <c r="G3" s="20"/>
      <c r="H3" s="20"/>
      <c r="I3" s="20"/>
      <c r="J3" s="18"/>
      <c r="K3" s="18"/>
      <c r="L3" s="20"/>
      <c r="M3" s="20"/>
      <c r="N3" s="18"/>
      <c r="O3" s="20"/>
      <c r="P3" s="20"/>
      <c r="Q3" s="20"/>
      <c r="R3" s="20"/>
      <c r="S3" s="20"/>
      <c r="T3" s="20"/>
      <c r="U3" s="20"/>
      <c r="V3" s="20"/>
      <c r="W3" s="20"/>
    </row>
    <row r="4" spans="1:23">
      <c r="A4" s="20"/>
      <c r="B4" s="20"/>
      <c r="C4" s="20"/>
      <c r="D4" s="20"/>
      <c r="E4" s="18"/>
      <c r="F4" s="20"/>
      <c r="G4" s="20"/>
      <c r="H4" s="20"/>
      <c r="I4" s="20"/>
      <c r="J4" s="18"/>
      <c r="K4" s="18"/>
      <c r="L4" s="20"/>
      <c r="M4" s="20"/>
      <c r="N4" s="18"/>
      <c r="O4" s="20"/>
      <c r="P4" s="20"/>
      <c r="Q4" s="20"/>
      <c r="R4" s="20"/>
      <c r="S4" s="20"/>
      <c r="T4" s="20"/>
      <c r="U4" s="20"/>
      <c r="V4" s="20"/>
      <c r="W4" s="20"/>
    </row>
    <row r="5" spans="1:23">
      <c r="A5" s="20"/>
      <c r="B5" s="20"/>
      <c r="C5" s="20"/>
      <c r="D5" s="20"/>
      <c r="E5" s="18"/>
      <c r="F5" s="20"/>
      <c r="G5" s="20"/>
      <c r="H5" s="20"/>
      <c r="I5" s="20"/>
      <c r="J5" s="18"/>
      <c r="K5" s="18"/>
      <c r="L5" s="20"/>
      <c r="M5" s="20"/>
      <c r="N5" s="18"/>
      <c r="O5" s="20"/>
      <c r="P5" s="20"/>
      <c r="Q5" s="20"/>
      <c r="R5" s="20"/>
      <c r="S5" s="20"/>
      <c r="T5" s="20"/>
      <c r="U5" s="20"/>
      <c r="V5" s="20"/>
      <c r="W5" s="20"/>
    </row>
    <row r="6" spans="1:23">
      <c r="A6" s="20"/>
      <c r="B6" s="20"/>
      <c r="C6" s="20"/>
      <c r="D6" s="20"/>
      <c r="E6" s="18"/>
      <c r="F6" s="20"/>
      <c r="G6" s="20"/>
      <c r="H6" s="20"/>
      <c r="I6" s="20"/>
      <c r="J6" s="18"/>
      <c r="K6" s="18"/>
      <c r="L6" s="20"/>
      <c r="M6" s="20"/>
      <c r="N6" s="18"/>
      <c r="O6" s="20"/>
      <c r="P6" s="20"/>
      <c r="Q6" s="20"/>
      <c r="R6" s="20"/>
      <c r="S6" s="20"/>
      <c r="T6" s="20"/>
      <c r="U6" s="20"/>
      <c r="V6" s="20"/>
      <c r="W6" s="20"/>
    </row>
    <row r="7" spans="1:23">
      <c r="A7" s="20"/>
      <c r="B7" s="20"/>
      <c r="C7" s="20"/>
      <c r="D7" s="20"/>
      <c r="E7" s="18"/>
      <c r="F7" s="20"/>
      <c r="G7" s="20"/>
      <c r="H7" s="20"/>
      <c r="I7" s="20"/>
      <c r="J7" s="18"/>
      <c r="K7" s="18"/>
      <c r="L7" s="20"/>
      <c r="M7" s="20"/>
      <c r="N7" s="18"/>
      <c r="O7" s="20"/>
      <c r="P7" s="20"/>
      <c r="Q7" s="20"/>
      <c r="R7" s="20"/>
      <c r="S7" s="20"/>
      <c r="T7" s="20"/>
      <c r="U7" s="20"/>
      <c r="V7" s="20"/>
      <c r="W7" s="20"/>
    </row>
    <row r="8" spans="1:23">
      <c r="A8" s="20"/>
      <c r="B8" s="20"/>
      <c r="C8" s="20"/>
      <c r="D8" s="20"/>
      <c r="E8" s="18"/>
      <c r="F8" s="20"/>
      <c r="G8" s="20"/>
      <c r="H8" s="20"/>
      <c r="I8" s="20"/>
      <c r="J8" s="18"/>
      <c r="K8" s="18"/>
      <c r="L8" s="20"/>
      <c r="M8" s="20"/>
      <c r="N8" s="18"/>
      <c r="O8" s="20"/>
      <c r="P8" s="20"/>
      <c r="Q8" s="20"/>
      <c r="R8" s="20"/>
      <c r="S8" s="20"/>
      <c r="T8" s="20"/>
      <c r="U8" s="20"/>
      <c r="V8" s="20"/>
      <c r="W8" s="20"/>
    </row>
    <row r="9" spans="1:23">
      <c r="A9" s="20"/>
      <c r="B9" s="20"/>
      <c r="C9" s="20"/>
      <c r="D9" s="20"/>
      <c r="E9" s="18"/>
      <c r="F9" s="20"/>
      <c r="G9" s="20"/>
      <c r="H9" s="20"/>
      <c r="I9" s="20"/>
      <c r="J9" s="18"/>
      <c r="K9" s="18"/>
      <c r="L9" s="20"/>
      <c r="M9" s="20"/>
      <c r="N9" s="18"/>
      <c r="O9" s="20"/>
      <c r="P9" s="20"/>
      <c r="Q9" s="20"/>
      <c r="R9" s="20"/>
      <c r="S9" s="20"/>
      <c r="T9" s="20"/>
      <c r="U9" s="20"/>
      <c r="V9" s="20"/>
      <c r="W9" s="20"/>
    </row>
    <row r="10" spans="1:23">
      <c r="A10" s="20"/>
      <c r="B10" s="20"/>
      <c r="C10" s="20"/>
      <c r="D10" s="20"/>
      <c r="E10" s="18"/>
      <c r="F10" s="20"/>
      <c r="G10" s="20"/>
      <c r="H10" s="20"/>
      <c r="I10" s="20"/>
      <c r="J10" s="18"/>
      <c r="K10" s="18"/>
      <c r="L10" s="20"/>
      <c r="M10" s="20"/>
      <c r="N10" s="18"/>
      <c r="O10" s="20"/>
      <c r="P10" s="20"/>
      <c r="Q10" s="20"/>
      <c r="R10" s="20"/>
      <c r="S10" s="20"/>
      <c r="T10" s="20"/>
      <c r="U10" s="20"/>
      <c r="V10" s="20"/>
      <c r="W10" s="20"/>
    </row>
    <row r="11" spans="1:23">
      <c r="A11" s="20"/>
      <c r="B11" s="20"/>
      <c r="C11" s="20"/>
      <c r="D11" s="20"/>
      <c r="E11" s="18"/>
      <c r="F11" s="20"/>
      <c r="G11" s="20"/>
      <c r="H11" s="20"/>
      <c r="I11" s="20"/>
      <c r="J11" s="18"/>
      <c r="K11" s="18"/>
      <c r="L11" s="20"/>
      <c r="M11" s="20"/>
      <c r="N11" s="18"/>
      <c r="O11" s="20"/>
      <c r="P11" s="20"/>
      <c r="Q11" s="20"/>
      <c r="R11" s="20"/>
      <c r="S11" s="20"/>
      <c r="T11" s="20"/>
      <c r="U11" s="20"/>
      <c r="V11" s="20"/>
      <c r="W11" s="20"/>
    </row>
    <row r="12" spans="1:23">
      <c r="A12" s="20"/>
      <c r="B12" s="20"/>
      <c r="C12" s="20"/>
      <c r="D12" s="20"/>
      <c r="E12" s="18"/>
      <c r="F12" s="20"/>
      <c r="G12" s="20"/>
      <c r="H12" s="20"/>
      <c r="I12" s="20"/>
      <c r="J12" s="18"/>
      <c r="K12" s="18"/>
      <c r="L12" s="20"/>
      <c r="M12" s="20"/>
      <c r="N12" s="18"/>
      <c r="O12" s="20"/>
      <c r="P12" s="20"/>
      <c r="Q12" s="20"/>
      <c r="R12" s="20"/>
      <c r="S12" s="20"/>
      <c r="T12" s="20"/>
      <c r="U12" s="20"/>
      <c r="V12" s="20"/>
      <c r="W12" s="20"/>
    </row>
    <row r="13" spans="1:23">
      <c r="A13" s="20"/>
      <c r="B13" s="20"/>
      <c r="C13" s="20"/>
      <c r="D13" s="20"/>
      <c r="E13" s="18"/>
      <c r="F13" s="20"/>
      <c r="G13" s="20"/>
      <c r="H13" s="20"/>
      <c r="I13" s="20"/>
      <c r="J13" s="18"/>
      <c r="K13" s="18"/>
      <c r="L13" s="20"/>
      <c r="M13" s="20"/>
      <c r="N13" s="18"/>
      <c r="O13" s="20"/>
      <c r="P13" s="20"/>
      <c r="Q13" s="20"/>
      <c r="R13" s="20"/>
      <c r="S13" s="20"/>
      <c r="T13" s="20"/>
      <c r="U13" s="20"/>
      <c r="V13" s="20"/>
      <c r="W13" s="20"/>
    </row>
    <row r="14" spans="1:23">
      <c r="A14" s="20"/>
      <c r="B14" s="20"/>
      <c r="C14" s="20"/>
      <c r="D14" s="20"/>
      <c r="E14" s="18"/>
      <c r="F14" s="20"/>
      <c r="G14" s="20"/>
      <c r="H14" s="20"/>
      <c r="I14" s="20"/>
      <c r="J14" s="18"/>
      <c r="K14" s="18"/>
      <c r="L14" s="20"/>
      <c r="M14" s="20"/>
      <c r="N14" s="18"/>
      <c r="O14" s="20"/>
      <c r="P14" s="20"/>
      <c r="Q14" s="20"/>
      <c r="R14" s="20"/>
      <c r="S14" s="20"/>
      <c r="T14" s="20"/>
      <c r="U14" s="20"/>
      <c r="V14" s="20"/>
      <c r="W14" s="20"/>
    </row>
    <row r="15" spans="1:23">
      <c r="A15" s="20"/>
      <c r="B15" s="20"/>
      <c r="C15" s="20"/>
      <c r="D15" s="20"/>
      <c r="E15" s="18"/>
      <c r="F15" s="20"/>
      <c r="G15" s="20"/>
      <c r="H15" s="20"/>
      <c r="I15" s="20"/>
      <c r="J15" s="18"/>
      <c r="K15" s="18"/>
      <c r="L15" s="20"/>
      <c r="M15" s="20"/>
      <c r="N15" s="18"/>
      <c r="O15" s="20"/>
      <c r="P15" s="20"/>
      <c r="Q15" s="20"/>
      <c r="R15" s="20"/>
      <c r="S15" s="20"/>
      <c r="T15" s="20"/>
      <c r="U15" s="20"/>
      <c r="V15" s="20"/>
      <c r="W15" s="20"/>
    </row>
    <row r="16" spans="1:23" ht="15">
      <c r="A16" s="30"/>
      <c r="B16" s="20"/>
      <c r="C16" s="20"/>
      <c r="D16" s="20"/>
      <c r="E16" s="18"/>
      <c r="F16" s="20"/>
      <c r="G16" s="20"/>
      <c r="H16" s="20"/>
      <c r="I16" s="20"/>
      <c r="J16" s="18"/>
      <c r="K16" s="18"/>
      <c r="L16" s="20"/>
      <c r="M16" s="20"/>
      <c r="N16" s="18"/>
      <c r="O16" s="20"/>
      <c r="P16" s="20"/>
      <c r="Q16" s="20"/>
      <c r="R16" s="20"/>
      <c r="S16" s="20"/>
      <c r="T16" s="20"/>
      <c r="U16" s="20"/>
      <c r="V16" s="20"/>
      <c r="W16" s="20"/>
    </row>
    <row r="17" spans="1:23">
      <c r="A17" s="20"/>
      <c r="B17" s="20"/>
      <c r="C17" s="20"/>
      <c r="D17" s="20"/>
      <c r="E17" s="18"/>
      <c r="F17" s="20"/>
      <c r="G17" s="20"/>
      <c r="H17" s="20"/>
      <c r="I17" s="20"/>
      <c r="J17" s="18"/>
      <c r="K17" s="18"/>
      <c r="L17" s="20"/>
      <c r="M17" s="20"/>
      <c r="N17" s="18"/>
      <c r="O17" s="20"/>
      <c r="P17" s="20"/>
      <c r="Q17" s="20"/>
      <c r="R17" s="20"/>
      <c r="S17" s="20"/>
      <c r="T17" s="20"/>
      <c r="U17" s="20"/>
      <c r="V17" s="20"/>
      <c r="W17" s="20"/>
    </row>
    <row r="18" spans="1:23">
      <c r="A18" s="20"/>
      <c r="B18" s="20"/>
      <c r="C18" s="20"/>
      <c r="D18" s="20"/>
      <c r="E18" s="18"/>
      <c r="F18" s="20"/>
      <c r="G18" s="20"/>
      <c r="H18" s="20"/>
      <c r="I18" s="20"/>
      <c r="J18" s="18"/>
      <c r="K18" s="18"/>
      <c r="L18" s="20"/>
      <c r="M18" s="20"/>
      <c r="N18" s="18"/>
      <c r="O18" s="20"/>
      <c r="P18" s="20"/>
      <c r="Q18" s="20"/>
      <c r="R18" s="20"/>
      <c r="S18" s="20"/>
      <c r="T18" s="20"/>
      <c r="U18" s="20"/>
      <c r="V18" s="20"/>
      <c r="W18" s="20"/>
    </row>
    <row r="19" spans="1:23">
      <c r="A19" s="27"/>
      <c r="B19" s="20"/>
      <c r="C19" s="20"/>
      <c r="D19" s="20"/>
      <c r="E19" s="18"/>
      <c r="F19" s="20"/>
      <c r="G19" s="20"/>
      <c r="H19" s="20"/>
      <c r="J19" s="18"/>
      <c r="K19" s="18"/>
      <c r="L19" s="20"/>
      <c r="M19" s="20"/>
      <c r="N19" s="18"/>
      <c r="O19" s="20"/>
      <c r="P19" s="20"/>
      <c r="Q19" s="20"/>
      <c r="R19" s="20"/>
      <c r="S19" s="20"/>
      <c r="T19" s="20"/>
      <c r="U19" s="20"/>
      <c r="V19" s="20"/>
      <c r="W19" s="20"/>
    </row>
    <row r="20" spans="1:23">
      <c r="A20" s="11"/>
      <c r="E20" s="18"/>
      <c r="H20" s="20"/>
      <c r="I20" s="20"/>
      <c r="J20" s="18"/>
      <c r="K20" s="18"/>
      <c r="L20" s="20"/>
      <c r="M20" s="20"/>
      <c r="O20" s="20"/>
      <c r="P20" s="20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5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19" t="s">
        <v>0</v>
      </c>
      <c r="B1" s="19" t="s">
        <v>1</v>
      </c>
      <c r="C1" s="19" t="s">
        <v>156</v>
      </c>
      <c r="D1" s="19" t="s">
        <v>157</v>
      </c>
      <c r="E1" s="19" t="s">
        <v>5</v>
      </c>
      <c r="F1" s="19" t="s">
        <v>6</v>
      </c>
      <c r="G1" s="19" t="s">
        <v>7</v>
      </c>
      <c r="H1" s="19" t="s">
        <v>150</v>
      </c>
      <c r="I1" s="19" t="s">
        <v>158</v>
      </c>
      <c r="J1" s="19" t="s">
        <v>11</v>
      </c>
      <c r="K1" s="19" t="s">
        <v>159</v>
      </c>
      <c r="L1" s="19" t="s">
        <v>160</v>
      </c>
      <c r="M1" s="19" t="s">
        <v>18</v>
      </c>
      <c r="N1" s="19" t="s">
        <v>20</v>
      </c>
      <c r="O1" s="19" t="s">
        <v>21</v>
      </c>
      <c r="P1" s="19" t="s">
        <v>22</v>
      </c>
      <c r="Q1" s="163" t="s">
        <v>24</v>
      </c>
      <c r="R1" s="163" t="s">
        <v>25</v>
      </c>
    </row>
    <row r="2" spans="1:18">
      <c r="A2" s="20" t="s">
        <v>26</v>
      </c>
      <c r="B2" s="20">
        <v>1182</v>
      </c>
      <c r="C2" s="27" t="s">
        <v>161</v>
      </c>
      <c r="D2" s="27" t="s">
        <v>162</v>
      </c>
      <c r="E2" s="27" t="s">
        <v>163</v>
      </c>
      <c r="F2" s="18"/>
      <c r="G2" s="18" t="s">
        <v>31</v>
      </c>
      <c r="H2" s="20" t="s">
        <v>164</v>
      </c>
      <c r="I2" s="20" t="s">
        <v>165</v>
      </c>
      <c r="J2" s="18" t="s">
        <v>35</v>
      </c>
      <c r="K2" s="20" t="s">
        <v>165</v>
      </c>
      <c r="L2" s="150">
        <v>-29.155999999999999</v>
      </c>
      <c r="M2" s="153">
        <v>1</v>
      </c>
      <c r="N2" s="153">
        <v>-29.155999999999999</v>
      </c>
      <c r="O2" s="20"/>
      <c r="P2" s="18" t="s">
        <v>37</v>
      </c>
      <c r="Q2" s="168">
        <v>0.800228462459177</v>
      </c>
      <c r="R2" s="168">
        <v>-7.3775434680516493E-5</v>
      </c>
    </row>
    <row r="3" spans="1:18">
      <c r="A3" s="20" t="s">
        <v>26</v>
      </c>
      <c r="B3" s="20">
        <v>1182</v>
      </c>
      <c r="C3" s="27" t="s">
        <v>166</v>
      </c>
      <c r="D3" s="20" t="s">
        <v>167</v>
      </c>
      <c r="E3" s="27" t="s">
        <v>168</v>
      </c>
      <c r="F3" s="18"/>
      <c r="G3" s="18" t="s">
        <v>31</v>
      </c>
      <c r="H3" s="20" t="s">
        <v>164</v>
      </c>
      <c r="I3" s="20" t="s">
        <v>165</v>
      </c>
      <c r="J3" s="18" t="s">
        <v>35</v>
      </c>
      <c r="K3" s="20" t="s">
        <v>165</v>
      </c>
      <c r="L3" s="150">
        <v>-7.2869999999999999</v>
      </c>
      <c r="M3" s="153">
        <v>1</v>
      </c>
      <c r="N3" s="153">
        <v>-7.2869999999999999</v>
      </c>
      <c r="O3" s="20"/>
      <c r="P3" s="18" t="s">
        <v>37</v>
      </c>
      <c r="Q3" s="168">
        <v>0.19999110741989701</v>
      </c>
      <c r="R3" s="168">
        <v>-1.84377731789233E-5</v>
      </c>
    </row>
    <row r="4" spans="1:18">
      <c r="A4" s="20" t="s">
        <v>26</v>
      </c>
      <c r="B4" s="20">
        <v>1182</v>
      </c>
      <c r="C4" s="27" t="s">
        <v>169</v>
      </c>
      <c r="D4" s="20" t="s">
        <v>170</v>
      </c>
      <c r="E4" s="27" t="s">
        <v>163</v>
      </c>
      <c r="F4" s="18"/>
      <c r="G4" s="18" t="s">
        <v>31</v>
      </c>
      <c r="H4" s="20" t="s">
        <v>164</v>
      </c>
      <c r="I4" s="20" t="s">
        <v>165</v>
      </c>
      <c r="J4" s="18" t="s">
        <v>35</v>
      </c>
      <c r="K4" s="20" t="s">
        <v>165</v>
      </c>
      <c r="L4" s="150">
        <v>8.0000000000000002E-3</v>
      </c>
      <c r="M4" s="153">
        <v>1</v>
      </c>
      <c r="N4" s="153">
        <v>8.0000000000000002E-3</v>
      </c>
      <c r="O4" s="20"/>
      <c r="P4" s="18" t="s">
        <v>37</v>
      </c>
      <c r="Q4" s="168">
        <v>-2.1956987907463399E-4</v>
      </c>
      <c r="R4" s="168">
        <v>2.0242798190030501E-8</v>
      </c>
    </row>
    <row r="5" spans="1:18">
      <c r="A5" s="20" t="s">
        <v>26</v>
      </c>
      <c r="B5" s="20">
        <v>14769</v>
      </c>
      <c r="C5" s="27" t="s">
        <v>161</v>
      </c>
      <c r="D5" s="20" t="s">
        <v>162</v>
      </c>
      <c r="E5" s="27" t="s">
        <v>163</v>
      </c>
      <c r="F5" s="18"/>
      <c r="G5" s="18" t="s">
        <v>31</v>
      </c>
      <c r="H5" s="20" t="s">
        <v>164</v>
      </c>
      <c r="I5" s="20" t="s">
        <v>165</v>
      </c>
      <c r="J5" s="18" t="s">
        <v>35</v>
      </c>
      <c r="K5" s="20" t="s">
        <v>165</v>
      </c>
      <c r="L5" s="150">
        <v>-3.5640000000000001</v>
      </c>
      <c r="M5" s="153">
        <v>1</v>
      </c>
      <c r="N5" s="153">
        <v>-3.5640000000000001</v>
      </c>
      <c r="O5" s="20"/>
      <c r="P5" s="18" t="s">
        <v>37</v>
      </c>
      <c r="Q5" s="168">
        <v>1.0011574204133</v>
      </c>
      <c r="R5" s="168">
        <v>-3.1974186386694099E-4</v>
      </c>
    </row>
    <row r="6" spans="1:18">
      <c r="A6" s="20" t="s">
        <v>26</v>
      </c>
      <c r="B6" s="20">
        <v>14769</v>
      </c>
      <c r="C6" s="27" t="s">
        <v>169</v>
      </c>
      <c r="D6" s="20" t="s">
        <v>170</v>
      </c>
      <c r="E6" s="27" t="s">
        <v>163</v>
      </c>
      <c r="F6" s="18"/>
      <c r="G6" s="18" t="s">
        <v>31</v>
      </c>
      <c r="H6" s="20" t="s">
        <v>164</v>
      </c>
      <c r="I6" s="20" t="s">
        <v>165</v>
      </c>
      <c r="J6" s="18" t="s">
        <v>35</v>
      </c>
      <c r="K6" s="20" t="s">
        <v>165</v>
      </c>
      <c r="L6" s="150">
        <v>4.0000000000000001E-3</v>
      </c>
      <c r="M6" s="153">
        <v>1</v>
      </c>
      <c r="N6" s="153">
        <v>4.0000000000000001E-3</v>
      </c>
      <c r="O6" s="20"/>
      <c r="P6" s="18" t="s">
        <v>37</v>
      </c>
      <c r="Q6" s="168">
        <v>-1.1574204133002199E-3</v>
      </c>
      <c r="R6" s="168">
        <v>3.6964792217539798E-7</v>
      </c>
    </row>
    <row r="7" spans="1:18">
      <c r="A7" s="20" t="s">
        <v>112</v>
      </c>
      <c r="B7" s="20">
        <v>12905</v>
      </c>
      <c r="C7" s="27" t="s">
        <v>161</v>
      </c>
      <c r="D7" s="20" t="s">
        <v>162</v>
      </c>
      <c r="E7" s="27" t="s">
        <v>163</v>
      </c>
      <c r="F7" s="18"/>
      <c r="G7" s="18" t="s">
        <v>31</v>
      </c>
      <c r="H7" s="20" t="s">
        <v>164</v>
      </c>
      <c r="I7" s="20" t="s">
        <v>165</v>
      </c>
      <c r="J7" s="18" t="s">
        <v>35</v>
      </c>
      <c r="K7" s="20" t="s">
        <v>165</v>
      </c>
      <c r="L7" s="150">
        <v>-4.1130000000000004</v>
      </c>
      <c r="M7" s="153">
        <v>1</v>
      </c>
      <c r="N7" s="153">
        <v>-4.1130000000000004</v>
      </c>
      <c r="O7" s="20"/>
      <c r="P7" s="18" t="s">
        <v>37</v>
      </c>
      <c r="Q7" s="168">
        <v>0.35552203975799501</v>
      </c>
      <c r="R7" s="168">
        <v>-1.32206783642328E-4</v>
      </c>
    </row>
    <row r="8" spans="1:18">
      <c r="A8" s="20" t="s">
        <v>112</v>
      </c>
      <c r="B8" s="20">
        <v>12905</v>
      </c>
      <c r="C8" s="27" t="s">
        <v>166</v>
      </c>
      <c r="D8" s="20" t="s">
        <v>167</v>
      </c>
      <c r="E8" s="27" t="s">
        <v>168</v>
      </c>
      <c r="F8" s="18"/>
      <c r="G8" s="18" t="s">
        <v>31</v>
      </c>
      <c r="H8" s="20" t="s">
        <v>164</v>
      </c>
      <c r="I8" s="20" t="s">
        <v>165</v>
      </c>
      <c r="J8" s="18" t="s">
        <v>35</v>
      </c>
      <c r="K8" s="20" t="s">
        <v>165</v>
      </c>
      <c r="L8" s="150">
        <v>-7.468</v>
      </c>
      <c r="M8" s="153">
        <v>1</v>
      </c>
      <c r="N8" s="153">
        <v>-7.468</v>
      </c>
      <c r="O8" s="20"/>
      <c r="P8" s="18" t="s">
        <v>37</v>
      </c>
      <c r="Q8" s="168">
        <v>0.64545808124459803</v>
      </c>
      <c r="R8" s="168">
        <v>-2.40024322979762E-4</v>
      </c>
    </row>
    <row r="9" spans="1:18">
      <c r="A9" s="20" t="s">
        <v>112</v>
      </c>
      <c r="B9" s="20">
        <v>12905</v>
      </c>
      <c r="C9" s="27" t="s">
        <v>169</v>
      </c>
      <c r="D9" s="20" t="s">
        <v>170</v>
      </c>
      <c r="E9" s="27" t="s">
        <v>163</v>
      </c>
      <c r="F9" s="18"/>
      <c r="G9" s="18" t="s">
        <v>31</v>
      </c>
      <c r="H9" s="20" t="s">
        <v>164</v>
      </c>
      <c r="I9" s="20" t="s">
        <v>165</v>
      </c>
      <c r="J9" s="18" t="s">
        <v>35</v>
      </c>
      <c r="K9" s="20" t="s">
        <v>165</v>
      </c>
      <c r="L9" s="150">
        <v>1.0999999999999999E-2</v>
      </c>
      <c r="M9" s="153">
        <v>1</v>
      </c>
      <c r="N9" s="153">
        <v>1.0999999999999999E-2</v>
      </c>
      <c r="O9" s="20"/>
      <c r="P9" s="18" t="s">
        <v>37</v>
      </c>
      <c r="Q9" s="168">
        <v>-9.8012100259291289E-4</v>
      </c>
      <c r="R9" s="168">
        <v>3.6447429650580101E-7</v>
      </c>
    </row>
    <row r="10" spans="1:18">
      <c r="A10" s="20" t="s">
        <v>112</v>
      </c>
      <c r="B10" s="20">
        <v>13680</v>
      </c>
      <c r="C10" s="27" t="s">
        <v>161</v>
      </c>
      <c r="D10" s="20" t="s">
        <v>162</v>
      </c>
      <c r="E10" s="27" t="s">
        <v>163</v>
      </c>
      <c r="F10" s="18"/>
      <c r="G10" s="18" t="s">
        <v>31</v>
      </c>
      <c r="H10" s="20" t="s">
        <v>164</v>
      </c>
      <c r="I10" s="20" t="s">
        <v>165</v>
      </c>
      <c r="J10" s="18" t="s">
        <v>35</v>
      </c>
      <c r="K10" s="20" t="s">
        <v>165</v>
      </c>
      <c r="L10" s="150">
        <v>-5.5279999999999996</v>
      </c>
      <c r="M10" s="153">
        <v>1</v>
      </c>
      <c r="N10" s="153">
        <v>-5.5279999999999996</v>
      </c>
      <c r="O10" s="20"/>
      <c r="P10" s="18" t="s">
        <v>37</v>
      </c>
      <c r="Q10" s="168">
        <v>0.30709090080871598</v>
      </c>
      <c r="R10" s="168">
        <v>-1.7215834869844E-4</v>
      </c>
    </row>
    <row r="11" spans="1:18">
      <c r="A11" s="20" t="s">
        <v>112</v>
      </c>
      <c r="B11" s="20">
        <v>13680</v>
      </c>
      <c r="C11" s="27" t="s">
        <v>166</v>
      </c>
      <c r="D11" s="20" t="s">
        <v>167</v>
      </c>
      <c r="E11" s="27" t="s">
        <v>168</v>
      </c>
      <c r="F11" s="18"/>
      <c r="G11" s="18" t="s">
        <v>31</v>
      </c>
      <c r="H11" s="20" t="s">
        <v>164</v>
      </c>
      <c r="I11" s="20" t="s">
        <v>165</v>
      </c>
      <c r="J11" s="18" t="s">
        <v>35</v>
      </c>
      <c r="K11" s="20" t="s">
        <v>165</v>
      </c>
      <c r="L11" s="150">
        <v>-12.494999999999999</v>
      </c>
      <c r="M11" s="153">
        <v>1</v>
      </c>
      <c r="N11" s="153">
        <v>-12.494999999999999</v>
      </c>
      <c r="O11" s="20"/>
      <c r="P11" s="18" t="s">
        <v>37</v>
      </c>
      <c r="Q11" s="168">
        <v>0.69409678591307999</v>
      </c>
      <c r="R11" s="168">
        <v>-3.8911786765744299E-4</v>
      </c>
    </row>
    <row r="12" spans="1:18">
      <c r="A12" s="20" t="s">
        <v>112</v>
      </c>
      <c r="B12" s="20">
        <v>13680</v>
      </c>
      <c r="C12" s="27" t="s">
        <v>169</v>
      </c>
      <c r="D12" s="20" t="s">
        <v>170</v>
      </c>
      <c r="E12" s="27" t="s">
        <v>163</v>
      </c>
      <c r="F12" s="18"/>
      <c r="G12" s="18" t="s">
        <v>31</v>
      </c>
      <c r="H12" s="20" t="s">
        <v>164</v>
      </c>
      <c r="I12" s="20" t="s">
        <v>165</v>
      </c>
      <c r="J12" s="18" t="s">
        <v>35</v>
      </c>
      <c r="K12" s="20" t="s">
        <v>165</v>
      </c>
      <c r="L12" s="150">
        <v>2.1000000000000001E-2</v>
      </c>
      <c r="M12" s="153">
        <v>1</v>
      </c>
      <c r="N12" s="153">
        <v>2.1000000000000001E-2</v>
      </c>
      <c r="O12" s="20"/>
      <c r="P12" s="18" t="s">
        <v>37</v>
      </c>
      <c r="Q12" s="168">
        <v>-1.1876867217957699E-3</v>
      </c>
      <c r="R12" s="168">
        <v>6.6582951255461298E-7</v>
      </c>
    </row>
    <row r="13" spans="1:18">
      <c r="A13" s="20" t="s">
        <v>128</v>
      </c>
      <c r="B13" s="20">
        <v>7228</v>
      </c>
      <c r="C13" s="27" t="s">
        <v>171</v>
      </c>
      <c r="D13" s="20" t="s">
        <v>172</v>
      </c>
      <c r="E13" s="27" t="s">
        <v>173</v>
      </c>
      <c r="F13" s="18"/>
      <c r="G13" s="18" t="s">
        <v>31</v>
      </c>
      <c r="H13" s="20" t="s">
        <v>164</v>
      </c>
      <c r="I13" s="20" t="s">
        <v>174</v>
      </c>
      <c r="J13" s="18" t="s">
        <v>35</v>
      </c>
      <c r="K13" s="20" t="s">
        <v>175</v>
      </c>
      <c r="L13" s="150">
        <v>1.3959999999999999</v>
      </c>
      <c r="M13" s="153">
        <v>1</v>
      </c>
      <c r="N13" s="153">
        <v>0</v>
      </c>
      <c r="O13" s="20"/>
      <c r="P13" s="18" t="s">
        <v>37</v>
      </c>
      <c r="Q13" s="168">
        <v>1.9234163802164901E-9</v>
      </c>
      <c r="R13" s="168">
        <v>5.96425561519806E-13</v>
      </c>
    </row>
    <row r="14" spans="1:18">
      <c r="A14" s="20" t="s">
        <v>128</v>
      </c>
      <c r="B14" s="20">
        <v>7228</v>
      </c>
      <c r="C14" s="27" t="s">
        <v>161</v>
      </c>
      <c r="D14" s="20" t="s">
        <v>162</v>
      </c>
      <c r="E14" s="27" t="s">
        <v>163</v>
      </c>
      <c r="F14" s="18"/>
      <c r="G14" s="18" t="s">
        <v>31</v>
      </c>
      <c r="H14" s="20" t="s">
        <v>164</v>
      </c>
      <c r="I14" s="20" t="s">
        <v>165</v>
      </c>
      <c r="J14" s="18" t="s">
        <v>35</v>
      </c>
      <c r="K14" s="20" t="s">
        <v>165</v>
      </c>
      <c r="L14" s="150">
        <v>700.51099999999997</v>
      </c>
      <c r="M14" s="153">
        <v>1</v>
      </c>
      <c r="N14" s="153">
        <v>700.51099999999997</v>
      </c>
      <c r="O14" s="20"/>
      <c r="P14" s="18" t="s">
        <v>37</v>
      </c>
      <c r="Q14" s="168">
        <v>0.96529195211374497</v>
      </c>
      <c r="R14" s="168">
        <v>2.9932405717850402E-4</v>
      </c>
    </row>
    <row r="15" spans="1:18">
      <c r="A15" s="20" t="s">
        <v>128</v>
      </c>
      <c r="B15" s="20">
        <v>7228</v>
      </c>
      <c r="C15" s="27" t="s">
        <v>166</v>
      </c>
      <c r="D15" s="20" t="s">
        <v>167</v>
      </c>
      <c r="E15" s="27" t="s">
        <v>168</v>
      </c>
      <c r="F15" s="18"/>
      <c r="G15" s="18" t="s">
        <v>31</v>
      </c>
      <c r="H15" s="20" t="s">
        <v>164</v>
      </c>
      <c r="I15" s="20" t="s">
        <v>165</v>
      </c>
      <c r="J15" s="18" t="s">
        <v>35</v>
      </c>
      <c r="K15" s="20" t="s">
        <v>165</v>
      </c>
      <c r="L15" s="150">
        <v>-228.262</v>
      </c>
      <c r="M15" s="153">
        <v>1</v>
      </c>
      <c r="N15" s="153">
        <v>-228.262</v>
      </c>
      <c r="O15" s="20"/>
      <c r="P15" s="18" t="s">
        <v>37</v>
      </c>
      <c r="Q15" s="168">
        <v>-0.31454131773625099</v>
      </c>
      <c r="R15" s="168">
        <v>-9.7535034005953497E-5</v>
      </c>
    </row>
    <row r="16" spans="1:18">
      <c r="A16" s="20" t="s">
        <v>128</v>
      </c>
      <c r="B16" s="20">
        <v>7228</v>
      </c>
      <c r="C16" s="27" t="s">
        <v>169</v>
      </c>
      <c r="D16" s="20" t="s">
        <v>170</v>
      </c>
      <c r="E16" s="27" t="s">
        <v>163</v>
      </c>
      <c r="F16" s="18"/>
      <c r="G16" s="18" t="s">
        <v>31</v>
      </c>
      <c r="H16" s="20" t="s">
        <v>164</v>
      </c>
      <c r="I16" s="20" t="s">
        <v>165</v>
      </c>
      <c r="J16" s="18" t="s">
        <v>35</v>
      </c>
      <c r="K16" s="20" t="s">
        <v>165</v>
      </c>
      <c r="L16" s="150">
        <v>253.45</v>
      </c>
      <c r="M16" s="153">
        <v>1</v>
      </c>
      <c r="N16" s="153">
        <v>253.45</v>
      </c>
      <c r="O16" s="20"/>
      <c r="P16" s="18" t="s">
        <v>37</v>
      </c>
      <c r="Q16" s="168">
        <v>0.34924936369908899</v>
      </c>
      <c r="R16" s="168">
        <v>1.0829753245172E-4</v>
      </c>
    </row>
    <row r="17" spans="1:18">
      <c r="A17" s="20" t="s">
        <v>128</v>
      </c>
      <c r="B17" s="20">
        <v>7228</v>
      </c>
      <c r="C17" s="27" t="s">
        <v>176</v>
      </c>
      <c r="D17" s="20" t="s">
        <v>177</v>
      </c>
      <c r="E17" s="27" t="s">
        <v>173</v>
      </c>
      <c r="F17" s="18"/>
      <c r="G17" s="18"/>
      <c r="H17" s="20" t="s">
        <v>164</v>
      </c>
      <c r="I17" s="20" t="s">
        <v>178</v>
      </c>
      <c r="J17" s="18" t="s">
        <v>35</v>
      </c>
      <c r="K17" s="20" t="s">
        <v>178</v>
      </c>
      <c r="L17" s="150">
        <v>286.06700000000001</v>
      </c>
      <c r="M17" s="153">
        <v>1</v>
      </c>
      <c r="N17" s="153">
        <v>286.06700000000001</v>
      </c>
      <c r="O17" s="20"/>
      <c r="P17" s="18" t="s">
        <v>37</v>
      </c>
      <c r="Q17" s="168">
        <v>0.39419549342994797</v>
      </c>
      <c r="R17" s="168">
        <v>1.2223472303541001E-4</v>
      </c>
    </row>
    <row r="18" spans="1:18">
      <c r="A18" s="20" t="s">
        <v>128</v>
      </c>
      <c r="B18" s="20">
        <v>7228</v>
      </c>
      <c r="C18" s="27" t="s">
        <v>179</v>
      </c>
      <c r="D18" s="20" t="s">
        <v>180</v>
      </c>
      <c r="E18" s="27" t="s">
        <v>173</v>
      </c>
      <c r="F18" s="18"/>
      <c r="G18" s="18"/>
      <c r="H18" s="20" t="s">
        <v>164</v>
      </c>
      <c r="I18" s="20" t="s">
        <v>181</v>
      </c>
      <c r="J18" s="18" t="s">
        <v>35</v>
      </c>
      <c r="K18" s="20" t="s">
        <v>181</v>
      </c>
      <c r="L18" s="150">
        <v>-286.06700000000001</v>
      </c>
      <c r="M18" s="153">
        <v>1</v>
      </c>
      <c r="N18" s="153">
        <v>-286.06700000000001</v>
      </c>
      <c r="O18" s="20"/>
      <c r="P18" s="18" t="s">
        <v>37</v>
      </c>
      <c r="Q18" s="168">
        <v>-0.39419549342994797</v>
      </c>
      <c r="R18" s="168">
        <v>-1.2223472303541001E-4</v>
      </c>
    </row>
    <row r="19" spans="1:18">
      <c r="A19" s="20" t="s">
        <v>128</v>
      </c>
      <c r="B19" s="20">
        <v>7229</v>
      </c>
      <c r="C19" s="27" t="s">
        <v>161</v>
      </c>
      <c r="D19" s="20" t="s">
        <v>162</v>
      </c>
      <c r="E19" s="27" t="s">
        <v>163</v>
      </c>
      <c r="F19" s="18"/>
      <c r="G19" s="18" t="s">
        <v>31</v>
      </c>
      <c r="H19" s="20" t="s">
        <v>164</v>
      </c>
      <c r="I19" s="20" t="s">
        <v>165</v>
      </c>
      <c r="J19" s="18" t="s">
        <v>35</v>
      </c>
      <c r="K19" s="20" t="s">
        <v>165</v>
      </c>
      <c r="L19" s="150">
        <v>-3.0680000000000001</v>
      </c>
      <c r="M19" s="153">
        <v>1</v>
      </c>
      <c r="N19" s="153">
        <v>-3.0680000000000001</v>
      </c>
      <c r="O19" s="20"/>
      <c r="P19" s="18" t="s">
        <v>37</v>
      </c>
      <c r="Q19" s="168">
        <v>5.5268063164632897E-2</v>
      </c>
      <c r="R19" s="168">
        <v>-2.1700163497500598E-5</v>
      </c>
    </row>
    <row r="20" spans="1:18">
      <c r="A20" s="2" t="s">
        <v>128</v>
      </c>
      <c r="B20" s="2">
        <v>7229</v>
      </c>
      <c r="C20" s="2" t="s">
        <v>166</v>
      </c>
      <c r="D20" s="2" t="s">
        <v>167</v>
      </c>
      <c r="E20" s="27" t="s">
        <v>168</v>
      </c>
      <c r="F20" s="18"/>
      <c r="G20" s="18" t="s">
        <v>31</v>
      </c>
      <c r="H20" s="20" t="s">
        <v>164</v>
      </c>
      <c r="I20" s="2" t="s">
        <v>165</v>
      </c>
      <c r="J20" s="2" t="s">
        <v>35</v>
      </c>
      <c r="K20" s="2" t="s">
        <v>165</v>
      </c>
      <c r="L20" s="150">
        <v>-52.451999999999998</v>
      </c>
      <c r="M20" s="150">
        <v>1</v>
      </c>
      <c r="N20" s="150">
        <v>-52.451999999999998</v>
      </c>
      <c r="P20" s="18" t="s">
        <v>37</v>
      </c>
      <c r="Q20" s="164">
        <v>0.94472689363586004</v>
      </c>
      <c r="R20" s="164">
        <v>-3.70932630501567E-4</v>
      </c>
    </row>
    <row r="21" spans="1:18">
      <c r="A21" s="2" t="s">
        <v>128</v>
      </c>
      <c r="B21" s="2">
        <v>7229</v>
      </c>
      <c r="C21" s="2" t="s">
        <v>169</v>
      </c>
      <c r="D21" s="2" t="s">
        <v>170</v>
      </c>
      <c r="E21" s="2" t="s">
        <v>163</v>
      </c>
      <c r="G21" s="2" t="s">
        <v>31</v>
      </c>
      <c r="H21" s="2" t="s">
        <v>164</v>
      </c>
      <c r="I21" s="2" t="s">
        <v>165</v>
      </c>
      <c r="J21" s="2" t="s">
        <v>35</v>
      </c>
      <c r="K21" s="2" t="s">
        <v>165</v>
      </c>
      <c r="L21" s="150">
        <v>0</v>
      </c>
      <c r="M21" s="150">
        <v>1</v>
      </c>
      <c r="N21" s="150">
        <v>0</v>
      </c>
      <c r="P21" s="2" t="s">
        <v>37</v>
      </c>
      <c r="Q21" s="164">
        <v>5.0431995066309997E-6</v>
      </c>
      <c r="R21" s="164">
        <v>-1.9801354992016201E-9</v>
      </c>
    </row>
    <row r="22" spans="1:18">
      <c r="A22" s="2" t="s">
        <v>128</v>
      </c>
      <c r="B22" s="2">
        <v>9817</v>
      </c>
      <c r="C22" s="2" t="s">
        <v>161</v>
      </c>
      <c r="D22" s="2" t="s">
        <v>162</v>
      </c>
      <c r="E22" s="2" t="s">
        <v>163</v>
      </c>
      <c r="G22" s="2" t="s">
        <v>31</v>
      </c>
      <c r="H22" s="2" t="s">
        <v>164</v>
      </c>
      <c r="I22" s="2" t="s">
        <v>165</v>
      </c>
      <c r="J22" s="2" t="s">
        <v>35</v>
      </c>
      <c r="K22" s="2" t="s">
        <v>165</v>
      </c>
      <c r="L22" s="150">
        <v>-7.0999999999999994E-2</v>
      </c>
      <c r="M22" s="150">
        <v>1</v>
      </c>
      <c r="N22" s="150">
        <v>-7.0999999999999994E-2</v>
      </c>
      <c r="P22" s="2" t="s">
        <v>37</v>
      </c>
      <c r="Q22" s="164">
        <v>1</v>
      </c>
      <c r="R22" s="164">
        <v>-4.8073430715834599E-5</v>
      </c>
    </row>
    <row r="23" spans="1:18">
      <c r="A23" s="2" t="s">
        <v>144</v>
      </c>
      <c r="B23" s="2">
        <v>969</v>
      </c>
      <c r="C23" s="2" t="s">
        <v>161</v>
      </c>
      <c r="D23" s="2" t="s">
        <v>162</v>
      </c>
      <c r="E23" s="2" t="s">
        <v>163</v>
      </c>
      <c r="G23" s="2" t="s">
        <v>31</v>
      </c>
      <c r="H23" s="2" t="s">
        <v>164</v>
      </c>
      <c r="I23" s="2" t="s">
        <v>165</v>
      </c>
      <c r="J23" s="2" t="s">
        <v>35</v>
      </c>
      <c r="K23" s="2" t="s">
        <v>165</v>
      </c>
      <c r="L23" s="150">
        <v>-2.4260000000000002</v>
      </c>
      <c r="M23" s="150">
        <v>1</v>
      </c>
      <c r="N23" s="150">
        <v>-2.4260000000000002</v>
      </c>
      <c r="P23" s="2" t="s">
        <v>37</v>
      </c>
      <c r="Q23" s="164">
        <v>7.6091695044851998E-2</v>
      </c>
      <c r="R23" s="164">
        <v>-3.2894806896402803E-5</v>
      </c>
    </row>
    <row r="24" spans="1:18">
      <c r="A24" s="2" t="s">
        <v>144</v>
      </c>
      <c r="B24" s="2">
        <v>969</v>
      </c>
      <c r="C24" s="2" t="s">
        <v>166</v>
      </c>
      <c r="D24" s="2" t="s">
        <v>167</v>
      </c>
      <c r="E24" s="2" t="s">
        <v>168</v>
      </c>
      <c r="G24" s="2" t="s">
        <v>31</v>
      </c>
      <c r="H24" s="2" t="s">
        <v>164</v>
      </c>
      <c r="I24" s="2" t="s">
        <v>165</v>
      </c>
      <c r="J24" s="2" t="s">
        <v>35</v>
      </c>
      <c r="K24" s="2" t="s">
        <v>165</v>
      </c>
      <c r="L24" s="150">
        <v>-29.454999999999998</v>
      </c>
      <c r="M24" s="150">
        <v>1</v>
      </c>
      <c r="N24" s="150">
        <v>-29.454999999999998</v>
      </c>
      <c r="P24" s="2" t="s">
        <v>37</v>
      </c>
      <c r="Q24" s="164">
        <v>0.92379006687194698</v>
      </c>
      <c r="R24" s="164">
        <v>-3.9935890302687598E-4</v>
      </c>
    </row>
    <row r="25" spans="1:18">
      <c r="A25" s="2" t="s">
        <v>144</v>
      </c>
      <c r="B25" s="2">
        <v>969</v>
      </c>
      <c r="C25" s="2" t="s">
        <v>169</v>
      </c>
      <c r="D25" s="2" t="s">
        <v>170</v>
      </c>
      <c r="E25" s="2" t="s">
        <v>163</v>
      </c>
      <c r="G25" s="2" t="s">
        <v>31</v>
      </c>
      <c r="H25" s="2" t="s">
        <v>164</v>
      </c>
      <c r="I25" s="2" t="s">
        <v>165</v>
      </c>
      <c r="J25" s="2" t="s">
        <v>35</v>
      </c>
      <c r="K25" s="2" t="s">
        <v>165</v>
      </c>
      <c r="L25" s="150">
        <v>-4.0000000000000001E-3</v>
      </c>
      <c r="M25" s="150">
        <v>1</v>
      </c>
      <c r="N25" s="150">
        <v>-4.0000000000000001E-3</v>
      </c>
      <c r="P25" s="2" t="s">
        <v>37</v>
      </c>
      <c r="Q25" s="164">
        <v>1.18238083200721E-4</v>
      </c>
      <c r="R25" s="164">
        <v>-5.1114893844799997E-8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5" customWidth="1"/>
    <col min="17" max="20" width="11.625" style="2" customWidth="1"/>
    <col min="21" max="16384" width="11.625" style="2"/>
  </cols>
  <sheetData>
    <row r="1" spans="1:22" ht="66.75" customHeight="1">
      <c r="A1" s="19" t="s">
        <v>0</v>
      </c>
      <c r="B1" s="19" t="s">
        <v>1</v>
      </c>
      <c r="C1" s="19" t="s">
        <v>145</v>
      </c>
      <c r="D1" s="19" t="s">
        <v>146</v>
      </c>
      <c r="E1" s="19" t="s">
        <v>147</v>
      </c>
      <c r="F1" s="19" t="s">
        <v>148</v>
      </c>
      <c r="G1" s="19" t="s">
        <v>149</v>
      </c>
      <c r="H1" s="19" t="s">
        <v>6</v>
      </c>
      <c r="I1" s="19" t="s">
        <v>7</v>
      </c>
      <c r="J1" s="19" t="s">
        <v>150</v>
      </c>
      <c r="K1" s="19" t="s">
        <v>9</v>
      </c>
      <c r="L1" s="19" t="s">
        <v>10</v>
      </c>
      <c r="M1" s="19" t="s">
        <v>151</v>
      </c>
      <c r="N1" s="19" t="s">
        <v>11</v>
      </c>
      <c r="O1" s="19" t="s">
        <v>18</v>
      </c>
      <c r="P1" s="143" t="s">
        <v>14</v>
      </c>
      <c r="Q1" s="19" t="s">
        <v>152</v>
      </c>
      <c r="R1" s="19" t="s">
        <v>153</v>
      </c>
      <c r="S1" s="19" t="s">
        <v>154</v>
      </c>
      <c r="T1" s="19" t="s">
        <v>155</v>
      </c>
      <c r="U1" s="11"/>
      <c r="V1" s="11"/>
    </row>
    <row r="2" spans="1:22" ht="14.1" customHeight="1">
      <c r="D2" s="20"/>
      <c r="G2" s="18"/>
      <c r="H2" s="18"/>
      <c r="I2" s="18"/>
      <c r="J2" s="20"/>
      <c r="K2" s="20"/>
      <c r="L2" s="20"/>
      <c r="M2" s="20"/>
      <c r="P2" s="144"/>
      <c r="Q2" s="20"/>
      <c r="R2" s="18"/>
      <c r="S2" s="18"/>
      <c r="T2" s="18"/>
    </row>
    <row r="3" spans="1:22" ht="14.1" customHeight="1">
      <c r="D3" s="20"/>
      <c r="H3" s="18"/>
      <c r="I3" s="18"/>
      <c r="J3" s="20"/>
      <c r="K3" s="20"/>
      <c r="L3" s="20"/>
      <c r="M3" s="20"/>
      <c r="Q3" s="20"/>
    </row>
    <row r="4" spans="1:22" ht="14.1" customHeight="1">
      <c r="D4" s="20"/>
      <c r="H4" s="18"/>
      <c r="I4" s="18"/>
      <c r="J4" s="20"/>
      <c r="K4" s="20"/>
      <c r="L4" s="20"/>
      <c r="M4" s="20"/>
      <c r="Q4" s="20"/>
    </row>
    <row r="5" spans="1:22" ht="14.1" customHeight="1">
      <c r="D5" s="20"/>
      <c r="H5" s="18"/>
      <c r="I5" s="18"/>
      <c r="J5" s="20"/>
      <c r="K5" s="20"/>
      <c r="L5" s="20"/>
      <c r="M5" s="20"/>
      <c r="O5" s="11"/>
      <c r="Q5" s="20"/>
    </row>
    <row r="6" spans="1:22" ht="14.1" customHeight="1">
      <c r="D6" s="20"/>
      <c r="H6" s="18"/>
      <c r="I6" s="18"/>
      <c r="J6" s="20"/>
      <c r="K6" s="20"/>
      <c r="L6" s="20"/>
      <c r="M6" s="20"/>
      <c r="O6" s="11"/>
      <c r="Q6" s="20"/>
    </row>
    <row r="7" spans="1:22" ht="14.1" customHeight="1">
      <c r="D7" s="20"/>
      <c r="H7" s="18"/>
      <c r="I7" s="18"/>
      <c r="J7" s="20"/>
      <c r="K7" s="20"/>
      <c r="L7" s="20"/>
      <c r="M7" s="20"/>
      <c r="Q7" s="20"/>
    </row>
    <row r="8" spans="1:22" ht="14.1" customHeight="1">
      <c r="D8" s="20"/>
      <c r="H8" s="18"/>
      <c r="I8" s="18"/>
      <c r="J8" s="20"/>
      <c r="K8" s="20"/>
      <c r="L8" s="20"/>
      <c r="M8" s="20"/>
      <c r="N8" s="11"/>
      <c r="Q8" s="20"/>
    </row>
    <row r="9" spans="1:22" ht="14.1" customHeight="1">
      <c r="D9" s="20"/>
      <c r="H9" s="18"/>
      <c r="I9" s="18"/>
      <c r="J9" s="20"/>
      <c r="K9" s="20"/>
      <c r="L9" s="20"/>
      <c r="M9" s="20"/>
      <c r="Q9" s="20"/>
    </row>
    <row r="10" spans="1:22" ht="13.5" customHeight="1">
      <c r="D10" s="20"/>
      <c r="H10" s="18"/>
      <c r="I10" s="18"/>
      <c r="J10" s="20"/>
      <c r="K10" s="20"/>
      <c r="L10" s="20"/>
      <c r="M10" s="20"/>
      <c r="Q10" s="20"/>
    </row>
    <row r="11" spans="1:22" ht="13.5" customHeight="1">
      <c r="D11" s="20"/>
      <c r="H11" s="18"/>
      <c r="I11" s="18"/>
      <c r="J11" s="20"/>
      <c r="K11" s="20"/>
      <c r="L11" s="20"/>
      <c r="M11" s="20"/>
      <c r="Q11" s="20"/>
    </row>
    <row r="12" spans="1:22" ht="14.1" customHeight="1">
      <c r="D12" s="20"/>
      <c r="H12" s="18"/>
      <c r="I12" s="18"/>
      <c r="J12" s="20"/>
      <c r="K12" s="20"/>
      <c r="L12" s="20"/>
      <c r="M12" s="20"/>
      <c r="Q12" s="20"/>
    </row>
    <row r="13" spans="1:22" ht="14.1" customHeight="1">
      <c r="D13" s="20"/>
      <c r="H13" s="18"/>
      <c r="I13" s="18"/>
      <c r="J13" s="20"/>
      <c r="K13" s="20"/>
      <c r="L13" s="20"/>
      <c r="M13" s="20"/>
      <c r="Q13" s="20"/>
    </row>
    <row r="14" spans="1:22" ht="14.1" customHeight="1">
      <c r="D14" s="20"/>
      <c r="H14" s="18"/>
      <c r="I14" s="18"/>
      <c r="J14" s="20"/>
      <c r="K14" s="20"/>
      <c r="L14" s="20"/>
      <c r="M14" s="20"/>
      <c r="Q14" s="20"/>
    </row>
    <row r="15" spans="1:22" ht="14.1" customHeight="1">
      <c r="D15" s="20"/>
      <c r="H15" s="18"/>
      <c r="I15" s="18"/>
      <c r="J15" s="20"/>
      <c r="K15" s="20"/>
      <c r="L15" s="20"/>
      <c r="M15" s="20"/>
      <c r="Q15" s="20"/>
    </row>
    <row r="16" spans="1:22" ht="14.1" customHeight="1">
      <c r="D16" s="20"/>
      <c r="H16" s="18"/>
      <c r="I16" s="18"/>
      <c r="J16" s="20"/>
      <c r="K16" s="20"/>
      <c r="L16" s="20"/>
      <c r="M16" s="20"/>
      <c r="Q16" s="20"/>
    </row>
    <row r="17" spans="4:17" ht="14.1" customHeight="1">
      <c r="D17" s="20"/>
      <c r="H17" s="18"/>
      <c r="I17" s="18"/>
      <c r="J17" s="20"/>
      <c r="K17" s="20"/>
      <c r="L17" s="20"/>
      <c r="M17" s="20"/>
      <c r="Q17" s="20"/>
    </row>
    <row r="18" spans="4:17" ht="14.1" customHeight="1">
      <c r="D18" s="20"/>
      <c r="H18" s="18"/>
      <c r="I18" s="18"/>
      <c r="J18" s="20"/>
      <c r="K18" s="20"/>
      <c r="L18" s="20"/>
      <c r="M18" s="20"/>
      <c r="Q18" s="20"/>
    </row>
    <row r="19" spans="4:17" ht="14.1" customHeight="1">
      <c r="D19" s="20"/>
      <c r="H19" s="18"/>
      <c r="I19" s="18"/>
      <c r="J19" s="20"/>
      <c r="K19" s="20"/>
      <c r="L19" s="20"/>
      <c r="M19" s="20"/>
      <c r="Q19" s="20"/>
    </row>
    <row r="20" spans="4:17" ht="14.1" customHeight="1">
      <c r="D20" s="20"/>
      <c r="H20" s="18"/>
      <c r="I20" s="18"/>
      <c r="J20" s="20"/>
      <c r="L20" s="20"/>
      <c r="M20" s="20"/>
      <c r="Q20" s="20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197"/>
  <sheetViews>
    <sheetView rightToLeft="1" zoomScale="70" zoomScaleNormal="70" workbookViewId="0">
      <selection activeCell="F22" sqref="F22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19" t="s">
        <v>0</v>
      </c>
      <c r="B1" s="19" t="s">
        <v>1</v>
      </c>
      <c r="C1" s="19" t="s">
        <v>5</v>
      </c>
      <c r="D1" s="19" t="s">
        <v>238</v>
      </c>
      <c r="E1" s="19" t="s">
        <v>239</v>
      </c>
      <c r="F1" s="19" t="s">
        <v>240</v>
      </c>
      <c r="G1" s="19" t="s">
        <v>241</v>
      </c>
      <c r="H1" s="19" t="s">
        <v>242</v>
      </c>
      <c r="I1" s="19" t="s">
        <v>243</v>
      </c>
      <c r="J1" s="19" t="s">
        <v>11</v>
      </c>
      <c r="K1" s="19" t="s">
        <v>244</v>
      </c>
      <c r="L1" s="19" t="s">
        <v>245</v>
      </c>
      <c r="M1" s="19" t="s">
        <v>246</v>
      </c>
      <c r="N1" s="19" t="s">
        <v>247</v>
      </c>
      <c r="O1" s="19" t="s">
        <v>248</v>
      </c>
      <c r="P1" s="19" t="s">
        <v>249</v>
      </c>
      <c r="Q1" s="19" t="s">
        <v>250</v>
      </c>
    </row>
    <row r="2" spans="1:22" s="178" customFormat="1" ht="14.1" customHeight="1">
      <c r="A2" s="174">
        <v>424</v>
      </c>
      <c r="B2" s="174">
        <v>7228</v>
      </c>
      <c r="C2" s="174" t="s">
        <v>1069</v>
      </c>
      <c r="D2" s="174" t="s">
        <v>2672</v>
      </c>
      <c r="E2" s="174" t="s">
        <v>2941</v>
      </c>
      <c r="F2" s="174" t="s">
        <v>34</v>
      </c>
      <c r="G2" s="174" t="s">
        <v>2939</v>
      </c>
      <c r="H2" s="174">
        <v>60345527</v>
      </c>
      <c r="I2" s="174" t="s">
        <v>34</v>
      </c>
      <c r="J2" s="174" t="s">
        <v>99</v>
      </c>
      <c r="K2" s="175">
        <v>41364</v>
      </c>
      <c r="L2" s="176">
        <v>500000</v>
      </c>
      <c r="M2" s="176">
        <v>1879.5</v>
      </c>
      <c r="N2" s="176">
        <v>10000</v>
      </c>
      <c r="O2" s="176">
        <v>37.590000000000003</v>
      </c>
      <c r="P2" s="177">
        <v>0.02</v>
      </c>
      <c r="Q2" s="174"/>
      <c r="V2" s="179"/>
    </row>
    <row r="3" spans="1:22" s="178" customFormat="1" ht="14.1" customHeight="1">
      <c r="A3" s="174">
        <v>424</v>
      </c>
      <c r="B3" s="174">
        <v>7228</v>
      </c>
      <c r="C3" s="174" t="s">
        <v>1069</v>
      </c>
      <c r="D3" s="174" t="s">
        <v>2672</v>
      </c>
      <c r="E3" s="174" t="s">
        <v>2941</v>
      </c>
      <c r="F3" s="174" t="s">
        <v>34</v>
      </c>
      <c r="G3" s="174" t="s">
        <v>2672</v>
      </c>
      <c r="H3" s="174">
        <v>60401809</v>
      </c>
      <c r="I3" s="174" t="s">
        <v>34</v>
      </c>
      <c r="J3" s="174" t="s">
        <v>99</v>
      </c>
      <c r="K3" s="175">
        <v>42460</v>
      </c>
      <c r="L3" s="176">
        <v>800000</v>
      </c>
      <c r="M3" s="176">
        <v>3007.2</v>
      </c>
      <c r="N3" s="176">
        <v>8000</v>
      </c>
      <c r="O3" s="176">
        <v>30.071999999999999</v>
      </c>
      <c r="P3" s="177">
        <v>0.01</v>
      </c>
      <c r="Q3" s="174"/>
      <c r="V3" s="179"/>
    </row>
    <row r="4" spans="1:22" s="178" customFormat="1" ht="13.5" customHeight="1">
      <c r="A4" s="174">
        <v>424</v>
      </c>
      <c r="B4" s="174">
        <v>7228</v>
      </c>
      <c r="C4" s="174" t="s">
        <v>1069</v>
      </c>
      <c r="D4" s="174" t="s">
        <v>2954</v>
      </c>
      <c r="E4" s="174" t="s">
        <v>2955</v>
      </c>
      <c r="F4" s="174" t="s">
        <v>34</v>
      </c>
      <c r="G4" s="174" t="s">
        <v>2956</v>
      </c>
      <c r="H4" s="174">
        <v>9840809</v>
      </c>
      <c r="I4" s="174" t="s">
        <v>34</v>
      </c>
      <c r="J4" s="174" t="s">
        <v>99</v>
      </c>
      <c r="K4" s="175">
        <v>39172</v>
      </c>
      <c r="L4" s="176">
        <v>750000</v>
      </c>
      <c r="M4" s="176">
        <v>2819.25</v>
      </c>
      <c r="N4" s="176">
        <v>37500</v>
      </c>
      <c r="O4" s="176">
        <v>140.96250000000001</v>
      </c>
      <c r="P4" s="177">
        <v>0.05</v>
      </c>
      <c r="Q4" s="174"/>
      <c r="V4" s="179"/>
    </row>
    <row r="5" spans="1:22" s="178" customFormat="1" ht="13.5" customHeight="1">
      <c r="A5" s="174">
        <v>424</v>
      </c>
      <c r="B5" s="174">
        <v>7228</v>
      </c>
      <c r="C5" s="174" t="s">
        <v>1069</v>
      </c>
      <c r="D5" s="174" t="s">
        <v>3229</v>
      </c>
      <c r="E5" s="174" t="s">
        <v>3230</v>
      </c>
      <c r="F5" s="174" t="s">
        <v>34</v>
      </c>
      <c r="G5" s="174" t="s">
        <v>2906</v>
      </c>
      <c r="H5" s="174">
        <v>62006366</v>
      </c>
      <c r="I5" s="174" t="s">
        <v>34</v>
      </c>
      <c r="J5" s="174" t="s">
        <v>99</v>
      </c>
      <c r="K5" s="175">
        <v>43190</v>
      </c>
      <c r="L5" s="176">
        <v>400000</v>
      </c>
      <c r="M5" s="176">
        <v>1503.6</v>
      </c>
      <c r="N5" s="176">
        <v>36000</v>
      </c>
      <c r="O5" s="176">
        <v>135.32400000000001</v>
      </c>
      <c r="P5" s="177">
        <v>0.09</v>
      </c>
      <c r="Q5" s="174"/>
      <c r="V5" s="179"/>
    </row>
    <row r="6" spans="1:22" s="178" customFormat="1" ht="14.1" customHeight="1">
      <c r="A6" s="174">
        <v>424</v>
      </c>
      <c r="B6" s="174">
        <v>7228</v>
      </c>
      <c r="C6" s="174" t="s">
        <v>1069</v>
      </c>
      <c r="D6" s="174" t="s">
        <v>3231</v>
      </c>
      <c r="E6" s="174" t="s">
        <v>3232</v>
      </c>
      <c r="F6" s="174" t="s">
        <v>1376</v>
      </c>
      <c r="G6" s="174" t="s">
        <v>2971</v>
      </c>
      <c r="H6" s="174">
        <v>9840936</v>
      </c>
      <c r="I6" s="174" t="s">
        <v>34</v>
      </c>
      <c r="J6" s="174" t="s">
        <v>99</v>
      </c>
      <c r="K6" s="175">
        <v>39172</v>
      </c>
      <c r="L6" s="176">
        <v>600000</v>
      </c>
      <c r="M6" s="176">
        <v>2255.4</v>
      </c>
      <c r="N6" s="176">
        <v>12100</v>
      </c>
      <c r="O6" s="176">
        <v>45.483899999999998</v>
      </c>
      <c r="P6" s="177">
        <v>2.0166666666666666E-2</v>
      </c>
      <c r="Q6" s="174"/>
      <c r="V6" s="179"/>
    </row>
    <row r="7" spans="1:22" s="178" customFormat="1" ht="14.1" customHeight="1">
      <c r="A7" s="174">
        <v>424</v>
      </c>
      <c r="B7" s="174">
        <v>7228</v>
      </c>
      <c r="C7" s="174" t="s">
        <v>1069</v>
      </c>
      <c r="D7" s="174" t="s">
        <v>3233</v>
      </c>
      <c r="E7" s="174" t="s">
        <v>3234</v>
      </c>
      <c r="F7" s="174" t="s">
        <v>34</v>
      </c>
      <c r="G7" s="174" t="s">
        <v>2687</v>
      </c>
      <c r="H7" s="174">
        <v>62002785</v>
      </c>
      <c r="I7" s="174" t="s">
        <v>34</v>
      </c>
      <c r="J7" s="174" t="s">
        <v>99</v>
      </c>
      <c r="K7" s="175">
        <v>42825</v>
      </c>
      <c r="L7" s="176">
        <v>800000</v>
      </c>
      <c r="M7" s="176">
        <v>3007.2</v>
      </c>
      <c r="N7" s="176">
        <v>52000</v>
      </c>
      <c r="O7" s="176">
        <v>195.46799999999999</v>
      </c>
      <c r="P7" s="177">
        <v>6.5000000000000002E-2</v>
      </c>
      <c r="Q7" s="174"/>
      <c r="V7" s="179"/>
    </row>
    <row r="8" spans="1:22" s="178" customFormat="1" ht="14.1" customHeight="1">
      <c r="A8" s="174">
        <v>424</v>
      </c>
      <c r="B8" s="174">
        <v>7228</v>
      </c>
      <c r="C8" s="174" t="s">
        <v>1069</v>
      </c>
      <c r="D8" s="174" t="s">
        <v>3233</v>
      </c>
      <c r="E8" s="174" t="s">
        <v>3234</v>
      </c>
      <c r="F8" s="174" t="s">
        <v>34</v>
      </c>
      <c r="G8" s="174" t="s">
        <v>2689</v>
      </c>
      <c r="H8" s="174">
        <v>62017827</v>
      </c>
      <c r="I8" s="174" t="s">
        <v>34</v>
      </c>
      <c r="J8" s="174" t="s">
        <v>99</v>
      </c>
      <c r="K8" s="175">
        <v>44286</v>
      </c>
      <c r="L8" s="176">
        <v>600000</v>
      </c>
      <c r="M8" s="176">
        <v>2255.4</v>
      </c>
      <c r="N8" s="176">
        <v>109500</v>
      </c>
      <c r="O8" s="176">
        <v>411.6105</v>
      </c>
      <c r="P8" s="177">
        <v>0.1825</v>
      </c>
      <c r="Q8" s="174"/>
      <c r="V8" s="179"/>
    </row>
    <row r="9" spans="1:22" s="178" customFormat="1" ht="14.1" customHeight="1">
      <c r="A9" s="174">
        <v>424</v>
      </c>
      <c r="B9" s="174">
        <v>7228</v>
      </c>
      <c r="C9" s="174" t="s">
        <v>1069</v>
      </c>
      <c r="D9" s="174" t="s">
        <v>3235</v>
      </c>
      <c r="E9" s="174" t="s">
        <v>3236</v>
      </c>
      <c r="F9" s="174" t="s">
        <v>34</v>
      </c>
      <c r="G9" s="174" t="s">
        <v>2691</v>
      </c>
      <c r="H9" s="174">
        <v>62018247</v>
      </c>
      <c r="I9" s="174" t="s">
        <v>34</v>
      </c>
      <c r="J9" s="174" t="s">
        <v>99</v>
      </c>
      <c r="K9" s="175">
        <v>44286</v>
      </c>
      <c r="L9" s="176">
        <v>1200000</v>
      </c>
      <c r="M9" s="176">
        <v>4510.8</v>
      </c>
      <c r="N9" s="176">
        <v>312000</v>
      </c>
      <c r="O9" s="176">
        <v>1172.808</v>
      </c>
      <c r="P9" s="177">
        <v>0.26</v>
      </c>
      <c r="Q9" s="174"/>
      <c r="V9" s="179"/>
    </row>
    <row r="10" spans="1:22" s="178" customFormat="1" ht="14.1" customHeight="1">
      <c r="A10" s="174">
        <v>424</v>
      </c>
      <c r="B10" s="174">
        <v>7228</v>
      </c>
      <c r="C10" s="174" t="s">
        <v>1069</v>
      </c>
      <c r="D10" s="174" t="s">
        <v>2705</v>
      </c>
      <c r="E10" s="174">
        <v>0</v>
      </c>
      <c r="F10" s="174" t="s">
        <v>361</v>
      </c>
      <c r="G10" s="174" t="s">
        <v>2946</v>
      </c>
      <c r="H10" s="174">
        <v>60382116</v>
      </c>
      <c r="I10" s="174" t="s">
        <v>34</v>
      </c>
      <c r="J10" s="174" t="s">
        <v>99</v>
      </c>
      <c r="K10" s="175">
        <v>42094</v>
      </c>
      <c r="L10" s="176">
        <v>500000</v>
      </c>
      <c r="M10" s="176">
        <v>1879.5</v>
      </c>
      <c r="N10" s="176">
        <v>25000</v>
      </c>
      <c r="O10" s="176">
        <v>93.974999999999994</v>
      </c>
      <c r="P10" s="177">
        <v>0.05</v>
      </c>
      <c r="Q10" s="174"/>
      <c r="V10" s="179"/>
    </row>
    <row r="11" spans="1:22" s="178" customFormat="1" ht="14.1" customHeight="1">
      <c r="A11" s="174">
        <v>424</v>
      </c>
      <c r="B11" s="174">
        <v>7228</v>
      </c>
      <c r="C11" s="174" t="s">
        <v>1069</v>
      </c>
      <c r="D11" s="174" t="s">
        <v>2705</v>
      </c>
      <c r="E11" s="174">
        <v>0</v>
      </c>
      <c r="F11" s="174" t="s">
        <v>361</v>
      </c>
      <c r="G11" s="174" t="s">
        <v>2707</v>
      </c>
      <c r="H11" s="174">
        <v>62013024</v>
      </c>
      <c r="I11" s="174" t="s">
        <v>34</v>
      </c>
      <c r="J11" s="174" t="s">
        <v>99</v>
      </c>
      <c r="K11" s="175">
        <v>43555</v>
      </c>
      <c r="L11" s="176">
        <v>800000</v>
      </c>
      <c r="M11" s="176">
        <v>3007.2</v>
      </c>
      <c r="N11" s="176">
        <v>240000</v>
      </c>
      <c r="O11" s="176">
        <v>902.16</v>
      </c>
      <c r="P11" s="177">
        <v>0.3</v>
      </c>
      <c r="Q11" s="174"/>
    </row>
    <row r="12" spans="1:22" s="178" customFormat="1" ht="14.1" customHeight="1">
      <c r="A12" s="174">
        <v>424</v>
      </c>
      <c r="B12" s="174">
        <v>7228</v>
      </c>
      <c r="C12" s="174" t="s">
        <v>1069</v>
      </c>
      <c r="D12" s="174" t="s">
        <v>2648</v>
      </c>
      <c r="E12" s="174" t="s">
        <v>2649</v>
      </c>
      <c r="F12" s="174" t="s">
        <v>34</v>
      </c>
      <c r="G12" s="174" t="s">
        <v>2654</v>
      </c>
      <c r="H12" s="174">
        <v>62000563</v>
      </c>
      <c r="I12" s="174" t="s">
        <v>34</v>
      </c>
      <c r="J12" s="174" t="s">
        <v>99</v>
      </c>
      <c r="K12" s="175">
        <v>42825</v>
      </c>
      <c r="L12" s="176">
        <v>900000</v>
      </c>
      <c r="M12" s="176">
        <v>3383.1</v>
      </c>
      <c r="N12" s="176">
        <v>20250</v>
      </c>
      <c r="O12" s="176">
        <v>76.119749999999996</v>
      </c>
      <c r="P12" s="177">
        <v>2.2499999999999999E-2</v>
      </c>
      <c r="Q12" s="174"/>
    </row>
    <row r="13" spans="1:22" s="178" customFormat="1" ht="14.1" customHeight="1">
      <c r="A13" s="174">
        <v>424</v>
      </c>
      <c r="B13" s="174">
        <v>7228</v>
      </c>
      <c r="C13" s="174" t="s">
        <v>1069</v>
      </c>
      <c r="D13" s="174" t="s">
        <v>2648</v>
      </c>
      <c r="E13" s="174" t="s">
        <v>2649</v>
      </c>
      <c r="F13" s="174" t="s">
        <v>34</v>
      </c>
      <c r="G13" s="174" t="s">
        <v>2652</v>
      </c>
      <c r="H13" s="174">
        <v>62019724</v>
      </c>
      <c r="I13" s="174" t="s">
        <v>34</v>
      </c>
      <c r="J13" s="174" t="s">
        <v>99</v>
      </c>
      <c r="K13" s="175">
        <v>44286</v>
      </c>
      <c r="L13" s="176">
        <v>900000</v>
      </c>
      <c r="M13" s="176">
        <v>3383.1</v>
      </c>
      <c r="N13" s="176">
        <v>270000</v>
      </c>
      <c r="O13" s="176">
        <v>1014.93</v>
      </c>
      <c r="P13" s="177">
        <v>0.3</v>
      </c>
      <c r="Q13" s="174"/>
    </row>
    <row r="14" spans="1:22" s="178" customFormat="1" ht="14.1" customHeight="1">
      <c r="A14" s="174">
        <v>424</v>
      </c>
      <c r="B14" s="174">
        <v>7228</v>
      </c>
      <c r="C14" s="174" t="s">
        <v>1069</v>
      </c>
      <c r="D14" s="174" t="s">
        <v>2648</v>
      </c>
      <c r="E14" s="174" t="s">
        <v>2649</v>
      </c>
      <c r="F14" s="174" t="s">
        <v>34</v>
      </c>
      <c r="G14" s="174" t="s">
        <v>2681</v>
      </c>
      <c r="H14" s="174">
        <v>62013347</v>
      </c>
      <c r="I14" s="174" t="s">
        <v>34</v>
      </c>
      <c r="J14" s="174" t="s">
        <v>99</v>
      </c>
      <c r="K14" s="175">
        <v>43555</v>
      </c>
      <c r="L14" s="176">
        <v>800000</v>
      </c>
      <c r="M14" s="176">
        <v>3007.2</v>
      </c>
      <c r="N14" s="176">
        <v>20445</v>
      </c>
      <c r="O14" s="176">
        <v>76.852755000000002</v>
      </c>
      <c r="P14" s="177">
        <v>2.5556249999999999E-2</v>
      </c>
      <c r="Q14" s="174"/>
    </row>
    <row r="15" spans="1:22" s="178" customFormat="1" ht="14.1" customHeight="1">
      <c r="A15" s="174">
        <v>424</v>
      </c>
      <c r="B15" s="174">
        <v>7228</v>
      </c>
      <c r="C15" s="174" t="s">
        <v>1069</v>
      </c>
      <c r="D15" s="174" t="s">
        <v>2732</v>
      </c>
      <c r="E15" s="174">
        <v>0</v>
      </c>
      <c r="F15" s="174" t="s">
        <v>203</v>
      </c>
      <c r="G15" s="174" t="s">
        <v>2952</v>
      </c>
      <c r="H15" s="174">
        <v>60335908</v>
      </c>
      <c r="I15" s="174" t="s">
        <v>34</v>
      </c>
      <c r="J15" s="174" t="s">
        <v>99</v>
      </c>
      <c r="K15" s="175">
        <v>41364</v>
      </c>
      <c r="L15" s="176">
        <v>500000</v>
      </c>
      <c r="M15" s="176">
        <v>1879.5</v>
      </c>
      <c r="N15" s="176">
        <v>20026</v>
      </c>
      <c r="O15" s="176">
        <v>75.277733999999995</v>
      </c>
      <c r="P15" s="177">
        <v>4.0051999999999997E-2</v>
      </c>
      <c r="Q15" s="174"/>
    </row>
    <row r="16" spans="1:22" s="178" customFormat="1" ht="14.1" customHeight="1">
      <c r="A16" s="174">
        <v>424</v>
      </c>
      <c r="B16" s="174">
        <v>7228</v>
      </c>
      <c r="C16" s="174" t="s">
        <v>1069</v>
      </c>
      <c r="D16" s="174" t="s">
        <v>2732</v>
      </c>
      <c r="E16" s="174">
        <v>0</v>
      </c>
      <c r="F16" s="174" t="s">
        <v>203</v>
      </c>
      <c r="G16" s="174" t="s">
        <v>2711</v>
      </c>
      <c r="H16" s="174">
        <v>60406600</v>
      </c>
      <c r="I16" s="174" t="s">
        <v>34</v>
      </c>
      <c r="J16" s="174" t="s">
        <v>99</v>
      </c>
      <c r="K16" s="175">
        <v>42460</v>
      </c>
      <c r="L16" s="176">
        <v>1000000</v>
      </c>
      <c r="M16" s="176">
        <v>3759</v>
      </c>
      <c r="N16" s="176">
        <v>79979</v>
      </c>
      <c r="O16" s="176">
        <v>300.64106099999998</v>
      </c>
      <c r="P16" s="177">
        <v>7.9978999999999995E-2</v>
      </c>
      <c r="Q16" s="174"/>
    </row>
    <row r="17" spans="1:17" s="178" customFormat="1" ht="14.1" customHeight="1">
      <c r="A17" s="174">
        <v>424</v>
      </c>
      <c r="B17" s="174">
        <v>7228</v>
      </c>
      <c r="C17" s="174" t="s">
        <v>1069</v>
      </c>
      <c r="D17" s="174" t="s">
        <v>2732</v>
      </c>
      <c r="E17" s="174">
        <v>0</v>
      </c>
      <c r="F17" s="174" t="s">
        <v>203</v>
      </c>
      <c r="G17" s="174" t="s">
        <v>2735</v>
      </c>
      <c r="H17" s="174">
        <v>62007349</v>
      </c>
      <c r="I17" s="174" t="s">
        <v>34</v>
      </c>
      <c r="J17" s="174" t="s">
        <v>99</v>
      </c>
      <c r="K17" s="175">
        <v>43190</v>
      </c>
      <c r="L17" s="176">
        <v>800000</v>
      </c>
      <c r="M17" s="176">
        <v>3007.2</v>
      </c>
      <c r="N17" s="176">
        <v>79999</v>
      </c>
      <c r="O17" s="176">
        <v>300.71624099999997</v>
      </c>
      <c r="P17" s="177">
        <v>9.9998749999999997E-2</v>
      </c>
      <c r="Q17" s="174"/>
    </row>
    <row r="18" spans="1:17" s="178" customFormat="1" ht="14.1" customHeight="1">
      <c r="A18" s="174">
        <v>424</v>
      </c>
      <c r="B18" s="174">
        <v>7228</v>
      </c>
      <c r="C18" s="174" t="s">
        <v>1069</v>
      </c>
      <c r="D18" s="174" t="s">
        <v>2732</v>
      </c>
      <c r="E18" s="174">
        <v>0</v>
      </c>
      <c r="F18" s="174" t="s">
        <v>203</v>
      </c>
      <c r="G18" s="174" t="s">
        <v>2739</v>
      </c>
      <c r="H18" s="174">
        <v>62020755</v>
      </c>
      <c r="I18" s="174" t="s">
        <v>34</v>
      </c>
      <c r="J18" s="174" t="s">
        <v>99</v>
      </c>
      <c r="K18" s="175">
        <v>44651</v>
      </c>
      <c r="L18" s="176">
        <v>1600000</v>
      </c>
      <c r="M18" s="176">
        <v>6014.4</v>
      </c>
      <c r="N18" s="176">
        <v>1240000</v>
      </c>
      <c r="O18" s="176">
        <v>4661.16</v>
      </c>
      <c r="P18" s="177">
        <v>0.77500000000000002</v>
      </c>
      <c r="Q18" s="174"/>
    </row>
    <row r="19" spans="1:17" s="178" customFormat="1" ht="14.1" customHeight="1">
      <c r="A19" s="174">
        <v>424</v>
      </c>
      <c r="B19" s="174">
        <v>7228</v>
      </c>
      <c r="C19" s="174" t="s">
        <v>1069</v>
      </c>
      <c r="D19" s="174" t="s">
        <v>2732</v>
      </c>
      <c r="E19" s="174">
        <v>0</v>
      </c>
      <c r="F19" s="174" t="s">
        <v>203</v>
      </c>
      <c r="G19" s="174" t="s">
        <v>2715</v>
      </c>
      <c r="H19" s="174">
        <v>62009048</v>
      </c>
      <c r="I19" s="174" t="s">
        <v>34</v>
      </c>
      <c r="J19" s="174" t="s">
        <v>99</v>
      </c>
      <c r="K19" s="175">
        <v>43190</v>
      </c>
      <c r="L19" s="176">
        <v>800000</v>
      </c>
      <c r="M19" s="176">
        <v>3007.2</v>
      </c>
      <c r="N19" s="176">
        <v>36000</v>
      </c>
      <c r="O19" s="176">
        <v>135.32400000000001</v>
      </c>
      <c r="P19" s="177">
        <v>4.4999999999999998E-2</v>
      </c>
      <c r="Q19" s="174"/>
    </row>
    <row r="20" spans="1:17" s="178" customFormat="1" ht="14.1" customHeight="1">
      <c r="A20" s="174">
        <v>424</v>
      </c>
      <c r="B20" s="174">
        <v>7228</v>
      </c>
      <c r="C20" s="174" t="s">
        <v>1069</v>
      </c>
      <c r="D20" s="174" t="s">
        <v>2732</v>
      </c>
      <c r="E20" s="174">
        <v>0</v>
      </c>
      <c r="F20" s="174" t="s">
        <v>203</v>
      </c>
      <c r="G20" s="174" t="s">
        <v>2733</v>
      </c>
      <c r="H20" s="174">
        <v>62015151</v>
      </c>
      <c r="I20" s="174" t="s">
        <v>34</v>
      </c>
      <c r="J20" s="174" t="s">
        <v>99</v>
      </c>
      <c r="K20" s="175">
        <v>43921</v>
      </c>
      <c r="L20" s="176">
        <v>1000000</v>
      </c>
      <c r="M20" s="176">
        <v>3759</v>
      </c>
      <c r="N20" s="176">
        <v>305000</v>
      </c>
      <c r="O20" s="176">
        <v>1146.4949999999999</v>
      </c>
      <c r="P20" s="177">
        <v>0.30499999999999999</v>
      </c>
      <c r="Q20" s="174"/>
    </row>
    <row r="21" spans="1:17" s="178" customFormat="1" ht="14.1" customHeight="1">
      <c r="A21" s="174">
        <v>424</v>
      </c>
      <c r="B21" s="174">
        <v>7228</v>
      </c>
      <c r="C21" s="174" t="s">
        <v>1069</v>
      </c>
      <c r="D21" s="174" t="s">
        <v>2732</v>
      </c>
      <c r="E21" s="174">
        <v>0</v>
      </c>
      <c r="F21" s="174" t="s">
        <v>203</v>
      </c>
      <c r="G21" s="174" t="s">
        <v>2719</v>
      </c>
      <c r="H21" s="174">
        <v>62015334</v>
      </c>
      <c r="I21" s="174" t="s">
        <v>34</v>
      </c>
      <c r="J21" s="174" t="s">
        <v>99</v>
      </c>
      <c r="K21" s="175">
        <v>43921</v>
      </c>
      <c r="L21" s="176">
        <v>1200000</v>
      </c>
      <c r="M21" s="176">
        <v>4510.8</v>
      </c>
      <c r="N21" s="176">
        <v>180000</v>
      </c>
      <c r="O21" s="176">
        <v>676.62</v>
      </c>
      <c r="P21" s="177">
        <v>0.15</v>
      </c>
      <c r="Q21" s="174"/>
    </row>
    <row r="22" spans="1:17" s="178" customFormat="1" ht="14.1" customHeight="1">
      <c r="A22" s="174">
        <v>424</v>
      </c>
      <c r="B22" s="174">
        <v>7228</v>
      </c>
      <c r="C22" s="174" t="s">
        <v>1069</v>
      </c>
      <c r="D22" s="174" t="s">
        <v>2732</v>
      </c>
      <c r="E22" s="174">
        <v>0</v>
      </c>
      <c r="F22" s="174" t="s">
        <v>203</v>
      </c>
      <c r="G22" s="174" t="s">
        <v>2723</v>
      </c>
      <c r="H22" s="174">
        <v>62017835</v>
      </c>
      <c r="I22" s="174" t="s">
        <v>34</v>
      </c>
      <c r="J22" s="174" t="s">
        <v>99</v>
      </c>
      <c r="K22" s="175">
        <v>44286</v>
      </c>
      <c r="L22" s="176">
        <v>800000</v>
      </c>
      <c r="M22" s="176">
        <v>3007.2</v>
      </c>
      <c r="N22" s="176">
        <v>160000</v>
      </c>
      <c r="O22" s="176">
        <v>601.44000000000005</v>
      </c>
      <c r="P22" s="177">
        <v>0.2</v>
      </c>
      <c r="Q22" s="174"/>
    </row>
    <row r="23" spans="1:17" s="178" customFormat="1" ht="14.1" customHeight="1">
      <c r="A23" s="174">
        <v>424</v>
      </c>
      <c r="B23" s="174">
        <v>7228</v>
      </c>
      <c r="C23" s="174" t="s">
        <v>1069</v>
      </c>
      <c r="D23" s="174" t="s">
        <v>2732</v>
      </c>
      <c r="E23" s="174">
        <v>0</v>
      </c>
      <c r="F23" s="174" t="s">
        <v>203</v>
      </c>
      <c r="G23" s="174" t="s">
        <v>2726</v>
      </c>
      <c r="H23" s="174">
        <v>62020011</v>
      </c>
      <c r="I23" s="174" t="s">
        <v>34</v>
      </c>
      <c r="J23" s="174" t="s">
        <v>99</v>
      </c>
      <c r="K23" s="175">
        <v>44561</v>
      </c>
      <c r="L23" s="176">
        <v>1200000</v>
      </c>
      <c r="M23" s="176">
        <v>4510.8</v>
      </c>
      <c r="N23" s="176">
        <v>702000</v>
      </c>
      <c r="O23" s="176">
        <v>2638.8180000000002</v>
      </c>
      <c r="P23" s="177">
        <v>0.58499999999999996</v>
      </c>
      <c r="Q23" s="174"/>
    </row>
    <row r="24" spans="1:17" s="178" customFormat="1" ht="14.1" customHeight="1">
      <c r="A24" s="174">
        <v>424</v>
      </c>
      <c r="B24" s="174">
        <v>7228</v>
      </c>
      <c r="C24" s="174" t="s">
        <v>1069</v>
      </c>
      <c r="D24" s="174" t="s">
        <v>2732</v>
      </c>
      <c r="E24" s="174">
        <v>0</v>
      </c>
      <c r="F24" s="174" t="s">
        <v>203</v>
      </c>
      <c r="G24" s="174" t="s">
        <v>2730</v>
      </c>
      <c r="H24" s="174">
        <v>62020748</v>
      </c>
      <c r="I24" s="174" t="s">
        <v>34</v>
      </c>
      <c r="J24" s="174" t="s">
        <v>99</v>
      </c>
      <c r="K24" s="175">
        <v>44834</v>
      </c>
      <c r="L24" s="176">
        <v>1250000</v>
      </c>
      <c r="M24" s="176">
        <v>4698.75</v>
      </c>
      <c r="N24" s="176">
        <v>1050000</v>
      </c>
      <c r="O24" s="176">
        <v>3946.95</v>
      </c>
      <c r="P24" s="177">
        <v>0.84</v>
      </c>
      <c r="Q24" s="174"/>
    </row>
    <row r="25" spans="1:17" s="178" customFormat="1" ht="14.1" customHeight="1">
      <c r="A25" s="174">
        <v>424</v>
      </c>
      <c r="B25" s="174">
        <v>7228</v>
      </c>
      <c r="C25" s="174" t="s">
        <v>1069</v>
      </c>
      <c r="D25" s="174" t="s">
        <v>2732</v>
      </c>
      <c r="E25" s="174">
        <v>0</v>
      </c>
      <c r="F25" s="174" t="s">
        <v>203</v>
      </c>
      <c r="G25" s="174" t="s">
        <v>2922</v>
      </c>
      <c r="H25" s="174">
        <v>62020995</v>
      </c>
      <c r="I25" s="174" t="s">
        <v>34</v>
      </c>
      <c r="J25" s="174" t="s">
        <v>99</v>
      </c>
      <c r="K25" s="175">
        <v>44834</v>
      </c>
      <c r="L25" s="176">
        <v>1250000</v>
      </c>
      <c r="M25" s="176">
        <v>4698.75</v>
      </c>
      <c r="N25" s="176">
        <v>1025000</v>
      </c>
      <c r="O25" s="176">
        <v>3852.9749999999999</v>
      </c>
      <c r="P25" s="177">
        <v>0.82</v>
      </c>
      <c r="Q25" s="174"/>
    </row>
    <row r="26" spans="1:17" s="178" customFormat="1" ht="14.1" customHeight="1">
      <c r="A26" s="174">
        <v>424</v>
      </c>
      <c r="B26" s="174">
        <v>7228</v>
      </c>
      <c r="C26" s="174" t="s">
        <v>1069</v>
      </c>
      <c r="D26" s="174" t="s">
        <v>3237</v>
      </c>
      <c r="E26" s="174" t="s">
        <v>3238</v>
      </c>
      <c r="F26" s="174" t="s">
        <v>1376</v>
      </c>
      <c r="G26" s="174" t="s">
        <v>2865</v>
      </c>
      <c r="H26" s="174">
        <v>62020953</v>
      </c>
      <c r="I26" s="174" t="s">
        <v>34</v>
      </c>
      <c r="J26" s="174" t="s">
        <v>99</v>
      </c>
      <c r="K26" s="175">
        <v>44651</v>
      </c>
      <c r="L26" s="176">
        <v>1800000</v>
      </c>
      <c r="M26" s="176">
        <v>6766.2</v>
      </c>
      <c r="N26" s="176">
        <v>900000</v>
      </c>
      <c r="O26" s="176">
        <v>3383.1</v>
      </c>
      <c r="P26" s="177">
        <v>0.5</v>
      </c>
      <c r="Q26" s="174"/>
    </row>
    <row r="27" spans="1:17" s="178" customFormat="1" ht="14.1" customHeight="1">
      <c r="A27" s="174">
        <v>424</v>
      </c>
      <c r="B27" s="174">
        <v>7228</v>
      </c>
      <c r="C27" s="174" t="s">
        <v>1069</v>
      </c>
      <c r="D27" s="174" t="s">
        <v>3239</v>
      </c>
      <c r="E27" s="174" t="s">
        <v>2645</v>
      </c>
      <c r="F27" s="174" t="s">
        <v>34</v>
      </c>
      <c r="G27" s="174" t="s">
        <v>2962</v>
      </c>
      <c r="H27" s="174">
        <v>9840906</v>
      </c>
      <c r="I27" s="174" t="s">
        <v>34</v>
      </c>
      <c r="J27" s="174" t="s">
        <v>99</v>
      </c>
      <c r="K27" s="175">
        <v>38442</v>
      </c>
      <c r="L27" s="176">
        <v>1000000</v>
      </c>
      <c r="M27" s="176">
        <v>3759</v>
      </c>
      <c r="N27" s="176">
        <v>113280</v>
      </c>
      <c r="O27" s="176">
        <v>425.81951999999995</v>
      </c>
      <c r="P27" s="177">
        <v>0.11328000000000001</v>
      </c>
      <c r="Q27" s="174"/>
    </row>
    <row r="28" spans="1:17" s="178" customFormat="1" ht="14.1" customHeight="1">
      <c r="A28" s="174">
        <v>424</v>
      </c>
      <c r="B28" s="174">
        <v>7228</v>
      </c>
      <c r="C28" s="174" t="s">
        <v>1069</v>
      </c>
      <c r="D28" s="174" t="s">
        <v>3239</v>
      </c>
      <c r="E28" s="174" t="s">
        <v>2645</v>
      </c>
      <c r="F28" s="174" t="s">
        <v>34</v>
      </c>
      <c r="G28" s="174" t="s">
        <v>2930</v>
      </c>
      <c r="H28" s="174">
        <v>60305448</v>
      </c>
      <c r="I28" s="174" t="s">
        <v>34</v>
      </c>
      <c r="J28" s="174" t="s">
        <v>99</v>
      </c>
      <c r="K28" s="175">
        <v>40999</v>
      </c>
      <c r="L28" s="176">
        <v>2000000</v>
      </c>
      <c r="M28" s="176">
        <v>7518</v>
      </c>
      <c r="N28" s="176">
        <v>180567</v>
      </c>
      <c r="O28" s="176">
        <v>678.75135299999999</v>
      </c>
      <c r="P28" s="177">
        <v>9.0283500000000003E-2</v>
      </c>
      <c r="Q28" s="174"/>
    </row>
    <row r="29" spans="1:17" s="178" customFormat="1" ht="14.1" customHeight="1">
      <c r="A29" s="174">
        <v>424</v>
      </c>
      <c r="B29" s="174">
        <v>7228</v>
      </c>
      <c r="C29" s="174" t="s">
        <v>1069</v>
      </c>
      <c r="D29" s="174" t="s">
        <v>3239</v>
      </c>
      <c r="E29" s="174" t="s">
        <v>2645</v>
      </c>
      <c r="F29" s="174" t="s">
        <v>34</v>
      </c>
      <c r="G29" s="174" t="s">
        <v>2751</v>
      </c>
      <c r="H29" s="174">
        <v>60400892</v>
      </c>
      <c r="I29" s="174" t="s">
        <v>34</v>
      </c>
      <c r="J29" s="174" t="s">
        <v>99</v>
      </c>
      <c r="K29" s="175">
        <v>42460</v>
      </c>
      <c r="L29" s="176">
        <v>2000000</v>
      </c>
      <c r="M29" s="176">
        <v>7518</v>
      </c>
      <c r="N29" s="176">
        <v>214547</v>
      </c>
      <c r="O29" s="176">
        <v>806.48217299999999</v>
      </c>
      <c r="P29" s="177">
        <v>0.10727349999999999</v>
      </c>
      <c r="Q29" s="174"/>
    </row>
    <row r="30" spans="1:17" s="178" customFormat="1" ht="14.1" customHeight="1">
      <c r="A30" s="174">
        <v>424</v>
      </c>
      <c r="B30" s="174">
        <v>7228</v>
      </c>
      <c r="C30" s="174" t="s">
        <v>1069</v>
      </c>
      <c r="D30" s="174" t="s">
        <v>3239</v>
      </c>
      <c r="E30" s="174" t="s">
        <v>2645</v>
      </c>
      <c r="F30" s="174" t="s">
        <v>34</v>
      </c>
      <c r="G30" s="174" t="s">
        <v>2646</v>
      </c>
      <c r="H30" s="174">
        <v>62018312</v>
      </c>
      <c r="I30" s="174" t="s">
        <v>34</v>
      </c>
      <c r="J30" s="174" t="s">
        <v>99</v>
      </c>
      <c r="K30" s="175">
        <v>44286</v>
      </c>
      <c r="L30" s="176">
        <v>2000000</v>
      </c>
      <c r="M30" s="176">
        <v>7518</v>
      </c>
      <c r="N30" s="176">
        <v>1304000</v>
      </c>
      <c r="O30" s="176">
        <v>4901.7359999999999</v>
      </c>
      <c r="P30" s="177">
        <v>0.65200000000000002</v>
      </c>
      <c r="Q30" s="174"/>
    </row>
    <row r="31" spans="1:17" s="178" customFormat="1" ht="14.1" customHeight="1">
      <c r="A31" s="174">
        <v>424</v>
      </c>
      <c r="B31" s="174">
        <v>7228</v>
      </c>
      <c r="C31" s="174" t="s">
        <v>1069</v>
      </c>
      <c r="D31" s="174" t="s">
        <v>3240</v>
      </c>
      <c r="E31" s="174" t="s">
        <v>3241</v>
      </c>
      <c r="F31" s="174" t="s">
        <v>1376</v>
      </c>
      <c r="G31" s="174" t="s">
        <v>2977</v>
      </c>
      <c r="H31" s="174">
        <v>9840947</v>
      </c>
      <c r="I31" s="174" t="s">
        <v>34</v>
      </c>
      <c r="J31" s="174" t="s">
        <v>99</v>
      </c>
      <c r="K31" s="175">
        <v>38442</v>
      </c>
      <c r="L31" s="176">
        <v>1000000</v>
      </c>
      <c r="M31" s="176">
        <v>3759</v>
      </c>
      <c r="N31" s="176">
        <v>64979</v>
      </c>
      <c r="O31" s="176">
        <v>244.25606099999999</v>
      </c>
      <c r="P31" s="177">
        <v>6.4978999999999995E-2</v>
      </c>
      <c r="Q31" s="174"/>
    </row>
    <row r="32" spans="1:17" s="178" customFormat="1" ht="14.1" customHeight="1">
      <c r="A32" s="174">
        <v>424</v>
      </c>
      <c r="B32" s="174">
        <v>7228</v>
      </c>
      <c r="C32" s="174" t="s">
        <v>1069</v>
      </c>
      <c r="D32" s="174" t="s">
        <v>2666</v>
      </c>
      <c r="E32" s="174" t="s">
        <v>2932</v>
      </c>
      <c r="F32" s="174" t="s">
        <v>34</v>
      </c>
      <c r="G32" s="174" t="s">
        <v>2933</v>
      </c>
      <c r="H32" s="174">
        <v>60283439</v>
      </c>
      <c r="I32" s="174" t="s">
        <v>34</v>
      </c>
      <c r="J32" s="174" t="s">
        <v>99</v>
      </c>
      <c r="K32" s="175">
        <v>40633</v>
      </c>
      <c r="L32" s="176">
        <v>1000000</v>
      </c>
      <c r="M32" s="176">
        <v>3759</v>
      </c>
      <c r="N32" s="176">
        <v>10000</v>
      </c>
      <c r="O32" s="176">
        <v>37.590000000000003</v>
      </c>
      <c r="P32" s="177">
        <v>0.01</v>
      </c>
      <c r="Q32" s="174"/>
    </row>
    <row r="33" spans="1:17" s="178" customFormat="1" ht="14.1" customHeight="1">
      <c r="A33" s="174">
        <v>424</v>
      </c>
      <c r="B33" s="174">
        <v>7228</v>
      </c>
      <c r="C33" s="174" t="s">
        <v>1069</v>
      </c>
      <c r="D33" s="174" t="s">
        <v>2666</v>
      </c>
      <c r="E33" s="174" t="s">
        <v>2932</v>
      </c>
      <c r="F33" s="174" t="s">
        <v>34</v>
      </c>
      <c r="G33" s="174" t="s">
        <v>2666</v>
      </c>
      <c r="H33" s="174">
        <v>62017538</v>
      </c>
      <c r="I33" s="174" t="s">
        <v>34</v>
      </c>
      <c r="J33" s="174" t="s">
        <v>99</v>
      </c>
      <c r="K33" s="175">
        <v>43921</v>
      </c>
      <c r="L33" s="176">
        <v>4600000</v>
      </c>
      <c r="M33" s="176">
        <v>17291.400000000001</v>
      </c>
      <c r="N33" s="176">
        <v>782000</v>
      </c>
      <c r="O33" s="176">
        <v>2939.538</v>
      </c>
      <c r="P33" s="177">
        <v>0.17</v>
      </c>
      <c r="Q33" s="174"/>
    </row>
    <row r="34" spans="1:17" s="178" customFormat="1" ht="14.1" customHeight="1">
      <c r="A34" s="174">
        <v>424</v>
      </c>
      <c r="B34" s="174">
        <v>7228</v>
      </c>
      <c r="C34" s="174" t="s">
        <v>1069</v>
      </c>
      <c r="D34" s="174" t="s">
        <v>3242</v>
      </c>
      <c r="E34" s="174" t="s">
        <v>3243</v>
      </c>
      <c r="F34" s="174" t="s">
        <v>1376</v>
      </c>
      <c r="G34" s="174" t="s">
        <v>2926</v>
      </c>
      <c r="H34" s="174">
        <v>9840847</v>
      </c>
      <c r="I34" s="174" t="s">
        <v>34</v>
      </c>
      <c r="J34" s="174" t="s">
        <v>99</v>
      </c>
      <c r="K34" s="175">
        <v>38442</v>
      </c>
      <c r="L34" s="176">
        <v>500000</v>
      </c>
      <c r="M34" s="176">
        <v>1879.5</v>
      </c>
      <c r="N34" s="176">
        <v>20000</v>
      </c>
      <c r="O34" s="176">
        <v>75.180000000000007</v>
      </c>
      <c r="P34" s="177">
        <v>0.04</v>
      </c>
      <c r="Q34" s="174"/>
    </row>
    <row r="35" spans="1:17" s="178" customFormat="1" ht="14.1" customHeight="1">
      <c r="A35" s="174">
        <v>424</v>
      </c>
      <c r="B35" s="174">
        <v>7228</v>
      </c>
      <c r="C35" s="174" t="s">
        <v>1069</v>
      </c>
      <c r="D35" s="174" t="s">
        <v>3244</v>
      </c>
      <c r="E35" s="174" t="s">
        <v>3245</v>
      </c>
      <c r="F35" s="174" t="s">
        <v>361</v>
      </c>
      <c r="G35" s="174" t="s">
        <v>2945</v>
      </c>
      <c r="H35" s="174">
        <v>60346871</v>
      </c>
      <c r="I35" s="174" t="s">
        <v>34</v>
      </c>
      <c r="J35" s="174" t="s">
        <v>99</v>
      </c>
      <c r="K35" s="175">
        <v>41729</v>
      </c>
      <c r="L35" s="176">
        <v>500000</v>
      </c>
      <c r="M35" s="176">
        <v>1879.5</v>
      </c>
      <c r="N35" s="176">
        <v>43279</v>
      </c>
      <c r="O35" s="176">
        <v>162.68576099999999</v>
      </c>
      <c r="P35" s="177">
        <v>8.6557999999999996E-2</v>
      </c>
      <c r="Q35" s="174"/>
    </row>
    <row r="36" spans="1:17" s="178" customFormat="1" ht="14.1" customHeight="1">
      <c r="A36" s="174">
        <v>424</v>
      </c>
      <c r="B36" s="174">
        <v>7228</v>
      </c>
      <c r="C36" s="174" t="s">
        <v>1069</v>
      </c>
      <c r="D36" s="174" t="s">
        <v>3246</v>
      </c>
      <c r="E36" s="174" t="s">
        <v>2793</v>
      </c>
      <c r="F36" s="174" t="s">
        <v>361</v>
      </c>
      <c r="G36" s="174" t="s">
        <v>2786</v>
      </c>
      <c r="H36" s="174">
        <v>60419041</v>
      </c>
      <c r="I36" s="174" t="s">
        <v>34</v>
      </c>
      <c r="J36" s="174" t="s">
        <v>99</v>
      </c>
      <c r="K36" s="175">
        <v>42460</v>
      </c>
      <c r="L36" s="176">
        <v>1000000</v>
      </c>
      <c r="M36" s="176">
        <v>3759</v>
      </c>
      <c r="N36" s="176">
        <v>100000</v>
      </c>
      <c r="O36" s="176">
        <v>375.9</v>
      </c>
      <c r="P36" s="177">
        <v>0.1</v>
      </c>
      <c r="Q36" s="174"/>
    </row>
    <row r="37" spans="1:17" s="178" customFormat="1" ht="14.1" customHeight="1">
      <c r="A37" s="174">
        <v>424</v>
      </c>
      <c r="B37" s="174">
        <v>7228</v>
      </c>
      <c r="C37" s="174" t="s">
        <v>1069</v>
      </c>
      <c r="D37" s="174" t="s">
        <v>3246</v>
      </c>
      <c r="E37" s="174" t="s">
        <v>2793</v>
      </c>
      <c r="F37" s="174" t="s">
        <v>361</v>
      </c>
      <c r="G37" s="174" t="s">
        <v>2790</v>
      </c>
      <c r="H37" s="174">
        <v>62016654</v>
      </c>
      <c r="I37" s="174" t="s">
        <v>34</v>
      </c>
      <c r="J37" s="174" t="s">
        <v>99</v>
      </c>
      <c r="K37" s="175">
        <v>43921</v>
      </c>
      <c r="L37" s="176">
        <v>2250000</v>
      </c>
      <c r="M37" s="176">
        <v>8457.75</v>
      </c>
      <c r="N37" s="176">
        <v>517500</v>
      </c>
      <c r="O37" s="176">
        <v>1945.2825</v>
      </c>
      <c r="P37" s="177">
        <v>0.23</v>
      </c>
      <c r="Q37" s="174"/>
    </row>
    <row r="38" spans="1:17" s="178" customFormat="1" ht="14.1" customHeight="1">
      <c r="A38" s="174">
        <v>424</v>
      </c>
      <c r="B38" s="174">
        <v>7228</v>
      </c>
      <c r="C38" s="174" t="s">
        <v>1069</v>
      </c>
      <c r="D38" s="174" t="s">
        <v>3247</v>
      </c>
      <c r="E38" s="174" t="s">
        <v>3248</v>
      </c>
      <c r="F38" s="174" t="s">
        <v>34</v>
      </c>
      <c r="G38" s="174" t="s">
        <v>2794</v>
      </c>
      <c r="H38" s="174">
        <v>62021241</v>
      </c>
      <c r="I38" s="174" t="s">
        <v>34</v>
      </c>
      <c r="J38" s="174" t="s">
        <v>99</v>
      </c>
      <c r="K38" s="175">
        <v>45016</v>
      </c>
      <c r="L38" s="176">
        <v>1600000</v>
      </c>
      <c r="M38" s="176">
        <v>6014.4</v>
      </c>
      <c r="N38" s="176">
        <v>1296000</v>
      </c>
      <c r="O38" s="176">
        <v>4871.6639999999998</v>
      </c>
      <c r="P38" s="177">
        <v>0.81</v>
      </c>
      <c r="Q38" s="174"/>
    </row>
    <row r="39" spans="1:17" s="178" customFormat="1" ht="14.1" customHeight="1">
      <c r="A39" s="174">
        <v>424</v>
      </c>
      <c r="B39" s="174">
        <v>7228</v>
      </c>
      <c r="C39" s="174" t="s">
        <v>1069</v>
      </c>
      <c r="D39" s="174" t="s">
        <v>3249</v>
      </c>
      <c r="E39" s="174" t="s">
        <v>3250</v>
      </c>
      <c r="F39" s="174" t="s">
        <v>34</v>
      </c>
      <c r="G39" s="174" t="s">
        <v>2824</v>
      </c>
      <c r="H39" s="174">
        <v>62003800</v>
      </c>
      <c r="I39" s="174" t="s">
        <v>34</v>
      </c>
      <c r="J39" s="174" t="s">
        <v>99</v>
      </c>
      <c r="K39" s="175">
        <v>43008</v>
      </c>
      <c r="L39" s="176">
        <v>3000000</v>
      </c>
      <c r="M39" s="176">
        <v>11277</v>
      </c>
      <c r="N39" s="176">
        <v>540000</v>
      </c>
      <c r="O39" s="176">
        <v>2029.86</v>
      </c>
      <c r="P39" s="177">
        <v>0.18</v>
      </c>
      <c r="Q39" s="174"/>
    </row>
    <row r="40" spans="1:17" s="178" customFormat="1" ht="14.1" customHeight="1">
      <c r="A40" s="174">
        <v>424</v>
      </c>
      <c r="B40" s="174">
        <v>7228</v>
      </c>
      <c r="C40" s="174" t="s">
        <v>1069</v>
      </c>
      <c r="D40" s="174" t="s">
        <v>3249</v>
      </c>
      <c r="E40" s="174" t="s">
        <v>3250</v>
      </c>
      <c r="F40" s="174" t="s">
        <v>34</v>
      </c>
      <c r="G40" s="174" t="s">
        <v>2826</v>
      </c>
      <c r="H40" s="174">
        <v>620101031</v>
      </c>
      <c r="I40" s="174" t="s">
        <v>34</v>
      </c>
      <c r="J40" s="174" t="s">
        <v>99</v>
      </c>
      <c r="K40" s="175">
        <v>43190</v>
      </c>
      <c r="L40" s="176">
        <v>1500000</v>
      </c>
      <c r="M40" s="176">
        <v>5638.5</v>
      </c>
      <c r="N40" s="176">
        <v>262500</v>
      </c>
      <c r="O40" s="176">
        <v>986.73749999999995</v>
      </c>
      <c r="P40" s="177">
        <v>0.17499999999999999</v>
      </c>
      <c r="Q40" s="174"/>
    </row>
    <row r="41" spans="1:17" s="178" customFormat="1" ht="14.1" customHeight="1">
      <c r="A41" s="174">
        <v>424</v>
      </c>
      <c r="B41" s="174">
        <v>7228</v>
      </c>
      <c r="C41" s="174" t="s">
        <v>1069</v>
      </c>
      <c r="D41" s="174" t="s">
        <v>3249</v>
      </c>
      <c r="E41" s="174" t="s">
        <v>3250</v>
      </c>
      <c r="F41" s="174" t="s">
        <v>34</v>
      </c>
      <c r="G41" s="174" t="s">
        <v>2827</v>
      </c>
      <c r="H41" s="174">
        <v>62014857</v>
      </c>
      <c r="I41" s="174" t="s">
        <v>34</v>
      </c>
      <c r="J41" s="174" t="s">
        <v>99</v>
      </c>
      <c r="K41" s="175">
        <v>43555</v>
      </c>
      <c r="L41" s="176">
        <v>1500000</v>
      </c>
      <c r="M41" s="176">
        <v>5638.5</v>
      </c>
      <c r="N41" s="176">
        <v>390000</v>
      </c>
      <c r="O41" s="176">
        <v>1466.01</v>
      </c>
      <c r="P41" s="177">
        <v>0.26</v>
      </c>
      <c r="Q41" s="174"/>
    </row>
    <row r="42" spans="1:17" s="178" customFormat="1" ht="14.1" customHeight="1">
      <c r="A42" s="174">
        <v>424</v>
      </c>
      <c r="B42" s="174">
        <v>7228</v>
      </c>
      <c r="C42" s="174" t="s">
        <v>1069</v>
      </c>
      <c r="D42" s="174" t="s">
        <v>3249</v>
      </c>
      <c r="E42" s="174" t="s">
        <v>3250</v>
      </c>
      <c r="F42" s="174" t="s">
        <v>34</v>
      </c>
      <c r="G42" s="174" t="s">
        <v>2829</v>
      </c>
      <c r="H42" s="174">
        <v>62019476</v>
      </c>
      <c r="I42" s="174" t="s">
        <v>34</v>
      </c>
      <c r="J42" s="174" t="s">
        <v>99</v>
      </c>
      <c r="K42" s="175">
        <v>44469</v>
      </c>
      <c r="L42" s="176">
        <v>1750000</v>
      </c>
      <c r="M42" s="176">
        <v>6578.25</v>
      </c>
      <c r="N42" s="176">
        <v>672686</v>
      </c>
      <c r="O42" s="176">
        <v>2528.6266740000001</v>
      </c>
      <c r="P42" s="177">
        <v>0.38439200000000001</v>
      </c>
      <c r="Q42" s="174"/>
    </row>
    <row r="43" spans="1:17" s="178" customFormat="1" ht="14.1" customHeight="1">
      <c r="A43" s="174">
        <v>424</v>
      </c>
      <c r="B43" s="174">
        <v>7228</v>
      </c>
      <c r="C43" s="174" t="s">
        <v>1069</v>
      </c>
      <c r="D43" s="174" t="s">
        <v>3249</v>
      </c>
      <c r="E43" s="174" t="s">
        <v>3250</v>
      </c>
      <c r="F43" s="174" t="s">
        <v>34</v>
      </c>
      <c r="G43" s="174" t="s">
        <v>2832</v>
      </c>
      <c r="H43" s="174">
        <v>62017678</v>
      </c>
      <c r="I43" s="174" t="s">
        <v>34</v>
      </c>
      <c r="J43" s="174" t="s">
        <v>99</v>
      </c>
      <c r="K43" s="175">
        <v>43921</v>
      </c>
      <c r="L43" s="176">
        <v>3000000</v>
      </c>
      <c r="M43" s="176">
        <v>11277</v>
      </c>
      <c r="N43" s="176">
        <v>90000</v>
      </c>
      <c r="O43" s="176">
        <v>338.31</v>
      </c>
      <c r="P43" s="177">
        <v>0.03</v>
      </c>
      <c r="Q43" s="174"/>
    </row>
    <row r="44" spans="1:17" s="178" customFormat="1" ht="14.1" customHeight="1">
      <c r="A44" s="174">
        <v>424</v>
      </c>
      <c r="B44" s="174">
        <v>7228</v>
      </c>
      <c r="C44" s="174" t="s">
        <v>1069</v>
      </c>
      <c r="D44" s="174" t="s">
        <v>3249</v>
      </c>
      <c r="E44" s="174" t="s">
        <v>3250</v>
      </c>
      <c r="F44" s="174" t="s">
        <v>34</v>
      </c>
      <c r="G44" s="174" t="s">
        <v>2834</v>
      </c>
      <c r="H44" s="174">
        <v>62019237</v>
      </c>
      <c r="I44" s="174" t="s">
        <v>34</v>
      </c>
      <c r="J44" s="174" t="s">
        <v>99</v>
      </c>
      <c r="K44" s="175">
        <v>44286</v>
      </c>
      <c r="L44" s="176">
        <v>3000000</v>
      </c>
      <c r="M44" s="176">
        <v>11277</v>
      </c>
      <c r="N44" s="176">
        <v>300000</v>
      </c>
      <c r="O44" s="176">
        <v>1127.7</v>
      </c>
      <c r="P44" s="177">
        <v>0.1</v>
      </c>
      <c r="Q44" s="174"/>
    </row>
    <row r="45" spans="1:17" s="178" customFormat="1" ht="14.1" customHeight="1">
      <c r="A45" s="174">
        <v>424</v>
      </c>
      <c r="B45" s="174">
        <v>7228</v>
      </c>
      <c r="C45" s="174" t="s">
        <v>1069</v>
      </c>
      <c r="D45" s="174" t="s">
        <v>3249</v>
      </c>
      <c r="E45" s="174" t="s">
        <v>3250</v>
      </c>
      <c r="F45" s="174" t="s">
        <v>34</v>
      </c>
      <c r="G45" s="174" t="s">
        <v>2830</v>
      </c>
      <c r="H45" s="174">
        <v>62020458</v>
      </c>
      <c r="I45" s="174" t="s">
        <v>34</v>
      </c>
      <c r="J45" s="174" t="s">
        <v>99</v>
      </c>
      <c r="K45" s="175">
        <v>44742</v>
      </c>
      <c r="L45" s="176">
        <v>1000000</v>
      </c>
      <c r="M45" s="176">
        <v>3759</v>
      </c>
      <c r="N45" s="176">
        <v>150000</v>
      </c>
      <c r="O45" s="176">
        <v>563.85</v>
      </c>
      <c r="P45" s="177">
        <v>0.15</v>
      </c>
      <c r="Q45" s="174"/>
    </row>
    <row r="46" spans="1:17" s="178" customFormat="1" ht="14.1" customHeight="1">
      <c r="A46" s="174">
        <v>424</v>
      </c>
      <c r="B46" s="174">
        <v>7228</v>
      </c>
      <c r="C46" s="174" t="s">
        <v>1069</v>
      </c>
      <c r="D46" s="174" t="s">
        <v>2668</v>
      </c>
      <c r="E46" s="174" t="s">
        <v>2669</v>
      </c>
      <c r="F46" s="174" t="s">
        <v>34</v>
      </c>
      <c r="G46" s="174" t="s">
        <v>2670</v>
      </c>
      <c r="H46" s="174">
        <v>62001189</v>
      </c>
      <c r="I46" s="174" t="s">
        <v>34</v>
      </c>
      <c r="J46" s="174" t="s">
        <v>99</v>
      </c>
      <c r="K46" s="175">
        <v>42825</v>
      </c>
      <c r="L46" s="176">
        <v>730000</v>
      </c>
      <c r="M46" s="176">
        <v>2744.07</v>
      </c>
      <c r="N46" s="176">
        <v>47450</v>
      </c>
      <c r="O46" s="176">
        <v>178.36454999999998</v>
      </c>
      <c r="P46" s="177">
        <v>6.5000000000000002E-2</v>
      </c>
      <c r="Q46" s="174"/>
    </row>
    <row r="47" spans="1:17" s="178" customFormat="1" ht="14.1" customHeight="1">
      <c r="A47" s="174">
        <v>424</v>
      </c>
      <c r="B47" s="174">
        <v>7228</v>
      </c>
      <c r="C47" s="174" t="s">
        <v>1069</v>
      </c>
      <c r="D47" s="174" t="s">
        <v>3251</v>
      </c>
      <c r="E47" s="174" t="s">
        <v>3252</v>
      </c>
      <c r="F47" s="174" t="s">
        <v>34</v>
      </c>
      <c r="G47" s="174" t="s">
        <v>2982</v>
      </c>
      <c r="H47" s="174">
        <v>62001875</v>
      </c>
      <c r="I47" s="174" t="s">
        <v>34</v>
      </c>
      <c r="J47" s="174" t="s">
        <v>99</v>
      </c>
      <c r="K47" s="175">
        <v>42825</v>
      </c>
      <c r="L47" s="176">
        <v>1000000</v>
      </c>
      <c r="M47" s="176">
        <v>3759</v>
      </c>
      <c r="N47" s="176">
        <v>241075.00000000012</v>
      </c>
      <c r="O47" s="176">
        <v>906.20092500000044</v>
      </c>
      <c r="P47" s="177">
        <v>0.24107500000000012</v>
      </c>
      <c r="Q47" s="174"/>
    </row>
    <row r="48" spans="1:17" s="178" customFormat="1" ht="14.1" customHeight="1">
      <c r="A48" s="174">
        <v>424</v>
      </c>
      <c r="B48" s="174">
        <v>7228</v>
      </c>
      <c r="C48" s="174" t="s">
        <v>1069</v>
      </c>
      <c r="D48" s="174" t="s">
        <v>3253</v>
      </c>
      <c r="E48" s="174" t="s">
        <v>3254</v>
      </c>
      <c r="F48" s="174" t="s">
        <v>34</v>
      </c>
      <c r="G48" s="174" t="s">
        <v>2853</v>
      </c>
      <c r="H48" s="174">
        <v>62006705</v>
      </c>
      <c r="I48" s="174" t="s">
        <v>34</v>
      </c>
      <c r="J48" s="174" t="s">
        <v>99</v>
      </c>
      <c r="K48" s="175">
        <v>43190</v>
      </c>
      <c r="L48" s="176">
        <v>1000000</v>
      </c>
      <c r="M48" s="176">
        <v>3759</v>
      </c>
      <c r="N48" s="176">
        <v>36360.940000000061</v>
      </c>
      <c r="O48" s="176">
        <v>136.68077346000024</v>
      </c>
      <c r="P48" s="177">
        <v>3.6360940000000064E-2</v>
      </c>
      <c r="Q48" s="174"/>
    </row>
    <row r="49" spans="1:17" s="178" customFormat="1" ht="14.1" customHeight="1">
      <c r="A49" s="174">
        <v>424</v>
      </c>
      <c r="B49" s="174">
        <v>7228</v>
      </c>
      <c r="C49" s="174" t="s">
        <v>1069</v>
      </c>
      <c r="D49" s="174" t="s">
        <v>3255</v>
      </c>
      <c r="E49" s="174" t="s">
        <v>3256</v>
      </c>
      <c r="F49" s="174" t="s">
        <v>34</v>
      </c>
      <c r="G49" s="174" t="s">
        <v>2849</v>
      </c>
      <c r="H49" s="174">
        <v>62019013</v>
      </c>
      <c r="I49" s="174" t="s">
        <v>34</v>
      </c>
      <c r="J49" s="174" t="s">
        <v>99</v>
      </c>
      <c r="K49" s="175">
        <v>44286</v>
      </c>
      <c r="L49" s="176">
        <v>2700000</v>
      </c>
      <c r="M49" s="176">
        <v>10149.299999999999</v>
      </c>
      <c r="N49" s="176">
        <v>198101.3200000003</v>
      </c>
      <c r="O49" s="176">
        <v>744.66286188000117</v>
      </c>
      <c r="P49" s="177">
        <v>7.3370859259259374E-2</v>
      </c>
      <c r="Q49" s="174"/>
    </row>
    <row r="50" spans="1:17" s="178" customFormat="1" ht="14.1" customHeight="1">
      <c r="A50" s="174">
        <v>424</v>
      </c>
      <c r="B50" s="174">
        <v>7228</v>
      </c>
      <c r="C50" s="174" t="s">
        <v>1069</v>
      </c>
      <c r="D50" s="174" t="s">
        <v>2744</v>
      </c>
      <c r="E50" s="174" t="s">
        <v>2745</v>
      </c>
      <c r="F50" s="174" t="s">
        <v>1376</v>
      </c>
      <c r="G50" s="174" t="s">
        <v>2744</v>
      </c>
      <c r="H50" s="174">
        <v>18952</v>
      </c>
      <c r="I50" s="174" t="s">
        <v>34</v>
      </c>
      <c r="J50" s="174" t="s">
        <v>35</v>
      </c>
      <c r="K50" s="175">
        <v>42825</v>
      </c>
      <c r="L50" s="176">
        <v>3250000</v>
      </c>
      <c r="M50" s="176">
        <v>3250</v>
      </c>
      <c r="N50" s="176">
        <v>557669</v>
      </c>
      <c r="O50" s="176">
        <v>557.66899999999998</v>
      </c>
      <c r="P50" s="177">
        <v>0.17159046153846153</v>
      </c>
      <c r="Q50" s="174"/>
    </row>
    <row r="51" spans="1:17" s="178" customFormat="1" ht="14.1" customHeight="1">
      <c r="A51" s="174">
        <v>424</v>
      </c>
      <c r="B51" s="174">
        <v>7228</v>
      </c>
      <c r="C51" s="174" t="s">
        <v>1069</v>
      </c>
      <c r="D51" s="174" t="s">
        <v>2744</v>
      </c>
      <c r="E51" s="174" t="s">
        <v>2745</v>
      </c>
      <c r="F51" s="174" t="s">
        <v>1376</v>
      </c>
      <c r="G51" s="174" t="s">
        <v>2746</v>
      </c>
      <c r="H51" s="174">
        <v>50007004</v>
      </c>
      <c r="I51" s="174" t="s">
        <v>34</v>
      </c>
      <c r="J51" s="174" t="s">
        <v>35</v>
      </c>
      <c r="K51" s="175">
        <v>44469</v>
      </c>
      <c r="L51" s="176">
        <v>8000000</v>
      </c>
      <c r="M51" s="176">
        <v>8000</v>
      </c>
      <c r="N51" s="176">
        <v>2976302</v>
      </c>
      <c r="O51" s="176">
        <v>2976.3020000000001</v>
      </c>
      <c r="P51" s="177">
        <v>0.37203775</v>
      </c>
      <c r="Q51" s="174"/>
    </row>
    <row r="52" spans="1:17" s="178" customFormat="1" ht="14.1" customHeight="1">
      <c r="A52" s="174">
        <v>424</v>
      </c>
      <c r="B52" s="174">
        <v>7228</v>
      </c>
      <c r="C52" s="174" t="s">
        <v>1069</v>
      </c>
      <c r="D52" s="174" t="s">
        <v>2675</v>
      </c>
      <c r="E52" s="174" t="s">
        <v>2676</v>
      </c>
      <c r="F52" s="174" t="s">
        <v>360</v>
      </c>
      <c r="G52" s="174" t="s">
        <v>2677</v>
      </c>
      <c r="H52" s="174">
        <v>50000983</v>
      </c>
      <c r="I52" s="174" t="s">
        <v>34</v>
      </c>
      <c r="J52" s="174" t="s">
        <v>35</v>
      </c>
      <c r="K52" s="175">
        <v>43555</v>
      </c>
      <c r="L52" s="176">
        <v>6000000</v>
      </c>
      <c r="M52" s="176">
        <v>6000</v>
      </c>
      <c r="N52" s="176">
        <v>1800000</v>
      </c>
      <c r="O52" s="176">
        <v>1800</v>
      </c>
      <c r="P52" s="177">
        <v>0.3</v>
      </c>
      <c r="Q52" s="174"/>
    </row>
    <row r="53" spans="1:17" s="178" customFormat="1" ht="14.1" customHeight="1">
      <c r="A53" s="174">
        <v>424</v>
      </c>
      <c r="B53" s="174">
        <v>7228</v>
      </c>
      <c r="C53" s="174" t="s">
        <v>1069</v>
      </c>
      <c r="D53" s="174" t="s">
        <v>2675</v>
      </c>
      <c r="E53" s="174" t="s">
        <v>2676</v>
      </c>
      <c r="F53" s="174" t="s">
        <v>360</v>
      </c>
      <c r="G53" s="174" t="s">
        <v>2679</v>
      </c>
      <c r="H53" s="174">
        <v>50007897</v>
      </c>
      <c r="I53" s="174" t="s">
        <v>34</v>
      </c>
      <c r="J53" s="174" t="s">
        <v>35</v>
      </c>
      <c r="K53" s="175">
        <v>45016</v>
      </c>
      <c r="L53" s="176">
        <v>9900000</v>
      </c>
      <c r="M53" s="176">
        <v>9900</v>
      </c>
      <c r="N53" s="176">
        <v>6930000</v>
      </c>
      <c r="O53" s="176">
        <v>6930</v>
      </c>
      <c r="P53" s="177">
        <v>0.7</v>
      </c>
      <c r="Q53" s="174"/>
    </row>
    <row r="54" spans="1:17" s="178" customFormat="1" ht="14.1" customHeight="1">
      <c r="A54" s="174">
        <v>424</v>
      </c>
      <c r="B54" s="174">
        <v>7228</v>
      </c>
      <c r="C54" s="174" t="s">
        <v>1069</v>
      </c>
      <c r="D54" s="174" t="s">
        <v>2984</v>
      </c>
      <c r="E54" s="174" t="s">
        <v>2985</v>
      </c>
      <c r="F54" s="174" t="s">
        <v>360</v>
      </c>
      <c r="G54" s="174" t="s">
        <v>2986</v>
      </c>
      <c r="H54" s="174">
        <v>62006754</v>
      </c>
      <c r="I54" s="174" t="s">
        <v>34</v>
      </c>
      <c r="J54" s="174" t="s">
        <v>99</v>
      </c>
      <c r="K54" s="175">
        <v>43190</v>
      </c>
      <c r="L54" s="176">
        <v>750000</v>
      </c>
      <c r="M54" s="176">
        <v>2819.25</v>
      </c>
      <c r="N54" s="176">
        <v>68875.589999999851</v>
      </c>
      <c r="O54" s="176">
        <v>258.9033428099994</v>
      </c>
      <c r="P54" s="177">
        <v>9.1834119999999797E-2</v>
      </c>
      <c r="Q54" s="174"/>
    </row>
    <row r="55" spans="1:17" s="178" customFormat="1" ht="14.1" customHeight="1">
      <c r="A55" s="174">
        <v>424</v>
      </c>
      <c r="B55" s="174">
        <v>7228</v>
      </c>
      <c r="C55" s="174" t="s">
        <v>1069</v>
      </c>
      <c r="D55" s="174" t="s">
        <v>3257</v>
      </c>
      <c r="E55" s="174" t="s">
        <v>3258</v>
      </c>
      <c r="F55" s="174" t="s">
        <v>34</v>
      </c>
      <c r="G55" s="174" t="s">
        <v>2888</v>
      </c>
      <c r="H55" s="174">
        <v>62009204</v>
      </c>
      <c r="I55" s="174" t="s">
        <v>34</v>
      </c>
      <c r="J55" s="174" t="s">
        <v>99</v>
      </c>
      <c r="K55" s="175">
        <v>43190</v>
      </c>
      <c r="L55" s="176">
        <v>1500000</v>
      </c>
      <c r="M55" s="176">
        <v>5638.5</v>
      </c>
      <c r="N55" s="176">
        <v>137628</v>
      </c>
      <c r="O55" s="176">
        <v>517.34365200000002</v>
      </c>
      <c r="P55" s="177">
        <v>9.1752E-2</v>
      </c>
      <c r="Q55" s="174"/>
    </row>
    <row r="56" spans="1:17" s="178" customFormat="1" ht="14.1" customHeight="1">
      <c r="A56" s="174">
        <v>424</v>
      </c>
      <c r="B56" s="174">
        <v>7228</v>
      </c>
      <c r="C56" s="174" t="s">
        <v>1069</v>
      </c>
      <c r="D56" s="174" t="s">
        <v>3259</v>
      </c>
      <c r="E56" s="174">
        <v>0</v>
      </c>
      <c r="F56" s="174" t="s">
        <v>361</v>
      </c>
      <c r="G56" s="174" t="s">
        <v>2902</v>
      </c>
      <c r="H56" s="174">
        <v>62010137</v>
      </c>
      <c r="I56" s="174" t="s">
        <v>34</v>
      </c>
      <c r="J56" s="174" t="s">
        <v>99</v>
      </c>
      <c r="K56" s="175">
        <v>43190</v>
      </c>
      <c r="L56" s="176">
        <v>1500000</v>
      </c>
      <c r="M56" s="176">
        <v>5638.5</v>
      </c>
      <c r="N56" s="176">
        <v>445893</v>
      </c>
      <c r="O56" s="176">
        <v>1676.111787</v>
      </c>
      <c r="P56" s="177">
        <v>0.29726200000000003</v>
      </c>
      <c r="Q56" s="174"/>
    </row>
    <row r="57" spans="1:17" s="178" customFormat="1" ht="14.1" customHeight="1">
      <c r="A57" s="174">
        <v>424</v>
      </c>
      <c r="B57" s="174">
        <v>7228</v>
      </c>
      <c r="C57" s="174" t="s">
        <v>1069</v>
      </c>
      <c r="D57" s="174" t="s">
        <v>3257</v>
      </c>
      <c r="E57" s="174" t="s">
        <v>3258</v>
      </c>
      <c r="F57" s="174" t="s">
        <v>34</v>
      </c>
      <c r="G57" s="174" t="s">
        <v>2898</v>
      </c>
      <c r="H57" s="174">
        <v>62020813</v>
      </c>
      <c r="I57" s="174" t="s">
        <v>34</v>
      </c>
      <c r="J57" s="174" t="s">
        <v>99</v>
      </c>
      <c r="K57" s="175">
        <v>44742</v>
      </c>
      <c r="L57" s="176">
        <v>2200000</v>
      </c>
      <c r="M57" s="176">
        <v>8269.7999999999993</v>
      </c>
      <c r="N57" s="176">
        <v>1497967</v>
      </c>
      <c r="O57" s="176">
        <v>5630.8579529999997</v>
      </c>
      <c r="P57" s="177">
        <v>0.68089409090909092</v>
      </c>
      <c r="Q57" s="174"/>
    </row>
    <row r="58" spans="1:17" s="178" customFormat="1" ht="14.1" customHeight="1">
      <c r="A58" s="174">
        <v>424</v>
      </c>
      <c r="B58" s="174">
        <v>7228</v>
      </c>
      <c r="C58" s="174" t="s">
        <v>1069</v>
      </c>
      <c r="D58" s="174" t="s">
        <v>3260</v>
      </c>
      <c r="E58" s="174" t="s">
        <v>3261</v>
      </c>
      <c r="F58" s="174" t="s">
        <v>360</v>
      </c>
      <c r="G58" s="174" t="s">
        <v>2892</v>
      </c>
      <c r="H58" s="174">
        <v>62019807</v>
      </c>
      <c r="I58" s="174" t="s">
        <v>34</v>
      </c>
      <c r="J58" s="174" t="s">
        <v>99</v>
      </c>
      <c r="K58" s="175">
        <v>44561</v>
      </c>
      <c r="L58" s="176">
        <v>2700000</v>
      </c>
      <c r="M58" s="176">
        <v>10149.299999999999</v>
      </c>
      <c r="N58" s="176">
        <v>593521</v>
      </c>
      <c r="O58" s="176">
        <v>2231.045439</v>
      </c>
      <c r="P58" s="177">
        <v>0.2198225925925926</v>
      </c>
      <c r="Q58" s="174"/>
    </row>
    <row r="59" spans="1:17" s="178" customFormat="1" ht="14.1" customHeight="1">
      <c r="A59" s="174">
        <v>424</v>
      </c>
      <c r="B59" s="174">
        <v>7228</v>
      </c>
      <c r="C59" s="174" t="s">
        <v>1069</v>
      </c>
      <c r="D59" s="174" t="s">
        <v>3257</v>
      </c>
      <c r="E59" s="174" t="s">
        <v>3258</v>
      </c>
      <c r="F59" s="174" t="s">
        <v>34</v>
      </c>
      <c r="G59" s="174" t="s">
        <v>2884</v>
      </c>
      <c r="H59" s="174">
        <v>62019849</v>
      </c>
      <c r="I59" s="174" t="s">
        <v>34</v>
      </c>
      <c r="J59" s="174" t="s">
        <v>99</v>
      </c>
      <c r="K59" s="175">
        <v>44561</v>
      </c>
      <c r="L59" s="176">
        <v>2800000</v>
      </c>
      <c r="M59" s="176">
        <v>10525.2</v>
      </c>
      <c r="N59" s="176">
        <v>626447.3200000003</v>
      </c>
      <c r="O59" s="176">
        <v>2354.815475880001</v>
      </c>
      <c r="P59" s="177">
        <v>0.22373118571428582</v>
      </c>
      <c r="Q59" s="174"/>
    </row>
    <row r="60" spans="1:17" s="178" customFormat="1" ht="14.1" customHeight="1">
      <c r="A60" s="174">
        <v>424</v>
      </c>
      <c r="B60" s="174">
        <v>7228</v>
      </c>
      <c r="C60" s="174" t="s">
        <v>1069</v>
      </c>
      <c r="D60" s="174" t="s">
        <v>3262</v>
      </c>
      <c r="E60" s="174" t="s">
        <v>3263</v>
      </c>
      <c r="F60" s="174" t="s">
        <v>360</v>
      </c>
      <c r="G60" s="174" t="s">
        <v>2894</v>
      </c>
      <c r="H60" s="174">
        <v>62020615</v>
      </c>
      <c r="I60" s="174" t="s">
        <v>34</v>
      </c>
      <c r="J60" s="174" t="s">
        <v>99</v>
      </c>
      <c r="K60" s="175">
        <v>44651</v>
      </c>
      <c r="L60" s="176">
        <v>2600000</v>
      </c>
      <c r="M60" s="176">
        <v>9773.4</v>
      </c>
      <c r="N60" s="176">
        <v>1222033</v>
      </c>
      <c r="O60" s="176">
        <v>4593.6220469999998</v>
      </c>
      <c r="P60" s="177">
        <v>0.47001269230769233</v>
      </c>
      <c r="Q60" s="174"/>
    </row>
    <row r="61" spans="1:17" s="178" customFormat="1" ht="14.1" customHeight="1">
      <c r="A61" s="174">
        <v>424</v>
      </c>
      <c r="B61" s="174">
        <v>7228</v>
      </c>
      <c r="C61" s="174" t="s">
        <v>1069</v>
      </c>
      <c r="D61" s="174" t="s">
        <v>3260</v>
      </c>
      <c r="E61" s="174" t="s">
        <v>3261</v>
      </c>
      <c r="F61" s="174" t="s">
        <v>360</v>
      </c>
      <c r="G61" s="174" t="s">
        <v>2880</v>
      </c>
      <c r="H61" s="174">
        <v>62021571</v>
      </c>
      <c r="I61" s="174" t="s">
        <v>34</v>
      </c>
      <c r="J61" s="174" t="s">
        <v>1219</v>
      </c>
      <c r="K61" s="175">
        <v>45382</v>
      </c>
      <c r="L61" s="176">
        <v>1600000</v>
      </c>
      <c r="M61" s="176">
        <v>6432.32</v>
      </c>
      <c r="N61" s="176">
        <v>945992.92</v>
      </c>
      <c r="O61" s="176">
        <v>3803.0807369839999</v>
      </c>
      <c r="P61" s="177">
        <v>0.59124557500000008</v>
      </c>
      <c r="Q61" s="174"/>
    </row>
    <row r="62" spans="1:17" s="178" customFormat="1" ht="14.1" customHeight="1">
      <c r="A62" s="174">
        <v>424</v>
      </c>
      <c r="B62" s="174">
        <v>7228</v>
      </c>
      <c r="C62" s="174" t="s">
        <v>1069</v>
      </c>
      <c r="D62" s="174" t="s">
        <v>3264</v>
      </c>
      <c r="E62" s="174" t="s">
        <v>3265</v>
      </c>
      <c r="F62" s="174" t="s">
        <v>34</v>
      </c>
      <c r="G62" s="174" t="s">
        <v>2812</v>
      </c>
      <c r="H62" s="174">
        <v>62020946</v>
      </c>
      <c r="I62" s="174" t="s">
        <v>34</v>
      </c>
      <c r="J62" s="174" t="s">
        <v>99</v>
      </c>
      <c r="K62" s="175">
        <v>44651</v>
      </c>
      <c r="L62" s="176">
        <v>2700000</v>
      </c>
      <c r="M62" s="176">
        <v>10149.299999999999</v>
      </c>
      <c r="N62" s="176">
        <v>1477373</v>
      </c>
      <c r="O62" s="176">
        <v>5553.4451069999996</v>
      </c>
      <c r="P62" s="177">
        <v>0.54717518518518515</v>
      </c>
      <c r="Q62" s="174"/>
    </row>
    <row r="63" spans="1:17" s="178" customFormat="1" ht="14.1" customHeight="1">
      <c r="A63" s="174">
        <v>424</v>
      </c>
      <c r="B63" s="174">
        <v>7228</v>
      </c>
      <c r="C63" s="174" t="s">
        <v>1069</v>
      </c>
      <c r="D63" s="174" t="s">
        <v>2857</v>
      </c>
      <c r="E63" s="174" t="s">
        <v>3266</v>
      </c>
      <c r="F63" s="174" t="s">
        <v>34</v>
      </c>
      <c r="G63" s="174" t="s">
        <v>2857</v>
      </c>
      <c r="H63" s="174">
        <v>62017652</v>
      </c>
      <c r="I63" s="174" t="s">
        <v>34</v>
      </c>
      <c r="J63" s="174" t="s">
        <v>99</v>
      </c>
      <c r="K63" s="175">
        <v>43921</v>
      </c>
      <c r="L63" s="176">
        <v>2200000</v>
      </c>
      <c r="M63" s="176">
        <v>8269.7999999999993</v>
      </c>
      <c r="N63" s="176">
        <v>677861.62999999989</v>
      </c>
      <c r="O63" s="176">
        <v>2548.0818671699994</v>
      </c>
      <c r="P63" s="177">
        <v>0.3081189227272727</v>
      </c>
      <c r="Q63" s="174"/>
    </row>
    <row r="64" spans="1:17" s="178" customFormat="1" ht="14.1" customHeight="1">
      <c r="A64" s="174">
        <v>424</v>
      </c>
      <c r="B64" s="174">
        <v>7228</v>
      </c>
      <c r="C64" s="174" t="s">
        <v>1069</v>
      </c>
      <c r="D64" s="174" t="s">
        <v>2857</v>
      </c>
      <c r="E64" s="174" t="s">
        <v>3266</v>
      </c>
      <c r="F64" s="174" t="s">
        <v>34</v>
      </c>
      <c r="G64" s="174" t="s">
        <v>2861</v>
      </c>
      <c r="H64" s="174">
        <v>62021142</v>
      </c>
      <c r="I64" s="174" t="s">
        <v>34</v>
      </c>
      <c r="J64" s="174" t="s">
        <v>99</v>
      </c>
      <c r="K64" s="175">
        <v>45016</v>
      </c>
      <c r="L64" s="176">
        <v>2800000</v>
      </c>
      <c r="M64" s="176">
        <v>10525.2</v>
      </c>
      <c r="N64" s="176">
        <v>1260000</v>
      </c>
      <c r="O64" s="176">
        <v>4736.34</v>
      </c>
      <c r="P64" s="177">
        <v>0.45</v>
      </c>
      <c r="Q64" s="174"/>
    </row>
    <row r="65" spans="1:17" s="178" customFormat="1" ht="14.1" customHeight="1">
      <c r="A65" s="174">
        <v>424</v>
      </c>
      <c r="B65" s="174">
        <v>7228</v>
      </c>
      <c r="C65" s="174" t="s">
        <v>1069</v>
      </c>
      <c r="D65" s="174" t="s">
        <v>3267</v>
      </c>
      <c r="E65" s="174" t="s">
        <v>2694</v>
      </c>
      <c r="F65" s="174" t="s">
        <v>34</v>
      </c>
      <c r="G65" s="174" t="s">
        <v>2841</v>
      </c>
      <c r="H65" s="174">
        <v>62017702</v>
      </c>
      <c r="I65" s="174" t="s">
        <v>34</v>
      </c>
      <c r="J65" s="174" t="s">
        <v>99</v>
      </c>
      <c r="K65" s="175">
        <v>43921</v>
      </c>
      <c r="L65" s="176">
        <v>2500000</v>
      </c>
      <c r="M65" s="176">
        <v>9397.5</v>
      </c>
      <c r="N65" s="176">
        <v>153138</v>
      </c>
      <c r="O65" s="176">
        <v>575.64574199999993</v>
      </c>
      <c r="P65" s="177">
        <v>6.1255200000000003E-2</v>
      </c>
      <c r="Q65" s="174"/>
    </row>
    <row r="66" spans="1:17" s="178" customFormat="1" ht="14.1" customHeight="1">
      <c r="A66" s="174">
        <v>424</v>
      </c>
      <c r="B66" s="174">
        <v>7228</v>
      </c>
      <c r="C66" s="174" t="s">
        <v>1069</v>
      </c>
      <c r="D66" s="174" t="s">
        <v>3268</v>
      </c>
      <c r="E66" s="174" t="s">
        <v>3269</v>
      </c>
      <c r="F66" s="174" t="s">
        <v>34</v>
      </c>
      <c r="G66" s="174" t="s">
        <v>2910</v>
      </c>
      <c r="H66" s="174">
        <v>62018387</v>
      </c>
      <c r="I66" s="174" t="s">
        <v>34</v>
      </c>
      <c r="J66" s="174" t="s">
        <v>99</v>
      </c>
      <c r="K66" s="175">
        <v>44286</v>
      </c>
      <c r="L66" s="176">
        <v>1500000</v>
      </c>
      <c r="M66" s="176">
        <v>5638.5</v>
      </c>
      <c r="N66" s="176">
        <v>294720.84999999986</v>
      </c>
      <c r="O66" s="176">
        <v>1107.8556751499996</v>
      </c>
      <c r="P66" s="177">
        <v>0.19648056666666658</v>
      </c>
      <c r="Q66" s="174"/>
    </row>
    <row r="67" spans="1:17" s="178" customFormat="1" ht="14.1" customHeight="1">
      <c r="A67" s="174">
        <v>424</v>
      </c>
      <c r="B67" s="174">
        <v>7228</v>
      </c>
      <c r="C67" s="174" t="s">
        <v>1069</v>
      </c>
      <c r="D67" s="174" t="s">
        <v>3270</v>
      </c>
      <c r="E67" s="174" t="s">
        <v>3271</v>
      </c>
      <c r="F67" s="174" t="s">
        <v>34</v>
      </c>
      <c r="G67" s="174" t="s">
        <v>2798</v>
      </c>
      <c r="H67" s="174">
        <v>62018064</v>
      </c>
      <c r="I67" s="174" t="s">
        <v>34</v>
      </c>
      <c r="J67" s="174" t="s">
        <v>99</v>
      </c>
      <c r="K67" s="175">
        <v>44286</v>
      </c>
      <c r="L67" s="176">
        <v>1000000</v>
      </c>
      <c r="M67" s="176">
        <v>3759</v>
      </c>
      <c r="N67" s="176">
        <v>152614</v>
      </c>
      <c r="O67" s="176">
        <v>573.67602599999998</v>
      </c>
      <c r="P67" s="177">
        <v>0.152614</v>
      </c>
      <c r="Q67" s="174"/>
    </row>
    <row r="68" spans="1:17" s="178" customFormat="1" ht="14.1" customHeight="1">
      <c r="A68" s="174">
        <v>424</v>
      </c>
      <c r="B68" s="174">
        <v>7228</v>
      </c>
      <c r="C68" s="174" t="s">
        <v>1069</v>
      </c>
      <c r="D68" s="174" t="s">
        <v>3272</v>
      </c>
      <c r="E68" s="174">
        <v>0</v>
      </c>
      <c r="F68" s="174" t="s">
        <v>203</v>
      </c>
      <c r="G68" s="174" t="s">
        <v>2800</v>
      </c>
      <c r="H68" s="174">
        <v>62021340</v>
      </c>
      <c r="I68" s="174" t="s">
        <v>34</v>
      </c>
      <c r="J68" s="174" t="s">
        <v>99</v>
      </c>
      <c r="K68" s="175">
        <v>45016</v>
      </c>
      <c r="L68" s="176">
        <v>1500000</v>
      </c>
      <c r="M68" s="176">
        <v>5638.5</v>
      </c>
      <c r="N68" s="176">
        <v>919477</v>
      </c>
      <c r="O68" s="176">
        <v>3456.3140429999999</v>
      </c>
      <c r="P68" s="177">
        <v>0.61298466666666662</v>
      </c>
      <c r="Q68" s="174"/>
    </row>
    <row r="69" spans="1:17" s="178" customFormat="1" ht="14.1" customHeight="1">
      <c r="A69" s="174">
        <v>424</v>
      </c>
      <c r="B69" s="174">
        <v>7228</v>
      </c>
      <c r="C69" s="174" t="s">
        <v>1069</v>
      </c>
      <c r="D69" s="174" t="s">
        <v>3273</v>
      </c>
      <c r="E69" s="174" t="s">
        <v>3274</v>
      </c>
      <c r="F69" s="174" t="s">
        <v>34</v>
      </c>
      <c r="G69" s="174" t="s">
        <v>2914</v>
      </c>
      <c r="H69" s="174">
        <v>62018551</v>
      </c>
      <c r="I69" s="174" t="s">
        <v>34</v>
      </c>
      <c r="J69" s="174" t="s">
        <v>99</v>
      </c>
      <c r="K69" s="175">
        <v>44377</v>
      </c>
      <c r="L69" s="176">
        <v>2080000</v>
      </c>
      <c r="M69" s="176">
        <v>7818.72</v>
      </c>
      <c r="N69" s="176">
        <v>572000</v>
      </c>
      <c r="O69" s="176">
        <v>2150.1480000000001</v>
      </c>
      <c r="P69" s="177">
        <v>0.27500000000000002</v>
      </c>
      <c r="Q69" s="174"/>
    </row>
    <row r="70" spans="1:17" s="178" customFormat="1" ht="14.1" customHeight="1">
      <c r="A70" s="174">
        <v>424</v>
      </c>
      <c r="B70" s="174">
        <v>7228</v>
      </c>
      <c r="C70" s="174" t="s">
        <v>1069</v>
      </c>
      <c r="D70" s="174" t="s">
        <v>3275</v>
      </c>
      <c r="E70" s="174" t="s">
        <v>3276</v>
      </c>
      <c r="F70" s="174" t="s">
        <v>361</v>
      </c>
      <c r="G70" s="174" t="s">
        <v>2918</v>
      </c>
      <c r="H70" s="174">
        <v>62020169</v>
      </c>
      <c r="I70" s="174" t="s">
        <v>34</v>
      </c>
      <c r="J70" s="174" t="s">
        <v>99</v>
      </c>
      <c r="K70" s="175">
        <v>44651</v>
      </c>
      <c r="L70" s="176">
        <v>2500000</v>
      </c>
      <c r="M70" s="176">
        <v>9397.5</v>
      </c>
      <c r="N70" s="176">
        <v>950000</v>
      </c>
      <c r="O70" s="176">
        <v>3571.05</v>
      </c>
      <c r="P70" s="177">
        <v>0.38</v>
      </c>
      <c r="Q70" s="174"/>
    </row>
    <row r="71" spans="1:17" s="178" customFormat="1" ht="14.1" customHeight="1">
      <c r="A71" s="174">
        <v>424</v>
      </c>
      <c r="B71" s="174">
        <v>7228</v>
      </c>
      <c r="C71" s="174" t="s">
        <v>1069</v>
      </c>
      <c r="D71" s="174" t="s">
        <v>2804</v>
      </c>
      <c r="E71" s="174" t="s">
        <v>3277</v>
      </c>
      <c r="F71" s="174" t="s">
        <v>1376</v>
      </c>
      <c r="G71" s="174" t="s">
        <v>2804</v>
      </c>
      <c r="H71" s="174">
        <v>62018908</v>
      </c>
      <c r="I71" s="174" t="s">
        <v>34</v>
      </c>
      <c r="J71" s="174" t="s">
        <v>99</v>
      </c>
      <c r="K71" s="175">
        <v>44286</v>
      </c>
      <c r="L71" s="176">
        <v>3400000</v>
      </c>
      <c r="M71" s="176">
        <v>12780.6</v>
      </c>
      <c r="N71" s="176">
        <v>514064.95000000019</v>
      </c>
      <c r="O71" s="176">
        <v>1932.3701470500007</v>
      </c>
      <c r="P71" s="177">
        <v>0.15119557352941182</v>
      </c>
      <c r="Q71" s="174"/>
    </row>
    <row r="72" spans="1:17" s="178" customFormat="1" ht="14.1" customHeight="1">
      <c r="A72" s="174">
        <v>424</v>
      </c>
      <c r="B72" s="174">
        <v>7228</v>
      </c>
      <c r="C72" s="174" t="s">
        <v>1069</v>
      </c>
      <c r="D72" s="174" t="s">
        <v>3278</v>
      </c>
      <c r="E72" s="174">
        <v>0</v>
      </c>
      <c r="F72" s="174" t="s">
        <v>361</v>
      </c>
      <c r="G72" s="174" t="s">
        <v>2774</v>
      </c>
      <c r="H72" s="174">
        <v>62019757</v>
      </c>
      <c r="I72" s="174" t="s">
        <v>34</v>
      </c>
      <c r="J72" s="174" t="s">
        <v>99</v>
      </c>
      <c r="K72" s="175">
        <v>44286</v>
      </c>
      <c r="L72" s="176">
        <v>1400000</v>
      </c>
      <c r="M72" s="176">
        <v>5262.6</v>
      </c>
      <c r="N72" s="176">
        <v>740174</v>
      </c>
      <c r="O72" s="176">
        <v>2782.3140659999999</v>
      </c>
      <c r="P72" s="177">
        <v>0.52869571428571427</v>
      </c>
      <c r="Q72" s="174"/>
    </row>
    <row r="73" spans="1:17" s="178" customFormat="1" ht="14.1" customHeight="1">
      <c r="A73" s="174">
        <v>424</v>
      </c>
      <c r="B73" s="174">
        <v>7228</v>
      </c>
      <c r="C73" s="174" t="s">
        <v>1069</v>
      </c>
      <c r="D73" s="174" t="s">
        <v>2756</v>
      </c>
      <c r="E73" s="174">
        <v>0</v>
      </c>
      <c r="F73" s="174" t="s">
        <v>203</v>
      </c>
      <c r="G73" s="174" t="s">
        <v>2756</v>
      </c>
      <c r="H73" s="174">
        <v>50007160</v>
      </c>
      <c r="I73" s="174" t="s">
        <v>34</v>
      </c>
      <c r="J73" s="174" t="s">
        <v>35</v>
      </c>
      <c r="K73" s="175">
        <v>44561</v>
      </c>
      <c r="L73" s="176">
        <v>4500000</v>
      </c>
      <c r="M73" s="176">
        <v>4500</v>
      </c>
      <c r="N73" s="176">
        <v>2150197</v>
      </c>
      <c r="O73" s="176">
        <v>2150.1970000000001</v>
      </c>
      <c r="P73" s="177">
        <v>0.47782155555555555</v>
      </c>
      <c r="Q73" s="174"/>
    </row>
    <row r="74" spans="1:17" s="178" customFormat="1" ht="14.1" customHeight="1">
      <c r="A74" s="174">
        <v>424</v>
      </c>
      <c r="B74" s="174">
        <v>7228</v>
      </c>
      <c r="C74" s="174" t="s">
        <v>1069</v>
      </c>
      <c r="D74" s="174" t="s">
        <v>2769</v>
      </c>
      <c r="E74" s="174" t="s">
        <v>3279</v>
      </c>
      <c r="F74" s="174" t="s">
        <v>34</v>
      </c>
      <c r="G74" s="174" t="s">
        <v>2769</v>
      </c>
      <c r="H74" s="174">
        <v>62019815</v>
      </c>
      <c r="I74" s="174" t="s">
        <v>34</v>
      </c>
      <c r="J74" s="174" t="s">
        <v>99</v>
      </c>
      <c r="K74" s="175">
        <v>44561</v>
      </c>
      <c r="L74" s="176">
        <v>4000000</v>
      </c>
      <c r="M74" s="176">
        <v>15036</v>
      </c>
      <c r="N74" s="176">
        <v>2807850</v>
      </c>
      <c r="O74" s="176">
        <v>10554.70815</v>
      </c>
      <c r="P74" s="177">
        <v>0.70196250000000004</v>
      </c>
      <c r="Q74" s="174"/>
    </row>
    <row r="75" spans="1:17" s="178" customFormat="1" ht="14.1" customHeight="1">
      <c r="A75" s="174">
        <v>424</v>
      </c>
      <c r="B75" s="174">
        <v>7228</v>
      </c>
      <c r="C75" s="174" t="s">
        <v>1069</v>
      </c>
      <c r="D75" s="174" t="s">
        <v>2765</v>
      </c>
      <c r="E75" s="174" t="s">
        <v>3280</v>
      </c>
      <c r="F75" s="174" t="s">
        <v>34</v>
      </c>
      <c r="G75" s="174" t="s">
        <v>2765</v>
      </c>
      <c r="H75" s="174">
        <v>62020896</v>
      </c>
      <c r="I75" s="174" t="s">
        <v>34</v>
      </c>
      <c r="J75" s="174" t="s">
        <v>99</v>
      </c>
      <c r="K75" s="175">
        <v>44651</v>
      </c>
      <c r="L75" s="176">
        <v>2700000</v>
      </c>
      <c r="M75" s="176">
        <v>10149.299999999999</v>
      </c>
      <c r="N75" s="176">
        <v>2474912</v>
      </c>
      <c r="O75" s="176">
        <v>9303.1942080000008</v>
      </c>
      <c r="P75" s="177">
        <v>0.91663407407407405</v>
      </c>
      <c r="Q75" s="174"/>
    </row>
    <row r="76" spans="1:17" s="178" customFormat="1" ht="14.1" customHeight="1">
      <c r="A76" s="174">
        <v>424</v>
      </c>
      <c r="B76" s="174">
        <v>7228</v>
      </c>
      <c r="C76" s="174" t="s">
        <v>1069</v>
      </c>
      <c r="D76" s="174" t="s">
        <v>2762</v>
      </c>
      <c r="E76" s="174">
        <v>0</v>
      </c>
      <c r="F76" s="174" t="s">
        <v>203</v>
      </c>
      <c r="G76" s="174" t="s">
        <v>2762</v>
      </c>
      <c r="H76" s="174">
        <v>62021365</v>
      </c>
      <c r="I76" s="174" t="s">
        <v>34</v>
      </c>
      <c r="J76" s="174" t="s">
        <v>99</v>
      </c>
      <c r="K76" s="175">
        <v>45016</v>
      </c>
      <c r="L76" s="176">
        <v>3000000</v>
      </c>
      <c r="M76" s="176">
        <v>11277</v>
      </c>
      <c r="N76" s="176">
        <v>2673191.0299999998</v>
      </c>
      <c r="O76" s="176">
        <v>10048.52508177</v>
      </c>
      <c r="P76" s="177">
        <v>0.89106367666666664</v>
      </c>
      <c r="Q76" s="174"/>
    </row>
    <row r="77" spans="1:17" s="178" customFormat="1" ht="14.1" customHeight="1">
      <c r="A77" s="174">
        <v>424</v>
      </c>
      <c r="B77" s="174">
        <v>7228</v>
      </c>
      <c r="C77" s="174" t="s">
        <v>1069</v>
      </c>
      <c r="D77" s="174" t="s">
        <v>2748</v>
      </c>
      <c r="E77" s="174" t="s">
        <v>2749</v>
      </c>
      <c r="F77" s="174" t="s">
        <v>1376</v>
      </c>
      <c r="G77" s="174" t="s">
        <v>2748</v>
      </c>
      <c r="H77" s="174">
        <v>50007350</v>
      </c>
      <c r="I77" s="174" t="s">
        <v>34</v>
      </c>
      <c r="J77" s="174" t="s">
        <v>35</v>
      </c>
      <c r="K77" s="175">
        <v>44651</v>
      </c>
      <c r="L77" s="176">
        <v>8000000</v>
      </c>
      <c r="M77" s="176">
        <v>8000</v>
      </c>
      <c r="N77" s="176">
        <v>1859267</v>
      </c>
      <c r="O77" s="176">
        <v>1859.2670000000001</v>
      </c>
      <c r="P77" s="177">
        <v>0.232408375</v>
      </c>
      <c r="Q77" s="174"/>
    </row>
    <row r="78" spans="1:17" s="178" customFormat="1" ht="14.1" customHeight="1">
      <c r="A78" s="174">
        <v>424</v>
      </c>
      <c r="B78" s="174">
        <v>7228</v>
      </c>
      <c r="C78" s="174" t="s">
        <v>1069</v>
      </c>
      <c r="D78" s="174" t="s">
        <v>3281</v>
      </c>
      <c r="E78" s="174">
        <v>0</v>
      </c>
      <c r="F78" s="174" t="s">
        <v>203</v>
      </c>
      <c r="G78" s="174" t="s">
        <v>2642</v>
      </c>
      <c r="H78" s="174">
        <v>50007566</v>
      </c>
      <c r="I78" s="174" t="s">
        <v>34</v>
      </c>
      <c r="J78" s="174" t="s">
        <v>35</v>
      </c>
      <c r="K78" s="175">
        <v>44651</v>
      </c>
      <c r="L78" s="176">
        <v>2800000</v>
      </c>
      <c r="M78" s="176">
        <v>2800</v>
      </c>
      <c r="N78" s="176">
        <v>876200</v>
      </c>
      <c r="O78" s="176">
        <v>876.2</v>
      </c>
      <c r="P78" s="177">
        <v>0.31292857142857144</v>
      </c>
      <c r="Q78" s="174"/>
    </row>
    <row r="79" spans="1:17" s="178" customFormat="1" ht="14.1" customHeight="1">
      <c r="A79" s="174">
        <v>424</v>
      </c>
      <c r="B79" s="174">
        <v>7228</v>
      </c>
      <c r="C79" s="174" t="s">
        <v>1069</v>
      </c>
      <c r="D79" s="174" t="s">
        <v>2702</v>
      </c>
      <c r="E79" s="174" t="s">
        <v>2703</v>
      </c>
      <c r="F79" s="174" t="s">
        <v>34</v>
      </c>
      <c r="G79" s="174" t="s">
        <v>2702</v>
      </c>
      <c r="H79" s="174">
        <v>62020375</v>
      </c>
      <c r="I79" s="174" t="s">
        <v>34</v>
      </c>
      <c r="J79" s="174" t="s">
        <v>99</v>
      </c>
      <c r="K79" s="175">
        <v>44651</v>
      </c>
      <c r="L79" s="176">
        <v>2500000</v>
      </c>
      <c r="M79" s="176">
        <v>9397.5</v>
      </c>
      <c r="N79" s="176">
        <v>1929028</v>
      </c>
      <c r="O79" s="176">
        <v>7251.2162519999993</v>
      </c>
      <c r="P79" s="177">
        <v>0.77161120000000005</v>
      </c>
      <c r="Q79" s="174"/>
    </row>
    <row r="80" spans="1:17" s="178" customFormat="1" ht="14.1" customHeight="1">
      <c r="A80" s="174">
        <v>424</v>
      </c>
      <c r="B80" s="174">
        <v>7228</v>
      </c>
      <c r="C80" s="174" t="s">
        <v>1069</v>
      </c>
      <c r="D80" s="174" t="s">
        <v>3282</v>
      </c>
      <c r="E80" s="174" t="s">
        <v>3283</v>
      </c>
      <c r="F80" s="174" t="s">
        <v>34</v>
      </c>
      <c r="G80" s="174" t="s">
        <v>2869</v>
      </c>
      <c r="H80" s="174">
        <v>62020425</v>
      </c>
      <c r="I80" s="174" t="s">
        <v>34</v>
      </c>
      <c r="J80" s="174" t="s">
        <v>99</v>
      </c>
      <c r="K80" s="175">
        <v>44742</v>
      </c>
      <c r="L80" s="176">
        <v>3000000</v>
      </c>
      <c r="M80" s="176">
        <v>11277</v>
      </c>
      <c r="N80" s="176">
        <v>132722</v>
      </c>
      <c r="O80" s="176">
        <v>498.90199799999994</v>
      </c>
      <c r="P80" s="177">
        <v>4.4240666666666664E-2</v>
      </c>
      <c r="Q80" s="174"/>
    </row>
    <row r="81" spans="1:17" s="178" customFormat="1" ht="14.1" customHeight="1">
      <c r="A81" s="174">
        <v>424</v>
      </c>
      <c r="B81" s="174">
        <v>7228</v>
      </c>
      <c r="C81" s="174" t="s">
        <v>1069</v>
      </c>
      <c r="D81" s="174" t="s">
        <v>3284</v>
      </c>
      <c r="E81" s="174" t="s">
        <v>3285</v>
      </c>
      <c r="F81" s="174" t="s">
        <v>34</v>
      </c>
      <c r="G81" s="174" t="s">
        <v>2838</v>
      </c>
      <c r="H81" s="174">
        <v>62020565</v>
      </c>
      <c r="I81" s="174" t="s">
        <v>34</v>
      </c>
      <c r="J81" s="174" t="s">
        <v>1219</v>
      </c>
      <c r="K81" s="175">
        <v>44651</v>
      </c>
      <c r="L81" s="176">
        <v>1320000</v>
      </c>
      <c r="M81" s="176">
        <v>5306.6639999999998</v>
      </c>
      <c r="N81" s="176">
        <v>725227.51</v>
      </c>
      <c r="O81" s="176">
        <v>2915.5596357019999</v>
      </c>
      <c r="P81" s="177">
        <v>0.54941478030303026</v>
      </c>
      <c r="Q81" s="174"/>
    </row>
    <row r="82" spans="1:17" s="178" customFormat="1" ht="14.1" customHeight="1">
      <c r="A82" s="174">
        <v>424</v>
      </c>
      <c r="B82" s="174">
        <v>7228</v>
      </c>
      <c r="C82" s="174" t="s">
        <v>1069</v>
      </c>
      <c r="D82" s="174" t="s">
        <v>2758</v>
      </c>
      <c r="E82" s="174" t="s">
        <v>2759</v>
      </c>
      <c r="F82" s="174" t="s">
        <v>34</v>
      </c>
      <c r="G82" s="174" t="s">
        <v>2760</v>
      </c>
      <c r="H82" s="174">
        <v>62020672</v>
      </c>
      <c r="I82" s="174" t="s">
        <v>34</v>
      </c>
      <c r="J82" s="174" t="s">
        <v>99</v>
      </c>
      <c r="K82" s="175">
        <v>44651</v>
      </c>
      <c r="L82" s="176">
        <v>1100000</v>
      </c>
      <c r="M82" s="176">
        <v>4134.8999999999996</v>
      </c>
      <c r="N82" s="176">
        <v>128412</v>
      </c>
      <c r="O82" s="176">
        <v>482.70070799999996</v>
      </c>
      <c r="P82" s="177">
        <v>0.11673818181818182</v>
      </c>
      <c r="Q82" s="174"/>
    </row>
    <row r="83" spans="1:17" s="178" customFormat="1" ht="14.1" customHeight="1">
      <c r="A83" s="174">
        <v>424</v>
      </c>
      <c r="B83" s="174">
        <v>7228</v>
      </c>
      <c r="C83" s="174" t="s">
        <v>1069</v>
      </c>
      <c r="D83" s="174" t="s">
        <v>2814</v>
      </c>
      <c r="E83" s="174" t="s">
        <v>2815</v>
      </c>
      <c r="F83" s="174" t="s">
        <v>359</v>
      </c>
      <c r="G83" s="174" t="s">
        <v>2816</v>
      </c>
      <c r="H83" s="174">
        <v>62021431</v>
      </c>
      <c r="I83" s="174" t="s">
        <v>34</v>
      </c>
      <c r="J83" s="174" t="s">
        <v>99</v>
      </c>
      <c r="K83" s="175">
        <v>45016</v>
      </c>
      <c r="L83" s="176">
        <v>1120000</v>
      </c>
      <c r="M83" s="176">
        <v>4210.08</v>
      </c>
      <c r="N83" s="176">
        <v>868000</v>
      </c>
      <c r="O83" s="176">
        <v>3262.8119999999999</v>
      </c>
      <c r="P83" s="177">
        <v>0.77500000000000002</v>
      </c>
      <c r="Q83" s="174"/>
    </row>
    <row r="84" spans="1:17" s="178" customFormat="1" ht="14.1" customHeight="1">
      <c r="A84" s="174">
        <v>424</v>
      </c>
      <c r="B84" s="174">
        <v>7228</v>
      </c>
      <c r="C84" s="174" t="s">
        <v>1069</v>
      </c>
      <c r="D84" s="174" t="s">
        <v>3286</v>
      </c>
      <c r="E84" s="174" t="s">
        <v>3287</v>
      </c>
      <c r="F84" s="174" t="s">
        <v>1376</v>
      </c>
      <c r="G84" s="174" t="s">
        <v>2961</v>
      </c>
      <c r="H84" s="174">
        <v>26427</v>
      </c>
      <c r="I84" s="174" t="s">
        <v>34</v>
      </c>
      <c r="J84" s="174" t="s">
        <v>35</v>
      </c>
      <c r="K84" s="175">
        <v>39903</v>
      </c>
      <c r="L84" s="176">
        <v>4000000</v>
      </c>
      <c r="M84" s="176">
        <v>4000</v>
      </c>
      <c r="N84" s="176">
        <v>15951</v>
      </c>
      <c r="O84" s="176">
        <v>15.951000000000001</v>
      </c>
      <c r="P84" s="177">
        <v>3.98775E-3</v>
      </c>
      <c r="Q84" s="174"/>
    </row>
    <row r="85" spans="1:17" s="178" customFormat="1" ht="14.1" customHeight="1">
      <c r="A85" s="174">
        <v>424</v>
      </c>
      <c r="B85" s="174">
        <v>7229</v>
      </c>
      <c r="C85" s="174" t="s">
        <v>1069</v>
      </c>
      <c r="D85" s="174" t="s">
        <v>3233</v>
      </c>
      <c r="E85" s="174" t="s">
        <v>3234</v>
      </c>
      <c r="F85" s="174" t="s">
        <v>34</v>
      </c>
      <c r="G85" s="174" t="s">
        <v>2687</v>
      </c>
      <c r="H85" s="174">
        <v>62002785</v>
      </c>
      <c r="I85" s="174" t="s">
        <v>34</v>
      </c>
      <c r="J85" s="174" t="s">
        <v>99</v>
      </c>
      <c r="K85" s="175">
        <v>42825</v>
      </c>
      <c r="L85" s="176">
        <v>50000</v>
      </c>
      <c r="M85" s="176">
        <v>187.95</v>
      </c>
      <c r="N85" s="176">
        <v>3250</v>
      </c>
      <c r="O85" s="176">
        <v>12.216749999999999</v>
      </c>
      <c r="P85" s="177">
        <v>6.5000000000000002E-2</v>
      </c>
      <c r="Q85" s="174"/>
    </row>
    <row r="86" spans="1:17" s="178" customFormat="1" ht="14.1" customHeight="1">
      <c r="A86" s="174">
        <v>424</v>
      </c>
      <c r="B86" s="174">
        <v>7229</v>
      </c>
      <c r="C86" s="174" t="s">
        <v>1069</v>
      </c>
      <c r="D86" s="174" t="s">
        <v>2668</v>
      </c>
      <c r="E86" s="174" t="s">
        <v>2669</v>
      </c>
      <c r="F86" s="174" t="s">
        <v>34</v>
      </c>
      <c r="G86" s="174" t="s">
        <v>2670</v>
      </c>
      <c r="H86" s="174">
        <v>62001189</v>
      </c>
      <c r="I86" s="174" t="s">
        <v>34</v>
      </c>
      <c r="J86" s="174" t="s">
        <v>99</v>
      </c>
      <c r="K86" s="175">
        <v>42825</v>
      </c>
      <c r="L86" s="176">
        <v>70000</v>
      </c>
      <c r="M86" s="176">
        <v>263.13</v>
      </c>
      <c r="N86" s="176">
        <v>4550</v>
      </c>
      <c r="O86" s="176">
        <v>17.103450000000002</v>
      </c>
      <c r="P86" s="177">
        <v>6.5000000000000002E-2</v>
      </c>
      <c r="Q86" s="174"/>
    </row>
    <row r="87" spans="1:17" s="178" customFormat="1" ht="14.1" customHeight="1">
      <c r="A87" s="174">
        <v>424</v>
      </c>
      <c r="B87" s="174">
        <v>7229</v>
      </c>
      <c r="C87" s="174" t="s">
        <v>1069</v>
      </c>
      <c r="D87" s="174" t="s">
        <v>3249</v>
      </c>
      <c r="E87" s="174" t="s">
        <v>3250</v>
      </c>
      <c r="F87" s="174" t="s">
        <v>34</v>
      </c>
      <c r="G87" s="174" t="s">
        <v>2824</v>
      </c>
      <c r="H87" s="174">
        <v>62003800</v>
      </c>
      <c r="I87" s="174" t="s">
        <v>34</v>
      </c>
      <c r="J87" s="174" t="s">
        <v>99</v>
      </c>
      <c r="K87" s="175">
        <v>43008</v>
      </c>
      <c r="L87" s="176">
        <v>240000</v>
      </c>
      <c r="M87" s="176">
        <v>902.16</v>
      </c>
      <c r="N87" s="176">
        <v>43200</v>
      </c>
      <c r="O87" s="176">
        <v>162.38879999999997</v>
      </c>
      <c r="P87" s="177">
        <v>0.18</v>
      </c>
      <c r="Q87" s="174"/>
    </row>
    <row r="88" spans="1:17" s="178" customFormat="1" ht="14.1" customHeight="1">
      <c r="A88" s="174">
        <v>424</v>
      </c>
      <c r="B88" s="174">
        <v>7229</v>
      </c>
      <c r="C88" s="174" t="s">
        <v>1069</v>
      </c>
      <c r="D88" s="174" t="s">
        <v>3249</v>
      </c>
      <c r="E88" s="174" t="s">
        <v>3250</v>
      </c>
      <c r="F88" s="174" t="s">
        <v>34</v>
      </c>
      <c r="G88" s="174" t="s">
        <v>2826</v>
      </c>
      <c r="H88" s="174">
        <v>620101031</v>
      </c>
      <c r="I88" s="174" t="s">
        <v>34</v>
      </c>
      <c r="J88" s="174" t="s">
        <v>99</v>
      </c>
      <c r="K88" s="175">
        <v>43190</v>
      </c>
      <c r="L88" s="176">
        <v>120000</v>
      </c>
      <c r="M88" s="176">
        <v>451.08</v>
      </c>
      <c r="N88" s="176">
        <v>21000</v>
      </c>
      <c r="O88" s="176">
        <v>78.938999999999993</v>
      </c>
      <c r="P88" s="177">
        <v>0.17499999999999999</v>
      </c>
      <c r="Q88" s="174"/>
    </row>
    <row r="89" spans="1:17" s="178" customFormat="1" ht="14.1" customHeight="1">
      <c r="A89" s="174">
        <v>424</v>
      </c>
      <c r="B89" s="174">
        <v>7229</v>
      </c>
      <c r="C89" s="174" t="s">
        <v>1069</v>
      </c>
      <c r="D89" s="174" t="s">
        <v>3249</v>
      </c>
      <c r="E89" s="174" t="s">
        <v>3250</v>
      </c>
      <c r="F89" s="174" t="s">
        <v>34</v>
      </c>
      <c r="G89" s="174" t="s">
        <v>2827</v>
      </c>
      <c r="H89" s="174">
        <v>62014857</v>
      </c>
      <c r="I89" s="174" t="s">
        <v>34</v>
      </c>
      <c r="J89" s="174" t="s">
        <v>99</v>
      </c>
      <c r="K89" s="175">
        <v>43555</v>
      </c>
      <c r="L89" s="176">
        <v>120000</v>
      </c>
      <c r="M89" s="176">
        <v>451.08</v>
      </c>
      <c r="N89" s="176">
        <v>31200</v>
      </c>
      <c r="O89" s="176">
        <v>117.2808</v>
      </c>
      <c r="P89" s="177">
        <v>0.26</v>
      </c>
      <c r="Q89" s="174"/>
    </row>
    <row r="90" spans="1:17" s="178" customFormat="1" ht="14.1" customHeight="1">
      <c r="A90" s="174">
        <v>424</v>
      </c>
      <c r="B90" s="174">
        <v>7229</v>
      </c>
      <c r="C90" s="174" t="s">
        <v>1069</v>
      </c>
      <c r="D90" s="174" t="s">
        <v>3249</v>
      </c>
      <c r="E90" s="174" t="s">
        <v>3250</v>
      </c>
      <c r="F90" s="174" t="s">
        <v>34</v>
      </c>
      <c r="G90" s="174" t="s">
        <v>2829</v>
      </c>
      <c r="H90" s="174">
        <v>62019476</v>
      </c>
      <c r="I90" s="174" t="s">
        <v>34</v>
      </c>
      <c r="J90" s="174" t="s">
        <v>99</v>
      </c>
      <c r="K90" s="175">
        <v>44469</v>
      </c>
      <c r="L90" s="176">
        <v>120000</v>
      </c>
      <c r="M90" s="176">
        <v>451.08</v>
      </c>
      <c r="N90" s="176">
        <v>46127</v>
      </c>
      <c r="O90" s="176">
        <v>173.39139299999999</v>
      </c>
      <c r="P90" s="177">
        <v>0.38439166666666669</v>
      </c>
      <c r="Q90" s="174"/>
    </row>
    <row r="91" spans="1:17" s="178" customFormat="1" ht="14.1" customHeight="1">
      <c r="A91" s="174">
        <v>424</v>
      </c>
      <c r="B91" s="174">
        <v>7229</v>
      </c>
      <c r="C91" s="174" t="s">
        <v>1069</v>
      </c>
      <c r="D91" s="174" t="s">
        <v>3249</v>
      </c>
      <c r="E91" s="174" t="s">
        <v>3250</v>
      </c>
      <c r="F91" s="174" t="s">
        <v>34</v>
      </c>
      <c r="G91" s="174" t="s">
        <v>2832</v>
      </c>
      <c r="H91" s="174">
        <v>62017678</v>
      </c>
      <c r="I91" s="174" t="s">
        <v>34</v>
      </c>
      <c r="J91" s="174" t="s">
        <v>99</v>
      </c>
      <c r="K91" s="175">
        <v>43921</v>
      </c>
      <c r="L91" s="176">
        <v>240000</v>
      </c>
      <c r="M91" s="176">
        <v>902.16</v>
      </c>
      <c r="N91" s="176">
        <v>7200</v>
      </c>
      <c r="O91" s="176">
        <v>27.064799999999998</v>
      </c>
      <c r="P91" s="177">
        <v>0.03</v>
      </c>
      <c r="Q91" s="174"/>
    </row>
    <row r="92" spans="1:17" s="178" customFormat="1" ht="14.1" customHeight="1">
      <c r="A92" s="174">
        <v>424</v>
      </c>
      <c r="B92" s="174">
        <v>7229</v>
      </c>
      <c r="C92" s="174" t="s">
        <v>1069</v>
      </c>
      <c r="D92" s="174" t="s">
        <v>3249</v>
      </c>
      <c r="E92" s="174" t="s">
        <v>3250</v>
      </c>
      <c r="F92" s="174" t="s">
        <v>34</v>
      </c>
      <c r="G92" s="174" t="s">
        <v>2830</v>
      </c>
      <c r="H92" s="174">
        <v>62020458</v>
      </c>
      <c r="I92" s="174" t="s">
        <v>34</v>
      </c>
      <c r="J92" s="174" t="s">
        <v>99</v>
      </c>
      <c r="K92" s="175">
        <v>44742</v>
      </c>
      <c r="L92" s="176">
        <v>100000</v>
      </c>
      <c r="M92" s="176">
        <v>375.9</v>
      </c>
      <c r="N92" s="176">
        <v>15000</v>
      </c>
      <c r="O92" s="176">
        <v>56.384999999999998</v>
      </c>
      <c r="P92" s="177">
        <v>0.15</v>
      </c>
      <c r="Q92" s="174"/>
    </row>
    <row r="93" spans="1:17" s="178" customFormat="1" ht="14.1" customHeight="1">
      <c r="A93" s="174">
        <v>424</v>
      </c>
      <c r="B93" s="174">
        <v>7229</v>
      </c>
      <c r="C93" s="174" t="s">
        <v>1069</v>
      </c>
      <c r="D93" s="174" t="s">
        <v>3246</v>
      </c>
      <c r="E93" s="174" t="s">
        <v>2793</v>
      </c>
      <c r="F93" s="174" t="s">
        <v>361</v>
      </c>
      <c r="G93" s="174" t="s">
        <v>2790</v>
      </c>
      <c r="H93" s="174">
        <v>62016654</v>
      </c>
      <c r="I93" s="174" t="s">
        <v>34</v>
      </c>
      <c r="J93" s="174" t="s">
        <v>99</v>
      </c>
      <c r="K93" s="175">
        <v>43921</v>
      </c>
      <c r="L93" s="176">
        <v>180000</v>
      </c>
      <c r="M93" s="176">
        <v>676.62</v>
      </c>
      <c r="N93" s="176">
        <v>43170</v>
      </c>
      <c r="O93" s="176">
        <v>162.27602999999999</v>
      </c>
      <c r="P93" s="177">
        <v>0.23983333333333334</v>
      </c>
      <c r="Q93" s="174"/>
    </row>
    <row r="94" spans="1:17" s="178" customFormat="1" ht="14.1" customHeight="1">
      <c r="A94" s="174">
        <v>424</v>
      </c>
      <c r="B94" s="174">
        <v>7229</v>
      </c>
      <c r="C94" s="174" t="s">
        <v>1069</v>
      </c>
      <c r="D94" s="174" t="s">
        <v>2744</v>
      </c>
      <c r="E94" s="174" t="s">
        <v>2745</v>
      </c>
      <c r="F94" s="174" t="s">
        <v>1376</v>
      </c>
      <c r="G94" s="174" t="s">
        <v>2744</v>
      </c>
      <c r="H94" s="174">
        <v>18952</v>
      </c>
      <c r="I94" s="174" t="s">
        <v>34</v>
      </c>
      <c r="J94" s="174" t="s">
        <v>35</v>
      </c>
      <c r="K94" s="175">
        <v>42825</v>
      </c>
      <c r="L94" s="176">
        <v>260000</v>
      </c>
      <c r="M94" s="176">
        <v>260</v>
      </c>
      <c r="N94" s="176">
        <v>44615</v>
      </c>
      <c r="O94" s="176">
        <v>44.615000000000002</v>
      </c>
      <c r="P94" s="177">
        <v>0.17159615384615384</v>
      </c>
      <c r="Q94" s="174"/>
    </row>
    <row r="95" spans="1:17" s="178" customFormat="1" ht="14.1" customHeight="1">
      <c r="A95" s="174">
        <v>424</v>
      </c>
      <c r="B95" s="174">
        <v>7229</v>
      </c>
      <c r="C95" s="174" t="s">
        <v>1069</v>
      </c>
      <c r="D95" s="174" t="s">
        <v>2744</v>
      </c>
      <c r="E95" s="174" t="s">
        <v>2745</v>
      </c>
      <c r="F95" s="174" t="s">
        <v>1376</v>
      </c>
      <c r="G95" s="174" t="s">
        <v>2746</v>
      </c>
      <c r="H95" s="174">
        <v>50007004</v>
      </c>
      <c r="I95" s="174" t="s">
        <v>34</v>
      </c>
      <c r="J95" s="174" t="s">
        <v>35</v>
      </c>
      <c r="K95" s="175">
        <v>44469</v>
      </c>
      <c r="L95" s="176">
        <v>800000</v>
      </c>
      <c r="M95" s="176">
        <v>800</v>
      </c>
      <c r="N95" s="176">
        <v>297630</v>
      </c>
      <c r="O95" s="176">
        <v>297.63</v>
      </c>
      <c r="P95" s="177">
        <v>0.37203750000000002</v>
      </c>
      <c r="Q95" s="174"/>
    </row>
    <row r="96" spans="1:17" s="178" customFormat="1" ht="14.1" customHeight="1">
      <c r="A96" s="174">
        <v>424</v>
      </c>
      <c r="B96" s="174">
        <v>7229</v>
      </c>
      <c r="C96" s="174" t="s">
        <v>1069</v>
      </c>
      <c r="D96" s="174" t="s">
        <v>2675</v>
      </c>
      <c r="E96" s="174" t="s">
        <v>2676</v>
      </c>
      <c r="F96" s="174" t="s">
        <v>360</v>
      </c>
      <c r="G96" s="174" t="s">
        <v>2677</v>
      </c>
      <c r="H96" s="174">
        <v>50000983</v>
      </c>
      <c r="I96" s="174" t="s">
        <v>34</v>
      </c>
      <c r="J96" s="174" t="s">
        <v>35</v>
      </c>
      <c r="K96" s="175">
        <v>43555</v>
      </c>
      <c r="L96" s="176">
        <v>500000</v>
      </c>
      <c r="M96" s="176">
        <v>500</v>
      </c>
      <c r="N96" s="176">
        <v>144280</v>
      </c>
      <c r="O96" s="176">
        <v>144.28</v>
      </c>
      <c r="P96" s="177">
        <v>0.28855999999999998</v>
      </c>
      <c r="Q96" s="174"/>
    </row>
    <row r="97" spans="1:17" s="178" customFormat="1" ht="14.1" customHeight="1">
      <c r="A97" s="174">
        <v>424</v>
      </c>
      <c r="B97" s="174">
        <v>7229</v>
      </c>
      <c r="C97" s="174" t="s">
        <v>1069</v>
      </c>
      <c r="D97" s="174" t="s">
        <v>3257</v>
      </c>
      <c r="E97" s="174" t="s">
        <v>3258</v>
      </c>
      <c r="F97" s="174" t="s">
        <v>34</v>
      </c>
      <c r="G97" s="174" t="s">
        <v>2888</v>
      </c>
      <c r="H97" s="174">
        <v>62009204</v>
      </c>
      <c r="I97" s="174" t="s">
        <v>34</v>
      </c>
      <c r="J97" s="174" t="s">
        <v>99</v>
      </c>
      <c r="K97" s="175">
        <v>43190</v>
      </c>
      <c r="L97" s="176">
        <v>120000</v>
      </c>
      <c r="M97" s="176">
        <v>451.08</v>
      </c>
      <c r="N97" s="176">
        <v>11011</v>
      </c>
      <c r="O97" s="176">
        <v>41.390349000000001</v>
      </c>
      <c r="P97" s="177">
        <v>9.1758333333333331E-2</v>
      </c>
      <c r="Q97" s="174"/>
    </row>
    <row r="98" spans="1:17" s="178" customFormat="1" ht="14.1" customHeight="1">
      <c r="A98" s="174">
        <v>424</v>
      </c>
      <c r="B98" s="174">
        <v>7229</v>
      </c>
      <c r="C98" s="174" t="s">
        <v>1069</v>
      </c>
      <c r="D98" s="174" t="s">
        <v>3259</v>
      </c>
      <c r="E98" s="174">
        <v>0</v>
      </c>
      <c r="F98" s="174" t="s">
        <v>361</v>
      </c>
      <c r="G98" s="174" t="s">
        <v>2902</v>
      </c>
      <c r="H98" s="174">
        <v>62010137</v>
      </c>
      <c r="I98" s="174" t="s">
        <v>34</v>
      </c>
      <c r="J98" s="174" t="s">
        <v>99</v>
      </c>
      <c r="K98" s="175">
        <v>43190</v>
      </c>
      <c r="L98" s="176">
        <v>120000</v>
      </c>
      <c r="M98" s="176">
        <v>451.08</v>
      </c>
      <c r="N98" s="176">
        <v>35673</v>
      </c>
      <c r="O98" s="176">
        <v>134.094807</v>
      </c>
      <c r="P98" s="177">
        <v>0.29727500000000001</v>
      </c>
      <c r="Q98" s="174"/>
    </row>
    <row r="99" spans="1:17" s="178" customFormat="1" ht="14.1" customHeight="1">
      <c r="A99" s="174">
        <v>424</v>
      </c>
      <c r="B99" s="174">
        <v>7229</v>
      </c>
      <c r="C99" s="174" t="s">
        <v>1069</v>
      </c>
      <c r="D99" s="174" t="s">
        <v>3260</v>
      </c>
      <c r="E99" s="174" t="s">
        <v>3261</v>
      </c>
      <c r="F99" s="174" t="s">
        <v>360</v>
      </c>
      <c r="G99" s="174" t="s">
        <v>2892</v>
      </c>
      <c r="H99" s="174">
        <v>62019807</v>
      </c>
      <c r="I99" s="174" t="s">
        <v>34</v>
      </c>
      <c r="J99" s="174" t="s">
        <v>99</v>
      </c>
      <c r="K99" s="175">
        <v>44561</v>
      </c>
      <c r="L99" s="176">
        <v>250000</v>
      </c>
      <c r="M99" s="176">
        <v>939.75</v>
      </c>
      <c r="N99" s="176">
        <v>54955</v>
      </c>
      <c r="O99" s="176">
        <v>206.57584500000002</v>
      </c>
      <c r="P99" s="177">
        <v>0.21981999999999999</v>
      </c>
      <c r="Q99" s="174"/>
    </row>
    <row r="100" spans="1:17" s="178" customFormat="1" ht="14.1" customHeight="1">
      <c r="A100" s="174">
        <v>424</v>
      </c>
      <c r="B100" s="174">
        <v>7229</v>
      </c>
      <c r="C100" s="174" t="s">
        <v>1069</v>
      </c>
      <c r="D100" s="174" t="s">
        <v>3260</v>
      </c>
      <c r="E100" s="174" t="s">
        <v>3261</v>
      </c>
      <c r="F100" s="174" t="s">
        <v>360</v>
      </c>
      <c r="G100" s="174" t="s">
        <v>2880</v>
      </c>
      <c r="H100" s="174">
        <v>62021571</v>
      </c>
      <c r="I100" s="174" t="s">
        <v>34</v>
      </c>
      <c r="J100" s="174" t="s">
        <v>1219</v>
      </c>
      <c r="K100" s="175">
        <v>45382</v>
      </c>
      <c r="L100" s="176">
        <v>100000</v>
      </c>
      <c r="M100" s="176">
        <v>402.02</v>
      </c>
      <c r="N100" s="176">
        <v>59124.56</v>
      </c>
      <c r="O100" s="176">
        <v>237.69255611199998</v>
      </c>
      <c r="P100" s="177">
        <v>0.59124559999999993</v>
      </c>
      <c r="Q100" s="174"/>
    </row>
    <row r="101" spans="1:17" s="178" customFormat="1" ht="14.1" customHeight="1">
      <c r="A101" s="174">
        <v>424</v>
      </c>
      <c r="B101" s="174">
        <v>7229</v>
      </c>
      <c r="C101" s="174" t="s">
        <v>1069</v>
      </c>
      <c r="D101" s="174" t="s">
        <v>2666</v>
      </c>
      <c r="E101" s="174" t="s">
        <v>2932</v>
      </c>
      <c r="F101" s="174" t="s">
        <v>34</v>
      </c>
      <c r="G101" s="174" t="s">
        <v>2666</v>
      </c>
      <c r="H101" s="174">
        <v>62017538</v>
      </c>
      <c r="I101" s="174" t="s">
        <v>34</v>
      </c>
      <c r="J101" s="174" t="s">
        <v>99</v>
      </c>
      <c r="K101" s="175">
        <v>43921</v>
      </c>
      <c r="L101" s="176">
        <v>300000</v>
      </c>
      <c r="M101" s="176">
        <v>1127.7</v>
      </c>
      <c r="N101" s="176">
        <v>51000</v>
      </c>
      <c r="O101" s="176">
        <v>191.709</v>
      </c>
      <c r="P101" s="177">
        <v>0.17</v>
      </c>
      <c r="Q101" s="174"/>
    </row>
    <row r="102" spans="1:17" s="178" customFormat="1" ht="14.1" customHeight="1">
      <c r="A102" s="174">
        <v>424</v>
      </c>
      <c r="B102" s="174">
        <v>7229</v>
      </c>
      <c r="C102" s="174" t="s">
        <v>1069</v>
      </c>
      <c r="D102" s="174" t="s">
        <v>2857</v>
      </c>
      <c r="E102" s="174" t="s">
        <v>3266</v>
      </c>
      <c r="F102" s="174" t="s">
        <v>34</v>
      </c>
      <c r="G102" s="174" t="s">
        <v>2857</v>
      </c>
      <c r="H102" s="174">
        <v>62017652</v>
      </c>
      <c r="I102" s="174" t="s">
        <v>34</v>
      </c>
      <c r="J102" s="174" t="s">
        <v>99</v>
      </c>
      <c r="K102" s="175">
        <v>43921</v>
      </c>
      <c r="L102" s="176">
        <v>200000</v>
      </c>
      <c r="M102" s="176">
        <v>751.8</v>
      </c>
      <c r="N102" s="176">
        <v>61623.78</v>
      </c>
      <c r="O102" s="176">
        <v>231.64378901999999</v>
      </c>
      <c r="P102" s="177">
        <v>0.30811889999999997</v>
      </c>
      <c r="Q102" s="174"/>
    </row>
    <row r="103" spans="1:17" s="178" customFormat="1" ht="14.1" customHeight="1">
      <c r="A103" s="174">
        <v>424</v>
      </c>
      <c r="B103" s="174">
        <v>7229</v>
      </c>
      <c r="C103" s="174" t="s">
        <v>1069</v>
      </c>
      <c r="D103" s="174" t="s">
        <v>2857</v>
      </c>
      <c r="E103" s="174" t="s">
        <v>3266</v>
      </c>
      <c r="F103" s="174" t="s">
        <v>34</v>
      </c>
      <c r="G103" s="174" t="s">
        <v>2861</v>
      </c>
      <c r="H103" s="174">
        <v>62021142</v>
      </c>
      <c r="I103" s="174" t="s">
        <v>34</v>
      </c>
      <c r="J103" s="174" t="s">
        <v>99</v>
      </c>
      <c r="K103" s="175">
        <v>45016</v>
      </c>
      <c r="L103" s="176">
        <v>210000</v>
      </c>
      <c r="M103" s="176">
        <v>789.39</v>
      </c>
      <c r="N103" s="176">
        <v>94500</v>
      </c>
      <c r="O103" s="176">
        <v>355.22550000000001</v>
      </c>
      <c r="P103" s="177">
        <v>0.45</v>
      </c>
      <c r="Q103" s="174"/>
    </row>
    <row r="104" spans="1:17" s="178" customFormat="1" ht="14.1" customHeight="1">
      <c r="A104" s="174">
        <v>424</v>
      </c>
      <c r="B104" s="174">
        <v>7229</v>
      </c>
      <c r="C104" s="174" t="s">
        <v>1069</v>
      </c>
      <c r="D104" s="174" t="s">
        <v>3270</v>
      </c>
      <c r="E104" s="174" t="s">
        <v>3271</v>
      </c>
      <c r="F104" s="174" t="s">
        <v>34</v>
      </c>
      <c r="G104" s="174" t="s">
        <v>2798</v>
      </c>
      <c r="H104" s="174">
        <v>62018064</v>
      </c>
      <c r="I104" s="174" t="s">
        <v>34</v>
      </c>
      <c r="J104" s="174" t="s">
        <v>99</v>
      </c>
      <c r="K104" s="175">
        <v>44286</v>
      </c>
      <c r="L104" s="176">
        <v>100000</v>
      </c>
      <c r="M104" s="176">
        <v>375.9</v>
      </c>
      <c r="N104" s="176">
        <v>15261</v>
      </c>
      <c r="O104" s="176">
        <v>57.366099000000006</v>
      </c>
      <c r="P104" s="177">
        <v>0.15261</v>
      </c>
      <c r="Q104" s="174"/>
    </row>
    <row r="105" spans="1:17" s="178" customFormat="1" ht="14.1" customHeight="1">
      <c r="A105" s="174">
        <v>424</v>
      </c>
      <c r="B105" s="174">
        <v>7229</v>
      </c>
      <c r="C105" s="174" t="s">
        <v>1069</v>
      </c>
      <c r="D105" s="174" t="s">
        <v>2804</v>
      </c>
      <c r="E105" s="174" t="s">
        <v>3277</v>
      </c>
      <c r="F105" s="174" t="s">
        <v>1376</v>
      </c>
      <c r="G105" s="174" t="s">
        <v>2804</v>
      </c>
      <c r="H105" s="174">
        <v>62018908</v>
      </c>
      <c r="I105" s="174" t="s">
        <v>34</v>
      </c>
      <c r="J105" s="174" t="s">
        <v>99</v>
      </c>
      <c r="K105" s="175">
        <v>44286</v>
      </c>
      <c r="L105" s="176">
        <v>200000</v>
      </c>
      <c r="M105" s="176">
        <v>751.8</v>
      </c>
      <c r="N105" s="176">
        <v>30686.820000000036</v>
      </c>
      <c r="O105" s="176">
        <v>115.35175638000014</v>
      </c>
      <c r="P105" s="177">
        <v>0.15343410000000018</v>
      </c>
      <c r="Q105" s="174"/>
    </row>
    <row r="106" spans="1:17" s="178" customFormat="1" ht="14.1" customHeight="1">
      <c r="A106" s="174">
        <v>424</v>
      </c>
      <c r="B106" s="174">
        <v>7229</v>
      </c>
      <c r="C106" s="174" t="s">
        <v>1069</v>
      </c>
      <c r="D106" s="174" t="s">
        <v>2756</v>
      </c>
      <c r="E106" s="174">
        <v>0</v>
      </c>
      <c r="F106" s="174" t="s">
        <v>203</v>
      </c>
      <c r="G106" s="174" t="s">
        <v>2756</v>
      </c>
      <c r="H106" s="174">
        <v>50007160</v>
      </c>
      <c r="I106" s="174" t="s">
        <v>34</v>
      </c>
      <c r="J106" s="174" t="s">
        <v>35</v>
      </c>
      <c r="K106" s="175">
        <v>44561</v>
      </c>
      <c r="L106" s="176">
        <v>600000</v>
      </c>
      <c r="M106" s="176">
        <v>600</v>
      </c>
      <c r="N106" s="176">
        <v>286693</v>
      </c>
      <c r="O106" s="176">
        <v>286.69299999999998</v>
      </c>
      <c r="P106" s="177">
        <v>0.47782166666666664</v>
      </c>
      <c r="Q106" s="174"/>
    </row>
    <row r="107" spans="1:17" s="178" customFormat="1" ht="14.1" customHeight="1">
      <c r="A107" s="174">
        <v>424</v>
      </c>
      <c r="B107" s="174">
        <v>7229</v>
      </c>
      <c r="C107" s="174" t="s">
        <v>1069</v>
      </c>
      <c r="D107" s="174" t="s">
        <v>2769</v>
      </c>
      <c r="E107" s="174" t="s">
        <v>3279</v>
      </c>
      <c r="F107" s="174" t="s">
        <v>34</v>
      </c>
      <c r="G107" s="174" t="s">
        <v>2769</v>
      </c>
      <c r="H107" s="174">
        <v>62019815</v>
      </c>
      <c r="I107" s="174" t="s">
        <v>34</v>
      </c>
      <c r="J107" s="174" t="s">
        <v>99</v>
      </c>
      <c r="K107" s="175">
        <v>44561</v>
      </c>
      <c r="L107" s="176">
        <v>350000</v>
      </c>
      <c r="M107" s="176">
        <v>1315.65</v>
      </c>
      <c r="N107" s="176">
        <v>251404</v>
      </c>
      <c r="O107" s="176">
        <v>945.02763599999992</v>
      </c>
      <c r="P107" s="177">
        <v>0.71829714285714286</v>
      </c>
      <c r="Q107" s="174"/>
    </row>
    <row r="108" spans="1:17" s="178" customFormat="1" ht="14.1" customHeight="1">
      <c r="A108" s="174">
        <v>424</v>
      </c>
      <c r="B108" s="174">
        <v>7229</v>
      </c>
      <c r="C108" s="174" t="s">
        <v>1069</v>
      </c>
      <c r="D108" s="174" t="s">
        <v>2762</v>
      </c>
      <c r="E108" s="174">
        <v>0</v>
      </c>
      <c r="F108" s="174" t="s">
        <v>203</v>
      </c>
      <c r="G108" s="174" t="s">
        <v>2762</v>
      </c>
      <c r="H108" s="174">
        <v>62021365</v>
      </c>
      <c r="I108" s="174" t="s">
        <v>34</v>
      </c>
      <c r="J108" s="174" t="s">
        <v>99</v>
      </c>
      <c r="K108" s="175">
        <v>45016</v>
      </c>
      <c r="L108" s="176">
        <v>220000</v>
      </c>
      <c r="M108" s="176">
        <v>826.98</v>
      </c>
      <c r="N108" s="176">
        <v>196034</v>
      </c>
      <c r="O108" s="176">
        <v>736.89180599999997</v>
      </c>
      <c r="P108" s="177">
        <v>0.89106363636363639</v>
      </c>
      <c r="Q108" s="174"/>
    </row>
    <row r="109" spans="1:17" s="178" customFormat="1" ht="14.1" customHeight="1">
      <c r="A109" s="174">
        <v>424</v>
      </c>
      <c r="B109" s="174">
        <v>7229</v>
      </c>
      <c r="C109" s="174" t="s">
        <v>1069</v>
      </c>
      <c r="D109" s="174" t="s">
        <v>2748</v>
      </c>
      <c r="E109" s="174" t="s">
        <v>2749</v>
      </c>
      <c r="F109" s="174" t="s">
        <v>1376</v>
      </c>
      <c r="G109" s="174" t="s">
        <v>2748</v>
      </c>
      <c r="H109" s="174">
        <v>50007350</v>
      </c>
      <c r="I109" s="174" t="s">
        <v>34</v>
      </c>
      <c r="J109" s="174" t="s">
        <v>35</v>
      </c>
      <c r="K109" s="175">
        <v>44651</v>
      </c>
      <c r="L109" s="176">
        <v>750000</v>
      </c>
      <c r="M109" s="176">
        <v>750</v>
      </c>
      <c r="N109" s="176">
        <v>174306</v>
      </c>
      <c r="O109" s="176">
        <v>174.30600000000001</v>
      </c>
      <c r="P109" s="177">
        <v>0.232408</v>
      </c>
      <c r="Q109" s="174"/>
    </row>
    <row r="110" spans="1:17" s="178" customFormat="1" ht="14.1" customHeight="1">
      <c r="A110" s="174">
        <v>424</v>
      </c>
      <c r="B110" s="174">
        <v>7229</v>
      </c>
      <c r="C110" s="174" t="s">
        <v>1069</v>
      </c>
      <c r="D110" s="174" t="s">
        <v>3284</v>
      </c>
      <c r="E110" s="174" t="s">
        <v>3285</v>
      </c>
      <c r="F110" s="174" t="s">
        <v>34</v>
      </c>
      <c r="G110" s="174" t="s">
        <v>2838</v>
      </c>
      <c r="H110" s="174">
        <v>62020565</v>
      </c>
      <c r="I110" s="174" t="s">
        <v>34</v>
      </c>
      <c r="J110" s="174" t="s">
        <v>1219</v>
      </c>
      <c r="K110" s="175">
        <v>44651</v>
      </c>
      <c r="L110" s="176">
        <v>175000</v>
      </c>
      <c r="M110" s="176">
        <v>703.53499999999997</v>
      </c>
      <c r="N110" s="176">
        <v>96147.59</v>
      </c>
      <c r="O110" s="176">
        <v>386.53254131800003</v>
      </c>
      <c r="P110" s="177">
        <v>0.54941479999999998</v>
      </c>
      <c r="Q110" s="174"/>
    </row>
    <row r="111" spans="1:17" s="178" customFormat="1" ht="14.1" customHeight="1">
      <c r="A111" s="174">
        <v>969</v>
      </c>
      <c r="B111" s="174">
        <v>969</v>
      </c>
      <c r="C111" s="174" t="s">
        <v>1069</v>
      </c>
      <c r="D111" s="174" t="s">
        <v>3233</v>
      </c>
      <c r="E111" s="174" t="s">
        <v>3234</v>
      </c>
      <c r="F111" s="174" t="s">
        <v>34</v>
      </c>
      <c r="G111" s="174" t="s">
        <v>2687</v>
      </c>
      <c r="H111" s="174">
        <v>62002785</v>
      </c>
      <c r="I111" s="174" t="s">
        <v>34</v>
      </c>
      <c r="J111" s="174" t="s">
        <v>99</v>
      </c>
      <c r="K111" s="175">
        <v>42825</v>
      </c>
      <c r="L111" s="176">
        <v>50000</v>
      </c>
      <c r="M111" s="176">
        <v>187.95</v>
      </c>
      <c r="N111" s="176">
        <v>3250</v>
      </c>
      <c r="O111" s="176">
        <v>12.216749999999999</v>
      </c>
      <c r="P111" s="177">
        <v>6.5000000000000002E-2</v>
      </c>
      <c r="Q111" s="174"/>
    </row>
    <row r="112" spans="1:17" s="178" customFormat="1" ht="14.1" customHeight="1">
      <c r="A112" s="174">
        <v>969</v>
      </c>
      <c r="B112" s="174">
        <v>969</v>
      </c>
      <c r="C112" s="174" t="s">
        <v>1069</v>
      </c>
      <c r="D112" s="174" t="s">
        <v>2672</v>
      </c>
      <c r="E112" s="174" t="s">
        <v>2941</v>
      </c>
      <c r="F112" s="174" t="s">
        <v>34</v>
      </c>
      <c r="G112" s="174" t="s">
        <v>2672</v>
      </c>
      <c r="H112" s="174">
        <v>60401809</v>
      </c>
      <c r="I112" s="174" t="s">
        <v>34</v>
      </c>
      <c r="J112" s="174" t="s">
        <v>99</v>
      </c>
      <c r="K112" s="175">
        <v>42460</v>
      </c>
      <c r="L112" s="176">
        <v>100000</v>
      </c>
      <c r="M112" s="176">
        <v>375.9</v>
      </c>
      <c r="N112" s="176">
        <v>1000</v>
      </c>
      <c r="O112" s="176">
        <v>3.7589999999999999</v>
      </c>
      <c r="P112" s="177">
        <v>0.01</v>
      </c>
      <c r="Q112" s="174"/>
    </row>
    <row r="113" spans="1:17" s="178" customFormat="1" ht="14.1" customHeight="1">
      <c r="A113" s="174">
        <v>969</v>
      </c>
      <c r="B113" s="174">
        <v>969</v>
      </c>
      <c r="C113" s="174" t="s">
        <v>1069</v>
      </c>
      <c r="D113" s="174" t="s">
        <v>2732</v>
      </c>
      <c r="E113" s="174">
        <v>0</v>
      </c>
      <c r="F113" s="174" t="s">
        <v>203</v>
      </c>
      <c r="G113" s="174" t="s">
        <v>2711</v>
      </c>
      <c r="H113" s="174">
        <v>60406600</v>
      </c>
      <c r="I113" s="174" t="s">
        <v>34</v>
      </c>
      <c r="J113" s="174" t="s">
        <v>99</v>
      </c>
      <c r="K113" s="175">
        <v>42460</v>
      </c>
      <c r="L113" s="176">
        <v>100000</v>
      </c>
      <c r="M113" s="176">
        <v>375.9</v>
      </c>
      <c r="N113" s="176">
        <v>7998</v>
      </c>
      <c r="O113" s="176">
        <v>30.064482000000002</v>
      </c>
      <c r="P113" s="177">
        <v>7.9979999999999996E-2</v>
      </c>
      <c r="Q113" s="174"/>
    </row>
    <row r="114" spans="1:17" s="178" customFormat="1" ht="14.1" customHeight="1">
      <c r="A114" s="174">
        <v>969</v>
      </c>
      <c r="B114" s="174">
        <v>969</v>
      </c>
      <c r="C114" s="174" t="s">
        <v>1069</v>
      </c>
      <c r="D114" s="174" t="s">
        <v>2732</v>
      </c>
      <c r="E114" s="174">
        <v>0</v>
      </c>
      <c r="F114" s="174" t="s">
        <v>203</v>
      </c>
      <c r="G114" s="174" t="s">
        <v>2735</v>
      </c>
      <c r="H114" s="174">
        <v>62007349</v>
      </c>
      <c r="I114" s="174" t="s">
        <v>34</v>
      </c>
      <c r="J114" s="174" t="s">
        <v>99</v>
      </c>
      <c r="K114" s="175">
        <v>43190</v>
      </c>
      <c r="L114" s="176">
        <v>100000</v>
      </c>
      <c r="M114" s="176">
        <v>375.9</v>
      </c>
      <c r="N114" s="176">
        <v>9999</v>
      </c>
      <c r="O114" s="176">
        <v>37.586241000000001</v>
      </c>
      <c r="P114" s="177">
        <v>9.9989999999999996E-2</v>
      </c>
      <c r="Q114" s="174"/>
    </row>
    <row r="115" spans="1:17" s="178" customFormat="1" ht="14.1" customHeight="1">
      <c r="A115" s="174">
        <v>969</v>
      </c>
      <c r="B115" s="174">
        <v>969</v>
      </c>
      <c r="C115" s="174" t="s">
        <v>1069</v>
      </c>
      <c r="D115" s="174" t="s">
        <v>3239</v>
      </c>
      <c r="E115" s="174" t="s">
        <v>2645</v>
      </c>
      <c r="F115" s="174" t="s">
        <v>34</v>
      </c>
      <c r="G115" s="174" t="s">
        <v>2751</v>
      </c>
      <c r="H115" s="174">
        <v>60400892</v>
      </c>
      <c r="I115" s="174" t="s">
        <v>34</v>
      </c>
      <c r="J115" s="174" t="s">
        <v>99</v>
      </c>
      <c r="K115" s="175">
        <v>42460</v>
      </c>
      <c r="L115" s="176">
        <v>375000</v>
      </c>
      <c r="M115" s="176">
        <v>1409.625</v>
      </c>
      <c r="N115" s="176">
        <v>62547</v>
      </c>
      <c r="O115" s="176">
        <v>235.11417299999999</v>
      </c>
      <c r="P115" s="177">
        <v>0.166792</v>
      </c>
      <c r="Q115" s="174"/>
    </row>
    <row r="116" spans="1:17" s="178" customFormat="1" ht="14.1" customHeight="1">
      <c r="A116" s="174">
        <v>969</v>
      </c>
      <c r="B116" s="174">
        <v>969</v>
      </c>
      <c r="C116" s="174" t="s">
        <v>1069</v>
      </c>
      <c r="D116" s="174" t="s">
        <v>3239</v>
      </c>
      <c r="E116" s="174" t="s">
        <v>2645</v>
      </c>
      <c r="F116" s="174" t="s">
        <v>34</v>
      </c>
      <c r="G116" s="174" t="s">
        <v>2646</v>
      </c>
      <c r="H116" s="174">
        <v>62018312</v>
      </c>
      <c r="I116" s="174" t="s">
        <v>34</v>
      </c>
      <c r="J116" s="174" t="s">
        <v>99</v>
      </c>
      <c r="K116" s="175">
        <v>44286</v>
      </c>
      <c r="L116" s="176">
        <v>200000</v>
      </c>
      <c r="M116" s="176">
        <v>751.8</v>
      </c>
      <c r="N116" s="176">
        <v>130400</v>
      </c>
      <c r="O116" s="176">
        <v>490.17359999999996</v>
      </c>
      <c r="P116" s="177">
        <v>0.65200000000000002</v>
      </c>
      <c r="Q116" s="174"/>
    </row>
    <row r="117" spans="1:17" s="178" customFormat="1" ht="14.1" customHeight="1">
      <c r="A117" s="174">
        <v>969</v>
      </c>
      <c r="B117" s="174">
        <v>969</v>
      </c>
      <c r="C117" s="174" t="s">
        <v>1069</v>
      </c>
      <c r="D117" s="174" t="s">
        <v>3246</v>
      </c>
      <c r="E117" s="174" t="s">
        <v>2793</v>
      </c>
      <c r="F117" s="174" t="s">
        <v>361</v>
      </c>
      <c r="G117" s="174" t="s">
        <v>2786</v>
      </c>
      <c r="H117" s="174">
        <v>60419041</v>
      </c>
      <c r="I117" s="174" t="s">
        <v>34</v>
      </c>
      <c r="J117" s="174" t="s">
        <v>99</v>
      </c>
      <c r="K117" s="175">
        <v>42460</v>
      </c>
      <c r="L117" s="176">
        <v>100000</v>
      </c>
      <c r="M117" s="176">
        <v>375.9</v>
      </c>
      <c r="N117" s="176">
        <v>10000</v>
      </c>
      <c r="O117" s="176">
        <v>37.590000000000003</v>
      </c>
      <c r="P117" s="177">
        <v>0.1</v>
      </c>
      <c r="Q117" s="174"/>
    </row>
    <row r="118" spans="1:17" s="178" customFormat="1" ht="14.1" customHeight="1">
      <c r="A118" s="174">
        <v>969</v>
      </c>
      <c r="B118" s="174">
        <v>969</v>
      </c>
      <c r="C118" s="174" t="s">
        <v>1069</v>
      </c>
      <c r="D118" s="174" t="s">
        <v>3246</v>
      </c>
      <c r="E118" s="174" t="s">
        <v>2793</v>
      </c>
      <c r="F118" s="174" t="s">
        <v>361</v>
      </c>
      <c r="G118" s="174" t="s">
        <v>2790</v>
      </c>
      <c r="H118" s="174">
        <v>62016654</v>
      </c>
      <c r="I118" s="174" t="s">
        <v>34</v>
      </c>
      <c r="J118" s="174" t="s">
        <v>99</v>
      </c>
      <c r="K118" s="175">
        <v>43921</v>
      </c>
      <c r="L118" s="176">
        <v>120000</v>
      </c>
      <c r="M118" s="176">
        <v>451.08</v>
      </c>
      <c r="N118" s="176">
        <v>27600</v>
      </c>
      <c r="O118" s="176">
        <v>103.74839999999999</v>
      </c>
      <c r="P118" s="177">
        <v>0.23</v>
      </c>
      <c r="Q118" s="174"/>
    </row>
    <row r="119" spans="1:17" s="178" customFormat="1" ht="14.1" customHeight="1">
      <c r="A119" s="174">
        <v>969</v>
      </c>
      <c r="B119" s="174">
        <v>969</v>
      </c>
      <c r="C119" s="174" t="s">
        <v>1069</v>
      </c>
      <c r="D119" s="174" t="s">
        <v>3249</v>
      </c>
      <c r="E119" s="174" t="s">
        <v>3250</v>
      </c>
      <c r="F119" s="174" t="s">
        <v>34</v>
      </c>
      <c r="G119" s="174" t="s">
        <v>2824</v>
      </c>
      <c r="H119" s="174">
        <v>62003800</v>
      </c>
      <c r="I119" s="174" t="s">
        <v>34</v>
      </c>
      <c r="J119" s="174" t="s">
        <v>99</v>
      </c>
      <c r="K119" s="175">
        <v>43008</v>
      </c>
      <c r="L119" s="176">
        <v>160000</v>
      </c>
      <c r="M119" s="176">
        <v>601.44000000000005</v>
      </c>
      <c r="N119" s="176">
        <v>28800</v>
      </c>
      <c r="O119" s="176">
        <v>108.25919999999999</v>
      </c>
      <c r="P119" s="177">
        <v>0.18</v>
      </c>
      <c r="Q119" s="174"/>
    </row>
    <row r="120" spans="1:17" s="178" customFormat="1" ht="14.1" customHeight="1">
      <c r="A120" s="174">
        <v>969</v>
      </c>
      <c r="B120" s="174">
        <v>969</v>
      </c>
      <c r="C120" s="174" t="s">
        <v>1069</v>
      </c>
      <c r="D120" s="174" t="s">
        <v>3249</v>
      </c>
      <c r="E120" s="174" t="s">
        <v>3250</v>
      </c>
      <c r="F120" s="174" t="s">
        <v>34</v>
      </c>
      <c r="G120" s="174" t="s">
        <v>2826</v>
      </c>
      <c r="H120" s="174">
        <v>620101031</v>
      </c>
      <c r="I120" s="174" t="s">
        <v>34</v>
      </c>
      <c r="J120" s="174" t="s">
        <v>99</v>
      </c>
      <c r="K120" s="175">
        <v>43190</v>
      </c>
      <c r="L120" s="176">
        <v>80000</v>
      </c>
      <c r="M120" s="176">
        <v>300.72000000000003</v>
      </c>
      <c r="N120" s="176">
        <v>14000</v>
      </c>
      <c r="O120" s="176">
        <v>52.625999999999998</v>
      </c>
      <c r="P120" s="177">
        <v>0.17499999999999999</v>
      </c>
      <c r="Q120" s="174"/>
    </row>
    <row r="121" spans="1:17" s="178" customFormat="1" ht="14.1" customHeight="1">
      <c r="A121" s="174">
        <v>969</v>
      </c>
      <c r="B121" s="174">
        <v>969</v>
      </c>
      <c r="C121" s="174" t="s">
        <v>1069</v>
      </c>
      <c r="D121" s="174" t="s">
        <v>3249</v>
      </c>
      <c r="E121" s="174" t="s">
        <v>3250</v>
      </c>
      <c r="F121" s="174" t="s">
        <v>34</v>
      </c>
      <c r="G121" s="174" t="s">
        <v>2827</v>
      </c>
      <c r="H121" s="174">
        <v>62014857</v>
      </c>
      <c r="I121" s="174" t="s">
        <v>34</v>
      </c>
      <c r="J121" s="174" t="s">
        <v>99</v>
      </c>
      <c r="K121" s="175">
        <v>43555</v>
      </c>
      <c r="L121" s="176">
        <v>80000</v>
      </c>
      <c r="M121" s="176">
        <v>300.72000000000003</v>
      </c>
      <c r="N121" s="176">
        <v>20800</v>
      </c>
      <c r="O121" s="176">
        <v>78.18719999999999</v>
      </c>
      <c r="P121" s="177">
        <v>0.26</v>
      </c>
      <c r="Q121" s="174"/>
    </row>
    <row r="122" spans="1:17" s="178" customFormat="1" ht="14.1" customHeight="1">
      <c r="A122" s="174">
        <v>969</v>
      </c>
      <c r="B122" s="174">
        <v>969</v>
      </c>
      <c r="C122" s="174" t="s">
        <v>1069</v>
      </c>
      <c r="D122" s="174" t="s">
        <v>3249</v>
      </c>
      <c r="E122" s="174" t="s">
        <v>3250</v>
      </c>
      <c r="F122" s="174" t="s">
        <v>34</v>
      </c>
      <c r="G122" s="174" t="s">
        <v>2832</v>
      </c>
      <c r="H122" s="174">
        <v>62017678</v>
      </c>
      <c r="I122" s="174" t="s">
        <v>34</v>
      </c>
      <c r="J122" s="174" t="s">
        <v>99</v>
      </c>
      <c r="K122" s="175">
        <v>43921</v>
      </c>
      <c r="L122" s="176">
        <v>160000</v>
      </c>
      <c r="M122" s="176">
        <v>601.44000000000005</v>
      </c>
      <c r="N122" s="176">
        <v>4800</v>
      </c>
      <c r="O122" s="176">
        <v>18.043200000000002</v>
      </c>
      <c r="P122" s="177">
        <v>0.03</v>
      </c>
      <c r="Q122" s="174"/>
    </row>
    <row r="123" spans="1:17" s="178" customFormat="1" ht="14.1" customHeight="1">
      <c r="A123" s="174">
        <v>969</v>
      </c>
      <c r="B123" s="174">
        <v>969</v>
      </c>
      <c r="C123" s="174" t="s">
        <v>1069</v>
      </c>
      <c r="D123" s="174" t="s">
        <v>2668</v>
      </c>
      <c r="E123" s="174" t="s">
        <v>2669</v>
      </c>
      <c r="F123" s="174" t="s">
        <v>34</v>
      </c>
      <c r="G123" s="174" t="s">
        <v>2670</v>
      </c>
      <c r="H123" s="174">
        <v>62001189</v>
      </c>
      <c r="I123" s="174" t="s">
        <v>34</v>
      </c>
      <c r="J123" s="174" t="s">
        <v>99</v>
      </c>
      <c r="K123" s="175">
        <v>42825</v>
      </c>
      <c r="L123" s="176">
        <v>50000</v>
      </c>
      <c r="M123" s="176">
        <v>187.95</v>
      </c>
      <c r="N123" s="176">
        <v>3250</v>
      </c>
      <c r="O123" s="176">
        <v>12.216749999999999</v>
      </c>
      <c r="P123" s="177">
        <v>6.5000000000000002E-2</v>
      </c>
      <c r="Q123" s="174"/>
    </row>
    <row r="124" spans="1:17" s="178" customFormat="1" ht="14.1" customHeight="1">
      <c r="A124" s="174">
        <v>969</v>
      </c>
      <c r="B124" s="174">
        <v>969</v>
      </c>
      <c r="C124" s="174" t="s">
        <v>1069</v>
      </c>
      <c r="D124" s="174" t="s">
        <v>2744</v>
      </c>
      <c r="E124" s="174" t="s">
        <v>2745</v>
      </c>
      <c r="F124" s="174" t="s">
        <v>1376</v>
      </c>
      <c r="G124" s="174" t="s">
        <v>2744</v>
      </c>
      <c r="H124" s="174">
        <v>18952</v>
      </c>
      <c r="I124" s="174" t="s">
        <v>34</v>
      </c>
      <c r="J124" s="174" t="s">
        <v>35</v>
      </c>
      <c r="K124" s="175">
        <v>42825</v>
      </c>
      <c r="L124" s="176">
        <v>180000</v>
      </c>
      <c r="M124" s="176">
        <v>180</v>
      </c>
      <c r="N124" s="176">
        <v>30890</v>
      </c>
      <c r="O124" s="176">
        <v>30.89</v>
      </c>
      <c r="P124" s="177">
        <v>0.1716111111111111</v>
      </c>
      <c r="Q124" s="174"/>
    </row>
    <row r="125" spans="1:17" s="178" customFormat="1" ht="14.1" customHeight="1">
      <c r="A125" s="174">
        <v>969</v>
      </c>
      <c r="B125" s="174">
        <v>969</v>
      </c>
      <c r="C125" s="174" t="s">
        <v>1069</v>
      </c>
      <c r="D125" s="174" t="s">
        <v>2675</v>
      </c>
      <c r="E125" s="174" t="s">
        <v>2676</v>
      </c>
      <c r="F125" s="174" t="s">
        <v>360</v>
      </c>
      <c r="G125" s="174" t="s">
        <v>2677</v>
      </c>
      <c r="H125" s="174">
        <v>50000983</v>
      </c>
      <c r="I125" s="174" t="s">
        <v>34</v>
      </c>
      <c r="J125" s="174" t="s">
        <v>35</v>
      </c>
      <c r="K125" s="175">
        <v>43555</v>
      </c>
      <c r="L125" s="176">
        <v>300000</v>
      </c>
      <c r="M125" s="176">
        <v>300</v>
      </c>
      <c r="N125" s="176">
        <v>90000</v>
      </c>
      <c r="O125" s="176">
        <v>90</v>
      </c>
      <c r="P125" s="177">
        <v>0.3</v>
      </c>
      <c r="Q125" s="174"/>
    </row>
    <row r="126" spans="1:17" s="178" customFormat="1" ht="14.1" customHeight="1">
      <c r="A126" s="174">
        <v>969</v>
      </c>
      <c r="B126" s="174">
        <v>969</v>
      </c>
      <c r="C126" s="174" t="s">
        <v>1069</v>
      </c>
      <c r="D126" s="174" t="s">
        <v>3257</v>
      </c>
      <c r="E126" s="174" t="s">
        <v>3258</v>
      </c>
      <c r="F126" s="174" t="s">
        <v>34</v>
      </c>
      <c r="G126" s="174" t="s">
        <v>2888</v>
      </c>
      <c r="H126" s="174">
        <v>62009204</v>
      </c>
      <c r="I126" s="174" t="s">
        <v>34</v>
      </c>
      <c r="J126" s="174" t="s">
        <v>99</v>
      </c>
      <c r="K126" s="175">
        <v>43190</v>
      </c>
      <c r="L126" s="176">
        <v>80000</v>
      </c>
      <c r="M126" s="176">
        <v>300.72000000000003</v>
      </c>
      <c r="N126" s="176">
        <v>7341</v>
      </c>
      <c r="O126" s="176">
        <v>27.594819000000001</v>
      </c>
      <c r="P126" s="177">
        <v>9.1762499999999997E-2</v>
      </c>
      <c r="Q126" s="174"/>
    </row>
    <row r="127" spans="1:17" s="178" customFormat="1" ht="14.1" customHeight="1">
      <c r="A127" s="174">
        <v>969</v>
      </c>
      <c r="B127" s="174">
        <v>969</v>
      </c>
      <c r="C127" s="174" t="s">
        <v>1069</v>
      </c>
      <c r="D127" s="174" t="s">
        <v>3259</v>
      </c>
      <c r="E127" s="174">
        <v>0</v>
      </c>
      <c r="F127" s="174" t="s">
        <v>361</v>
      </c>
      <c r="G127" s="174" t="s">
        <v>2902</v>
      </c>
      <c r="H127" s="174">
        <v>62010137</v>
      </c>
      <c r="I127" s="174" t="s">
        <v>34</v>
      </c>
      <c r="J127" s="174" t="s">
        <v>99</v>
      </c>
      <c r="K127" s="175">
        <v>43190</v>
      </c>
      <c r="L127" s="176">
        <v>80000</v>
      </c>
      <c r="M127" s="176">
        <v>300.72000000000003</v>
      </c>
      <c r="N127" s="176">
        <v>23781</v>
      </c>
      <c r="O127" s="176">
        <v>89.39277899999999</v>
      </c>
      <c r="P127" s="177">
        <v>0.29726249999999999</v>
      </c>
      <c r="Q127" s="174"/>
    </row>
    <row r="128" spans="1:17" s="178" customFormat="1" ht="14.1" customHeight="1">
      <c r="A128" s="174">
        <v>969</v>
      </c>
      <c r="B128" s="174">
        <v>969</v>
      </c>
      <c r="C128" s="174" t="s">
        <v>1069</v>
      </c>
      <c r="D128" s="174" t="s">
        <v>3270</v>
      </c>
      <c r="E128" s="174" t="s">
        <v>3271</v>
      </c>
      <c r="F128" s="174" t="s">
        <v>34</v>
      </c>
      <c r="G128" s="174" t="s">
        <v>2798</v>
      </c>
      <c r="H128" s="174">
        <v>62018064</v>
      </c>
      <c r="I128" s="174" t="s">
        <v>34</v>
      </c>
      <c r="J128" s="174" t="s">
        <v>99</v>
      </c>
      <c r="K128" s="175">
        <v>44286</v>
      </c>
      <c r="L128" s="176">
        <v>100000</v>
      </c>
      <c r="M128" s="176">
        <v>375.9</v>
      </c>
      <c r="N128" s="176">
        <v>15261</v>
      </c>
      <c r="O128" s="176">
        <v>57.366099000000006</v>
      </c>
      <c r="P128" s="177">
        <v>0.15261</v>
      </c>
      <c r="Q128" s="174"/>
    </row>
    <row r="129" spans="1:17" s="178" customFormat="1" ht="14.1" customHeight="1">
      <c r="A129" s="174">
        <v>1182</v>
      </c>
      <c r="B129" s="174">
        <v>1182</v>
      </c>
      <c r="C129" s="174" t="s">
        <v>1069</v>
      </c>
      <c r="D129" s="174" t="s">
        <v>3233</v>
      </c>
      <c r="E129" s="174" t="s">
        <v>3234</v>
      </c>
      <c r="F129" s="174" t="s">
        <v>34</v>
      </c>
      <c r="G129" s="174" t="s">
        <v>2687</v>
      </c>
      <c r="H129" s="174">
        <v>62002785</v>
      </c>
      <c r="I129" s="174" t="s">
        <v>34</v>
      </c>
      <c r="J129" s="174" t="s">
        <v>99</v>
      </c>
      <c r="K129" s="175">
        <v>42825</v>
      </c>
      <c r="L129" s="176">
        <v>100000</v>
      </c>
      <c r="M129" s="176">
        <v>375.9</v>
      </c>
      <c r="N129" s="176">
        <v>6500</v>
      </c>
      <c r="O129" s="176">
        <v>24.433499999999999</v>
      </c>
      <c r="P129" s="177">
        <v>6.5000000000000002E-2</v>
      </c>
      <c r="Q129" s="174"/>
    </row>
    <row r="130" spans="1:17" s="178" customFormat="1" ht="14.1" customHeight="1">
      <c r="A130" s="174">
        <v>1182</v>
      </c>
      <c r="B130" s="174">
        <v>1182</v>
      </c>
      <c r="C130" s="174" t="s">
        <v>1069</v>
      </c>
      <c r="D130" s="174" t="s">
        <v>3233</v>
      </c>
      <c r="E130" s="174" t="s">
        <v>3234</v>
      </c>
      <c r="F130" s="174" t="s">
        <v>34</v>
      </c>
      <c r="G130" s="174" t="s">
        <v>2689</v>
      </c>
      <c r="H130" s="174">
        <v>62017827</v>
      </c>
      <c r="I130" s="174" t="s">
        <v>34</v>
      </c>
      <c r="J130" s="174" t="s">
        <v>99</v>
      </c>
      <c r="K130" s="175">
        <v>44286</v>
      </c>
      <c r="L130" s="176">
        <v>75000</v>
      </c>
      <c r="M130" s="176">
        <v>281.92500000000001</v>
      </c>
      <c r="N130" s="176">
        <v>13687</v>
      </c>
      <c r="O130" s="176">
        <v>51.449432999999999</v>
      </c>
      <c r="P130" s="177">
        <v>0.18249333333333334</v>
      </c>
      <c r="Q130" s="174"/>
    </row>
    <row r="131" spans="1:17" s="178" customFormat="1" ht="14.1" customHeight="1">
      <c r="A131" s="174">
        <v>1182</v>
      </c>
      <c r="B131" s="174">
        <v>1182</v>
      </c>
      <c r="C131" s="174" t="s">
        <v>1069</v>
      </c>
      <c r="D131" s="174" t="s">
        <v>3235</v>
      </c>
      <c r="E131" s="174" t="s">
        <v>3236</v>
      </c>
      <c r="F131" s="174" t="s">
        <v>34</v>
      </c>
      <c r="G131" s="174" t="s">
        <v>2691</v>
      </c>
      <c r="H131" s="174">
        <v>62018247</v>
      </c>
      <c r="I131" s="174" t="s">
        <v>34</v>
      </c>
      <c r="J131" s="174" t="s">
        <v>99</v>
      </c>
      <c r="K131" s="175">
        <v>44286</v>
      </c>
      <c r="L131" s="176">
        <v>250000</v>
      </c>
      <c r="M131" s="176">
        <v>939.75</v>
      </c>
      <c r="N131" s="176">
        <v>65000</v>
      </c>
      <c r="O131" s="176">
        <v>244.33500000000001</v>
      </c>
      <c r="P131" s="177">
        <v>0.26</v>
      </c>
      <c r="Q131" s="174"/>
    </row>
    <row r="132" spans="1:17" s="178" customFormat="1" ht="14.1" customHeight="1">
      <c r="A132" s="174">
        <v>1182</v>
      </c>
      <c r="B132" s="174">
        <v>1182</v>
      </c>
      <c r="C132" s="174" t="s">
        <v>1069</v>
      </c>
      <c r="D132" s="174" t="s">
        <v>2648</v>
      </c>
      <c r="E132" s="174" t="s">
        <v>2649</v>
      </c>
      <c r="F132" s="174" t="s">
        <v>34</v>
      </c>
      <c r="G132" s="174" t="s">
        <v>2654</v>
      </c>
      <c r="H132" s="174">
        <v>62000563</v>
      </c>
      <c r="I132" s="174" t="s">
        <v>34</v>
      </c>
      <c r="J132" s="174" t="s">
        <v>99</v>
      </c>
      <c r="K132" s="175">
        <v>42825</v>
      </c>
      <c r="L132" s="176">
        <v>100000</v>
      </c>
      <c r="M132" s="176">
        <v>375.9</v>
      </c>
      <c r="N132" s="176">
        <v>2250</v>
      </c>
      <c r="O132" s="176">
        <v>8.4577500000000008</v>
      </c>
      <c r="P132" s="177">
        <v>2.2499999999999999E-2</v>
      </c>
      <c r="Q132" s="174"/>
    </row>
    <row r="133" spans="1:17" s="178" customFormat="1" ht="14.1" customHeight="1">
      <c r="A133" s="174">
        <v>1182</v>
      </c>
      <c r="B133" s="174">
        <v>1182</v>
      </c>
      <c r="C133" s="174" t="s">
        <v>1069</v>
      </c>
      <c r="D133" s="174" t="s">
        <v>2648</v>
      </c>
      <c r="E133" s="174" t="s">
        <v>2649</v>
      </c>
      <c r="F133" s="174" t="s">
        <v>34</v>
      </c>
      <c r="G133" s="174" t="s">
        <v>2652</v>
      </c>
      <c r="H133" s="174">
        <v>62019724</v>
      </c>
      <c r="I133" s="174" t="s">
        <v>34</v>
      </c>
      <c r="J133" s="174" t="s">
        <v>99</v>
      </c>
      <c r="K133" s="175">
        <v>44286</v>
      </c>
      <c r="L133" s="176">
        <v>100000</v>
      </c>
      <c r="M133" s="176">
        <v>375.9</v>
      </c>
      <c r="N133" s="176">
        <v>30000</v>
      </c>
      <c r="O133" s="176">
        <v>112.77</v>
      </c>
      <c r="P133" s="177">
        <v>0.3</v>
      </c>
      <c r="Q133" s="174"/>
    </row>
    <row r="134" spans="1:17" s="178" customFormat="1" ht="14.1" customHeight="1">
      <c r="A134" s="174">
        <v>1182</v>
      </c>
      <c r="B134" s="174">
        <v>1182</v>
      </c>
      <c r="C134" s="174" t="s">
        <v>1069</v>
      </c>
      <c r="D134" s="174" t="s">
        <v>2648</v>
      </c>
      <c r="E134" s="174" t="s">
        <v>2649</v>
      </c>
      <c r="F134" s="174" t="s">
        <v>34</v>
      </c>
      <c r="G134" s="174" t="s">
        <v>2681</v>
      </c>
      <c r="H134" s="174">
        <v>62013347</v>
      </c>
      <c r="I134" s="174" t="s">
        <v>34</v>
      </c>
      <c r="J134" s="174" t="s">
        <v>99</v>
      </c>
      <c r="K134" s="175">
        <v>43555</v>
      </c>
      <c r="L134" s="176">
        <v>200000</v>
      </c>
      <c r="M134" s="176">
        <v>751.8</v>
      </c>
      <c r="N134" s="176">
        <v>5111</v>
      </c>
      <c r="O134" s="176">
        <v>19.212249</v>
      </c>
      <c r="P134" s="177">
        <v>2.5555000000000001E-2</v>
      </c>
      <c r="Q134" s="174"/>
    </row>
    <row r="135" spans="1:17" s="178" customFormat="1" ht="14.1" customHeight="1">
      <c r="A135" s="174">
        <v>1182</v>
      </c>
      <c r="B135" s="174">
        <v>1182</v>
      </c>
      <c r="C135" s="174" t="s">
        <v>1069</v>
      </c>
      <c r="D135" s="174" t="s">
        <v>2672</v>
      </c>
      <c r="E135" s="174" t="s">
        <v>2941</v>
      </c>
      <c r="F135" s="174" t="s">
        <v>34</v>
      </c>
      <c r="G135" s="174" t="s">
        <v>2672</v>
      </c>
      <c r="H135" s="174">
        <v>60401809</v>
      </c>
      <c r="I135" s="174" t="s">
        <v>34</v>
      </c>
      <c r="J135" s="174" t="s">
        <v>99</v>
      </c>
      <c r="K135" s="175">
        <v>42460</v>
      </c>
      <c r="L135" s="176">
        <v>100000</v>
      </c>
      <c r="M135" s="176">
        <v>375.9</v>
      </c>
      <c r="N135" s="176">
        <v>1000</v>
      </c>
      <c r="O135" s="176">
        <v>3.7589999999999999</v>
      </c>
      <c r="P135" s="177">
        <v>0.01</v>
      </c>
      <c r="Q135" s="174"/>
    </row>
    <row r="136" spans="1:17" s="178" customFormat="1" ht="14.1" customHeight="1">
      <c r="A136" s="174">
        <v>1182</v>
      </c>
      <c r="B136" s="174">
        <v>1182</v>
      </c>
      <c r="C136" s="174" t="s">
        <v>1069</v>
      </c>
      <c r="D136" s="174" t="s">
        <v>3229</v>
      </c>
      <c r="E136" s="174" t="s">
        <v>3230</v>
      </c>
      <c r="F136" s="174" t="s">
        <v>34</v>
      </c>
      <c r="G136" s="174" t="s">
        <v>2906</v>
      </c>
      <c r="H136" s="174">
        <v>62006366</v>
      </c>
      <c r="I136" s="174" t="s">
        <v>34</v>
      </c>
      <c r="J136" s="174" t="s">
        <v>99</v>
      </c>
      <c r="K136" s="175">
        <v>43190</v>
      </c>
      <c r="L136" s="176">
        <v>100000</v>
      </c>
      <c r="M136" s="176">
        <v>375.9</v>
      </c>
      <c r="N136" s="176">
        <v>9000</v>
      </c>
      <c r="O136" s="176">
        <v>33.831000000000003</v>
      </c>
      <c r="P136" s="177">
        <v>0.09</v>
      </c>
      <c r="Q136" s="174"/>
    </row>
    <row r="137" spans="1:17" s="178" customFormat="1" ht="14.1" customHeight="1">
      <c r="A137" s="174">
        <v>1182</v>
      </c>
      <c r="B137" s="174">
        <v>1182</v>
      </c>
      <c r="C137" s="174" t="s">
        <v>1069</v>
      </c>
      <c r="D137" s="174" t="s">
        <v>2705</v>
      </c>
      <c r="E137" s="174">
        <v>0</v>
      </c>
      <c r="F137" s="174" t="s">
        <v>361</v>
      </c>
      <c r="G137" s="174" t="s">
        <v>2707</v>
      </c>
      <c r="H137" s="174">
        <v>62013024</v>
      </c>
      <c r="I137" s="174" t="s">
        <v>34</v>
      </c>
      <c r="J137" s="174" t="s">
        <v>99</v>
      </c>
      <c r="K137" s="175">
        <v>43555</v>
      </c>
      <c r="L137" s="176">
        <v>200000</v>
      </c>
      <c r="M137" s="176">
        <v>751.8</v>
      </c>
      <c r="N137" s="176">
        <v>60000</v>
      </c>
      <c r="O137" s="176">
        <v>225.54</v>
      </c>
      <c r="P137" s="177">
        <v>0.3</v>
      </c>
      <c r="Q137" s="174"/>
    </row>
    <row r="138" spans="1:17" s="178" customFormat="1" ht="14.1" customHeight="1">
      <c r="A138" s="174">
        <v>1182</v>
      </c>
      <c r="B138" s="174">
        <v>1182</v>
      </c>
      <c r="C138" s="174" t="s">
        <v>1069</v>
      </c>
      <c r="D138" s="174" t="s">
        <v>2732</v>
      </c>
      <c r="E138" s="174">
        <v>0</v>
      </c>
      <c r="F138" s="174" t="s">
        <v>203</v>
      </c>
      <c r="G138" s="174" t="s">
        <v>2711</v>
      </c>
      <c r="H138" s="174">
        <v>60406600</v>
      </c>
      <c r="I138" s="174" t="s">
        <v>34</v>
      </c>
      <c r="J138" s="174" t="s">
        <v>99</v>
      </c>
      <c r="K138" s="175">
        <v>42460</v>
      </c>
      <c r="L138" s="176">
        <v>100000</v>
      </c>
      <c r="M138" s="176">
        <v>375.9</v>
      </c>
      <c r="N138" s="176">
        <v>7998</v>
      </c>
      <c r="O138" s="176">
        <v>30.064482000000002</v>
      </c>
      <c r="P138" s="177">
        <v>7.9979999999999996E-2</v>
      </c>
      <c r="Q138" s="174"/>
    </row>
    <row r="139" spans="1:17" s="178" customFormat="1" ht="14.1" customHeight="1">
      <c r="A139" s="174">
        <v>1182</v>
      </c>
      <c r="B139" s="174">
        <v>1182</v>
      </c>
      <c r="C139" s="174" t="s">
        <v>1069</v>
      </c>
      <c r="D139" s="174" t="s">
        <v>2732</v>
      </c>
      <c r="E139" s="174">
        <v>0</v>
      </c>
      <c r="F139" s="174" t="s">
        <v>203</v>
      </c>
      <c r="G139" s="174" t="s">
        <v>2735</v>
      </c>
      <c r="H139" s="174">
        <v>62007349</v>
      </c>
      <c r="I139" s="174" t="s">
        <v>34</v>
      </c>
      <c r="J139" s="174" t="s">
        <v>99</v>
      </c>
      <c r="K139" s="175">
        <v>43190</v>
      </c>
      <c r="L139" s="176">
        <v>100000</v>
      </c>
      <c r="M139" s="176">
        <v>375.9</v>
      </c>
      <c r="N139" s="176">
        <v>9999</v>
      </c>
      <c r="O139" s="176">
        <v>37.586241000000001</v>
      </c>
      <c r="P139" s="177">
        <v>9.9989999999999996E-2</v>
      </c>
      <c r="Q139" s="174"/>
    </row>
    <row r="140" spans="1:17" s="178" customFormat="1" ht="14.1" customHeight="1">
      <c r="A140" s="174">
        <v>1182</v>
      </c>
      <c r="B140" s="174">
        <v>1182</v>
      </c>
      <c r="C140" s="174" t="s">
        <v>1069</v>
      </c>
      <c r="D140" s="174" t="s">
        <v>2732</v>
      </c>
      <c r="E140" s="174">
        <v>0</v>
      </c>
      <c r="F140" s="174" t="s">
        <v>203</v>
      </c>
      <c r="G140" s="174" t="s">
        <v>2739</v>
      </c>
      <c r="H140" s="174">
        <v>62020755</v>
      </c>
      <c r="I140" s="174" t="s">
        <v>34</v>
      </c>
      <c r="J140" s="174" t="s">
        <v>99</v>
      </c>
      <c r="K140" s="175">
        <v>44651</v>
      </c>
      <c r="L140" s="176">
        <v>400000</v>
      </c>
      <c r="M140" s="176">
        <v>1503.6</v>
      </c>
      <c r="N140" s="176">
        <v>310000</v>
      </c>
      <c r="O140" s="176">
        <v>1165.29</v>
      </c>
      <c r="P140" s="177">
        <v>0.77500000000000002</v>
      </c>
      <c r="Q140" s="174"/>
    </row>
    <row r="141" spans="1:17" s="178" customFormat="1" ht="14.1" customHeight="1">
      <c r="A141" s="174">
        <v>1182</v>
      </c>
      <c r="B141" s="174">
        <v>1182</v>
      </c>
      <c r="C141" s="174" t="s">
        <v>1069</v>
      </c>
      <c r="D141" s="174" t="s">
        <v>2732</v>
      </c>
      <c r="E141" s="174">
        <v>0</v>
      </c>
      <c r="F141" s="174" t="s">
        <v>203</v>
      </c>
      <c r="G141" s="174" t="s">
        <v>2715</v>
      </c>
      <c r="H141" s="174">
        <v>62009048</v>
      </c>
      <c r="I141" s="174" t="s">
        <v>34</v>
      </c>
      <c r="J141" s="174" t="s">
        <v>99</v>
      </c>
      <c r="K141" s="175">
        <v>43190</v>
      </c>
      <c r="L141" s="176">
        <v>200000</v>
      </c>
      <c r="M141" s="176">
        <v>751.8</v>
      </c>
      <c r="N141" s="176">
        <v>9000</v>
      </c>
      <c r="O141" s="176">
        <v>33.831000000000003</v>
      </c>
      <c r="P141" s="177">
        <v>4.4999999999999998E-2</v>
      </c>
      <c r="Q141" s="174"/>
    </row>
    <row r="142" spans="1:17" s="178" customFormat="1" ht="14.1" customHeight="1">
      <c r="A142" s="174">
        <v>1182</v>
      </c>
      <c r="B142" s="174">
        <v>1182</v>
      </c>
      <c r="C142" s="174" t="s">
        <v>1069</v>
      </c>
      <c r="D142" s="174" t="s">
        <v>2732</v>
      </c>
      <c r="E142" s="174">
        <v>0</v>
      </c>
      <c r="F142" s="174" t="s">
        <v>203</v>
      </c>
      <c r="G142" s="174" t="s">
        <v>2733</v>
      </c>
      <c r="H142" s="174">
        <v>62015151</v>
      </c>
      <c r="I142" s="174" t="s">
        <v>34</v>
      </c>
      <c r="J142" s="174" t="s">
        <v>99</v>
      </c>
      <c r="K142" s="175">
        <v>43921</v>
      </c>
      <c r="L142" s="176">
        <v>300000</v>
      </c>
      <c r="M142" s="176">
        <v>1127.7</v>
      </c>
      <c r="N142" s="176">
        <v>91501</v>
      </c>
      <c r="O142" s="176">
        <v>343.95225899999997</v>
      </c>
      <c r="P142" s="177">
        <v>0.30500333333333335</v>
      </c>
      <c r="Q142" s="174"/>
    </row>
    <row r="143" spans="1:17" s="178" customFormat="1" ht="14.1" customHeight="1">
      <c r="A143" s="174">
        <v>1182</v>
      </c>
      <c r="B143" s="174">
        <v>1182</v>
      </c>
      <c r="C143" s="174" t="s">
        <v>1069</v>
      </c>
      <c r="D143" s="174" t="s">
        <v>2732</v>
      </c>
      <c r="E143" s="174">
        <v>0</v>
      </c>
      <c r="F143" s="174" t="s">
        <v>203</v>
      </c>
      <c r="G143" s="174" t="s">
        <v>2719</v>
      </c>
      <c r="H143" s="174">
        <v>62015334</v>
      </c>
      <c r="I143" s="174" t="s">
        <v>34</v>
      </c>
      <c r="J143" s="174" t="s">
        <v>99</v>
      </c>
      <c r="K143" s="175">
        <v>43921</v>
      </c>
      <c r="L143" s="176">
        <v>200000</v>
      </c>
      <c r="M143" s="176">
        <v>751.8</v>
      </c>
      <c r="N143" s="176">
        <v>30000</v>
      </c>
      <c r="O143" s="176">
        <v>112.77</v>
      </c>
      <c r="P143" s="177">
        <v>0.15</v>
      </c>
      <c r="Q143" s="174"/>
    </row>
    <row r="144" spans="1:17" s="178" customFormat="1" ht="14.1" customHeight="1">
      <c r="A144" s="174">
        <v>1182</v>
      </c>
      <c r="B144" s="174">
        <v>1182</v>
      </c>
      <c r="C144" s="174" t="s">
        <v>1069</v>
      </c>
      <c r="D144" s="174" t="s">
        <v>2732</v>
      </c>
      <c r="E144" s="174">
        <v>0</v>
      </c>
      <c r="F144" s="174" t="s">
        <v>203</v>
      </c>
      <c r="G144" s="174" t="s">
        <v>2723</v>
      </c>
      <c r="H144" s="174">
        <v>62017835</v>
      </c>
      <c r="I144" s="174" t="s">
        <v>34</v>
      </c>
      <c r="J144" s="174" t="s">
        <v>99</v>
      </c>
      <c r="K144" s="175">
        <v>44286</v>
      </c>
      <c r="L144" s="176">
        <v>200000</v>
      </c>
      <c r="M144" s="176">
        <v>751.8</v>
      </c>
      <c r="N144" s="176">
        <v>40000</v>
      </c>
      <c r="O144" s="176">
        <v>150.36000000000001</v>
      </c>
      <c r="P144" s="177">
        <v>0.2</v>
      </c>
      <c r="Q144" s="174"/>
    </row>
    <row r="145" spans="1:17" s="178" customFormat="1" ht="14.1" customHeight="1">
      <c r="A145" s="174">
        <v>1182</v>
      </c>
      <c r="B145" s="174">
        <v>1182</v>
      </c>
      <c r="C145" s="174" t="s">
        <v>1069</v>
      </c>
      <c r="D145" s="174" t="s">
        <v>2732</v>
      </c>
      <c r="E145" s="174">
        <v>0</v>
      </c>
      <c r="F145" s="174" t="s">
        <v>203</v>
      </c>
      <c r="G145" s="174" t="s">
        <v>2726</v>
      </c>
      <c r="H145" s="174">
        <v>62020011</v>
      </c>
      <c r="I145" s="174" t="s">
        <v>34</v>
      </c>
      <c r="J145" s="174" t="s">
        <v>99</v>
      </c>
      <c r="K145" s="175">
        <v>44561</v>
      </c>
      <c r="L145" s="176">
        <v>200000</v>
      </c>
      <c r="M145" s="176">
        <v>751.8</v>
      </c>
      <c r="N145" s="176">
        <v>117000</v>
      </c>
      <c r="O145" s="176">
        <v>439.803</v>
      </c>
      <c r="P145" s="177">
        <v>0.58499999999999996</v>
      </c>
      <c r="Q145" s="174"/>
    </row>
    <row r="146" spans="1:17" s="178" customFormat="1" ht="14.1" customHeight="1">
      <c r="A146" s="174">
        <v>1182</v>
      </c>
      <c r="B146" s="174">
        <v>1182</v>
      </c>
      <c r="C146" s="174" t="s">
        <v>1069</v>
      </c>
      <c r="D146" s="174" t="s">
        <v>2732</v>
      </c>
      <c r="E146" s="174">
        <v>0</v>
      </c>
      <c r="F146" s="174" t="s">
        <v>203</v>
      </c>
      <c r="G146" s="174" t="s">
        <v>2730</v>
      </c>
      <c r="H146" s="174">
        <v>62020748</v>
      </c>
      <c r="I146" s="174" t="s">
        <v>34</v>
      </c>
      <c r="J146" s="174" t="s">
        <v>99</v>
      </c>
      <c r="K146" s="175">
        <v>44834</v>
      </c>
      <c r="L146" s="176">
        <v>250000</v>
      </c>
      <c r="M146" s="176">
        <v>939.75</v>
      </c>
      <c r="N146" s="176">
        <v>210000</v>
      </c>
      <c r="O146" s="176">
        <v>789.39</v>
      </c>
      <c r="P146" s="177">
        <v>0.84</v>
      </c>
      <c r="Q146" s="174"/>
    </row>
    <row r="147" spans="1:17" s="178" customFormat="1" ht="14.1" customHeight="1">
      <c r="A147" s="174">
        <v>1182</v>
      </c>
      <c r="B147" s="174">
        <v>1182</v>
      </c>
      <c r="C147" s="174" t="s">
        <v>1069</v>
      </c>
      <c r="D147" s="174" t="s">
        <v>2732</v>
      </c>
      <c r="E147" s="174">
        <v>0</v>
      </c>
      <c r="F147" s="174" t="s">
        <v>203</v>
      </c>
      <c r="G147" s="174" t="s">
        <v>2922</v>
      </c>
      <c r="H147" s="174">
        <v>62020995</v>
      </c>
      <c r="I147" s="174" t="s">
        <v>34</v>
      </c>
      <c r="J147" s="174" t="s">
        <v>99</v>
      </c>
      <c r="K147" s="175">
        <v>44834</v>
      </c>
      <c r="L147" s="176">
        <v>250000</v>
      </c>
      <c r="M147" s="176">
        <v>939.75</v>
      </c>
      <c r="N147" s="176">
        <v>205000</v>
      </c>
      <c r="O147" s="176">
        <v>770.59500000000003</v>
      </c>
      <c r="P147" s="177">
        <v>0.82</v>
      </c>
      <c r="Q147" s="174"/>
    </row>
    <row r="148" spans="1:17" s="178" customFormat="1" ht="14.1" customHeight="1">
      <c r="A148" s="174">
        <v>1182</v>
      </c>
      <c r="B148" s="174">
        <v>1182</v>
      </c>
      <c r="C148" s="174" t="s">
        <v>1069</v>
      </c>
      <c r="D148" s="174" t="s">
        <v>3237</v>
      </c>
      <c r="E148" s="174" t="s">
        <v>3238</v>
      </c>
      <c r="F148" s="174" t="s">
        <v>1376</v>
      </c>
      <c r="G148" s="174" t="s">
        <v>2865</v>
      </c>
      <c r="H148" s="174">
        <v>62020953</v>
      </c>
      <c r="I148" s="174" t="s">
        <v>34</v>
      </c>
      <c r="J148" s="174" t="s">
        <v>99</v>
      </c>
      <c r="K148" s="175">
        <v>44651</v>
      </c>
      <c r="L148" s="176">
        <v>330000</v>
      </c>
      <c r="M148" s="176">
        <v>1240.47</v>
      </c>
      <c r="N148" s="176">
        <v>165000</v>
      </c>
      <c r="O148" s="176">
        <v>620.23500000000001</v>
      </c>
      <c r="P148" s="177">
        <v>0.5</v>
      </c>
      <c r="Q148" s="174"/>
    </row>
    <row r="149" spans="1:17" s="178" customFormat="1" ht="14.1" customHeight="1">
      <c r="A149" s="174">
        <v>1182</v>
      </c>
      <c r="B149" s="174">
        <v>1182</v>
      </c>
      <c r="C149" s="174" t="s">
        <v>1069</v>
      </c>
      <c r="D149" s="174" t="s">
        <v>3239</v>
      </c>
      <c r="E149" s="174" t="s">
        <v>2645</v>
      </c>
      <c r="F149" s="174" t="s">
        <v>34</v>
      </c>
      <c r="G149" s="174" t="s">
        <v>2751</v>
      </c>
      <c r="H149" s="174">
        <v>60400892</v>
      </c>
      <c r="I149" s="174" t="s">
        <v>34</v>
      </c>
      <c r="J149" s="174" t="s">
        <v>99</v>
      </c>
      <c r="K149" s="175">
        <v>42460</v>
      </c>
      <c r="L149" s="176">
        <v>500000</v>
      </c>
      <c r="M149" s="176">
        <v>1879.5</v>
      </c>
      <c r="N149" s="176">
        <v>53638</v>
      </c>
      <c r="O149" s="176">
        <v>201.62524199999999</v>
      </c>
      <c r="P149" s="177">
        <v>0.107276</v>
      </c>
      <c r="Q149" s="174"/>
    </row>
    <row r="150" spans="1:17" s="178" customFormat="1" ht="14.1" customHeight="1">
      <c r="A150" s="174">
        <v>1182</v>
      </c>
      <c r="B150" s="174">
        <v>1182</v>
      </c>
      <c r="C150" s="174" t="s">
        <v>1069</v>
      </c>
      <c r="D150" s="174" t="s">
        <v>3239</v>
      </c>
      <c r="E150" s="174" t="s">
        <v>2645</v>
      </c>
      <c r="F150" s="174" t="s">
        <v>34</v>
      </c>
      <c r="G150" s="174" t="s">
        <v>2646</v>
      </c>
      <c r="H150" s="174">
        <v>62018312</v>
      </c>
      <c r="I150" s="174" t="s">
        <v>34</v>
      </c>
      <c r="J150" s="174" t="s">
        <v>99</v>
      </c>
      <c r="K150" s="175">
        <v>44286</v>
      </c>
      <c r="L150" s="176">
        <v>500000</v>
      </c>
      <c r="M150" s="176">
        <v>1879.5</v>
      </c>
      <c r="N150" s="176">
        <v>326000</v>
      </c>
      <c r="O150" s="176">
        <v>1225.434</v>
      </c>
      <c r="P150" s="177">
        <v>0.65200000000000002</v>
      </c>
      <c r="Q150" s="174"/>
    </row>
    <row r="151" spans="1:17" s="178" customFormat="1" ht="14.1" customHeight="1">
      <c r="A151" s="174">
        <v>1182</v>
      </c>
      <c r="B151" s="174">
        <v>1182</v>
      </c>
      <c r="C151" s="174" t="s">
        <v>1069</v>
      </c>
      <c r="D151" s="174" t="s">
        <v>2666</v>
      </c>
      <c r="E151" s="174" t="s">
        <v>2932</v>
      </c>
      <c r="F151" s="174" t="s">
        <v>34</v>
      </c>
      <c r="G151" s="174" t="s">
        <v>2666</v>
      </c>
      <c r="H151" s="174">
        <v>62017538</v>
      </c>
      <c r="I151" s="174" t="s">
        <v>34</v>
      </c>
      <c r="J151" s="174" t="s">
        <v>99</v>
      </c>
      <c r="K151" s="175">
        <v>43921</v>
      </c>
      <c r="L151" s="176">
        <v>600000</v>
      </c>
      <c r="M151" s="176">
        <v>2255.4</v>
      </c>
      <c r="N151" s="176">
        <v>102000</v>
      </c>
      <c r="O151" s="176">
        <v>383.41800000000001</v>
      </c>
      <c r="P151" s="177">
        <v>0.17</v>
      </c>
      <c r="Q151" s="174"/>
    </row>
    <row r="152" spans="1:17" s="178" customFormat="1" ht="14.1" customHeight="1">
      <c r="A152" s="174">
        <v>1182</v>
      </c>
      <c r="B152" s="174">
        <v>1182</v>
      </c>
      <c r="C152" s="174" t="s">
        <v>1069</v>
      </c>
      <c r="D152" s="174" t="s">
        <v>3246</v>
      </c>
      <c r="E152" s="174" t="s">
        <v>2793</v>
      </c>
      <c r="F152" s="174" t="s">
        <v>361</v>
      </c>
      <c r="G152" s="174" t="s">
        <v>2786</v>
      </c>
      <c r="H152" s="174">
        <v>60419041</v>
      </c>
      <c r="I152" s="174" t="s">
        <v>34</v>
      </c>
      <c r="J152" s="174" t="s">
        <v>99</v>
      </c>
      <c r="K152" s="175">
        <v>42460</v>
      </c>
      <c r="L152" s="176">
        <v>100000</v>
      </c>
      <c r="M152" s="176">
        <v>375.9</v>
      </c>
      <c r="N152" s="176">
        <v>10000</v>
      </c>
      <c r="O152" s="176">
        <v>37.590000000000003</v>
      </c>
      <c r="P152" s="177">
        <v>0.1</v>
      </c>
      <c r="Q152" s="174"/>
    </row>
    <row r="153" spans="1:17" s="178" customFormat="1" ht="14.1" customHeight="1">
      <c r="A153" s="174">
        <v>1182</v>
      </c>
      <c r="B153" s="174">
        <v>1182</v>
      </c>
      <c r="C153" s="174" t="s">
        <v>1069</v>
      </c>
      <c r="D153" s="174" t="s">
        <v>3246</v>
      </c>
      <c r="E153" s="174" t="s">
        <v>2793</v>
      </c>
      <c r="F153" s="174" t="s">
        <v>361</v>
      </c>
      <c r="G153" s="174" t="s">
        <v>2790</v>
      </c>
      <c r="H153" s="174">
        <v>62016654</v>
      </c>
      <c r="I153" s="174" t="s">
        <v>34</v>
      </c>
      <c r="J153" s="174" t="s">
        <v>99</v>
      </c>
      <c r="K153" s="175">
        <v>43921</v>
      </c>
      <c r="L153" s="176">
        <v>450000</v>
      </c>
      <c r="M153" s="176">
        <v>1691.55</v>
      </c>
      <c r="N153" s="176">
        <v>103500</v>
      </c>
      <c r="O153" s="176">
        <v>389.05650000000003</v>
      </c>
      <c r="P153" s="177">
        <v>0.23</v>
      </c>
      <c r="Q153" s="174"/>
    </row>
    <row r="154" spans="1:17" s="178" customFormat="1" ht="14.1" customHeight="1">
      <c r="A154" s="174">
        <v>1182</v>
      </c>
      <c r="B154" s="174">
        <v>1182</v>
      </c>
      <c r="C154" s="174" t="s">
        <v>1069</v>
      </c>
      <c r="D154" s="174" t="s">
        <v>3247</v>
      </c>
      <c r="E154" s="174" t="s">
        <v>3248</v>
      </c>
      <c r="F154" s="174" t="s">
        <v>34</v>
      </c>
      <c r="G154" s="174" t="s">
        <v>2794</v>
      </c>
      <c r="H154" s="174">
        <v>62021241</v>
      </c>
      <c r="I154" s="174" t="s">
        <v>34</v>
      </c>
      <c r="J154" s="174" t="s">
        <v>99</v>
      </c>
      <c r="K154" s="175">
        <v>45016</v>
      </c>
      <c r="L154" s="176">
        <v>400000</v>
      </c>
      <c r="M154" s="176">
        <v>1503.6</v>
      </c>
      <c r="N154" s="176">
        <v>324000</v>
      </c>
      <c r="O154" s="176">
        <v>1217.9159999999999</v>
      </c>
      <c r="P154" s="177">
        <v>0.81</v>
      </c>
      <c r="Q154" s="174"/>
    </row>
    <row r="155" spans="1:17" s="178" customFormat="1" ht="14.1" customHeight="1">
      <c r="A155" s="174">
        <v>1182</v>
      </c>
      <c r="B155" s="174">
        <v>1182</v>
      </c>
      <c r="C155" s="174" t="s">
        <v>1069</v>
      </c>
      <c r="D155" s="174" t="s">
        <v>3249</v>
      </c>
      <c r="E155" s="174" t="s">
        <v>3250</v>
      </c>
      <c r="F155" s="174" t="s">
        <v>34</v>
      </c>
      <c r="G155" s="174" t="s">
        <v>2824</v>
      </c>
      <c r="H155" s="174">
        <v>62003800</v>
      </c>
      <c r="I155" s="174" t="s">
        <v>34</v>
      </c>
      <c r="J155" s="174" t="s">
        <v>99</v>
      </c>
      <c r="K155" s="175">
        <v>43008</v>
      </c>
      <c r="L155" s="176">
        <v>600000</v>
      </c>
      <c r="M155" s="176">
        <v>2255.4</v>
      </c>
      <c r="N155" s="176">
        <v>108000</v>
      </c>
      <c r="O155" s="176">
        <v>405.97199999999998</v>
      </c>
      <c r="P155" s="177">
        <v>0.18</v>
      </c>
      <c r="Q155" s="174"/>
    </row>
    <row r="156" spans="1:17" s="178" customFormat="1" ht="14.1" customHeight="1">
      <c r="A156" s="174">
        <v>1182</v>
      </c>
      <c r="B156" s="174">
        <v>1182</v>
      </c>
      <c r="C156" s="174" t="s">
        <v>1069</v>
      </c>
      <c r="D156" s="174" t="s">
        <v>3249</v>
      </c>
      <c r="E156" s="174" t="s">
        <v>3250</v>
      </c>
      <c r="F156" s="174" t="s">
        <v>34</v>
      </c>
      <c r="G156" s="174" t="s">
        <v>2826</v>
      </c>
      <c r="H156" s="174">
        <v>620101031</v>
      </c>
      <c r="I156" s="174" t="s">
        <v>34</v>
      </c>
      <c r="J156" s="174" t="s">
        <v>99</v>
      </c>
      <c r="K156" s="175">
        <v>43190</v>
      </c>
      <c r="L156" s="176">
        <v>300000</v>
      </c>
      <c r="M156" s="176">
        <v>1127.7</v>
      </c>
      <c r="N156" s="176">
        <v>52500</v>
      </c>
      <c r="O156" s="176">
        <v>197.3475</v>
      </c>
      <c r="P156" s="177">
        <v>0.17499999999999999</v>
      </c>
      <c r="Q156" s="174"/>
    </row>
    <row r="157" spans="1:17" s="178" customFormat="1" ht="14.1" customHeight="1">
      <c r="A157" s="174">
        <v>1182</v>
      </c>
      <c r="B157" s="174">
        <v>1182</v>
      </c>
      <c r="C157" s="174" t="s">
        <v>1069</v>
      </c>
      <c r="D157" s="174" t="s">
        <v>3249</v>
      </c>
      <c r="E157" s="174" t="s">
        <v>3250</v>
      </c>
      <c r="F157" s="174" t="s">
        <v>34</v>
      </c>
      <c r="G157" s="174" t="s">
        <v>2827</v>
      </c>
      <c r="H157" s="174">
        <v>62014857</v>
      </c>
      <c r="I157" s="174" t="s">
        <v>34</v>
      </c>
      <c r="J157" s="174" t="s">
        <v>99</v>
      </c>
      <c r="K157" s="175">
        <v>43555</v>
      </c>
      <c r="L157" s="176">
        <v>300000</v>
      </c>
      <c r="M157" s="176">
        <v>1127.7</v>
      </c>
      <c r="N157" s="176">
        <v>78000</v>
      </c>
      <c r="O157" s="176">
        <v>293.202</v>
      </c>
      <c r="P157" s="177">
        <v>0.26</v>
      </c>
      <c r="Q157" s="174"/>
    </row>
    <row r="158" spans="1:17" s="178" customFormat="1" ht="14.1" customHeight="1">
      <c r="A158" s="174">
        <v>1182</v>
      </c>
      <c r="B158" s="174">
        <v>1182</v>
      </c>
      <c r="C158" s="174" t="s">
        <v>1069</v>
      </c>
      <c r="D158" s="174" t="s">
        <v>3249</v>
      </c>
      <c r="E158" s="174" t="s">
        <v>3250</v>
      </c>
      <c r="F158" s="174" t="s">
        <v>34</v>
      </c>
      <c r="G158" s="174" t="s">
        <v>2829</v>
      </c>
      <c r="H158" s="174">
        <v>62019476</v>
      </c>
      <c r="I158" s="174" t="s">
        <v>34</v>
      </c>
      <c r="J158" s="174" t="s">
        <v>99</v>
      </c>
      <c r="K158" s="175">
        <v>44469</v>
      </c>
      <c r="L158" s="176">
        <v>400000</v>
      </c>
      <c r="M158" s="176">
        <v>1503.6</v>
      </c>
      <c r="N158" s="176">
        <v>153757</v>
      </c>
      <c r="O158" s="176">
        <v>577.97256299999992</v>
      </c>
      <c r="P158" s="177">
        <v>0.38439250000000003</v>
      </c>
      <c r="Q158" s="174"/>
    </row>
    <row r="159" spans="1:17" s="178" customFormat="1" ht="14.1" customHeight="1">
      <c r="A159" s="174">
        <v>1182</v>
      </c>
      <c r="B159" s="174">
        <v>1182</v>
      </c>
      <c r="C159" s="174" t="s">
        <v>1069</v>
      </c>
      <c r="D159" s="174" t="s">
        <v>3249</v>
      </c>
      <c r="E159" s="174" t="s">
        <v>3250</v>
      </c>
      <c r="F159" s="174" t="s">
        <v>34</v>
      </c>
      <c r="G159" s="174" t="s">
        <v>2832</v>
      </c>
      <c r="H159" s="174">
        <v>62017678</v>
      </c>
      <c r="I159" s="174" t="s">
        <v>34</v>
      </c>
      <c r="J159" s="174" t="s">
        <v>99</v>
      </c>
      <c r="K159" s="175">
        <v>43921</v>
      </c>
      <c r="L159" s="176">
        <v>600000</v>
      </c>
      <c r="M159" s="176">
        <v>2255.4</v>
      </c>
      <c r="N159" s="176">
        <v>18000</v>
      </c>
      <c r="O159" s="176">
        <v>67.662000000000006</v>
      </c>
      <c r="P159" s="177">
        <v>0.03</v>
      </c>
      <c r="Q159" s="174"/>
    </row>
    <row r="160" spans="1:17" s="178" customFormat="1" ht="14.1" customHeight="1">
      <c r="A160" s="174">
        <v>1182</v>
      </c>
      <c r="B160" s="174">
        <v>1182</v>
      </c>
      <c r="C160" s="174" t="s">
        <v>1069</v>
      </c>
      <c r="D160" s="174" t="s">
        <v>3249</v>
      </c>
      <c r="E160" s="174" t="s">
        <v>3250</v>
      </c>
      <c r="F160" s="174" t="s">
        <v>34</v>
      </c>
      <c r="G160" s="174" t="s">
        <v>2834</v>
      </c>
      <c r="H160" s="174">
        <v>62019237</v>
      </c>
      <c r="I160" s="174" t="s">
        <v>34</v>
      </c>
      <c r="J160" s="174" t="s">
        <v>99</v>
      </c>
      <c r="K160" s="175">
        <v>44286</v>
      </c>
      <c r="L160" s="176">
        <v>600000</v>
      </c>
      <c r="M160" s="176">
        <v>2255.4</v>
      </c>
      <c r="N160" s="176">
        <v>60000</v>
      </c>
      <c r="O160" s="176">
        <v>225.54</v>
      </c>
      <c r="P160" s="177">
        <v>0.1</v>
      </c>
      <c r="Q160" s="174"/>
    </row>
    <row r="161" spans="1:17" s="178" customFormat="1" ht="14.1" customHeight="1">
      <c r="A161" s="174">
        <v>1182</v>
      </c>
      <c r="B161" s="174">
        <v>1182</v>
      </c>
      <c r="C161" s="174" t="s">
        <v>1069</v>
      </c>
      <c r="D161" s="174" t="s">
        <v>3249</v>
      </c>
      <c r="E161" s="174" t="s">
        <v>3250</v>
      </c>
      <c r="F161" s="174" t="s">
        <v>34</v>
      </c>
      <c r="G161" s="174" t="s">
        <v>2830</v>
      </c>
      <c r="H161" s="174">
        <v>62020458</v>
      </c>
      <c r="I161" s="174" t="s">
        <v>34</v>
      </c>
      <c r="J161" s="174" t="s">
        <v>99</v>
      </c>
      <c r="K161" s="175">
        <v>44742</v>
      </c>
      <c r="L161" s="176">
        <v>150000</v>
      </c>
      <c r="M161" s="176">
        <v>563.85</v>
      </c>
      <c r="N161" s="176">
        <v>22500</v>
      </c>
      <c r="O161" s="176">
        <v>84.577500000000001</v>
      </c>
      <c r="P161" s="177">
        <v>0.15</v>
      </c>
      <c r="Q161" s="174"/>
    </row>
    <row r="162" spans="1:17" s="178" customFormat="1" ht="14.1" customHeight="1">
      <c r="A162" s="174">
        <v>1182</v>
      </c>
      <c r="B162" s="174">
        <v>1182</v>
      </c>
      <c r="C162" s="174" t="s">
        <v>1069</v>
      </c>
      <c r="D162" s="174" t="s">
        <v>2668</v>
      </c>
      <c r="E162" s="174" t="s">
        <v>2669</v>
      </c>
      <c r="F162" s="174" t="s">
        <v>34</v>
      </c>
      <c r="G162" s="174" t="s">
        <v>2670</v>
      </c>
      <c r="H162" s="174">
        <v>62001189</v>
      </c>
      <c r="I162" s="174" t="s">
        <v>34</v>
      </c>
      <c r="J162" s="174" t="s">
        <v>99</v>
      </c>
      <c r="K162" s="175">
        <v>42825</v>
      </c>
      <c r="L162" s="176">
        <v>150000</v>
      </c>
      <c r="M162" s="176">
        <v>563.85</v>
      </c>
      <c r="N162" s="176">
        <v>9750</v>
      </c>
      <c r="O162" s="176">
        <v>36.65025</v>
      </c>
      <c r="P162" s="177">
        <v>6.5000000000000002E-2</v>
      </c>
      <c r="Q162" s="174"/>
    </row>
    <row r="163" spans="1:17" s="178" customFormat="1" ht="14.1" customHeight="1">
      <c r="A163" s="174">
        <v>1182</v>
      </c>
      <c r="B163" s="174">
        <v>1182</v>
      </c>
      <c r="C163" s="174" t="s">
        <v>1069</v>
      </c>
      <c r="D163" s="174" t="s">
        <v>2744</v>
      </c>
      <c r="E163" s="174" t="s">
        <v>2745</v>
      </c>
      <c r="F163" s="174" t="s">
        <v>1376</v>
      </c>
      <c r="G163" s="174" t="s">
        <v>2744</v>
      </c>
      <c r="H163" s="174">
        <v>18952</v>
      </c>
      <c r="I163" s="174" t="s">
        <v>34</v>
      </c>
      <c r="J163" s="174" t="s">
        <v>35</v>
      </c>
      <c r="K163" s="175">
        <v>42825</v>
      </c>
      <c r="L163" s="176">
        <v>310000</v>
      </c>
      <c r="M163" s="176">
        <v>310</v>
      </c>
      <c r="N163" s="176">
        <v>53190</v>
      </c>
      <c r="O163" s="176">
        <v>53.19</v>
      </c>
      <c r="P163" s="177">
        <v>0.17158064516129032</v>
      </c>
      <c r="Q163" s="174"/>
    </row>
    <row r="164" spans="1:17" s="178" customFormat="1" ht="14.1" customHeight="1">
      <c r="A164" s="174">
        <v>1182</v>
      </c>
      <c r="B164" s="174">
        <v>1182</v>
      </c>
      <c r="C164" s="174" t="s">
        <v>1069</v>
      </c>
      <c r="D164" s="174" t="s">
        <v>2744</v>
      </c>
      <c r="E164" s="174" t="s">
        <v>2745</v>
      </c>
      <c r="F164" s="174" t="s">
        <v>1376</v>
      </c>
      <c r="G164" s="174" t="s">
        <v>2746</v>
      </c>
      <c r="H164" s="174">
        <v>50007004</v>
      </c>
      <c r="I164" s="174" t="s">
        <v>34</v>
      </c>
      <c r="J164" s="174" t="s">
        <v>35</v>
      </c>
      <c r="K164" s="175">
        <v>44469</v>
      </c>
      <c r="L164" s="176">
        <v>1400000</v>
      </c>
      <c r="M164" s="176">
        <v>1400</v>
      </c>
      <c r="N164" s="176">
        <v>520854</v>
      </c>
      <c r="O164" s="176">
        <v>520.85400000000004</v>
      </c>
      <c r="P164" s="177">
        <v>0.37203857142857144</v>
      </c>
      <c r="Q164" s="174"/>
    </row>
    <row r="165" spans="1:17" s="178" customFormat="1" ht="14.1" customHeight="1">
      <c r="A165" s="174">
        <v>1182</v>
      </c>
      <c r="B165" s="174">
        <v>1182</v>
      </c>
      <c r="C165" s="174" t="s">
        <v>1069</v>
      </c>
      <c r="D165" s="174" t="s">
        <v>2675</v>
      </c>
      <c r="E165" s="174" t="s">
        <v>2676</v>
      </c>
      <c r="F165" s="174" t="s">
        <v>360</v>
      </c>
      <c r="G165" s="174" t="s">
        <v>2677</v>
      </c>
      <c r="H165" s="174">
        <v>50000983</v>
      </c>
      <c r="I165" s="174" t="s">
        <v>34</v>
      </c>
      <c r="J165" s="174" t="s">
        <v>35</v>
      </c>
      <c r="K165" s="175">
        <v>43555</v>
      </c>
      <c r="L165" s="176">
        <v>1200000</v>
      </c>
      <c r="M165" s="176">
        <v>1200</v>
      </c>
      <c r="N165" s="176">
        <v>360000</v>
      </c>
      <c r="O165" s="176">
        <v>360</v>
      </c>
      <c r="P165" s="177">
        <v>0.3</v>
      </c>
      <c r="Q165" s="174"/>
    </row>
    <row r="166" spans="1:17" s="178" customFormat="1" ht="14.1" customHeight="1">
      <c r="A166" s="174">
        <v>1182</v>
      </c>
      <c r="B166" s="174">
        <v>1182</v>
      </c>
      <c r="C166" s="174" t="s">
        <v>1069</v>
      </c>
      <c r="D166" s="174" t="s">
        <v>2675</v>
      </c>
      <c r="E166" s="174" t="s">
        <v>2676</v>
      </c>
      <c r="F166" s="174" t="s">
        <v>360</v>
      </c>
      <c r="G166" s="174" t="s">
        <v>2679</v>
      </c>
      <c r="H166" s="174">
        <v>50007897</v>
      </c>
      <c r="I166" s="174" t="s">
        <v>34</v>
      </c>
      <c r="J166" s="174" t="s">
        <v>35</v>
      </c>
      <c r="K166" s="175">
        <v>45016</v>
      </c>
      <c r="L166" s="176">
        <v>1200000</v>
      </c>
      <c r="M166" s="176">
        <v>1200</v>
      </c>
      <c r="N166" s="176">
        <v>840000</v>
      </c>
      <c r="O166" s="176">
        <v>840</v>
      </c>
      <c r="P166" s="177">
        <v>0.7</v>
      </c>
      <c r="Q166" s="174"/>
    </row>
    <row r="167" spans="1:17" s="178" customFormat="1" ht="14.1" customHeight="1">
      <c r="A167" s="174">
        <v>1182</v>
      </c>
      <c r="B167" s="174">
        <v>1182</v>
      </c>
      <c r="C167" s="174" t="s">
        <v>1069</v>
      </c>
      <c r="D167" s="174" t="s">
        <v>3253</v>
      </c>
      <c r="E167" s="174" t="s">
        <v>3254</v>
      </c>
      <c r="F167" s="174" t="s">
        <v>34</v>
      </c>
      <c r="G167" s="174" t="s">
        <v>2853</v>
      </c>
      <c r="H167" s="174">
        <v>62006705</v>
      </c>
      <c r="I167" s="174" t="s">
        <v>34</v>
      </c>
      <c r="J167" s="174" t="s">
        <v>99</v>
      </c>
      <c r="K167" s="175">
        <v>43190</v>
      </c>
      <c r="L167" s="176">
        <v>200000</v>
      </c>
      <c r="M167" s="176">
        <v>751.8</v>
      </c>
      <c r="N167" s="176">
        <v>6878.7999999999593</v>
      </c>
      <c r="O167" s="176">
        <v>25.857409199999847</v>
      </c>
      <c r="P167" s="177">
        <v>3.43939999999998E-2</v>
      </c>
      <c r="Q167" s="174"/>
    </row>
    <row r="168" spans="1:17" s="178" customFormat="1" ht="14.1" customHeight="1">
      <c r="A168" s="174">
        <v>1182</v>
      </c>
      <c r="B168" s="174">
        <v>1182</v>
      </c>
      <c r="C168" s="174" t="s">
        <v>1069</v>
      </c>
      <c r="D168" s="174" t="s">
        <v>3255</v>
      </c>
      <c r="E168" s="174" t="s">
        <v>3256</v>
      </c>
      <c r="F168" s="174" t="s">
        <v>34</v>
      </c>
      <c r="G168" s="174" t="s">
        <v>2849</v>
      </c>
      <c r="H168" s="174">
        <v>62019013</v>
      </c>
      <c r="I168" s="174" t="s">
        <v>34</v>
      </c>
      <c r="J168" s="174" t="s">
        <v>99</v>
      </c>
      <c r="K168" s="175">
        <v>44286</v>
      </c>
      <c r="L168" s="176">
        <v>300000</v>
      </c>
      <c r="M168" s="176">
        <v>1127.7</v>
      </c>
      <c r="N168" s="176">
        <v>22011.280000000028</v>
      </c>
      <c r="O168" s="176">
        <v>82.740401520000106</v>
      </c>
      <c r="P168" s="177">
        <v>7.337093333333343E-2</v>
      </c>
      <c r="Q168" s="174"/>
    </row>
    <row r="169" spans="1:17" s="178" customFormat="1" ht="14.1" customHeight="1">
      <c r="A169" s="174">
        <v>1182</v>
      </c>
      <c r="B169" s="174">
        <v>1182</v>
      </c>
      <c r="C169" s="174" t="s">
        <v>1069</v>
      </c>
      <c r="D169" s="174" t="s">
        <v>3257</v>
      </c>
      <c r="E169" s="174" t="s">
        <v>3258</v>
      </c>
      <c r="F169" s="174" t="s">
        <v>34</v>
      </c>
      <c r="G169" s="174" t="s">
        <v>2888</v>
      </c>
      <c r="H169" s="174">
        <v>62009204</v>
      </c>
      <c r="I169" s="174" t="s">
        <v>34</v>
      </c>
      <c r="J169" s="174" t="s">
        <v>99</v>
      </c>
      <c r="K169" s="175">
        <v>43190</v>
      </c>
      <c r="L169" s="176">
        <v>300000</v>
      </c>
      <c r="M169" s="176">
        <v>1127.7</v>
      </c>
      <c r="N169" s="176">
        <v>27525</v>
      </c>
      <c r="O169" s="176">
        <v>103.46647499999999</v>
      </c>
      <c r="P169" s="177">
        <v>9.1749999999999998E-2</v>
      </c>
      <c r="Q169" s="174"/>
    </row>
    <row r="170" spans="1:17" s="178" customFormat="1" ht="14.1" customHeight="1">
      <c r="A170" s="174">
        <v>1182</v>
      </c>
      <c r="B170" s="174">
        <v>1182</v>
      </c>
      <c r="C170" s="174" t="s">
        <v>1069</v>
      </c>
      <c r="D170" s="174" t="s">
        <v>3259</v>
      </c>
      <c r="E170" s="174">
        <v>0</v>
      </c>
      <c r="F170" s="174" t="s">
        <v>361</v>
      </c>
      <c r="G170" s="174" t="s">
        <v>2902</v>
      </c>
      <c r="H170" s="174">
        <v>62010137</v>
      </c>
      <c r="I170" s="174" t="s">
        <v>34</v>
      </c>
      <c r="J170" s="174" t="s">
        <v>99</v>
      </c>
      <c r="K170" s="175">
        <v>43190</v>
      </c>
      <c r="L170" s="176">
        <v>300000</v>
      </c>
      <c r="M170" s="176">
        <v>1127.7</v>
      </c>
      <c r="N170" s="176">
        <v>89179</v>
      </c>
      <c r="O170" s="176">
        <v>335.223861</v>
      </c>
      <c r="P170" s="177">
        <v>0.29726333333333332</v>
      </c>
      <c r="Q170" s="174"/>
    </row>
    <row r="171" spans="1:17" s="178" customFormat="1" ht="14.1" customHeight="1">
      <c r="A171" s="174">
        <v>1182</v>
      </c>
      <c r="B171" s="174">
        <v>1182</v>
      </c>
      <c r="C171" s="174" t="s">
        <v>1069</v>
      </c>
      <c r="D171" s="174" t="s">
        <v>3257</v>
      </c>
      <c r="E171" s="174" t="s">
        <v>3258</v>
      </c>
      <c r="F171" s="174" t="s">
        <v>34</v>
      </c>
      <c r="G171" s="174" t="s">
        <v>2898</v>
      </c>
      <c r="H171" s="174">
        <v>62020813</v>
      </c>
      <c r="I171" s="174" t="s">
        <v>34</v>
      </c>
      <c r="J171" s="174" t="s">
        <v>99</v>
      </c>
      <c r="K171" s="175">
        <v>44742</v>
      </c>
      <c r="L171" s="176">
        <v>320000</v>
      </c>
      <c r="M171" s="176">
        <v>1202.8800000000001</v>
      </c>
      <c r="N171" s="176">
        <v>217886</v>
      </c>
      <c r="O171" s="176">
        <v>819.03347399999996</v>
      </c>
      <c r="P171" s="177">
        <v>0.68089374999999996</v>
      </c>
      <c r="Q171" s="174"/>
    </row>
    <row r="172" spans="1:17" s="178" customFormat="1" ht="14.1" customHeight="1">
      <c r="A172" s="174">
        <v>1182</v>
      </c>
      <c r="B172" s="174">
        <v>1182</v>
      </c>
      <c r="C172" s="174" t="s">
        <v>1069</v>
      </c>
      <c r="D172" s="174" t="s">
        <v>3260</v>
      </c>
      <c r="E172" s="174" t="s">
        <v>3261</v>
      </c>
      <c r="F172" s="174" t="s">
        <v>360</v>
      </c>
      <c r="G172" s="174" t="s">
        <v>2892</v>
      </c>
      <c r="H172" s="174">
        <v>62019807</v>
      </c>
      <c r="I172" s="174" t="s">
        <v>34</v>
      </c>
      <c r="J172" s="174" t="s">
        <v>99</v>
      </c>
      <c r="K172" s="175">
        <v>44561</v>
      </c>
      <c r="L172" s="176">
        <v>250000</v>
      </c>
      <c r="M172" s="176">
        <v>939.75</v>
      </c>
      <c r="N172" s="176">
        <v>54955</v>
      </c>
      <c r="O172" s="176">
        <v>206.57584500000002</v>
      </c>
      <c r="P172" s="177">
        <v>0.21981999999999999</v>
      </c>
      <c r="Q172" s="174"/>
    </row>
    <row r="173" spans="1:17" s="178" customFormat="1" ht="14.1" customHeight="1">
      <c r="A173" s="174">
        <v>1182</v>
      </c>
      <c r="B173" s="174">
        <v>1182</v>
      </c>
      <c r="C173" s="174" t="s">
        <v>1069</v>
      </c>
      <c r="D173" s="174" t="s">
        <v>3257</v>
      </c>
      <c r="E173" s="174" t="s">
        <v>3258</v>
      </c>
      <c r="F173" s="174" t="s">
        <v>34</v>
      </c>
      <c r="G173" s="174" t="s">
        <v>2884</v>
      </c>
      <c r="H173" s="174">
        <v>62019849</v>
      </c>
      <c r="I173" s="174" t="s">
        <v>34</v>
      </c>
      <c r="J173" s="174" t="s">
        <v>99</v>
      </c>
      <c r="K173" s="175">
        <v>44561</v>
      </c>
      <c r="L173" s="176">
        <v>280000</v>
      </c>
      <c r="M173" s="176">
        <v>1052.52</v>
      </c>
      <c r="N173" s="176">
        <v>62646.23000000001</v>
      </c>
      <c r="O173" s="176">
        <v>235.48717857000005</v>
      </c>
      <c r="P173" s="177">
        <v>0.22373653571428576</v>
      </c>
      <c r="Q173" s="174"/>
    </row>
    <row r="174" spans="1:17" s="178" customFormat="1" ht="14.1" customHeight="1">
      <c r="A174" s="174">
        <v>1182</v>
      </c>
      <c r="B174" s="174">
        <v>1182</v>
      </c>
      <c r="C174" s="174" t="s">
        <v>1069</v>
      </c>
      <c r="D174" s="174" t="s">
        <v>3262</v>
      </c>
      <c r="E174" s="174" t="s">
        <v>3263</v>
      </c>
      <c r="F174" s="174" t="s">
        <v>360</v>
      </c>
      <c r="G174" s="174" t="s">
        <v>2894</v>
      </c>
      <c r="H174" s="174">
        <v>62020615</v>
      </c>
      <c r="I174" s="174" t="s">
        <v>34</v>
      </c>
      <c r="J174" s="174" t="s">
        <v>99</v>
      </c>
      <c r="K174" s="175">
        <v>44651</v>
      </c>
      <c r="L174" s="176">
        <v>500000</v>
      </c>
      <c r="M174" s="176">
        <v>1879.5</v>
      </c>
      <c r="N174" s="176">
        <v>235006</v>
      </c>
      <c r="O174" s="176">
        <v>883.38755400000002</v>
      </c>
      <c r="P174" s="177">
        <v>0.47001199999999999</v>
      </c>
      <c r="Q174" s="174"/>
    </row>
    <row r="175" spans="1:17" s="178" customFormat="1" ht="14.1" customHeight="1">
      <c r="A175" s="174">
        <v>1182</v>
      </c>
      <c r="B175" s="174">
        <v>1182</v>
      </c>
      <c r="C175" s="174" t="s">
        <v>1069</v>
      </c>
      <c r="D175" s="174" t="s">
        <v>3260</v>
      </c>
      <c r="E175" s="174" t="s">
        <v>3261</v>
      </c>
      <c r="F175" s="174" t="s">
        <v>360</v>
      </c>
      <c r="G175" s="174" t="s">
        <v>2880</v>
      </c>
      <c r="H175" s="174">
        <v>62021571</v>
      </c>
      <c r="I175" s="174" t="s">
        <v>34</v>
      </c>
      <c r="J175" s="174" t="s">
        <v>1219</v>
      </c>
      <c r="K175" s="175">
        <v>45382</v>
      </c>
      <c r="L175" s="176">
        <v>300000</v>
      </c>
      <c r="M175" s="176">
        <v>1206.06</v>
      </c>
      <c r="N175" s="176">
        <v>177373.66999999998</v>
      </c>
      <c r="O175" s="176">
        <v>713.07762813399984</v>
      </c>
      <c r="P175" s="177">
        <v>0.59124556666666661</v>
      </c>
      <c r="Q175" s="174"/>
    </row>
    <row r="176" spans="1:17" s="178" customFormat="1" ht="14.1" customHeight="1">
      <c r="A176" s="174">
        <v>1182</v>
      </c>
      <c r="B176" s="174">
        <v>1182</v>
      </c>
      <c r="C176" s="174" t="s">
        <v>1069</v>
      </c>
      <c r="D176" s="174" t="s">
        <v>3264</v>
      </c>
      <c r="E176" s="174" t="s">
        <v>3265</v>
      </c>
      <c r="F176" s="174" t="s">
        <v>34</v>
      </c>
      <c r="G176" s="174" t="s">
        <v>2812</v>
      </c>
      <c r="H176" s="174">
        <v>62020946</v>
      </c>
      <c r="I176" s="174" t="s">
        <v>34</v>
      </c>
      <c r="J176" s="174" t="s">
        <v>99</v>
      </c>
      <c r="K176" s="175">
        <v>44651</v>
      </c>
      <c r="L176" s="176">
        <v>500000</v>
      </c>
      <c r="M176" s="176">
        <v>1879.5</v>
      </c>
      <c r="N176" s="176">
        <v>273588</v>
      </c>
      <c r="O176" s="176">
        <v>1028.4172920000001</v>
      </c>
      <c r="P176" s="177">
        <v>0.547176</v>
      </c>
      <c r="Q176" s="174"/>
    </row>
    <row r="177" spans="1:17" s="178" customFormat="1" ht="14.1" customHeight="1">
      <c r="A177" s="174">
        <v>1182</v>
      </c>
      <c r="B177" s="174">
        <v>1182</v>
      </c>
      <c r="C177" s="174" t="s">
        <v>1069</v>
      </c>
      <c r="D177" s="174" t="s">
        <v>2857</v>
      </c>
      <c r="E177" s="174" t="s">
        <v>3266</v>
      </c>
      <c r="F177" s="174" t="s">
        <v>34</v>
      </c>
      <c r="G177" s="174" t="s">
        <v>2857</v>
      </c>
      <c r="H177" s="174">
        <v>62017652</v>
      </c>
      <c r="I177" s="174" t="s">
        <v>34</v>
      </c>
      <c r="J177" s="174" t="s">
        <v>99</v>
      </c>
      <c r="K177" s="175">
        <v>43921</v>
      </c>
      <c r="L177" s="176">
        <v>400000</v>
      </c>
      <c r="M177" s="176">
        <v>1503.6</v>
      </c>
      <c r="N177" s="176">
        <v>83609.570000000007</v>
      </c>
      <c r="O177" s="176">
        <v>314.28837363000002</v>
      </c>
      <c r="P177" s="177">
        <v>0.20902392500000003</v>
      </c>
      <c r="Q177" s="174"/>
    </row>
    <row r="178" spans="1:17" s="178" customFormat="1" ht="14.1" customHeight="1">
      <c r="A178" s="174">
        <v>1182</v>
      </c>
      <c r="B178" s="174">
        <v>1182</v>
      </c>
      <c r="C178" s="174" t="s">
        <v>1069</v>
      </c>
      <c r="D178" s="174" t="s">
        <v>2857</v>
      </c>
      <c r="E178" s="174" t="s">
        <v>3266</v>
      </c>
      <c r="F178" s="174" t="s">
        <v>34</v>
      </c>
      <c r="G178" s="174" t="s">
        <v>2861</v>
      </c>
      <c r="H178" s="174">
        <v>62021142</v>
      </c>
      <c r="I178" s="174" t="s">
        <v>34</v>
      </c>
      <c r="J178" s="174" t="s">
        <v>99</v>
      </c>
      <c r="K178" s="175">
        <v>45016</v>
      </c>
      <c r="L178" s="176">
        <v>300000</v>
      </c>
      <c r="M178" s="176">
        <v>1127.7</v>
      </c>
      <c r="N178" s="176">
        <v>135000</v>
      </c>
      <c r="O178" s="176">
        <v>507.46499999999997</v>
      </c>
      <c r="P178" s="177">
        <v>0.45</v>
      </c>
      <c r="Q178" s="174"/>
    </row>
    <row r="179" spans="1:17" s="178" customFormat="1" ht="14.1" customHeight="1">
      <c r="A179" s="174">
        <v>1182</v>
      </c>
      <c r="B179" s="174">
        <v>1182</v>
      </c>
      <c r="C179" s="174" t="s">
        <v>1069</v>
      </c>
      <c r="D179" s="174" t="s">
        <v>3267</v>
      </c>
      <c r="E179" s="174" t="s">
        <v>2694</v>
      </c>
      <c r="F179" s="174" t="s">
        <v>34</v>
      </c>
      <c r="G179" s="174" t="s">
        <v>2841</v>
      </c>
      <c r="H179" s="174">
        <v>62017702</v>
      </c>
      <c r="I179" s="174" t="s">
        <v>34</v>
      </c>
      <c r="J179" s="174" t="s">
        <v>99</v>
      </c>
      <c r="K179" s="175">
        <v>43921</v>
      </c>
      <c r="L179" s="176">
        <v>500000</v>
      </c>
      <c r="M179" s="176">
        <v>1879.5</v>
      </c>
      <c r="N179" s="176">
        <v>30627</v>
      </c>
      <c r="O179" s="176">
        <v>115.126893</v>
      </c>
      <c r="P179" s="177">
        <v>6.1254000000000003E-2</v>
      </c>
      <c r="Q179" s="174"/>
    </row>
    <row r="180" spans="1:17" s="178" customFormat="1" ht="14.1" customHeight="1">
      <c r="A180" s="174">
        <v>1182</v>
      </c>
      <c r="B180" s="174">
        <v>1182</v>
      </c>
      <c r="C180" s="174" t="s">
        <v>1069</v>
      </c>
      <c r="D180" s="174" t="s">
        <v>3270</v>
      </c>
      <c r="E180" s="174" t="s">
        <v>3271</v>
      </c>
      <c r="F180" s="174" t="s">
        <v>34</v>
      </c>
      <c r="G180" s="174" t="s">
        <v>2798</v>
      </c>
      <c r="H180" s="174">
        <v>62018064</v>
      </c>
      <c r="I180" s="174" t="s">
        <v>34</v>
      </c>
      <c r="J180" s="174" t="s">
        <v>99</v>
      </c>
      <c r="K180" s="175">
        <v>44286</v>
      </c>
      <c r="L180" s="176">
        <v>200000</v>
      </c>
      <c r="M180" s="176">
        <v>751.8</v>
      </c>
      <c r="N180" s="176">
        <v>30520</v>
      </c>
      <c r="O180" s="176">
        <v>114.72467999999999</v>
      </c>
      <c r="P180" s="177">
        <v>0.15260000000000001</v>
      </c>
      <c r="Q180" s="174"/>
    </row>
    <row r="181" spans="1:17" s="178" customFormat="1" ht="14.1" customHeight="1">
      <c r="A181" s="174">
        <v>1182</v>
      </c>
      <c r="B181" s="174">
        <v>1182</v>
      </c>
      <c r="C181" s="174" t="s">
        <v>1069</v>
      </c>
      <c r="D181" s="174" t="s">
        <v>3272</v>
      </c>
      <c r="E181" s="174">
        <v>0</v>
      </c>
      <c r="F181" s="174" t="s">
        <v>203</v>
      </c>
      <c r="G181" s="174" t="s">
        <v>2800</v>
      </c>
      <c r="H181" s="174">
        <v>62021340</v>
      </c>
      <c r="I181" s="174" t="s">
        <v>34</v>
      </c>
      <c r="J181" s="174" t="s">
        <v>99</v>
      </c>
      <c r="K181" s="175">
        <v>45016</v>
      </c>
      <c r="L181" s="176">
        <v>200000</v>
      </c>
      <c r="M181" s="176">
        <v>751.8</v>
      </c>
      <c r="N181" s="176">
        <v>122595</v>
      </c>
      <c r="O181" s="176">
        <v>460.83460499999995</v>
      </c>
      <c r="P181" s="177">
        <v>0.61297500000000005</v>
      </c>
      <c r="Q181" s="174"/>
    </row>
    <row r="182" spans="1:17" s="178" customFormat="1" ht="14.1" customHeight="1">
      <c r="A182" s="174">
        <v>1182</v>
      </c>
      <c r="B182" s="174">
        <v>1182</v>
      </c>
      <c r="C182" s="174" t="s">
        <v>1069</v>
      </c>
      <c r="D182" s="174" t="s">
        <v>3268</v>
      </c>
      <c r="E182" s="174" t="s">
        <v>3269</v>
      </c>
      <c r="F182" s="174" t="s">
        <v>34</v>
      </c>
      <c r="G182" s="174" t="s">
        <v>2910</v>
      </c>
      <c r="H182" s="174">
        <v>62018387</v>
      </c>
      <c r="I182" s="174" t="s">
        <v>34</v>
      </c>
      <c r="J182" s="174" t="s">
        <v>99</v>
      </c>
      <c r="K182" s="175">
        <v>44286</v>
      </c>
      <c r="L182" s="176">
        <v>250000</v>
      </c>
      <c r="M182" s="176">
        <v>939.75</v>
      </c>
      <c r="N182" s="176">
        <v>49120.140000000014</v>
      </c>
      <c r="O182" s="176">
        <v>184.64260626000006</v>
      </c>
      <c r="P182" s="177">
        <v>0.19648056000000005</v>
      </c>
      <c r="Q182" s="174"/>
    </row>
    <row r="183" spans="1:17" s="178" customFormat="1" ht="14.1" customHeight="1">
      <c r="A183" s="174">
        <v>1182</v>
      </c>
      <c r="B183" s="174">
        <v>1182</v>
      </c>
      <c r="C183" s="174" t="s">
        <v>1069</v>
      </c>
      <c r="D183" s="174" t="s">
        <v>3273</v>
      </c>
      <c r="E183" s="174" t="s">
        <v>3274</v>
      </c>
      <c r="F183" s="174" t="s">
        <v>34</v>
      </c>
      <c r="G183" s="174" t="s">
        <v>2914</v>
      </c>
      <c r="H183" s="174">
        <v>62018551</v>
      </c>
      <c r="I183" s="174" t="s">
        <v>34</v>
      </c>
      <c r="J183" s="174" t="s">
        <v>99</v>
      </c>
      <c r="K183" s="175">
        <v>44377</v>
      </c>
      <c r="L183" s="176">
        <v>420000</v>
      </c>
      <c r="M183" s="176">
        <v>1578.78</v>
      </c>
      <c r="N183" s="176">
        <v>115500</v>
      </c>
      <c r="O183" s="176">
        <v>434.16449999999998</v>
      </c>
      <c r="P183" s="177">
        <v>0.27500000000000002</v>
      </c>
      <c r="Q183" s="174"/>
    </row>
    <row r="184" spans="1:17" s="178" customFormat="1" ht="14.1" customHeight="1">
      <c r="A184" s="174">
        <v>1182</v>
      </c>
      <c r="B184" s="174">
        <v>1182</v>
      </c>
      <c r="C184" s="174" t="s">
        <v>1069</v>
      </c>
      <c r="D184" s="174" t="s">
        <v>3275</v>
      </c>
      <c r="E184" s="174" t="s">
        <v>3276</v>
      </c>
      <c r="F184" s="174" t="s">
        <v>361</v>
      </c>
      <c r="G184" s="174" t="s">
        <v>2918</v>
      </c>
      <c r="H184" s="174">
        <v>62020169</v>
      </c>
      <c r="I184" s="174" t="s">
        <v>34</v>
      </c>
      <c r="J184" s="174" t="s">
        <v>99</v>
      </c>
      <c r="K184" s="175">
        <v>44651</v>
      </c>
      <c r="L184" s="176">
        <v>500000</v>
      </c>
      <c r="M184" s="176">
        <v>1879.5</v>
      </c>
      <c r="N184" s="176">
        <v>190000</v>
      </c>
      <c r="O184" s="176">
        <v>714.21</v>
      </c>
      <c r="P184" s="177">
        <v>0.38</v>
      </c>
      <c r="Q184" s="174"/>
    </row>
    <row r="185" spans="1:17" s="178" customFormat="1" ht="14.1" customHeight="1">
      <c r="A185" s="174">
        <v>1182</v>
      </c>
      <c r="B185" s="174">
        <v>1182</v>
      </c>
      <c r="C185" s="174" t="s">
        <v>1069</v>
      </c>
      <c r="D185" s="174" t="s">
        <v>2804</v>
      </c>
      <c r="E185" s="174" t="s">
        <v>3277</v>
      </c>
      <c r="F185" s="174" t="s">
        <v>1376</v>
      </c>
      <c r="G185" s="174" t="s">
        <v>2804</v>
      </c>
      <c r="H185" s="174">
        <v>62018908</v>
      </c>
      <c r="I185" s="174" t="s">
        <v>34</v>
      </c>
      <c r="J185" s="174" t="s">
        <v>99</v>
      </c>
      <c r="K185" s="175">
        <v>44286</v>
      </c>
      <c r="L185" s="176">
        <v>600000</v>
      </c>
      <c r="M185" s="176">
        <v>2255.4</v>
      </c>
      <c r="N185" s="176">
        <v>90714.949999999953</v>
      </c>
      <c r="O185" s="176">
        <v>340.99749704999982</v>
      </c>
      <c r="P185" s="177">
        <v>0.15119158333333327</v>
      </c>
      <c r="Q185" s="174"/>
    </row>
    <row r="186" spans="1:17" s="178" customFormat="1" ht="14.1" customHeight="1">
      <c r="A186" s="174">
        <v>1182</v>
      </c>
      <c r="B186" s="174">
        <v>1182</v>
      </c>
      <c r="C186" s="174" t="s">
        <v>1069</v>
      </c>
      <c r="D186" s="174" t="s">
        <v>3278</v>
      </c>
      <c r="E186" s="174">
        <v>0</v>
      </c>
      <c r="F186" s="174" t="s">
        <v>361</v>
      </c>
      <c r="G186" s="174" t="s">
        <v>2774</v>
      </c>
      <c r="H186" s="174">
        <v>62019757</v>
      </c>
      <c r="I186" s="174" t="s">
        <v>34</v>
      </c>
      <c r="J186" s="174" t="s">
        <v>99</v>
      </c>
      <c r="K186" s="175">
        <v>44286</v>
      </c>
      <c r="L186" s="176">
        <v>140000</v>
      </c>
      <c r="M186" s="176">
        <v>526.26</v>
      </c>
      <c r="N186" s="176">
        <v>74009</v>
      </c>
      <c r="O186" s="176">
        <v>278.19983100000002</v>
      </c>
      <c r="P186" s="177">
        <v>0.52863571428571432</v>
      </c>
      <c r="Q186" s="174"/>
    </row>
    <row r="187" spans="1:17" s="178" customFormat="1" ht="14.1" customHeight="1">
      <c r="A187" s="174">
        <v>1182</v>
      </c>
      <c r="B187" s="174">
        <v>1182</v>
      </c>
      <c r="C187" s="174" t="s">
        <v>1069</v>
      </c>
      <c r="D187" s="174" t="s">
        <v>2756</v>
      </c>
      <c r="E187" s="174">
        <v>0</v>
      </c>
      <c r="F187" s="174" t="s">
        <v>203</v>
      </c>
      <c r="G187" s="174" t="s">
        <v>2756</v>
      </c>
      <c r="H187" s="174">
        <v>50007160</v>
      </c>
      <c r="I187" s="174" t="s">
        <v>34</v>
      </c>
      <c r="J187" s="174" t="s">
        <v>35</v>
      </c>
      <c r="K187" s="175">
        <v>44561</v>
      </c>
      <c r="L187" s="176">
        <v>900000</v>
      </c>
      <c r="M187" s="176">
        <v>900</v>
      </c>
      <c r="N187" s="176">
        <v>430040</v>
      </c>
      <c r="O187" s="176">
        <v>430.04</v>
      </c>
      <c r="P187" s="177">
        <v>0.4778222222222222</v>
      </c>
      <c r="Q187" s="174"/>
    </row>
    <row r="188" spans="1:17" s="178" customFormat="1" ht="14.1" customHeight="1">
      <c r="A188" s="174">
        <v>1182</v>
      </c>
      <c r="B188" s="174">
        <v>1182</v>
      </c>
      <c r="C188" s="174" t="s">
        <v>1069</v>
      </c>
      <c r="D188" s="174" t="s">
        <v>2769</v>
      </c>
      <c r="E188" s="174" t="s">
        <v>3279</v>
      </c>
      <c r="F188" s="174" t="s">
        <v>34</v>
      </c>
      <c r="G188" s="174" t="s">
        <v>2769</v>
      </c>
      <c r="H188" s="174">
        <v>62019815</v>
      </c>
      <c r="I188" s="174" t="s">
        <v>34</v>
      </c>
      <c r="J188" s="174" t="s">
        <v>99</v>
      </c>
      <c r="K188" s="175">
        <v>44561</v>
      </c>
      <c r="L188" s="176">
        <v>750000</v>
      </c>
      <c r="M188" s="176">
        <v>2819.25</v>
      </c>
      <c r="N188" s="176">
        <v>526472</v>
      </c>
      <c r="O188" s="176">
        <v>1979.0082479999999</v>
      </c>
      <c r="P188" s="177">
        <v>0.70196266666666662</v>
      </c>
      <c r="Q188" s="174"/>
    </row>
    <row r="189" spans="1:17" s="178" customFormat="1" ht="14.1" customHeight="1">
      <c r="A189" s="174">
        <v>1182</v>
      </c>
      <c r="B189" s="174">
        <v>1182</v>
      </c>
      <c r="C189" s="174" t="s">
        <v>1069</v>
      </c>
      <c r="D189" s="174" t="s">
        <v>2765</v>
      </c>
      <c r="E189" s="174" t="s">
        <v>3280</v>
      </c>
      <c r="F189" s="174" t="s">
        <v>34</v>
      </c>
      <c r="G189" s="174" t="s">
        <v>2765</v>
      </c>
      <c r="H189" s="174">
        <v>62020896</v>
      </c>
      <c r="I189" s="174" t="s">
        <v>34</v>
      </c>
      <c r="J189" s="174" t="s">
        <v>99</v>
      </c>
      <c r="K189" s="175">
        <v>44651</v>
      </c>
      <c r="L189" s="176">
        <v>300000</v>
      </c>
      <c r="M189" s="176">
        <v>1127.7</v>
      </c>
      <c r="N189" s="176">
        <v>274988</v>
      </c>
      <c r="O189" s="176">
        <v>1033.6798919999999</v>
      </c>
      <c r="P189" s="177">
        <v>0.9166266666666667</v>
      </c>
      <c r="Q189" s="174"/>
    </row>
    <row r="190" spans="1:17" s="178" customFormat="1" ht="14.1" customHeight="1">
      <c r="A190" s="174">
        <v>1182</v>
      </c>
      <c r="B190" s="174">
        <v>1182</v>
      </c>
      <c r="C190" s="174" t="s">
        <v>1069</v>
      </c>
      <c r="D190" s="174" t="s">
        <v>2762</v>
      </c>
      <c r="E190" s="174">
        <v>0</v>
      </c>
      <c r="F190" s="174" t="s">
        <v>203</v>
      </c>
      <c r="G190" s="174" t="s">
        <v>2762</v>
      </c>
      <c r="H190" s="174">
        <v>62021365</v>
      </c>
      <c r="I190" s="174" t="s">
        <v>34</v>
      </c>
      <c r="J190" s="174" t="s">
        <v>99</v>
      </c>
      <c r="K190" s="175">
        <v>45016</v>
      </c>
      <c r="L190" s="176">
        <v>400000</v>
      </c>
      <c r="M190" s="176">
        <v>1503.6</v>
      </c>
      <c r="N190" s="176">
        <v>356425.47</v>
      </c>
      <c r="O190" s="176">
        <v>1339.8033417299998</v>
      </c>
      <c r="P190" s="177">
        <v>0.89106367499999994</v>
      </c>
      <c r="Q190" s="174"/>
    </row>
    <row r="191" spans="1:17" s="178" customFormat="1" ht="14.1" customHeight="1">
      <c r="A191" s="174">
        <v>1182</v>
      </c>
      <c r="B191" s="174">
        <v>1182</v>
      </c>
      <c r="C191" s="174" t="s">
        <v>1069</v>
      </c>
      <c r="D191" s="174" t="s">
        <v>2748</v>
      </c>
      <c r="E191" s="174" t="s">
        <v>2749</v>
      </c>
      <c r="F191" s="174" t="s">
        <v>1376</v>
      </c>
      <c r="G191" s="174" t="s">
        <v>2748</v>
      </c>
      <c r="H191" s="174">
        <v>50007350</v>
      </c>
      <c r="I191" s="174" t="s">
        <v>34</v>
      </c>
      <c r="J191" s="174" t="s">
        <v>35</v>
      </c>
      <c r="K191" s="175">
        <v>44651</v>
      </c>
      <c r="L191" s="176">
        <v>2000000</v>
      </c>
      <c r="M191" s="176">
        <v>2000</v>
      </c>
      <c r="N191" s="176">
        <v>464819</v>
      </c>
      <c r="O191" s="176">
        <v>464.81900000000002</v>
      </c>
      <c r="P191" s="177">
        <v>0.23240949999999999</v>
      </c>
      <c r="Q191" s="174"/>
    </row>
    <row r="192" spans="1:17" s="178" customFormat="1" ht="14.1" customHeight="1">
      <c r="A192" s="174">
        <v>1182</v>
      </c>
      <c r="B192" s="174">
        <v>1182</v>
      </c>
      <c r="C192" s="174" t="s">
        <v>1069</v>
      </c>
      <c r="D192" s="174" t="s">
        <v>3281</v>
      </c>
      <c r="E192" s="174">
        <v>0</v>
      </c>
      <c r="F192" s="174" t="s">
        <v>203</v>
      </c>
      <c r="G192" s="174" t="s">
        <v>2642</v>
      </c>
      <c r="H192" s="174">
        <v>50007566</v>
      </c>
      <c r="I192" s="174" t="s">
        <v>34</v>
      </c>
      <c r="J192" s="174" t="s">
        <v>35</v>
      </c>
      <c r="K192" s="175">
        <v>44651</v>
      </c>
      <c r="L192" s="176">
        <v>2200000</v>
      </c>
      <c r="M192" s="176">
        <v>2200</v>
      </c>
      <c r="N192" s="176">
        <v>688400</v>
      </c>
      <c r="O192" s="176">
        <v>688.4</v>
      </c>
      <c r="P192" s="177">
        <v>0.31290909090909091</v>
      </c>
      <c r="Q192" s="174"/>
    </row>
    <row r="193" spans="1:17" s="178" customFormat="1" ht="14.1" customHeight="1">
      <c r="A193" s="174">
        <v>1182</v>
      </c>
      <c r="B193" s="174">
        <v>1182</v>
      </c>
      <c r="C193" s="174" t="s">
        <v>1069</v>
      </c>
      <c r="D193" s="174" t="s">
        <v>2702</v>
      </c>
      <c r="E193" s="174" t="s">
        <v>2703</v>
      </c>
      <c r="F193" s="174" t="s">
        <v>34</v>
      </c>
      <c r="G193" s="174" t="s">
        <v>2702</v>
      </c>
      <c r="H193" s="174">
        <v>62020375</v>
      </c>
      <c r="I193" s="174" t="s">
        <v>34</v>
      </c>
      <c r="J193" s="174" t="s">
        <v>99</v>
      </c>
      <c r="K193" s="175">
        <v>44651</v>
      </c>
      <c r="L193" s="176">
        <v>450000</v>
      </c>
      <c r="M193" s="176">
        <v>1691.55</v>
      </c>
      <c r="N193" s="176">
        <v>347225</v>
      </c>
      <c r="O193" s="176">
        <v>1305.2187749999998</v>
      </c>
      <c r="P193" s="177">
        <v>0.77161111111111114</v>
      </c>
      <c r="Q193" s="174"/>
    </row>
    <row r="194" spans="1:17" s="178" customFormat="1" ht="14.1" customHeight="1">
      <c r="A194" s="174">
        <v>1182</v>
      </c>
      <c r="B194" s="174">
        <v>1182</v>
      </c>
      <c r="C194" s="174" t="s">
        <v>1069</v>
      </c>
      <c r="D194" s="174" t="s">
        <v>3282</v>
      </c>
      <c r="E194" s="174" t="s">
        <v>3283</v>
      </c>
      <c r="F194" s="174" t="s">
        <v>34</v>
      </c>
      <c r="G194" s="174" t="s">
        <v>2869</v>
      </c>
      <c r="H194" s="174">
        <v>62020425</v>
      </c>
      <c r="I194" s="174" t="s">
        <v>34</v>
      </c>
      <c r="J194" s="174" t="s">
        <v>99</v>
      </c>
      <c r="K194" s="175">
        <v>44742</v>
      </c>
      <c r="L194" s="176">
        <v>700000</v>
      </c>
      <c r="M194" s="176">
        <v>2631.3</v>
      </c>
      <c r="N194" s="176">
        <v>30971</v>
      </c>
      <c r="O194" s="176">
        <v>116.419989</v>
      </c>
      <c r="P194" s="177">
        <v>4.4244285714285715E-2</v>
      </c>
      <c r="Q194" s="174"/>
    </row>
    <row r="195" spans="1:17" s="178" customFormat="1" ht="14.1" customHeight="1">
      <c r="A195" s="174">
        <v>1182</v>
      </c>
      <c r="B195" s="174">
        <v>1182</v>
      </c>
      <c r="C195" s="174" t="s">
        <v>1069</v>
      </c>
      <c r="D195" s="174" t="s">
        <v>3284</v>
      </c>
      <c r="E195" s="174" t="s">
        <v>3285</v>
      </c>
      <c r="F195" s="174" t="s">
        <v>34</v>
      </c>
      <c r="G195" s="174" t="s">
        <v>2838</v>
      </c>
      <c r="H195" s="174">
        <v>62020565</v>
      </c>
      <c r="I195" s="174" t="s">
        <v>34</v>
      </c>
      <c r="J195" s="174" t="s">
        <v>1219</v>
      </c>
      <c r="K195" s="175">
        <v>44651</v>
      </c>
      <c r="L195" s="176">
        <v>265000</v>
      </c>
      <c r="M195" s="176">
        <v>1065.3530000000001</v>
      </c>
      <c r="N195" s="176">
        <v>145594.85999999999</v>
      </c>
      <c r="O195" s="176">
        <v>585.32045617199992</v>
      </c>
      <c r="P195" s="177">
        <v>0.54941456603773575</v>
      </c>
      <c r="Q195" s="174"/>
    </row>
    <row r="196" spans="1:17" s="178" customFormat="1" ht="14.1" customHeight="1">
      <c r="A196" s="174">
        <v>1182</v>
      </c>
      <c r="B196" s="174">
        <v>1182</v>
      </c>
      <c r="C196" s="174" t="s">
        <v>1069</v>
      </c>
      <c r="D196" s="174" t="s">
        <v>2758</v>
      </c>
      <c r="E196" s="174" t="s">
        <v>2759</v>
      </c>
      <c r="F196" s="174" t="s">
        <v>34</v>
      </c>
      <c r="G196" s="174" t="s">
        <v>2760</v>
      </c>
      <c r="H196" s="174">
        <v>62020672</v>
      </c>
      <c r="I196" s="174" t="s">
        <v>34</v>
      </c>
      <c r="J196" s="174" t="s">
        <v>99</v>
      </c>
      <c r="K196" s="175">
        <v>44651</v>
      </c>
      <c r="L196" s="176">
        <v>100000</v>
      </c>
      <c r="M196" s="176">
        <v>375.9</v>
      </c>
      <c r="N196" s="176">
        <v>14130</v>
      </c>
      <c r="O196" s="176">
        <v>53.114669999999997</v>
      </c>
      <c r="P196" s="177">
        <v>0.14130000000000001</v>
      </c>
      <c r="Q196" s="174"/>
    </row>
    <row r="197" spans="1:17" s="178" customFormat="1" ht="14.1" customHeight="1">
      <c r="A197" s="174">
        <v>1182</v>
      </c>
      <c r="B197" s="174">
        <v>1182</v>
      </c>
      <c r="C197" s="174" t="s">
        <v>1069</v>
      </c>
      <c r="D197" s="174" t="s">
        <v>2814</v>
      </c>
      <c r="E197" s="174" t="s">
        <v>2815</v>
      </c>
      <c r="F197" s="174" t="s">
        <v>359</v>
      </c>
      <c r="G197" s="174" t="s">
        <v>2816</v>
      </c>
      <c r="H197" s="174">
        <v>62021431</v>
      </c>
      <c r="I197" s="174" t="s">
        <v>34</v>
      </c>
      <c r="J197" s="174" t="s">
        <v>99</v>
      </c>
      <c r="K197" s="175">
        <v>45016</v>
      </c>
      <c r="L197" s="176">
        <v>130000</v>
      </c>
      <c r="M197" s="176">
        <v>488.67</v>
      </c>
      <c r="N197" s="176">
        <v>100750</v>
      </c>
      <c r="O197" s="176">
        <v>378.71924999999999</v>
      </c>
      <c r="P197" s="177">
        <v>0.77500000000000002</v>
      </c>
      <c r="Q197" s="174"/>
    </row>
  </sheetData>
  <sheetProtection formatColumns="0"/>
  <dataConsolidate/>
  <dataValidations count="2">
    <dataValidation type="list" allowBlank="1" showInputMessage="1" showErrorMessage="1" sqref="F2:F20" xr:uid="{A3D3B84A-900D-4145-8028-8FE67722DBE3}">
      <formula1>Issuer_Number_Fund</formula1>
    </dataValidation>
    <dataValidation type="list" allowBlank="1" showInputMessage="1" showErrorMessage="1" sqref="I2:I20" xr:uid="{6DE8BF85-97ED-4C18-875D-6711F8D53FA4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8C92E9-D241-40D4-B96E-04C89335CA86}">
          <x14:formula1>
            <xm:f>'\\NTAS107777A5I\kasefet$\Hebrew-University\Amitim\In\[HU_510960586_gm_0224_638578492564856700.xlsx]אפשרויות בחירה'!#REF!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5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1" customFormat="1" ht="45">
      <c r="A1" s="50" t="s">
        <v>251</v>
      </c>
      <c r="B1" s="50" t="s">
        <v>252</v>
      </c>
      <c r="C1" s="50" t="s">
        <v>253</v>
      </c>
      <c r="D1" s="50" t="s">
        <v>254</v>
      </c>
    </row>
    <row r="2" spans="1:5">
      <c r="A2" s="85"/>
      <c r="B2" s="85" t="s">
        <v>255</v>
      </c>
      <c r="C2" s="21" t="s">
        <v>31</v>
      </c>
      <c r="D2" s="21"/>
    </row>
    <row r="3" spans="1:5">
      <c r="A3" s="86"/>
      <c r="B3" s="86"/>
      <c r="C3" s="21" t="s">
        <v>94</v>
      </c>
      <c r="D3" s="21"/>
    </row>
    <row r="4" spans="1:5" ht="42.75">
      <c r="A4" s="78"/>
      <c r="B4" s="99" t="s">
        <v>256</v>
      </c>
      <c r="C4" s="22" t="s">
        <v>31</v>
      </c>
      <c r="D4" s="22"/>
    </row>
    <row r="5" spans="1:5">
      <c r="A5" s="79"/>
      <c r="B5" s="100"/>
      <c r="C5" s="22" t="s">
        <v>257</v>
      </c>
      <c r="D5" s="22"/>
    </row>
    <row r="6" spans="1:5">
      <c r="A6" s="79"/>
      <c r="B6" s="100"/>
      <c r="C6" s="22" t="s">
        <v>258</v>
      </c>
      <c r="D6" s="22"/>
    </row>
    <row r="7" spans="1:5">
      <c r="A7" s="79"/>
      <c r="B7" s="100"/>
      <c r="C7" s="22" t="s">
        <v>259</v>
      </c>
      <c r="D7" s="22"/>
    </row>
    <row r="8" spans="1:5">
      <c r="A8" s="79"/>
      <c r="B8" s="100"/>
      <c r="C8" s="22" t="s">
        <v>260</v>
      </c>
      <c r="D8" s="22"/>
    </row>
    <row r="9" spans="1:5">
      <c r="A9" s="79"/>
      <c r="B9" s="100"/>
      <c r="C9" s="22" t="s">
        <v>261</v>
      </c>
      <c r="D9" s="22"/>
    </row>
    <row r="10" spans="1:5">
      <c r="A10" s="79"/>
      <c r="B10" s="100"/>
      <c r="C10" s="22" t="s">
        <v>262</v>
      </c>
      <c r="D10" s="22"/>
    </row>
    <row r="11" spans="1:5">
      <c r="A11" s="79"/>
      <c r="B11" s="100"/>
      <c r="C11" s="22" t="s">
        <v>263</v>
      </c>
      <c r="D11" s="22"/>
      <c r="E11" t="s">
        <v>264</v>
      </c>
    </row>
    <row r="12" spans="1:5">
      <c r="A12" s="79"/>
      <c r="B12" s="100"/>
      <c r="C12" s="22" t="s">
        <v>265</v>
      </c>
      <c r="D12" s="22"/>
      <c r="E12" t="s">
        <v>264</v>
      </c>
    </row>
    <row r="13" spans="1:5">
      <c r="A13" s="79"/>
      <c r="B13" s="100"/>
      <c r="C13" s="22" t="s">
        <v>266</v>
      </c>
      <c r="D13" s="22"/>
    </row>
    <row r="14" spans="1:5">
      <c r="A14" s="79"/>
      <c r="B14" s="100"/>
      <c r="C14" s="22" t="s">
        <v>267</v>
      </c>
      <c r="D14" s="22"/>
    </row>
    <row r="15" spans="1:5">
      <c r="A15" s="79"/>
      <c r="B15" s="100"/>
      <c r="C15" s="22" t="s">
        <v>268</v>
      </c>
      <c r="D15" s="22"/>
    </row>
    <row r="16" spans="1:5">
      <c r="A16" s="79"/>
      <c r="B16" s="100"/>
      <c r="C16" s="22" t="s">
        <v>269</v>
      </c>
      <c r="D16" s="22"/>
    </row>
    <row r="17" spans="1:4">
      <c r="A17" s="79"/>
      <c r="B17" s="100"/>
      <c r="C17" s="22" t="s">
        <v>270</v>
      </c>
      <c r="D17" s="22"/>
    </row>
    <row r="18" spans="1:4">
      <c r="A18" s="79"/>
      <c r="B18" s="100"/>
      <c r="C18" s="22" t="s">
        <v>271</v>
      </c>
      <c r="D18" s="22"/>
    </row>
    <row r="19" spans="1:4">
      <c r="A19" s="79"/>
      <c r="B19" s="100"/>
      <c r="C19" s="22" t="s">
        <v>272</v>
      </c>
      <c r="D19" s="22"/>
    </row>
    <row r="20" spans="1:4">
      <c r="A20" s="79"/>
      <c r="B20" s="100"/>
      <c r="C20" s="22" t="s">
        <v>273</v>
      </c>
      <c r="D20" s="22"/>
    </row>
    <row r="21" spans="1:4">
      <c r="A21" s="79"/>
      <c r="B21" s="100"/>
      <c r="C21" s="22" t="s">
        <v>95</v>
      </c>
      <c r="D21" s="22"/>
    </row>
    <row r="22" spans="1:4">
      <c r="A22" s="79"/>
      <c r="B22" s="100"/>
      <c r="C22" s="22" t="s">
        <v>274</v>
      </c>
      <c r="D22" s="22"/>
    </row>
    <row r="23" spans="1:4">
      <c r="A23" s="79"/>
      <c r="B23" s="100"/>
      <c r="C23" s="22" t="s">
        <v>275</v>
      </c>
      <c r="D23" s="22"/>
    </row>
    <row r="24" spans="1:4">
      <c r="A24" s="79"/>
      <c r="B24" s="100"/>
      <c r="C24" s="22" t="s">
        <v>276</v>
      </c>
      <c r="D24" s="22"/>
    </row>
    <row r="25" spans="1:4">
      <c r="A25" s="79"/>
      <c r="B25" s="100"/>
      <c r="C25" s="22" t="s">
        <v>277</v>
      </c>
      <c r="D25" s="22"/>
    </row>
    <row r="26" spans="1:4">
      <c r="A26" s="79"/>
      <c r="B26" s="100"/>
      <c r="C26" s="22" t="s">
        <v>278</v>
      </c>
      <c r="D26" s="22"/>
    </row>
    <row r="27" spans="1:4">
      <c r="A27" s="79"/>
      <c r="B27" s="100"/>
      <c r="C27" s="22" t="s">
        <v>279</v>
      </c>
      <c r="D27" s="22"/>
    </row>
    <row r="28" spans="1:4">
      <c r="A28" s="79"/>
      <c r="B28" s="100"/>
      <c r="C28" s="22" t="s">
        <v>280</v>
      </c>
      <c r="D28" s="22"/>
    </row>
    <row r="29" spans="1:4">
      <c r="A29" s="79"/>
      <c r="B29" s="100"/>
      <c r="C29" s="22" t="s">
        <v>281</v>
      </c>
      <c r="D29" s="22"/>
    </row>
    <row r="30" spans="1:4">
      <c r="A30" s="79"/>
      <c r="B30" s="100"/>
      <c r="C30" s="22" t="s">
        <v>282</v>
      </c>
      <c r="D30" s="22"/>
    </row>
    <row r="31" spans="1:4">
      <c r="A31" s="79"/>
      <c r="B31" s="100"/>
      <c r="C31" s="22" t="s">
        <v>283</v>
      </c>
      <c r="D31" s="22"/>
    </row>
    <row r="32" spans="1:4">
      <c r="A32" s="79"/>
      <c r="B32" s="100"/>
      <c r="C32" s="22" t="s">
        <v>284</v>
      </c>
      <c r="D32" s="22"/>
    </row>
    <row r="33" spans="1:5">
      <c r="A33" s="79"/>
      <c r="B33" s="100"/>
      <c r="C33" s="22" t="s">
        <v>285</v>
      </c>
      <c r="D33" s="22"/>
    </row>
    <row r="34" spans="1:5">
      <c r="A34" s="79"/>
      <c r="B34" s="100"/>
      <c r="C34" s="22" t="s">
        <v>286</v>
      </c>
      <c r="D34" s="22"/>
    </row>
    <row r="35" spans="1:5">
      <c r="A35" s="79"/>
      <c r="B35" s="100"/>
      <c r="C35" s="22" t="s">
        <v>287</v>
      </c>
      <c r="D35" s="22"/>
    </row>
    <row r="36" spans="1:5">
      <c r="A36" s="79"/>
      <c r="B36" s="100"/>
      <c r="C36" s="22" t="s">
        <v>288</v>
      </c>
      <c r="D36" s="22"/>
      <c r="E36" t="s">
        <v>264</v>
      </c>
    </row>
    <row r="37" spans="1:5">
      <c r="A37" s="79"/>
      <c r="B37" s="100"/>
      <c r="C37" s="11" t="s">
        <v>289</v>
      </c>
      <c r="D37" s="22"/>
      <c r="E37" t="s">
        <v>264</v>
      </c>
    </row>
    <row r="38" spans="1:5">
      <c r="A38" s="79"/>
      <c r="B38" s="100"/>
      <c r="C38" s="22" t="s">
        <v>290</v>
      </c>
      <c r="D38" s="22"/>
    </row>
    <row r="39" spans="1:5">
      <c r="A39" s="79"/>
      <c r="B39" s="100"/>
      <c r="C39" s="22" t="s">
        <v>291</v>
      </c>
      <c r="D39" s="22"/>
    </row>
    <row r="40" spans="1:5">
      <c r="A40" s="79"/>
      <c r="B40" s="100"/>
      <c r="C40" s="22" t="s">
        <v>292</v>
      </c>
      <c r="D40" s="22"/>
      <c r="E40" t="s">
        <v>264</v>
      </c>
    </row>
    <row r="41" spans="1:5">
      <c r="A41" s="79"/>
      <c r="B41" s="100"/>
      <c r="C41" s="22" t="s">
        <v>293</v>
      </c>
      <c r="D41" s="22"/>
    </row>
    <row r="42" spans="1:5">
      <c r="A42" s="79"/>
      <c r="B42" s="100"/>
      <c r="C42" s="22" t="s">
        <v>294</v>
      </c>
      <c r="D42" s="22"/>
    </row>
    <row r="43" spans="1:5">
      <c r="A43" s="79"/>
      <c r="B43" s="100"/>
      <c r="C43" s="22" t="s">
        <v>295</v>
      </c>
      <c r="D43" s="22"/>
    </row>
    <row r="44" spans="1:5">
      <c r="A44" s="79"/>
      <c r="B44" s="100"/>
      <c r="C44" s="22" t="s">
        <v>296</v>
      </c>
      <c r="D44" s="22"/>
    </row>
    <row r="45" spans="1:5">
      <c r="A45" s="79"/>
      <c r="B45" s="100"/>
      <c r="C45" s="22" t="s">
        <v>297</v>
      </c>
      <c r="D45" s="22"/>
    </row>
    <row r="46" spans="1:5">
      <c r="A46" s="79"/>
      <c r="B46" s="100"/>
      <c r="C46" s="22" t="s">
        <v>298</v>
      </c>
      <c r="D46" s="22"/>
      <c r="E46" t="s">
        <v>264</v>
      </c>
    </row>
    <row r="47" spans="1:5">
      <c r="A47" s="79"/>
      <c r="B47" s="100"/>
      <c r="C47" s="22" t="s">
        <v>299</v>
      </c>
      <c r="D47" s="22"/>
    </row>
    <row r="48" spans="1:5">
      <c r="A48" s="79"/>
      <c r="B48" s="100"/>
      <c r="C48" s="22" t="s">
        <v>300</v>
      </c>
      <c r="D48" s="22"/>
    </row>
    <row r="49" spans="1:5">
      <c r="A49" s="79"/>
      <c r="B49" s="100"/>
      <c r="C49" s="22" t="s">
        <v>301</v>
      </c>
      <c r="D49" s="22"/>
    </row>
    <row r="50" spans="1:5">
      <c r="A50" s="79"/>
      <c r="B50" s="100"/>
      <c r="C50" s="22" t="s">
        <v>302</v>
      </c>
      <c r="D50" s="22"/>
    </row>
    <row r="51" spans="1:5">
      <c r="A51" s="79"/>
      <c r="B51" s="100"/>
      <c r="C51" s="22" t="s">
        <v>303</v>
      </c>
      <c r="D51" s="22"/>
    </row>
    <row r="52" spans="1:5">
      <c r="A52" s="79"/>
      <c r="B52" s="100"/>
      <c r="C52" s="22" t="s">
        <v>304</v>
      </c>
      <c r="D52" s="22"/>
    </row>
    <row r="53" spans="1:5">
      <c r="A53" s="79"/>
      <c r="B53" s="100"/>
      <c r="C53" s="22" t="s">
        <v>305</v>
      </c>
      <c r="D53" s="22"/>
    </row>
    <row r="54" spans="1:5">
      <c r="A54" s="79"/>
      <c r="B54" s="100"/>
      <c r="C54" s="22" t="s">
        <v>306</v>
      </c>
      <c r="D54" s="22"/>
    </row>
    <row r="55" spans="1:5">
      <c r="A55" s="79"/>
      <c r="B55" s="100"/>
      <c r="C55" s="22" t="s">
        <v>307</v>
      </c>
      <c r="D55" s="22"/>
    </row>
    <row r="56" spans="1:5">
      <c r="A56" s="79"/>
      <c r="B56" s="100"/>
      <c r="C56" s="22" t="s">
        <v>308</v>
      </c>
      <c r="D56" s="22"/>
    </row>
    <row r="57" spans="1:5">
      <c r="A57" s="79"/>
      <c r="B57" s="100"/>
      <c r="C57" s="22" t="s">
        <v>309</v>
      </c>
      <c r="D57" s="22"/>
    </row>
    <row r="58" spans="1:5">
      <c r="A58" s="79"/>
      <c r="B58" s="100"/>
      <c r="C58" s="22" t="s">
        <v>310</v>
      </c>
      <c r="D58" s="22"/>
    </row>
    <row r="59" spans="1:5">
      <c r="A59" s="79"/>
      <c r="B59" s="100"/>
      <c r="C59" s="22" t="s">
        <v>311</v>
      </c>
      <c r="D59" s="22"/>
    </row>
    <row r="60" spans="1:5">
      <c r="A60" s="79"/>
      <c r="B60" s="100"/>
      <c r="C60" s="22" t="s">
        <v>312</v>
      </c>
      <c r="D60" s="22"/>
    </row>
    <row r="61" spans="1:5">
      <c r="A61" s="79"/>
      <c r="B61" s="100"/>
      <c r="C61" s="22" t="s">
        <v>313</v>
      </c>
      <c r="D61" s="22"/>
    </row>
    <row r="62" spans="1:5">
      <c r="A62" s="79"/>
      <c r="B62" s="100"/>
      <c r="C62" s="22" t="s">
        <v>314</v>
      </c>
      <c r="D62" s="22"/>
    </row>
    <row r="63" spans="1:5">
      <c r="A63" s="79"/>
      <c r="B63" s="100"/>
      <c r="C63" s="22" t="s">
        <v>315</v>
      </c>
      <c r="D63" s="22"/>
      <c r="E63" t="s">
        <v>264</v>
      </c>
    </row>
    <row r="64" spans="1:5">
      <c r="A64" s="79"/>
      <c r="B64" s="100"/>
      <c r="C64" s="22" t="s">
        <v>316</v>
      </c>
      <c r="D64" s="22"/>
    </row>
    <row r="65" spans="1:4">
      <c r="A65" s="79"/>
      <c r="B65" s="100"/>
      <c r="C65" s="22" t="s">
        <v>317</v>
      </c>
      <c r="D65" s="22"/>
    </row>
    <row r="66" spans="1:4">
      <c r="A66" s="79"/>
      <c r="B66" s="100"/>
      <c r="C66" s="22" t="s">
        <v>318</v>
      </c>
      <c r="D66" s="22"/>
    </row>
    <row r="67" spans="1:4">
      <c r="A67" s="79"/>
      <c r="B67" s="100"/>
      <c r="C67" s="22" t="s">
        <v>319</v>
      </c>
      <c r="D67" s="22"/>
    </row>
    <row r="68" spans="1:4">
      <c r="A68" s="79"/>
      <c r="B68" s="100"/>
      <c r="C68" s="22" t="s">
        <v>320</v>
      </c>
      <c r="D68" s="22"/>
    </row>
    <row r="69" spans="1:4">
      <c r="A69" s="79"/>
      <c r="B69" s="100"/>
      <c r="C69" s="22" t="s">
        <v>321</v>
      </c>
      <c r="D69" s="22"/>
    </row>
    <row r="70" spans="1:4">
      <c r="A70" s="79"/>
      <c r="B70" s="100"/>
      <c r="C70" s="22" t="s">
        <v>322</v>
      </c>
      <c r="D70" s="22"/>
    </row>
    <row r="71" spans="1:4">
      <c r="A71" s="79"/>
      <c r="B71" s="100"/>
      <c r="C71" s="22" t="s">
        <v>323</v>
      </c>
      <c r="D71" s="22"/>
    </row>
    <row r="72" spans="1:4">
      <c r="A72" s="79"/>
      <c r="B72" s="100"/>
      <c r="C72" s="22" t="s">
        <v>324</v>
      </c>
      <c r="D72" s="22"/>
    </row>
    <row r="73" spans="1:4">
      <c r="A73" s="79"/>
      <c r="B73" s="100"/>
      <c r="C73" s="22" t="s">
        <v>325</v>
      </c>
      <c r="D73" s="22"/>
    </row>
    <row r="74" spans="1:4">
      <c r="A74" s="79"/>
      <c r="B74" s="100"/>
      <c r="C74" s="22" t="s">
        <v>326</v>
      </c>
      <c r="D74" s="22"/>
    </row>
    <row r="75" spans="1:4">
      <c r="A75" s="79"/>
      <c r="B75" s="100"/>
      <c r="C75" s="22" t="s">
        <v>327</v>
      </c>
      <c r="D75" s="22"/>
    </row>
    <row r="76" spans="1:4">
      <c r="A76" s="79"/>
      <c r="B76" s="100"/>
      <c r="C76" s="22" t="s">
        <v>328</v>
      </c>
      <c r="D76" s="22"/>
    </row>
    <row r="77" spans="1:4">
      <c r="A77" s="79"/>
      <c r="B77" s="100"/>
      <c r="C77" s="22" t="s">
        <v>329</v>
      </c>
      <c r="D77" s="22"/>
    </row>
    <row r="78" spans="1:4">
      <c r="A78" s="79"/>
      <c r="B78" s="100"/>
      <c r="C78" s="22" t="s">
        <v>330</v>
      </c>
      <c r="D78" s="22"/>
    </row>
    <row r="79" spans="1:4">
      <c r="A79" s="79"/>
      <c r="B79" s="100"/>
      <c r="C79" s="22" t="s">
        <v>331</v>
      </c>
      <c r="D79" s="22"/>
    </row>
    <row r="80" spans="1:4">
      <c r="A80" s="79"/>
      <c r="B80" s="100"/>
      <c r="C80" s="22" t="s">
        <v>332</v>
      </c>
      <c r="D80" s="22"/>
    </row>
    <row r="81" spans="1:5">
      <c r="A81" s="79"/>
      <c r="B81" s="100"/>
      <c r="C81" s="22" t="s">
        <v>333</v>
      </c>
      <c r="D81" s="22"/>
    </row>
    <row r="82" spans="1:5">
      <c r="A82" s="79"/>
      <c r="B82" s="100"/>
      <c r="C82" s="22" t="s">
        <v>334</v>
      </c>
      <c r="D82" s="22"/>
    </row>
    <row r="83" spans="1:5">
      <c r="A83" s="79"/>
      <c r="B83" s="100"/>
      <c r="C83" s="22" t="s">
        <v>335</v>
      </c>
      <c r="D83" s="22"/>
    </row>
    <row r="84" spans="1:5">
      <c r="A84" s="79"/>
      <c r="B84" s="100"/>
      <c r="C84" s="22" t="s">
        <v>336</v>
      </c>
      <c r="D84" s="22"/>
    </row>
    <row r="85" spans="1:5">
      <c r="A85" s="79"/>
      <c r="B85" s="100"/>
      <c r="C85" s="22" t="s">
        <v>337</v>
      </c>
      <c r="D85" s="22"/>
    </row>
    <row r="86" spans="1:5">
      <c r="A86" s="79"/>
      <c r="B86" s="100"/>
      <c r="C86" s="22" t="s">
        <v>338</v>
      </c>
      <c r="D86" s="22"/>
    </row>
    <row r="87" spans="1:5">
      <c r="A87" s="79"/>
      <c r="B87" s="100"/>
      <c r="C87" s="22" t="s">
        <v>339</v>
      </c>
      <c r="D87" s="22"/>
    </row>
    <row r="88" spans="1:5">
      <c r="A88" s="79"/>
      <c r="B88" s="100"/>
      <c r="C88" s="22" t="s">
        <v>340</v>
      </c>
      <c r="D88" s="22"/>
    </row>
    <row r="89" spans="1:5">
      <c r="A89" s="79"/>
      <c r="B89" s="100"/>
      <c r="C89" s="22" t="s">
        <v>341</v>
      </c>
      <c r="D89" s="22"/>
    </row>
    <row r="90" spans="1:5">
      <c r="A90" s="79"/>
      <c r="B90" s="100"/>
      <c r="C90" s="22" t="s">
        <v>342</v>
      </c>
      <c r="D90" s="22"/>
    </row>
    <row r="91" spans="1:5">
      <c r="A91" s="79"/>
      <c r="B91" s="100"/>
      <c r="C91" s="22" t="s">
        <v>343</v>
      </c>
      <c r="D91" s="22"/>
    </row>
    <row r="92" spans="1:5">
      <c r="A92" s="79"/>
      <c r="B92" s="100"/>
      <c r="C92" s="22" t="s">
        <v>344</v>
      </c>
      <c r="D92" s="22"/>
    </row>
    <row r="93" spans="1:5">
      <c r="A93" s="79"/>
      <c r="B93" s="100"/>
      <c r="C93" s="22" t="s">
        <v>345</v>
      </c>
      <c r="D93" s="22"/>
    </row>
    <row r="94" spans="1:5">
      <c r="A94" s="79"/>
      <c r="B94" s="100"/>
      <c r="C94" s="22" t="s">
        <v>346</v>
      </c>
      <c r="D94" s="22" t="s">
        <v>347</v>
      </c>
      <c r="E94" t="s">
        <v>264</v>
      </c>
    </row>
    <row r="95" spans="1:5">
      <c r="A95" s="79"/>
      <c r="B95" s="100"/>
      <c r="C95" s="22" t="s">
        <v>348</v>
      </c>
      <c r="D95" s="22" t="s">
        <v>349</v>
      </c>
      <c r="E95" t="s">
        <v>264</v>
      </c>
    </row>
    <row r="96" spans="1:5">
      <c r="A96" s="79"/>
      <c r="B96" s="100"/>
      <c r="C96" s="22" t="s">
        <v>350</v>
      </c>
      <c r="D96" s="22" t="s">
        <v>349</v>
      </c>
      <c r="E96" t="s">
        <v>264</v>
      </c>
    </row>
    <row r="97" spans="1:5">
      <c r="A97" s="79"/>
      <c r="B97" s="100"/>
      <c r="C97" s="22" t="s">
        <v>351</v>
      </c>
      <c r="D97" s="22" t="s">
        <v>349</v>
      </c>
      <c r="E97" t="s">
        <v>264</v>
      </c>
    </row>
    <row r="98" spans="1:5">
      <c r="A98" s="79"/>
      <c r="B98" s="100"/>
      <c r="C98" s="22" t="s">
        <v>352</v>
      </c>
      <c r="D98" s="22" t="s">
        <v>349</v>
      </c>
      <c r="E98" t="s">
        <v>264</v>
      </c>
    </row>
    <row r="99" spans="1:5">
      <c r="A99" s="79"/>
      <c r="B99" s="100"/>
      <c r="C99" s="22" t="s">
        <v>353</v>
      </c>
      <c r="D99" s="22" t="s">
        <v>349</v>
      </c>
      <c r="E99" t="s">
        <v>264</v>
      </c>
    </row>
    <row r="100" spans="1:5">
      <c r="A100" s="79"/>
      <c r="B100" s="100"/>
      <c r="C100" s="22" t="s">
        <v>354</v>
      </c>
      <c r="D100" s="22" t="s">
        <v>349</v>
      </c>
      <c r="E100" t="s">
        <v>264</v>
      </c>
    </row>
    <row r="101" spans="1:5">
      <c r="A101" s="79"/>
      <c r="B101" s="100"/>
      <c r="C101" s="22" t="s">
        <v>355</v>
      </c>
      <c r="D101" s="22" t="s">
        <v>349</v>
      </c>
      <c r="E101" t="s">
        <v>264</v>
      </c>
    </row>
    <row r="102" spans="1:5">
      <c r="A102" s="79"/>
      <c r="B102" s="100"/>
      <c r="C102" s="22" t="s">
        <v>356</v>
      </c>
      <c r="D102" s="22" t="s">
        <v>349</v>
      </c>
      <c r="E102" t="s">
        <v>264</v>
      </c>
    </row>
    <row r="103" spans="1:5">
      <c r="A103" s="79"/>
      <c r="B103" s="100"/>
      <c r="C103" s="22" t="s">
        <v>357</v>
      </c>
      <c r="D103" s="22" t="s">
        <v>349</v>
      </c>
      <c r="E103" t="s">
        <v>264</v>
      </c>
    </row>
    <row r="104" spans="1:5">
      <c r="A104" s="74"/>
      <c r="B104" s="74" t="s">
        <v>183</v>
      </c>
      <c r="C104" s="21" t="s">
        <v>358</v>
      </c>
      <c r="D104" s="21"/>
    </row>
    <row r="105" spans="1:5">
      <c r="A105" s="75"/>
      <c r="B105" s="75"/>
      <c r="C105" s="21" t="s">
        <v>182</v>
      </c>
      <c r="D105" s="21"/>
    </row>
    <row r="106" spans="1:5">
      <c r="A106" s="75"/>
      <c r="B106" s="75"/>
      <c r="C106" s="21" t="s">
        <v>359</v>
      </c>
      <c r="D106" s="21"/>
    </row>
    <row r="107" spans="1:5">
      <c r="A107" s="75"/>
      <c r="B107" s="75"/>
      <c r="C107" s="21" t="s">
        <v>360</v>
      </c>
      <c r="D107" s="21"/>
    </row>
    <row r="108" spans="1:5">
      <c r="A108" s="75"/>
      <c r="B108" s="75"/>
      <c r="C108" s="21" t="s">
        <v>34</v>
      </c>
      <c r="D108" s="21"/>
    </row>
    <row r="109" spans="1:5">
      <c r="A109" s="75"/>
      <c r="B109" s="75"/>
      <c r="C109" s="21" t="s">
        <v>361</v>
      </c>
      <c r="D109" s="21"/>
    </row>
    <row r="110" spans="1:5">
      <c r="A110" s="76"/>
      <c r="B110" s="76"/>
      <c r="C110" s="21" t="s">
        <v>203</v>
      </c>
      <c r="D110" s="21"/>
    </row>
    <row r="111" spans="1:5">
      <c r="A111" s="79"/>
      <c r="B111" s="65" t="s">
        <v>207</v>
      </c>
      <c r="C111" s="22" t="s">
        <v>358</v>
      </c>
      <c r="D111" s="22"/>
    </row>
    <row r="112" spans="1:5">
      <c r="A112" s="79"/>
      <c r="B112" s="66"/>
      <c r="C112" s="22" t="s">
        <v>213</v>
      </c>
      <c r="D112" s="22"/>
    </row>
    <row r="113" spans="1:4">
      <c r="A113" s="79"/>
      <c r="B113" s="67"/>
      <c r="C113" s="22" t="s">
        <v>362</v>
      </c>
      <c r="D113" s="22"/>
    </row>
    <row r="114" spans="1:4">
      <c r="A114" s="92"/>
      <c r="B114" s="92" t="s">
        <v>363</v>
      </c>
      <c r="C114" s="21" t="s">
        <v>358</v>
      </c>
      <c r="D114" s="21"/>
    </row>
    <row r="115" spans="1:4">
      <c r="A115" s="92"/>
      <c r="B115" s="92"/>
      <c r="C115" s="21" t="s">
        <v>359</v>
      </c>
      <c r="D115" s="21"/>
    </row>
    <row r="116" spans="1:4">
      <c r="A116" s="92"/>
      <c r="B116" s="92"/>
      <c r="C116" s="21" t="s">
        <v>360</v>
      </c>
      <c r="D116" s="21"/>
    </row>
    <row r="117" spans="1:4">
      <c r="A117" s="92"/>
      <c r="B117" s="92"/>
      <c r="C117" s="21" t="s">
        <v>361</v>
      </c>
      <c r="D117" s="21"/>
    </row>
    <row r="118" spans="1:4">
      <c r="A118" s="78"/>
      <c r="B118" s="93" t="s">
        <v>146</v>
      </c>
      <c r="C118" s="22" t="s">
        <v>358</v>
      </c>
      <c r="D118" s="22"/>
    </row>
    <row r="119" spans="1:4">
      <c r="A119" s="12"/>
      <c r="B119" s="113"/>
      <c r="C119" s="22" t="s">
        <v>364</v>
      </c>
      <c r="D119" s="22"/>
    </row>
    <row r="120" spans="1:4">
      <c r="A120" s="12"/>
      <c r="B120" s="113"/>
      <c r="C120" s="22" t="s">
        <v>360</v>
      </c>
      <c r="D120" s="22"/>
    </row>
    <row r="121" spans="1:4">
      <c r="A121" s="12"/>
      <c r="B121" s="113"/>
      <c r="C121" s="22" t="s">
        <v>34</v>
      </c>
      <c r="D121" s="22"/>
    </row>
    <row r="122" spans="1:4">
      <c r="A122" s="12"/>
      <c r="B122" s="113"/>
      <c r="C122" s="22" t="s">
        <v>359</v>
      </c>
      <c r="D122" s="22"/>
    </row>
    <row r="123" spans="1:4">
      <c r="A123" s="12"/>
      <c r="B123" s="113"/>
      <c r="C123" s="22" t="s">
        <v>365</v>
      </c>
      <c r="D123" s="22"/>
    </row>
    <row r="124" spans="1:4">
      <c r="A124" s="12"/>
      <c r="B124" s="113"/>
      <c r="C124" s="22" t="s">
        <v>366</v>
      </c>
      <c r="D124" s="22"/>
    </row>
    <row r="125" spans="1:4">
      <c r="A125" s="12"/>
      <c r="B125" s="113"/>
      <c r="C125" s="22" t="s">
        <v>361</v>
      </c>
      <c r="D125" s="22"/>
    </row>
    <row r="126" spans="1:4">
      <c r="A126" s="79"/>
      <c r="B126" s="94"/>
      <c r="C126" s="22" t="s">
        <v>203</v>
      </c>
      <c r="D126" s="22"/>
    </row>
    <row r="127" spans="1:4">
      <c r="A127" s="74"/>
      <c r="B127" s="74" t="s">
        <v>184</v>
      </c>
      <c r="C127" s="21" t="s">
        <v>367</v>
      </c>
      <c r="D127" s="21"/>
    </row>
    <row r="128" spans="1:4">
      <c r="A128" s="75"/>
      <c r="B128" s="75"/>
      <c r="C128" s="21" t="s">
        <v>368</v>
      </c>
      <c r="D128" s="21"/>
    </row>
    <row r="129" spans="1:5">
      <c r="A129" s="75"/>
      <c r="B129" s="75"/>
      <c r="C129" s="21" t="s">
        <v>369</v>
      </c>
      <c r="D129" s="21"/>
    </row>
    <row r="130" spans="1:5">
      <c r="A130" s="75"/>
      <c r="B130" s="75"/>
      <c r="C130" s="21" t="s">
        <v>370</v>
      </c>
      <c r="D130" s="21"/>
    </row>
    <row r="131" spans="1:5">
      <c r="A131" s="75"/>
      <c r="B131" s="75"/>
      <c r="C131" s="21" t="s">
        <v>34</v>
      </c>
      <c r="D131" s="21"/>
    </row>
    <row r="132" spans="1:5">
      <c r="A132" s="79"/>
      <c r="B132" s="66" t="s">
        <v>371</v>
      </c>
      <c r="C132" s="22" t="s">
        <v>367</v>
      </c>
      <c r="D132" s="22"/>
    </row>
    <row r="133" spans="1:5">
      <c r="A133" s="79"/>
      <c r="B133" s="66"/>
      <c r="C133" s="22" t="s">
        <v>34</v>
      </c>
      <c r="D133" s="22"/>
    </row>
    <row r="134" spans="1:5">
      <c r="A134" s="80"/>
      <c r="B134" s="67"/>
      <c r="C134" s="22" t="s">
        <v>203</v>
      </c>
      <c r="D134" s="22"/>
    </row>
    <row r="135" spans="1:5">
      <c r="A135" s="81"/>
      <c r="B135" s="81" t="s">
        <v>372</v>
      </c>
      <c r="C135" s="21" t="s">
        <v>373</v>
      </c>
      <c r="D135" s="21"/>
    </row>
    <row r="136" spans="1:5">
      <c r="A136" s="82"/>
      <c r="B136" s="82"/>
      <c r="C136" s="21" t="s">
        <v>374</v>
      </c>
      <c r="D136" s="21"/>
      <c r="E136" t="s">
        <v>264</v>
      </c>
    </row>
    <row r="137" spans="1:5">
      <c r="A137" s="82"/>
      <c r="B137" s="82"/>
      <c r="C137" s="21" t="s">
        <v>375</v>
      </c>
      <c r="D137" s="21" t="s">
        <v>376</v>
      </c>
    </row>
    <row r="138" spans="1:5">
      <c r="A138" s="82"/>
      <c r="B138" s="82"/>
      <c r="C138" s="21" t="s">
        <v>377</v>
      </c>
      <c r="D138" s="21" t="s">
        <v>378</v>
      </c>
    </row>
    <row r="139" spans="1:5">
      <c r="A139" s="82"/>
      <c r="B139" s="82"/>
      <c r="C139" s="21" t="s">
        <v>379</v>
      </c>
      <c r="D139" s="21"/>
    </row>
    <row r="140" spans="1:5">
      <c r="A140" s="82"/>
      <c r="B140" s="82"/>
      <c r="C140" s="21" t="s">
        <v>380</v>
      </c>
      <c r="D140" s="21"/>
    </row>
    <row r="141" spans="1:5">
      <c r="A141" s="82"/>
      <c r="B141" s="82"/>
      <c r="C141" s="21" t="s">
        <v>381</v>
      </c>
      <c r="D141" s="21"/>
    </row>
    <row r="142" spans="1:5">
      <c r="A142" s="82"/>
      <c r="B142" s="82"/>
      <c r="C142" s="21" t="s">
        <v>382</v>
      </c>
      <c r="D142" s="21"/>
    </row>
    <row r="143" spans="1:5">
      <c r="A143" s="82"/>
      <c r="B143" s="82"/>
      <c r="C143" s="21" t="s">
        <v>383</v>
      </c>
      <c r="D143" s="21"/>
    </row>
    <row r="144" spans="1:5">
      <c r="A144" s="82"/>
      <c r="B144" s="82"/>
      <c r="C144" s="21" t="s">
        <v>384</v>
      </c>
      <c r="D144" s="21"/>
    </row>
    <row r="145" spans="1:4">
      <c r="A145" s="82"/>
      <c r="B145" s="82"/>
      <c r="C145" s="21" t="s">
        <v>203</v>
      </c>
      <c r="D145" s="21"/>
    </row>
    <row r="146" spans="1:4">
      <c r="A146" s="78"/>
      <c r="B146" s="71" t="s">
        <v>385</v>
      </c>
      <c r="C146" s="22" t="s">
        <v>386</v>
      </c>
      <c r="D146" s="22"/>
    </row>
    <row r="147" spans="1:4">
      <c r="A147" s="80"/>
      <c r="B147" s="73"/>
      <c r="C147" s="22" t="s">
        <v>164</v>
      </c>
      <c r="D147" s="22"/>
    </row>
    <row r="148" spans="1:4">
      <c r="A148" s="60"/>
      <c r="B148" s="112" t="s">
        <v>8</v>
      </c>
      <c r="C148" s="21" t="s">
        <v>32</v>
      </c>
      <c r="D148" s="21" t="s">
        <v>387</v>
      </c>
    </row>
    <row r="149" spans="1:4">
      <c r="A149" s="61"/>
      <c r="B149" s="61"/>
      <c r="C149" s="21" t="s">
        <v>388</v>
      </c>
      <c r="D149" s="21" t="s">
        <v>389</v>
      </c>
    </row>
    <row r="150" spans="1:4">
      <c r="A150" s="61"/>
      <c r="B150" s="61"/>
      <c r="C150" s="21" t="s">
        <v>390</v>
      </c>
      <c r="D150" s="21" t="s">
        <v>391</v>
      </c>
    </row>
    <row r="151" spans="1:4">
      <c r="A151" s="61"/>
      <c r="B151" s="61"/>
      <c r="C151" s="21" t="s">
        <v>392</v>
      </c>
      <c r="D151" s="21" t="s">
        <v>393</v>
      </c>
    </row>
    <row r="152" spans="1:4">
      <c r="A152" s="61"/>
      <c r="B152" s="61"/>
      <c r="C152" s="21" t="s">
        <v>394</v>
      </c>
      <c r="D152" s="21" t="s">
        <v>395</v>
      </c>
    </row>
    <row r="153" spans="1:4">
      <c r="A153" s="61"/>
      <c r="B153" s="61"/>
      <c r="C153" s="21" t="s">
        <v>396</v>
      </c>
      <c r="D153" s="21" t="s">
        <v>397</v>
      </c>
    </row>
    <row r="154" spans="1:4">
      <c r="A154" s="61"/>
      <c r="B154" s="61"/>
      <c r="C154" s="21" t="s">
        <v>398</v>
      </c>
      <c r="D154" s="21" t="s">
        <v>399</v>
      </c>
    </row>
    <row r="155" spans="1:4">
      <c r="A155" s="61"/>
      <c r="B155" s="61"/>
      <c r="C155" s="21" t="s">
        <v>400</v>
      </c>
      <c r="D155" s="21" t="s">
        <v>401</v>
      </c>
    </row>
    <row r="156" spans="1:4">
      <c r="A156" s="61"/>
      <c r="B156" s="61"/>
      <c r="C156" s="21" t="s">
        <v>402</v>
      </c>
      <c r="D156" s="21" t="s">
        <v>403</v>
      </c>
    </row>
    <row r="157" spans="1:4">
      <c r="A157" s="61"/>
      <c r="B157" s="61"/>
      <c r="C157" s="21" t="s">
        <v>404</v>
      </c>
      <c r="D157" s="21" t="s">
        <v>405</v>
      </c>
    </row>
    <row r="158" spans="1:4">
      <c r="A158" s="61"/>
      <c r="B158" s="61"/>
      <c r="C158" s="21" t="s">
        <v>406</v>
      </c>
      <c r="D158" s="21" t="s">
        <v>407</v>
      </c>
    </row>
    <row r="159" spans="1:4">
      <c r="A159" s="61"/>
      <c r="B159" s="61"/>
      <c r="C159" s="21" t="s">
        <v>408</v>
      </c>
      <c r="D159" s="21" t="s">
        <v>409</v>
      </c>
    </row>
    <row r="160" spans="1:4">
      <c r="A160" s="61"/>
      <c r="B160" s="61"/>
      <c r="C160" s="21" t="s">
        <v>410</v>
      </c>
      <c r="D160" s="21" t="s">
        <v>411</v>
      </c>
    </row>
    <row r="161" spans="1:4">
      <c r="A161" s="61"/>
      <c r="B161" s="61"/>
      <c r="C161" s="21" t="s">
        <v>412</v>
      </c>
      <c r="D161" s="21" t="s">
        <v>413</v>
      </c>
    </row>
    <row r="162" spans="1:4">
      <c r="A162" s="61"/>
      <c r="B162" s="61"/>
      <c r="C162" s="21" t="s">
        <v>414</v>
      </c>
      <c r="D162" s="21" t="s">
        <v>415</v>
      </c>
    </row>
    <row r="163" spans="1:4">
      <c r="A163" s="61"/>
      <c r="B163" s="61"/>
      <c r="C163" s="21" t="s">
        <v>416</v>
      </c>
      <c r="D163" s="21" t="s">
        <v>417</v>
      </c>
    </row>
    <row r="164" spans="1:4">
      <c r="A164" s="61"/>
      <c r="B164" s="61"/>
      <c r="C164" s="21" t="s">
        <v>418</v>
      </c>
      <c r="D164" s="21" t="s">
        <v>419</v>
      </c>
    </row>
    <row r="165" spans="1:4">
      <c r="A165" s="61"/>
      <c r="B165" s="61"/>
      <c r="C165" s="21" t="s">
        <v>420</v>
      </c>
      <c r="D165" s="21" t="s">
        <v>421</v>
      </c>
    </row>
    <row r="166" spans="1:4">
      <c r="A166" s="61"/>
      <c r="B166" s="61"/>
      <c r="C166" s="21" t="s">
        <v>422</v>
      </c>
      <c r="D166" s="21" t="s">
        <v>423</v>
      </c>
    </row>
    <row r="167" spans="1:4">
      <c r="A167" s="61"/>
      <c r="B167" s="61"/>
      <c r="C167" s="21" t="s">
        <v>424</v>
      </c>
      <c r="D167" s="21" t="s">
        <v>425</v>
      </c>
    </row>
    <row r="168" spans="1:4">
      <c r="A168" s="61"/>
      <c r="B168" s="61"/>
      <c r="C168" s="21" t="s">
        <v>426</v>
      </c>
      <c r="D168" s="21" t="s">
        <v>427</v>
      </c>
    </row>
    <row r="169" spans="1:4">
      <c r="A169" s="61"/>
      <c r="B169" s="61"/>
      <c r="C169" s="21" t="s">
        <v>428</v>
      </c>
      <c r="D169" s="21" t="s">
        <v>429</v>
      </c>
    </row>
    <row r="170" spans="1:4">
      <c r="A170" s="61"/>
      <c r="B170" s="61"/>
      <c r="C170" s="21" t="s">
        <v>430</v>
      </c>
      <c r="D170" s="21" t="s">
        <v>431</v>
      </c>
    </row>
    <row r="171" spans="1:4">
      <c r="A171" s="61"/>
      <c r="B171" s="61"/>
      <c r="C171" s="21" t="s">
        <v>432</v>
      </c>
      <c r="D171" s="21" t="s">
        <v>433</v>
      </c>
    </row>
    <row r="172" spans="1:4">
      <c r="A172" s="61"/>
      <c r="B172" s="61"/>
      <c r="C172" s="21" t="s">
        <v>434</v>
      </c>
      <c r="D172" s="21" t="s">
        <v>435</v>
      </c>
    </row>
    <row r="173" spans="1:4">
      <c r="A173" s="61"/>
      <c r="B173" s="61"/>
      <c r="C173" s="21" t="s">
        <v>436</v>
      </c>
      <c r="D173" s="21" t="s">
        <v>437</v>
      </c>
    </row>
    <row r="174" spans="1:4">
      <c r="A174" s="61"/>
      <c r="B174" s="61"/>
      <c r="C174" s="21" t="s">
        <v>438</v>
      </c>
      <c r="D174" s="21" t="s">
        <v>439</v>
      </c>
    </row>
    <row r="175" spans="1:4">
      <c r="A175" s="61"/>
      <c r="B175" s="61"/>
      <c r="C175" s="21" t="s">
        <v>440</v>
      </c>
      <c r="D175" s="21" t="s">
        <v>441</v>
      </c>
    </row>
    <row r="176" spans="1:4">
      <c r="A176" s="61"/>
      <c r="B176" s="61"/>
      <c r="C176" s="21" t="s">
        <v>442</v>
      </c>
      <c r="D176" s="21" t="s">
        <v>443</v>
      </c>
    </row>
    <row r="177" spans="1:5">
      <c r="A177" s="61"/>
      <c r="B177" s="61"/>
      <c r="C177" s="21" t="s">
        <v>444</v>
      </c>
      <c r="D177" s="21" t="s">
        <v>445</v>
      </c>
    </row>
    <row r="178" spans="1:5">
      <c r="A178" s="61"/>
      <c r="B178" s="61"/>
      <c r="C178" s="21" t="s">
        <v>446</v>
      </c>
      <c r="D178" s="21" t="s">
        <v>447</v>
      </c>
    </row>
    <row r="179" spans="1:5">
      <c r="A179" s="61"/>
      <c r="B179" s="61"/>
      <c r="C179" s="21" t="s">
        <v>448</v>
      </c>
      <c r="D179" s="21" t="s">
        <v>449</v>
      </c>
    </row>
    <row r="180" spans="1:5">
      <c r="A180" s="61"/>
      <c r="B180" s="61"/>
      <c r="C180" s="21" t="s">
        <v>96</v>
      </c>
      <c r="D180" s="21" t="s">
        <v>450</v>
      </c>
      <c r="E180" t="s">
        <v>264</v>
      </c>
    </row>
    <row r="181" spans="1:5">
      <c r="A181" s="61"/>
      <c r="B181" s="61"/>
      <c r="C181" s="21" t="s">
        <v>203</v>
      </c>
      <c r="D181" s="21" t="s">
        <v>203</v>
      </c>
    </row>
    <row r="182" spans="1:5">
      <c r="A182" s="78"/>
      <c r="B182" s="71" t="s">
        <v>451</v>
      </c>
      <c r="C182" s="53" t="s">
        <v>452</v>
      </c>
      <c r="D182" s="53"/>
    </row>
    <row r="183" spans="1:5">
      <c r="A183" s="79"/>
      <c r="B183" s="72"/>
      <c r="C183" s="53" t="s">
        <v>453</v>
      </c>
      <c r="D183" s="53"/>
    </row>
    <row r="184" spans="1:5">
      <c r="A184" s="79"/>
      <c r="B184" s="72"/>
      <c r="C184" s="53" t="s">
        <v>454</v>
      </c>
      <c r="D184" s="53"/>
    </row>
    <row r="185" spans="1:5">
      <c r="A185" s="80"/>
      <c r="B185" s="73"/>
      <c r="C185" s="54" t="s">
        <v>455</v>
      </c>
      <c r="D185" s="54"/>
    </row>
    <row r="186" spans="1:5">
      <c r="A186" s="74"/>
      <c r="B186" s="74" t="s">
        <v>456</v>
      </c>
      <c r="C186" s="52" t="s">
        <v>457</v>
      </c>
      <c r="D186" s="52"/>
    </row>
    <row r="187" spans="1:5">
      <c r="A187" s="75"/>
      <c r="B187" s="75"/>
      <c r="C187" s="52" t="s">
        <v>458</v>
      </c>
      <c r="D187" s="52"/>
    </row>
    <row r="188" spans="1:5">
      <c r="A188" s="78"/>
      <c r="B188" s="71" t="s">
        <v>10</v>
      </c>
      <c r="C188" s="54" t="s">
        <v>217</v>
      </c>
      <c r="D188" s="54" t="s">
        <v>459</v>
      </c>
    </row>
    <row r="189" spans="1:5">
      <c r="A189" s="79"/>
      <c r="B189" s="72"/>
      <c r="C189" s="54" t="s">
        <v>98</v>
      </c>
      <c r="D189" s="54" t="s">
        <v>460</v>
      </c>
    </row>
    <row r="190" spans="1:5">
      <c r="A190" s="79"/>
      <c r="B190" s="72"/>
      <c r="C190" s="54" t="s">
        <v>34</v>
      </c>
      <c r="D190" s="54" t="s">
        <v>34</v>
      </c>
    </row>
    <row r="191" spans="1:5">
      <c r="A191" s="79"/>
      <c r="B191" s="72"/>
      <c r="C191" s="54" t="s">
        <v>461</v>
      </c>
      <c r="D191" s="54" t="s">
        <v>462</v>
      </c>
    </row>
    <row r="192" spans="1:5">
      <c r="A192" s="79"/>
      <c r="B192" s="72"/>
      <c r="C192" s="54" t="s">
        <v>463</v>
      </c>
      <c r="D192" s="54" t="s">
        <v>464</v>
      </c>
    </row>
    <row r="193" spans="1:4">
      <c r="A193" s="79"/>
      <c r="B193" s="72"/>
      <c r="C193" s="54" t="s">
        <v>465</v>
      </c>
      <c r="D193" s="54" t="s">
        <v>466</v>
      </c>
    </row>
    <row r="194" spans="1:4">
      <c r="A194" s="79"/>
      <c r="B194" s="72"/>
      <c r="C194" s="54" t="s">
        <v>467</v>
      </c>
      <c r="D194" s="54" t="s">
        <v>468</v>
      </c>
    </row>
    <row r="195" spans="1:4">
      <c r="A195" s="79"/>
      <c r="B195" s="72"/>
      <c r="C195" s="54" t="s">
        <v>469</v>
      </c>
      <c r="D195" s="54" t="s">
        <v>470</v>
      </c>
    </row>
    <row r="196" spans="1:4">
      <c r="A196" s="79"/>
      <c r="B196" s="72"/>
      <c r="C196" s="54" t="s">
        <v>471</v>
      </c>
      <c r="D196" s="54" t="s">
        <v>472</v>
      </c>
    </row>
    <row r="197" spans="1:4">
      <c r="A197" s="79"/>
      <c r="B197" s="72"/>
      <c r="C197" s="54" t="s">
        <v>473</v>
      </c>
      <c r="D197" s="54" t="s">
        <v>474</v>
      </c>
    </row>
    <row r="198" spans="1:4">
      <c r="A198" s="79"/>
      <c r="B198" s="72"/>
      <c r="C198" s="54" t="s">
        <v>104</v>
      </c>
      <c r="D198" s="54" t="s">
        <v>475</v>
      </c>
    </row>
    <row r="199" spans="1:4">
      <c r="A199" s="79"/>
      <c r="B199" s="72"/>
      <c r="C199" s="54" t="s">
        <v>476</v>
      </c>
      <c r="D199" s="54" t="s">
        <v>477</v>
      </c>
    </row>
    <row r="200" spans="1:4">
      <c r="A200" s="79"/>
      <c r="B200" s="72"/>
      <c r="C200" s="54" t="s">
        <v>203</v>
      </c>
      <c r="D200" s="54" t="s">
        <v>203</v>
      </c>
    </row>
    <row r="201" spans="1:4">
      <c r="A201" s="80"/>
      <c r="B201" s="73"/>
      <c r="C201" s="54" t="s">
        <v>455</v>
      </c>
      <c r="D201" s="54" t="s">
        <v>478</v>
      </c>
    </row>
    <row r="202" spans="1:4">
      <c r="A202" s="112"/>
      <c r="B202" s="112" t="s">
        <v>185</v>
      </c>
      <c r="C202" s="21" t="s">
        <v>479</v>
      </c>
      <c r="D202" s="21"/>
    </row>
    <row r="203" spans="1:4">
      <c r="A203" s="61"/>
      <c r="B203" s="61"/>
      <c r="C203" s="21" t="s">
        <v>480</v>
      </c>
      <c r="D203" s="21"/>
    </row>
    <row r="204" spans="1:4">
      <c r="A204" s="61"/>
      <c r="B204" s="61"/>
      <c r="C204" s="21" t="s">
        <v>481</v>
      </c>
      <c r="D204" s="21"/>
    </row>
    <row r="205" spans="1:4">
      <c r="A205" s="61"/>
      <c r="B205" s="61"/>
      <c r="C205" s="21" t="s">
        <v>482</v>
      </c>
      <c r="D205" s="21"/>
    </row>
    <row r="206" spans="1:4">
      <c r="A206" s="61"/>
      <c r="B206" s="61"/>
      <c r="C206" s="21" t="s">
        <v>483</v>
      </c>
      <c r="D206" s="21"/>
    </row>
    <row r="207" spans="1:4">
      <c r="A207" s="61"/>
      <c r="B207" s="61"/>
      <c r="C207" s="21" t="s">
        <v>484</v>
      </c>
      <c r="D207" s="21"/>
    </row>
    <row r="208" spans="1:4">
      <c r="A208" s="61"/>
      <c r="B208" s="61"/>
      <c r="C208" s="21" t="s">
        <v>485</v>
      </c>
      <c r="D208" s="21"/>
    </row>
    <row r="209" spans="1:5">
      <c r="A209" s="61"/>
      <c r="B209" s="61"/>
      <c r="C209" s="21" t="s">
        <v>486</v>
      </c>
      <c r="D209" s="21"/>
    </row>
    <row r="210" spans="1:5">
      <c r="A210" s="61"/>
      <c r="B210" s="61"/>
      <c r="C210" s="21" t="s">
        <v>487</v>
      </c>
      <c r="D210" s="21"/>
    </row>
    <row r="211" spans="1:5">
      <c r="A211" s="61"/>
      <c r="B211" s="61"/>
      <c r="C211" s="21" t="s">
        <v>488</v>
      </c>
      <c r="D211" s="21"/>
    </row>
    <row r="212" spans="1:5">
      <c r="A212" s="61"/>
      <c r="B212" s="61"/>
      <c r="C212" s="21" t="s">
        <v>489</v>
      </c>
      <c r="D212" s="21"/>
    </row>
    <row r="213" spans="1:5">
      <c r="A213" s="61"/>
      <c r="B213" s="61"/>
      <c r="C213" s="21" t="s">
        <v>490</v>
      </c>
      <c r="D213" s="21"/>
    </row>
    <row r="214" spans="1:5">
      <c r="A214" s="61"/>
      <c r="B214" s="61"/>
      <c r="C214" s="21" t="s">
        <v>491</v>
      </c>
      <c r="D214" s="21"/>
    </row>
    <row r="215" spans="1:5">
      <c r="A215" s="61"/>
      <c r="B215" s="61"/>
      <c r="C215" s="21" t="s">
        <v>492</v>
      </c>
      <c r="D215" s="21"/>
    </row>
    <row r="216" spans="1:5">
      <c r="A216" s="61"/>
      <c r="B216" s="61"/>
      <c r="C216" s="21" t="s">
        <v>493</v>
      </c>
      <c r="D216" s="21"/>
    </row>
    <row r="217" spans="1:5">
      <c r="A217" s="61"/>
      <c r="B217" s="61"/>
      <c r="C217" s="21" t="s">
        <v>494</v>
      </c>
      <c r="D217" s="21"/>
    </row>
    <row r="218" spans="1:5">
      <c r="A218" s="61"/>
      <c r="B218" s="61"/>
      <c r="C218" s="21" t="s">
        <v>495</v>
      </c>
      <c r="D218" s="21" t="s">
        <v>496</v>
      </c>
      <c r="E218" t="s">
        <v>264</v>
      </c>
    </row>
    <row r="219" spans="1:5">
      <c r="A219" s="61"/>
      <c r="B219" s="61"/>
      <c r="C219" s="21" t="s">
        <v>497</v>
      </c>
      <c r="D219" s="21"/>
    </row>
    <row r="220" spans="1:5">
      <c r="A220" s="61"/>
      <c r="B220" s="61"/>
      <c r="C220" s="21" t="s">
        <v>498</v>
      </c>
      <c r="D220" s="21"/>
    </row>
    <row r="221" spans="1:5">
      <c r="A221" s="61"/>
      <c r="B221" s="61"/>
      <c r="C221" s="21" t="s">
        <v>499</v>
      </c>
      <c r="D221" s="21"/>
    </row>
    <row r="222" spans="1:5">
      <c r="A222" s="61"/>
      <c r="B222" s="61"/>
      <c r="C222" s="21" t="s">
        <v>500</v>
      </c>
      <c r="D222" s="21"/>
    </row>
    <row r="223" spans="1:5">
      <c r="A223" s="61"/>
      <c r="B223" s="61"/>
      <c r="C223" s="21" t="s">
        <v>501</v>
      </c>
      <c r="D223" s="21"/>
    </row>
    <row r="224" spans="1:5">
      <c r="A224" s="61"/>
      <c r="B224" s="61"/>
      <c r="C224" s="21" t="s">
        <v>502</v>
      </c>
      <c r="D224" s="21"/>
    </row>
    <row r="225" spans="1:4">
      <c r="A225" s="61"/>
      <c r="B225" s="61"/>
      <c r="C225" s="21" t="s">
        <v>503</v>
      </c>
      <c r="D225" s="21"/>
    </row>
    <row r="226" spans="1:4">
      <c r="A226" s="61"/>
      <c r="B226" s="61"/>
      <c r="C226" s="21" t="s">
        <v>504</v>
      </c>
      <c r="D226" s="21"/>
    </row>
    <row r="227" spans="1:4">
      <c r="A227" s="61"/>
      <c r="B227" s="61"/>
      <c r="C227" s="21" t="s">
        <v>505</v>
      </c>
      <c r="D227" s="21"/>
    </row>
    <row r="228" spans="1:4">
      <c r="A228" s="61"/>
      <c r="B228" s="61"/>
      <c r="C228" s="21" t="s">
        <v>506</v>
      </c>
      <c r="D228" s="21"/>
    </row>
    <row r="229" spans="1:4">
      <c r="A229" s="61"/>
      <c r="B229" s="61"/>
      <c r="C229" s="21" t="s">
        <v>507</v>
      </c>
      <c r="D229" s="21"/>
    </row>
    <row r="230" spans="1:4">
      <c r="A230" s="61"/>
      <c r="B230" s="61"/>
      <c r="C230" s="21" t="s">
        <v>508</v>
      </c>
      <c r="D230" s="21"/>
    </row>
    <row r="231" spans="1:4">
      <c r="A231" s="61"/>
      <c r="B231" s="61"/>
      <c r="C231" s="21" t="s">
        <v>509</v>
      </c>
      <c r="D231" s="21"/>
    </row>
    <row r="232" spans="1:4">
      <c r="A232" s="61"/>
      <c r="B232" s="61"/>
      <c r="C232" s="21" t="s">
        <v>510</v>
      </c>
      <c r="D232" s="21"/>
    </row>
    <row r="233" spans="1:4">
      <c r="A233" s="61"/>
      <c r="B233" s="61"/>
      <c r="C233" s="21" t="s">
        <v>511</v>
      </c>
      <c r="D233" s="21"/>
    </row>
    <row r="234" spans="1:4">
      <c r="A234" s="61"/>
      <c r="B234" s="61"/>
      <c r="C234" s="21" t="s">
        <v>512</v>
      </c>
      <c r="D234" s="21"/>
    </row>
    <row r="235" spans="1:4">
      <c r="A235" s="61"/>
      <c r="B235" s="61"/>
      <c r="C235" s="21" t="s">
        <v>513</v>
      </c>
      <c r="D235" s="21"/>
    </row>
    <row r="236" spans="1:4">
      <c r="A236" s="61"/>
      <c r="B236" s="61"/>
      <c r="C236" s="21" t="s">
        <v>514</v>
      </c>
      <c r="D236" s="21"/>
    </row>
    <row r="237" spans="1:4">
      <c r="A237" s="61"/>
      <c r="B237" s="61"/>
      <c r="C237" s="21" t="s">
        <v>515</v>
      </c>
      <c r="D237" s="21"/>
    </row>
    <row r="238" spans="1:4">
      <c r="A238" s="61"/>
      <c r="B238" s="61"/>
      <c r="C238" s="21" t="s">
        <v>516</v>
      </c>
      <c r="D238" s="21"/>
    </row>
    <row r="239" spans="1:4">
      <c r="A239" s="61"/>
      <c r="B239" s="61"/>
      <c r="C239" s="21" t="s">
        <v>517</v>
      </c>
      <c r="D239" s="21"/>
    </row>
    <row r="240" spans="1:4">
      <c r="A240" s="61"/>
      <c r="B240" s="61"/>
      <c r="C240" s="21" t="s">
        <v>518</v>
      </c>
      <c r="D240" s="21"/>
    </row>
    <row r="241" spans="1:4">
      <c r="A241" s="61"/>
      <c r="B241" s="61"/>
      <c r="C241" s="21" t="s">
        <v>519</v>
      </c>
      <c r="D241" s="21"/>
    </row>
    <row r="242" spans="1:4">
      <c r="A242" s="61"/>
      <c r="B242" s="61"/>
      <c r="C242" s="21" t="s">
        <v>520</v>
      </c>
      <c r="D242" s="21"/>
    </row>
    <row r="243" spans="1:4">
      <c r="A243" s="61"/>
      <c r="B243" s="61"/>
      <c r="C243" s="21" t="s">
        <v>521</v>
      </c>
      <c r="D243" s="21"/>
    </row>
    <row r="244" spans="1:4">
      <c r="A244" s="61"/>
      <c r="B244" s="61"/>
      <c r="C244" s="21" t="s">
        <v>522</v>
      </c>
      <c r="D244" s="21"/>
    </row>
    <row r="245" spans="1:4">
      <c r="A245" s="61"/>
      <c r="B245" s="61"/>
      <c r="C245" s="21" t="s">
        <v>523</v>
      </c>
      <c r="D245" s="21"/>
    </row>
    <row r="246" spans="1:4">
      <c r="A246" s="61"/>
      <c r="B246" s="61"/>
      <c r="C246" s="21" t="s">
        <v>524</v>
      </c>
      <c r="D246" s="21"/>
    </row>
    <row r="247" spans="1:4">
      <c r="A247" s="61"/>
      <c r="B247" s="61"/>
      <c r="C247" s="21" t="s">
        <v>525</v>
      </c>
      <c r="D247" s="21"/>
    </row>
    <row r="248" spans="1:4">
      <c r="A248" s="61"/>
      <c r="B248" s="61"/>
      <c r="C248" s="21" t="s">
        <v>526</v>
      </c>
      <c r="D248" s="21"/>
    </row>
    <row r="249" spans="1:4">
      <c r="A249" s="61"/>
      <c r="B249" s="61"/>
      <c r="C249" s="21" t="s">
        <v>527</v>
      </c>
      <c r="D249" s="21"/>
    </row>
    <row r="250" spans="1:4">
      <c r="A250" s="61"/>
      <c r="B250" s="61"/>
      <c r="C250" s="21" t="s">
        <v>528</v>
      </c>
      <c r="D250" s="21"/>
    </row>
    <row r="251" spans="1:4">
      <c r="A251" s="61"/>
      <c r="B251" s="61"/>
      <c r="C251" s="21" t="s">
        <v>529</v>
      </c>
      <c r="D251" s="21"/>
    </row>
    <row r="252" spans="1:4">
      <c r="A252" s="61"/>
      <c r="B252" s="61"/>
      <c r="C252" s="21" t="s">
        <v>203</v>
      </c>
      <c r="D252" s="21"/>
    </row>
    <row r="253" spans="1:4">
      <c r="A253" s="61"/>
      <c r="B253" s="61"/>
      <c r="C253" s="21" t="s">
        <v>530</v>
      </c>
      <c r="D253" s="21"/>
    </row>
    <row r="254" spans="1:4">
      <c r="A254" s="61"/>
      <c r="B254" s="61"/>
      <c r="C254" s="21" t="s">
        <v>531</v>
      </c>
      <c r="D254" s="21"/>
    </row>
    <row r="255" spans="1:4">
      <c r="A255" s="61"/>
      <c r="B255" s="61"/>
      <c r="C255" s="21" t="s">
        <v>532</v>
      </c>
      <c r="D255" s="21"/>
    </row>
    <row r="256" spans="1:4">
      <c r="A256" s="61"/>
      <c r="B256" s="61"/>
      <c r="C256" s="21" t="s">
        <v>533</v>
      </c>
      <c r="D256" s="21"/>
    </row>
    <row r="257" spans="1:5">
      <c r="A257" s="61"/>
      <c r="B257" s="61"/>
      <c r="C257" s="21" t="s">
        <v>534</v>
      </c>
      <c r="D257" s="21"/>
    </row>
    <row r="258" spans="1:5">
      <c r="A258" s="61"/>
      <c r="B258" s="61"/>
      <c r="C258" s="21" t="s">
        <v>535</v>
      </c>
      <c r="D258" s="21"/>
    </row>
    <row r="259" spans="1:5">
      <c r="A259" s="61"/>
      <c r="B259" s="61"/>
      <c r="C259" s="21" t="s">
        <v>536</v>
      </c>
      <c r="D259" s="21"/>
    </row>
    <row r="260" spans="1:5">
      <c r="A260" s="61"/>
      <c r="B260" s="61"/>
      <c r="C260" s="21" t="s">
        <v>537</v>
      </c>
      <c r="D260" s="21"/>
    </row>
    <row r="261" spans="1:5">
      <c r="A261" s="61"/>
      <c r="B261" s="61"/>
      <c r="C261" s="21" t="s">
        <v>538</v>
      </c>
      <c r="D261" s="21"/>
    </row>
    <row r="262" spans="1:5">
      <c r="A262" s="61"/>
      <c r="B262" s="61"/>
      <c r="C262" s="21" t="s">
        <v>539</v>
      </c>
      <c r="D262" s="21"/>
    </row>
    <row r="263" spans="1:5">
      <c r="A263" s="61"/>
      <c r="B263" s="61"/>
      <c r="C263" s="21" t="s">
        <v>540</v>
      </c>
      <c r="D263" s="21"/>
    </row>
    <row r="264" spans="1:5">
      <c r="A264" s="61"/>
      <c r="B264" s="61"/>
      <c r="C264" s="21" t="s">
        <v>541</v>
      </c>
      <c r="D264" s="21"/>
    </row>
    <row r="265" spans="1:5">
      <c r="A265" s="61"/>
      <c r="B265" s="61"/>
      <c r="C265" s="21" t="s">
        <v>542</v>
      </c>
      <c r="D265" s="21"/>
    </row>
    <row r="266" spans="1:5">
      <c r="A266" s="61"/>
      <c r="B266" s="61"/>
      <c r="C266" s="21" t="s">
        <v>543</v>
      </c>
      <c r="D266" s="21"/>
    </row>
    <row r="267" spans="1:5">
      <c r="A267" s="61"/>
      <c r="B267" s="61"/>
      <c r="C267" s="21" t="s">
        <v>544</v>
      </c>
      <c r="D267" s="21"/>
    </row>
    <row r="268" spans="1:5">
      <c r="A268" s="61"/>
      <c r="B268" s="61"/>
      <c r="C268" s="21" t="s">
        <v>545</v>
      </c>
      <c r="D268" s="21"/>
    </row>
    <row r="269" spans="1:5">
      <c r="A269" s="61"/>
      <c r="B269" s="61"/>
      <c r="C269" s="21" t="s">
        <v>546</v>
      </c>
      <c r="D269" s="21"/>
    </row>
    <row r="270" spans="1:5">
      <c r="A270" s="61"/>
      <c r="B270" s="61"/>
      <c r="C270" s="21" t="s">
        <v>547</v>
      </c>
      <c r="D270" s="21" t="s">
        <v>548</v>
      </c>
      <c r="E270" t="s">
        <v>264</v>
      </c>
    </row>
    <row r="271" spans="1:5">
      <c r="A271" s="61"/>
      <c r="B271" s="61"/>
      <c r="C271" s="21" t="s">
        <v>549</v>
      </c>
      <c r="D271" s="21" t="s">
        <v>550</v>
      </c>
      <c r="E271" t="s">
        <v>264</v>
      </c>
    </row>
    <row r="272" spans="1:5">
      <c r="A272" s="61"/>
      <c r="B272" s="61"/>
      <c r="C272" s="21" t="s">
        <v>551</v>
      </c>
      <c r="D272" s="21" t="s">
        <v>552</v>
      </c>
      <c r="E272" t="s">
        <v>264</v>
      </c>
    </row>
    <row r="273" spans="1:5">
      <c r="A273" s="61"/>
      <c r="B273" s="61"/>
      <c r="C273" s="21" t="s">
        <v>553</v>
      </c>
      <c r="D273" s="21"/>
    </row>
    <row r="274" spans="1:5">
      <c r="A274" s="61"/>
      <c r="B274" s="61"/>
      <c r="C274" s="21" t="s">
        <v>554</v>
      </c>
      <c r="D274" s="21" t="s">
        <v>555</v>
      </c>
      <c r="E274" t="s">
        <v>264</v>
      </c>
    </row>
    <row r="275" spans="1:5">
      <c r="A275" s="61"/>
      <c r="B275" s="61"/>
      <c r="C275" s="21" t="s">
        <v>556</v>
      </c>
      <c r="D275" s="21"/>
    </row>
    <row r="276" spans="1:5">
      <c r="A276" s="61"/>
      <c r="B276" s="61"/>
      <c r="C276" s="21" t="s">
        <v>557</v>
      </c>
      <c r="D276" s="21"/>
    </row>
    <row r="277" spans="1:5">
      <c r="A277" s="61"/>
      <c r="B277" s="61"/>
      <c r="C277" s="21" t="s">
        <v>558</v>
      </c>
      <c r="D277" s="21"/>
    </row>
    <row r="278" spans="1:5">
      <c r="A278" s="61"/>
      <c r="B278" s="61"/>
      <c r="C278" s="21" t="s">
        <v>559</v>
      </c>
      <c r="D278" s="21"/>
    </row>
    <row r="279" spans="1:5">
      <c r="A279" s="61"/>
      <c r="B279" s="61"/>
      <c r="C279" s="21" t="s">
        <v>560</v>
      </c>
      <c r="D279" s="21"/>
    </row>
    <row r="280" spans="1:5">
      <c r="A280" s="61"/>
      <c r="B280" s="61"/>
      <c r="C280" s="21" t="s">
        <v>561</v>
      </c>
      <c r="D280" s="21"/>
    </row>
    <row r="281" spans="1:5">
      <c r="A281" s="61"/>
      <c r="B281" s="61"/>
      <c r="C281" s="21" t="s">
        <v>562</v>
      </c>
      <c r="D281" s="21"/>
    </row>
    <row r="282" spans="1:5">
      <c r="A282" s="61"/>
      <c r="B282" s="61"/>
      <c r="C282" s="21" t="s">
        <v>563</v>
      </c>
      <c r="D282" s="21" t="s">
        <v>564</v>
      </c>
      <c r="E282" t="s">
        <v>264</v>
      </c>
    </row>
    <row r="283" spans="1:5">
      <c r="A283" s="61"/>
      <c r="B283" s="61"/>
      <c r="C283" s="21" t="s">
        <v>565</v>
      </c>
      <c r="D283" s="21"/>
    </row>
    <row r="284" spans="1:5">
      <c r="A284" s="61"/>
      <c r="B284" s="61"/>
      <c r="C284" s="21" t="s">
        <v>566</v>
      </c>
      <c r="D284" s="21" t="s">
        <v>567</v>
      </c>
      <c r="E284" t="s">
        <v>264</v>
      </c>
    </row>
    <row r="285" spans="1:5">
      <c r="A285" s="61"/>
      <c r="B285" s="61"/>
      <c r="C285" s="21" t="s">
        <v>568</v>
      </c>
      <c r="D285" s="21"/>
    </row>
    <row r="286" spans="1:5">
      <c r="A286" s="61"/>
      <c r="B286" s="61"/>
      <c r="C286" s="21" t="s">
        <v>569</v>
      </c>
      <c r="D286" s="21"/>
    </row>
    <row r="287" spans="1:5">
      <c r="A287" s="61"/>
      <c r="B287" s="61"/>
      <c r="C287" s="21" t="s">
        <v>570</v>
      </c>
      <c r="D287" s="21"/>
    </row>
    <row r="288" spans="1:5">
      <c r="A288" s="61"/>
      <c r="B288" s="61"/>
      <c r="C288" s="21" t="s">
        <v>571</v>
      </c>
      <c r="D288" s="21"/>
    </row>
    <row r="289" spans="1:5">
      <c r="A289" s="61"/>
      <c r="B289" s="61"/>
      <c r="C289" s="21" t="s">
        <v>572</v>
      </c>
      <c r="D289" s="21" t="s">
        <v>573</v>
      </c>
      <c r="E289" t="s">
        <v>264</v>
      </c>
    </row>
    <row r="290" spans="1:5">
      <c r="A290" s="61"/>
      <c r="B290" s="61"/>
      <c r="C290" s="21" t="s">
        <v>574</v>
      </c>
      <c r="D290" s="21"/>
    </row>
    <row r="291" spans="1:5">
      <c r="A291" s="61"/>
      <c r="B291" s="61"/>
      <c r="C291" s="21" t="s">
        <v>575</v>
      </c>
      <c r="D291" s="21"/>
    </row>
    <row r="292" spans="1:5">
      <c r="A292" s="61"/>
      <c r="B292" s="61"/>
      <c r="C292" s="21" t="s">
        <v>576</v>
      </c>
      <c r="D292" s="21"/>
    </row>
    <row r="293" spans="1:5">
      <c r="A293" s="61"/>
      <c r="B293" s="61"/>
      <c r="C293" s="21" t="s">
        <v>577</v>
      </c>
      <c r="D293" s="21"/>
    </row>
    <row r="294" spans="1:5">
      <c r="A294" s="61"/>
      <c r="B294" s="61"/>
      <c r="C294" s="21" t="s">
        <v>578</v>
      </c>
      <c r="D294" s="21"/>
    </row>
    <row r="295" spans="1:5">
      <c r="A295" s="61"/>
      <c r="B295" s="61"/>
      <c r="C295" s="21" t="s">
        <v>579</v>
      </c>
      <c r="D295" s="21"/>
    </row>
    <row r="296" spans="1:5">
      <c r="A296" s="61"/>
      <c r="B296" s="61"/>
      <c r="C296" s="21" t="s">
        <v>580</v>
      </c>
      <c r="D296" s="21"/>
    </row>
    <row r="297" spans="1:5">
      <c r="A297" s="61"/>
      <c r="B297" s="61"/>
      <c r="C297" s="21" t="s">
        <v>581</v>
      </c>
      <c r="D297" s="21" t="s">
        <v>582</v>
      </c>
      <c r="E297" t="s">
        <v>264</v>
      </c>
    </row>
    <row r="298" spans="1:5">
      <c r="A298" s="61"/>
      <c r="B298" s="61"/>
      <c r="C298" s="21" t="s">
        <v>583</v>
      </c>
      <c r="D298" s="21"/>
    </row>
    <row r="299" spans="1:5">
      <c r="A299" s="61"/>
      <c r="B299" s="61"/>
      <c r="C299" s="21" t="s">
        <v>584</v>
      </c>
      <c r="D299" s="21"/>
    </row>
    <row r="300" spans="1:5">
      <c r="A300" s="61"/>
      <c r="B300" s="61"/>
      <c r="C300" s="131" t="s">
        <v>585</v>
      </c>
      <c r="D300" s="21"/>
      <c r="E300" t="s">
        <v>264</v>
      </c>
    </row>
    <row r="301" spans="1:5">
      <c r="A301" s="61"/>
      <c r="B301" s="61"/>
      <c r="C301" s="21" t="s">
        <v>586</v>
      </c>
      <c r="D301" s="21"/>
    </row>
    <row r="302" spans="1:5">
      <c r="A302" s="61"/>
      <c r="B302" s="61"/>
      <c r="C302" s="21" t="s">
        <v>587</v>
      </c>
      <c r="D302" s="21"/>
    </row>
    <row r="303" spans="1:5">
      <c r="A303" s="61"/>
      <c r="B303" s="61"/>
      <c r="C303" s="21" t="s">
        <v>588</v>
      </c>
      <c r="D303" s="21"/>
    </row>
    <row r="304" spans="1:5">
      <c r="A304" s="61"/>
      <c r="B304" s="61"/>
      <c r="C304" s="21" t="s">
        <v>589</v>
      </c>
      <c r="D304" s="21"/>
    </row>
    <row r="305" spans="1:5">
      <c r="A305" s="61"/>
      <c r="B305" s="61"/>
      <c r="C305" s="21" t="s">
        <v>590</v>
      </c>
      <c r="D305" s="21"/>
    </row>
    <row r="306" spans="1:5">
      <c r="A306" s="61"/>
      <c r="B306" s="61"/>
      <c r="C306" s="21" t="s">
        <v>591</v>
      </c>
      <c r="D306" s="21"/>
    </row>
    <row r="307" spans="1:5">
      <c r="A307" s="61"/>
      <c r="B307" s="61"/>
      <c r="C307" s="21" t="s">
        <v>592</v>
      </c>
      <c r="D307" s="21"/>
    </row>
    <row r="308" spans="1:5">
      <c r="A308" s="61"/>
      <c r="B308" s="61"/>
      <c r="C308" s="21" t="s">
        <v>593</v>
      </c>
      <c r="D308" s="21"/>
    </row>
    <row r="309" spans="1:5">
      <c r="A309" s="61"/>
      <c r="B309" s="61"/>
      <c r="C309" s="21" t="s">
        <v>594</v>
      </c>
      <c r="D309" s="21"/>
    </row>
    <row r="310" spans="1:5">
      <c r="A310" s="61"/>
      <c r="B310" s="61"/>
      <c r="C310" s="131" t="s">
        <v>595</v>
      </c>
      <c r="D310" s="21"/>
      <c r="E310" t="s">
        <v>264</v>
      </c>
    </row>
    <row r="311" spans="1:5">
      <c r="A311" s="61"/>
      <c r="B311" s="61"/>
      <c r="C311" s="131" t="s">
        <v>596</v>
      </c>
      <c r="D311" s="21"/>
      <c r="E311" t="s">
        <v>264</v>
      </c>
    </row>
    <row r="312" spans="1:5">
      <c r="A312" s="61"/>
      <c r="B312" s="61"/>
      <c r="C312" s="131" t="s">
        <v>597</v>
      </c>
      <c r="D312" s="21"/>
      <c r="E312" t="s">
        <v>264</v>
      </c>
    </row>
    <row r="313" spans="1:5">
      <c r="A313" s="61"/>
      <c r="B313" s="61"/>
      <c r="C313" s="21" t="s">
        <v>598</v>
      </c>
      <c r="D313" s="21"/>
    </row>
    <row r="314" spans="1:5">
      <c r="A314" s="61"/>
      <c r="B314" s="61"/>
      <c r="C314" s="21" t="s">
        <v>599</v>
      </c>
      <c r="D314" s="21"/>
    </row>
    <row r="315" spans="1:5">
      <c r="A315" s="61"/>
      <c r="B315" s="61"/>
      <c r="C315" s="21" t="s">
        <v>600</v>
      </c>
      <c r="D315" s="21"/>
    </row>
    <row r="316" spans="1:5">
      <c r="A316" s="61"/>
      <c r="B316" s="61"/>
      <c r="C316" s="21" t="s">
        <v>601</v>
      </c>
      <c r="D316" s="21"/>
    </row>
    <row r="317" spans="1:5">
      <c r="A317" s="61"/>
      <c r="B317" s="61"/>
      <c r="C317" s="21" t="s">
        <v>602</v>
      </c>
      <c r="D317" s="21"/>
    </row>
    <row r="318" spans="1:5">
      <c r="A318" s="61"/>
      <c r="B318" s="61"/>
      <c r="C318" s="21" t="s">
        <v>603</v>
      </c>
      <c r="D318" s="126" t="s">
        <v>604</v>
      </c>
      <c r="E318" t="s">
        <v>264</v>
      </c>
    </row>
    <row r="319" spans="1:5">
      <c r="A319" s="61"/>
      <c r="B319" s="61"/>
      <c r="C319" s="21" t="s">
        <v>605</v>
      </c>
      <c r="D319" s="21"/>
    </row>
    <row r="320" spans="1:5">
      <c r="A320" s="61"/>
      <c r="B320" s="61"/>
      <c r="C320" s="21" t="s">
        <v>606</v>
      </c>
      <c r="D320" s="21"/>
    </row>
    <row r="321" spans="1:5">
      <c r="A321" s="61"/>
      <c r="B321" s="61"/>
      <c r="C321" s="21" t="s">
        <v>607</v>
      </c>
      <c r="D321" s="21"/>
    </row>
    <row r="322" spans="1:5">
      <c r="A322" s="61"/>
      <c r="B322" s="61"/>
      <c r="C322" s="21" t="s">
        <v>608</v>
      </c>
      <c r="D322" s="21"/>
    </row>
    <row r="323" spans="1:5">
      <c r="A323" s="61"/>
      <c r="B323" s="61"/>
      <c r="C323" s="21" t="s">
        <v>609</v>
      </c>
      <c r="D323" s="21"/>
    </row>
    <row r="324" spans="1:5">
      <c r="A324" s="61"/>
      <c r="B324" s="61"/>
      <c r="C324" s="21" t="s">
        <v>610</v>
      </c>
      <c r="D324" s="21"/>
    </row>
    <row r="325" spans="1:5">
      <c r="A325" s="61"/>
      <c r="B325" s="61"/>
      <c r="C325" s="21" t="s">
        <v>611</v>
      </c>
      <c r="D325" s="21"/>
    </row>
    <row r="326" spans="1:5">
      <c r="A326" s="61"/>
      <c r="B326" s="61"/>
      <c r="C326" s="21" t="s">
        <v>612</v>
      </c>
      <c r="D326" s="21"/>
    </row>
    <row r="327" spans="1:5">
      <c r="A327" s="61"/>
      <c r="B327" s="61"/>
      <c r="C327" s="21" t="s">
        <v>613</v>
      </c>
      <c r="D327" s="21"/>
    </row>
    <row r="328" spans="1:5">
      <c r="A328" s="78"/>
      <c r="B328" s="68" t="s">
        <v>614</v>
      </c>
      <c r="C328" s="54" t="s">
        <v>615</v>
      </c>
      <c r="D328" s="54"/>
      <c r="E328" t="s">
        <v>264</v>
      </c>
    </row>
    <row r="329" spans="1:5">
      <c r="A329" s="79"/>
      <c r="B329" s="69"/>
      <c r="C329" s="54" t="s">
        <v>616</v>
      </c>
      <c r="D329" s="54"/>
      <c r="E329" t="s">
        <v>264</v>
      </c>
    </row>
    <row r="330" spans="1:5">
      <c r="A330" s="79"/>
      <c r="B330" s="69"/>
      <c r="C330" s="128" t="s">
        <v>617</v>
      </c>
      <c r="D330" s="54"/>
      <c r="E330" t="s">
        <v>264</v>
      </c>
    </row>
    <row r="331" spans="1:5">
      <c r="A331" s="79"/>
      <c r="B331" s="69"/>
      <c r="C331" s="127" t="s">
        <v>618</v>
      </c>
      <c r="D331" s="54"/>
      <c r="E331" t="s">
        <v>264</v>
      </c>
    </row>
    <row r="332" spans="1:5">
      <c r="A332" s="79"/>
      <c r="B332" s="69"/>
      <c r="C332" s="127" t="s">
        <v>619</v>
      </c>
      <c r="D332" s="54"/>
      <c r="E332" t="s">
        <v>264</v>
      </c>
    </row>
    <row r="333" spans="1:5">
      <c r="A333" s="79"/>
      <c r="B333" s="69"/>
      <c r="C333" s="127" t="s">
        <v>620</v>
      </c>
      <c r="D333" s="54"/>
      <c r="E333" t="s">
        <v>264</v>
      </c>
    </row>
    <row r="334" spans="1:5">
      <c r="A334" s="79"/>
      <c r="B334" s="69"/>
      <c r="C334" s="127" t="s">
        <v>621</v>
      </c>
      <c r="D334" s="54"/>
      <c r="E334" t="s">
        <v>264</v>
      </c>
    </row>
    <row r="335" spans="1:5">
      <c r="A335" s="79"/>
      <c r="B335" s="69"/>
      <c r="C335" s="54" t="s">
        <v>622</v>
      </c>
      <c r="D335" s="54"/>
      <c r="E335" t="s">
        <v>264</v>
      </c>
    </row>
    <row r="336" spans="1:5">
      <c r="A336" s="79"/>
      <c r="B336" s="69"/>
      <c r="C336" s="54" t="s">
        <v>623</v>
      </c>
      <c r="D336" s="54"/>
      <c r="E336" t="s">
        <v>264</v>
      </c>
    </row>
    <row r="337" spans="1:5">
      <c r="A337" s="79"/>
      <c r="B337" s="69"/>
      <c r="C337" s="54" t="s">
        <v>624</v>
      </c>
      <c r="D337" s="54"/>
      <c r="E337" t="s">
        <v>264</v>
      </c>
    </row>
    <row r="338" spans="1:5">
      <c r="A338" s="79"/>
      <c r="B338" s="69"/>
      <c r="C338" s="54" t="s">
        <v>625</v>
      </c>
      <c r="D338" s="54"/>
      <c r="E338" t="s">
        <v>264</v>
      </c>
    </row>
    <row r="339" spans="1:5">
      <c r="A339" s="79"/>
      <c r="B339" s="69"/>
      <c r="C339" s="54" t="s">
        <v>626</v>
      </c>
      <c r="D339" s="54"/>
      <c r="E339" t="s">
        <v>264</v>
      </c>
    </row>
    <row r="340" spans="1:5">
      <c r="A340" s="79"/>
      <c r="B340" s="69"/>
      <c r="C340" s="54" t="s">
        <v>627</v>
      </c>
      <c r="D340" s="54"/>
      <c r="E340" t="s">
        <v>264</v>
      </c>
    </row>
    <row r="341" spans="1:5">
      <c r="A341" s="79"/>
      <c r="B341" s="69"/>
      <c r="C341" s="54" t="s">
        <v>628</v>
      </c>
      <c r="D341" s="54"/>
      <c r="E341" t="s">
        <v>264</v>
      </c>
    </row>
    <row r="342" spans="1:5">
      <c r="A342" s="79"/>
      <c r="B342" s="69"/>
      <c r="C342" s="54" t="s">
        <v>629</v>
      </c>
      <c r="D342" s="54"/>
      <c r="E342" t="s">
        <v>264</v>
      </c>
    </row>
    <row r="343" spans="1:5">
      <c r="A343" s="79"/>
      <c r="B343" s="69"/>
      <c r="C343" s="54" t="s">
        <v>630</v>
      </c>
      <c r="D343" s="54"/>
      <c r="E343" t="s">
        <v>264</v>
      </c>
    </row>
    <row r="344" spans="1:5">
      <c r="A344" s="79"/>
      <c r="B344" s="69"/>
      <c r="C344" s="54" t="s">
        <v>631</v>
      </c>
      <c r="D344" s="54"/>
      <c r="E344" t="s">
        <v>264</v>
      </c>
    </row>
    <row r="345" spans="1:5">
      <c r="A345" s="79"/>
      <c r="B345" s="69"/>
      <c r="C345" s="54" t="s">
        <v>632</v>
      </c>
      <c r="D345" s="54"/>
      <c r="E345" t="s">
        <v>264</v>
      </c>
    </row>
    <row r="346" spans="1:5">
      <c r="A346" s="79"/>
      <c r="B346" s="69"/>
      <c r="C346" s="54" t="s">
        <v>633</v>
      </c>
      <c r="D346" s="54"/>
      <c r="E346" t="s">
        <v>264</v>
      </c>
    </row>
    <row r="347" spans="1:5">
      <c r="A347" s="79"/>
      <c r="B347" s="69"/>
      <c r="C347" s="54" t="s">
        <v>634</v>
      </c>
      <c r="D347" s="54"/>
      <c r="E347" t="s">
        <v>264</v>
      </c>
    </row>
    <row r="348" spans="1:5">
      <c r="A348" s="79"/>
      <c r="B348" s="69"/>
      <c r="C348" s="54" t="s">
        <v>635</v>
      </c>
      <c r="D348" s="54"/>
      <c r="E348" t="s">
        <v>264</v>
      </c>
    </row>
    <row r="349" spans="1:5">
      <c r="A349" s="79"/>
      <c r="B349" s="69"/>
      <c r="C349" s="54" t="s">
        <v>636</v>
      </c>
      <c r="D349" s="54"/>
      <c r="E349" t="s">
        <v>264</v>
      </c>
    </row>
    <row r="350" spans="1:5">
      <c r="A350" s="79"/>
      <c r="B350" s="69"/>
      <c r="C350" s="54" t="s">
        <v>637</v>
      </c>
      <c r="D350" s="54"/>
      <c r="E350" t="s">
        <v>264</v>
      </c>
    </row>
    <row r="351" spans="1:5">
      <c r="A351" s="79"/>
      <c r="B351" s="69"/>
      <c r="C351" s="54" t="s">
        <v>638</v>
      </c>
      <c r="D351" s="54"/>
      <c r="E351" t="s">
        <v>264</v>
      </c>
    </row>
    <row r="352" spans="1:5">
      <c r="A352" s="79"/>
      <c r="B352" s="69"/>
      <c r="C352" s="54" t="s">
        <v>639</v>
      </c>
      <c r="D352" s="54"/>
      <c r="E352" t="s">
        <v>264</v>
      </c>
    </row>
    <row r="353" spans="1:5">
      <c r="A353" s="79"/>
      <c r="B353" s="69"/>
      <c r="C353" s="54" t="s">
        <v>640</v>
      </c>
      <c r="D353" s="54"/>
      <c r="E353" t="s">
        <v>264</v>
      </c>
    </row>
    <row r="354" spans="1:5">
      <c r="A354" s="79"/>
      <c r="B354" s="69"/>
      <c r="C354" s="54" t="s">
        <v>641</v>
      </c>
      <c r="D354" s="54"/>
      <c r="E354" t="s">
        <v>264</v>
      </c>
    </row>
    <row r="355" spans="1:5">
      <c r="A355" s="79"/>
      <c r="B355" s="69"/>
      <c r="C355" s="54" t="s">
        <v>642</v>
      </c>
      <c r="D355" s="54"/>
      <c r="E355" t="s">
        <v>264</v>
      </c>
    </row>
    <row r="356" spans="1:5">
      <c r="A356" s="79"/>
      <c r="B356" s="69"/>
      <c r="C356" s="54" t="s">
        <v>643</v>
      </c>
      <c r="D356" s="54"/>
      <c r="E356" t="s">
        <v>264</v>
      </c>
    </row>
    <row r="357" spans="1:5">
      <c r="A357" s="79"/>
      <c r="B357" s="69"/>
      <c r="C357" s="54" t="s">
        <v>644</v>
      </c>
      <c r="D357" s="54"/>
      <c r="E357" t="s">
        <v>264</v>
      </c>
    </row>
    <row r="358" spans="1:5">
      <c r="A358" s="79"/>
      <c r="B358" s="69"/>
      <c r="C358" s="54" t="s">
        <v>645</v>
      </c>
      <c r="D358" s="54"/>
      <c r="E358" t="s">
        <v>264</v>
      </c>
    </row>
    <row r="359" spans="1:5">
      <c r="A359" s="79"/>
      <c r="B359" s="69"/>
      <c r="C359" s="54" t="s">
        <v>646</v>
      </c>
      <c r="D359" s="54"/>
      <c r="E359" t="s">
        <v>264</v>
      </c>
    </row>
    <row r="360" spans="1:5">
      <c r="A360" s="79"/>
      <c r="B360" s="69"/>
      <c r="C360" s="54" t="s">
        <v>647</v>
      </c>
      <c r="D360" s="54"/>
      <c r="E360" t="s">
        <v>264</v>
      </c>
    </row>
    <row r="361" spans="1:5">
      <c r="A361" s="79"/>
      <c r="B361" s="69"/>
      <c r="C361" s="54" t="s">
        <v>648</v>
      </c>
      <c r="D361" s="54"/>
      <c r="E361" t="s">
        <v>264</v>
      </c>
    </row>
    <row r="362" spans="1:5">
      <c r="A362" s="79"/>
      <c r="B362" s="69"/>
      <c r="C362" s="54" t="s">
        <v>649</v>
      </c>
      <c r="D362" s="54"/>
      <c r="E362" t="s">
        <v>264</v>
      </c>
    </row>
    <row r="363" spans="1:5">
      <c r="A363" s="79"/>
      <c r="B363" s="69"/>
      <c r="C363" s="54" t="s">
        <v>650</v>
      </c>
      <c r="D363" s="54"/>
      <c r="E363" t="s">
        <v>264</v>
      </c>
    </row>
    <row r="364" spans="1:5">
      <c r="A364" s="79"/>
      <c r="B364" s="69"/>
      <c r="C364" s="54" t="s">
        <v>651</v>
      </c>
      <c r="D364" s="54"/>
      <c r="E364" t="s">
        <v>264</v>
      </c>
    </row>
    <row r="365" spans="1:5">
      <c r="A365" s="79"/>
      <c r="B365" s="69"/>
      <c r="C365" s="54" t="s">
        <v>652</v>
      </c>
      <c r="D365" s="54"/>
      <c r="E365" t="s">
        <v>264</v>
      </c>
    </row>
    <row r="366" spans="1:5">
      <c r="A366" s="79"/>
      <c r="B366" s="69"/>
      <c r="C366" s="54" t="s">
        <v>653</v>
      </c>
      <c r="D366" s="54"/>
      <c r="E366" t="s">
        <v>264</v>
      </c>
    </row>
    <row r="367" spans="1:5">
      <c r="A367" s="79"/>
      <c r="B367" s="69"/>
      <c r="C367" s="54" t="s">
        <v>654</v>
      </c>
      <c r="D367" s="54"/>
      <c r="E367" t="s">
        <v>264</v>
      </c>
    </row>
    <row r="368" spans="1:5">
      <c r="A368" s="79"/>
      <c r="B368" s="69"/>
      <c r="C368" s="54" t="s">
        <v>655</v>
      </c>
      <c r="D368" s="54"/>
      <c r="E368" t="s">
        <v>264</v>
      </c>
    </row>
    <row r="369" spans="1:5">
      <c r="A369" s="79"/>
      <c r="B369" s="69"/>
      <c r="C369" s="54" t="s">
        <v>656</v>
      </c>
      <c r="D369" s="54"/>
      <c r="E369" t="s">
        <v>264</v>
      </c>
    </row>
    <row r="370" spans="1:5">
      <c r="A370" s="79"/>
      <c r="B370" s="69"/>
      <c r="C370" s="54" t="s">
        <v>657</v>
      </c>
      <c r="D370" s="54"/>
      <c r="E370" t="s">
        <v>264</v>
      </c>
    </row>
    <row r="371" spans="1:5">
      <c r="A371" s="79"/>
      <c r="B371" s="69"/>
      <c r="C371" s="54" t="s">
        <v>658</v>
      </c>
      <c r="D371" s="54"/>
      <c r="E371" t="s">
        <v>264</v>
      </c>
    </row>
    <row r="372" spans="1:5">
      <c r="A372" s="79"/>
      <c r="B372" s="69"/>
      <c r="C372" s="54" t="s">
        <v>659</v>
      </c>
      <c r="D372" s="54"/>
      <c r="E372" t="s">
        <v>264</v>
      </c>
    </row>
    <row r="373" spans="1:5">
      <c r="A373" s="79"/>
      <c r="B373" s="69"/>
      <c r="C373" s="54" t="s">
        <v>660</v>
      </c>
      <c r="D373" s="54"/>
      <c r="E373" t="s">
        <v>264</v>
      </c>
    </row>
    <row r="374" spans="1:5">
      <c r="A374" s="79"/>
      <c r="B374" s="69"/>
      <c r="C374" s="54" t="s">
        <v>661</v>
      </c>
      <c r="D374" s="54"/>
      <c r="E374" t="s">
        <v>264</v>
      </c>
    </row>
    <row r="375" spans="1:5">
      <c r="A375" s="79"/>
      <c r="B375" s="69"/>
      <c r="C375" s="54" t="s">
        <v>662</v>
      </c>
      <c r="D375" s="54"/>
      <c r="E375" t="s">
        <v>264</v>
      </c>
    </row>
    <row r="376" spans="1:5">
      <c r="A376" s="79"/>
      <c r="B376" s="69"/>
      <c r="C376" s="54" t="s">
        <v>663</v>
      </c>
      <c r="D376" s="54"/>
      <c r="E376" t="s">
        <v>264</v>
      </c>
    </row>
    <row r="377" spans="1:5">
      <c r="A377" s="79"/>
      <c r="B377" s="69"/>
      <c r="C377" s="54" t="s">
        <v>664</v>
      </c>
      <c r="D377" s="54"/>
      <c r="E377" t="s">
        <v>264</v>
      </c>
    </row>
    <row r="378" spans="1:5">
      <c r="A378" s="79"/>
      <c r="B378" s="69"/>
      <c r="C378" s="54" t="s">
        <v>665</v>
      </c>
      <c r="D378" s="54"/>
      <c r="E378" t="s">
        <v>264</v>
      </c>
    </row>
    <row r="379" spans="1:5">
      <c r="A379" s="79"/>
      <c r="B379" s="69"/>
      <c r="C379" s="54" t="s">
        <v>666</v>
      </c>
      <c r="D379" s="54"/>
      <c r="E379" t="s">
        <v>264</v>
      </c>
    </row>
    <row r="380" spans="1:5">
      <c r="A380" s="79"/>
      <c r="B380" s="69"/>
      <c r="C380" s="54" t="s">
        <v>667</v>
      </c>
      <c r="D380" s="54"/>
      <c r="E380" t="s">
        <v>264</v>
      </c>
    </row>
    <row r="381" spans="1:5">
      <c r="A381" s="79"/>
      <c r="B381" s="69"/>
      <c r="C381" s="54" t="s">
        <v>668</v>
      </c>
      <c r="D381" s="54"/>
      <c r="E381" t="s">
        <v>264</v>
      </c>
    </row>
    <row r="382" spans="1:5">
      <c r="A382" s="79"/>
      <c r="B382" s="69"/>
      <c r="C382" s="54" t="s">
        <v>669</v>
      </c>
      <c r="D382" s="54"/>
      <c r="E382" t="s">
        <v>264</v>
      </c>
    </row>
    <row r="383" spans="1:5">
      <c r="A383" s="79"/>
      <c r="B383" s="69"/>
      <c r="C383" s="54" t="s">
        <v>670</v>
      </c>
      <c r="D383" s="54"/>
      <c r="E383" t="s">
        <v>264</v>
      </c>
    </row>
    <row r="384" spans="1:5">
      <c r="A384" s="79"/>
      <c r="B384" s="69"/>
      <c r="C384" s="54" t="s">
        <v>671</v>
      </c>
      <c r="D384" s="54"/>
      <c r="E384" t="s">
        <v>264</v>
      </c>
    </row>
    <row r="385" spans="1:5">
      <c r="A385" s="79"/>
      <c r="B385" s="69"/>
      <c r="C385" s="54" t="s">
        <v>672</v>
      </c>
      <c r="D385" s="54"/>
      <c r="E385" t="s">
        <v>264</v>
      </c>
    </row>
    <row r="386" spans="1:5">
      <c r="A386" s="79"/>
      <c r="B386" s="69"/>
      <c r="C386" s="54" t="s">
        <v>673</v>
      </c>
      <c r="D386" s="54"/>
      <c r="E386" t="s">
        <v>264</v>
      </c>
    </row>
    <row r="387" spans="1:5">
      <c r="A387" s="79"/>
      <c r="B387" s="69"/>
      <c r="C387" s="54" t="s">
        <v>674</v>
      </c>
      <c r="D387" s="54"/>
      <c r="E387" t="s">
        <v>264</v>
      </c>
    </row>
    <row r="388" spans="1:5">
      <c r="A388" s="79"/>
      <c r="B388" s="69"/>
      <c r="C388" s="54" t="s">
        <v>675</v>
      </c>
      <c r="D388" s="54"/>
      <c r="E388" t="s">
        <v>264</v>
      </c>
    </row>
    <row r="389" spans="1:5">
      <c r="A389" s="79"/>
      <c r="B389" s="69"/>
      <c r="C389" s="54" t="s">
        <v>676</v>
      </c>
      <c r="D389" s="54"/>
      <c r="E389" t="s">
        <v>264</v>
      </c>
    </row>
    <row r="390" spans="1:5">
      <c r="A390" s="79"/>
      <c r="B390" s="69"/>
      <c r="C390" s="54" t="s">
        <v>677</v>
      </c>
      <c r="D390" s="54"/>
      <c r="E390" t="s">
        <v>264</v>
      </c>
    </row>
    <row r="391" spans="1:5">
      <c r="A391" s="79"/>
      <c r="B391" s="69"/>
      <c r="C391" s="54" t="s">
        <v>678</v>
      </c>
      <c r="D391" s="54"/>
      <c r="E391" t="s">
        <v>264</v>
      </c>
    </row>
    <row r="392" spans="1:5">
      <c r="A392" s="79"/>
      <c r="B392" s="69"/>
      <c r="C392" s="54" t="s">
        <v>679</v>
      </c>
      <c r="D392" s="54"/>
      <c r="E392" t="s">
        <v>264</v>
      </c>
    </row>
    <row r="393" spans="1:5">
      <c r="A393" s="79"/>
      <c r="B393" s="69"/>
      <c r="C393" s="54" t="s">
        <v>680</v>
      </c>
      <c r="D393" s="54"/>
      <c r="E393" t="s">
        <v>264</v>
      </c>
    </row>
    <row r="394" spans="1:5">
      <c r="A394" s="79"/>
      <c r="B394" s="69"/>
      <c r="C394" s="54" t="s">
        <v>681</v>
      </c>
      <c r="D394" s="54"/>
      <c r="E394" t="s">
        <v>264</v>
      </c>
    </row>
    <row r="395" spans="1:5">
      <c r="A395" s="79"/>
      <c r="B395" s="69"/>
      <c r="C395" s="54" t="s">
        <v>682</v>
      </c>
      <c r="D395" s="54"/>
      <c r="E395" t="s">
        <v>264</v>
      </c>
    </row>
    <row r="396" spans="1:5">
      <c r="A396" s="79"/>
      <c r="B396" s="69"/>
      <c r="C396" s="54" t="s">
        <v>683</v>
      </c>
      <c r="D396" s="54"/>
      <c r="E396" t="s">
        <v>264</v>
      </c>
    </row>
    <row r="397" spans="1:5">
      <c r="A397" s="79"/>
      <c r="B397" s="69"/>
      <c r="C397" s="54" t="s">
        <v>684</v>
      </c>
      <c r="D397" s="54"/>
      <c r="E397" t="s">
        <v>264</v>
      </c>
    </row>
    <row r="398" spans="1:5">
      <c r="A398" s="79"/>
      <c r="B398" s="69"/>
      <c r="C398" s="54" t="s">
        <v>685</v>
      </c>
      <c r="D398" s="54"/>
      <c r="E398" t="s">
        <v>264</v>
      </c>
    </row>
    <row r="399" spans="1:5">
      <c r="A399" s="79"/>
      <c r="B399" s="69"/>
      <c r="C399" s="54" t="s">
        <v>686</v>
      </c>
      <c r="D399" s="54"/>
      <c r="E399" t="s">
        <v>264</v>
      </c>
    </row>
    <row r="400" spans="1:5">
      <c r="A400" s="79"/>
      <c r="B400" s="69"/>
      <c r="C400" s="54" t="s">
        <v>687</v>
      </c>
      <c r="D400" s="54"/>
      <c r="E400" t="s">
        <v>264</v>
      </c>
    </row>
    <row r="401" spans="1:5">
      <c r="A401" s="79"/>
      <c r="B401" s="69"/>
      <c r="C401" s="54" t="s">
        <v>688</v>
      </c>
      <c r="D401" s="54"/>
      <c r="E401" t="s">
        <v>264</v>
      </c>
    </row>
    <row r="402" spans="1:5">
      <c r="A402" s="79"/>
      <c r="B402" s="69"/>
      <c r="C402" s="54" t="s">
        <v>689</v>
      </c>
      <c r="D402" s="54"/>
      <c r="E402" t="s">
        <v>264</v>
      </c>
    </row>
    <row r="403" spans="1:5">
      <c r="A403" s="79"/>
      <c r="B403" s="69"/>
      <c r="C403" s="54" t="s">
        <v>690</v>
      </c>
      <c r="D403" s="54"/>
      <c r="E403" t="s">
        <v>264</v>
      </c>
    </row>
    <row r="404" spans="1:5">
      <c r="A404" s="79"/>
      <c r="B404" s="69"/>
      <c r="C404" s="54" t="s">
        <v>691</v>
      </c>
      <c r="D404" s="54"/>
      <c r="E404" t="s">
        <v>264</v>
      </c>
    </row>
    <row r="405" spans="1:5">
      <c r="A405" s="79"/>
      <c r="B405" s="69"/>
      <c r="C405" s="54" t="s">
        <v>692</v>
      </c>
      <c r="D405" s="54"/>
      <c r="E405" t="s">
        <v>264</v>
      </c>
    </row>
    <row r="406" spans="1:5">
      <c r="A406" s="79"/>
      <c r="B406" s="69"/>
      <c r="C406" s="54" t="s">
        <v>693</v>
      </c>
      <c r="D406" s="54"/>
      <c r="E406" t="s">
        <v>264</v>
      </c>
    </row>
    <row r="407" spans="1:5">
      <c r="A407" s="79"/>
      <c r="B407" s="69"/>
      <c r="C407" s="54" t="s">
        <v>694</v>
      </c>
      <c r="D407" s="54"/>
      <c r="E407" t="s">
        <v>264</v>
      </c>
    </row>
    <row r="408" spans="1:5">
      <c r="A408" s="79"/>
      <c r="B408" s="69"/>
      <c r="C408" s="54" t="s">
        <v>695</v>
      </c>
      <c r="D408" s="54"/>
      <c r="E408" t="s">
        <v>264</v>
      </c>
    </row>
    <row r="409" spans="1:5">
      <c r="A409" s="79"/>
      <c r="B409" s="69"/>
      <c r="C409" s="54" t="s">
        <v>696</v>
      </c>
      <c r="D409" s="54"/>
      <c r="E409" t="s">
        <v>264</v>
      </c>
    </row>
    <row r="410" spans="1:5">
      <c r="A410" s="79"/>
      <c r="B410" s="69"/>
      <c r="C410" s="54" t="s">
        <v>697</v>
      </c>
      <c r="D410" s="54"/>
      <c r="E410" t="s">
        <v>264</v>
      </c>
    </row>
    <row r="411" spans="1:5">
      <c r="A411" s="79"/>
      <c r="B411" s="69"/>
      <c r="C411" s="54" t="s">
        <v>698</v>
      </c>
      <c r="D411" s="54"/>
      <c r="E411" t="s">
        <v>264</v>
      </c>
    </row>
    <row r="412" spans="1:5">
      <c r="A412" s="79"/>
      <c r="B412" s="69"/>
      <c r="C412" s="54" t="s">
        <v>699</v>
      </c>
      <c r="D412" s="54"/>
      <c r="E412" t="s">
        <v>264</v>
      </c>
    </row>
    <row r="413" spans="1:5">
      <c r="A413" s="79"/>
      <c r="B413" s="69"/>
      <c r="C413" s="54" t="s">
        <v>700</v>
      </c>
      <c r="D413" s="54"/>
      <c r="E413" t="s">
        <v>264</v>
      </c>
    </row>
    <row r="414" spans="1:5">
      <c r="A414" s="79"/>
      <c r="B414" s="69"/>
      <c r="C414" s="54" t="s">
        <v>701</v>
      </c>
      <c r="D414" s="54"/>
      <c r="E414" t="s">
        <v>264</v>
      </c>
    </row>
    <row r="415" spans="1:5">
      <c r="A415" s="79"/>
      <c r="B415" s="69"/>
      <c r="C415" s="54" t="s">
        <v>702</v>
      </c>
      <c r="D415" s="54"/>
      <c r="E415" t="s">
        <v>264</v>
      </c>
    </row>
    <row r="416" spans="1:5">
      <c r="A416" s="79"/>
      <c r="B416" s="69"/>
      <c r="C416" s="54" t="s">
        <v>703</v>
      </c>
      <c r="D416" s="54"/>
      <c r="E416" t="s">
        <v>264</v>
      </c>
    </row>
    <row r="417" spans="1:5">
      <c r="A417" s="79"/>
      <c r="B417" s="69"/>
      <c r="C417" s="54" t="s">
        <v>704</v>
      </c>
      <c r="D417" s="54"/>
      <c r="E417" t="s">
        <v>264</v>
      </c>
    </row>
    <row r="418" spans="1:5">
      <c r="A418" s="79"/>
      <c r="B418" s="69"/>
      <c r="C418" s="54" t="s">
        <v>705</v>
      </c>
      <c r="D418" s="54"/>
      <c r="E418" t="s">
        <v>264</v>
      </c>
    </row>
    <row r="419" spans="1:5">
      <c r="A419" s="79"/>
      <c r="B419" s="69"/>
      <c r="C419" s="54" t="s">
        <v>706</v>
      </c>
      <c r="D419" s="54"/>
      <c r="E419" t="s">
        <v>264</v>
      </c>
    </row>
    <row r="420" spans="1:5">
      <c r="A420" s="79"/>
      <c r="B420" s="69"/>
      <c r="C420" s="54" t="s">
        <v>707</v>
      </c>
      <c r="D420" s="54"/>
      <c r="E420" t="s">
        <v>264</v>
      </c>
    </row>
    <row r="421" spans="1:5">
      <c r="A421" s="79"/>
      <c r="B421" s="69"/>
      <c r="C421" s="54" t="s">
        <v>708</v>
      </c>
      <c r="D421" s="54"/>
      <c r="E421" t="s">
        <v>264</v>
      </c>
    </row>
    <row r="422" spans="1:5">
      <c r="A422" s="79"/>
      <c r="B422" s="69"/>
      <c r="C422" s="54" t="s">
        <v>709</v>
      </c>
      <c r="D422" s="54"/>
      <c r="E422" t="s">
        <v>264</v>
      </c>
    </row>
    <row r="423" spans="1:5">
      <c r="A423" s="79"/>
      <c r="B423" s="69"/>
      <c r="C423" s="54" t="s">
        <v>710</v>
      </c>
      <c r="D423" s="54"/>
      <c r="E423" t="s">
        <v>264</v>
      </c>
    </row>
    <row r="424" spans="1:5">
      <c r="A424" s="79"/>
      <c r="B424" s="69"/>
      <c r="C424" s="54" t="s">
        <v>711</v>
      </c>
      <c r="D424" s="54"/>
      <c r="E424" t="s">
        <v>264</v>
      </c>
    </row>
    <row r="425" spans="1:5">
      <c r="A425" s="79"/>
      <c r="B425" s="69"/>
      <c r="C425" s="54" t="s">
        <v>712</v>
      </c>
      <c r="D425" s="54"/>
      <c r="E425" t="s">
        <v>264</v>
      </c>
    </row>
    <row r="426" spans="1:5">
      <c r="A426" s="79"/>
      <c r="B426" s="69"/>
      <c r="C426" s="54" t="s">
        <v>713</v>
      </c>
      <c r="D426" s="54"/>
      <c r="E426" t="s">
        <v>264</v>
      </c>
    </row>
    <row r="427" spans="1:5">
      <c r="A427" s="79"/>
      <c r="B427" s="69"/>
      <c r="C427" s="54" t="s">
        <v>714</v>
      </c>
      <c r="D427" s="54"/>
      <c r="E427" t="s">
        <v>264</v>
      </c>
    </row>
    <row r="428" spans="1:5">
      <c r="A428" s="79"/>
      <c r="B428" s="69"/>
      <c r="C428" s="54" t="s">
        <v>715</v>
      </c>
      <c r="D428" s="54"/>
      <c r="E428" t="s">
        <v>264</v>
      </c>
    </row>
    <row r="429" spans="1:5">
      <c r="A429" s="79"/>
      <c r="B429" s="69"/>
      <c r="C429" s="54" t="s">
        <v>716</v>
      </c>
      <c r="D429" s="54"/>
      <c r="E429" t="s">
        <v>264</v>
      </c>
    </row>
    <row r="430" spans="1:5">
      <c r="A430" s="79"/>
      <c r="B430" s="69"/>
      <c r="C430" s="54" t="s">
        <v>717</v>
      </c>
      <c r="D430" s="54"/>
      <c r="E430" t="s">
        <v>264</v>
      </c>
    </row>
    <row r="431" spans="1:5">
      <c r="A431" s="79"/>
      <c r="B431" s="69"/>
      <c r="C431" s="54" t="s">
        <v>718</v>
      </c>
      <c r="D431" s="54"/>
      <c r="E431" t="s">
        <v>264</v>
      </c>
    </row>
    <row r="432" spans="1:5">
      <c r="A432" s="79"/>
      <c r="B432" s="69"/>
      <c r="C432" s="54" t="s">
        <v>719</v>
      </c>
      <c r="D432" s="54"/>
      <c r="E432" t="s">
        <v>264</v>
      </c>
    </row>
    <row r="433" spans="1:5">
      <c r="A433" s="79"/>
      <c r="B433" s="69"/>
      <c r="C433" s="54" t="s">
        <v>720</v>
      </c>
      <c r="D433" s="54"/>
      <c r="E433" t="s">
        <v>264</v>
      </c>
    </row>
    <row r="434" spans="1:5">
      <c r="A434" s="79"/>
      <c r="B434" s="69"/>
      <c r="C434" s="54" t="s">
        <v>721</v>
      </c>
      <c r="D434" s="54"/>
      <c r="E434" t="s">
        <v>264</v>
      </c>
    </row>
    <row r="435" spans="1:5">
      <c r="A435" s="79"/>
      <c r="B435" s="69"/>
      <c r="C435" s="54" t="s">
        <v>722</v>
      </c>
      <c r="D435" s="54"/>
      <c r="E435" t="s">
        <v>264</v>
      </c>
    </row>
    <row r="436" spans="1:5">
      <c r="A436" s="79"/>
      <c r="B436" s="69"/>
      <c r="C436" s="54" t="s">
        <v>723</v>
      </c>
      <c r="D436" s="54"/>
      <c r="E436" t="s">
        <v>264</v>
      </c>
    </row>
    <row r="437" spans="1:5">
      <c r="A437" s="79"/>
      <c r="B437" s="69"/>
      <c r="C437" s="54" t="s">
        <v>724</v>
      </c>
      <c r="D437" s="54"/>
      <c r="E437" t="s">
        <v>264</v>
      </c>
    </row>
    <row r="438" spans="1:5">
      <c r="A438" s="79"/>
      <c r="B438" s="69"/>
      <c r="C438" s="54" t="s">
        <v>725</v>
      </c>
      <c r="D438" s="54"/>
      <c r="E438" t="s">
        <v>264</v>
      </c>
    </row>
    <row r="439" spans="1:5">
      <c r="A439" s="79"/>
      <c r="B439" s="69"/>
      <c r="C439" s="54" t="s">
        <v>726</v>
      </c>
      <c r="D439" s="54"/>
      <c r="E439" t="s">
        <v>264</v>
      </c>
    </row>
    <row r="440" spans="1:5">
      <c r="A440" s="79"/>
      <c r="B440" s="69"/>
      <c r="C440" s="54" t="s">
        <v>727</v>
      </c>
      <c r="D440" s="54"/>
      <c r="E440" t="s">
        <v>264</v>
      </c>
    </row>
    <row r="441" spans="1:5">
      <c r="A441" s="79"/>
      <c r="B441" s="69"/>
      <c r="C441" s="54" t="s">
        <v>728</v>
      </c>
      <c r="D441" s="54"/>
      <c r="E441" t="s">
        <v>264</v>
      </c>
    </row>
    <row r="442" spans="1:5">
      <c r="A442" s="79"/>
      <c r="B442" s="69"/>
      <c r="C442" s="54" t="s">
        <v>729</v>
      </c>
      <c r="D442" s="54"/>
      <c r="E442" t="s">
        <v>264</v>
      </c>
    </row>
    <row r="443" spans="1:5">
      <c r="A443" s="79"/>
      <c r="B443" s="69"/>
      <c r="C443" s="54" t="s">
        <v>730</v>
      </c>
      <c r="D443" s="54"/>
      <c r="E443" t="s">
        <v>264</v>
      </c>
    </row>
    <row r="444" spans="1:5">
      <c r="A444" s="79"/>
      <c r="B444" s="69"/>
      <c r="C444" s="54" t="s">
        <v>731</v>
      </c>
      <c r="D444" s="54"/>
      <c r="E444" t="s">
        <v>264</v>
      </c>
    </row>
    <row r="445" spans="1:5">
      <c r="A445" s="79"/>
      <c r="B445" s="69"/>
      <c r="C445" s="54" t="s">
        <v>732</v>
      </c>
      <c r="D445" s="54"/>
      <c r="E445" t="s">
        <v>264</v>
      </c>
    </row>
    <row r="446" spans="1:5">
      <c r="A446" s="79"/>
      <c r="B446" s="69"/>
      <c r="C446" s="54" t="s">
        <v>733</v>
      </c>
      <c r="D446" s="54"/>
      <c r="E446" t="s">
        <v>264</v>
      </c>
    </row>
    <row r="447" spans="1:5">
      <c r="A447" s="79"/>
      <c r="B447" s="69"/>
      <c r="C447" s="54" t="s">
        <v>734</v>
      </c>
      <c r="D447" s="54"/>
      <c r="E447" t="s">
        <v>264</v>
      </c>
    </row>
    <row r="448" spans="1:5">
      <c r="A448" s="79"/>
      <c r="B448" s="69"/>
      <c r="C448" s="54" t="s">
        <v>735</v>
      </c>
      <c r="D448" s="54"/>
      <c r="E448" t="s">
        <v>264</v>
      </c>
    </row>
    <row r="449" spans="1:5">
      <c r="A449" s="79"/>
      <c r="B449" s="69"/>
      <c r="C449" s="54" t="s">
        <v>736</v>
      </c>
      <c r="D449" s="54"/>
      <c r="E449" t="s">
        <v>264</v>
      </c>
    </row>
    <row r="450" spans="1:5">
      <c r="A450" s="79"/>
      <c r="B450" s="69"/>
      <c r="C450" s="54" t="s">
        <v>737</v>
      </c>
      <c r="D450" s="54"/>
      <c r="E450" t="s">
        <v>264</v>
      </c>
    </row>
    <row r="451" spans="1:5">
      <c r="A451" s="79"/>
      <c r="B451" s="69"/>
      <c r="C451" s="54" t="s">
        <v>738</v>
      </c>
      <c r="D451" s="54"/>
      <c r="E451" t="s">
        <v>264</v>
      </c>
    </row>
    <row r="452" spans="1:5">
      <c r="A452" s="79"/>
      <c r="B452" s="69"/>
      <c r="C452" s="54" t="s">
        <v>739</v>
      </c>
      <c r="D452" s="54"/>
      <c r="E452" t="s">
        <v>264</v>
      </c>
    </row>
    <row r="453" spans="1:5">
      <c r="A453" s="79"/>
      <c r="B453" s="69"/>
      <c r="C453" s="54" t="s">
        <v>740</v>
      </c>
      <c r="D453" s="54"/>
      <c r="E453" t="s">
        <v>264</v>
      </c>
    </row>
    <row r="454" spans="1:5">
      <c r="A454" s="79"/>
      <c r="B454" s="69"/>
      <c r="C454" s="54" t="s">
        <v>741</v>
      </c>
      <c r="D454" s="54"/>
      <c r="E454" t="s">
        <v>264</v>
      </c>
    </row>
    <row r="455" spans="1:5">
      <c r="A455" s="79"/>
      <c r="B455" s="69"/>
      <c r="C455" s="54" t="s">
        <v>742</v>
      </c>
      <c r="D455" s="54"/>
      <c r="E455" t="s">
        <v>264</v>
      </c>
    </row>
    <row r="456" spans="1:5">
      <c r="A456" s="79"/>
      <c r="B456" s="69"/>
      <c r="C456" s="54" t="s">
        <v>743</v>
      </c>
      <c r="D456" s="54"/>
      <c r="E456" t="s">
        <v>264</v>
      </c>
    </row>
    <row r="457" spans="1:5">
      <c r="A457" s="79"/>
      <c r="B457" s="69"/>
      <c r="C457" s="54" t="s">
        <v>744</v>
      </c>
      <c r="D457" s="54"/>
      <c r="E457" t="s">
        <v>264</v>
      </c>
    </row>
    <row r="458" spans="1:5">
      <c r="A458" s="79"/>
      <c r="B458" s="69"/>
      <c r="C458" s="54" t="s">
        <v>745</v>
      </c>
      <c r="D458" s="54"/>
      <c r="E458" t="s">
        <v>264</v>
      </c>
    </row>
    <row r="459" spans="1:5">
      <c r="A459" s="79"/>
      <c r="B459" s="69"/>
      <c r="C459" s="54" t="s">
        <v>746</v>
      </c>
      <c r="D459" s="54"/>
      <c r="E459" t="s">
        <v>264</v>
      </c>
    </row>
    <row r="460" spans="1:5">
      <c r="A460" s="79"/>
      <c r="B460" s="69"/>
      <c r="C460" s="54" t="s">
        <v>747</v>
      </c>
      <c r="D460" s="54"/>
      <c r="E460" t="s">
        <v>264</v>
      </c>
    </row>
    <row r="461" spans="1:5">
      <c r="A461" s="79"/>
      <c r="B461" s="69"/>
      <c r="C461" s="54" t="s">
        <v>748</v>
      </c>
      <c r="D461" s="54"/>
      <c r="E461" t="s">
        <v>264</v>
      </c>
    </row>
    <row r="462" spans="1:5">
      <c r="A462" s="79"/>
      <c r="B462" s="69"/>
      <c r="C462" s="54" t="s">
        <v>749</v>
      </c>
      <c r="D462" s="54"/>
      <c r="E462" t="s">
        <v>264</v>
      </c>
    </row>
    <row r="463" spans="1:5">
      <c r="A463" s="79"/>
      <c r="B463" s="69"/>
      <c r="C463" s="54" t="s">
        <v>750</v>
      </c>
      <c r="D463" s="54"/>
      <c r="E463" t="s">
        <v>264</v>
      </c>
    </row>
    <row r="464" spans="1:5">
      <c r="A464" s="79"/>
      <c r="B464" s="69"/>
      <c r="C464" s="54" t="s">
        <v>751</v>
      </c>
      <c r="D464" s="54"/>
      <c r="E464" t="s">
        <v>264</v>
      </c>
    </row>
    <row r="465" spans="1:5">
      <c r="A465" s="79"/>
      <c r="B465" s="69"/>
      <c r="C465" s="54" t="s">
        <v>752</v>
      </c>
      <c r="D465" s="54"/>
      <c r="E465" t="s">
        <v>264</v>
      </c>
    </row>
    <row r="466" spans="1:5">
      <c r="A466" s="79"/>
      <c r="B466" s="69"/>
      <c r="C466" s="54" t="s">
        <v>753</v>
      </c>
      <c r="D466" s="54"/>
      <c r="E466" t="s">
        <v>264</v>
      </c>
    </row>
    <row r="467" spans="1:5">
      <c r="A467" s="79"/>
      <c r="B467" s="69"/>
      <c r="C467" s="54" t="s">
        <v>754</v>
      </c>
      <c r="D467" s="54"/>
      <c r="E467" t="s">
        <v>264</v>
      </c>
    </row>
    <row r="468" spans="1:5">
      <c r="A468" s="79"/>
      <c r="B468" s="69"/>
      <c r="C468" s="54" t="s">
        <v>755</v>
      </c>
      <c r="D468" s="54"/>
      <c r="E468" t="s">
        <v>264</v>
      </c>
    </row>
    <row r="469" spans="1:5">
      <c r="A469" s="79"/>
      <c r="B469" s="69"/>
      <c r="C469" s="54" t="s">
        <v>756</v>
      </c>
      <c r="D469" s="54"/>
      <c r="E469" t="s">
        <v>264</v>
      </c>
    </row>
    <row r="470" spans="1:5">
      <c r="A470" s="79"/>
      <c r="B470" s="69"/>
      <c r="C470" s="54" t="s">
        <v>757</v>
      </c>
      <c r="D470" s="54"/>
      <c r="E470" t="s">
        <v>264</v>
      </c>
    </row>
    <row r="471" spans="1:5">
      <c r="A471" s="79"/>
      <c r="B471" s="69"/>
      <c r="C471" s="54" t="s">
        <v>758</v>
      </c>
      <c r="D471" s="54"/>
      <c r="E471" t="s">
        <v>264</v>
      </c>
    </row>
    <row r="472" spans="1:5">
      <c r="A472" s="79"/>
      <c r="B472" s="69"/>
      <c r="C472" s="54" t="s">
        <v>759</v>
      </c>
      <c r="D472" s="54"/>
      <c r="E472" t="s">
        <v>264</v>
      </c>
    </row>
    <row r="473" spans="1:5">
      <c r="A473" s="79"/>
      <c r="B473" s="69"/>
      <c r="C473" s="54" t="s">
        <v>760</v>
      </c>
      <c r="D473" s="54"/>
      <c r="E473" t="s">
        <v>264</v>
      </c>
    </row>
    <row r="474" spans="1:5">
      <c r="A474" s="79"/>
      <c r="B474" s="69"/>
      <c r="C474" s="54" t="s">
        <v>761</v>
      </c>
      <c r="D474" s="54"/>
      <c r="E474" t="s">
        <v>264</v>
      </c>
    </row>
    <row r="475" spans="1:5">
      <c r="A475" s="79"/>
      <c r="B475" s="69"/>
      <c r="C475" s="54" t="s">
        <v>762</v>
      </c>
      <c r="D475" s="54"/>
      <c r="E475" t="s">
        <v>264</v>
      </c>
    </row>
    <row r="476" spans="1:5">
      <c r="A476" s="79"/>
      <c r="B476" s="69"/>
      <c r="C476" s="54" t="s">
        <v>763</v>
      </c>
      <c r="D476" s="54"/>
      <c r="E476" t="s">
        <v>264</v>
      </c>
    </row>
    <row r="477" spans="1:5">
      <c r="A477" s="79"/>
      <c r="B477" s="69"/>
      <c r="C477" s="54" t="s">
        <v>764</v>
      </c>
      <c r="D477" s="54"/>
      <c r="E477" t="s">
        <v>264</v>
      </c>
    </row>
    <row r="478" spans="1:5">
      <c r="A478" s="79"/>
      <c r="B478" s="69"/>
      <c r="C478" s="54" t="s">
        <v>765</v>
      </c>
      <c r="D478" s="54"/>
      <c r="E478" t="s">
        <v>264</v>
      </c>
    </row>
    <row r="479" spans="1:5">
      <c r="A479" s="79"/>
      <c r="B479" s="69"/>
      <c r="C479" s="54" t="s">
        <v>766</v>
      </c>
      <c r="D479" s="54"/>
      <c r="E479" t="s">
        <v>264</v>
      </c>
    </row>
    <row r="480" spans="1:5">
      <c r="A480" s="79"/>
      <c r="B480" s="69"/>
      <c r="C480" s="54" t="s">
        <v>767</v>
      </c>
      <c r="D480" s="54"/>
      <c r="E480" t="s">
        <v>264</v>
      </c>
    </row>
    <row r="481" spans="1:5">
      <c r="A481" s="79"/>
      <c r="B481" s="69"/>
      <c r="C481" s="54" t="s">
        <v>768</v>
      </c>
      <c r="D481" s="54"/>
      <c r="E481" t="s">
        <v>264</v>
      </c>
    </row>
    <row r="482" spans="1:5">
      <c r="A482" s="79"/>
      <c r="B482" s="69"/>
      <c r="C482" s="54" t="s">
        <v>769</v>
      </c>
      <c r="D482" s="54"/>
      <c r="E482" t="s">
        <v>264</v>
      </c>
    </row>
    <row r="483" spans="1:5">
      <c r="A483" s="79"/>
      <c r="B483" s="69"/>
      <c r="C483" s="54" t="s">
        <v>770</v>
      </c>
      <c r="D483" s="54"/>
      <c r="E483" t="s">
        <v>264</v>
      </c>
    </row>
    <row r="484" spans="1:5">
      <c r="A484" s="79"/>
      <c r="B484" s="69"/>
      <c r="C484" s="54" t="s">
        <v>771</v>
      </c>
      <c r="D484" s="54"/>
      <c r="E484" t="s">
        <v>264</v>
      </c>
    </row>
    <row r="485" spans="1:5">
      <c r="A485" s="79"/>
      <c r="B485" s="69"/>
      <c r="C485" s="54" t="s">
        <v>772</v>
      </c>
      <c r="D485" s="54"/>
      <c r="E485" t="s">
        <v>264</v>
      </c>
    </row>
    <row r="486" spans="1:5">
      <c r="A486" s="79"/>
      <c r="B486" s="69"/>
      <c r="C486" s="54" t="s">
        <v>773</v>
      </c>
      <c r="D486" s="54"/>
      <c r="E486" t="s">
        <v>264</v>
      </c>
    </row>
    <row r="487" spans="1:5">
      <c r="A487" s="79"/>
      <c r="B487" s="69"/>
      <c r="C487" s="54" t="s">
        <v>774</v>
      </c>
      <c r="D487" s="54"/>
      <c r="E487" t="s">
        <v>264</v>
      </c>
    </row>
    <row r="488" spans="1:5">
      <c r="A488" s="79"/>
      <c r="B488" s="69"/>
      <c r="C488" s="54" t="s">
        <v>775</v>
      </c>
      <c r="D488" s="54"/>
      <c r="E488" t="s">
        <v>264</v>
      </c>
    </row>
    <row r="489" spans="1:5">
      <c r="A489" s="79"/>
      <c r="B489" s="69"/>
      <c r="C489" s="54" t="s">
        <v>203</v>
      </c>
      <c r="D489" s="54"/>
    </row>
    <row r="490" spans="1:5">
      <c r="A490" s="79"/>
      <c r="B490" s="69"/>
      <c r="C490" s="54" t="s">
        <v>776</v>
      </c>
      <c r="D490" s="54"/>
    </row>
    <row r="491" spans="1:5">
      <c r="A491" s="79"/>
      <c r="B491" s="69"/>
      <c r="C491" s="54" t="s">
        <v>777</v>
      </c>
      <c r="D491" s="54"/>
    </row>
    <row r="492" spans="1:5">
      <c r="A492" s="79"/>
      <c r="B492" s="69"/>
      <c r="C492" s="54" t="s">
        <v>778</v>
      </c>
      <c r="D492" s="54"/>
    </row>
    <row r="493" spans="1:5">
      <c r="A493" s="79"/>
      <c r="B493" s="69"/>
      <c r="C493" s="54" t="s">
        <v>779</v>
      </c>
      <c r="D493" s="54"/>
    </row>
    <row r="494" spans="1:5">
      <c r="A494" s="79"/>
      <c r="B494" s="69"/>
      <c r="C494" s="54" t="s">
        <v>780</v>
      </c>
      <c r="D494" s="54"/>
    </row>
    <row r="495" spans="1:5">
      <c r="A495" s="79"/>
      <c r="B495" s="69"/>
      <c r="C495" s="54" t="s">
        <v>781</v>
      </c>
      <c r="D495" s="54"/>
    </row>
    <row r="496" spans="1:5">
      <c r="A496" s="79"/>
      <c r="B496" s="69"/>
      <c r="C496" s="54" t="s">
        <v>782</v>
      </c>
      <c r="D496" s="54"/>
    </row>
    <row r="497" spans="1:4">
      <c r="A497" s="79"/>
      <c r="B497" s="69"/>
      <c r="C497" s="54" t="s">
        <v>783</v>
      </c>
      <c r="D497" s="54"/>
    </row>
    <row r="498" spans="1:4">
      <c r="A498" s="80"/>
      <c r="B498" s="70"/>
      <c r="C498" s="54" t="s">
        <v>613</v>
      </c>
      <c r="D498" s="54"/>
    </row>
    <row r="499" spans="1:4">
      <c r="A499" s="112"/>
      <c r="B499" s="116" t="s">
        <v>784</v>
      </c>
      <c r="C499" s="52" t="s">
        <v>483</v>
      </c>
      <c r="D499" s="52"/>
    </row>
    <row r="500" spans="1:4">
      <c r="A500" s="61"/>
      <c r="B500" s="116"/>
      <c r="C500" s="52" t="s">
        <v>785</v>
      </c>
      <c r="D500" s="52"/>
    </row>
    <row r="501" spans="1:4">
      <c r="A501" s="61"/>
      <c r="B501" s="116"/>
      <c r="C501" s="52" t="s">
        <v>786</v>
      </c>
      <c r="D501" s="52"/>
    </row>
    <row r="502" spans="1:4">
      <c r="A502" s="61"/>
      <c r="B502" s="116"/>
      <c r="C502" s="52" t="s">
        <v>787</v>
      </c>
      <c r="D502" s="52"/>
    </row>
    <row r="503" spans="1:4">
      <c r="A503" s="61"/>
      <c r="B503" s="116"/>
      <c r="C503" s="52" t="s">
        <v>788</v>
      </c>
      <c r="D503" s="52"/>
    </row>
    <row r="504" spans="1:4">
      <c r="A504" s="61"/>
      <c r="B504" s="116"/>
      <c r="C504" s="52" t="s">
        <v>789</v>
      </c>
      <c r="D504" s="52"/>
    </row>
    <row r="505" spans="1:4">
      <c r="A505" s="61"/>
      <c r="B505" s="116"/>
      <c r="C505" s="52" t="s">
        <v>790</v>
      </c>
      <c r="D505" s="52"/>
    </row>
    <row r="506" spans="1:4">
      <c r="A506" s="61"/>
      <c r="B506" s="116"/>
      <c r="C506" s="52" t="s">
        <v>791</v>
      </c>
      <c r="D506" s="52"/>
    </row>
    <row r="507" spans="1:4">
      <c r="A507" s="61"/>
      <c r="B507" s="116"/>
      <c r="C507" s="52" t="s">
        <v>792</v>
      </c>
      <c r="D507" s="52"/>
    </row>
    <row r="508" spans="1:4">
      <c r="A508" s="61"/>
      <c r="B508" s="116"/>
      <c r="C508" s="52" t="s">
        <v>793</v>
      </c>
      <c r="D508" s="52"/>
    </row>
    <row r="509" spans="1:4">
      <c r="A509" s="61"/>
      <c r="B509" s="116"/>
      <c r="C509" s="52" t="s">
        <v>794</v>
      </c>
      <c r="D509" s="52"/>
    </row>
    <row r="510" spans="1:4">
      <c r="A510" s="61"/>
      <c r="B510" s="116"/>
      <c r="C510" s="52" t="s">
        <v>795</v>
      </c>
      <c r="D510" s="52"/>
    </row>
    <row r="511" spans="1:4">
      <c r="A511" s="61"/>
      <c r="B511" s="116"/>
      <c r="C511" s="52" t="s">
        <v>796</v>
      </c>
      <c r="D511" s="52"/>
    </row>
    <row r="512" spans="1:4">
      <c r="A512" s="61"/>
      <c r="B512" s="116"/>
      <c r="C512" s="52" t="s">
        <v>529</v>
      </c>
      <c r="D512" s="52"/>
    </row>
    <row r="513" spans="1:4">
      <c r="A513" s="61"/>
      <c r="B513" s="116"/>
      <c r="C513" s="52" t="s">
        <v>203</v>
      </c>
      <c r="D513" s="52"/>
    </row>
    <row r="514" spans="1:4">
      <c r="A514" s="79"/>
      <c r="B514" s="65" t="s">
        <v>797</v>
      </c>
      <c r="C514" s="54" t="s">
        <v>386</v>
      </c>
      <c r="D514" s="54"/>
    </row>
    <row r="515" spans="1:4">
      <c r="A515" s="80"/>
      <c r="B515" s="67"/>
      <c r="C515" s="54" t="s">
        <v>164</v>
      </c>
      <c r="D515" s="54"/>
    </row>
    <row r="516" spans="1:4">
      <c r="A516" s="61"/>
      <c r="B516" s="116" t="s">
        <v>798</v>
      </c>
      <c r="C516" s="52" t="s">
        <v>799</v>
      </c>
      <c r="D516" s="52"/>
    </row>
    <row r="517" spans="1:4">
      <c r="A517" s="61"/>
      <c r="B517" s="116"/>
      <c r="C517" s="52" t="s">
        <v>219</v>
      </c>
      <c r="D517" s="52"/>
    </row>
    <row r="518" spans="1:4">
      <c r="A518" s="61"/>
      <c r="B518" s="116"/>
      <c r="C518" s="52" t="s">
        <v>214</v>
      </c>
      <c r="D518" s="52"/>
    </row>
    <row r="519" spans="1:4">
      <c r="A519" s="61"/>
      <c r="B519" s="116"/>
      <c r="C519" s="52" t="s">
        <v>800</v>
      </c>
      <c r="D519" s="52"/>
    </row>
    <row r="520" spans="1:4">
      <c r="A520" s="114"/>
      <c r="B520" s="65" t="s">
        <v>801</v>
      </c>
      <c r="C520" s="54" t="s">
        <v>802</v>
      </c>
      <c r="D520" s="54"/>
    </row>
    <row r="521" spans="1:4">
      <c r="A521" s="77"/>
      <c r="B521" s="66"/>
      <c r="C521" s="54" t="s">
        <v>803</v>
      </c>
      <c r="D521" s="54"/>
    </row>
    <row r="522" spans="1:4">
      <c r="A522" s="77"/>
      <c r="B522" s="66"/>
      <c r="C522" s="54" t="s">
        <v>804</v>
      </c>
      <c r="D522" s="54"/>
    </row>
    <row r="523" spans="1:4">
      <c r="A523" s="77"/>
      <c r="B523" s="66"/>
      <c r="C523" s="54" t="s">
        <v>805</v>
      </c>
      <c r="D523" s="54"/>
    </row>
    <row r="524" spans="1:4">
      <c r="A524" s="77"/>
      <c r="B524" s="66"/>
      <c r="C524" s="54" t="s">
        <v>806</v>
      </c>
      <c r="D524" s="54"/>
    </row>
    <row r="525" spans="1:4">
      <c r="A525" s="77"/>
      <c r="B525" s="66"/>
      <c r="C525" s="54" t="s">
        <v>807</v>
      </c>
      <c r="D525" s="54"/>
    </row>
    <row r="526" spans="1:4">
      <c r="A526" s="77"/>
      <c r="B526" s="66"/>
      <c r="C526" s="54" t="s">
        <v>808</v>
      </c>
      <c r="D526" s="54"/>
    </row>
    <row r="527" spans="1:4">
      <c r="A527" s="77"/>
      <c r="B527" s="66"/>
      <c r="C527" s="54" t="s">
        <v>809</v>
      </c>
      <c r="D527" s="54"/>
    </row>
    <row r="528" spans="1:4">
      <c r="A528" s="77"/>
      <c r="B528" s="66"/>
      <c r="C528" s="54" t="s">
        <v>810</v>
      </c>
      <c r="D528" s="54"/>
    </row>
    <row r="529" spans="1:4">
      <c r="A529" s="77"/>
      <c r="B529" s="66"/>
      <c r="C529" s="54" t="s">
        <v>793</v>
      </c>
      <c r="D529" s="54"/>
    </row>
    <row r="530" spans="1:4">
      <c r="B530" s="66"/>
      <c r="C530" s="54" t="s">
        <v>811</v>
      </c>
      <c r="D530" s="54"/>
    </row>
    <row r="531" spans="1:4" ht="15">
      <c r="A531" s="77"/>
      <c r="B531" s="66"/>
      <c r="C531" s="54" t="s">
        <v>812</v>
      </c>
      <c r="D531" s="54" t="s">
        <v>813</v>
      </c>
    </row>
    <row r="532" spans="1:4" ht="15">
      <c r="A532" s="77"/>
      <c r="B532" s="66"/>
      <c r="C532" s="54" t="s">
        <v>814</v>
      </c>
      <c r="D532" s="54" t="s">
        <v>813</v>
      </c>
    </row>
    <row r="533" spans="1:4" ht="15">
      <c r="A533" s="77"/>
      <c r="B533" s="66"/>
      <c r="C533" s="54" t="s">
        <v>815</v>
      </c>
      <c r="D533" s="54" t="s">
        <v>813</v>
      </c>
    </row>
    <row r="534" spans="1:4">
      <c r="A534" s="77"/>
      <c r="B534" s="66"/>
      <c r="C534" s="54" t="s">
        <v>816</v>
      </c>
      <c r="D534" s="54"/>
    </row>
    <row r="535" spans="1:4">
      <c r="A535" s="77"/>
      <c r="B535" s="66"/>
      <c r="C535" s="54" t="s">
        <v>817</v>
      </c>
      <c r="D535" s="54"/>
    </row>
    <row r="536" spans="1:4">
      <c r="A536" s="77"/>
      <c r="B536" s="66"/>
      <c r="C536" s="54" t="s">
        <v>818</v>
      </c>
      <c r="D536" s="54"/>
    </row>
    <row r="537" spans="1:4">
      <c r="A537" s="77"/>
      <c r="B537" s="66"/>
      <c r="C537" s="54" t="s">
        <v>819</v>
      </c>
      <c r="D537" s="54"/>
    </row>
    <row r="538" spans="1:4">
      <c r="A538" s="77"/>
      <c r="B538" s="66"/>
      <c r="C538" s="54" t="s">
        <v>820</v>
      </c>
      <c r="D538" s="54"/>
    </row>
    <row r="539" spans="1:4">
      <c r="A539" s="77"/>
      <c r="B539" s="66"/>
      <c r="C539" s="54" t="s">
        <v>821</v>
      </c>
      <c r="D539" s="54"/>
    </row>
    <row r="540" spans="1:4">
      <c r="A540" s="77"/>
      <c r="B540" s="66"/>
      <c r="C540" s="54" t="s">
        <v>822</v>
      </c>
      <c r="D540" s="54"/>
    </row>
    <row r="541" spans="1:4">
      <c r="A541" s="77"/>
      <c r="B541" s="66"/>
      <c r="C541" s="54" t="s">
        <v>823</v>
      </c>
      <c r="D541" s="54"/>
    </row>
    <row r="542" spans="1:4">
      <c r="A542" s="77"/>
      <c r="B542" s="66"/>
      <c r="C542" s="54" t="s">
        <v>529</v>
      </c>
      <c r="D542" s="54"/>
    </row>
    <row r="543" spans="1:4">
      <c r="A543" s="77"/>
      <c r="B543" s="66"/>
      <c r="C543" s="54" t="s">
        <v>203</v>
      </c>
      <c r="D543" s="55"/>
    </row>
    <row r="544" spans="1:4">
      <c r="A544" s="83"/>
      <c r="B544" s="56" t="s">
        <v>824</v>
      </c>
      <c r="C544" s="52" t="s">
        <v>386</v>
      </c>
      <c r="D544" s="52"/>
    </row>
    <row r="545" spans="1:4">
      <c r="A545" s="84"/>
      <c r="B545" s="115"/>
      <c r="C545" s="52" t="s">
        <v>164</v>
      </c>
      <c r="D545" s="52"/>
    </row>
    <row r="546" spans="1:4">
      <c r="A546" s="77"/>
      <c r="B546" s="65" t="s">
        <v>825</v>
      </c>
      <c r="C546" s="54" t="s">
        <v>826</v>
      </c>
      <c r="D546" s="54"/>
    </row>
    <row r="547" spans="1:4">
      <c r="A547" s="77"/>
      <c r="B547" s="66"/>
      <c r="C547" s="54" t="s">
        <v>827</v>
      </c>
      <c r="D547" s="54"/>
    </row>
    <row r="548" spans="1:4">
      <c r="A548" s="77"/>
      <c r="B548" s="66"/>
      <c r="C548" s="54" t="s">
        <v>828</v>
      </c>
      <c r="D548" s="54"/>
    </row>
    <row r="549" spans="1:4">
      <c r="A549" s="77"/>
      <c r="B549" s="66"/>
      <c r="C549" s="54" t="s">
        <v>829</v>
      </c>
      <c r="D549" s="54"/>
    </row>
    <row r="550" spans="1:4">
      <c r="A550" s="77"/>
      <c r="B550" s="66"/>
      <c r="C550" s="54" t="s">
        <v>830</v>
      </c>
      <c r="D550" s="54"/>
    </row>
    <row r="551" spans="1:4">
      <c r="A551" s="83"/>
      <c r="B551" s="56" t="s">
        <v>831</v>
      </c>
      <c r="C551" s="52" t="s">
        <v>386</v>
      </c>
      <c r="D551" s="52"/>
    </row>
    <row r="552" spans="1:4">
      <c r="A552" s="84"/>
      <c r="B552" s="115"/>
      <c r="C552" s="52" t="s">
        <v>164</v>
      </c>
      <c r="D552" s="52"/>
    </row>
    <row r="553" spans="1:4">
      <c r="A553" s="62"/>
      <c r="B553" s="65" t="s">
        <v>832</v>
      </c>
      <c r="C553" s="54" t="s">
        <v>833</v>
      </c>
      <c r="D553" s="54"/>
    </row>
    <row r="554" spans="1:4">
      <c r="A554" s="63"/>
      <c r="B554" s="63"/>
      <c r="C554" s="54" t="s">
        <v>834</v>
      </c>
      <c r="D554" s="54"/>
    </row>
    <row r="555" spans="1:4">
      <c r="A555" s="63"/>
      <c r="B555" s="63"/>
      <c r="C555" s="54" t="s">
        <v>835</v>
      </c>
      <c r="D555" s="54"/>
    </row>
    <row r="556" spans="1:4">
      <c r="A556" s="63"/>
      <c r="B556" s="63"/>
      <c r="C556" s="54" t="s">
        <v>836</v>
      </c>
      <c r="D556" s="54"/>
    </row>
    <row r="557" spans="1:4">
      <c r="A557" s="63"/>
      <c r="B557" s="63"/>
      <c r="C557" s="54" t="s">
        <v>837</v>
      </c>
      <c r="D557" s="54"/>
    </row>
    <row r="558" spans="1:4">
      <c r="A558" s="63"/>
      <c r="B558" s="63"/>
      <c r="C558" s="54" t="s">
        <v>838</v>
      </c>
      <c r="D558" s="54"/>
    </row>
    <row r="559" spans="1:4">
      <c r="A559" s="63"/>
      <c r="B559" s="63"/>
      <c r="C559" s="54" t="s">
        <v>839</v>
      </c>
      <c r="D559" s="54"/>
    </row>
    <row r="560" spans="1:4">
      <c r="A560" s="63"/>
      <c r="B560" s="63"/>
      <c r="C560" s="54" t="s">
        <v>840</v>
      </c>
      <c r="D560" s="54"/>
    </row>
    <row r="561" spans="1:4">
      <c r="A561" s="63"/>
      <c r="B561" s="63"/>
      <c r="C561" s="54" t="s">
        <v>841</v>
      </c>
      <c r="D561" s="54"/>
    </row>
    <row r="562" spans="1:4">
      <c r="A562" s="63"/>
      <c r="B562" s="63"/>
      <c r="C562" s="54" t="s">
        <v>842</v>
      </c>
      <c r="D562" s="54"/>
    </row>
    <row r="563" spans="1:4">
      <c r="A563" s="63"/>
      <c r="B563" s="63"/>
      <c r="C563" s="54" t="s">
        <v>843</v>
      </c>
      <c r="D563" s="54"/>
    </row>
    <row r="564" spans="1:4">
      <c r="A564" s="63"/>
      <c r="B564" s="63"/>
      <c r="C564" s="54" t="s">
        <v>844</v>
      </c>
      <c r="D564" s="54"/>
    </row>
    <row r="565" spans="1:4">
      <c r="A565" s="63"/>
      <c r="B565" s="63"/>
      <c r="C565" s="54" t="s">
        <v>845</v>
      </c>
      <c r="D565" s="54"/>
    </row>
    <row r="566" spans="1:4">
      <c r="A566" s="63"/>
      <c r="B566" s="63"/>
      <c r="C566" s="54" t="s">
        <v>846</v>
      </c>
      <c r="D566" s="54"/>
    </row>
    <row r="567" spans="1:4">
      <c r="A567" s="63"/>
      <c r="B567" s="63"/>
      <c r="C567" s="54" t="s">
        <v>847</v>
      </c>
      <c r="D567" s="54"/>
    </row>
    <row r="568" spans="1:4">
      <c r="A568" s="63"/>
      <c r="B568" s="63"/>
      <c r="C568" s="54" t="s">
        <v>848</v>
      </c>
      <c r="D568" s="54"/>
    </row>
    <row r="569" spans="1:4">
      <c r="A569" s="63"/>
      <c r="B569" s="63"/>
      <c r="C569" s="54" t="s">
        <v>849</v>
      </c>
      <c r="D569" s="54"/>
    </row>
    <row r="570" spans="1:4">
      <c r="A570" s="63"/>
      <c r="B570" s="63"/>
      <c r="C570" s="54" t="s">
        <v>850</v>
      </c>
      <c r="D570" s="54"/>
    </row>
    <row r="571" spans="1:4">
      <c r="A571" s="63"/>
      <c r="B571" s="63"/>
      <c r="C571" s="54" t="s">
        <v>851</v>
      </c>
      <c r="D571" s="54"/>
    </row>
    <row r="572" spans="1:4">
      <c r="A572" s="63"/>
      <c r="B572" s="63"/>
      <c r="C572" s="54" t="s">
        <v>852</v>
      </c>
      <c r="D572" s="54"/>
    </row>
    <row r="573" spans="1:4">
      <c r="A573" s="63"/>
      <c r="B573" s="63"/>
      <c r="C573" s="54" t="s">
        <v>853</v>
      </c>
      <c r="D573" s="54"/>
    </row>
    <row r="574" spans="1:4">
      <c r="A574" s="63"/>
      <c r="B574" s="63"/>
      <c r="C574" s="54" t="s">
        <v>854</v>
      </c>
      <c r="D574" s="54"/>
    </row>
    <row r="575" spans="1:4">
      <c r="A575" s="63"/>
      <c r="B575" s="63"/>
      <c r="C575" s="54" t="s">
        <v>855</v>
      </c>
      <c r="D575" s="54"/>
    </row>
    <row r="576" spans="1:4">
      <c r="A576" s="63"/>
      <c r="B576" s="63"/>
      <c r="C576" s="54" t="s">
        <v>856</v>
      </c>
      <c r="D576" s="54"/>
    </row>
    <row r="577" spans="1:5">
      <c r="A577" s="63"/>
      <c r="B577" s="63"/>
      <c r="C577" s="54" t="s">
        <v>857</v>
      </c>
      <c r="D577" s="54"/>
    </row>
    <row r="578" spans="1:5">
      <c r="A578" s="63"/>
      <c r="B578" s="63"/>
      <c r="C578" s="54" t="s">
        <v>858</v>
      </c>
      <c r="D578" s="54"/>
    </row>
    <row r="579" spans="1:5">
      <c r="A579" s="63"/>
      <c r="B579" s="63"/>
      <c r="C579" s="54" t="s">
        <v>859</v>
      </c>
      <c r="D579" s="54"/>
    </row>
    <row r="580" spans="1:5">
      <c r="A580" s="63"/>
      <c r="B580" s="63"/>
      <c r="C580" s="54" t="s">
        <v>860</v>
      </c>
      <c r="D580" s="54"/>
      <c r="E580" t="s">
        <v>264</v>
      </c>
    </row>
    <row r="581" spans="1:5">
      <c r="A581" s="63"/>
      <c r="B581" s="63"/>
      <c r="C581" s="54" t="s">
        <v>861</v>
      </c>
      <c r="D581" s="54"/>
      <c r="E581" t="s">
        <v>264</v>
      </c>
    </row>
    <row r="582" spans="1:5">
      <c r="A582" s="63"/>
      <c r="B582" s="63"/>
      <c r="C582" s="54" t="s">
        <v>862</v>
      </c>
      <c r="D582" s="54"/>
    </row>
    <row r="583" spans="1:5">
      <c r="A583" s="63"/>
      <c r="B583" s="63"/>
      <c r="C583" s="54" t="s">
        <v>863</v>
      </c>
      <c r="D583" s="54"/>
    </row>
    <row r="584" spans="1:5">
      <c r="A584" s="63"/>
      <c r="B584" s="63"/>
      <c r="C584" s="54" t="s">
        <v>864</v>
      </c>
      <c r="D584" s="54"/>
    </row>
    <row r="585" spans="1:5">
      <c r="A585" s="63"/>
      <c r="B585" s="63"/>
      <c r="C585" s="54" t="s">
        <v>865</v>
      </c>
      <c r="D585" s="54"/>
    </row>
    <row r="586" spans="1:5">
      <c r="A586" s="63"/>
      <c r="B586" s="63"/>
      <c r="C586" s="54" t="s">
        <v>866</v>
      </c>
      <c r="D586" s="54"/>
    </row>
    <row r="587" spans="1:5">
      <c r="A587" s="63"/>
      <c r="B587" s="63"/>
      <c r="C587" s="54" t="s">
        <v>867</v>
      </c>
      <c r="D587" s="54"/>
    </row>
    <row r="588" spans="1:5">
      <c r="A588" s="63"/>
      <c r="B588" s="63"/>
      <c r="C588" s="54" t="s">
        <v>868</v>
      </c>
      <c r="D588" s="54"/>
    </row>
    <row r="589" spans="1:5">
      <c r="A589" s="63"/>
      <c r="B589" s="63"/>
      <c r="C589" s="54" t="s">
        <v>869</v>
      </c>
      <c r="D589" s="54"/>
    </row>
    <row r="590" spans="1:5">
      <c r="A590" s="63"/>
      <c r="B590" s="63"/>
      <c r="C590" s="54" t="s">
        <v>870</v>
      </c>
      <c r="D590" s="54"/>
    </row>
    <row r="591" spans="1:5">
      <c r="A591" s="64"/>
      <c r="B591" s="64"/>
      <c r="C591" s="54" t="s">
        <v>871</v>
      </c>
      <c r="D591" s="54"/>
    </row>
    <row r="592" spans="1:5">
      <c r="A592" s="61"/>
      <c r="B592" s="116" t="s">
        <v>152</v>
      </c>
      <c r="C592" s="52" t="s">
        <v>872</v>
      </c>
      <c r="D592" s="52"/>
    </row>
    <row r="593" spans="1:4">
      <c r="A593" s="61"/>
      <c r="B593" s="116"/>
      <c r="C593" s="52" t="s">
        <v>873</v>
      </c>
      <c r="D593" s="52"/>
    </row>
    <row r="594" spans="1:4">
      <c r="A594" s="61"/>
      <c r="B594" s="116"/>
      <c r="C594" s="52" t="s">
        <v>203</v>
      </c>
      <c r="D594" s="52"/>
    </row>
    <row r="595" spans="1:4">
      <c r="A595" s="65"/>
      <c r="B595" s="71" t="s">
        <v>874</v>
      </c>
      <c r="C595" s="54" t="s">
        <v>386</v>
      </c>
      <c r="D595" s="54"/>
    </row>
    <row r="596" spans="1:4">
      <c r="A596" s="117"/>
      <c r="B596" s="119"/>
      <c r="C596" s="118" t="s">
        <v>164</v>
      </c>
      <c r="D596" s="54"/>
    </row>
    <row r="597" spans="1:4">
      <c r="A597" s="112"/>
      <c r="B597" s="112" t="s">
        <v>875</v>
      </c>
      <c r="C597" s="52" t="s">
        <v>876</v>
      </c>
      <c r="D597" s="52"/>
    </row>
    <row r="598" spans="1:4">
      <c r="A598" s="61"/>
      <c r="B598" s="61"/>
      <c r="C598" s="52" t="s">
        <v>877</v>
      </c>
      <c r="D598" s="52"/>
    </row>
    <row r="599" spans="1:4">
      <c r="A599" s="61"/>
      <c r="B599" s="61"/>
      <c r="C599" s="52" t="s">
        <v>878</v>
      </c>
      <c r="D599" s="52"/>
    </row>
    <row r="600" spans="1:4">
      <c r="A600" s="61"/>
      <c r="B600" s="61"/>
      <c r="C600" s="52" t="s">
        <v>879</v>
      </c>
      <c r="D600" s="52"/>
    </row>
    <row r="601" spans="1:4">
      <c r="A601" s="61"/>
      <c r="B601" s="61"/>
      <c r="C601" s="52" t="s">
        <v>880</v>
      </c>
      <c r="D601" s="52"/>
    </row>
    <row r="602" spans="1:4">
      <c r="A602" s="61"/>
      <c r="B602" s="61"/>
      <c r="C602" s="52" t="s">
        <v>881</v>
      </c>
      <c r="D602" s="52"/>
    </row>
    <row r="603" spans="1:4">
      <c r="A603" s="61"/>
      <c r="B603" s="61"/>
      <c r="C603" s="52" t="s">
        <v>882</v>
      </c>
      <c r="D603" s="52"/>
    </row>
    <row r="604" spans="1:4">
      <c r="A604" s="61"/>
      <c r="B604" s="61"/>
      <c r="C604" s="52" t="s">
        <v>883</v>
      </c>
      <c r="D604" s="52"/>
    </row>
    <row r="605" spans="1:4">
      <c r="A605" s="61"/>
      <c r="B605" s="61"/>
      <c r="C605" s="52" t="s">
        <v>884</v>
      </c>
      <c r="D605" s="52"/>
    </row>
    <row r="606" spans="1:4">
      <c r="A606" s="61"/>
      <c r="B606" s="61"/>
      <c r="C606" s="52" t="s">
        <v>885</v>
      </c>
      <c r="D606" s="52"/>
    </row>
    <row r="607" spans="1:4">
      <c r="A607" s="61"/>
      <c r="B607" s="61"/>
      <c r="C607" s="52" t="s">
        <v>886</v>
      </c>
      <c r="D607" s="52"/>
    </row>
    <row r="608" spans="1:4">
      <c r="A608" s="61"/>
      <c r="B608" s="61"/>
      <c r="C608" s="52" t="s">
        <v>887</v>
      </c>
      <c r="D608" s="52"/>
    </row>
    <row r="609" spans="1:5">
      <c r="A609" s="61"/>
      <c r="B609" s="61"/>
      <c r="C609" s="52" t="s">
        <v>888</v>
      </c>
      <c r="D609" s="52"/>
    </row>
    <row r="610" spans="1:5">
      <c r="A610" s="61"/>
      <c r="B610" s="61"/>
      <c r="C610" s="52" t="s">
        <v>889</v>
      </c>
      <c r="D610" s="52"/>
    </row>
    <row r="611" spans="1:5">
      <c r="A611" s="61"/>
      <c r="B611" s="61"/>
      <c r="C611" s="52" t="s">
        <v>890</v>
      </c>
      <c r="D611" s="52"/>
    </row>
    <row r="612" spans="1:5">
      <c r="A612" s="61"/>
      <c r="B612" s="61"/>
      <c r="C612" s="52" t="s">
        <v>891</v>
      </c>
      <c r="D612" s="52"/>
    </row>
    <row r="613" spans="1:5">
      <c r="A613" s="61"/>
      <c r="B613" s="61"/>
      <c r="C613" s="52" t="s">
        <v>892</v>
      </c>
      <c r="D613" s="52"/>
    </row>
    <row r="614" spans="1:5">
      <c r="A614" s="61"/>
      <c r="B614" s="61"/>
      <c r="C614" s="52" t="s">
        <v>893</v>
      </c>
      <c r="D614" s="52"/>
    </row>
    <row r="615" spans="1:5">
      <c r="A615" s="61"/>
      <c r="B615" s="61"/>
      <c r="C615" s="52" t="s">
        <v>894</v>
      </c>
      <c r="D615" s="52"/>
    </row>
    <row r="616" spans="1:5">
      <c r="A616" s="61"/>
      <c r="B616" s="61"/>
      <c r="C616" s="52" t="s">
        <v>895</v>
      </c>
      <c r="D616" s="52"/>
    </row>
    <row r="617" spans="1:5">
      <c r="A617" s="61"/>
      <c r="B617" s="61"/>
      <c r="C617" s="52" t="s">
        <v>896</v>
      </c>
      <c r="D617" s="52"/>
    </row>
    <row r="618" spans="1:5">
      <c r="A618" s="61"/>
      <c r="B618" s="61"/>
      <c r="C618" s="52" t="s">
        <v>897</v>
      </c>
      <c r="D618" s="52"/>
    </row>
    <row r="619" spans="1:5">
      <c r="A619" s="61"/>
      <c r="B619" s="61"/>
      <c r="C619" s="52" t="s">
        <v>898</v>
      </c>
      <c r="D619" s="52"/>
    </row>
    <row r="620" spans="1:5">
      <c r="A620" s="61"/>
      <c r="B620" s="61"/>
      <c r="C620" s="52" t="s">
        <v>613</v>
      </c>
      <c r="D620" s="52"/>
    </row>
    <row r="621" spans="1:5">
      <c r="A621" s="61"/>
      <c r="B621" s="61"/>
      <c r="C621" s="52" t="s">
        <v>899</v>
      </c>
      <c r="D621" s="52"/>
      <c r="E621" t="s">
        <v>264</v>
      </c>
    </row>
    <row r="622" spans="1:5">
      <c r="A622" s="65"/>
      <c r="B622" s="65" t="s">
        <v>194</v>
      </c>
      <c r="C622" s="54" t="s">
        <v>900</v>
      </c>
      <c r="D622" s="54"/>
    </row>
    <row r="623" spans="1:5">
      <c r="A623" s="66"/>
      <c r="B623" s="66"/>
      <c r="C623" s="54" t="s">
        <v>901</v>
      </c>
      <c r="D623" s="54"/>
    </row>
    <row r="624" spans="1:5">
      <c r="A624" s="66"/>
      <c r="B624" s="66"/>
      <c r="C624" s="54" t="s">
        <v>902</v>
      </c>
      <c r="D624" s="54"/>
    </row>
    <row r="625" spans="1:5">
      <c r="A625" s="66"/>
      <c r="B625" s="66"/>
      <c r="C625" s="54" t="s">
        <v>903</v>
      </c>
      <c r="D625" s="54"/>
    </row>
    <row r="626" spans="1:5">
      <c r="A626" s="66"/>
      <c r="B626" s="66"/>
      <c r="C626" s="54" t="s">
        <v>904</v>
      </c>
      <c r="D626" s="54"/>
      <c r="E626" t="s">
        <v>264</v>
      </c>
    </row>
    <row r="627" spans="1:5">
      <c r="A627" s="66"/>
      <c r="B627" s="66"/>
      <c r="C627" s="54" t="s">
        <v>905</v>
      </c>
      <c r="D627" s="54"/>
    </row>
    <row r="628" spans="1:5">
      <c r="A628" s="66"/>
      <c r="B628" s="66"/>
      <c r="C628" s="54" t="s">
        <v>906</v>
      </c>
      <c r="D628" s="54"/>
    </row>
    <row r="629" spans="1:5">
      <c r="A629" s="66"/>
      <c r="B629" s="66"/>
      <c r="C629" s="54" t="s">
        <v>505</v>
      </c>
      <c r="D629" s="54"/>
    </row>
    <row r="630" spans="1:5">
      <c r="A630" s="66"/>
      <c r="B630" s="66"/>
      <c r="C630" s="54" t="s">
        <v>907</v>
      </c>
      <c r="D630" s="54"/>
    </row>
    <row r="631" spans="1:5">
      <c r="A631" s="66"/>
      <c r="B631" s="66"/>
      <c r="C631" s="54" t="s">
        <v>908</v>
      </c>
      <c r="D631" s="54"/>
    </row>
    <row r="632" spans="1:5">
      <c r="A632" s="66"/>
      <c r="B632" s="66"/>
      <c r="C632" s="54" t="s">
        <v>909</v>
      </c>
      <c r="D632" s="54"/>
    </row>
    <row r="633" spans="1:5">
      <c r="A633" s="67"/>
      <c r="B633" s="67"/>
      <c r="C633" s="54" t="s">
        <v>203</v>
      </c>
      <c r="D633" s="54"/>
    </row>
    <row r="634" spans="1:5">
      <c r="A634" s="61"/>
      <c r="B634" s="116" t="s">
        <v>195</v>
      </c>
      <c r="C634" s="52" t="s">
        <v>910</v>
      </c>
      <c r="D634" s="52" t="s">
        <v>911</v>
      </c>
    </row>
    <row r="635" spans="1:5">
      <c r="A635" s="61"/>
      <c r="B635" s="116"/>
      <c r="C635" s="52" t="s">
        <v>912</v>
      </c>
      <c r="D635" s="52" t="s">
        <v>913</v>
      </c>
    </row>
    <row r="636" spans="1:5">
      <c r="A636" s="61"/>
      <c r="B636" s="116"/>
      <c r="C636" s="52" t="s">
        <v>914</v>
      </c>
      <c r="D636" s="52" t="s">
        <v>915</v>
      </c>
    </row>
    <row r="637" spans="1:5">
      <c r="A637" s="61"/>
      <c r="B637" s="116"/>
      <c r="C637" s="52" t="s">
        <v>916</v>
      </c>
      <c r="D637" s="52" t="s">
        <v>917</v>
      </c>
    </row>
    <row r="638" spans="1:5">
      <c r="A638" s="61"/>
      <c r="B638" s="116"/>
      <c r="C638" s="52" t="s">
        <v>918</v>
      </c>
      <c r="D638" s="52" t="s">
        <v>919</v>
      </c>
    </row>
    <row r="639" spans="1:5">
      <c r="A639" s="61"/>
      <c r="B639" s="116"/>
      <c r="C639" s="52" t="s">
        <v>920</v>
      </c>
      <c r="D639" s="52" t="s">
        <v>921</v>
      </c>
    </row>
    <row r="640" spans="1:5">
      <c r="A640" s="61"/>
      <c r="B640" s="116"/>
      <c r="C640" s="52" t="s">
        <v>922</v>
      </c>
      <c r="D640" s="52" t="s">
        <v>923</v>
      </c>
    </row>
    <row r="641" spans="1:4">
      <c r="A641" s="61"/>
      <c r="B641" s="116"/>
      <c r="C641" s="52" t="s">
        <v>924</v>
      </c>
      <c r="D641" s="52" t="s">
        <v>924</v>
      </c>
    </row>
    <row r="642" spans="1:4">
      <c r="A642" s="61"/>
      <c r="B642" s="116"/>
      <c r="C642" s="52" t="s">
        <v>203</v>
      </c>
      <c r="D642" s="52"/>
    </row>
    <row r="643" spans="1:4">
      <c r="A643" s="68"/>
      <c r="B643" s="68" t="s">
        <v>925</v>
      </c>
      <c r="C643" s="54" t="s">
        <v>926</v>
      </c>
      <c r="D643" s="54" t="s">
        <v>927</v>
      </c>
    </row>
    <row r="644" spans="1:4">
      <c r="A644" s="69"/>
      <c r="B644" s="69"/>
      <c r="C644" s="54" t="s">
        <v>928</v>
      </c>
      <c r="D644" s="54" t="s">
        <v>929</v>
      </c>
    </row>
    <row r="645" spans="1:4">
      <c r="A645" s="69"/>
      <c r="B645" s="69"/>
      <c r="C645" s="54" t="s">
        <v>930</v>
      </c>
      <c r="D645" s="54" t="s">
        <v>931</v>
      </c>
    </row>
    <row r="646" spans="1:4">
      <c r="A646" s="69"/>
      <c r="B646" s="69"/>
      <c r="C646" s="54" t="s">
        <v>932</v>
      </c>
      <c r="D646" s="54" t="s">
        <v>933</v>
      </c>
    </row>
    <row r="647" spans="1:4">
      <c r="A647" s="69"/>
      <c r="B647" s="69"/>
      <c r="C647" s="54" t="s">
        <v>934</v>
      </c>
      <c r="D647" s="54"/>
    </row>
    <row r="648" spans="1:4">
      <c r="A648" s="70"/>
      <c r="B648" s="70"/>
      <c r="C648" s="54" t="s">
        <v>203</v>
      </c>
      <c r="D648" s="54"/>
    </row>
    <row r="649" spans="1:4">
      <c r="A649" s="61"/>
      <c r="B649" s="116" t="s">
        <v>186</v>
      </c>
      <c r="C649" s="52" t="s">
        <v>935</v>
      </c>
      <c r="D649" s="52"/>
    </row>
    <row r="650" spans="1:4">
      <c r="A650" s="61"/>
      <c r="B650" s="116"/>
      <c r="C650" s="52" t="s">
        <v>936</v>
      </c>
      <c r="D650" s="52"/>
    </row>
    <row r="651" spans="1:4">
      <c r="A651" s="61"/>
      <c r="B651" s="116"/>
      <c r="C651" s="52" t="s">
        <v>937</v>
      </c>
      <c r="D651" s="52"/>
    </row>
    <row r="652" spans="1:4">
      <c r="A652" s="61"/>
      <c r="B652" s="116"/>
      <c r="C652" s="52" t="s">
        <v>938</v>
      </c>
      <c r="D652" s="52"/>
    </row>
    <row r="653" spans="1:4">
      <c r="A653" s="61"/>
      <c r="B653" s="116"/>
      <c r="C653" s="52" t="s">
        <v>203</v>
      </c>
      <c r="D653" s="52"/>
    </row>
    <row r="654" spans="1:4">
      <c r="A654" s="68"/>
      <c r="B654" s="68" t="s">
        <v>187</v>
      </c>
      <c r="C654" s="54" t="s">
        <v>939</v>
      </c>
      <c r="D654" s="54"/>
    </row>
    <row r="655" spans="1:4">
      <c r="A655" s="69"/>
      <c r="B655" s="69"/>
      <c r="C655" s="54" t="s">
        <v>940</v>
      </c>
      <c r="D655" s="54"/>
    </row>
    <row r="656" spans="1:4">
      <c r="A656" s="61"/>
      <c r="B656" s="116" t="s">
        <v>22</v>
      </c>
      <c r="C656" s="52" t="s">
        <v>37</v>
      </c>
      <c r="D656" s="52"/>
    </row>
    <row r="657" spans="1:6">
      <c r="A657" s="61"/>
      <c r="B657" s="116"/>
      <c r="C657" s="52" t="s">
        <v>941</v>
      </c>
      <c r="D657" s="52"/>
    </row>
    <row r="658" spans="1:6">
      <c r="A658" s="68"/>
      <c r="B658" s="68" t="s">
        <v>942</v>
      </c>
      <c r="C658" s="54" t="s">
        <v>943</v>
      </c>
      <c r="D658" s="54"/>
    </row>
    <row r="659" spans="1:6">
      <c r="A659" s="69"/>
      <c r="B659" s="69"/>
      <c r="C659" s="54" t="s">
        <v>944</v>
      </c>
      <c r="D659" s="54"/>
    </row>
    <row r="660" spans="1:6">
      <c r="A660" s="69"/>
      <c r="B660" s="69"/>
      <c r="C660" s="54" t="s">
        <v>945</v>
      </c>
      <c r="D660" s="54"/>
    </row>
    <row r="661" spans="1:6">
      <c r="A661" s="69"/>
      <c r="B661" s="69"/>
      <c r="C661" s="54" t="s">
        <v>946</v>
      </c>
      <c r="D661" s="54"/>
    </row>
    <row r="662" spans="1:6">
      <c r="A662" s="69"/>
      <c r="B662" s="69"/>
      <c r="C662" s="54" t="s">
        <v>947</v>
      </c>
      <c r="D662" s="54"/>
    </row>
    <row r="663" spans="1:6">
      <c r="A663" s="69"/>
      <c r="B663" s="69"/>
      <c r="C663" s="54" t="s">
        <v>948</v>
      </c>
      <c r="D663" s="54"/>
    </row>
    <row r="664" spans="1:6">
      <c r="A664" s="69"/>
      <c r="B664" s="69"/>
      <c r="C664" s="54" t="s">
        <v>203</v>
      </c>
      <c r="D664" s="54"/>
    </row>
    <row r="665" spans="1:6">
      <c r="A665" s="70"/>
      <c r="B665" s="70"/>
      <c r="C665" s="54" t="s">
        <v>949</v>
      </c>
      <c r="D665" s="54"/>
    </row>
    <row r="666" spans="1:6">
      <c r="A666" s="61"/>
      <c r="B666" s="116" t="s">
        <v>950</v>
      </c>
      <c r="C666" s="52" t="s">
        <v>951</v>
      </c>
      <c r="D666" s="52"/>
    </row>
    <row r="667" spans="1:6">
      <c r="A667" s="61"/>
      <c r="B667" s="116"/>
      <c r="C667" s="52" t="s">
        <v>952</v>
      </c>
      <c r="D667" s="52"/>
      <c r="F667" s="8"/>
    </row>
    <row r="668" spans="1:6">
      <c r="A668" s="68"/>
      <c r="B668" s="68" t="s">
        <v>953</v>
      </c>
      <c r="C668" s="54" t="s">
        <v>954</v>
      </c>
      <c r="D668" s="54"/>
    </row>
    <row r="669" spans="1:6">
      <c r="A669" s="69"/>
      <c r="B669" s="69"/>
      <c r="C669" s="54" t="s">
        <v>955</v>
      </c>
      <c r="D669" s="54"/>
    </row>
    <row r="670" spans="1:6">
      <c r="A670" s="69"/>
      <c r="B670" s="69"/>
      <c r="C670" s="54" t="s">
        <v>956</v>
      </c>
      <c r="D670" s="54"/>
    </row>
    <row r="671" spans="1:6">
      <c r="A671" s="69"/>
      <c r="B671" s="69"/>
      <c r="C671" s="54" t="s">
        <v>957</v>
      </c>
      <c r="D671" s="54"/>
    </row>
    <row r="672" spans="1:6">
      <c r="A672" s="69"/>
      <c r="B672" s="69"/>
      <c r="C672" s="54" t="s">
        <v>958</v>
      </c>
      <c r="D672" s="54"/>
    </row>
    <row r="673" spans="1:4">
      <c r="A673" s="69"/>
      <c r="B673" s="69"/>
      <c r="C673" s="54" t="s">
        <v>959</v>
      </c>
      <c r="D673" s="54"/>
    </row>
    <row r="674" spans="1:4">
      <c r="A674" s="69"/>
      <c r="B674" s="69"/>
      <c r="C674" s="54" t="s">
        <v>960</v>
      </c>
      <c r="D674" s="54"/>
    </row>
    <row r="675" spans="1:4">
      <c r="A675" s="69"/>
      <c r="B675" s="69"/>
      <c r="C675" s="54" t="s">
        <v>961</v>
      </c>
      <c r="D675" s="54"/>
    </row>
    <row r="676" spans="1:4">
      <c r="A676" s="69"/>
      <c r="B676" s="69"/>
      <c r="C676" s="54" t="s">
        <v>962</v>
      </c>
      <c r="D676" s="54"/>
    </row>
    <row r="677" spans="1:4">
      <c r="A677" s="69"/>
      <c r="B677" s="69"/>
      <c r="C677" s="54" t="s">
        <v>963</v>
      </c>
      <c r="D677" s="54"/>
    </row>
    <row r="678" spans="1:4">
      <c r="A678" s="69"/>
      <c r="B678" s="69"/>
      <c r="C678" s="54" t="s">
        <v>613</v>
      </c>
      <c r="D678" s="54"/>
    </row>
    <row r="679" spans="1:4">
      <c r="A679" s="70"/>
      <c r="B679" s="70"/>
      <c r="C679" s="54" t="s">
        <v>949</v>
      </c>
      <c r="D679" s="54"/>
    </row>
    <row r="680" spans="1:4">
      <c r="A680" s="90"/>
      <c r="B680" s="90" t="s">
        <v>964</v>
      </c>
      <c r="C680" s="52" t="s">
        <v>943</v>
      </c>
      <c r="D680" s="52"/>
    </row>
    <row r="681" spans="1:4">
      <c r="A681" s="92"/>
      <c r="B681" s="92"/>
      <c r="C681" s="52" t="s">
        <v>944</v>
      </c>
      <c r="D681" s="52"/>
    </row>
    <row r="682" spans="1:4">
      <c r="A682" s="92"/>
      <c r="B682" s="92"/>
      <c r="C682" s="52" t="s">
        <v>945</v>
      </c>
      <c r="D682" s="52"/>
    </row>
    <row r="683" spans="1:4">
      <c r="A683" s="92"/>
      <c r="B683" s="92"/>
      <c r="C683" s="52" t="s">
        <v>946</v>
      </c>
      <c r="D683" s="52"/>
    </row>
    <row r="684" spans="1:4">
      <c r="A684" s="92"/>
      <c r="B684" s="92"/>
      <c r="C684" s="52" t="s">
        <v>947</v>
      </c>
      <c r="D684" s="52"/>
    </row>
    <row r="685" spans="1:4">
      <c r="A685" s="92"/>
      <c r="B685" s="92"/>
      <c r="C685" s="52" t="s">
        <v>948</v>
      </c>
      <c r="D685" s="52"/>
    </row>
    <row r="686" spans="1:4">
      <c r="A686" s="92"/>
      <c r="B686" s="92"/>
      <c r="C686" s="52" t="s">
        <v>203</v>
      </c>
      <c r="D686" s="52"/>
    </row>
    <row r="687" spans="1:4">
      <c r="A687" s="92"/>
      <c r="B687" s="92"/>
      <c r="C687" s="52" t="s">
        <v>949</v>
      </c>
      <c r="D687" s="52"/>
    </row>
    <row r="688" spans="1:4">
      <c r="A688" s="68"/>
      <c r="B688" s="65" t="s">
        <v>965</v>
      </c>
      <c r="C688" s="54" t="s">
        <v>966</v>
      </c>
      <c r="D688" s="54"/>
    </row>
    <row r="689" spans="1:4">
      <c r="A689" s="69"/>
      <c r="B689" s="67"/>
      <c r="C689" s="54" t="s">
        <v>967</v>
      </c>
      <c r="D689" s="54"/>
    </row>
    <row r="690" spans="1:4">
      <c r="A690" s="90"/>
      <c r="B690" s="90" t="s">
        <v>968</v>
      </c>
      <c r="C690" s="52" t="s">
        <v>969</v>
      </c>
      <c r="D690" s="52"/>
    </row>
    <row r="691" spans="1:4">
      <c r="A691" s="92"/>
      <c r="B691" s="92"/>
      <c r="C691" s="52" t="s">
        <v>970</v>
      </c>
      <c r="D691" s="52"/>
    </row>
    <row r="692" spans="1:4">
      <c r="A692" s="68"/>
      <c r="B692" s="68" t="s">
        <v>971</v>
      </c>
      <c r="C692" s="54" t="s">
        <v>972</v>
      </c>
      <c r="D692" s="54"/>
    </row>
    <row r="693" spans="1:4">
      <c r="A693" s="69"/>
      <c r="B693" s="69"/>
      <c r="C693" s="54" t="s">
        <v>790</v>
      </c>
      <c r="D693" s="54"/>
    </row>
    <row r="694" spans="1:4">
      <c r="A694" s="69"/>
      <c r="B694" s="69"/>
      <c r="C694" s="54" t="s">
        <v>973</v>
      </c>
      <c r="D694" s="54"/>
    </row>
    <row r="695" spans="1:4">
      <c r="A695" s="69"/>
      <c r="B695" s="69"/>
      <c r="C695" s="54" t="s">
        <v>974</v>
      </c>
      <c r="D695" s="54"/>
    </row>
    <row r="696" spans="1:4">
      <c r="A696" s="69"/>
      <c r="B696" s="69"/>
      <c r="C696" s="54" t="s">
        <v>975</v>
      </c>
      <c r="D696" s="54"/>
    </row>
    <row r="697" spans="1:4">
      <c r="A697" s="69"/>
      <c r="B697" s="69"/>
      <c r="C697" s="54" t="s">
        <v>185</v>
      </c>
      <c r="D697" s="54"/>
    </row>
    <row r="698" spans="1:4">
      <c r="A698" s="69"/>
      <c r="B698" s="69"/>
      <c r="C698" s="54" t="s">
        <v>976</v>
      </c>
      <c r="D698" s="54"/>
    </row>
    <row r="699" spans="1:4">
      <c r="A699" s="69"/>
      <c r="B699" s="69"/>
      <c r="C699" s="54" t="s">
        <v>977</v>
      </c>
      <c r="D699" s="54"/>
    </row>
    <row r="700" spans="1:4">
      <c r="A700" s="69"/>
      <c r="B700" s="69"/>
      <c r="C700" s="54" t="s">
        <v>203</v>
      </c>
      <c r="D700" s="54"/>
    </row>
    <row r="701" spans="1:4">
      <c r="A701" s="90"/>
      <c r="B701" s="90" t="s">
        <v>978</v>
      </c>
      <c r="C701" s="52" t="s">
        <v>479</v>
      </c>
      <c r="D701" s="52"/>
    </row>
    <row r="702" spans="1:4">
      <c r="A702" s="92"/>
      <c r="B702" s="92"/>
      <c r="C702" s="52" t="s">
        <v>480</v>
      </c>
      <c r="D702" s="52"/>
    </row>
    <row r="703" spans="1:4">
      <c r="A703" s="92"/>
      <c r="B703" s="92"/>
      <c r="C703" s="52" t="s">
        <v>481</v>
      </c>
      <c r="D703" s="52"/>
    </row>
    <row r="704" spans="1:4">
      <c r="A704" s="92"/>
      <c r="B704" s="92"/>
      <c r="C704" s="52" t="s">
        <v>482</v>
      </c>
      <c r="D704" s="52"/>
    </row>
    <row r="705" spans="1:5">
      <c r="A705" s="92"/>
      <c r="B705" s="92"/>
      <c r="C705" s="52" t="s">
        <v>483</v>
      </c>
      <c r="D705" s="52"/>
    </row>
    <row r="706" spans="1:5">
      <c r="A706" s="92"/>
      <c r="B706" s="92"/>
      <c r="C706" s="52" t="s">
        <v>484</v>
      </c>
      <c r="D706" s="52"/>
    </row>
    <row r="707" spans="1:5">
      <c r="A707" s="92"/>
      <c r="B707" s="92"/>
      <c r="C707" s="52" t="s">
        <v>486</v>
      </c>
      <c r="D707" s="52"/>
    </row>
    <row r="708" spans="1:5">
      <c r="A708" s="92"/>
      <c r="B708" s="92"/>
      <c r="C708" s="52" t="s">
        <v>487</v>
      </c>
      <c r="D708" s="52"/>
    </row>
    <row r="709" spans="1:5">
      <c r="A709" s="92"/>
      <c r="B709" s="92"/>
      <c r="C709" s="52" t="s">
        <v>488</v>
      </c>
      <c r="D709" s="52"/>
    </row>
    <row r="710" spans="1:5">
      <c r="A710" s="92"/>
      <c r="B710" s="92"/>
      <c r="C710" s="52" t="s">
        <v>489</v>
      </c>
      <c r="D710" s="52"/>
    </row>
    <row r="711" spans="1:5">
      <c r="A711" s="92"/>
      <c r="B711" s="92"/>
      <c r="C711" s="52" t="s">
        <v>490</v>
      </c>
      <c r="D711" s="52"/>
    </row>
    <row r="712" spans="1:5">
      <c r="A712" s="92"/>
      <c r="B712" s="92"/>
      <c r="C712" s="52" t="s">
        <v>491</v>
      </c>
      <c r="D712" s="52"/>
    </row>
    <row r="713" spans="1:5">
      <c r="A713" s="92"/>
      <c r="B713" s="92"/>
      <c r="C713" s="52" t="s">
        <v>492</v>
      </c>
      <c r="D713" s="52"/>
    </row>
    <row r="714" spans="1:5">
      <c r="A714" s="92"/>
      <c r="B714" s="92"/>
      <c r="C714" s="52" t="s">
        <v>493</v>
      </c>
      <c r="D714" s="52"/>
    </row>
    <row r="715" spans="1:5">
      <c r="A715" s="92"/>
      <c r="B715" s="92"/>
      <c r="C715" s="52" t="s">
        <v>494</v>
      </c>
      <c r="D715" s="52"/>
    </row>
    <row r="716" spans="1:5">
      <c r="A716" s="92"/>
      <c r="B716" s="92"/>
      <c r="C716" s="52" t="s">
        <v>495</v>
      </c>
      <c r="D716" s="52" t="s">
        <v>496</v>
      </c>
      <c r="E716" t="s">
        <v>264</v>
      </c>
    </row>
    <row r="717" spans="1:5">
      <c r="A717" s="92"/>
      <c r="B717" s="92"/>
      <c r="C717" s="52" t="s">
        <v>497</v>
      </c>
      <c r="D717" s="52"/>
    </row>
    <row r="718" spans="1:5">
      <c r="A718" s="92"/>
      <c r="B718" s="92"/>
      <c r="C718" s="52" t="s">
        <v>498</v>
      </c>
      <c r="D718" s="52"/>
    </row>
    <row r="719" spans="1:5">
      <c r="A719" s="92"/>
      <c r="B719" s="92"/>
      <c r="C719" s="52" t="s">
        <v>499</v>
      </c>
      <c r="D719" s="52"/>
    </row>
    <row r="720" spans="1:5">
      <c r="A720" s="92"/>
      <c r="B720" s="92"/>
      <c r="C720" s="52" t="s">
        <v>500</v>
      </c>
      <c r="D720" s="52"/>
    </row>
    <row r="721" spans="1:4">
      <c r="A721" s="92"/>
      <c r="B721" s="92"/>
      <c r="C721" s="52" t="s">
        <v>501</v>
      </c>
      <c r="D721" s="52"/>
    </row>
    <row r="722" spans="1:4">
      <c r="A722" s="92"/>
      <c r="B722" s="92"/>
      <c r="C722" s="52" t="s">
        <v>502</v>
      </c>
      <c r="D722" s="52"/>
    </row>
    <row r="723" spans="1:4">
      <c r="A723" s="92"/>
      <c r="B723" s="92"/>
      <c r="C723" s="52" t="s">
        <v>503</v>
      </c>
      <c r="D723" s="52"/>
    </row>
    <row r="724" spans="1:4">
      <c r="A724" s="92"/>
      <c r="B724" s="92"/>
      <c r="C724" s="52" t="s">
        <v>504</v>
      </c>
      <c r="D724" s="52"/>
    </row>
    <row r="725" spans="1:4">
      <c r="A725" s="92"/>
      <c r="B725" s="92"/>
      <c r="C725" s="52" t="s">
        <v>505</v>
      </c>
      <c r="D725" s="52"/>
    </row>
    <row r="726" spans="1:4">
      <c r="A726" s="92"/>
      <c r="B726" s="92"/>
      <c r="C726" s="52" t="s">
        <v>506</v>
      </c>
      <c r="D726" s="52"/>
    </row>
    <row r="727" spans="1:4">
      <c r="A727" s="92"/>
      <c r="B727" s="92"/>
      <c r="C727" s="52" t="s">
        <v>507</v>
      </c>
      <c r="D727" s="52"/>
    </row>
    <row r="728" spans="1:4">
      <c r="A728" s="92"/>
      <c r="B728" s="92"/>
      <c r="C728" s="52" t="s">
        <v>508</v>
      </c>
      <c r="D728" s="52"/>
    </row>
    <row r="729" spans="1:4">
      <c r="A729" s="92"/>
      <c r="B729" s="92"/>
      <c r="C729" s="52" t="s">
        <v>509</v>
      </c>
      <c r="D729" s="52"/>
    </row>
    <row r="730" spans="1:4">
      <c r="A730" s="92"/>
      <c r="B730" s="92"/>
      <c r="C730" s="52" t="s">
        <v>510</v>
      </c>
      <c r="D730" s="52"/>
    </row>
    <row r="731" spans="1:4">
      <c r="A731" s="92"/>
      <c r="B731" s="92"/>
      <c r="C731" s="52" t="s">
        <v>511</v>
      </c>
      <c r="D731" s="52"/>
    </row>
    <row r="732" spans="1:4">
      <c r="A732" s="92"/>
      <c r="B732" s="92"/>
      <c r="C732" s="52" t="s">
        <v>512</v>
      </c>
      <c r="D732" s="52"/>
    </row>
    <row r="733" spans="1:4">
      <c r="A733" s="92"/>
      <c r="B733" s="92"/>
      <c r="C733" s="52" t="s">
        <v>513</v>
      </c>
      <c r="D733" s="52"/>
    </row>
    <row r="734" spans="1:4">
      <c r="A734" s="92"/>
      <c r="B734" s="92"/>
      <c r="C734" s="52" t="s">
        <v>514</v>
      </c>
      <c r="D734" s="52"/>
    </row>
    <row r="735" spans="1:4">
      <c r="A735" s="92"/>
      <c r="B735" s="92"/>
      <c r="C735" s="52" t="s">
        <v>515</v>
      </c>
      <c r="D735" s="52"/>
    </row>
    <row r="736" spans="1:4">
      <c r="A736" s="92"/>
      <c r="B736" s="92"/>
      <c r="C736" s="52" t="s">
        <v>516</v>
      </c>
      <c r="D736" s="52"/>
    </row>
    <row r="737" spans="1:4">
      <c r="A737" s="92"/>
      <c r="B737" s="92"/>
      <c r="C737" s="52" t="s">
        <v>517</v>
      </c>
      <c r="D737" s="52"/>
    </row>
    <row r="738" spans="1:4">
      <c r="A738" s="92"/>
      <c r="B738" s="92"/>
      <c r="C738" s="52" t="s">
        <v>518</v>
      </c>
      <c r="D738" s="52"/>
    </row>
    <row r="739" spans="1:4">
      <c r="A739" s="92"/>
      <c r="B739" s="92"/>
      <c r="C739" s="52" t="s">
        <v>519</v>
      </c>
      <c r="D739" s="52"/>
    </row>
    <row r="740" spans="1:4">
      <c r="A740" s="92"/>
      <c r="B740" s="92"/>
      <c r="C740" s="52" t="s">
        <v>520</v>
      </c>
      <c r="D740" s="52"/>
    </row>
    <row r="741" spans="1:4">
      <c r="A741" s="92"/>
      <c r="B741" s="92"/>
      <c r="C741" s="52" t="s">
        <v>521</v>
      </c>
      <c r="D741" s="52"/>
    </row>
    <row r="742" spans="1:4">
      <c r="A742" s="92"/>
      <c r="B742" s="92"/>
      <c r="C742" s="52" t="s">
        <v>522</v>
      </c>
      <c r="D742" s="52"/>
    </row>
    <row r="743" spans="1:4">
      <c r="A743" s="92"/>
      <c r="B743" s="92"/>
      <c r="C743" s="52" t="s">
        <v>523</v>
      </c>
      <c r="D743" s="52"/>
    </row>
    <row r="744" spans="1:4">
      <c r="A744" s="92"/>
      <c r="B744" s="92"/>
      <c r="C744" s="52" t="s">
        <v>524</v>
      </c>
      <c r="D744" s="52"/>
    </row>
    <row r="745" spans="1:4">
      <c r="A745" s="92"/>
      <c r="B745" s="92"/>
      <c r="C745" s="52" t="s">
        <v>525</v>
      </c>
      <c r="D745" s="52"/>
    </row>
    <row r="746" spans="1:4">
      <c r="A746" s="92"/>
      <c r="B746" s="92"/>
      <c r="C746" s="52" t="s">
        <v>526</v>
      </c>
      <c r="D746" s="52"/>
    </row>
    <row r="747" spans="1:4">
      <c r="A747" s="92"/>
      <c r="B747" s="92"/>
      <c r="C747" s="52" t="s">
        <v>527</v>
      </c>
      <c r="D747" s="52"/>
    </row>
    <row r="748" spans="1:4">
      <c r="A748" s="92"/>
      <c r="B748" s="92"/>
      <c r="C748" s="52" t="s">
        <v>528</v>
      </c>
      <c r="D748" s="52"/>
    </row>
    <row r="749" spans="1:4">
      <c r="A749" s="92"/>
      <c r="B749" s="92"/>
      <c r="C749" s="52" t="s">
        <v>529</v>
      </c>
      <c r="D749" s="52"/>
    </row>
    <row r="750" spans="1:4">
      <c r="A750" s="92"/>
      <c r="B750" s="92"/>
      <c r="C750" s="52" t="s">
        <v>31</v>
      </c>
      <c r="D750" s="52"/>
    </row>
    <row r="751" spans="1:4">
      <c r="A751" s="92"/>
      <c r="B751" s="92"/>
      <c r="C751" s="52" t="s">
        <v>257</v>
      </c>
      <c r="D751" s="52"/>
    </row>
    <row r="752" spans="1:4">
      <c r="A752" s="92"/>
      <c r="B752" s="92"/>
      <c r="C752" s="52" t="s">
        <v>258</v>
      </c>
      <c r="D752" s="52"/>
    </row>
    <row r="753" spans="1:4">
      <c r="A753" s="92"/>
      <c r="B753" s="92"/>
      <c r="C753" s="52" t="s">
        <v>259</v>
      </c>
      <c r="D753" s="52"/>
    </row>
    <row r="754" spans="1:4">
      <c r="A754" s="92"/>
      <c r="B754" s="92"/>
      <c r="C754" s="52" t="s">
        <v>260</v>
      </c>
      <c r="D754" s="52"/>
    </row>
    <row r="755" spans="1:4">
      <c r="A755" s="92"/>
      <c r="B755" s="92"/>
      <c r="C755" s="52" t="s">
        <v>261</v>
      </c>
      <c r="D755" s="52"/>
    </row>
    <row r="756" spans="1:4">
      <c r="A756" s="92"/>
      <c r="B756" s="92"/>
      <c r="C756" s="52" t="s">
        <v>262</v>
      </c>
      <c r="D756" s="52"/>
    </row>
    <row r="757" spans="1:4">
      <c r="A757" s="92"/>
      <c r="B757" s="92"/>
      <c r="C757" s="52" t="s">
        <v>263</v>
      </c>
      <c r="D757" s="52"/>
    </row>
    <row r="758" spans="1:4">
      <c r="A758" s="92"/>
      <c r="B758" s="92"/>
      <c r="C758" s="52" t="s">
        <v>265</v>
      </c>
      <c r="D758" s="52"/>
    </row>
    <row r="759" spans="1:4">
      <c r="A759" s="92"/>
      <c r="B759" s="92"/>
      <c r="C759" s="52" t="s">
        <v>266</v>
      </c>
      <c r="D759" s="52"/>
    </row>
    <row r="760" spans="1:4">
      <c r="A760" s="92"/>
      <c r="B760" s="92"/>
      <c r="C760" s="52" t="s">
        <v>267</v>
      </c>
      <c r="D760" s="52"/>
    </row>
    <row r="761" spans="1:4">
      <c r="A761" s="92"/>
      <c r="B761" s="92"/>
      <c r="C761" s="52" t="s">
        <v>268</v>
      </c>
      <c r="D761" s="52"/>
    </row>
    <row r="762" spans="1:4">
      <c r="A762" s="92"/>
      <c r="B762" s="92"/>
      <c r="C762" s="52" t="s">
        <v>269</v>
      </c>
      <c r="D762" s="52"/>
    </row>
    <row r="763" spans="1:4">
      <c r="A763" s="92"/>
      <c r="B763" s="92"/>
      <c r="C763" s="52" t="s">
        <v>270</v>
      </c>
      <c r="D763" s="52"/>
    </row>
    <row r="764" spans="1:4">
      <c r="A764" s="92"/>
      <c r="B764" s="92"/>
      <c r="C764" s="52" t="s">
        <v>271</v>
      </c>
      <c r="D764" s="52"/>
    </row>
    <row r="765" spans="1:4">
      <c r="A765" s="92"/>
      <c r="B765" s="92"/>
      <c r="C765" s="52" t="s">
        <v>272</v>
      </c>
      <c r="D765" s="52"/>
    </row>
    <row r="766" spans="1:4">
      <c r="A766" s="92"/>
      <c r="B766" s="92"/>
      <c r="C766" s="52" t="s">
        <v>273</v>
      </c>
      <c r="D766" s="52"/>
    </row>
    <row r="767" spans="1:4">
      <c r="A767" s="92"/>
      <c r="B767" s="92"/>
      <c r="C767" s="52" t="s">
        <v>95</v>
      </c>
      <c r="D767" s="52"/>
    </row>
    <row r="768" spans="1:4">
      <c r="A768" s="92"/>
      <c r="B768" s="92"/>
      <c r="C768" s="52" t="s">
        <v>274</v>
      </c>
      <c r="D768" s="52"/>
    </row>
    <row r="769" spans="1:5">
      <c r="A769" s="92"/>
      <c r="B769" s="92"/>
      <c r="C769" s="52" t="s">
        <v>275</v>
      </c>
      <c r="D769" s="52"/>
    </row>
    <row r="770" spans="1:5">
      <c r="A770" s="92"/>
      <c r="B770" s="92"/>
      <c r="C770" s="52" t="s">
        <v>276</v>
      </c>
      <c r="D770" s="52"/>
    </row>
    <row r="771" spans="1:5">
      <c r="A771" s="92"/>
      <c r="B771" s="92"/>
      <c r="C771" s="52" t="s">
        <v>277</v>
      </c>
      <c r="D771" s="52"/>
    </row>
    <row r="772" spans="1:5">
      <c r="A772" s="92"/>
      <c r="B772" s="92"/>
      <c r="C772" s="52" t="s">
        <v>278</v>
      </c>
      <c r="D772" s="52"/>
    </row>
    <row r="773" spans="1:5">
      <c r="A773" s="92"/>
      <c r="B773" s="92"/>
      <c r="C773" s="52" t="s">
        <v>279</v>
      </c>
      <c r="D773" s="52"/>
    </row>
    <row r="774" spans="1:5">
      <c r="A774" s="92"/>
      <c r="B774" s="92"/>
      <c r="C774" s="52" t="s">
        <v>280</v>
      </c>
      <c r="D774" s="52"/>
    </row>
    <row r="775" spans="1:5">
      <c r="A775" s="92"/>
      <c r="B775" s="92"/>
      <c r="C775" s="52" t="s">
        <v>281</v>
      </c>
      <c r="D775" s="52"/>
    </row>
    <row r="776" spans="1:5">
      <c r="A776" s="92"/>
      <c r="B776" s="92"/>
      <c r="C776" s="52" t="s">
        <v>282</v>
      </c>
      <c r="D776" s="52"/>
    </row>
    <row r="777" spans="1:5">
      <c r="A777" s="92"/>
      <c r="B777" s="92"/>
      <c r="C777" s="52" t="s">
        <v>283</v>
      </c>
      <c r="D777" s="52"/>
    </row>
    <row r="778" spans="1:5">
      <c r="A778" s="92"/>
      <c r="B778" s="92"/>
      <c r="C778" s="52" t="s">
        <v>284</v>
      </c>
      <c r="D778" s="52"/>
    </row>
    <row r="779" spans="1:5">
      <c r="A779" s="92"/>
      <c r="B779" s="92"/>
      <c r="C779" s="52" t="s">
        <v>285</v>
      </c>
      <c r="D779" s="52"/>
    </row>
    <row r="780" spans="1:5">
      <c r="A780" s="92"/>
      <c r="B780" s="92"/>
      <c r="C780" s="52" t="s">
        <v>286</v>
      </c>
      <c r="D780" s="52"/>
    </row>
    <row r="781" spans="1:5">
      <c r="A781" s="92"/>
      <c r="B781" s="92"/>
      <c r="C781" s="52" t="s">
        <v>287</v>
      </c>
      <c r="D781" s="52"/>
    </row>
    <row r="782" spans="1:5">
      <c r="A782" s="92"/>
      <c r="B782" s="92"/>
      <c r="C782" s="52" t="s">
        <v>288</v>
      </c>
      <c r="D782" s="52"/>
      <c r="E782" t="s">
        <v>264</v>
      </c>
    </row>
    <row r="783" spans="1:5">
      <c r="A783" s="92"/>
      <c r="B783" s="92"/>
      <c r="C783" s="52" t="s">
        <v>289</v>
      </c>
      <c r="D783" s="52"/>
      <c r="E783" t="s">
        <v>264</v>
      </c>
    </row>
    <row r="784" spans="1:5">
      <c r="A784" s="92"/>
      <c r="B784" s="92"/>
      <c r="C784" s="52" t="s">
        <v>292</v>
      </c>
      <c r="D784" s="52"/>
      <c r="E784" t="s">
        <v>264</v>
      </c>
    </row>
    <row r="785" spans="1:5">
      <c r="A785" s="92"/>
      <c r="B785" s="92"/>
      <c r="C785" s="52" t="s">
        <v>293</v>
      </c>
      <c r="D785" s="52"/>
    </row>
    <row r="786" spans="1:5">
      <c r="A786" s="92"/>
      <c r="B786" s="92"/>
      <c r="C786" s="52" t="s">
        <v>294</v>
      </c>
      <c r="D786" s="52"/>
    </row>
    <row r="787" spans="1:5">
      <c r="A787" s="92"/>
      <c r="B787" s="92"/>
      <c r="C787" s="52" t="s">
        <v>295</v>
      </c>
      <c r="D787" s="52"/>
    </row>
    <row r="788" spans="1:5">
      <c r="A788" s="92"/>
      <c r="B788" s="92"/>
      <c r="C788" s="52" t="s">
        <v>296</v>
      </c>
      <c r="D788" s="52"/>
    </row>
    <row r="789" spans="1:5">
      <c r="A789" s="92"/>
      <c r="B789" s="92"/>
      <c r="C789" s="52" t="s">
        <v>297</v>
      </c>
      <c r="D789" s="52"/>
    </row>
    <row r="790" spans="1:5">
      <c r="A790" s="92"/>
      <c r="B790" s="92"/>
      <c r="C790" s="52" t="s">
        <v>298</v>
      </c>
      <c r="D790" s="52"/>
      <c r="E790" t="s">
        <v>264</v>
      </c>
    </row>
    <row r="791" spans="1:5">
      <c r="A791" s="92"/>
      <c r="B791" s="92"/>
      <c r="C791" s="52" t="s">
        <v>299</v>
      </c>
      <c r="D791" s="52"/>
    </row>
    <row r="792" spans="1:5">
      <c r="A792" s="92"/>
      <c r="B792" s="92"/>
      <c r="C792" s="52" t="s">
        <v>300</v>
      </c>
      <c r="D792" s="52"/>
    </row>
    <row r="793" spans="1:5">
      <c r="A793" s="92"/>
      <c r="B793" s="92"/>
      <c r="C793" s="52" t="s">
        <v>301</v>
      </c>
      <c r="D793" s="52"/>
    </row>
    <row r="794" spans="1:5">
      <c r="A794" s="92"/>
      <c r="B794" s="92"/>
      <c r="C794" s="52" t="s">
        <v>979</v>
      </c>
      <c r="D794" s="52"/>
    </row>
    <row r="795" spans="1:5">
      <c r="A795" s="92"/>
      <c r="B795" s="92"/>
      <c r="C795" s="52" t="s">
        <v>302</v>
      </c>
      <c r="D795" s="52"/>
    </row>
    <row r="796" spans="1:5">
      <c r="A796" s="92"/>
      <c r="B796" s="92"/>
      <c r="C796" s="52" t="s">
        <v>303</v>
      </c>
      <c r="D796" s="52"/>
    </row>
    <row r="797" spans="1:5">
      <c r="A797" s="92"/>
      <c r="B797" s="92"/>
      <c r="C797" s="52" t="s">
        <v>304</v>
      </c>
      <c r="D797" s="52"/>
    </row>
    <row r="798" spans="1:5">
      <c r="A798" s="92"/>
      <c r="B798" s="92"/>
      <c r="C798" s="52" t="s">
        <v>305</v>
      </c>
      <c r="D798" s="52"/>
    </row>
    <row r="799" spans="1:5">
      <c r="A799" s="92"/>
      <c r="B799" s="92"/>
      <c r="C799" s="52" t="s">
        <v>306</v>
      </c>
      <c r="D799" s="52"/>
    </row>
    <row r="800" spans="1:5">
      <c r="A800" s="92"/>
      <c r="B800" s="92"/>
      <c r="C800" s="52" t="s">
        <v>307</v>
      </c>
      <c r="D800" s="52"/>
    </row>
    <row r="801" spans="1:5">
      <c r="A801" s="92"/>
      <c r="B801" s="92"/>
      <c r="C801" s="52" t="s">
        <v>308</v>
      </c>
      <c r="D801" s="52"/>
    </row>
    <row r="802" spans="1:5">
      <c r="A802" s="92"/>
      <c r="B802" s="92"/>
      <c r="C802" s="52" t="s">
        <v>309</v>
      </c>
      <c r="D802" s="52"/>
    </row>
    <row r="803" spans="1:5">
      <c r="A803" s="92"/>
      <c r="B803" s="92"/>
      <c r="C803" s="52" t="s">
        <v>310</v>
      </c>
      <c r="D803" s="52"/>
    </row>
    <row r="804" spans="1:5">
      <c r="A804" s="92"/>
      <c r="B804" s="92"/>
      <c r="C804" s="52" t="s">
        <v>311</v>
      </c>
      <c r="D804" s="52"/>
    </row>
    <row r="805" spans="1:5">
      <c r="A805" s="92"/>
      <c r="B805" s="92"/>
      <c r="C805" s="52" t="s">
        <v>312</v>
      </c>
      <c r="D805" s="52"/>
    </row>
    <row r="806" spans="1:5">
      <c r="A806" s="92"/>
      <c r="B806" s="92"/>
      <c r="C806" s="52" t="s">
        <v>313</v>
      </c>
      <c r="D806" s="52"/>
    </row>
    <row r="807" spans="1:5">
      <c r="A807" s="92"/>
      <c r="B807" s="92"/>
      <c r="C807" s="52" t="s">
        <v>314</v>
      </c>
      <c r="D807" s="52"/>
    </row>
    <row r="808" spans="1:5">
      <c r="A808" s="92"/>
      <c r="B808" s="92"/>
      <c r="C808" s="52" t="s">
        <v>316</v>
      </c>
      <c r="D808" s="52"/>
    </row>
    <row r="809" spans="1:5">
      <c r="A809" s="92"/>
      <c r="B809" s="92"/>
      <c r="C809" s="52" t="s">
        <v>315</v>
      </c>
      <c r="D809" s="52"/>
      <c r="E809" t="s">
        <v>264</v>
      </c>
    </row>
    <row r="810" spans="1:5">
      <c r="A810" s="92"/>
      <c r="B810" s="92"/>
      <c r="C810" s="52" t="s">
        <v>317</v>
      </c>
      <c r="D810" s="52"/>
    </row>
    <row r="811" spans="1:5">
      <c r="A811" s="92"/>
      <c r="B811" s="92"/>
      <c r="C811" s="52" t="s">
        <v>318</v>
      </c>
      <c r="D811" s="52"/>
    </row>
    <row r="812" spans="1:5">
      <c r="A812" s="92"/>
      <c r="B812" s="92"/>
      <c r="C812" s="52" t="s">
        <v>319</v>
      </c>
      <c r="D812" s="52"/>
    </row>
    <row r="813" spans="1:5">
      <c r="A813" s="92"/>
      <c r="B813" s="92"/>
      <c r="C813" s="52" t="s">
        <v>320</v>
      </c>
      <c r="D813" s="52"/>
    </row>
    <row r="814" spans="1:5">
      <c r="A814" s="92"/>
      <c r="B814" s="92"/>
      <c r="C814" s="52" t="s">
        <v>321</v>
      </c>
      <c r="D814" s="52"/>
    </row>
    <row r="815" spans="1:5">
      <c r="A815" s="92"/>
      <c r="B815" s="92"/>
      <c r="C815" s="52" t="s">
        <v>322</v>
      </c>
      <c r="D815" s="52"/>
    </row>
    <row r="816" spans="1:5">
      <c r="A816" s="92"/>
      <c r="B816" s="92"/>
      <c r="C816" s="52" t="s">
        <v>323</v>
      </c>
      <c r="D816" s="52"/>
    </row>
    <row r="817" spans="1:4">
      <c r="A817" s="92"/>
      <c r="B817" s="92"/>
      <c r="C817" s="52" t="s">
        <v>324</v>
      </c>
      <c r="D817" s="52"/>
    </row>
    <row r="818" spans="1:4">
      <c r="A818" s="92"/>
      <c r="B818" s="92"/>
      <c r="C818" s="52" t="s">
        <v>325</v>
      </c>
      <c r="D818" s="52"/>
    </row>
    <row r="819" spans="1:4">
      <c r="A819" s="92"/>
      <c r="B819" s="92"/>
      <c r="C819" s="52" t="s">
        <v>326</v>
      </c>
      <c r="D819" s="52"/>
    </row>
    <row r="820" spans="1:4">
      <c r="A820" s="92"/>
      <c r="B820" s="92"/>
      <c r="C820" s="52" t="s">
        <v>327</v>
      </c>
      <c r="D820" s="52"/>
    </row>
    <row r="821" spans="1:4">
      <c r="A821" s="92"/>
      <c r="B821" s="92"/>
      <c r="C821" s="52" t="s">
        <v>328</v>
      </c>
      <c r="D821" s="52"/>
    </row>
    <row r="822" spans="1:4">
      <c r="A822" s="92"/>
      <c r="B822" s="92"/>
      <c r="C822" s="52" t="s">
        <v>329</v>
      </c>
      <c r="D822" s="52"/>
    </row>
    <row r="823" spans="1:4">
      <c r="A823" s="92"/>
      <c r="B823" s="92"/>
      <c r="C823" s="52" t="s">
        <v>330</v>
      </c>
      <c r="D823" s="52"/>
    </row>
    <row r="824" spans="1:4">
      <c r="A824" s="92"/>
      <c r="B824" s="92"/>
      <c r="C824" s="52" t="s">
        <v>331</v>
      </c>
      <c r="D824" s="52"/>
    </row>
    <row r="825" spans="1:4">
      <c r="A825" s="92"/>
      <c r="B825" s="92"/>
      <c r="C825" s="52" t="s">
        <v>332</v>
      </c>
      <c r="D825" s="52"/>
    </row>
    <row r="826" spans="1:4">
      <c r="A826" s="92"/>
      <c r="B826" s="92"/>
      <c r="C826" s="52" t="s">
        <v>333</v>
      </c>
      <c r="D826" s="52"/>
    </row>
    <row r="827" spans="1:4">
      <c r="A827" s="92"/>
      <c r="B827" s="92"/>
      <c r="C827" s="52" t="s">
        <v>334</v>
      </c>
      <c r="D827" s="52"/>
    </row>
    <row r="828" spans="1:4">
      <c r="A828" s="92"/>
      <c r="B828" s="92"/>
      <c r="C828" s="52" t="s">
        <v>335</v>
      </c>
      <c r="D828" s="52"/>
    </row>
    <row r="829" spans="1:4">
      <c r="A829" s="92"/>
      <c r="B829" s="92"/>
      <c r="C829" s="52" t="s">
        <v>336</v>
      </c>
      <c r="D829" s="52"/>
    </row>
    <row r="830" spans="1:4">
      <c r="A830" s="92"/>
      <c r="B830" s="92"/>
      <c r="C830" s="52" t="s">
        <v>337</v>
      </c>
      <c r="D830" s="52"/>
    </row>
    <row r="831" spans="1:4">
      <c r="A831" s="92"/>
      <c r="B831" s="92"/>
      <c r="C831" s="52" t="s">
        <v>980</v>
      </c>
      <c r="D831" s="124" t="s">
        <v>981</v>
      </c>
    </row>
    <row r="832" spans="1:4">
      <c r="A832" s="92"/>
      <c r="B832" s="92"/>
      <c r="C832" s="52" t="s">
        <v>982</v>
      </c>
      <c r="D832" s="124" t="s">
        <v>349</v>
      </c>
    </row>
    <row r="833" spans="1:4">
      <c r="A833" s="92"/>
      <c r="B833" s="92"/>
      <c r="C833" s="52" t="s">
        <v>983</v>
      </c>
      <c r="D833" s="124" t="s">
        <v>349</v>
      </c>
    </row>
    <row r="834" spans="1:4" ht="15">
      <c r="A834" s="92"/>
      <c r="B834" s="92"/>
      <c r="C834" s="52" t="s">
        <v>984</v>
      </c>
      <c r="D834" s="122"/>
    </row>
    <row r="835" spans="1:4">
      <c r="A835" s="92"/>
      <c r="B835" s="92"/>
      <c r="C835" s="52" t="s">
        <v>345</v>
      </c>
      <c r="D835" s="52"/>
    </row>
    <row r="836" spans="1:4">
      <c r="A836" s="92"/>
      <c r="B836" s="92"/>
      <c r="C836" s="52" t="s">
        <v>340</v>
      </c>
      <c r="D836" s="52"/>
    </row>
    <row r="837" spans="1:4">
      <c r="A837" s="92"/>
      <c r="B837" s="92"/>
      <c r="C837" s="52" t="s">
        <v>341</v>
      </c>
      <c r="D837" s="52"/>
    </row>
    <row r="838" spans="1:4">
      <c r="A838" s="92"/>
      <c r="B838" s="92"/>
      <c r="C838" s="52" t="s">
        <v>338</v>
      </c>
      <c r="D838" s="52"/>
    </row>
    <row r="839" spans="1:4">
      <c r="A839" s="92"/>
      <c r="B839" s="92"/>
      <c r="C839" s="52" t="s">
        <v>342</v>
      </c>
      <c r="D839" s="52"/>
    </row>
    <row r="840" spans="1:4">
      <c r="A840" s="92"/>
      <c r="B840" s="92"/>
      <c r="C840" s="52" t="s">
        <v>339</v>
      </c>
      <c r="D840" s="52"/>
    </row>
    <row r="841" spans="1:4">
      <c r="A841" s="92"/>
      <c r="B841" s="92"/>
      <c r="C841" s="52" t="s">
        <v>343</v>
      </c>
      <c r="D841" s="52"/>
    </row>
    <row r="842" spans="1:4">
      <c r="A842" s="92"/>
      <c r="B842" s="92"/>
      <c r="C842" s="52" t="s">
        <v>985</v>
      </c>
      <c r="D842" s="52"/>
    </row>
    <row r="843" spans="1:4">
      <c r="A843" s="92"/>
      <c r="B843" s="92"/>
      <c r="C843" s="52" t="s">
        <v>986</v>
      </c>
      <c r="D843" s="52"/>
    </row>
    <row r="844" spans="1:4">
      <c r="A844" s="92"/>
      <c r="B844" s="92"/>
      <c r="C844" s="52" t="s">
        <v>987</v>
      </c>
      <c r="D844" s="52"/>
    </row>
    <row r="845" spans="1:4">
      <c r="A845" s="92"/>
      <c r="B845" s="92"/>
      <c r="C845" s="52" t="s">
        <v>988</v>
      </c>
      <c r="D845" s="52"/>
    </row>
    <row r="846" spans="1:4">
      <c r="A846" s="92"/>
      <c r="B846" s="92"/>
      <c r="C846" s="52" t="s">
        <v>989</v>
      </c>
      <c r="D846" s="52"/>
    </row>
    <row r="847" spans="1:4">
      <c r="A847" s="92"/>
      <c r="B847" s="92"/>
      <c r="C847" s="52" t="s">
        <v>990</v>
      </c>
      <c r="D847" s="52"/>
    </row>
    <row r="848" spans="1:4">
      <c r="A848" s="92"/>
      <c r="B848" s="92"/>
      <c r="C848" s="52" t="s">
        <v>991</v>
      </c>
      <c r="D848" s="52"/>
    </row>
    <row r="849" spans="1:4">
      <c r="A849" s="92"/>
      <c r="B849" s="92"/>
      <c r="C849" s="52" t="s">
        <v>992</v>
      </c>
      <c r="D849" s="52"/>
    </row>
    <row r="850" spans="1:4">
      <c r="A850" s="92"/>
      <c r="B850" s="92"/>
      <c r="C850" s="52" t="s">
        <v>203</v>
      </c>
      <c r="D850" s="52"/>
    </row>
    <row r="851" spans="1:4">
      <c r="A851" s="65" t="s">
        <v>993</v>
      </c>
      <c r="B851" s="65"/>
      <c r="C851" s="54" t="s">
        <v>386</v>
      </c>
      <c r="D851" s="54"/>
    </row>
    <row r="852" spans="1:4">
      <c r="A852" s="66"/>
      <c r="B852" s="66"/>
      <c r="C852" s="54" t="s">
        <v>164</v>
      </c>
      <c r="D852" s="54"/>
    </row>
    <row r="853" spans="1:4">
      <c r="A853" s="92" t="s">
        <v>994</v>
      </c>
      <c r="B853" s="92" t="s">
        <v>5</v>
      </c>
      <c r="C853" s="52" t="s">
        <v>995</v>
      </c>
      <c r="D853" s="52"/>
    </row>
    <row r="854" spans="1:4">
      <c r="A854" s="92"/>
      <c r="B854" s="92"/>
      <c r="C854" s="52" t="s">
        <v>996</v>
      </c>
      <c r="D854" s="52"/>
    </row>
    <row r="855" spans="1:4">
      <c r="A855" s="92"/>
      <c r="B855" s="92"/>
      <c r="C855" s="52" t="s">
        <v>997</v>
      </c>
      <c r="D855" s="52"/>
    </row>
    <row r="856" spans="1:4">
      <c r="A856" s="92"/>
      <c r="B856" s="92"/>
      <c r="C856" s="52" t="s">
        <v>998</v>
      </c>
      <c r="D856" s="52"/>
    </row>
    <row r="857" spans="1:4">
      <c r="A857" s="92"/>
      <c r="B857" s="92"/>
      <c r="C857" s="52" t="s">
        <v>999</v>
      </c>
      <c r="D857" s="52"/>
    </row>
    <row r="858" spans="1:4">
      <c r="A858" s="92"/>
      <c r="B858" s="92"/>
      <c r="C858" s="52" t="s">
        <v>1000</v>
      </c>
      <c r="D858" s="52"/>
    </row>
    <row r="859" spans="1:4">
      <c r="A859" s="92"/>
      <c r="B859" s="92"/>
      <c r="C859" s="52" t="s">
        <v>1001</v>
      </c>
      <c r="D859" s="52"/>
    </row>
    <row r="860" spans="1:4">
      <c r="A860" s="92"/>
      <c r="B860" s="92"/>
      <c r="C860" s="52" t="s">
        <v>1002</v>
      </c>
      <c r="D860" s="52"/>
    </row>
    <row r="861" spans="1:4">
      <c r="A861" s="92"/>
      <c r="B861" s="92"/>
      <c r="C861" s="52" t="s">
        <v>1003</v>
      </c>
      <c r="D861" s="52"/>
    </row>
    <row r="862" spans="1:4">
      <c r="A862" s="65" t="s">
        <v>1004</v>
      </c>
      <c r="B862" s="65" t="s">
        <v>5</v>
      </c>
      <c r="C862" s="54" t="s">
        <v>44</v>
      </c>
      <c r="D862" s="54"/>
    </row>
    <row r="863" spans="1:4">
      <c r="A863" s="66"/>
      <c r="B863" s="66"/>
      <c r="C863" s="54" t="s">
        <v>1005</v>
      </c>
      <c r="D863" s="54"/>
    </row>
    <row r="864" spans="1:4">
      <c r="A864" s="66"/>
      <c r="B864" s="66"/>
      <c r="C864" s="54" t="s">
        <v>58</v>
      </c>
      <c r="D864" s="54"/>
    </row>
    <row r="865" spans="1:4">
      <c r="A865" s="66"/>
      <c r="B865" s="66"/>
      <c r="C865" s="54" t="s">
        <v>126</v>
      </c>
      <c r="D865" s="54"/>
    </row>
    <row r="866" spans="1:4">
      <c r="A866" s="66"/>
      <c r="B866" s="66"/>
      <c r="C866" s="54" t="s">
        <v>93</v>
      </c>
      <c r="D866" s="54"/>
    </row>
    <row r="867" spans="1:4">
      <c r="A867" s="66"/>
      <c r="B867" s="66"/>
      <c r="C867" s="54" t="s">
        <v>1006</v>
      </c>
      <c r="D867" s="54"/>
    </row>
    <row r="868" spans="1:4">
      <c r="A868" s="66"/>
      <c r="B868" s="66"/>
      <c r="C868" s="54" t="s">
        <v>30</v>
      </c>
      <c r="D868" s="54"/>
    </row>
    <row r="869" spans="1:4">
      <c r="A869" s="66"/>
      <c r="B869" s="66"/>
      <c r="C869" s="54" t="s">
        <v>1007</v>
      </c>
      <c r="D869" s="54"/>
    </row>
    <row r="870" spans="1:4">
      <c r="A870" s="92" t="s">
        <v>1008</v>
      </c>
      <c r="B870" s="92" t="s">
        <v>5</v>
      </c>
      <c r="C870" s="52" t="s">
        <v>44</v>
      </c>
      <c r="D870" s="52"/>
    </row>
    <row r="871" spans="1:4">
      <c r="A871" s="92"/>
      <c r="B871" s="92"/>
      <c r="C871" s="52" t="s">
        <v>58</v>
      </c>
      <c r="D871" s="52"/>
    </row>
    <row r="872" spans="1:4">
      <c r="A872" s="92"/>
      <c r="B872" s="92"/>
      <c r="C872" s="52" t="s">
        <v>93</v>
      </c>
      <c r="D872" s="52"/>
    </row>
    <row r="873" spans="1:4">
      <c r="A873" s="92"/>
      <c r="B873" s="92"/>
      <c r="C873" s="52" t="s">
        <v>203</v>
      </c>
      <c r="D873" s="52"/>
    </row>
    <row r="874" spans="1:4">
      <c r="A874" s="65" t="s">
        <v>1009</v>
      </c>
      <c r="B874" s="65" t="s">
        <v>5</v>
      </c>
      <c r="C874" s="54" t="s">
        <v>1010</v>
      </c>
      <c r="D874" s="54"/>
    </row>
    <row r="875" spans="1:4">
      <c r="A875" s="66"/>
      <c r="B875" s="66"/>
      <c r="C875" s="54" t="s">
        <v>219</v>
      </c>
      <c r="D875" s="54"/>
    </row>
    <row r="876" spans="1:4">
      <c r="A876" s="66"/>
      <c r="B876" s="66"/>
      <c r="C876" s="54" t="s">
        <v>214</v>
      </c>
      <c r="D876" s="54"/>
    </row>
    <row r="877" spans="1:4">
      <c r="A877" s="66"/>
      <c r="B877" s="66"/>
      <c r="C877" s="54" t="s">
        <v>800</v>
      </c>
      <c r="D877" s="54"/>
    </row>
    <row r="878" spans="1:4">
      <c r="A878" s="66"/>
      <c r="B878" s="66"/>
      <c r="C878" s="54" t="s">
        <v>1011</v>
      </c>
      <c r="D878" s="54"/>
    </row>
    <row r="879" spans="1:4">
      <c r="A879" s="66"/>
      <c r="B879" s="66"/>
      <c r="C879" s="54" t="s">
        <v>1012</v>
      </c>
      <c r="D879" s="54"/>
    </row>
    <row r="880" spans="1:4">
      <c r="A880" s="66"/>
      <c r="B880" s="66"/>
      <c r="C880" s="54" t="s">
        <v>1013</v>
      </c>
      <c r="D880" s="54"/>
    </row>
    <row r="881" spans="1:5">
      <c r="A881" s="66"/>
      <c r="B881" s="66"/>
      <c r="C881" s="54" t="s">
        <v>1014</v>
      </c>
      <c r="D881" s="54"/>
    </row>
    <row r="882" spans="1:5">
      <c r="A882" s="66"/>
      <c r="B882" s="66"/>
      <c r="C882" s="54" t="s">
        <v>1015</v>
      </c>
      <c r="D882" s="54" t="s">
        <v>1015</v>
      </c>
      <c r="E882" t="s">
        <v>264</v>
      </c>
    </row>
    <row r="883" spans="1:5">
      <c r="A883" s="67"/>
      <c r="B883" s="67"/>
      <c r="C883" s="54" t="s">
        <v>203</v>
      </c>
      <c r="D883" s="54"/>
    </row>
    <row r="884" spans="1:5">
      <c r="A884" s="81" t="s">
        <v>1016</v>
      </c>
      <c r="B884" s="81" t="s">
        <v>5</v>
      </c>
      <c r="C884" s="52" t="s">
        <v>975</v>
      </c>
      <c r="D884" s="52"/>
    </row>
    <row r="885" spans="1:5">
      <c r="A885" s="82"/>
      <c r="B885" s="82"/>
      <c r="C885" s="52" t="s">
        <v>1017</v>
      </c>
      <c r="D885" s="52"/>
    </row>
    <row r="886" spans="1:5">
      <c r="A886" s="82"/>
      <c r="B886" s="82"/>
      <c r="C886" s="52" t="s">
        <v>1018</v>
      </c>
      <c r="D886" s="52"/>
    </row>
    <row r="887" spans="1:5">
      <c r="A887" s="82"/>
      <c r="B887" s="82"/>
      <c r="C887" s="52" t="s">
        <v>1019</v>
      </c>
      <c r="D887" s="52"/>
    </row>
    <row r="888" spans="1:5">
      <c r="A888" s="82"/>
      <c r="B888" s="82"/>
      <c r="C888" s="52" t="s">
        <v>1020</v>
      </c>
      <c r="D888" s="52"/>
    </row>
    <row r="889" spans="1:5">
      <c r="A889" s="82"/>
      <c r="B889" s="82"/>
      <c r="C889" s="52" t="s">
        <v>1021</v>
      </c>
      <c r="D889" s="52" t="s">
        <v>1022</v>
      </c>
    </row>
    <row r="890" spans="1:5">
      <c r="A890" s="82"/>
      <c r="B890" s="82"/>
      <c r="C890" s="52" t="s">
        <v>1023</v>
      </c>
      <c r="D890" s="52"/>
    </row>
    <row r="891" spans="1:5">
      <c r="A891" s="65" t="s">
        <v>516</v>
      </c>
      <c r="B891" s="65" t="s">
        <v>5</v>
      </c>
      <c r="C891" s="54" t="s">
        <v>1024</v>
      </c>
      <c r="D891" s="54"/>
    </row>
    <row r="892" spans="1:5">
      <c r="A892" s="66"/>
      <c r="B892" s="66"/>
      <c r="C892" s="54" t="s">
        <v>1025</v>
      </c>
      <c r="D892" s="54"/>
    </row>
    <row r="893" spans="1:5">
      <c r="A893" s="66"/>
      <c r="B893" s="66"/>
      <c r="C893" s="54" t="s">
        <v>1026</v>
      </c>
      <c r="D893" s="54"/>
    </row>
    <row r="894" spans="1:5">
      <c r="A894" s="66"/>
      <c r="B894" s="66"/>
      <c r="C894" s="54" t="s">
        <v>1027</v>
      </c>
      <c r="D894" s="54"/>
    </row>
    <row r="895" spans="1:5">
      <c r="A895" s="66"/>
      <c r="B895" s="66"/>
      <c r="C895" s="54" t="s">
        <v>1028</v>
      </c>
      <c r="D895" s="54"/>
    </row>
    <row r="896" spans="1:5">
      <c r="A896" s="66"/>
      <c r="B896" s="66"/>
      <c r="C896" s="54" t="s">
        <v>203</v>
      </c>
      <c r="D896" s="54"/>
    </row>
    <row r="897" spans="1:4">
      <c r="A897" s="81" t="s">
        <v>1029</v>
      </c>
      <c r="B897" s="81" t="s">
        <v>5</v>
      </c>
      <c r="C897" s="52" t="s">
        <v>1030</v>
      </c>
      <c r="D897" s="52"/>
    </row>
    <row r="898" spans="1:4">
      <c r="A898" s="82"/>
      <c r="B898" s="82"/>
      <c r="C898" s="52" t="s">
        <v>1031</v>
      </c>
      <c r="D898" s="52"/>
    </row>
    <row r="899" spans="1:4">
      <c r="A899" s="82"/>
      <c r="B899" s="82"/>
      <c r="C899" s="52" t="s">
        <v>975</v>
      </c>
      <c r="D899" s="52"/>
    </row>
    <row r="900" spans="1:4">
      <c r="A900" s="82"/>
      <c r="B900" s="82"/>
      <c r="C900" s="52" t="s">
        <v>203</v>
      </c>
      <c r="D900" s="52"/>
    </row>
    <row r="901" spans="1:4">
      <c r="A901" s="65" t="s">
        <v>1032</v>
      </c>
      <c r="B901" s="65" t="s">
        <v>5</v>
      </c>
      <c r="C901" s="54" t="s">
        <v>1033</v>
      </c>
      <c r="D901" s="54"/>
    </row>
    <row r="902" spans="1:4">
      <c r="A902" s="66"/>
      <c r="B902" s="66"/>
      <c r="C902" s="54" t="s">
        <v>1034</v>
      </c>
      <c r="D902" s="54"/>
    </row>
    <row r="903" spans="1:4">
      <c r="A903" s="66"/>
      <c r="B903" s="66"/>
      <c r="C903" s="54" t="s">
        <v>791</v>
      </c>
      <c r="D903" s="54"/>
    </row>
    <row r="904" spans="1:4">
      <c r="A904" s="66"/>
      <c r="B904" s="66"/>
      <c r="C904" s="54" t="s">
        <v>1035</v>
      </c>
      <c r="D904" s="54"/>
    </row>
    <row r="905" spans="1:4">
      <c r="A905" s="66"/>
      <c r="B905" s="66"/>
      <c r="C905" s="54" t="s">
        <v>1036</v>
      </c>
      <c r="D905" s="54"/>
    </row>
    <row r="906" spans="1:4">
      <c r="A906" s="91" t="s">
        <v>1037</v>
      </c>
      <c r="B906" s="91" t="s">
        <v>5</v>
      </c>
      <c r="C906" s="57" t="s">
        <v>1038</v>
      </c>
      <c r="D906" s="57"/>
    </row>
    <row r="907" spans="1:4">
      <c r="A907" s="92"/>
      <c r="B907" s="92"/>
      <c r="C907" s="57" t="s">
        <v>1039</v>
      </c>
      <c r="D907" s="57"/>
    </row>
    <row r="908" spans="1:4">
      <c r="A908" s="92"/>
      <c r="B908" s="92"/>
      <c r="C908" s="52" t="s">
        <v>1040</v>
      </c>
      <c r="D908" s="52"/>
    </row>
    <row r="909" spans="1:4">
      <c r="A909" s="92"/>
      <c r="B909" s="92"/>
      <c r="C909" s="52" t="s">
        <v>1041</v>
      </c>
      <c r="D909" s="52"/>
    </row>
    <row r="910" spans="1:4">
      <c r="A910" s="92"/>
      <c r="B910" s="92"/>
      <c r="C910" s="52" t="s">
        <v>1042</v>
      </c>
      <c r="D910" s="52"/>
    </row>
    <row r="911" spans="1:4">
      <c r="A911" s="92"/>
      <c r="B911" s="92"/>
      <c r="C911" s="52" t="s">
        <v>1043</v>
      </c>
      <c r="D911" s="52"/>
    </row>
    <row r="912" spans="1:4">
      <c r="A912" s="87" t="s">
        <v>1044</v>
      </c>
      <c r="B912" s="87" t="s">
        <v>5</v>
      </c>
      <c r="C912" s="59" t="s">
        <v>44</v>
      </c>
      <c r="D912" s="59"/>
    </row>
    <row r="913" spans="1:5">
      <c r="A913" s="69"/>
      <c r="B913" s="69"/>
      <c r="C913" s="59" t="s">
        <v>1005</v>
      </c>
      <c r="D913" s="59"/>
    </row>
    <row r="914" spans="1:5">
      <c r="A914" s="69"/>
      <c r="B914" s="69"/>
      <c r="C914" s="54" t="s">
        <v>58</v>
      </c>
      <c r="D914" s="54"/>
    </row>
    <row r="915" spans="1:5">
      <c r="A915" s="69"/>
      <c r="B915" s="69"/>
      <c r="C915" s="54" t="s">
        <v>126</v>
      </c>
      <c r="D915" s="54"/>
    </row>
    <row r="916" spans="1:5">
      <c r="A916" s="69"/>
      <c r="B916" s="69"/>
      <c r="C916" s="54" t="s">
        <v>93</v>
      </c>
      <c r="D916" s="54"/>
    </row>
    <row r="917" spans="1:5">
      <c r="A917" s="69"/>
      <c r="B917" s="69"/>
      <c r="C917" s="54" t="s">
        <v>1006</v>
      </c>
      <c r="D917" s="54"/>
    </row>
    <row r="918" spans="1:5">
      <c r="A918" s="69"/>
      <c r="B918" s="69"/>
      <c r="C918" s="59" t="s">
        <v>30</v>
      </c>
      <c r="D918" s="59"/>
    </row>
    <row r="919" spans="1:5">
      <c r="A919" s="69"/>
      <c r="B919" s="69"/>
      <c r="C919" s="59" t="s">
        <v>1007</v>
      </c>
      <c r="D919" s="59"/>
    </row>
    <row r="920" spans="1:5" ht="15">
      <c r="A920" s="91" t="s">
        <v>1045</v>
      </c>
      <c r="B920" s="91" t="s">
        <v>5</v>
      </c>
      <c r="C920" s="57" t="s">
        <v>1046</v>
      </c>
      <c r="D920" s="57"/>
      <c r="E920" s="58"/>
    </row>
    <row r="921" spans="1:5" ht="15">
      <c r="A921" s="92"/>
      <c r="B921" s="92"/>
      <c r="C921" s="57" t="s">
        <v>1047</v>
      </c>
      <c r="D921" s="57"/>
      <c r="E921" s="58"/>
    </row>
    <row r="922" spans="1:5" ht="15">
      <c r="A922" s="92"/>
      <c r="B922" s="92"/>
      <c r="C922" s="52" t="s">
        <v>1048</v>
      </c>
      <c r="D922" s="52"/>
      <c r="E922" s="58"/>
    </row>
    <row r="923" spans="1:5" ht="15">
      <c r="A923" s="92"/>
      <c r="B923" s="92"/>
      <c r="C923" s="52" t="s">
        <v>1049</v>
      </c>
      <c r="D923" s="52"/>
      <c r="E923" s="58"/>
    </row>
    <row r="924" spans="1:5" ht="15">
      <c r="A924" s="92"/>
      <c r="B924" s="92"/>
      <c r="C924" s="52" t="s">
        <v>1050</v>
      </c>
      <c r="D924" s="52"/>
      <c r="E924" s="58"/>
    </row>
    <row r="925" spans="1:5">
      <c r="A925" s="92"/>
      <c r="B925" s="92"/>
      <c r="C925" s="52" t="s">
        <v>203</v>
      </c>
      <c r="D925" s="52"/>
    </row>
    <row r="926" spans="1:5">
      <c r="A926" s="87" t="s">
        <v>1051</v>
      </c>
      <c r="B926" s="87" t="s">
        <v>5</v>
      </c>
      <c r="C926" s="54" t="s">
        <v>1052</v>
      </c>
      <c r="D926" s="54"/>
    </row>
    <row r="927" spans="1:5">
      <c r="A927" s="69"/>
      <c r="B927" s="69"/>
      <c r="C927" s="54" t="s">
        <v>1053</v>
      </c>
      <c r="D927" s="54"/>
    </row>
    <row r="928" spans="1:5">
      <c r="A928" s="69"/>
      <c r="B928" s="69"/>
      <c r="C928" s="54" t="s">
        <v>1054</v>
      </c>
      <c r="D928" s="54"/>
    </row>
    <row r="929" spans="1:5">
      <c r="A929" s="88" t="s">
        <v>1055</v>
      </c>
      <c r="B929" s="88" t="s">
        <v>5</v>
      </c>
      <c r="C929" s="57" t="s">
        <v>1056</v>
      </c>
      <c r="D929" s="57"/>
    </row>
    <row r="930" spans="1:5">
      <c r="A930" s="89"/>
      <c r="B930" s="89"/>
      <c r="C930" s="57" t="s">
        <v>219</v>
      </c>
      <c r="D930" s="57"/>
    </row>
    <row r="931" spans="1:5">
      <c r="A931" s="89"/>
      <c r="B931" s="89"/>
      <c r="C931" s="52" t="s">
        <v>1010</v>
      </c>
      <c r="D931" s="52"/>
    </row>
    <row r="932" spans="1:5">
      <c r="A932" s="89"/>
      <c r="B932" s="89"/>
      <c r="C932" s="52" t="s">
        <v>214</v>
      </c>
      <c r="D932" s="52"/>
    </row>
    <row r="933" spans="1:5">
      <c r="A933" s="89"/>
      <c r="B933" s="89"/>
      <c r="C933" s="52" t="s">
        <v>203</v>
      </c>
      <c r="D933" s="52"/>
    </row>
    <row r="934" spans="1:5">
      <c r="A934" s="95" t="s">
        <v>1057</v>
      </c>
      <c r="B934" s="95" t="s">
        <v>5</v>
      </c>
      <c r="C934" s="59" t="s">
        <v>1010</v>
      </c>
      <c r="D934" s="59"/>
    </row>
    <row r="935" spans="1:5">
      <c r="A935" s="96"/>
      <c r="B935" s="96"/>
      <c r="C935" s="59" t="s">
        <v>219</v>
      </c>
      <c r="D935" s="59"/>
    </row>
    <row r="936" spans="1:5">
      <c r="A936" s="96"/>
      <c r="B936" s="96"/>
      <c r="C936" s="54" t="s">
        <v>214</v>
      </c>
      <c r="D936" s="54"/>
    </row>
    <row r="937" spans="1:5">
      <c r="A937" s="96"/>
      <c r="B937" s="96"/>
      <c r="C937" s="54" t="s">
        <v>800</v>
      </c>
      <c r="D937" s="54"/>
    </row>
    <row r="938" spans="1:5">
      <c r="A938" s="96"/>
      <c r="B938" s="96"/>
      <c r="C938" s="54" t="s">
        <v>1058</v>
      </c>
      <c r="D938" s="54"/>
    </row>
    <row r="939" spans="1:5">
      <c r="A939" s="96"/>
      <c r="B939" s="96"/>
      <c r="C939" s="59" t="s">
        <v>1058</v>
      </c>
      <c r="D939" s="59"/>
    </row>
    <row r="940" spans="1:5">
      <c r="A940" s="96"/>
      <c r="B940" s="96"/>
      <c r="C940" s="59" t="s">
        <v>1012</v>
      </c>
      <c r="D940" s="59"/>
    </row>
    <row r="941" spans="1:5">
      <c r="A941" s="96"/>
      <c r="B941" s="96"/>
      <c r="C941" s="54" t="s">
        <v>1013</v>
      </c>
      <c r="D941" s="54"/>
    </row>
    <row r="942" spans="1:5">
      <c r="A942" s="96"/>
      <c r="B942" s="96"/>
      <c r="C942" s="59" t="s">
        <v>1014</v>
      </c>
      <c r="D942" s="59"/>
    </row>
    <row r="943" spans="1:5">
      <c r="A943" s="96"/>
      <c r="B943" s="96"/>
      <c r="C943" s="59" t="s">
        <v>1056</v>
      </c>
      <c r="D943" s="59"/>
    </row>
    <row r="944" spans="1:5">
      <c r="A944" s="96"/>
      <c r="B944" s="96"/>
      <c r="C944" s="54" t="s">
        <v>1059</v>
      </c>
      <c r="D944" s="54" t="s">
        <v>1059</v>
      </c>
      <c r="E944" t="s">
        <v>264</v>
      </c>
    </row>
    <row r="945" spans="1:4">
      <c r="A945" s="120"/>
      <c r="B945" s="120"/>
      <c r="C945" s="54" t="s">
        <v>203</v>
      </c>
      <c r="D945" s="54"/>
    </row>
    <row r="946" spans="1:4" ht="14.25" customHeight="1">
      <c r="A946" s="88" t="s">
        <v>1060</v>
      </c>
      <c r="B946" s="88" t="s">
        <v>5</v>
      </c>
      <c r="C946" s="57" t="s">
        <v>1061</v>
      </c>
      <c r="D946" s="57"/>
    </row>
    <row r="947" spans="1:4">
      <c r="A947" s="89"/>
      <c r="B947" s="89"/>
      <c r="C947" s="57" t="s">
        <v>1062</v>
      </c>
      <c r="D947" s="57"/>
    </row>
    <row r="948" spans="1:4">
      <c r="A948" s="89"/>
      <c r="B948" s="89"/>
      <c r="C948" s="52" t="s">
        <v>1063</v>
      </c>
      <c r="D948" s="52"/>
    </row>
    <row r="949" spans="1:4">
      <c r="A949" s="89"/>
      <c r="B949" s="89"/>
      <c r="C949" s="52" t="s">
        <v>1064</v>
      </c>
      <c r="D949" s="52"/>
    </row>
    <row r="950" spans="1:4">
      <c r="A950" s="89"/>
      <c r="B950" s="89"/>
      <c r="C950" s="52" t="s">
        <v>1065</v>
      </c>
      <c r="D950" s="52"/>
    </row>
    <row r="951" spans="1:4">
      <c r="A951" s="89"/>
      <c r="B951" s="89"/>
      <c r="C951" s="57" t="s">
        <v>810</v>
      </c>
      <c r="D951" s="57"/>
    </row>
    <row r="952" spans="1:4">
      <c r="A952" s="89"/>
      <c r="B952" s="89"/>
      <c r="C952" s="57" t="s">
        <v>1056</v>
      </c>
      <c r="D952" s="57"/>
    </row>
    <row r="953" spans="1:4">
      <c r="A953" s="89"/>
      <c r="B953" s="89"/>
      <c r="C953" s="52" t="s">
        <v>1066</v>
      </c>
      <c r="D953" s="52" t="s">
        <v>1067</v>
      </c>
    </row>
    <row r="954" spans="1:4">
      <c r="A954" s="89"/>
      <c r="B954" s="89"/>
      <c r="C954" s="52" t="s">
        <v>1021</v>
      </c>
      <c r="D954" s="52" t="s">
        <v>1022</v>
      </c>
    </row>
    <row r="955" spans="1:4">
      <c r="A955" s="89"/>
      <c r="B955" s="89"/>
      <c r="C955" s="52" t="s">
        <v>203</v>
      </c>
      <c r="D955" s="52"/>
    </row>
    <row r="956" spans="1:4">
      <c r="A956" s="95" t="s">
        <v>818</v>
      </c>
      <c r="B956" s="95" t="s">
        <v>5</v>
      </c>
      <c r="C956" s="54" t="s">
        <v>1068</v>
      </c>
      <c r="D956" s="54"/>
    </row>
    <row r="957" spans="1:4">
      <c r="A957" s="96"/>
      <c r="B957" s="96"/>
      <c r="C957" s="54" t="s">
        <v>1069</v>
      </c>
      <c r="D957" s="54"/>
    </row>
    <row r="958" spans="1:4">
      <c r="A958" s="96"/>
      <c r="B958" s="96"/>
      <c r="C958" s="54" t="s">
        <v>1070</v>
      </c>
      <c r="D958" s="54"/>
    </row>
    <row r="959" spans="1:4">
      <c r="A959" s="96"/>
      <c r="B959" s="96"/>
      <c r="C959" s="54" t="s">
        <v>1071</v>
      </c>
      <c r="D959" s="54"/>
    </row>
    <row r="960" spans="1:4">
      <c r="A960" s="96"/>
      <c r="B960" s="96"/>
      <c r="C960" s="54" t="s">
        <v>1072</v>
      </c>
      <c r="D960" s="54"/>
    </row>
    <row r="961" spans="1:5">
      <c r="A961" s="96"/>
      <c r="B961" s="96"/>
      <c r="C961" s="54" t="s">
        <v>1073</v>
      </c>
      <c r="D961" s="54"/>
    </row>
    <row r="962" spans="1:5">
      <c r="A962" s="96"/>
      <c r="B962" s="96"/>
      <c r="C962" s="54" t="s">
        <v>1074</v>
      </c>
      <c r="D962" s="54"/>
    </row>
    <row r="963" spans="1:5">
      <c r="A963" s="96"/>
      <c r="B963" s="96"/>
      <c r="C963" s="54" t="s">
        <v>899</v>
      </c>
      <c r="D963" s="54"/>
      <c r="E963" t="s">
        <v>264</v>
      </c>
    </row>
    <row r="964" spans="1:5">
      <c r="A964" s="97" t="s">
        <v>1075</v>
      </c>
      <c r="B964" s="88" t="s">
        <v>5</v>
      </c>
      <c r="C964" s="52" t="s">
        <v>1033</v>
      </c>
      <c r="D964" s="52"/>
    </row>
    <row r="965" spans="1:5">
      <c r="A965" s="98"/>
      <c r="B965" s="89"/>
      <c r="C965" s="52" t="s">
        <v>1034</v>
      </c>
      <c r="D965" s="52"/>
    </row>
    <row r="966" spans="1:5">
      <c r="A966" s="98"/>
      <c r="B966" s="89"/>
      <c r="C966" s="52" t="s">
        <v>791</v>
      </c>
      <c r="D966" s="52"/>
    </row>
    <row r="967" spans="1:5">
      <c r="A967" s="98"/>
      <c r="B967" s="89"/>
      <c r="C967" s="52" t="s">
        <v>1035</v>
      </c>
      <c r="D967" s="52"/>
    </row>
    <row r="968" spans="1:5">
      <c r="A968" s="98"/>
      <c r="B968" s="89"/>
      <c r="C968" s="52" t="s">
        <v>1036</v>
      </c>
      <c r="D968" s="52"/>
    </row>
    <row r="969" spans="1:5">
      <c r="A969" s="98"/>
      <c r="B969" s="89"/>
      <c r="C969" s="52" t="s">
        <v>1076</v>
      </c>
      <c r="D969" s="52"/>
      <c r="E969" t="s">
        <v>264</v>
      </c>
    </row>
    <row r="970" spans="1:5">
      <c r="A970" s="99" t="s">
        <v>1077</v>
      </c>
      <c r="B970" s="95" t="s">
        <v>5</v>
      </c>
      <c r="C970" s="54" t="s">
        <v>1078</v>
      </c>
      <c r="D970" s="54"/>
    </row>
    <row r="971" spans="1:5">
      <c r="A971" s="100"/>
      <c r="B971" s="96"/>
      <c r="C971" s="54" t="s">
        <v>1079</v>
      </c>
      <c r="D971" s="54"/>
    </row>
    <row r="972" spans="1:5">
      <c r="A972" s="100"/>
      <c r="B972" s="96"/>
      <c r="C972" s="54" t="s">
        <v>1080</v>
      </c>
      <c r="D972" s="54"/>
    </row>
    <row r="973" spans="1:5">
      <c r="A973" s="100"/>
      <c r="B973" s="96"/>
      <c r="C973" s="54" t="s">
        <v>1081</v>
      </c>
      <c r="D973" s="54"/>
    </row>
    <row r="974" spans="1:5">
      <c r="A974" s="100"/>
      <c r="B974" s="96"/>
      <c r="C974" s="54" t="s">
        <v>1082</v>
      </c>
      <c r="D974" s="54"/>
    </row>
    <row r="975" spans="1:5">
      <c r="A975" s="100"/>
      <c r="B975" s="96"/>
      <c r="C975" s="54" t="s">
        <v>1083</v>
      </c>
      <c r="D975" s="54"/>
    </row>
    <row r="976" spans="1:5">
      <c r="A976" s="121"/>
      <c r="B976" s="120"/>
      <c r="C976" s="54" t="s">
        <v>203</v>
      </c>
      <c r="D976" s="54"/>
    </row>
    <row r="977" spans="1:5">
      <c r="A977" s="88" t="s">
        <v>1084</v>
      </c>
      <c r="B977" s="88" t="s">
        <v>5</v>
      </c>
      <c r="C977" s="52" t="s">
        <v>1085</v>
      </c>
      <c r="D977" s="52"/>
      <c r="E977" t="s">
        <v>1086</v>
      </c>
    </row>
    <row r="978" spans="1:5">
      <c r="A978" s="89"/>
      <c r="B978" s="89"/>
      <c r="C978" s="52" t="s">
        <v>1087</v>
      </c>
      <c r="D978" s="52"/>
    </row>
    <row r="979" spans="1:5">
      <c r="A979" s="89"/>
      <c r="B979" s="89"/>
      <c r="C979" s="52" t="s">
        <v>1088</v>
      </c>
      <c r="D979" s="52"/>
    </row>
    <row r="980" spans="1:5">
      <c r="A980" s="89"/>
      <c r="B980" s="89"/>
      <c r="C980" s="52" t="s">
        <v>1089</v>
      </c>
      <c r="D980" s="52"/>
    </row>
    <row r="981" spans="1:5">
      <c r="A981" s="89"/>
      <c r="B981" s="89"/>
      <c r="C981" s="52" t="s">
        <v>1090</v>
      </c>
      <c r="D981" s="52"/>
    </row>
    <row r="982" spans="1:5">
      <c r="A982" s="89"/>
      <c r="B982" s="89"/>
      <c r="C982" s="52" t="s">
        <v>1091</v>
      </c>
      <c r="D982" s="52"/>
    </row>
    <row r="983" spans="1:5">
      <c r="A983" s="89"/>
      <c r="B983" s="89"/>
      <c r="C983" s="52" t="s">
        <v>1092</v>
      </c>
      <c r="D983" s="52"/>
    </row>
    <row r="984" spans="1:5">
      <c r="A984" s="89"/>
      <c r="B984" s="89"/>
      <c r="C984" s="52" t="s">
        <v>1093</v>
      </c>
      <c r="D984" s="52"/>
    </row>
    <row r="985" spans="1:5">
      <c r="A985" s="89"/>
      <c r="B985" s="89"/>
      <c r="C985" s="52" t="s">
        <v>1094</v>
      </c>
      <c r="D985" s="52" t="s">
        <v>1095</v>
      </c>
      <c r="E985" t="s">
        <v>264</v>
      </c>
    </row>
    <row r="986" spans="1:5">
      <c r="A986" s="99" t="s">
        <v>1096</v>
      </c>
      <c r="B986" s="95" t="s">
        <v>5</v>
      </c>
      <c r="C986" s="54" t="s">
        <v>1038</v>
      </c>
      <c r="D986" s="54"/>
    </row>
    <row r="987" spans="1:5">
      <c r="A987" s="100"/>
      <c r="B987" s="96"/>
      <c r="C987" s="54" t="s">
        <v>1039</v>
      </c>
      <c r="D987" s="54"/>
    </row>
    <row r="988" spans="1:5">
      <c r="A988" s="100"/>
      <c r="B988" s="96"/>
      <c r="C988" s="54" t="s">
        <v>1097</v>
      </c>
      <c r="D988" s="54"/>
    </row>
    <row r="989" spans="1:5">
      <c r="A989" s="100"/>
      <c r="B989" s="96"/>
      <c r="C989" s="54" t="s">
        <v>1098</v>
      </c>
      <c r="D989" s="54"/>
    </row>
    <row r="990" spans="1:5">
      <c r="A990" s="100"/>
      <c r="B990" s="96"/>
      <c r="C990" s="54" t="s">
        <v>1099</v>
      </c>
      <c r="D990" s="54"/>
    </row>
    <row r="991" spans="1:5">
      <c r="A991" s="100"/>
      <c r="B991" s="96"/>
      <c r="C991" s="54" t="s">
        <v>1100</v>
      </c>
      <c r="D991" s="54"/>
    </row>
    <row r="992" spans="1:5">
      <c r="A992" s="88" t="s">
        <v>1101</v>
      </c>
      <c r="B992" s="88" t="s">
        <v>5</v>
      </c>
      <c r="C992" s="52" t="s">
        <v>219</v>
      </c>
      <c r="D992" s="52"/>
    </row>
    <row r="993" spans="1:5">
      <c r="A993" s="89"/>
      <c r="B993" s="89"/>
      <c r="C993" s="52" t="s">
        <v>1010</v>
      </c>
      <c r="D993" s="52"/>
    </row>
    <row r="994" spans="1:5">
      <c r="A994" s="89"/>
      <c r="B994" s="89"/>
      <c r="C994" s="52" t="s">
        <v>1007</v>
      </c>
      <c r="D994" s="52"/>
    </row>
    <row r="995" spans="1:5">
      <c r="A995" s="89"/>
      <c r="B995" s="89"/>
      <c r="C995" s="52" t="s">
        <v>214</v>
      </c>
      <c r="D995" s="52"/>
    </row>
    <row r="996" spans="1:5">
      <c r="A996" s="89"/>
      <c r="B996" s="89"/>
      <c r="C996" s="52" t="s">
        <v>1102</v>
      </c>
      <c r="D996" s="52" t="s">
        <v>1103</v>
      </c>
    </row>
    <row r="997" spans="1:5">
      <c r="A997" s="89"/>
      <c r="B997" s="89"/>
      <c r="C997" s="52" t="s">
        <v>203</v>
      </c>
      <c r="D997" s="52"/>
    </row>
    <row r="998" spans="1:5">
      <c r="A998" s="95" t="s">
        <v>1104</v>
      </c>
      <c r="B998" s="95" t="s">
        <v>5</v>
      </c>
      <c r="C998" s="54" t="s">
        <v>202</v>
      </c>
      <c r="D998" s="54"/>
      <c r="E998" t="s">
        <v>1086</v>
      </c>
    </row>
    <row r="999" spans="1:5">
      <c r="A999" s="96"/>
      <c r="B999" s="96"/>
      <c r="C999" s="54" t="s">
        <v>1105</v>
      </c>
      <c r="D999" s="54"/>
    </row>
    <row r="1000" spans="1:5">
      <c r="A1000" s="88" t="s">
        <v>1106</v>
      </c>
      <c r="B1000" s="88" t="s">
        <v>5</v>
      </c>
      <c r="C1000" s="52" t="s">
        <v>1107</v>
      </c>
      <c r="D1000" s="52"/>
    </row>
    <row r="1001" spans="1:5">
      <c r="A1001" s="89"/>
      <c r="B1001" s="89"/>
      <c r="C1001" s="52" t="s">
        <v>1108</v>
      </c>
      <c r="D1001" s="52"/>
    </row>
    <row r="1002" spans="1:5">
      <c r="A1002" s="89"/>
      <c r="B1002" s="89"/>
      <c r="C1002" s="52" t="s">
        <v>1109</v>
      </c>
      <c r="D1002" s="52"/>
    </row>
    <row r="1003" spans="1:5">
      <c r="A1003" s="89"/>
      <c r="B1003" s="89"/>
      <c r="C1003" s="52" t="s">
        <v>1110</v>
      </c>
      <c r="D1003" s="52"/>
      <c r="E1003" t="s">
        <v>264</v>
      </c>
    </row>
    <row r="1004" spans="1:5">
      <c r="A1004" s="89"/>
      <c r="B1004" s="89"/>
      <c r="C1004" s="52" t="s">
        <v>1111</v>
      </c>
      <c r="D1004" s="52"/>
    </row>
    <row r="1005" spans="1:5">
      <c r="A1005" s="89"/>
      <c r="B1005" s="89"/>
      <c r="C1005" s="52" t="s">
        <v>1112</v>
      </c>
      <c r="D1005" s="52"/>
    </row>
    <row r="1006" spans="1:5">
      <c r="A1006" s="89"/>
      <c r="B1006" s="89"/>
      <c r="C1006" s="52" t="s">
        <v>1113</v>
      </c>
      <c r="D1006" s="52"/>
      <c r="E1006" t="s">
        <v>264</v>
      </c>
    </row>
    <row r="1007" spans="1:5">
      <c r="A1007" s="89"/>
      <c r="B1007" s="89"/>
      <c r="C1007" s="52" t="s">
        <v>1114</v>
      </c>
      <c r="D1007" s="52"/>
    </row>
    <row r="1008" spans="1:5">
      <c r="A1008" s="89"/>
      <c r="B1008" s="89"/>
      <c r="C1008" s="52" t="s">
        <v>1115</v>
      </c>
      <c r="D1008" s="52"/>
    </row>
    <row r="1009" spans="1:4">
      <c r="A1009" s="89"/>
      <c r="B1009" s="89"/>
      <c r="C1009" s="52" t="s">
        <v>1116</v>
      </c>
      <c r="D1009" s="52"/>
    </row>
    <row r="1010" spans="1:4">
      <c r="A1010" s="89"/>
      <c r="B1010" s="89"/>
      <c r="C1010" s="52" t="s">
        <v>173</v>
      </c>
      <c r="D1010" s="52"/>
    </row>
    <row r="1011" spans="1:4">
      <c r="A1011" s="89"/>
      <c r="B1011" s="89"/>
      <c r="C1011" s="52" t="s">
        <v>1117</v>
      </c>
      <c r="D1011" s="52"/>
    </row>
    <row r="1012" spans="1:4">
      <c r="A1012" s="89"/>
      <c r="B1012" s="89"/>
      <c r="C1012" s="52" t="s">
        <v>1118</v>
      </c>
      <c r="D1012" s="52"/>
    </row>
    <row r="1013" spans="1:4">
      <c r="A1013" s="89"/>
      <c r="B1013" s="89"/>
      <c r="C1013" s="52" t="s">
        <v>1119</v>
      </c>
      <c r="D1013" s="52"/>
    </row>
    <row r="1014" spans="1:4">
      <c r="A1014" s="89"/>
      <c r="B1014" s="89"/>
      <c r="C1014" s="52" t="s">
        <v>1120</v>
      </c>
      <c r="D1014" s="52"/>
    </row>
    <row r="1015" spans="1:4">
      <c r="A1015" s="89"/>
      <c r="B1015" s="89"/>
      <c r="C1015" s="52" t="s">
        <v>163</v>
      </c>
      <c r="D1015" s="52"/>
    </row>
    <row r="1016" spans="1:4">
      <c r="A1016" s="89"/>
      <c r="B1016" s="89"/>
      <c r="C1016" s="52" t="s">
        <v>1121</v>
      </c>
      <c r="D1016" s="52"/>
    </row>
    <row r="1017" spans="1:4">
      <c r="A1017" s="89"/>
      <c r="B1017" s="89"/>
      <c r="C1017" s="52" t="s">
        <v>168</v>
      </c>
      <c r="D1017" s="52"/>
    </row>
    <row r="1018" spans="1:4">
      <c r="A1018" s="89"/>
      <c r="B1018" s="89"/>
      <c r="C1018" s="52" t="s">
        <v>1122</v>
      </c>
      <c r="D1018" s="52"/>
    </row>
    <row r="1019" spans="1:4">
      <c r="A1019" s="89"/>
      <c r="B1019" s="89"/>
      <c r="C1019" s="52" t="s">
        <v>1123</v>
      </c>
      <c r="D1019" s="52"/>
    </row>
    <row r="1020" spans="1:4">
      <c r="A1020" s="89"/>
      <c r="B1020" s="89"/>
      <c r="C1020" s="52" t="s">
        <v>1124</v>
      </c>
      <c r="D1020" s="52"/>
    </row>
    <row r="1021" spans="1:4">
      <c r="A1021" s="89"/>
      <c r="B1021" s="89"/>
      <c r="C1021" s="52" t="s">
        <v>1125</v>
      </c>
      <c r="D1021" s="52"/>
    </row>
    <row r="1022" spans="1:4">
      <c r="A1022" s="89"/>
      <c r="B1022" s="89"/>
      <c r="C1022" s="52" t="s">
        <v>1126</v>
      </c>
      <c r="D1022" s="52"/>
    </row>
    <row r="1023" spans="1:4">
      <c r="A1023" s="89"/>
      <c r="B1023" s="89"/>
      <c r="C1023" s="52" t="s">
        <v>1127</v>
      </c>
      <c r="D1023" s="52"/>
    </row>
    <row r="1024" spans="1:4">
      <c r="A1024" s="89"/>
      <c r="B1024" s="89"/>
      <c r="C1024" s="52" t="s">
        <v>1128</v>
      </c>
      <c r="D1024" s="52"/>
    </row>
    <row r="1025" spans="1:5">
      <c r="A1025" s="89"/>
      <c r="B1025" s="89"/>
      <c r="C1025" s="52" t="s">
        <v>1129</v>
      </c>
      <c r="D1025" s="52"/>
    </row>
    <row r="1026" spans="1:5">
      <c r="A1026" s="89"/>
      <c r="B1026" s="89"/>
      <c r="C1026" s="52" t="s">
        <v>1130</v>
      </c>
      <c r="D1026" s="52"/>
    </row>
    <row r="1027" spans="1:5">
      <c r="A1027" s="89"/>
      <c r="B1027" s="89"/>
      <c r="C1027" s="52" t="s">
        <v>1131</v>
      </c>
      <c r="D1027" s="52"/>
    </row>
    <row r="1028" spans="1:5">
      <c r="A1028" s="89"/>
      <c r="B1028" s="89"/>
      <c r="C1028" s="52" t="s">
        <v>1132</v>
      </c>
      <c r="D1028" s="52"/>
    </row>
    <row r="1029" spans="1:5">
      <c r="A1029" s="89"/>
      <c r="B1029" s="89"/>
      <c r="C1029" s="52" t="s">
        <v>1133</v>
      </c>
      <c r="D1029" s="52"/>
    </row>
    <row r="1030" spans="1:5">
      <c r="A1030" s="89"/>
      <c r="B1030" s="89"/>
      <c r="C1030" s="52" t="s">
        <v>1134</v>
      </c>
      <c r="D1030" s="52"/>
    </row>
    <row r="1031" spans="1:5">
      <c r="A1031" s="89"/>
      <c r="B1031" s="89"/>
      <c r="C1031" s="130" t="s">
        <v>1135</v>
      </c>
      <c r="D1031" s="52"/>
      <c r="E1031" t="s">
        <v>264</v>
      </c>
    </row>
    <row r="1032" spans="1:5">
      <c r="A1032" s="89"/>
      <c r="B1032" s="89"/>
      <c r="C1032" s="52" t="s">
        <v>1136</v>
      </c>
      <c r="D1032" s="52"/>
    </row>
    <row r="1033" spans="1:5">
      <c r="A1033" s="89"/>
      <c r="B1033" s="89"/>
      <c r="C1033" s="52" t="s">
        <v>203</v>
      </c>
      <c r="D1033" s="52"/>
    </row>
    <row r="1034" spans="1:5">
      <c r="A1034" s="65" t="s">
        <v>1137</v>
      </c>
      <c r="B1034" s="65" t="s">
        <v>5</v>
      </c>
      <c r="C1034" s="54" t="s">
        <v>1138</v>
      </c>
      <c r="D1034" s="54"/>
      <c r="E1034" t="s">
        <v>1086</v>
      </c>
    </row>
    <row r="1035" spans="1:5">
      <c r="A1035" s="66"/>
      <c r="B1035" s="66"/>
      <c r="C1035" s="54" t="s">
        <v>1139</v>
      </c>
      <c r="D1035" s="54"/>
    </row>
    <row r="1036" spans="1:5">
      <c r="A1036" s="66"/>
      <c r="B1036" s="66"/>
      <c r="C1036" s="54" t="s">
        <v>203</v>
      </c>
      <c r="D1036" s="54"/>
    </row>
    <row r="1037" spans="1:5">
      <c r="A1037" s="88" t="s">
        <v>1140</v>
      </c>
      <c r="B1037" s="88" t="s">
        <v>5</v>
      </c>
      <c r="C1037" s="52" t="s">
        <v>1141</v>
      </c>
      <c r="D1037" s="52"/>
    </row>
    <row r="1038" spans="1:5">
      <c r="A1038" s="89"/>
      <c r="B1038" s="89"/>
      <c r="C1038" s="52" t="s">
        <v>1142</v>
      </c>
      <c r="D1038" s="52" t="s">
        <v>1143</v>
      </c>
    </row>
    <row r="1039" spans="1:5">
      <c r="A1039" s="89"/>
      <c r="B1039" s="89"/>
      <c r="C1039" s="52" t="s">
        <v>1144</v>
      </c>
      <c r="D1039" s="52" t="s">
        <v>1145</v>
      </c>
    </row>
    <row r="1040" spans="1:5">
      <c r="A1040" s="89"/>
      <c r="B1040" s="89"/>
      <c r="C1040" s="52" t="s">
        <v>1146</v>
      </c>
      <c r="D1040" s="52" t="s">
        <v>1147</v>
      </c>
    </row>
    <row r="1044" spans="4:4">
      <c r="D1044" s="15"/>
    </row>
    <row r="1045" spans="4:4">
      <c r="D1045" s="15"/>
    </row>
    <row r="1046" spans="4:4">
      <c r="D1046" s="15"/>
    </row>
    <row r="1047" spans="4:4">
      <c r="D1047" s="15"/>
    </row>
    <row r="1073" spans="1:3" s="11" customFormat="1"/>
    <row r="1074" spans="1:3" s="11" customFormat="1">
      <c r="A1074" s="41"/>
    </row>
    <row r="1075" spans="1:3" s="11" customFormat="1">
      <c r="C1075" s="15"/>
    </row>
    <row r="1076" spans="1:3" s="11" customFormat="1">
      <c r="C1076" s="15" t="s">
        <v>358</v>
      </c>
    </row>
    <row r="1077" spans="1:3" s="11" customFormat="1">
      <c r="C1077" s="15" t="s">
        <v>182</v>
      </c>
    </row>
    <row r="1078" spans="1:3" s="11" customFormat="1">
      <c r="C1078" s="15" t="s">
        <v>359</v>
      </c>
    </row>
    <row r="1079" spans="1:3" s="11" customFormat="1">
      <c r="C1079" s="15" t="s">
        <v>361</v>
      </c>
    </row>
    <row r="1080" spans="1:3" s="11" customFormat="1">
      <c r="C1080" s="15"/>
    </row>
    <row r="1081" spans="1:3" s="11" customFormat="1">
      <c r="C1081" s="15" t="s">
        <v>358</v>
      </c>
    </row>
    <row r="1082" spans="1:3" s="11" customFormat="1">
      <c r="C1082" s="15" t="s">
        <v>182</v>
      </c>
    </row>
    <row r="1083" spans="1:3" s="11" customFormat="1">
      <c r="C1083" s="15" t="s">
        <v>359</v>
      </c>
    </row>
    <row r="1084" spans="1:3" s="11" customFormat="1">
      <c r="C1084" s="15" t="s">
        <v>361</v>
      </c>
    </row>
    <row r="1085" spans="1:3" s="11" customFormat="1">
      <c r="C1085" s="15" t="s">
        <v>360</v>
      </c>
    </row>
    <row r="1086" spans="1:3" s="11" customFormat="1">
      <c r="C1086" s="15"/>
    </row>
    <row r="1087" spans="1:3" s="11" customFormat="1">
      <c r="C1087" s="15" t="s">
        <v>358</v>
      </c>
    </row>
    <row r="1088" spans="1:3" s="11" customFormat="1">
      <c r="C1088" s="15" t="s">
        <v>182</v>
      </c>
    </row>
    <row r="1089" spans="3:3" s="11" customFormat="1">
      <c r="C1089" s="15" t="s">
        <v>361</v>
      </c>
    </row>
    <row r="1090" spans="3:3" s="11" customFormat="1">
      <c r="C1090" s="15"/>
    </row>
    <row r="1091" spans="3:3" s="11" customFormat="1">
      <c r="C1091" s="15" t="s">
        <v>937</v>
      </c>
    </row>
    <row r="1092" spans="3:3" s="11" customFormat="1">
      <c r="C1092" s="15" t="s">
        <v>203</v>
      </c>
    </row>
    <row r="1093" spans="3:3" s="11" customFormat="1">
      <c r="C1093" s="15"/>
    </row>
    <row r="1094" spans="3:3" s="11" customFormat="1">
      <c r="C1094" s="15" t="s">
        <v>483</v>
      </c>
    </row>
    <row r="1095" spans="3:3" s="11" customFormat="1">
      <c r="C1095" s="15" t="s">
        <v>785</v>
      </c>
    </row>
    <row r="1096" spans="3:3" s="11" customFormat="1">
      <c r="C1096" s="15" t="s">
        <v>786</v>
      </c>
    </row>
    <row r="1097" spans="3:3" s="11" customFormat="1">
      <c r="C1097" s="15" t="s">
        <v>789</v>
      </c>
    </row>
    <row r="1098" spans="3:3" s="11" customFormat="1">
      <c r="C1098" s="15" t="s">
        <v>790</v>
      </c>
    </row>
    <row r="1099" spans="3:3" s="11" customFormat="1">
      <c r="C1099" s="15" t="s">
        <v>791</v>
      </c>
    </row>
    <row r="1100" spans="3:3" s="11" customFormat="1">
      <c r="C1100" s="15" t="s">
        <v>792</v>
      </c>
    </row>
    <row r="1101" spans="3:3" s="11" customFormat="1">
      <c r="C1101" s="15" t="s">
        <v>793</v>
      </c>
    </row>
    <row r="1102" spans="3:3" s="11" customFormat="1">
      <c r="C1102" s="15" t="s">
        <v>794</v>
      </c>
    </row>
    <row r="1103" spans="3:3" s="11" customFormat="1">
      <c r="C1103" s="15" t="s">
        <v>796</v>
      </c>
    </row>
    <row r="1104" spans="3:3" s="11" customFormat="1">
      <c r="C1104" s="15" t="s">
        <v>529</v>
      </c>
    </row>
    <row r="1105" spans="3:3" s="11" customFormat="1">
      <c r="C1105" s="15" t="s">
        <v>203</v>
      </c>
    </row>
    <row r="1106" spans="3:3" s="11" customFormat="1">
      <c r="C1106" s="15"/>
    </row>
    <row r="1107" spans="3:3" s="11" customFormat="1">
      <c r="C1107" s="15"/>
    </row>
    <row r="1108" spans="3:3">
      <c r="C1108" s="15" t="s">
        <v>935</v>
      </c>
    </row>
    <row r="1109" spans="3:3" s="11" customFormat="1">
      <c r="C1109" s="15" t="s">
        <v>936</v>
      </c>
    </row>
    <row r="1110" spans="3:3" s="11" customFormat="1">
      <c r="C1110" s="15" t="s">
        <v>938</v>
      </c>
    </row>
    <row r="1111" spans="3:3" s="11" customFormat="1">
      <c r="C1111" s="15" t="s">
        <v>203</v>
      </c>
    </row>
    <row r="1112" spans="3:3" s="11" customFormat="1">
      <c r="C1112" s="15"/>
    </row>
    <row r="1113" spans="3:3" s="11" customFormat="1">
      <c r="C1113" s="15" t="s">
        <v>367</v>
      </c>
    </row>
    <row r="1114" spans="3:3" s="11" customFormat="1">
      <c r="C1114" s="15" t="s">
        <v>368</v>
      </c>
    </row>
    <row r="1115" spans="3:3" s="11" customFormat="1">
      <c r="C1115" s="15" t="s">
        <v>34</v>
      </c>
    </row>
    <row r="1116" spans="3:3" s="11" customFormat="1">
      <c r="C1116" s="15" t="s">
        <v>203</v>
      </c>
    </row>
    <row r="1117" spans="3:3" s="11" customFormat="1">
      <c r="C1117" s="15"/>
    </row>
    <row r="1118" spans="3:3" s="11" customFormat="1">
      <c r="C1118" s="15" t="s">
        <v>373</v>
      </c>
    </row>
    <row r="1119" spans="3:3" s="11" customFormat="1">
      <c r="C1119" s="15" t="s">
        <v>1148</v>
      </c>
    </row>
    <row r="1120" spans="3:3" s="11" customFormat="1">
      <c r="C1120" s="15"/>
    </row>
    <row r="1121" spans="3:3">
      <c r="C1121" s="15" t="s">
        <v>373</v>
      </c>
    </row>
    <row r="1122" spans="3:3" s="11" customFormat="1">
      <c r="C1122" s="15" t="s">
        <v>375</v>
      </c>
    </row>
    <row r="1123" spans="3:3" s="11" customFormat="1">
      <c r="C1123" s="15" t="s">
        <v>377</v>
      </c>
    </row>
    <row r="1124" spans="3:3" s="11" customFormat="1">
      <c r="C1124" s="15" t="s">
        <v>379</v>
      </c>
    </row>
    <row r="1125" spans="3:3">
      <c r="C1125" s="15" t="s">
        <v>384</v>
      </c>
    </row>
    <row r="1126" spans="3:3">
      <c r="C1126" s="15" t="s">
        <v>203</v>
      </c>
    </row>
    <row r="1129" spans="3:3">
      <c r="C1129" s="15" t="s">
        <v>479</v>
      </c>
    </row>
    <row r="1130" spans="3:3">
      <c r="C1130" s="15" t="s">
        <v>480</v>
      </c>
    </row>
    <row r="1131" spans="3:3">
      <c r="C1131" s="15" t="s">
        <v>482</v>
      </c>
    </row>
    <row r="1132" spans="3:3">
      <c r="C1132" s="15" t="s">
        <v>483</v>
      </c>
    </row>
    <row r="1133" spans="3:3">
      <c r="C1133" s="15" t="s">
        <v>484</v>
      </c>
    </row>
    <row r="1134" spans="3:3">
      <c r="C1134" s="15" t="s">
        <v>486</v>
      </c>
    </row>
    <row r="1135" spans="3:3">
      <c r="C1135" s="15" t="s">
        <v>487</v>
      </c>
    </row>
    <row r="1136" spans="3:3">
      <c r="C1136" s="15" t="s">
        <v>488</v>
      </c>
    </row>
    <row r="1137" spans="3:3">
      <c r="C1137" s="15" t="s">
        <v>489</v>
      </c>
    </row>
    <row r="1138" spans="3:3">
      <c r="C1138" s="15" t="s">
        <v>490</v>
      </c>
    </row>
    <row r="1139" spans="3:3">
      <c r="C1139" s="15" t="s">
        <v>491</v>
      </c>
    </row>
    <row r="1140" spans="3:3">
      <c r="C1140" s="15" t="s">
        <v>492</v>
      </c>
    </row>
    <row r="1141" spans="3:3">
      <c r="C1141" s="15" t="s">
        <v>493</v>
      </c>
    </row>
    <row r="1142" spans="3:3">
      <c r="C1142" s="15" t="s">
        <v>494</v>
      </c>
    </row>
    <row r="1143" spans="3:3">
      <c r="C1143" s="15" t="s">
        <v>495</v>
      </c>
    </row>
    <row r="1144" spans="3:3">
      <c r="C1144" s="15" t="s">
        <v>497</v>
      </c>
    </row>
    <row r="1145" spans="3:3">
      <c r="C1145" s="15" t="s">
        <v>498</v>
      </c>
    </row>
    <row r="1146" spans="3:3">
      <c r="C1146" s="15" t="s">
        <v>499</v>
      </c>
    </row>
    <row r="1147" spans="3:3">
      <c r="C1147" s="15" t="s">
        <v>501</v>
      </c>
    </row>
    <row r="1148" spans="3:3">
      <c r="C1148" s="15" t="s">
        <v>502</v>
      </c>
    </row>
    <row r="1149" spans="3:3">
      <c r="C1149" s="15" t="s">
        <v>503</v>
      </c>
    </row>
    <row r="1150" spans="3:3">
      <c r="C1150" s="15" t="s">
        <v>504</v>
      </c>
    </row>
    <row r="1151" spans="3:3">
      <c r="C1151" s="15" t="s">
        <v>505</v>
      </c>
    </row>
    <row r="1152" spans="3:3">
      <c r="C1152" s="15" t="s">
        <v>506</v>
      </c>
    </row>
    <row r="1153" spans="3:3">
      <c r="C1153" s="15" t="s">
        <v>507</v>
      </c>
    </row>
    <row r="1154" spans="3:3">
      <c r="C1154" s="15" t="s">
        <v>508</v>
      </c>
    </row>
    <row r="1155" spans="3:3">
      <c r="C1155" s="15" t="s">
        <v>509</v>
      </c>
    </row>
    <row r="1156" spans="3:3">
      <c r="C1156" s="15" t="s">
        <v>510</v>
      </c>
    </row>
    <row r="1157" spans="3:3">
      <c r="C1157" s="15" t="s">
        <v>511</v>
      </c>
    </row>
    <row r="1158" spans="3:3">
      <c r="C1158" s="15" t="s">
        <v>512</v>
      </c>
    </row>
    <row r="1159" spans="3:3">
      <c r="C1159" s="15" t="s">
        <v>513</v>
      </c>
    </row>
    <row r="1160" spans="3:3">
      <c r="C1160" s="15" t="s">
        <v>514</v>
      </c>
    </row>
    <row r="1161" spans="3:3">
      <c r="C1161" s="15" t="s">
        <v>515</v>
      </c>
    </row>
    <row r="1162" spans="3:3">
      <c r="C1162" s="15" t="s">
        <v>516</v>
      </c>
    </row>
    <row r="1163" spans="3:3" ht="14.45" customHeight="1">
      <c r="C1163" s="15" t="s">
        <v>517</v>
      </c>
    </row>
    <row r="1164" spans="3:3">
      <c r="C1164" s="15" t="s">
        <v>519</v>
      </c>
    </row>
    <row r="1165" spans="3:3">
      <c r="C1165" s="15" t="s">
        <v>520</v>
      </c>
    </row>
    <row r="1166" spans="3:3">
      <c r="C1166" s="15" t="s">
        <v>521</v>
      </c>
    </row>
    <row r="1167" spans="3:3">
      <c r="C1167" s="15" t="s">
        <v>522</v>
      </c>
    </row>
    <row r="1168" spans="3:3">
      <c r="C1168" s="15" t="s">
        <v>524</v>
      </c>
    </row>
    <row r="1169" spans="3:3">
      <c r="C1169" s="15" t="s">
        <v>528</v>
      </c>
    </row>
    <row r="1170" spans="3:3">
      <c r="C1170" s="15" t="s">
        <v>203</v>
      </c>
    </row>
    <row r="1171" spans="3:3">
      <c r="C1171" s="15" t="s">
        <v>530</v>
      </c>
    </row>
    <row r="1172" spans="3:3">
      <c r="C1172" s="15" t="s">
        <v>531</v>
      </c>
    </row>
    <row r="1173" spans="3:3">
      <c r="C1173" s="15" t="s">
        <v>532</v>
      </c>
    </row>
    <row r="1174" spans="3:3">
      <c r="C1174" s="15" t="s">
        <v>533</v>
      </c>
    </row>
    <row r="1175" spans="3:3">
      <c r="C1175" s="15" t="s">
        <v>534</v>
      </c>
    </row>
    <row r="1176" spans="3:3">
      <c r="C1176" s="15" t="s">
        <v>535</v>
      </c>
    </row>
    <row r="1177" spans="3:3">
      <c r="C1177" s="15" t="s">
        <v>536</v>
      </c>
    </row>
    <row r="1178" spans="3:3">
      <c r="C1178" s="15" t="s">
        <v>537</v>
      </c>
    </row>
    <row r="1179" spans="3:3">
      <c r="C1179" s="15" t="s">
        <v>538</v>
      </c>
    </row>
    <row r="1180" spans="3:3">
      <c r="C1180" s="15" t="s">
        <v>539</v>
      </c>
    </row>
    <row r="1181" spans="3:3">
      <c r="C1181" s="15" t="s">
        <v>540</v>
      </c>
    </row>
    <row r="1182" spans="3:3">
      <c r="C1182" s="15" t="s">
        <v>541</v>
      </c>
    </row>
    <row r="1183" spans="3:3">
      <c r="C1183" s="15" t="s">
        <v>542</v>
      </c>
    </row>
    <row r="1184" spans="3:3">
      <c r="C1184" s="15" t="s">
        <v>543</v>
      </c>
    </row>
    <row r="1185" spans="3:3">
      <c r="C1185" s="15" t="s">
        <v>544</v>
      </c>
    </row>
    <row r="1186" spans="3:3">
      <c r="C1186" s="15" t="s">
        <v>545</v>
      </c>
    </row>
    <row r="1187" spans="3:3">
      <c r="C1187" s="15" t="s">
        <v>546</v>
      </c>
    </row>
    <row r="1188" spans="3:3">
      <c r="C1188" s="15" t="s">
        <v>547</v>
      </c>
    </row>
    <row r="1189" spans="3:3">
      <c r="C1189" s="15" t="s">
        <v>549</v>
      </c>
    </row>
    <row r="1190" spans="3:3">
      <c r="C1190" s="15" t="s">
        <v>551</v>
      </c>
    </row>
    <row r="1191" spans="3:3">
      <c r="C1191" s="15" t="s">
        <v>553</v>
      </c>
    </row>
    <row r="1192" spans="3:3">
      <c r="C1192" s="129" t="s">
        <v>554</v>
      </c>
    </row>
    <row r="1193" spans="3:3">
      <c r="C1193" s="15" t="s">
        <v>556</v>
      </c>
    </row>
    <row r="1194" spans="3:3">
      <c r="C1194" s="15" t="s">
        <v>557</v>
      </c>
    </row>
    <row r="1195" spans="3:3">
      <c r="C1195" s="15" t="s">
        <v>558</v>
      </c>
    </row>
    <row r="1196" spans="3:3">
      <c r="C1196" s="15" t="s">
        <v>559</v>
      </c>
    </row>
    <row r="1197" spans="3:3">
      <c r="C1197" s="15" t="s">
        <v>560</v>
      </c>
    </row>
    <row r="1198" spans="3:3">
      <c r="C1198" s="15" t="s">
        <v>561</v>
      </c>
    </row>
    <row r="1199" spans="3:3">
      <c r="C1199" s="15" t="s">
        <v>562</v>
      </c>
    </row>
    <row r="1200" spans="3:3">
      <c r="C1200" s="15" t="s">
        <v>563</v>
      </c>
    </row>
    <row r="1201" spans="3:3">
      <c r="C1201" s="15" t="s">
        <v>565</v>
      </c>
    </row>
    <row r="1202" spans="3:3">
      <c r="C1202" s="15" t="s">
        <v>566</v>
      </c>
    </row>
    <row r="1203" spans="3:3">
      <c r="C1203" s="15" t="s">
        <v>568</v>
      </c>
    </row>
    <row r="1204" spans="3:3">
      <c r="C1204" s="15" t="s">
        <v>569</v>
      </c>
    </row>
    <row r="1205" spans="3:3">
      <c r="C1205" s="15" t="s">
        <v>570</v>
      </c>
    </row>
    <row r="1206" spans="3:3">
      <c r="C1206" s="15" t="s">
        <v>571</v>
      </c>
    </row>
    <row r="1207" spans="3:3">
      <c r="C1207" s="15" t="s">
        <v>572</v>
      </c>
    </row>
    <row r="1208" spans="3:3">
      <c r="C1208" s="15" t="s">
        <v>574</v>
      </c>
    </row>
    <row r="1209" spans="3:3">
      <c r="C1209" s="15" t="s">
        <v>575</v>
      </c>
    </row>
    <row r="1210" spans="3:3">
      <c r="C1210" s="15" t="s">
        <v>576</v>
      </c>
    </row>
    <row r="1211" spans="3:3">
      <c r="C1211" s="15" t="s">
        <v>577</v>
      </c>
    </row>
    <row r="1212" spans="3:3">
      <c r="C1212" s="15" t="s">
        <v>578</v>
      </c>
    </row>
    <row r="1213" spans="3:3">
      <c r="C1213" s="15" t="s">
        <v>579</v>
      </c>
    </row>
    <row r="1214" spans="3:3">
      <c r="C1214" s="15" t="s">
        <v>580</v>
      </c>
    </row>
    <row r="1215" spans="3:3">
      <c r="C1215" s="15" t="s">
        <v>581</v>
      </c>
    </row>
    <row r="1216" spans="3:3">
      <c r="C1216" s="15" t="s">
        <v>583</v>
      </c>
    </row>
    <row r="1217" spans="3:3">
      <c r="C1217" s="15" t="s">
        <v>584</v>
      </c>
    </row>
    <row r="1218" spans="3:3">
      <c r="C1218" s="15" t="s">
        <v>585</v>
      </c>
    </row>
    <row r="1219" spans="3:3">
      <c r="C1219" s="15" t="s">
        <v>586</v>
      </c>
    </row>
    <row r="1220" spans="3:3">
      <c r="C1220" s="15" t="s">
        <v>587</v>
      </c>
    </row>
    <row r="1221" spans="3:3">
      <c r="C1221" s="15" t="s">
        <v>588</v>
      </c>
    </row>
    <row r="1222" spans="3:3">
      <c r="C1222" s="15" t="s">
        <v>589</v>
      </c>
    </row>
    <row r="1223" spans="3:3">
      <c r="C1223" s="15" t="s">
        <v>590</v>
      </c>
    </row>
    <row r="1224" spans="3:3">
      <c r="C1224" s="15" t="s">
        <v>591</v>
      </c>
    </row>
    <row r="1225" spans="3:3">
      <c r="C1225" s="15" t="s">
        <v>592</v>
      </c>
    </row>
    <row r="1226" spans="3:3">
      <c r="C1226" s="15" t="s">
        <v>593</v>
      </c>
    </row>
    <row r="1227" spans="3:3">
      <c r="C1227" s="15" t="s">
        <v>594</v>
      </c>
    </row>
    <row r="1228" spans="3:3">
      <c r="C1228" s="15" t="s">
        <v>595</v>
      </c>
    </row>
    <row r="1229" spans="3:3">
      <c r="C1229" s="15" t="s">
        <v>596</v>
      </c>
    </row>
    <row r="1230" spans="3:3">
      <c r="C1230" s="15" t="s">
        <v>597</v>
      </c>
    </row>
    <row r="1231" spans="3:3">
      <c r="C1231" s="15" t="s">
        <v>598</v>
      </c>
    </row>
    <row r="1232" spans="3:3">
      <c r="C1232" s="15" t="s">
        <v>599</v>
      </c>
    </row>
    <row r="1233" spans="3:3">
      <c r="C1233" s="15" t="s">
        <v>600</v>
      </c>
    </row>
    <row r="1234" spans="3:3">
      <c r="C1234" s="15" t="s">
        <v>601</v>
      </c>
    </row>
    <row r="1235" spans="3:3">
      <c r="C1235" s="15" t="s">
        <v>602</v>
      </c>
    </row>
    <row r="1236" spans="3:3">
      <c r="C1236" s="15" t="s">
        <v>603</v>
      </c>
    </row>
    <row r="1237" spans="3:3">
      <c r="C1237" s="15" t="s">
        <v>605</v>
      </c>
    </row>
    <row r="1238" spans="3:3">
      <c r="C1238" s="15" t="s">
        <v>606</v>
      </c>
    </row>
    <row r="1239" spans="3:3">
      <c r="C1239" s="15" t="s">
        <v>607</v>
      </c>
    </row>
    <row r="1240" spans="3:3">
      <c r="C1240" s="15" t="s">
        <v>608</v>
      </c>
    </row>
    <row r="1241" spans="3:3">
      <c r="C1241" s="15" t="s">
        <v>609</v>
      </c>
    </row>
    <row r="1242" spans="3:3">
      <c r="C1242" s="15" t="s">
        <v>610</v>
      </c>
    </row>
    <row r="1243" spans="3:3">
      <c r="C1243" s="15" t="s">
        <v>611</v>
      </c>
    </row>
    <row r="1244" spans="3:3">
      <c r="C1244" s="15" t="s">
        <v>612</v>
      </c>
    </row>
    <row r="1245" spans="3:3">
      <c r="C1245" s="15" t="s">
        <v>613</v>
      </c>
    </row>
    <row r="1248" spans="3:3">
      <c r="C1248" s="15" t="s">
        <v>374</v>
      </c>
    </row>
    <row r="1249" spans="3:3">
      <c r="C1249" s="15" t="s">
        <v>375</v>
      </c>
    </row>
    <row r="1250" spans="3:3">
      <c r="C1250" s="15" t="s">
        <v>377</v>
      </c>
    </row>
    <row r="1251" spans="3:3">
      <c r="C1251" s="15" t="s">
        <v>380</v>
      </c>
    </row>
    <row r="1252" spans="3:3">
      <c r="C1252" s="15" t="s">
        <v>382</v>
      </c>
    </row>
    <row r="1253" spans="3:3">
      <c r="C1253" s="15" t="s">
        <v>203</v>
      </c>
    </row>
    <row r="1255" spans="3:3">
      <c r="C1255" s="15" t="s">
        <v>374</v>
      </c>
    </row>
    <row r="1256" spans="3:3">
      <c r="C1256" s="15" t="s">
        <v>379</v>
      </c>
    </row>
    <row r="1257" spans="3:3">
      <c r="C1257" s="15" t="s">
        <v>384</v>
      </c>
    </row>
    <row r="1258" spans="3:3">
      <c r="C1258" s="15" t="s">
        <v>375</v>
      </c>
    </row>
    <row r="1259" spans="3:3">
      <c r="C1259" s="15" t="s">
        <v>203</v>
      </c>
    </row>
    <row r="1261" spans="3:3">
      <c r="C1261" s="15" t="s">
        <v>373</v>
      </c>
    </row>
    <row r="1262" spans="3:3">
      <c r="C1262" s="15" t="s">
        <v>375</v>
      </c>
    </row>
    <row r="1263" spans="3:3">
      <c r="C1263" s="15" t="s">
        <v>382</v>
      </c>
    </row>
    <row r="1264" spans="3:3">
      <c r="C1264" s="15" t="s">
        <v>380</v>
      </c>
    </row>
    <row r="1265" spans="3:3">
      <c r="C1265" s="15" t="s">
        <v>203</v>
      </c>
    </row>
    <row r="1267" spans="3:3">
      <c r="C1267" s="15" t="s">
        <v>374</v>
      </c>
    </row>
    <row r="1268" spans="3:3">
      <c r="C1268" s="15" t="s">
        <v>375</v>
      </c>
    </row>
    <row r="1269" spans="3:3">
      <c r="C1269" s="15" t="s">
        <v>203</v>
      </c>
    </row>
    <row r="1272" spans="3:3">
      <c r="C1272" s="15" t="s">
        <v>373</v>
      </c>
    </row>
    <row r="1273" spans="3:3">
      <c r="C1273" s="15" t="s">
        <v>375</v>
      </c>
    </row>
    <row r="1274" spans="3:3">
      <c r="C1274" s="15" t="s">
        <v>377</v>
      </c>
    </row>
    <row r="1275" spans="3:3">
      <c r="C1275" s="15" t="s">
        <v>379</v>
      </c>
    </row>
    <row r="1276" spans="3:3">
      <c r="C1276" s="15" t="s">
        <v>380</v>
      </c>
    </row>
    <row r="1277" spans="3:3">
      <c r="C1277" s="15" t="s">
        <v>381</v>
      </c>
    </row>
    <row r="1278" spans="3:3">
      <c r="C1278" s="15" t="s">
        <v>382</v>
      </c>
    </row>
    <row r="1279" spans="3:3">
      <c r="C1279" s="15" t="s">
        <v>383</v>
      </c>
    </row>
    <row r="1280" spans="3:3">
      <c r="C1280" s="15" t="s">
        <v>384</v>
      </c>
    </row>
    <row r="1281" spans="3:3">
      <c r="C1281" s="15" t="s">
        <v>203</v>
      </c>
    </row>
    <row r="1283" spans="3:3">
      <c r="C1283" s="15" t="s">
        <v>32</v>
      </c>
    </row>
    <row r="1284" spans="3:3">
      <c r="C1284" s="15" t="s">
        <v>388</v>
      </c>
    </row>
    <row r="1285" spans="3:3">
      <c r="C1285" s="15" t="s">
        <v>390</v>
      </c>
    </row>
    <row r="1286" spans="3:3">
      <c r="C1286" s="15" t="s">
        <v>392</v>
      </c>
    </row>
    <row r="1287" spans="3:3">
      <c r="C1287" s="15" t="s">
        <v>394</v>
      </c>
    </row>
    <row r="1288" spans="3:3">
      <c r="C1288" s="15" t="s">
        <v>396</v>
      </c>
    </row>
    <row r="1289" spans="3:3">
      <c r="C1289" s="15" t="s">
        <v>398</v>
      </c>
    </row>
    <row r="1290" spans="3:3">
      <c r="C1290" s="15" t="s">
        <v>400</v>
      </c>
    </row>
    <row r="1291" spans="3:3">
      <c r="C1291" s="15" t="s">
        <v>402</v>
      </c>
    </row>
    <row r="1292" spans="3:3">
      <c r="C1292" s="15" t="s">
        <v>404</v>
      </c>
    </row>
    <row r="1293" spans="3:3">
      <c r="C1293" s="15" t="s">
        <v>406</v>
      </c>
    </row>
    <row r="1294" spans="3:3">
      <c r="C1294" s="15" t="s">
        <v>408</v>
      </c>
    </row>
    <row r="1295" spans="3:3">
      <c r="C1295" s="15" t="s">
        <v>410</v>
      </c>
    </row>
    <row r="1296" spans="3:3">
      <c r="C1296" s="15" t="s">
        <v>412</v>
      </c>
    </row>
    <row r="1297" spans="3:3">
      <c r="C1297" s="15" t="s">
        <v>414</v>
      </c>
    </row>
    <row r="1298" spans="3:3">
      <c r="C1298" s="15" t="s">
        <v>416</v>
      </c>
    </row>
    <row r="1299" spans="3:3">
      <c r="C1299" s="15" t="s">
        <v>418</v>
      </c>
    </row>
    <row r="1300" spans="3:3">
      <c r="C1300" s="15" t="s">
        <v>420</v>
      </c>
    </row>
    <row r="1301" spans="3:3">
      <c r="C1301" s="15" t="s">
        <v>422</v>
      </c>
    </row>
    <row r="1302" spans="3:3">
      <c r="C1302" s="15" t="s">
        <v>424</v>
      </c>
    </row>
    <row r="1303" spans="3:3">
      <c r="C1303" s="15" t="s">
        <v>426</v>
      </c>
    </row>
    <row r="1304" spans="3:3">
      <c r="C1304" s="15" t="s">
        <v>428</v>
      </c>
    </row>
    <row r="1305" spans="3:3">
      <c r="C1305" s="15" t="s">
        <v>430</v>
      </c>
    </row>
    <row r="1306" spans="3:3">
      <c r="C1306" s="15" t="s">
        <v>432</v>
      </c>
    </row>
    <row r="1307" spans="3:3">
      <c r="C1307" s="15" t="s">
        <v>434</v>
      </c>
    </row>
    <row r="1308" spans="3:3">
      <c r="C1308" s="15" t="s">
        <v>436</v>
      </c>
    </row>
    <row r="1309" spans="3:3">
      <c r="C1309" s="15" t="s">
        <v>438</v>
      </c>
    </row>
    <row r="1310" spans="3:3">
      <c r="C1310" s="15" t="s">
        <v>440</v>
      </c>
    </row>
    <row r="1311" spans="3:3">
      <c r="C1311" s="15" t="s">
        <v>442</v>
      </c>
    </row>
    <row r="1312" spans="3:3">
      <c r="C1312" s="15" t="s">
        <v>444</v>
      </c>
    </row>
    <row r="1313" spans="3:3">
      <c r="C1313" s="15" t="s">
        <v>446</v>
      </c>
    </row>
    <row r="1314" spans="3:3">
      <c r="C1314" s="15" t="s">
        <v>448</v>
      </c>
    </row>
    <row r="1315" spans="3:3">
      <c r="C1315" s="15" t="s">
        <v>203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58" customWidth="1"/>
    <col min="2" max="2" width="48.75" style="58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7" t="s">
        <v>1149</v>
      </c>
      <c r="B1" s="108" t="s">
        <v>1150</v>
      </c>
      <c r="C1" s="108" t="s">
        <v>1151</v>
      </c>
      <c r="D1" s="109" t="s">
        <v>1152</v>
      </c>
      <c r="E1" s="123"/>
    </row>
    <row r="2" spans="1:5" ht="15.75" outlineLevel="1">
      <c r="A2" s="37" t="s">
        <v>994</v>
      </c>
      <c r="B2" s="38" t="s">
        <v>0</v>
      </c>
      <c r="C2" s="37">
        <v>5.0999999999999996</v>
      </c>
      <c r="D2" s="111"/>
    </row>
    <row r="3" spans="1:5" ht="15.75" outlineLevel="1">
      <c r="A3" s="37" t="s">
        <v>994</v>
      </c>
      <c r="B3" s="38" t="s">
        <v>1</v>
      </c>
      <c r="C3" s="37">
        <v>5.2</v>
      </c>
      <c r="D3" s="111"/>
    </row>
    <row r="4" spans="1:5" ht="15.75" outlineLevel="1">
      <c r="A4" s="37" t="s">
        <v>994</v>
      </c>
      <c r="B4" s="38" t="s">
        <v>205</v>
      </c>
      <c r="C4" s="37">
        <v>5.4</v>
      </c>
      <c r="D4" s="111"/>
    </row>
    <row r="5" spans="1:5" ht="15.75" outlineLevel="1">
      <c r="A5" s="37" t="s">
        <v>994</v>
      </c>
      <c r="B5" s="38" t="s">
        <v>206</v>
      </c>
      <c r="C5" s="37">
        <v>5.7</v>
      </c>
      <c r="D5" s="111"/>
    </row>
    <row r="6" spans="1:5" ht="15.75" outlineLevel="1">
      <c r="A6" s="37" t="s">
        <v>994</v>
      </c>
      <c r="B6" s="38" t="s">
        <v>207</v>
      </c>
      <c r="C6" s="37">
        <v>5.1100000000000003</v>
      </c>
      <c r="D6" s="111"/>
    </row>
    <row r="7" spans="1:5" ht="15.75" outlineLevel="1">
      <c r="A7" s="37" t="s">
        <v>994</v>
      </c>
      <c r="B7" s="38" t="s">
        <v>5</v>
      </c>
      <c r="C7" s="37">
        <v>5.26</v>
      </c>
      <c r="D7" s="111"/>
    </row>
    <row r="8" spans="1:5" ht="15.75" outlineLevel="1">
      <c r="A8" s="37" t="s">
        <v>994</v>
      </c>
      <c r="B8" s="38" t="s">
        <v>6</v>
      </c>
      <c r="C8" s="37">
        <v>5.27</v>
      </c>
      <c r="D8" s="111"/>
    </row>
    <row r="9" spans="1:5" ht="15.75" outlineLevel="1">
      <c r="A9" s="37" t="s">
        <v>994</v>
      </c>
      <c r="B9" s="38" t="s">
        <v>150</v>
      </c>
      <c r="C9" s="37">
        <v>5.36</v>
      </c>
      <c r="D9" s="111"/>
    </row>
    <row r="10" spans="1:5" ht="15.75" outlineLevel="1">
      <c r="A10" s="37" t="s">
        <v>994</v>
      </c>
      <c r="B10" s="38" t="s">
        <v>209</v>
      </c>
      <c r="C10" s="39">
        <v>5.5</v>
      </c>
      <c r="D10" s="111"/>
    </row>
    <row r="11" spans="1:5" ht="15.75" outlineLevel="1">
      <c r="A11" s="37" t="s">
        <v>994</v>
      </c>
      <c r="B11" s="38" t="s">
        <v>10</v>
      </c>
      <c r="C11" s="37">
        <v>5.51</v>
      </c>
      <c r="D11" s="111"/>
    </row>
    <row r="12" spans="1:5" ht="15.75" outlineLevel="1">
      <c r="A12" s="37" t="s">
        <v>994</v>
      </c>
      <c r="B12" s="38" t="s">
        <v>11</v>
      </c>
      <c r="C12" s="37">
        <v>5.53</v>
      </c>
      <c r="D12" s="111"/>
    </row>
    <row r="13" spans="1:5" ht="15.75" outlineLevel="1">
      <c r="A13" s="37" t="s">
        <v>994</v>
      </c>
      <c r="B13" s="38" t="s">
        <v>160</v>
      </c>
      <c r="C13" s="37">
        <v>5.59</v>
      </c>
      <c r="D13" s="111"/>
    </row>
    <row r="14" spans="1:5" ht="15.75" outlineLevel="1">
      <c r="A14" s="37" t="s">
        <v>994</v>
      </c>
      <c r="B14" s="38" t="s">
        <v>18</v>
      </c>
      <c r="C14" s="37">
        <v>5.54</v>
      </c>
      <c r="D14" s="111"/>
    </row>
    <row r="15" spans="1:5" ht="15.75" outlineLevel="1">
      <c r="A15" s="37" t="s">
        <v>994</v>
      </c>
      <c r="B15" s="38" t="s">
        <v>14</v>
      </c>
      <c r="C15" s="39">
        <v>5.7</v>
      </c>
      <c r="D15" s="110" t="s">
        <v>1153</v>
      </c>
    </row>
    <row r="16" spans="1:5" ht="15.75" outlineLevel="1">
      <c r="A16" s="37" t="s">
        <v>994</v>
      </c>
      <c r="B16" s="38" t="s">
        <v>20</v>
      </c>
      <c r="C16" s="37">
        <v>5.63</v>
      </c>
      <c r="D16" s="111"/>
    </row>
    <row r="17" spans="1:4" ht="15.75" outlineLevel="1">
      <c r="A17" s="37" t="s">
        <v>994</v>
      </c>
      <c r="B17" s="38" t="s">
        <v>24</v>
      </c>
      <c r="C17" s="37">
        <v>5.47</v>
      </c>
      <c r="D17" s="111"/>
    </row>
    <row r="18" spans="1:4" ht="15.75" outlineLevel="1">
      <c r="A18" s="37" t="s">
        <v>994</v>
      </c>
      <c r="B18" s="38" t="s">
        <v>25</v>
      </c>
      <c r="C18" s="37">
        <v>5.48</v>
      </c>
      <c r="D18" s="111"/>
    </row>
    <row r="19" spans="1:4" ht="15.75">
      <c r="A19" s="43" t="s">
        <v>994</v>
      </c>
      <c r="B19" s="38"/>
      <c r="C19" s="37"/>
      <c r="D19" s="111"/>
    </row>
    <row r="20" spans="1:4" ht="15.75" outlineLevel="1">
      <c r="A20" s="37" t="s">
        <v>1004</v>
      </c>
      <c r="B20" s="38" t="s">
        <v>0</v>
      </c>
      <c r="C20" s="37">
        <v>5.0999999999999996</v>
      </c>
      <c r="D20" s="111"/>
    </row>
    <row r="21" spans="1:4" ht="15.75" outlineLevel="1">
      <c r="A21" s="37" t="s">
        <v>1004</v>
      </c>
      <c r="B21" s="38" t="s">
        <v>1</v>
      </c>
      <c r="C21" s="37">
        <v>5.2</v>
      </c>
      <c r="D21" s="111"/>
    </row>
    <row r="22" spans="1:4" ht="15.75" outlineLevel="1">
      <c r="A22" s="37" t="s">
        <v>1004</v>
      </c>
      <c r="B22" s="38" t="s">
        <v>2</v>
      </c>
      <c r="C22" s="37">
        <v>5.3</v>
      </c>
      <c r="D22" s="111"/>
    </row>
    <row r="23" spans="1:4" ht="15.75" outlineLevel="1">
      <c r="A23" s="37" t="s">
        <v>1004</v>
      </c>
      <c r="B23" s="38" t="s">
        <v>1154</v>
      </c>
      <c r="C23" s="37">
        <v>5.14</v>
      </c>
      <c r="D23" s="111"/>
    </row>
    <row r="24" spans="1:4" ht="15.75" outlineLevel="1">
      <c r="A24" s="37" t="s">
        <v>1004</v>
      </c>
      <c r="B24" s="38" t="s">
        <v>4</v>
      </c>
      <c r="C24" s="37">
        <v>5.19</v>
      </c>
      <c r="D24" s="111"/>
    </row>
    <row r="25" spans="1:4" ht="15.75" outlineLevel="1">
      <c r="A25" s="37" t="s">
        <v>1004</v>
      </c>
      <c r="B25" s="38" t="s">
        <v>5</v>
      </c>
      <c r="C25" s="37">
        <v>5.26</v>
      </c>
      <c r="D25" s="111"/>
    </row>
    <row r="26" spans="1:4" ht="15.75" outlineLevel="1">
      <c r="A26" s="37" t="s">
        <v>1004</v>
      </c>
      <c r="B26" s="38" t="s">
        <v>6</v>
      </c>
      <c r="C26" s="37">
        <v>5.27</v>
      </c>
      <c r="D26" s="111"/>
    </row>
    <row r="27" spans="1:4" ht="15.75" outlineLevel="1">
      <c r="A27" s="37" t="s">
        <v>1004</v>
      </c>
      <c r="B27" s="38" t="s">
        <v>7</v>
      </c>
      <c r="C27" s="37">
        <v>5.28</v>
      </c>
      <c r="D27" s="111"/>
    </row>
    <row r="28" spans="1:4" ht="15.75" outlineLevel="1">
      <c r="A28" s="37" t="s">
        <v>1004</v>
      </c>
      <c r="B28" s="38" t="s">
        <v>8</v>
      </c>
      <c r="C28" s="39">
        <v>5.3</v>
      </c>
      <c r="D28" s="111"/>
    </row>
    <row r="29" spans="1:4" ht="15.75" outlineLevel="1">
      <c r="A29" s="37" t="s">
        <v>1004</v>
      </c>
      <c r="B29" s="38" t="s">
        <v>9</v>
      </c>
      <c r="C29" s="37">
        <v>5.49</v>
      </c>
      <c r="D29" s="111"/>
    </row>
    <row r="30" spans="1:4" ht="15.75" outlineLevel="1">
      <c r="A30" s="37" t="s">
        <v>1004</v>
      </c>
      <c r="B30" s="38" t="s">
        <v>10</v>
      </c>
      <c r="C30" s="37">
        <v>5.51</v>
      </c>
      <c r="D30" s="111"/>
    </row>
    <row r="31" spans="1:4" ht="15.75" outlineLevel="1">
      <c r="A31" s="37" t="s">
        <v>1004</v>
      </c>
      <c r="B31" s="38" t="s">
        <v>11</v>
      </c>
      <c r="C31" s="37">
        <v>5.53</v>
      </c>
      <c r="D31" s="111"/>
    </row>
    <row r="32" spans="1:4" ht="15.75" outlineLevel="1">
      <c r="A32" s="37" t="s">
        <v>1004</v>
      </c>
      <c r="B32" s="38" t="s">
        <v>12</v>
      </c>
      <c r="C32" s="37">
        <v>5.69</v>
      </c>
      <c r="D32" s="111"/>
    </row>
    <row r="33" spans="1:4" ht="15.75" outlineLevel="1">
      <c r="A33" s="37" t="s">
        <v>1004</v>
      </c>
      <c r="B33" s="38" t="s">
        <v>13</v>
      </c>
      <c r="C33" s="37">
        <v>5.75</v>
      </c>
      <c r="D33" s="111"/>
    </row>
    <row r="34" spans="1:4" ht="15.75" outlineLevel="1">
      <c r="A34" s="37" t="s">
        <v>1004</v>
      </c>
      <c r="B34" s="38" t="s">
        <v>14</v>
      </c>
      <c r="C34" s="39">
        <v>5.7</v>
      </c>
      <c r="D34" s="111"/>
    </row>
    <row r="35" spans="1:4" ht="15.75" outlineLevel="1">
      <c r="A35" s="37" t="s">
        <v>1004</v>
      </c>
      <c r="B35" s="38" t="s">
        <v>15</v>
      </c>
      <c r="C35" s="37">
        <v>5.74</v>
      </c>
      <c r="D35" s="111"/>
    </row>
    <row r="36" spans="1:4" ht="15.75" outlineLevel="1">
      <c r="A36" s="37" t="s">
        <v>1004</v>
      </c>
      <c r="B36" s="38" t="s">
        <v>16</v>
      </c>
      <c r="C36" s="37">
        <v>5.62</v>
      </c>
      <c r="D36" s="111"/>
    </row>
    <row r="37" spans="1:4" ht="15.75" outlineLevel="1">
      <c r="A37" s="37" t="s">
        <v>1004</v>
      </c>
      <c r="B37" s="38" t="s">
        <v>17</v>
      </c>
      <c r="C37" s="37">
        <v>5.58</v>
      </c>
      <c r="D37" s="111"/>
    </row>
    <row r="38" spans="1:4" ht="15.75" outlineLevel="1">
      <c r="A38" s="37" t="s">
        <v>1004</v>
      </c>
      <c r="B38" s="38" t="s">
        <v>18</v>
      </c>
      <c r="C38" s="37">
        <v>5.54</v>
      </c>
      <c r="D38" s="111"/>
    </row>
    <row r="39" spans="1:4" ht="15.75" outlineLevel="1">
      <c r="A39" s="37" t="s">
        <v>1004</v>
      </c>
      <c r="B39" s="38" t="s">
        <v>19</v>
      </c>
      <c r="C39" s="37">
        <v>5.55</v>
      </c>
      <c r="D39" s="111"/>
    </row>
    <row r="40" spans="1:4" ht="15.75" outlineLevel="1">
      <c r="A40" s="37" t="s">
        <v>1004</v>
      </c>
      <c r="B40" s="38" t="s">
        <v>20</v>
      </c>
      <c r="C40" s="37">
        <v>5.63</v>
      </c>
      <c r="D40" s="111"/>
    </row>
    <row r="41" spans="1:4" ht="15.75" outlineLevel="1">
      <c r="A41" s="37" t="s">
        <v>1004</v>
      </c>
      <c r="B41" s="38" t="s">
        <v>21</v>
      </c>
      <c r="C41" s="37">
        <v>5.65</v>
      </c>
      <c r="D41" s="111"/>
    </row>
    <row r="42" spans="1:4" ht="15.75" outlineLevel="1">
      <c r="A42" s="37" t="s">
        <v>1004</v>
      </c>
      <c r="B42" s="38" t="s">
        <v>22</v>
      </c>
      <c r="C42" s="37">
        <v>5.68</v>
      </c>
      <c r="D42" s="111"/>
    </row>
    <row r="43" spans="1:4" ht="15.75" outlineLevel="1">
      <c r="A43" s="37" t="s">
        <v>1004</v>
      </c>
      <c r="B43" s="38" t="s">
        <v>23</v>
      </c>
      <c r="C43" s="37">
        <v>5.45</v>
      </c>
      <c r="D43" s="111"/>
    </row>
    <row r="44" spans="1:4" ht="15.75" outlineLevel="1">
      <c r="A44" s="37" t="s">
        <v>1004</v>
      </c>
      <c r="B44" s="38" t="s">
        <v>24</v>
      </c>
      <c r="C44" s="37">
        <v>5.47</v>
      </c>
      <c r="D44" s="111"/>
    </row>
    <row r="45" spans="1:4" ht="15.75" outlineLevel="1">
      <c r="A45" s="37" t="s">
        <v>1004</v>
      </c>
      <c r="B45" s="38" t="s">
        <v>25</v>
      </c>
      <c r="C45" s="37">
        <v>5.48</v>
      </c>
      <c r="D45" s="111"/>
    </row>
    <row r="46" spans="1:4" ht="15.75">
      <c r="A46" s="43" t="s">
        <v>1004</v>
      </c>
      <c r="B46" s="38"/>
      <c r="C46" s="37"/>
      <c r="D46" s="111"/>
    </row>
    <row r="47" spans="1:4" ht="15.75" outlineLevel="1">
      <c r="A47" s="37" t="s">
        <v>1008</v>
      </c>
      <c r="B47" s="38" t="s">
        <v>0</v>
      </c>
      <c r="C47" s="37">
        <v>5.0999999999999996</v>
      </c>
      <c r="D47" s="111"/>
    </row>
    <row r="48" spans="1:4" ht="15.75" outlineLevel="1">
      <c r="A48" s="37" t="s">
        <v>1008</v>
      </c>
      <c r="B48" s="38" t="s">
        <v>1</v>
      </c>
      <c r="C48" s="37">
        <v>5.2</v>
      </c>
      <c r="D48" s="111"/>
    </row>
    <row r="49" spans="1:4" ht="15.75" outlineLevel="1">
      <c r="A49" s="37" t="s">
        <v>1008</v>
      </c>
      <c r="B49" s="38" t="s">
        <v>2</v>
      </c>
      <c r="C49" s="37">
        <v>5.3</v>
      </c>
      <c r="D49" s="111"/>
    </row>
    <row r="50" spans="1:4" ht="15.75" outlineLevel="1">
      <c r="A50" s="37" t="s">
        <v>1008</v>
      </c>
      <c r="B50" s="38" t="s">
        <v>182</v>
      </c>
      <c r="C50" s="37">
        <v>5.6</v>
      </c>
      <c r="D50" s="111"/>
    </row>
    <row r="51" spans="1:4" ht="15.75" outlineLevel="1">
      <c r="A51" s="37" t="s">
        <v>1008</v>
      </c>
      <c r="B51" s="38" t="s">
        <v>1155</v>
      </c>
      <c r="C51" s="39">
        <v>5.0999999999999996</v>
      </c>
      <c r="D51" s="111"/>
    </row>
    <row r="52" spans="1:4" ht="15.75" outlineLevel="1">
      <c r="A52" s="37" t="s">
        <v>1008</v>
      </c>
      <c r="B52" s="38" t="s">
        <v>1154</v>
      </c>
      <c r="C52" s="37">
        <v>5.14</v>
      </c>
      <c r="D52" s="111"/>
    </row>
    <row r="53" spans="1:4" ht="15.75" outlineLevel="1">
      <c r="A53" s="37" t="s">
        <v>1008</v>
      </c>
      <c r="B53" s="38" t="s">
        <v>4</v>
      </c>
      <c r="C53" s="37">
        <v>5.19</v>
      </c>
      <c r="D53" s="111"/>
    </row>
    <row r="54" spans="1:4" ht="15.75" outlineLevel="1">
      <c r="A54" s="37" t="s">
        <v>1008</v>
      </c>
      <c r="B54" s="38" t="s">
        <v>184</v>
      </c>
      <c r="C54" s="37">
        <v>5.24</v>
      </c>
      <c r="D54" s="111"/>
    </row>
    <row r="55" spans="1:4" ht="15.75" outlineLevel="1">
      <c r="A55" s="37" t="s">
        <v>1008</v>
      </c>
      <c r="B55" s="38" t="s">
        <v>5</v>
      </c>
      <c r="C55" s="37">
        <v>5.26</v>
      </c>
      <c r="D55" s="111"/>
    </row>
    <row r="56" spans="1:4" ht="15.75" outlineLevel="1">
      <c r="A56" s="37" t="s">
        <v>1008</v>
      </c>
      <c r="B56" s="38" t="s">
        <v>6</v>
      </c>
      <c r="C56" s="37">
        <v>5.27</v>
      </c>
      <c r="D56" s="111"/>
    </row>
    <row r="57" spans="1:4" ht="15.75" outlineLevel="1">
      <c r="A57" s="37" t="s">
        <v>1008</v>
      </c>
      <c r="B57" s="38" t="s">
        <v>7</v>
      </c>
      <c r="C57" s="37">
        <v>5.28</v>
      </c>
      <c r="D57" s="111"/>
    </row>
    <row r="58" spans="1:4" ht="15.75" outlineLevel="1">
      <c r="A58" s="37" t="s">
        <v>1008</v>
      </c>
      <c r="B58" s="38" t="s">
        <v>8</v>
      </c>
      <c r="C58" s="39">
        <v>5.3</v>
      </c>
      <c r="D58" s="111"/>
    </row>
    <row r="59" spans="1:4" ht="15.75" outlineLevel="1">
      <c r="A59" s="37" t="s">
        <v>1008</v>
      </c>
      <c r="B59" s="38" t="s">
        <v>185</v>
      </c>
      <c r="C59" s="37">
        <v>5.31</v>
      </c>
      <c r="D59" s="111"/>
    </row>
    <row r="60" spans="1:4" ht="15.75" outlineLevel="1">
      <c r="A60" s="37" t="s">
        <v>1008</v>
      </c>
      <c r="B60" s="38" t="s">
        <v>150</v>
      </c>
      <c r="C60" s="37">
        <v>5.36</v>
      </c>
      <c r="D60" s="111"/>
    </row>
    <row r="61" spans="1:4" ht="15.75" outlineLevel="1">
      <c r="A61" s="37" t="s">
        <v>1008</v>
      </c>
      <c r="B61" s="38" t="s">
        <v>9</v>
      </c>
      <c r="C61" s="37">
        <v>5.49</v>
      </c>
      <c r="D61" s="111"/>
    </row>
    <row r="62" spans="1:4" ht="15.75" outlineLevel="1">
      <c r="A62" s="37" t="s">
        <v>1008</v>
      </c>
      <c r="B62" s="38" t="s">
        <v>10</v>
      </c>
      <c r="C62" s="37">
        <v>5.51</v>
      </c>
      <c r="D62" s="111"/>
    </row>
    <row r="63" spans="1:4" ht="15.75" outlineLevel="1">
      <c r="A63" s="37" t="s">
        <v>1008</v>
      </c>
      <c r="B63" s="38" t="s">
        <v>1156</v>
      </c>
      <c r="C63" s="37">
        <v>5.52</v>
      </c>
      <c r="D63" s="111"/>
    </row>
    <row r="64" spans="1:4" ht="15.75" outlineLevel="1">
      <c r="A64" s="37" t="s">
        <v>1008</v>
      </c>
      <c r="B64" s="38" t="s">
        <v>11</v>
      </c>
      <c r="C64" s="37">
        <v>5.53</v>
      </c>
      <c r="D64" s="111"/>
    </row>
    <row r="65" spans="1:4" ht="15.75" outlineLevel="1">
      <c r="A65" s="37" t="s">
        <v>1008</v>
      </c>
      <c r="B65" s="38" t="s">
        <v>12</v>
      </c>
      <c r="C65" s="37">
        <v>5.69</v>
      </c>
      <c r="D65" s="111"/>
    </row>
    <row r="66" spans="1:4" ht="15.75" outlineLevel="1">
      <c r="A66" s="37" t="s">
        <v>1008</v>
      </c>
      <c r="B66" s="38" t="s">
        <v>953</v>
      </c>
      <c r="C66" s="39">
        <v>5.72</v>
      </c>
      <c r="D66" s="111"/>
    </row>
    <row r="67" spans="1:4" ht="15.75" outlineLevel="1">
      <c r="A67" s="37" t="s">
        <v>1008</v>
      </c>
      <c r="B67" s="38" t="s">
        <v>13</v>
      </c>
      <c r="C67" s="37">
        <v>5.75</v>
      </c>
      <c r="D67" s="111"/>
    </row>
    <row r="68" spans="1:4" ht="15.75" outlineLevel="1">
      <c r="A68" s="37" t="s">
        <v>1008</v>
      </c>
      <c r="B68" s="38" t="s">
        <v>14</v>
      </c>
      <c r="C68" s="39">
        <v>5.7</v>
      </c>
      <c r="D68" s="111"/>
    </row>
    <row r="69" spans="1:4" ht="15.75" outlineLevel="1">
      <c r="A69" s="37" t="s">
        <v>1008</v>
      </c>
      <c r="B69" s="38" t="s">
        <v>15</v>
      </c>
      <c r="C69" s="37">
        <v>5.74</v>
      </c>
      <c r="D69" s="111"/>
    </row>
    <row r="70" spans="1:4" ht="15.75" outlineLevel="1">
      <c r="A70" s="37" t="s">
        <v>1008</v>
      </c>
      <c r="B70" s="38" t="s">
        <v>456</v>
      </c>
      <c r="C70" s="37">
        <v>5.76</v>
      </c>
      <c r="D70" s="111"/>
    </row>
    <row r="71" spans="1:4" ht="15.75" outlineLevel="1">
      <c r="A71" s="37" t="s">
        <v>1008</v>
      </c>
      <c r="B71" s="38" t="s">
        <v>874</v>
      </c>
      <c r="C71" s="37">
        <v>5.89</v>
      </c>
      <c r="D71" s="110" t="s">
        <v>1153</v>
      </c>
    </row>
    <row r="72" spans="1:4" ht="15.75" outlineLevel="1">
      <c r="A72" s="37" t="s">
        <v>1008</v>
      </c>
      <c r="B72" s="38" t="s">
        <v>17</v>
      </c>
      <c r="C72" s="37">
        <v>5.58</v>
      </c>
      <c r="D72" s="111"/>
    </row>
    <row r="73" spans="1:4" ht="15.75" outlineLevel="1">
      <c r="A73" s="37" t="s">
        <v>1008</v>
      </c>
      <c r="B73" s="38" t="s">
        <v>16</v>
      </c>
      <c r="C73" s="37">
        <v>5.62</v>
      </c>
      <c r="D73" s="111"/>
    </row>
    <row r="74" spans="1:4" ht="15.75" outlineLevel="1">
      <c r="A74" s="37" t="s">
        <v>1008</v>
      </c>
      <c r="B74" s="38" t="s">
        <v>18</v>
      </c>
      <c r="C74" s="37">
        <v>5.54</v>
      </c>
      <c r="D74" s="111"/>
    </row>
    <row r="75" spans="1:4" ht="15.75" outlineLevel="1">
      <c r="A75" s="37" t="s">
        <v>1008</v>
      </c>
      <c r="B75" s="38" t="s">
        <v>19</v>
      </c>
      <c r="C75" s="37">
        <v>5.55</v>
      </c>
      <c r="D75" s="111"/>
    </row>
    <row r="76" spans="1:4" ht="15.75" outlineLevel="1">
      <c r="A76" s="37" t="s">
        <v>1008</v>
      </c>
      <c r="B76" s="38" t="s">
        <v>20</v>
      </c>
      <c r="C76" s="37">
        <v>5.63</v>
      </c>
      <c r="D76" s="111"/>
    </row>
    <row r="77" spans="1:4" ht="15.75" outlineLevel="1">
      <c r="A77" s="37" t="s">
        <v>1008</v>
      </c>
      <c r="B77" s="38" t="s">
        <v>21</v>
      </c>
      <c r="C77" s="37">
        <v>5.65</v>
      </c>
      <c r="D77" s="111"/>
    </row>
    <row r="78" spans="1:4" ht="15.75" outlineLevel="1">
      <c r="A78" s="37" t="s">
        <v>1008</v>
      </c>
      <c r="B78" s="38" t="s">
        <v>201</v>
      </c>
      <c r="C78" s="37">
        <v>5.66</v>
      </c>
      <c r="D78" s="111"/>
    </row>
    <row r="79" spans="1:4" ht="15.75" outlineLevel="1">
      <c r="A79" s="37" t="s">
        <v>1008</v>
      </c>
      <c r="B79" s="38" t="s">
        <v>22</v>
      </c>
      <c r="C79" s="37">
        <v>5.68</v>
      </c>
      <c r="D79" s="111"/>
    </row>
    <row r="80" spans="1:4" ht="15.75" outlineLevel="1">
      <c r="A80" s="37" t="s">
        <v>1008</v>
      </c>
      <c r="B80" s="38" t="s">
        <v>23</v>
      </c>
      <c r="C80" s="37">
        <v>5.45</v>
      </c>
      <c r="D80" s="111"/>
    </row>
    <row r="81" spans="1:4" ht="15.75" outlineLevel="1">
      <c r="A81" s="37" t="s">
        <v>1008</v>
      </c>
      <c r="B81" s="38" t="s">
        <v>24</v>
      </c>
      <c r="C81" s="37">
        <v>5.47</v>
      </c>
      <c r="D81" s="111"/>
    </row>
    <row r="82" spans="1:4" ht="15.75" outlineLevel="1">
      <c r="A82" s="37" t="s">
        <v>1008</v>
      </c>
      <c r="B82" s="38" t="s">
        <v>25</v>
      </c>
      <c r="C82" s="37">
        <v>5.48</v>
      </c>
      <c r="D82" s="111"/>
    </row>
    <row r="83" spans="1:4" ht="15.75">
      <c r="A83" s="43" t="s">
        <v>1008</v>
      </c>
      <c r="B83" s="38"/>
      <c r="C83" s="37"/>
      <c r="D83" s="111"/>
    </row>
    <row r="84" spans="1:4" ht="15.75" outlineLevel="1">
      <c r="A84" s="37" t="s">
        <v>1009</v>
      </c>
      <c r="B84" s="38" t="s">
        <v>0</v>
      </c>
      <c r="C84" s="37">
        <v>5.0999999999999996</v>
      </c>
      <c r="D84" s="111"/>
    </row>
    <row r="85" spans="1:4" ht="15.75" outlineLevel="1">
      <c r="A85" s="37" t="s">
        <v>1009</v>
      </c>
      <c r="B85" s="38" t="s">
        <v>1</v>
      </c>
      <c r="C85" s="37">
        <v>5.2</v>
      </c>
      <c r="D85" s="111"/>
    </row>
    <row r="86" spans="1:4" ht="15.75" outlineLevel="1">
      <c r="A86" s="37" t="s">
        <v>1009</v>
      </c>
      <c r="B86" s="38" t="s">
        <v>2</v>
      </c>
      <c r="C86" s="37">
        <v>5.3</v>
      </c>
      <c r="D86" s="111"/>
    </row>
    <row r="87" spans="1:4" ht="15.75" outlineLevel="1">
      <c r="A87" s="37" t="s">
        <v>1009</v>
      </c>
      <c r="B87" s="38" t="s">
        <v>182</v>
      </c>
      <c r="C87" s="37">
        <v>5.6</v>
      </c>
      <c r="D87" s="111"/>
    </row>
    <row r="88" spans="1:4" ht="15.75" outlineLevel="1">
      <c r="A88" s="37" t="s">
        <v>1009</v>
      </c>
      <c r="B88" s="38" t="s">
        <v>1155</v>
      </c>
      <c r="C88" s="39">
        <v>5.0999999999999996</v>
      </c>
      <c r="D88" s="111"/>
    </row>
    <row r="89" spans="1:4" ht="15.75" outlineLevel="1">
      <c r="A89" s="37" t="s">
        <v>1009</v>
      </c>
      <c r="B89" s="38" t="s">
        <v>1154</v>
      </c>
      <c r="C89" s="37">
        <v>5.14</v>
      </c>
      <c r="D89" s="111"/>
    </row>
    <row r="90" spans="1:4" ht="15.75" outlineLevel="1">
      <c r="A90" s="37" t="s">
        <v>1009</v>
      </c>
      <c r="B90" s="38" t="s">
        <v>4</v>
      </c>
      <c r="C90" s="37">
        <v>5.19</v>
      </c>
      <c r="D90" s="111"/>
    </row>
    <row r="91" spans="1:4" ht="15.75" outlineLevel="1">
      <c r="A91" s="37" t="s">
        <v>1009</v>
      </c>
      <c r="B91" s="38" t="s">
        <v>184</v>
      </c>
      <c r="C91" s="37">
        <v>5.24</v>
      </c>
      <c r="D91" s="111"/>
    </row>
    <row r="92" spans="1:4" ht="15.75" outlineLevel="1">
      <c r="A92" s="37" t="s">
        <v>1009</v>
      </c>
      <c r="B92" s="38" t="s">
        <v>5</v>
      </c>
      <c r="C92" s="37">
        <v>5.26</v>
      </c>
      <c r="D92" s="111"/>
    </row>
    <row r="93" spans="1:4" ht="15.75" outlineLevel="1">
      <c r="A93" s="37" t="s">
        <v>1009</v>
      </c>
      <c r="B93" s="38" t="s">
        <v>6</v>
      </c>
      <c r="C93" s="37">
        <v>5.27</v>
      </c>
      <c r="D93" s="111"/>
    </row>
    <row r="94" spans="1:4" ht="15.75" outlineLevel="1">
      <c r="A94" s="37" t="s">
        <v>1009</v>
      </c>
      <c r="B94" s="38" t="s">
        <v>7</v>
      </c>
      <c r="C94" s="37">
        <v>5.28</v>
      </c>
      <c r="D94" s="111"/>
    </row>
    <row r="95" spans="1:4" ht="15.75" outlineLevel="1">
      <c r="A95" s="37" t="s">
        <v>1009</v>
      </c>
      <c r="B95" s="38" t="s">
        <v>372</v>
      </c>
      <c r="C95" s="37">
        <v>5.29</v>
      </c>
      <c r="D95" s="111"/>
    </row>
    <row r="96" spans="1:4" ht="15.75" outlineLevel="1">
      <c r="A96" s="37" t="s">
        <v>1009</v>
      </c>
      <c r="B96" s="38" t="s">
        <v>8</v>
      </c>
      <c r="C96" s="39">
        <v>5.3</v>
      </c>
      <c r="D96" s="111"/>
    </row>
    <row r="97" spans="1:4" ht="15.75" outlineLevel="1">
      <c r="A97" s="37" t="s">
        <v>1009</v>
      </c>
      <c r="B97" s="38" t="s">
        <v>185</v>
      </c>
      <c r="C97" s="37">
        <v>5.31</v>
      </c>
      <c r="D97" s="111"/>
    </row>
    <row r="98" spans="1:4" ht="15.75" outlineLevel="1">
      <c r="A98" s="37" t="s">
        <v>1009</v>
      </c>
      <c r="B98" s="38" t="s">
        <v>150</v>
      </c>
      <c r="C98" s="37">
        <v>5.36</v>
      </c>
      <c r="D98" s="111"/>
    </row>
    <row r="99" spans="1:4" ht="15.75" outlineLevel="1">
      <c r="A99" s="37" t="s">
        <v>1009</v>
      </c>
      <c r="B99" s="38" t="s">
        <v>9</v>
      </c>
      <c r="C99" s="37">
        <v>5.49</v>
      </c>
      <c r="D99" s="111"/>
    </row>
    <row r="100" spans="1:4" ht="15.75" outlineLevel="1">
      <c r="A100" s="37" t="s">
        <v>1009</v>
      </c>
      <c r="B100" s="38" t="s">
        <v>10</v>
      </c>
      <c r="C100" s="37">
        <v>5.51</v>
      </c>
      <c r="D100" s="111"/>
    </row>
    <row r="101" spans="1:4" ht="15.75" outlineLevel="1">
      <c r="A101" s="37" t="s">
        <v>1009</v>
      </c>
      <c r="B101" s="38" t="s">
        <v>1156</v>
      </c>
      <c r="C101" s="37">
        <v>5.52</v>
      </c>
      <c r="D101" s="111"/>
    </row>
    <row r="102" spans="1:4" ht="15.75" outlineLevel="1">
      <c r="A102" s="37" t="s">
        <v>1009</v>
      </c>
      <c r="B102" s="38" t="s">
        <v>11</v>
      </c>
      <c r="C102" s="37">
        <v>5.53</v>
      </c>
      <c r="D102" s="111"/>
    </row>
    <row r="103" spans="1:4" ht="15.75" outlineLevel="1">
      <c r="A103" s="37" t="s">
        <v>1009</v>
      </c>
      <c r="B103" s="38" t="s">
        <v>12</v>
      </c>
      <c r="C103" s="37">
        <v>5.69</v>
      </c>
      <c r="D103" s="111"/>
    </row>
    <row r="104" spans="1:4" ht="15.75" outlineLevel="1">
      <c r="A104" s="37" t="s">
        <v>1009</v>
      </c>
      <c r="B104" s="38" t="s">
        <v>13</v>
      </c>
      <c r="C104" s="37">
        <v>5.75</v>
      </c>
      <c r="D104" s="111"/>
    </row>
    <row r="105" spans="1:4" ht="15.75" outlineLevel="1">
      <c r="A105" s="37" t="s">
        <v>1009</v>
      </c>
      <c r="B105" s="38" t="s">
        <v>14</v>
      </c>
      <c r="C105" s="39">
        <v>5.7</v>
      </c>
      <c r="D105" s="111"/>
    </row>
    <row r="106" spans="1:4" ht="15.75" outlineLevel="1">
      <c r="A106" s="37" t="s">
        <v>1009</v>
      </c>
      <c r="B106" s="38" t="s">
        <v>15</v>
      </c>
      <c r="C106" s="37">
        <v>5.74</v>
      </c>
      <c r="D106" s="111"/>
    </row>
    <row r="107" spans="1:4" ht="15.75" outlineLevel="1">
      <c r="A107" s="37" t="s">
        <v>1009</v>
      </c>
      <c r="B107" s="38" t="s">
        <v>456</v>
      </c>
      <c r="C107" s="37">
        <v>5.76</v>
      </c>
      <c r="D107" s="111"/>
    </row>
    <row r="108" spans="1:4" ht="15.75" outlineLevel="1">
      <c r="A108" s="37" t="s">
        <v>1009</v>
      </c>
      <c r="B108" s="38" t="s">
        <v>874</v>
      </c>
      <c r="C108" s="37">
        <v>5.89</v>
      </c>
      <c r="D108" s="110" t="s">
        <v>1153</v>
      </c>
    </row>
    <row r="109" spans="1:4" ht="15.75" outlineLevel="1">
      <c r="A109" s="37" t="s">
        <v>1009</v>
      </c>
      <c r="B109" s="38" t="s">
        <v>17</v>
      </c>
      <c r="C109" s="37">
        <v>5.58</v>
      </c>
      <c r="D109" s="111"/>
    </row>
    <row r="110" spans="1:4" ht="15.75" outlineLevel="1">
      <c r="A110" s="37" t="s">
        <v>1009</v>
      </c>
      <c r="B110" s="38" t="s">
        <v>16</v>
      </c>
      <c r="C110" s="37">
        <v>5.62</v>
      </c>
      <c r="D110" s="111"/>
    </row>
    <row r="111" spans="1:4" ht="15.75" outlineLevel="1">
      <c r="A111" s="37" t="s">
        <v>1009</v>
      </c>
      <c r="B111" s="38" t="s">
        <v>18</v>
      </c>
      <c r="C111" s="37">
        <v>5.54</v>
      </c>
      <c r="D111" s="111"/>
    </row>
    <row r="112" spans="1:4" ht="15.75" outlineLevel="1">
      <c r="A112" s="37" t="s">
        <v>1009</v>
      </c>
      <c r="B112" s="38" t="s">
        <v>19</v>
      </c>
      <c r="C112" s="37">
        <v>5.55</v>
      </c>
      <c r="D112" s="111"/>
    </row>
    <row r="113" spans="1:4" ht="15.75" outlineLevel="1">
      <c r="A113" s="37" t="s">
        <v>1009</v>
      </c>
      <c r="B113" s="38" t="s">
        <v>21</v>
      </c>
      <c r="C113" s="37">
        <v>5.65</v>
      </c>
      <c r="D113" s="111"/>
    </row>
    <row r="114" spans="1:4" ht="15.75" outlineLevel="1">
      <c r="A114" s="37" t="s">
        <v>1009</v>
      </c>
      <c r="B114" s="38" t="s">
        <v>201</v>
      </c>
      <c r="C114" s="37">
        <v>5.66</v>
      </c>
      <c r="D114" s="111"/>
    </row>
    <row r="115" spans="1:4" ht="15.75" outlineLevel="1">
      <c r="A115" s="37" t="s">
        <v>1009</v>
      </c>
      <c r="B115" s="38" t="s">
        <v>22</v>
      </c>
      <c r="C115" s="37">
        <v>5.68</v>
      </c>
      <c r="D115" s="111"/>
    </row>
    <row r="116" spans="1:4" ht="15.75" outlineLevel="1">
      <c r="A116" s="37" t="s">
        <v>1009</v>
      </c>
      <c r="B116" s="38" t="s">
        <v>23</v>
      </c>
      <c r="C116" s="37">
        <v>5.45</v>
      </c>
      <c r="D116" s="111"/>
    </row>
    <row r="117" spans="1:4" ht="15.75" outlineLevel="1">
      <c r="A117" s="37" t="s">
        <v>1009</v>
      </c>
      <c r="B117" s="38" t="s">
        <v>24</v>
      </c>
      <c r="C117" s="37">
        <v>5.47</v>
      </c>
      <c r="D117" s="111"/>
    </row>
    <row r="118" spans="1:4" ht="15.75" outlineLevel="1">
      <c r="A118" s="37" t="s">
        <v>1009</v>
      </c>
      <c r="B118" s="38" t="s">
        <v>25</v>
      </c>
      <c r="C118" s="37">
        <v>5.48</v>
      </c>
      <c r="D118" s="111"/>
    </row>
    <row r="119" spans="1:4" ht="15.75">
      <c r="A119" s="43" t="s">
        <v>1009</v>
      </c>
      <c r="B119" s="38"/>
      <c r="C119" s="37"/>
      <c r="D119" s="111"/>
    </row>
    <row r="120" spans="1:4" ht="15.75" outlineLevel="1">
      <c r="A120" s="37" t="s">
        <v>1157</v>
      </c>
      <c r="B120" s="38" t="s">
        <v>0</v>
      </c>
      <c r="C120" s="37">
        <v>5.0999999999999996</v>
      </c>
      <c r="D120" s="111"/>
    </row>
    <row r="121" spans="1:4" ht="15.75" outlineLevel="1">
      <c r="A121" s="37" t="s">
        <v>1157</v>
      </c>
      <c r="B121" s="38" t="s">
        <v>1</v>
      </c>
      <c r="C121" s="37">
        <v>5.2</v>
      </c>
      <c r="D121" s="111"/>
    </row>
    <row r="122" spans="1:4" ht="15.75" outlineLevel="1">
      <c r="A122" s="37" t="s">
        <v>1157</v>
      </c>
      <c r="B122" s="38" t="s">
        <v>2</v>
      </c>
      <c r="C122" s="37">
        <v>5.3</v>
      </c>
      <c r="D122" s="111"/>
    </row>
    <row r="123" spans="1:4" ht="15.75" outlineLevel="1">
      <c r="A123" s="37" t="s">
        <v>1157</v>
      </c>
      <c r="B123" s="38" t="s">
        <v>182</v>
      </c>
      <c r="C123" s="37">
        <v>5.6</v>
      </c>
      <c r="D123" s="111"/>
    </row>
    <row r="124" spans="1:4" ht="15.75" outlineLevel="1">
      <c r="A124" s="37" t="s">
        <v>1157</v>
      </c>
      <c r="B124" s="38" t="s">
        <v>1155</v>
      </c>
      <c r="C124" s="39">
        <v>5.0999999999999996</v>
      </c>
      <c r="D124" s="111"/>
    </row>
    <row r="125" spans="1:4" ht="15.75" outlineLevel="1">
      <c r="A125" s="37" t="s">
        <v>1157</v>
      </c>
      <c r="B125" s="38" t="s">
        <v>1154</v>
      </c>
      <c r="C125" s="37">
        <v>5.14</v>
      </c>
      <c r="D125" s="111"/>
    </row>
    <row r="126" spans="1:4" ht="15.75" outlineLevel="1">
      <c r="A126" s="37" t="s">
        <v>1157</v>
      </c>
      <c r="B126" s="38" t="s">
        <v>4</v>
      </c>
      <c r="C126" s="37">
        <v>5.19</v>
      </c>
      <c r="D126" s="111"/>
    </row>
    <row r="127" spans="1:4" ht="15.75" outlineLevel="1">
      <c r="A127" s="37" t="s">
        <v>1157</v>
      </c>
      <c r="B127" s="38" t="s">
        <v>184</v>
      </c>
      <c r="C127" s="37">
        <v>5.24</v>
      </c>
      <c r="D127" s="111"/>
    </row>
    <row r="128" spans="1:4" ht="15.75" outlineLevel="1">
      <c r="A128" s="37" t="s">
        <v>1157</v>
      </c>
      <c r="B128" s="38" t="s">
        <v>5</v>
      </c>
      <c r="C128" s="37">
        <v>5.26</v>
      </c>
      <c r="D128" s="111"/>
    </row>
    <row r="129" spans="1:4" ht="15.75" outlineLevel="1">
      <c r="A129" s="37" t="s">
        <v>1157</v>
      </c>
      <c r="B129" s="38" t="s">
        <v>6</v>
      </c>
      <c r="C129" s="37">
        <v>5.27</v>
      </c>
      <c r="D129" s="111"/>
    </row>
    <row r="130" spans="1:4" ht="15.75" outlineLevel="1">
      <c r="A130" s="37" t="s">
        <v>1157</v>
      </c>
      <c r="B130" s="38" t="s">
        <v>7</v>
      </c>
      <c r="C130" s="37">
        <v>5.28</v>
      </c>
      <c r="D130" s="111"/>
    </row>
    <row r="131" spans="1:4" ht="15.75" outlineLevel="1">
      <c r="A131" s="37" t="s">
        <v>1157</v>
      </c>
      <c r="B131" s="38" t="s">
        <v>372</v>
      </c>
      <c r="C131" s="37">
        <v>5.29</v>
      </c>
      <c r="D131" s="111"/>
    </row>
    <row r="132" spans="1:4" ht="15.75" outlineLevel="1">
      <c r="A132" s="37" t="s">
        <v>1157</v>
      </c>
      <c r="B132" s="38" t="s">
        <v>8</v>
      </c>
      <c r="C132" s="39">
        <v>5.3</v>
      </c>
      <c r="D132" s="111"/>
    </row>
    <row r="133" spans="1:4" ht="15.75" outlineLevel="1">
      <c r="A133" s="37" t="s">
        <v>1157</v>
      </c>
      <c r="B133" s="38" t="s">
        <v>185</v>
      </c>
      <c r="C133" s="37">
        <v>5.31</v>
      </c>
      <c r="D133" s="111"/>
    </row>
    <row r="134" spans="1:4" ht="15.75" outlineLevel="1">
      <c r="A134" s="37" t="s">
        <v>1157</v>
      </c>
      <c r="B134" s="38" t="s">
        <v>150</v>
      </c>
      <c r="C134" s="37">
        <v>5.36</v>
      </c>
      <c r="D134" s="111"/>
    </row>
    <row r="135" spans="1:4" ht="15.75" outlineLevel="1">
      <c r="A135" s="37" t="s">
        <v>1157</v>
      </c>
      <c r="B135" s="38" t="s">
        <v>11</v>
      </c>
      <c r="C135" s="37">
        <v>5.53</v>
      </c>
      <c r="D135" s="111"/>
    </row>
    <row r="136" spans="1:4" ht="15.75" outlineLevel="1">
      <c r="A136" s="37" t="s">
        <v>1157</v>
      </c>
      <c r="B136" s="38" t="s">
        <v>17</v>
      </c>
      <c r="C136" s="37">
        <v>5.58</v>
      </c>
      <c r="D136" s="111"/>
    </row>
    <row r="137" spans="1:4" ht="15.75" outlineLevel="1">
      <c r="A137" s="37" t="s">
        <v>1157</v>
      </c>
      <c r="B137" s="38" t="s">
        <v>16</v>
      </c>
      <c r="C137" s="37">
        <v>5.62</v>
      </c>
      <c r="D137" s="111"/>
    </row>
    <row r="138" spans="1:4" ht="15.75" outlineLevel="1">
      <c r="A138" s="37" t="s">
        <v>1157</v>
      </c>
      <c r="B138" s="38" t="s">
        <v>18</v>
      </c>
      <c r="C138" s="37">
        <v>5.54</v>
      </c>
      <c r="D138" s="111"/>
    </row>
    <row r="139" spans="1:4" ht="15.75" outlineLevel="1">
      <c r="A139" s="37" t="s">
        <v>1157</v>
      </c>
      <c r="B139" s="38" t="s">
        <v>19</v>
      </c>
      <c r="C139" s="37">
        <v>5.55</v>
      </c>
      <c r="D139" s="111"/>
    </row>
    <row r="140" spans="1:4" ht="15.75" outlineLevel="1">
      <c r="A140" s="37" t="s">
        <v>1157</v>
      </c>
      <c r="B140" s="38" t="s">
        <v>20</v>
      </c>
      <c r="C140" s="37">
        <v>5.63</v>
      </c>
      <c r="D140" s="111"/>
    </row>
    <row r="141" spans="1:4" ht="15.75" outlineLevel="1">
      <c r="A141" s="37" t="s">
        <v>1157</v>
      </c>
      <c r="B141" s="38" t="s">
        <v>23</v>
      </c>
      <c r="C141" s="37">
        <v>5.45</v>
      </c>
      <c r="D141" s="111"/>
    </row>
    <row r="142" spans="1:4" ht="15.75" outlineLevel="1">
      <c r="A142" s="37" t="s">
        <v>1157</v>
      </c>
      <c r="B142" s="38" t="s">
        <v>24</v>
      </c>
      <c r="C142" s="37">
        <v>5.47</v>
      </c>
      <c r="D142" s="111"/>
    </row>
    <row r="143" spans="1:4" ht="15.75" outlineLevel="1">
      <c r="A143" s="37" t="s">
        <v>1157</v>
      </c>
      <c r="B143" s="38" t="s">
        <v>25</v>
      </c>
      <c r="C143" s="37">
        <v>5.48</v>
      </c>
      <c r="D143" s="111"/>
    </row>
    <row r="144" spans="1:4" ht="15.75">
      <c r="A144" s="43" t="s">
        <v>1157</v>
      </c>
      <c r="B144" s="38"/>
      <c r="C144" s="37"/>
      <c r="D144" s="111"/>
    </row>
    <row r="145" spans="1:4" ht="15.75" outlineLevel="1">
      <c r="A145" s="37" t="s">
        <v>516</v>
      </c>
      <c r="B145" s="38" t="s">
        <v>0</v>
      </c>
      <c r="C145" s="37">
        <v>5.0999999999999996</v>
      </c>
      <c r="D145" s="111"/>
    </row>
    <row r="146" spans="1:4" ht="15.75" outlineLevel="1">
      <c r="A146" s="37" t="s">
        <v>516</v>
      </c>
      <c r="B146" s="38" t="s">
        <v>1</v>
      </c>
      <c r="C146" s="37">
        <v>5.2</v>
      </c>
      <c r="D146" s="111"/>
    </row>
    <row r="147" spans="1:4" ht="15.75" outlineLevel="1">
      <c r="A147" s="37" t="s">
        <v>516</v>
      </c>
      <c r="B147" s="38" t="s">
        <v>2</v>
      </c>
      <c r="C147" s="37">
        <v>5.3</v>
      </c>
      <c r="D147" s="111"/>
    </row>
    <row r="148" spans="1:4" ht="15.75" outlineLevel="1">
      <c r="A148" s="37" t="s">
        <v>516</v>
      </c>
      <c r="B148" s="38" t="s">
        <v>182</v>
      </c>
      <c r="C148" s="37">
        <v>5.6</v>
      </c>
      <c r="D148" s="111"/>
    </row>
    <row r="149" spans="1:4" ht="15.75" outlineLevel="1">
      <c r="A149" s="37" t="s">
        <v>516</v>
      </c>
      <c r="B149" s="38" t="s">
        <v>1155</v>
      </c>
      <c r="C149" s="39">
        <v>5.0999999999999996</v>
      </c>
      <c r="D149" s="111"/>
    </row>
    <row r="150" spans="1:4" ht="15.75" outlineLevel="1">
      <c r="A150" s="37" t="s">
        <v>516</v>
      </c>
      <c r="B150" s="38" t="s">
        <v>1154</v>
      </c>
      <c r="C150" s="37">
        <v>5.14</v>
      </c>
      <c r="D150" s="111"/>
    </row>
    <row r="151" spans="1:4" ht="15.75" outlineLevel="1">
      <c r="A151" s="37" t="s">
        <v>516</v>
      </c>
      <c r="B151" s="38" t="s">
        <v>4</v>
      </c>
      <c r="C151" s="37">
        <v>5.19</v>
      </c>
      <c r="D151" s="111"/>
    </row>
    <row r="152" spans="1:4" ht="15.75" outlineLevel="1">
      <c r="A152" s="37" t="s">
        <v>516</v>
      </c>
      <c r="B152" s="38" t="s">
        <v>184</v>
      </c>
      <c r="C152" s="37">
        <v>5.24</v>
      </c>
      <c r="D152" s="111"/>
    </row>
    <row r="153" spans="1:4" ht="15.75" outlineLevel="1">
      <c r="A153" s="37" t="s">
        <v>516</v>
      </c>
      <c r="B153" s="38" t="s">
        <v>5</v>
      </c>
      <c r="C153" s="37">
        <v>5.26</v>
      </c>
      <c r="D153" s="111"/>
    </row>
    <row r="154" spans="1:4" ht="15.75" outlineLevel="1">
      <c r="A154" s="37" t="s">
        <v>516</v>
      </c>
      <c r="B154" s="38" t="s">
        <v>6</v>
      </c>
      <c r="C154" s="37">
        <v>5.27</v>
      </c>
      <c r="D154" s="111"/>
    </row>
    <row r="155" spans="1:4" ht="15.75" outlineLevel="1">
      <c r="A155" s="37" t="s">
        <v>516</v>
      </c>
      <c r="B155" s="38" t="s">
        <v>7</v>
      </c>
      <c r="C155" s="37">
        <v>5.28</v>
      </c>
      <c r="D155" s="111"/>
    </row>
    <row r="156" spans="1:4" ht="15.75" outlineLevel="1">
      <c r="A156" s="37" t="s">
        <v>516</v>
      </c>
      <c r="B156" s="38" t="s">
        <v>8</v>
      </c>
      <c r="C156" s="39">
        <v>5.3</v>
      </c>
      <c r="D156" s="111"/>
    </row>
    <row r="157" spans="1:4" ht="15.75" outlineLevel="1">
      <c r="A157" s="37" t="s">
        <v>516</v>
      </c>
      <c r="B157" s="38" t="s">
        <v>614</v>
      </c>
      <c r="C157" s="37">
        <v>5.32</v>
      </c>
      <c r="D157" s="111"/>
    </row>
    <row r="158" spans="1:4" ht="15.75" outlineLevel="1">
      <c r="A158" s="37" t="s">
        <v>516</v>
      </c>
      <c r="B158" s="38" t="s">
        <v>150</v>
      </c>
      <c r="C158" s="37">
        <v>5.36</v>
      </c>
      <c r="D158" s="111"/>
    </row>
    <row r="159" spans="1:4" ht="15.75" outlineLevel="1">
      <c r="A159" s="37" t="s">
        <v>516</v>
      </c>
      <c r="B159" s="38" t="s">
        <v>11</v>
      </c>
      <c r="C159" s="37">
        <v>5.53</v>
      </c>
      <c r="D159" s="111"/>
    </row>
    <row r="160" spans="1:4" ht="15.75" outlineLevel="1">
      <c r="A160" s="37" t="s">
        <v>516</v>
      </c>
      <c r="B160" s="38" t="s">
        <v>17</v>
      </c>
      <c r="C160" s="37">
        <v>5.58</v>
      </c>
      <c r="D160" s="111"/>
    </row>
    <row r="161" spans="1:5" ht="15.75" outlineLevel="1">
      <c r="A161" s="37" t="s">
        <v>516</v>
      </c>
      <c r="B161" s="38" t="s">
        <v>18</v>
      </c>
      <c r="C161" s="37">
        <v>5.54</v>
      </c>
      <c r="D161" s="111"/>
    </row>
    <row r="162" spans="1:5" ht="15.75" outlineLevel="1">
      <c r="A162" s="37" t="s">
        <v>516</v>
      </c>
      <c r="B162" s="38" t="s">
        <v>19</v>
      </c>
      <c r="C162" s="37">
        <v>5.55</v>
      </c>
      <c r="D162" s="111"/>
    </row>
    <row r="163" spans="1:5" ht="15.75" outlineLevel="1">
      <c r="A163" s="37" t="s">
        <v>516</v>
      </c>
      <c r="B163" s="38" t="s">
        <v>16</v>
      </c>
      <c r="C163" s="37">
        <v>5.62</v>
      </c>
      <c r="D163" s="111"/>
      <c r="E163" t="s">
        <v>1158</v>
      </c>
    </row>
    <row r="164" spans="1:5" ht="15.75" outlineLevel="1">
      <c r="A164" s="37" t="s">
        <v>516</v>
      </c>
      <c r="B164" s="38" t="s">
        <v>20</v>
      </c>
      <c r="C164" s="37">
        <v>5.63</v>
      </c>
      <c r="D164" s="111"/>
    </row>
    <row r="165" spans="1:5" ht="15.75" outlineLevel="1">
      <c r="A165" s="37" t="s">
        <v>516</v>
      </c>
      <c r="B165" s="38" t="s">
        <v>23</v>
      </c>
      <c r="C165" s="37">
        <v>5.45</v>
      </c>
      <c r="D165" s="111"/>
    </row>
    <row r="166" spans="1:5" ht="15.75" outlineLevel="1">
      <c r="A166" s="37" t="s">
        <v>516</v>
      </c>
      <c r="B166" s="38" t="s">
        <v>24</v>
      </c>
      <c r="C166" s="37">
        <v>5.47</v>
      </c>
      <c r="D166" s="111"/>
    </row>
    <row r="167" spans="1:5" ht="15.75" outlineLevel="1">
      <c r="A167" s="37" t="s">
        <v>516</v>
      </c>
      <c r="B167" s="38" t="s">
        <v>25</v>
      </c>
      <c r="C167" s="37">
        <v>5.48</v>
      </c>
      <c r="D167" s="111"/>
    </row>
    <row r="168" spans="1:5" ht="15.75">
      <c r="A168" s="43" t="s">
        <v>516</v>
      </c>
      <c r="B168" s="38"/>
      <c r="C168" s="37"/>
      <c r="D168" s="111"/>
    </row>
    <row r="169" spans="1:5" ht="15.75" outlineLevel="1">
      <c r="A169" s="37" t="s">
        <v>1029</v>
      </c>
      <c r="B169" s="38" t="s">
        <v>0</v>
      </c>
      <c r="C169" s="37">
        <v>5.0999999999999996</v>
      </c>
      <c r="D169" s="111"/>
    </row>
    <row r="170" spans="1:5" ht="15.75" outlineLevel="1">
      <c r="A170" s="37" t="s">
        <v>1029</v>
      </c>
      <c r="B170" s="38" t="s">
        <v>1</v>
      </c>
      <c r="C170" s="37">
        <v>5.2</v>
      </c>
      <c r="D170" s="111"/>
    </row>
    <row r="171" spans="1:5" ht="15.75" outlineLevel="1">
      <c r="A171" s="37" t="s">
        <v>1029</v>
      </c>
      <c r="B171" s="38" t="s">
        <v>2</v>
      </c>
      <c r="C171" s="37">
        <v>5.3</v>
      </c>
      <c r="D171" s="111"/>
    </row>
    <row r="172" spans="1:5" ht="15.75" outlineLevel="1">
      <c r="A172" s="37" t="s">
        <v>1029</v>
      </c>
      <c r="B172" s="38" t="s">
        <v>182</v>
      </c>
      <c r="C172" s="37">
        <v>5.6</v>
      </c>
      <c r="D172" s="111"/>
    </row>
    <row r="173" spans="1:5" ht="15.75" outlineLevel="1">
      <c r="A173" s="37" t="s">
        <v>1029</v>
      </c>
      <c r="B173" s="38" t="s">
        <v>1155</v>
      </c>
      <c r="C173" s="39">
        <v>5.0999999999999996</v>
      </c>
      <c r="D173" s="111"/>
    </row>
    <row r="174" spans="1:5" ht="15.75" outlineLevel="1">
      <c r="A174" s="37" t="s">
        <v>1029</v>
      </c>
      <c r="B174" s="38" t="s">
        <v>1154</v>
      </c>
      <c r="C174" s="37">
        <v>5.14</v>
      </c>
      <c r="D174" s="111"/>
    </row>
    <row r="175" spans="1:5" ht="15.75" outlineLevel="1">
      <c r="A175" s="37" t="s">
        <v>1029</v>
      </c>
      <c r="B175" s="38" t="s">
        <v>4</v>
      </c>
      <c r="C175" s="37">
        <v>5.19</v>
      </c>
      <c r="D175" s="111"/>
    </row>
    <row r="176" spans="1:5" ht="15.75" outlineLevel="1">
      <c r="A176" s="37" t="s">
        <v>1029</v>
      </c>
      <c r="B176" s="38" t="s">
        <v>184</v>
      </c>
      <c r="C176" s="37">
        <v>5.24</v>
      </c>
      <c r="D176" s="111"/>
    </row>
    <row r="177" spans="1:4" ht="15.75" outlineLevel="1">
      <c r="A177" s="37" t="s">
        <v>1029</v>
      </c>
      <c r="B177" s="38" t="s">
        <v>5</v>
      </c>
      <c r="C177" s="37">
        <v>5.26</v>
      </c>
      <c r="D177" s="111"/>
    </row>
    <row r="178" spans="1:4" ht="15.75" outlineLevel="1">
      <c r="A178" s="37" t="s">
        <v>1029</v>
      </c>
      <c r="B178" s="38" t="s">
        <v>6</v>
      </c>
      <c r="C178" s="37">
        <v>5.27</v>
      </c>
      <c r="D178" s="111"/>
    </row>
    <row r="179" spans="1:4" ht="15.75" outlineLevel="1">
      <c r="A179" s="37" t="s">
        <v>1029</v>
      </c>
      <c r="B179" s="38" t="s">
        <v>7</v>
      </c>
      <c r="C179" s="37">
        <v>5.28</v>
      </c>
      <c r="D179" s="111"/>
    </row>
    <row r="180" spans="1:4" ht="15.75" outlineLevel="1">
      <c r="A180" s="37" t="s">
        <v>1029</v>
      </c>
      <c r="B180" s="38" t="s">
        <v>372</v>
      </c>
      <c r="C180" s="37">
        <v>5.29</v>
      </c>
      <c r="D180" s="111"/>
    </row>
    <row r="181" spans="1:4" ht="15.75" outlineLevel="1">
      <c r="A181" s="37" t="s">
        <v>1029</v>
      </c>
      <c r="B181" s="38" t="s">
        <v>8</v>
      </c>
      <c r="C181" s="39">
        <v>5.3</v>
      </c>
      <c r="D181" s="111"/>
    </row>
    <row r="182" spans="1:4" ht="15.75" outlineLevel="1">
      <c r="A182" s="37" t="s">
        <v>1029</v>
      </c>
      <c r="B182" s="38" t="s">
        <v>614</v>
      </c>
      <c r="C182" s="37">
        <v>5.32</v>
      </c>
      <c r="D182" s="111"/>
    </row>
    <row r="183" spans="1:4" ht="15.75" outlineLevel="1">
      <c r="A183" s="37" t="s">
        <v>1029</v>
      </c>
      <c r="B183" s="38" t="s">
        <v>150</v>
      </c>
      <c r="C183" s="37">
        <v>5.36</v>
      </c>
      <c r="D183" s="111"/>
    </row>
    <row r="184" spans="1:4" ht="15.75" outlineLevel="1">
      <c r="A184" s="37" t="s">
        <v>1029</v>
      </c>
      <c r="B184" s="38" t="s">
        <v>11</v>
      </c>
      <c r="C184" s="37">
        <v>5.53</v>
      </c>
      <c r="D184" s="111"/>
    </row>
    <row r="185" spans="1:4" ht="15.75" outlineLevel="1">
      <c r="A185" s="37" t="s">
        <v>1029</v>
      </c>
      <c r="B185" s="38" t="s">
        <v>17</v>
      </c>
      <c r="C185" s="37">
        <v>5.58</v>
      </c>
      <c r="D185" s="111"/>
    </row>
    <row r="186" spans="1:4" ht="15.75" outlineLevel="1">
      <c r="A186" s="37" t="s">
        <v>1029</v>
      </c>
      <c r="B186" s="38" t="s">
        <v>18</v>
      </c>
      <c r="C186" s="37">
        <v>5.54</v>
      </c>
      <c r="D186" s="111"/>
    </row>
    <row r="187" spans="1:4" ht="15.75" outlineLevel="1">
      <c r="A187" s="37" t="s">
        <v>1029</v>
      </c>
      <c r="B187" s="38" t="s">
        <v>19</v>
      </c>
      <c r="C187" s="37">
        <v>5.55</v>
      </c>
      <c r="D187" s="111"/>
    </row>
    <row r="188" spans="1:4" ht="15.75" outlineLevel="1">
      <c r="A188" s="37" t="s">
        <v>1029</v>
      </c>
      <c r="B188" s="38" t="s">
        <v>20</v>
      </c>
      <c r="C188" s="37">
        <v>5.63</v>
      </c>
      <c r="D188" s="111"/>
    </row>
    <row r="189" spans="1:4" ht="15.75" outlineLevel="1">
      <c r="A189" s="37" t="s">
        <v>1029</v>
      </c>
      <c r="B189" s="38" t="s">
        <v>23</v>
      </c>
      <c r="C189" s="37">
        <v>5.45</v>
      </c>
      <c r="D189" s="111"/>
    </row>
    <row r="190" spans="1:4" ht="15.75" outlineLevel="1">
      <c r="A190" s="37" t="s">
        <v>1029</v>
      </c>
      <c r="B190" s="38" t="s">
        <v>24</v>
      </c>
      <c r="C190" s="37">
        <v>5.47</v>
      </c>
      <c r="D190" s="111"/>
    </row>
    <row r="191" spans="1:4" ht="15.75" outlineLevel="1">
      <c r="A191" s="37" t="s">
        <v>1029</v>
      </c>
      <c r="B191" s="38" t="s">
        <v>25</v>
      </c>
      <c r="C191" s="37">
        <v>5.48</v>
      </c>
      <c r="D191" s="111"/>
    </row>
    <row r="192" spans="1:4" ht="15.75">
      <c r="A192" s="43" t="s">
        <v>1029</v>
      </c>
      <c r="B192" s="38"/>
      <c r="C192" s="37"/>
      <c r="D192" s="111"/>
    </row>
    <row r="193" spans="1:4" ht="15.75" outlineLevel="1">
      <c r="A193" s="37" t="s">
        <v>1159</v>
      </c>
      <c r="B193" s="38" t="s">
        <v>0</v>
      </c>
      <c r="C193" s="37">
        <v>5.0999999999999996</v>
      </c>
      <c r="D193" s="111"/>
    </row>
    <row r="194" spans="1:4" ht="15.75" outlineLevel="1">
      <c r="A194" s="37" t="s">
        <v>1159</v>
      </c>
      <c r="B194" s="38" t="s">
        <v>1</v>
      </c>
      <c r="C194" s="37">
        <v>5.2</v>
      </c>
      <c r="D194" s="111"/>
    </row>
    <row r="195" spans="1:4" ht="15.75" outlineLevel="1">
      <c r="A195" s="37" t="s">
        <v>1159</v>
      </c>
      <c r="B195" s="38" t="s">
        <v>2</v>
      </c>
      <c r="C195" s="37">
        <v>5.3</v>
      </c>
      <c r="D195" s="111"/>
    </row>
    <row r="196" spans="1:4" ht="15.75" outlineLevel="1">
      <c r="A196" s="37" t="s">
        <v>1159</v>
      </c>
      <c r="B196" s="38" t="s">
        <v>182</v>
      </c>
      <c r="C196" s="37">
        <v>5.6</v>
      </c>
      <c r="D196" s="111"/>
    </row>
    <row r="197" spans="1:4" ht="15.75" outlineLevel="1">
      <c r="A197" s="37" t="s">
        <v>1159</v>
      </c>
      <c r="B197" s="38" t="s">
        <v>1155</v>
      </c>
      <c r="C197" s="39">
        <v>5.0999999999999996</v>
      </c>
      <c r="D197" s="111"/>
    </row>
    <row r="198" spans="1:4" ht="15.75" outlineLevel="1">
      <c r="A198" s="37" t="s">
        <v>1159</v>
      </c>
      <c r="B198" s="38" t="s">
        <v>1154</v>
      </c>
      <c r="C198" s="37">
        <v>5.14</v>
      </c>
      <c r="D198" s="111"/>
    </row>
    <row r="199" spans="1:4" ht="15.75" outlineLevel="1">
      <c r="A199" s="37" t="s">
        <v>1159</v>
      </c>
      <c r="B199" s="38" t="s">
        <v>4</v>
      </c>
      <c r="C199" s="37">
        <v>5.19</v>
      </c>
      <c r="D199" s="111"/>
    </row>
    <row r="200" spans="1:4" ht="15.75" outlineLevel="1">
      <c r="A200" s="37" t="s">
        <v>1159</v>
      </c>
      <c r="B200" s="38" t="s">
        <v>184</v>
      </c>
      <c r="C200" s="37">
        <v>5.24</v>
      </c>
      <c r="D200" s="111"/>
    </row>
    <row r="201" spans="1:4" ht="15.75" outlineLevel="1">
      <c r="A201" s="37" t="s">
        <v>1159</v>
      </c>
      <c r="B201" s="38" t="s">
        <v>6</v>
      </c>
      <c r="C201" s="37">
        <v>5.27</v>
      </c>
      <c r="D201" s="111"/>
    </row>
    <row r="202" spans="1:4" ht="15.75" outlineLevel="1">
      <c r="A202" s="37" t="s">
        <v>1159</v>
      </c>
      <c r="B202" s="38" t="s">
        <v>7</v>
      </c>
      <c r="C202" s="37">
        <v>5.28</v>
      </c>
      <c r="D202" s="111"/>
    </row>
    <row r="203" spans="1:4" ht="15.75" outlineLevel="1">
      <c r="A203" s="37" t="s">
        <v>1159</v>
      </c>
      <c r="B203" s="38" t="s">
        <v>372</v>
      </c>
      <c r="C203" s="37">
        <v>5.29</v>
      </c>
      <c r="D203" s="111"/>
    </row>
    <row r="204" spans="1:4" ht="15.75" outlineLevel="1">
      <c r="A204" s="37" t="s">
        <v>1159</v>
      </c>
      <c r="B204" s="38" t="s">
        <v>8</v>
      </c>
      <c r="C204" s="39">
        <v>5.3</v>
      </c>
      <c r="D204" s="111"/>
    </row>
    <row r="205" spans="1:4" ht="15.75" outlineLevel="1">
      <c r="A205" s="37" t="s">
        <v>1159</v>
      </c>
      <c r="B205" s="38" t="s">
        <v>1160</v>
      </c>
      <c r="C205" s="37">
        <v>5.34</v>
      </c>
      <c r="D205" s="111"/>
    </row>
    <row r="206" spans="1:4" ht="15.75" outlineLevel="1">
      <c r="A206" s="37" t="s">
        <v>1159</v>
      </c>
      <c r="B206" s="38" t="s">
        <v>185</v>
      </c>
      <c r="C206" s="37">
        <v>5.31</v>
      </c>
      <c r="D206" s="111"/>
    </row>
    <row r="207" spans="1:4" ht="15.75" outlineLevel="1">
      <c r="A207" s="37" t="s">
        <v>1159</v>
      </c>
      <c r="B207" s="38" t="s">
        <v>1161</v>
      </c>
      <c r="C207" s="37">
        <v>5.101</v>
      </c>
      <c r="D207" s="111"/>
    </row>
    <row r="208" spans="1:4" ht="15.75" outlineLevel="1">
      <c r="A208" s="37" t="s">
        <v>1159</v>
      </c>
      <c r="B208" s="38" t="s">
        <v>150</v>
      </c>
      <c r="C208" s="37">
        <v>5.36</v>
      </c>
      <c r="D208" s="111"/>
    </row>
    <row r="209" spans="1:4" ht="15.75" outlineLevel="1">
      <c r="A209" s="37" t="s">
        <v>1159</v>
      </c>
      <c r="B209" s="38" t="s">
        <v>11</v>
      </c>
      <c r="C209" s="37">
        <v>5.53</v>
      </c>
      <c r="D209" s="111"/>
    </row>
    <row r="210" spans="1:4" ht="15.75" outlineLevel="1">
      <c r="A210" s="37" t="s">
        <v>1159</v>
      </c>
      <c r="B210" s="38" t="s">
        <v>1162</v>
      </c>
      <c r="C210" s="37">
        <v>5.1020000000000003</v>
      </c>
      <c r="D210" s="111"/>
    </row>
    <row r="211" spans="1:4" ht="15.75" outlineLevel="1">
      <c r="A211" s="37" t="s">
        <v>1159</v>
      </c>
      <c r="B211" s="38" t="s">
        <v>1163</v>
      </c>
      <c r="C211" s="40">
        <v>5.0999999999999996</v>
      </c>
      <c r="D211" s="111"/>
    </row>
    <row r="212" spans="1:4" ht="15.75" outlineLevel="1">
      <c r="A212" s="37" t="s">
        <v>1159</v>
      </c>
      <c r="B212" s="38" t="s">
        <v>17</v>
      </c>
      <c r="C212" s="37">
        <v>5.58</v>
      </c>
      <c r="D212" s="111"/>
    </row>
    <row r="213" spans="1:4" ht="15.75" outlineLevel="1">
      <c r="A213" s="37" t="s">
        <v>1159</v>
      </c>
      <c r="B213" s="38" t="s">
        <v>18</v>
      </c>
      <c r="C213" s="37">
        <v>5.54</v>
      </c>
      <c r="D213" s="111"/>
    </row>
    <row r="214" spans="1:4" ht="15.75" outlineLevel="1">
      <c r="A214" s="37" t="s">
        <v>1159</v>
      </c>
      <c r="B214" s="38" t="s">
        <v>19</v>
      </c>
      <c r="C214" s="37">
        <v>5.55</v>
      </c>
      <c r="D214" s="111"/>
    </row>
    <row r="215" spans="1:4" ht="15.75" outlineLevel="1">
      <c r="A215" s="37" t="s">
        <v>1159</v>
      </c>
      <c r="B215" s="38" t="s">
        <v>20</v>
      </c>
      <c r="C215" s="37">
        <v>5.63</v>
      </c>
      <c r="D215" s="111"/>
    </row>
    <row r="216" spans="1:4" ht="15.75" outlineLevel="1">
      <c r="A216" s="37" t="s">
        <v>1159</v>
      </c>
      <c r="B216" s="38" t="s">
        <v>24</v>
      </c>
      <c r="C216" s="37">
        <v>5.47</v>
      </c>
      <c r="D216" s="111"/>
    </row>
    <row r="217" spans="1:4" ht="15.75" outlineLevel="1">
      <c r="A217" s="37" t="s">
        <v>1159</v>
      </c>
      <c r="B217" s="38" t="s">
        <v>25</v>
      </c>
      <c r="C217" s="37">
        <v>5.48</v>
      </c>
      <c r="D217" s="111"/>
    </row>
    <row r="218" spans="1:4" ht="15.75">
      <c r="A218" s="43" t="s">
        <v>1159</v>
      </c>
      <c r="B218" s="38"/>
      <c r="C218" s="37"/>
      <c r="D218" s="111"/>
    </row>
    <row r="219" spans="1:4" ht="15.75" outlineLevel="1">
      <c r="A219" s="37" t="s">
        <v>1032</v>
      </c>
      <c r="B219" s="38" t="s">
        <v>0</v>
      </c>
      <c r="C219" s="37">
        <v>5.0999999999999996</v>
      </c>
      <c r="D219" s="111"/>
    </row>
    <row r="220" spans="1:4" ht="15.75" outlineLevel="1">
      <c r="A220" s="37" t="s">
        <v>1032</v>
      </c>
      <c r="B220" s="38" t="s">
        <v>1</v>
      </c>
      <c r="C220" s="37">
        <v>5.2</v>
      </c>
      <c r="D220" s="111"/>
    </row>
    <row r="221" spans="1:4" ht="15.75" outlineLevel="1">
      <c r="A221" s="37" t="s">
        <v>1032</v>
      </c>
      <c r="B221" s="38" t="s">
        <v>2</v>
      </c>
      <c r="C221" s="37">
        <v>5.3</v>
      </c>
      <c r="D221" s="111"/>
    </row>
    <row r="222" spans="1:4" ht="15.75" outlineLevel="1">
      <c r="A222" s="37" t="s">
        <v>1032</v>
      </c>
      <c r="B222" s="38" t="s">
        <v>182</v>
      </c>
      <c r="C222" s="37">
        <v>5.6</v>
      </c>
      <c r="D222" s="111"/>
    </row>
    <row r="223" spans="1:4" ht="15.75" outlineLevel="1">
      <c r="A223" s="37" t="s">
        <v>1032</v>
      </c>
      <c r="B223" s="38" t="s">
        <v>1155</v>
      </c>
      <c r="C223" s="39">
        <v>5.0999999999999996</v>
      </c>
      <c r="D223" s="111"/>
    </row>
    <row r="224" spans="1:4" ht="15.75" outlineLevel="1">
      <c r="A224" s="37" t="s">
        <v>1032</v>
      </c>
      <c r="B224" s="38" t="s">
        <v>1154</v>
      </c>
      <c r="C224" s="37">
        <v>5.14</v>
      </c>
      <c r="D224" s="111"/>
    </row>
    <row r="225" spans="1:4" ht="15.75" outlineLevel="1">
      <c r="A225" s="37" t="s">
        <v>1032</v>
      </c>
      <c r="B225" s="38" t="s">
        <v>4</v>
      </c>
      <c r="C225" s="37">
        <v>5.19</v>
      </c>
      <c r="D225" s="111"/>
    </row>
    <row r="226" spans="1:4" ht="15.75" outlineLevel="1">
      <c r="A226" s="37" t="s">
        <v>1032</v>
      </c>
      <c r="B226" s="38" t="s">
        <v>184</v>
      </c>
      <c r="C226" s="37">
        <v>5.24</v>
      </c>
      <c r="D226" s="111"/>
    </row>
    <row r="227" spans="1:4" ht="15.75" outlineLevel="1">
      <c r="A227" s="37" t="s">
        <v>1032</v>
      </c>
      <c r="B227" s="38" t="s">
        <v>5</v>
      </c>
      <c r="C227" s="37">
        <v>5.26</v>
      </c>
      <c r="D227" s="111"/>
    </row>
    <row r="228" spans="1:4" ht="15.75" outlineLevel="1">
      <c r="A228" s="37" t="s">
        <v>1032</v>
      </c>
      <c r="B228" s="38" t="s">
        <v>6</v>
      </c>
      <c r="C228" s="37">
        <v>5.27</v>
      </c>
      <c r="D228" s="111"/>
    </row>
    <row r="229" spans="1:4" ht="15.75" outlineLevel="1">
      <c r="A229" s="37" t="s">
        <v>1032</v>
      </c>
      <c r="B229" s="38" t="s">
        <v>7</v>
      </c>
      <c r="C229" s="37">
        <v>5.28</v>
      </c>
      <c r="D229" s="111"/>
    </row>
    <row r="230" spans="1:4" ht="15.75" outlineLevel="1">
      <c r="A230" s="37" t="s">
        <v>1032</v>
      </c>
      <c r="B230" s="38" t="s">
        <v>372</v>
      </c>
      <c r="C230" s="37">
        <v>5.29</v>
      </c>
      <c r="D230" s="111"/>
    </row>
    <row r="231" spans="1:4" ht="15.75" outlineLevel="1">
      <c r="A231" s="37" t="s">
        <v>1032</v>
      </c>
      <c r="B231" s="38" t="s">
        <v>8</v>
      </c>
      <c r="C231" s="39">
        <v>5.3</v>
      </c>
      <c r="D231" s="111"/>
    </row>
    <row r="232" spans="1:4" ht="15.75" outlineLevel="1">
      <c r="A232" s="37" t="s">
        <v>1032</v>
      </c>
      <c r="B232" s="38" t="s">
        <v>185</v>
      </c>
      <c r="C232" s="37">
        <v>5.31</v>
      </c>
      <c r="D232" s="111"/>
    </row>
    <row r="233" spans="1:4" ht="15.75" outlineLevel="1">
      <c r="A233" s="37" t="s">
        <v>1032</v>
      </c>
      <c r="B233" s="38" t="s">
        <v>221</v>
      </c>
      <c r="C233" s="37">
        <v>5.33</v>
      </c>
      <c r="D233" s="111"/>
    </row>
    <row r="234" spans="1:4" ht="15.75" outlineLevel="1">
      <c r="A234" s="37" t="s">
        <v>1032</v>
      </c>
      <c r="B234" s="38" t="s">
        <v>1161</v>
      </c>
      <c r="C234" s="37">
        <v>5.101</v>
      </c>
      <c r="D234" s="111"/>
    </row>
    <row r="235" spans="1:4" ht="15.75" outlineLevel="1">
      <c r="A235" s="37" t="s">
        <v>1032</v>
      </c>
      <c r="B235" s="38" t="s">
        <v>150</v>
      </c>
      <c r="C235" s="37">
        <v>5.36</v>
      </c>
      <c r="D235" s="111"/>
    </row>
    <row r="236" spans="1:4" ht="15.75" outlineLevel="1">
      <c r="A236" s="37" t="s">
        <v>1032</v>
      </c>
      <c r="B236" s="38" t="s">
        <v>11</v>
      </c>
      <c r="C236" s="37">
        <v>5.53</v>
      </c>
      <c r="D236" s="111"/>
    </row>
    <row r="237" spans="1:4" ht="15.75" outlineLevel="1">
      <c r="A237" s="37" t="s">
        <v>1032</v>
      </c>
      <c r="B237" s="38" t="s">
        <v>1162</v>
      </c>
      <c r="C237" s="37">
        <v>5.1020000000000003</v>
      </c>
      <c r="D237" s="111"/>
    </row>
    <row r="238" spans="1:4" ht="15.75" outlineLevel="1">
      <c r="A238" s="37" t="s">
        <v>1032</v>
      </c>
      <c r="B238" s="38" t="s">
        <v>17</v>
      </c>
      <c r="C238" s="37">
        <v>5.58</v>
      </c>
      <c r="D238" s="111"/>
    </row>
    <row r="239" spans="1:4" ht="15.75" outlineLevel="1">
      <c r="A239" s="37" t="s">
        <v>1032</v>
      </c>
      <c r="B239" s="38" t="s">
        <v>18</v>
      </c>
      <c r="C239" s="37">
        <v>5.54</v>
      </c>
      <c r="D239" s="111"/>
    </row>
    <row r="240" spans="1:4" ht="15.75" outlineLevel="1">
      <c r="A240" s="37" t="s">
        <v>1032</v>
      </c>
      <c r="B240" s="38" t="s">
        <v>19</v>
      </c>
      <c r="C240" s="37">
        <v>5.55</v>
      </c>
      <c r="D240" s="111"/>
    </row>
    <row r="241" spans="1:4" ht="15.75" outlineLevel="1">
      <c r="A241" s="37" t="s">
        <v>1032</v>
      </c>
      <c r="B241" s="38" t="s">
        <v>20</v>
      </c>
      <c r="C241" s="37">
        <v>5.63</v>
      </c>
      <c r="D241" s="111"/>
    </row>
    <row r="242" spans="1:4" ht="15.75" outlineLevel="1">
      <c r="A242" s="37" t="s">
        <v>1032</v>
      </c>
      <c r="B242" s="38" t="s">
        <v>24</v>
      </c>
      <c r="C242" s="37">
        <v>5.47</v>
      </c>
      <c r="D242" s="111"/>
    </row>
    <row r="243" spans="1:4" ht="15.75" outlineLevel="1">
      <c r="A243" s="37" t="s">
        <v>1032</v>
      </c>
      <c r="B243" s="38" t="s">
        <v>25</v>
      </c>
      <c r="C243" s="37">
        <v>5.48</v>
      </c>
      <c r="D243" s="111"/>
    </row>
    <row r="244" spans="1:4" ht="15.75">
      <c r="A244" s="43" t="s">
        <v>1032</v>
      </c>
      <c r="B244" s="38"/>
      <c r="C244" s="37"/>
      <c r="D244" s="111"/>
    </row>
    <row r="245" spans="1:4" ht="15.75" outlineLevel="1">
      <c r="A245" s="37" t="s">
        <v>1164</v>
      </c>
      <c r="B245" s="38" t="s">
        <v>0</v>
      </c>
      <c r="C245" s="37">
        <v>5.0999999999999996</v>
      </c>
      <c r="D245" s="111"/>
    </row>
    <row r="246" spans="1:4" ht="15.75" outlineLevel="1">
      <c r="A246" s="37" t="s">
        <v>1164</v>
      </c>
      <c r="B246" s="38" t="s">
        <v>1</v>
      </c>
      <c r="C246" s="37">
        <v>5.2</v>
      </c>
      <c r="D246" s="111"/>
    </row>
    <row r="247" spans="1:4" ht="15.75" outlineLevel="1">
      <c r="A247" s="37" t="s">
        <v>1164</v>
      </c>
      <c r="B247" s="38" t="s">
        <v>2</v>
      </c>
      <c r="C247" s="37">
        <v>5.3</v>
      </c>
      <c r="D247" s="111"/>
    </row>
    <row r="248" spans="1:4" ht="15.75" outlineLevel="1">
      <c r="A248" s="37" t="s">
        <v>1164</v>
      </c>
      <c r="B248" s="38" t="s">
        <v>182</v>
      </c>
      <c r="C248" s="37">
        <v>5.6</v>
      </c>
      <c r="D248" s="111"/>
    </row>
    <row r="249" spans="1:4" ht="15.75" outlineLevel="1">
      <c r="A249" s="37" t="s">
        <v>1164</v>
      </c>
      <c r="B249" s="38" t="s">
        <v>1155</v>
      </c>
      <c r="C249" s="39">
        <v>5.0999999999999996</v>
      </c>
      <c r="D249" s="111"/>
    </row>
    <row r="250" spans="1:4" ht="15.75" outlineLevel="1">
      <c r="A250" s="37" t="s">
        <v>1164</v>
      </c>
      <c r="B250" s="38" t="s">
        <v>1154</v>
      </c>
      <c r="C250" s="37">
        <v>5.14</v>
      </c>
      <c r="D250" s="111"/>
    </row>
    <row r="251" spans="1:4" ht="15.75" outlineLevel="1">
      <c r="A251" s="37" t="s">
        <v>1164</v>
      </c>
      <c r="B251" s="38" t="s">
        <v>4</v>
      </c>
      <c r="C251" s="37">
        <v>5.19</v>
      </c>
      <c r="D251" s="111"/>
    </row>
    <row r="252" spans="1:4" ht="15.75" outlineLevel="1">
      <c r="A252" s="37" t="s">
        <v>1164</v>
      </c>
      <c r="B252" s="38" t="s">
        <v>184</v>
      </c>
      <c r="C252" s="37">
        <v>5.24</v>
      </c>
      <c r="D252" s="111"/>
    </row>
    <row r="253" spans="1:4" ht="15.75" outlineLevel="1">
      <c r="A253" s="37" t="s">
        <v>1164</v>
      </c>
      <c r="B253" s="38" t="s">
        <v>6</v>
      </c>
      <c r="C253" s="37">
        <v>5.27</v>
      </c>
      <c r="D253" s="111"/>
    </row>
    <row r="254" spans="1:4" ht="15.75" outlineLevel="1">
      <c r="A254" s="37" t="s">
        <v>1164</v>
      </c>
      <c r="B254" s="38" t="s">
        <v>7</v>
      </c>
      <c r="C254" s="37">
        <v>5.28</v>
      </c>
      <c r="D254" s="111"/>
    </row>
    <row r="255" spans="1:4" ht="15.75" outlineLevel="1">
      <c r="A255" s="37" t="s">
        <v>1164</v>
      </c>
      <c r="B255" s="38" t="s">
        <v>8</v>
      </c>
      <c r="C255" s="39">
        <v>5.3</v>
      </c>
      <c r="D255" s="111"/>
    </row>
    <row r="256" spans="1:4" ht="15.75" outlineLevel="1">
      <c r="A256" s="37" t="s">
        <v>1164</v>
      </c>
      <c r="B256" s="38" t="s">
        <v>221</v>
      </c>
      <c r="C256" s="37">
        <v>5.33</v>
      </c>
      <c r="D256" s="111"/>
    </row>
    <row r="257" spans="1:4" ht="15.75" outlineLevel="1">
      <c r="A257" s="37" t="s">
        <v>1164</v>
      </c>
      <c r="B257" s="38" t="s">
        <v>150</v>
      </c>
      <c r="C257" s="37">
        <v>5.36</v>
      </c>
      <c r="D257" s="111"/>
    </row>
    <row r="258" spans="1:4" ht="15.75" outlineLevel="1">
      <c r="A258" s="37" t="s">
        <v>1164</v>
      </c>
      <c r="B258" s="38" t="s">
        <v>11</v>
      </c>
      <c r="C258" s="37">
        <v>5.53</v>
      </c>
      <c r="D258" s="111"/>
    </row>
    <row r="259" spans="1:4" ht="15.75" outlineLevel="1">
      <c r="A259" s="37" t="s">
        <v>1164</v>
      </c>
      <c r="B259" s="38" t="s">
        <v>17</v>
      </c>
      <c r="C259" s="37">
        <v>5.58</v>
      </c>
      <c r="D259" s="111"/>
    </row>
    <row r="260" spans="1:4" ht="15.75" outlineLevel="1">
      <c r="A260" s="37" t="s">
        <v>1164</v>
      </c>
      <c r="B260" s="38" t="s">
        <v>18</v>
      </c>
      <c r="C260" s="37">
        <v>5.54</v>
      </c>
      <c r="D260" s="111"/>
    </row>
    <row r="261" spans="1:4" ht="15.75" outlineLevel="1">
      <c r="A261" s="37" t="s">
        <v>1164</v>
      </c>
      <c r="B261" s="38" t="s">
        <v>19</v>
      </c>
      <c r="C261" s="37">
        <v>5.55</v>
      </c>
      <c r="D261" s="111"/>
    </row>
    <row r="262" spans="1:4" ht="15.75" outlineLevel="1">
      <c r="A262" s="37" t="s">
        <v>1164</v>
      </c>
      <c r="B262" s="38" t="s">
        <v>20</v>
      </c>
      <c r="C262" s="37">
        <v>5.63</v>
      </c>
      <c r="D262" s="111"/>
    </row>
    <row r="263" spans="1:4" ht="15.75" outlineLevel="1">
      <c r="A263" s="37" t="s">
        <v>1164</v>
      </c>
      <c r="B263" s="38" t="s">
        <v>24</v>
      </c>
      <c r="C263" s="37">
        <v>5.47</v>
      </c>
      <c r="D263" s="111"/>
    </row>
    <row r="264" spans="1:4" ht="15.75" outlineLevel="1">
      <c r="A264" s="37" t="s">
        <v>1164</v>
      </c>
      <c r="B264" s="38" t="s">
        <v>25</v>
      </c>
      <c r="C264" s="37">
        <v>5.48</v>
      </c>
      <c r="D264" s="111"/>
    </row>
    <row r="265" spans="1:4" ht="15.75">
      <c r="A265" s="43" t="s">
        <v>1164</v>
      </c>
      <c r="B265" s="38"/>
      <c r="C265" s="37"/>
      <c r="D265" s="111"/>
    </row>
    <row r="266" spans="1:4" ht="15.75" outlineLevel="1">
      <c r="A266" s="37" t="s">
        <v>1037</v>
      </c>
      <c r="B266" s="38" t="s">
        <v>0</v>
      </c>
      <c r="C266" s="37">
        <v>5.0999999999999996</v>
      </c>
      <c r="D266" s="111"/>
    </row>
    <row r="267" spans="1:4" ht="15.75" outlineLevel="1">
      <c r="A267" s="37" t="s">
        <v>1037</v>
      </c>
      <c r="B267" s="38" t="s">
        <v>1</v>
      </c>
      <c r="C267" s="37">
        <v>5.2</v>
      </c>
      <c r="D267" s="111"/>
    </row>
    <row r="268" spans="1:4" ht="15.75" outlineLevel="1">
      <c r="A268" s="37" t="s">
        <v>1037</v>
      </c>
      <c r="B268" s="38" t="s">
        <v>2</v>
      </c>
      <c r="C268" s="37">
        <v>5.3</v>
      </c>
      <c r="D268" s="111"/>
    </row>
    <row r="269" spans="1:4" ht="15.75" outlineLevel="1">
      <c r="A269" s="37" t="s">
        <v>1037</v>
      </c>
      <c r="B269" s="38" t="s">
        <v>182</v>
      </c>
      <c r="C269" s="37">
        <v>5.6</v>
      </c>
      <c r="D269" s="111"/>
    </row>
    <row r="270" spans="1:4" ht="15.75" outlineLevel="1">
      <c r="A270" s="37" t="s">
        <v>1037</v>
      </c>
      <c r="B270" s="38" t="s">
        <v>1155</v>
      </c>
      <c r="C270" s="39">
        <v>5.0999999999999996</v>
      </c>
      <c r="D270" s="111"/>
    </row>
    <row r="271" spans="1:4" ht="15.75" outlineLevel="1">
      <c r="A271" s="37" t="s">
        <v>1037</v>
      </c>
      <c r="B271" s="38" t="s">
        <v>1154</v>
      </c>
      <c r="C271" s="37">
        <v>5.14</v>
      </c>
      <c r="D271" s="111"/>
    </row>
    <row r="272" spans="1:4" ht="15.75" outlineLevel="1">
      <c r="A272" s="37" t="s">
        <v>1037</v>
      </c>
      <c r="B272" s="38" t="s">
        <v>4</v>
      </c>
      <c r="C272" s="37">
        <v>5.19</v>
      </c>
      <c r="D272" s="111"/>
    </row>
    <row r="273" spans="1:4" ht="15.75" outlineLevel="1">
      <c r="A273" s="37" t="s">
        <v>1037</v>
      </c>
      <c r="B273" s="38" t="s">
        <v>184</v>
      </c>
      <c r="C273" s="37">
        <v>5.24</v>
      </c>
      <c r="D273" s="111"/>
    </row>
    <row r="274" spans="1:4" ht="15.75" outlineLevel="1">
      <c r="A274" s="37" t="s">
        <v>1037</v>
      </c>
      <c r="B274" s="38" t="s">
        <v>5</v>
      </c>
      <c r="C274" s="37">
        <v>5.26</v>
      </c>
      <c r="D274" s="111"/>
    </row>
    <row r="275" spans="1:4" ht="15.75" outlineLevel="1">
      <c r="A275" s="37" t="s">
        <v>1037</v>
      </c>
      <c r="B275" s="38" t="s">
        <v>6</v>
      </c>
      <c r="C275" s="37">
        <v>5.27</v>
      </c>
      <c r="D275" s="111"/>
    </row>
    <row r="276" spans="1:4" ht="15.75" outlineLevel="1">
      <c r="A276" s="37" t="s">
        <v>1037</v>
      </c>
      <c r="B276" s="38" t="s">
        <v>7</v>
      </c>
      <c r="C276" s="37">
        <v>5.28</v>
      </c>
      <c r="D276" s="111"/>
    </row>
    <row r="277" spans="1:4" ht="15.75" outlineLevel="1">
      <c r="A277" s="37" t="s">
        <v>1037</v>
      </c>
      <c r="B277" s="38" t="s">
        <v>372</v>
      </c>
      <c r="C277" s="37">
        <v>5.29</v>
      </c>
      <c r="D277" s="111"/>
    </row>
    <row r="278" spans="1:4" ht="15.75" outlineLevel="1">
      <c r="A278" s="37" t="s">
        <v>1037</v>
      </c>
      <c r="B278" s="38" t="s">
        <v>8</v>
      </c>
      <c r="C278" s="39">
        <v>5.3</v>
      </c>
      <c r="D278" s="111"/>
    </row>
    <row r="279" spans="1:4" ht="15.75" outlineLevel="1">
      <c r="A279" s="37" t="s">
        <v>1037</v>
      </c>
      <c r="B279" s="38" t="s">
        <v>221</v>
      </c>
      <c r="C279" s="37">
        <v>5.33</v>
      </c>
      <c r="D279" s="111"/>
    </row>
    <row r="280" spans="1:4" ht="15.75" outlineLevel="1">
      <c r="A280" s="37" t="s">
        <v>1037</v>
      </c>
      <c r="B280" s="38" t="s">
        <v>150</v>
      </c>
      <c r="C280" s="37">
        <v>5.36</v>
      </c>
      <c r="D280" s="111"/>
    </row>
    <row r="281" spans="1:4" ht="15.75" outlineLevel="1">
      <c r="A281" s="37" t="s">
        <v>1037</v>
      </c>
      <c r="B281" s="38" t="s">
        <v>12</v>
      </c>
      <c r="C281" s="37">
        <v>5.69</v>
      </c>
      <c r="D281" s="111"/>
    </row>
    <row r="282" spans="1:4" ht="15.75" outlineLevel="1">
      <c r="A282" s="37" t="s">
        <v>1037</v>
      </c>
      <c r="B282" s="38" t="s">
        <v>14</v>
      </c>
      <c r="C282" s="39">
        <v>5.7</v>
      </c>
      <c r="D282" s="111"/>
    </row>
    <row r="283" spans="1:4" ht="15.75" outlineLevel="1">
      <c r="A283" s="37" t="s">
        <v>1037</v>
      </c>
      <c r="B283" s="38" t="s">
        <v>15</v>
      </c>
      <c r="C283" s="37">
        <v>5.74</v>
      </c>
      <c r="D283" s="111"/>
    </row>
    <row r="284" spans="1:4" ht="15.75" outlineLevel="1">
      <c r="A284" s="37" t="s">
        <v>1037</v>
      </c>
      <c r="B284" s="38" t="s">
        <v>9</v>
      </c>
      <c r="C284" s="37">
        <v>5.49</v>
      </c>
      <c r="D284" s="111"/>
    </row>
    <row r="285" spans="1:4" ht="15.75" outlineLevel="1">
      <c r="A285" s="37" t="s">
        <v>1037</v>
      </c>
      <c r="B285" s="38" t="s">
        <v>10</v>
      </c>
      <c r="C285" s="37">
        <v>5.51</v>
      </c>
      <c r="D285" s="111"/>
    </row>
    <row r="286" spans="1:4" ht="15.75" outlineLevel="1">
      <c r="A286" s="37" t="s">
        <v>1037</v>
      </c>
      <c r="B286" s="38" t="s">
        <v>1156</v>
      </c>
      <c r="C286" s="37">
        <v>5.52</v>
      </c>
      <c r="D286" s="111"/>
    </row>
    <row r="287" spans="1:4" ht="15.75" outlineLevel="1">
      <c r="A287" s="37" t="s">
        <v>1037</v>
      </c>
      <c r="B287" s="38" t="s">
        <v>11</v>
      </c>
      <c r="C287" s="37">
        <v>5.53</v>
      </c>
      <c r="D287" s="111"/>
    </row>
    <row r="288" spans="1:4" ht="15.75" outlineLevel="1">
      <c r="A288" s="37" t="s">
        <v>1037</v>
      </c>
      <c r="B288" s="38" t="s">
        <v>17</v>
      </c>
      <c r="C288" s="37">
        <v>5.58</v>
      </c>
      <c r="D288" s="111"/>
    </row>
    <row r="289" spans="1:4" ht="15.75" outlineLevel="1">
      <c r="A289" s="37" t="s">
        <v>1037</v>
      </c>
      <c r="B289" s="38" t="s">
        <v>18</v>
      </c>
      <c r="C289" s="37">
        <v>5.54</v>
      </c>
      <c r="D289" s="111"/>
    </row>
    <row r="290" spans="1:4" ht="15.75" outlineLevel="1">
      <c r="A290" s="37" t="s">
        <v>1037</v>
      </c>
      <c r="B290" s="38" t="s">
        <v>19</v>
      </c>
      <c r="C290" s="37">
        <v>5.55</v>
      </c>
      <c r="D290" s="111"/>
    </row>
    <row r="291" spans="1:4" ht="15.75" outlineLevel="1">
      <c r="A291" s="37" t="s">
        <v>1037</v>
      </c>
      <c r="B291" s="38" t="s">
        <v>20</v>
      </c>
      <c r="C291" s="37">
        <v>5.63</v>
      </c>
      <c r="D291" s="111"/>
    </row>
    <row r="292" spans="1:4" ht="15.75" outlineLevel="1">
      <c r="A292" s="37" t="s">
        <v>1037</v>
      </c>
      <c r="B292" s="38" t="s">
        <v>24</v>
      </c>
      <c r="C292" s="37">
        <v>5.47</v>
      </c>
      <c r="D292" s="111"/>
    </row>
    <row r="293" spans="1:4" ht="15.75" outlineLevel="1">
      <c r="A293" s="37" t="s">
        <v>1037</v>
      </c>
      <c r="B293" s="38" t="s">
        <v>25</v>
      </c>
      <c r="C293" s="37">
        <v>5.48</v>
      </c>
      <c r="D293" s="111"/>
    </row>
    <row r="294" spans="1:4" ht="15.75">
      <c r="A294" s="43" t="s">
        <v>1037</v>
      </c>
      <c r="B294" s="38"/>
      <c r="C294" s="37"/>
      <c r="D294" s="111"/>
    </row>
    <row r="295" spans="1:4" ht="31.5" outlineLevel="1">
      <c r="A295" s="37" t="s">
        <v>1044</v>
      </c>
      <c r="B295" s="38" t="s">
        <v>0</v>
      </c>
      <c r="C295" s="37">
        <v>5.0999999999999996</v>
      </c>
      <c r="D295" s="111"/>
    </row>
    <row r="296" spans="1:4" ht="31.5" outlineLevel="1">
      <c r="A296" s="37" t="s">
        <v>1044</v>
      </c>
      <c r="B296" s="38" t="s">
        <v>1</v>
      </c>
      <c r="C296" s="37">
        <v>5.2</v>
      </c>
      <c r="D296" s="111"/>
    </row>
    <row r="297" spans="1:4" ht="31.5" outlineLevel="1">
      <c r="A297" s="37" t="s">
        <v>1044</v>
      </c>
      <c r="B297" s="38" t="s">
        <v>2</v>
      </c>
      <c r="C297" s="37">
        <v>5.3</v>
      </c>
      <c r="D297" s="111"/>
    </row>
    <row r="298" spans="1:4" ht="31.5" outlineLevel="1">
      <c r="A298" s="37" t="s">
        <v>1044</v>
      </c>
      <c r="B298" s="38" t="s">
        <v>1154</v>
      </c>
      <c r="C298" s="37">
        <v>5.14</v>
      </c>
      <c r="D298" s="111"/>
    </row>
    <row r="299" spans="1:4" ht="31.5" outlineLevel="1">
      <c r="A299" s="37" t="s">
        <v>1044</v>
      </c>
      <c r="B299" s="38" t="s">
        <v>4</v>
      </c>
      <c r="C299" s="37">
        <v>5.19</v>
      </c>
      <c r="D299" s="111"/>
    </row>
    <row r="300" spans="1:4" ht="31.5" outlineLevel="1">
      <c r="A300" s="37" t="s">
        <v>1044</v>
      </c>
      <c r="B300" s="38" t="s">
        <v>184</v>
      </c>
      <c r="C300" s="37">
        <v>5.24</v>
      </c>
      <c r="D300" s="111"/>
    </row>
    <row r="301" spans="1:4" ht="31.5" outlineLevel="1">
      <c r="A301" s="37" t="s">
        <v>1044</v>
      </c>
      <c r="B301" s="38" t="s">
        <v>5</v>
      </c>
      <c r="C301" s="37">
        <v>5.26</v>
      </c>
      <c r="D301" s="111"/>
    </row>
    <row r="302" spans="1:4" ht="31.5" outlineLevel="1">
      <c r="A302" s="37" t="s">
        <v>1044</v>
      </c>
      <c r="B302" s="38" t="s">
        <v>6</v>
      </c>
      <c r="C302" s="37">
        <v>5.27</v>
      </c>
      <c r="D302" s="111"/>
    </row>
    <row r="303" spans="1:4" ht="31.5" outlineLevel="1">
      <c r="A303" s="37" t="s">
        <v>1044</v>
      </c>
      <c r="B303" s="38" t="s">
        <v>7</v>
      </c>
      <c r="C303" s="37">
        <v>5.28</v>
      </c>
      <c r="D303" s="111"/>
    </row>
    <row r="304" spans="1:4" ht="31.5" outlineLevel="1">
      <c r="A304" s="37" t="s">
        <v>1044</v>
      </c>
      <c r="B304" s="38" t="s">
        <v>193</v>
      </c>
      <c r="C304" s="37">
        <v>5.37</v>
      </c>
      <c r="D304" s="111"/>
    </row>
    <row r="305" spans="1:4" ht="31.5" outlineLevel="1">
      <c r="A305" s="37" t="s">
        <v>1044</v>
      </c>
      <c r="B305" s="38" t="s">
        <v>9</v>
      </c>
      <c r="C305" s="37">
        <v>5.49</v>
      </c>
      <c r="D305" s="111"/>
    </row>
    <row r="306" spans="1:4" ht="31.5" outlineLevel="1">
      <c r="A306" s="37" t="s">
        <v>1044</v>
      </c>
      <c r="B306" s="38" t="s">
        <v>10</v>
      </c>
      <c r="C306" s="37">
        <v>5.51</v>
      </c>
      <c r="D306" s="111"/>
    </row>
    <row r="307" spans="1:4" ht="31.5" outlineLevel="1">
      <c r="A307" s="37" t="s">
        <v>1044</v>
      </c>
      <c r="B307" s="38" t="s">
        <v>11</v>
      </c>
      <c r="C307" s="37">
        <v>5.53</v>
      </c>
      <c r="D307" s="111"/>
    </row>
    <row r="308" spans="1:4" ht="31.5" outlineLevel="1">
      <c r="A308" s="37" t="s">
        <v>1044</v>
      </c>
      <c r="B308" s="38" t="s">
        <v>12</v>
      </c>
      <c r="C308" s="37">
        <v>5.69</v>
      </c>
      <c r="D308" s="111"/>
    </row>
    <row r="309" spans="1:4" ht="31.5" outlineLevel="1">
      <c r="A309" s="37" t="s">
        <v>1044</v>
      </c>
      <c r="B309" s="38" t="s">
        <v>13</v>
      </c>
      <c r="C309" s="37">
        <v>5.75</v>
      </c>
      <c r="D309" s="111"/>
    </row>
    <row r="310" spans="1:4" ht="31.5" outlineLevel="1">
      <c r="A310" s="37" t="s">
        <v>1044</v>
      </c>
      <c r="B310" s="38" t="s">
        <v>14</v>
      </c>
      <c r="C310" s="39">
        <v>5.7</v>
      </c>
      <c r="D310" s="111"/>
    </row>
    <row r="311" spans="1:4" ht="31.5" outlineLevel="1">
      <c r="A311" s="37" t="s">
        <v>1044</v>
      </c>
      <c r="B311" s="38" t="s">
        <v>15</v>
      </c>
      <c r="C311" s="37">
        <v>5.74</v>
      </c>
      <c r="D311" s="111"/>
    </row>
    <row r="312" spans="1:4" ht="31.5" outlineLevel="1">
      <c r="A312" s="37" t="s">
        <v>1044</v>
      </c>
      <c r="B312" s="38" t="s">
        <v>17</v>
      </c>
      <c r="C312" s="37">
        <v>5.58</v>
      </c>
      <c r="D312" s="111"/>
    </row>
    <row r="313" spans="1:4" ht="31.5" outlineLevel="1">
      <c r="A313" s="37" t="s">
        <v>1044</v>
      </c>
      <c r="B313" s="38" t="s">
        <v>18</v>
      </c>
      <c r="C313" s="37">
        <v>5.54</v>
      </c>
      <c r="D313" s="111"/>
    </row>
    <row r="314" spans="1:4" ht="31.5" outlineLevel="1">
      <c r="A314" s="37" t="s">
        <v>1044</v>
      </c>
      <c r="B314" s="38" t="s">
        <v>19</v>
      </c>
      <c r="C314" s="37">
        <v>5.55</v>
      </c>
      <c r="D314" s="111"/>
    </row>
    <row r="315" spans="1:4" ht="31.5" outlineLevel="1">
      <c r="A315" s="37" t="s">
        <v>1044</v>
      </c>
      <c r="B315" s="38" t="s">
        <v>20</v>
      </c>
      <c r="C315" s="37">
        <v>5.63</v>
      </c>
      <c r="D315" s="111"/>
    </row>
    <row r="316" spans="1:4" ht="31.5" outlineLevel="1">
      <c r="A316" s="37" t="s">
        <v>1044</v>
      </c>
      <c r="B316" s="38" t="s">
        <v>21</v>
      </c>
      <c r="C316" s="37">
        <v>5.65</v>
      </c>
      <c r="D316" s="111"/>
    </row>
    <row r="317" spans="1:4" ht="31.5" outlineLevel="1">
      <c r="A317" s="37" t="s">
        <v>1044</v>
      </c>
      <c r="B317" s="38" t="s">
        <v>22</v>
      </c>
      <c r="C317" s="37">
        <v>5.68</v>
      </c>
      <c r="D317" s="111"/>
    </row>
    <row r="318" spans="1:4" ht="31.5" outlineLevel="1">
      <c r="A318" s="37" t="s">
        <v>1044</v>
      </c>
      <c r="B318" s="38" t="s">
        <v>24</v>
      </c>
      <c r="C318" s="37">
        <v>5.47</v>
      </c>
      <c r="D318" s="111"/>
    </row>
    <row r="319" spans="1:4" ht="31.5" outlineLevel="1">
      <c r="A319" s="37" t="s">
        <v>1044</v>
      </c>
      <c r="B319" s="38" t="s">
        <v>25</v>
      </c>
      <c r="C319" s="37">
        <v>5.48</v>
      </c>
      <c r="D319" s="111"/>
    </row>
    <row r="320" spans="1:4" ht="15.75">
      <c r="A320" s="43" t="s">
        <v>1044</v>
      </c>
      <c r="B320" s="38"/>
      <c r="C320" s="37"/>
      <c r="D320" s="111"/>
    </row>
    <row r="321" spans="1:4" ht="31.5" outlineLevel="1">
      <c r="A321" s="37" t="s">
        <v>1045</v>
      </c>
      <c r="B321" s="38" t="s">
        <v>0</v>
      </c>
      <c r="C321" s="37">
        <v>5.0999999999999996</v>
      </c>
      <c r="D321" s="111"/>
    </row>
    <row r="322" spans="1:4" ht="31.5" outlineLevel="1">
      <c r="A322" s="37" t="s">
        <v>1045</v>
      </c>
      <c r="B322" s="38" t="s">
        <v>1</v>
      </c>
      <c r="C322" s="37">
        <v>5.2</v>
      </c>
      <c r="D322" s="111"/>
    </row>
    <row r="323" spans="1:4" ht="31.5" outlineLevel="1">
      <c r="A323" s="37" t="s">
        <v>1045</v>
      </c>
      <c r="B323" s="38" t="s">
        <v>5</v>
      </c>
      <c r="C323" s="37">
        <v>5.26</v>
      </c>
      <c r="D323" s="111"/>
    </row>
    <row r="324" spans="1:4" ht="31.5" outlineLevel="1">
      <c r="A324" s="37" t="s">
        <v>1045</v>
      </c>
      <c r="B324" s="38" t="s">
        <v>1154</v>
      </c>
      <c r="C324" s="37">
        <v>5.14</v>
      </c>
      <c r="D324" s="111"/>
    </row>
    <row r="325" spans="1:4" ht="31.5" outlineLevel="1">
      <c r="A325" s="37" t="s">
        <v>1045</v>
      </c>
      <c r="B325" s="38" t="s">
        <v>4</v>
      </c>
      <c r="C325" s="37">
        <v>5.19</v>
      </c>
      <c r="D325" s="111"/>
    </row>
    <row r="326" spans="1:4" ht="31.5" outlineLevel="1">
      <c r="A326" s="37" t="s">
        <v>1045</v>
      </c>
      <c r="B326" s="38" t="s">
        <v>193</v>
      </c>
      <c r="C326" s="37">
        <v>5.37</v>
      </c>
      <c r="D326" s="111"/>
    </row>
    <row r="327" spans="1:4" ht="31.5" outlineLevel="1">
      <c r="A327" s="37" t="s">
        <v>1045</v>
      </c>
      <c r="B327" s="38" t="s">
        <v>12</v>
      </c>
      <c r="C327" s="37">
        <v>5.69</v>
      </c>
      <c r="D327" s="111"/>
    </row>
    <row r="328" spans="1:4" ht="31.5" outlineLevel="1">
      <c r="A328" s="37" t="s">
        <v>1045</v>
      </c>
      <c r="B328" s="38" t="s">
        <v>798</v>
      </c>
      <c r="C328" s="39">
        <v>5.8</v>
      </c>
      <c r="D328" s="111"/>
    </row>
    <row r="329" spans="1:4" ht="31.5" outlineLevel="1">
      <c r="A329" s="37" t="s">
        <v>1045</v>
      </c>
      <c r="B329" s="38" t="s">
        <v>13</v>
      </c>
      <c r="C329" s="37">
        <v>5.75</v>
      </c>
      <c r="D329" s="111"/>
    </row>
    <row r="330" spans="1:4" ht="31.5" outlineLevel="1">
      <c r="A330" s="37" t="s">
        <v>1045</v>
      </c>
      <c r="B330" s="38" t="s">
        <v>14</v>
      </c>
      <c r="C330" s="39">
        <v>5.7</v>
      </c>
      <c r="D330" s="111"/>
    </row>
    <row r="331" spans="1:4" ht="31.5" outlineLevel="1">
      <c r="A331" s="37" t="s">
        <v>1045</v>
      </c>
      <c r="B331" s="38" t="s">
        <v>15</v>
      </c>
      <c r="C331" s="37">
        <v>5.74</v>
      </c>
      <c r="D331" s="111"/>
    </row>
    <row r="332" spans="1:4" ht="31.5" outlineLevel="1">
      <c r="A332" s="37" t="s">
        <v>1045</v>
      </c>
      <c r="B332" s="38" t="s">
        <v>17</v>
      </c>
      <c r="C332" s="37">
        <v>5.58</v>
      </c>
      <c r="D332" s="111"/>
    </row>
    <row r="333" spans="1:4" ht="31.5" outlineLevel="1">
      <c r="A333" s="37" t="s">
        <v>1045</v>
      </c>
      <c r="B333" s="38" t="s">
        <v>19</v>
      </c>
      <c r="C333" s="37">
        <v>5.55</v>
      </c>
      <c r="D333" s="111"/>
    </row>
    <row r="334" spans="1:4" ht="31.5" outlineLevel="1">
      <c r="A334" s="37" t="s">
        <v>1045</v>
      </c>
      <c r="B334" s="38" t="s">
        <v>20</v>
      </c>
      <c r="C334" s="37">
        <v>5.63</v>
      </c>
      <c r="D334" s="111"/>
    </row>
    <row r="335" spans="1:4" ht="31.5" outlineLevel="1">
      <c r="A335" s="37" t="s">
        <v>1045</v>
      </c>
      <c r="B335" s="38" t="s">
        <v>21</v>
      </c>
      <c r="C335" s="37">
        <v>5.65</v>
      </c>
      <c r="D335" s="111"/>
    </row>
    <row r="336" spans="1:4" ht="31.5" outlineLevel="1">
      <c r="A336" s="37" t="s">
        <v>1045</v>
      </c>
      <c r="B336" s="38" t="s">
        <v>22</v>
      </c>
      <c r="C336" s="37">
        <v>5.68</v>
      </c>
      <c r="D336" s="111"/>
    </row>
    <row r="337" spans="1:4" ht="31.5" outlineLevel="1">
      <c r="A337" s="37" t="s">
        <v>1045</v>
      </c>
      <c r="B337" s="38" t="s">
        <v>24</v>
      </c>
      <c r="C337" s="37">
        <v>5.47</v>
      </c>
      <c r="D337" s="111"/>
    </row>
    <row r="338" spans="1:4" ht="31.5" outlineLevel="1">
      <c r="A338" s="37" t="s">
        <v>1045</v>
      </c>
      <c r="B338" s="38" t="s">
        <v>25</v>
      </c>
      <c r="C338" s="37">
        <v>5.48</v>
      </c>
      <c r="D338" s="111"/>
    </row>
    <row r="339" spans="1:4" ht="15.75">
      <c r="A339" s="43" t="s">
        <v>1045</v>
      </c>
      <c r="B339" s="38"/>
      <c r="C339" s="37"/>
      <c r="D339" s="111"/>
    </row>
    <row r="340" spans="1:4" ht="31.5" outlineLevel="1">
      <c r="A340" s="37" t="s">
        <v>1051</v>
      </c>
      <c r="B340" s="38" t="s">
        <v>1165</v>
      </c>
      <c r="C340" s="37">
        <v>5.0999999999999996</v>
      </c>
      <c r="D340" s="111"/>
    </row>
    <row r="341" spans="1:4" ht="31.5" outlineLevel="1">
      <c r="A341" s="37" t="s">
        <v>1051</v>
      </c>
      <c r="B341" s="38" t="s">
        <v>1</v>
      </c>
      <c r="C341" s="37">
        <v>5.2</v>
      </c>
      <c r="D341" s="111"/>
    </row>
    <row r="342" spans="1:4" ht="31.5" outlineLevel="1">
      <c r="A342" s="37" t="s">
        <v>1051</v>
      </c>
      <c r="B342" s="38" t="s">
        <v>5</v>
      </c>
      <c r="C342" s="37">
        <v>5.26</v>
      </c>
      <c r="D342" s="111"/>
    </row>
    <row r="343" spans="1:4" ht="31.5" outlineLevel="1">
      <c r="A343" s="37" t="s">
        <v>1051</v>
      </c>
      <c r="B343" s="38" t="s">
        <v>1166</v>
      </c>
      <c r="C343" s="37">
        <v>5.38</v>
      </c>
      <c r="D343" s="111"/>
    </row>
    <row r="344" spans="1:4" ht="31.5" outlineLevel="1">
      <c r="A344" s="37" t="s">
        <v>1051</v>
      </c>
      <c r="B344" s="38" t="s">
        <v>1167</v>
      </c>
      <c r="C344" s="37">
        <v>5.39</v>
      </c>
      <c r="D344" s="111"/>
    </row>
    <row r="345" spans="1:4" ht="31.5" outlineLevel="1">
      <c r="A345" s="37" t="s">
        <v>1051</v>
      </c>
      <c r="B345" s="38" t="s">
        <v>1168</v>
      </c>
      <c r="C345" s="39">
        <v>5.6</v>
      </c>
      <c r="D345" s="111"/>
    </row>
    <row r="346" spans="1:4" ht="31.5" outlineLevel="1">
      <c r="A346" s="37" t="s">
        <v>1051</v>
      </c>
      <c r="B346" s="38" t="s">
        <v>25</v>
      </c>
      <c r="C346" s="37">
        <v>5.48</v>
      </c>
      <c r="D346" s="111"/>
    </row>
    <row r="347" spans="1:4" ht="15.75">
      <c r="A347" s="43" t="s">
        <v>1051</v>
      </c>
      <c r="B347" s="38"/>
      <c r="C347" s="37"/>
      <c r="D347" s="111"/>
    </row>
    <row r="348" spans="1:4" ht="31.5" outlineLevel="1">
      <c r="A348" s="37" t="s">
        <v>1055</v>
      </c>
      <c r="B348" s="38" t="s">
        <v>0</v>
      </c>
      <c r="C348" s="37">
        <v>5.0999999999999996</v>
      </c>
      <c r="D348" s="111"/>
    </row>
    <row r="349" spans="1:4" ht="31.5" outlineLevel="1">
      <c r="A349" s="37" t="s">
        <v>1055</v>
      </c>
      <c r="B349" s="38" t="s">
        <v>1</v>
      </c>
      <c r="C349" s="37">
        <v>5.2</v>
      </c>
      <c r="D349" s="111"/>
    </row>
    <row r="350" spans="1:4" ht="31.5" outlineLevel="1">
      <c r="A350" s="37" t="s">
        <v>1055</v>
      </c>
      <c r="B350" s="38" t="s">
        <v>2</v>
      </c>
      <c r="C350" s="37">
        <v>5.3</v>
      </c>
      <c r="D350" s="111"/>
    </row>
    <row r="351" spans="1:4" ht="31.5" outlineLevel="1">
      <c r="A351" s="37" t="s">
        <v>1055</v>
      </c>
      <c r="B351" s="38" t="s">
        <v>182</v>
      </c>
      <c r="C351" s="37">
        <v>5.6</v>
      </c>
      <c r="D351" s="111"/>
    </row>
    <row r="352" spans="1:4" ht="31.5" outlineLevel="1">
      <c r="A352" s="37" t="s">
        <v>1055</v>
      </c>
      <c r="B352" s="38" t="s">
        <v>1155</v>
      </c>
      <c r="C352" s="39">
        <v>5.0999999999999996</v>
      </c>
      <c r="D352" s="111"/>
    </row>
    <row r="353" spans="1:4" ht="31.5" outlineLevel="1">
      <c r="A353" s="37" t="s">
        <v>1055</v>
      </c>
      <c r="B353" s="38" t="s">
        <v>1154</v>
      </c>
      <c r="C353" s="37">
        <v>5.14</v>
      </c>
      <c r="D353" s="111"/>
    </row>
    <row r="354" spans="1:4" ht="31.5" outlineLevel="1">
      <c r="A354" s="37" t="s">
        <v>1055</v>
      </c>
      <c r="B354" s="38" t="s">
        <v>4</v>
      </c>
      <c r="C354" s="37">
        <v>5.19</v>
      </c>
      <c r="D354" s="111"/>
    </row>
    <row r="355" spans="1:4" ht="31.5" outlineLevel="1">
      <c r="A355" s="37" t="s">
        <v>1055</v>
      </c>
      <c r="B355" s="38" t="s">
        <v>184</v>
      </c>
      <c r="C355" s="37">
        <v>5.24</v>
      </c>
      <c r="D355" s="111"/>
    </row>
    <row r="356" spans="1:4" ht="31.5" outlineLevel="1">
      <c r="A356" s="37" t="s">
        <v>1055</v>
      </c>
      <c r="B356" s="38" t="s">
        <v>5</v>
      </c>
      <c r="C356" s="37">
        <v>5.26</v>
      </c>
      <c r="D356" s="111"/>
    </row>
    <row r="357" spans="1:4" ht="31.5" outlineLevel="1">
      <c r="A357" s="37" t="s">
        <v>1055</v>
      </c>
      <c r="B357" s="38" t="s">
        <v>6</v>
      </c>
      <c r="C357" s="37">
        <v>5.27</v>
      </c>
      <c r="D357" s="111"/>
    </row>
    <row r="358" spans="1:4" ht="31.5" outlineLevel="1">
      <c r="A358" s="37" t="s">
        <v>1055</v>
      </c>
      <c r="B358" s="38" t="s">
        <v>7</v>
      </c>
      <c r="C358" s="37">
        <v>5.28</v>
      </c>
      <c r="D358" s="111"/>
    </row>
    <row r="359" spans="1:4" ht="31.5" outlineLevel="1">
      <c r="A359" s="37" t="s">
        <v>1055</v>
      </c>
      <c r="B359" s="38" t="s">
        <v>185</v>
      </c>
      <c r="C359" s="37">
        <v>5.31</v>
      </c>
      <c r="D359" s="111"/>
    </row>
    <row r="360" spans="1:4" ht="31.5" outlineLevel="1">
      <c r="A360" s="37" t="s">
        <v>1055</v>
      </c>
      <c r="B360" s="38" t="s">
        <v>150</v>
      </c>
      <c r="C360" s="37">
        <v>5.36</v>
      </c>
      <c r="D360" s="111"/>
    </row>
    <row r="361" spans="1:4" ht="31.5" outlineLevel="1">
      <c r="A361" s="37" t="s">
        <v>1055</v>
      </c>
      <c r="B361" s="38" t="s">
        <v>193</v>
      </c>
      <c r="C361" s="37">
        <v>5.37</v>
      </c>
      <c r="D361" s="111"/>
    </row>
    <row r="362" spans="1:4" ht="31.5" outlineLevel="1">
      <c r="A362" s="37" t="s">
        <v>1055</v>
      </c>
      <c r="B362" s="38" t="s">
        <v>9</v>
      </c>
      <c r="C362" s="37">
        <v>5.49</v>
      </c>
      <c r="D362" s="111"/>
    </row>
    <row r="363" spans="1:4" ht="31.5" outlineLevel="1">
      <c r="A363" s="37" t="s">
        <v>1055</v>
      </c>
      <c r="B363" s="38" t="s">
        <v>10</v>
      </c>
      <c r="C363" s="37">
        <v>5.51</v>
      </c>
      <c r="D363" s="111"/>
    </row>
    <row r="364" spans="1:4" ht="31.5" outlineLevel="1">
      <c r="A364" s="37" t="s">
        <v>1055</v>
      </c>
      <c r="B364" s="38" t="s">
        <v>1156</v>
      </c>
      <c r="C364" s="37">
        <v>5.52</v>
      </c>
      <c r="D364" s="111"/>
    </row>
    <row r="365" spans="1:4" ht="31.5" outlineLevel="1">
      <c r="A365" s="37" t="s">
        <v>1055</v>
      </c>
      <c r="B365" s="38" t="s">
        <v>11</v>
      </c>
      <c r="C365" s="37">
        <v>5.53</v>
      </c>
      <c r="D365" s="111"/>
    </row>
    <row r="366" spans="1:4" ht="31.5" outlineLevel="1">
      <c r="A366" s="37" t="s">
        <v>1055</v>
      </c>
      <c r="B366" s="38" t="s">
        <v>12</v>
      </c>
      <c r="C366" s="37">
        <v>5.69</v>
      </c>
      <c r="D366" s="111"/>
    </row>
    <row r="367" spans="1:4" ht="31.5" outlineLevel="1">
      <c r="A367" s="37" t="s">
        <v>1055</v>
      </c>
      <c r="B367" s="38" t="s">
        <v>798</v>
      </c>
      <c r="C367" s="39">
        <v>5.8</v>
      </c>
      <c r="D367" s="111"/>
    </row>
    <row r="368" spans="1:4" ht="31.5" outlineLevel="1">
      <c r="A368" s="37" t="s">
        <v>1055</v>
      </c>
      <c r="B368" s="38" t="s">
        <v>953</v>
      </c>
      <c r="C368" s="39">
        <v>5.72</v>
      </c>
      <c r="D368" s="111"/>
    </row>
    <row r="369" spans="1:4" ht="31.5" outlineLevel="1">
      <c r="A369" s="37" t="s">
        <v>1055</v>
      </c>
      <c r="B369" s="38" t="s">
        <v>13</v>
      </c>
      <c r="C369" s="37">
        <v>5.75</v>
      </c>
      <c r="D369" s="111"/>
    </row>
    <row r="370" spans="1:4" ht="31.5" outlineLevel="1">
      <c r="A370" s="37" t="s">
        <v>1055</v>
      </c>
      <c r="B370" s="38" t="s">
        <v>14</v>
      </c>
      <c r="C370" s="39">
        <v>5.7</v>
      </c>
      <c r="D370" s="111"/>
    </row>
    <row r="371" spans="1:4" ht="31.5" outlineLevel="1">
      <c r="A371" s="37" t="s">
        <v>1055</v>
      </c>
      <c r="B371" s="38" t="s">
        <v>15</v>
      </c>
      <c r="C371" s="37">
        <v>5.74</v>
      </c>
      <c r="D371" s="111"/>
    </row>
    <row r="372" spans="1:4" ht="31.5" outlineLevel="1">
      <c r="A372" s="37" t="s">
        <v>1055</v>
      </c>
      <c r="B372" s="38" t="s">
        <v>456</v>
      </c>
      <c r="C372" s="37">
        <v>5.76</v>
      </c>
      <c r="D372" s="111"/>
    </row>
    <row r="373" spans="1:4" ht="31.5" outlineLevel="1">
      <c r="A373" s="37" t="s">
        <v>1055</v>
      </c>
      <c r="B373" s="38" t="s">
        <v>874</v>
      </c>
      <c r="C373" s="37">
        <v>5.89</v>
      </c>
      <c r="D373" s="110" t="s">
        <v>1153</v>
      </c>
    </row>
    <row r="374" spans="1:4" ht="31.5" outlineLevel="1">
      <c r="A374" s="37" t="s">
        <v>1055</v>
      </c>
      <c r="B374" s="38" t="s">
        <v>186</v>
      </c>
      <c r="C374" s="37">
        <v>5.109</v>
      </c>
      <c r="D374" s="110"/>
    </row>
    <row r="375" spans="1:4" ht="31.5" outlineLevel="1">
      <c r="A375" s="37" t="s">
        <v>1055</v>
      </c>
      <c r="B375" s="38" t="s">
        <v>187</v>
      </c>
      <c r="C375" s="37">
        <v>5.1109999999999998</v>
      </c>
      <c r="D375" s="111"/>
    </row>
    <row r="376" spans="1:4" ht="31.5" outlineLevel="1">
      <c r="A376" s="37" t="s">
        <v>1055</v>
      </c>
      <c r="B376" s="38" t="s">
        <v>159</v>
      </c>
      <c r="C376" s="37">
        <v>5.1120000000000001</v>
      </c>
      <c r="D376" s="111"/>
    </row>
    <row r="377" spans="1:4" ht="31.5" outlineLevel="1">
      <c r="A377" s="37" t="s">
        <v>1055</v>
      </c>
      <c r="B377" s="38" t="s">
        <v>1169</v>
      </c>
      <c r="C377" s="37">
        <v>5.1130000000000004</v>
      </c>
      <c r="D377" s="111"/>
    </row>
    <row r="378" spans="1:4" ht="31.5" outlineLevel="1">
      <c r="A378" s="37" t="s">
        <v>1055</v>
      </c>
      <c r="B378" s="38" t="s">
        <v>17</v>
      </c>
      <c r="C378" s="37">
        <v>5.58</v>
      </c>
      <c r="D378" s="111"/>
    </row>
    <row r="379" spans="1:4" ht="31.5" outlineLevel="1">
      <c r="A379" s="37" t="s">
        <v>1055</v>
      </c>
      <c r="B379" s="38" t="s">
        <v>18</v>
      </c>
      <c r="C379" s="37">
        <v>5.54</v>
      </c>
      <c r="D379" s="111"/>
    </row>
    <row r="380" spans="1:4" ht="31.5" outlineLevel="1">
      <c r="A380" s="37" t="s">
        <v>1055</v>
      </c>
      <c r="B380" s="38" t="s">
        <v>19</v>
      </c>
      <c r="C380" s="37">
        <v>5.55</v>
      </c>
      <c r="D380" s="111"/>
    </row>
    <row r="381" spans="1:4" ht="31.5" outlineLevel="1">
      <c r="A381" s="37" t="s">
        <v>1055</v>
      </c>
      <c r="B381" s="38" t="s">
        <v>20</v>
      </c>
      <c r="C381" s="37">
        <v>5.63</v>
      </c>
      <c r="D381" s="111"/>
    </row>
    <row r="382" spans="1:4" ht="31.5" outlineLevel="1">
      <c r="A382" s="37" t="s">
        <v>1055</v>
      </c>
      <c r="B382" s="38" t="s">
        <v>21</v>
      </c>
      <c r="C382" s="37">
        <v>5.65</v>
      </c>
      <c r="D382" s="111"/>
    </row>
    <row r="383" spans="1:4" ht="31.5" outlineLevel="1">
      <c r="A383" s="37" t="s">
        <v>1055</v>
      </c>
      <c r="B383" s="38" t="s">
        <v>201</v>
      </c>
      <c r="C383" s="37">
        <v>5.66</v>
      </c>
      <c r="D383" s="111"/>
    </row>
    <row r="384" spans="1:4" ht="31.5" outlineLevel="1">
      <c r="A384" s="37" t="s">
        <v>1055</v>
      </c>
      <c r="B384" s="38" t="s">
        <v>22</v>
      </c>
      <c r="C384" s="37">
        <v>5.68</v>
      </c>
      <c r="D384" s="111"/>
    </row>
    <row r="385" spans="1:4" ht="31.5" outlineLevel="1">
      <c r="A385" s="37" t="s">
        <v>1055</v>
      </c>
      <c r="B385" s="38" t="s">
        <v>24</v>
      </c>
      <c r="C385" s="37">
        <v>5.47</v>
      </c>
      <c r="D385" s="111"/>
    </row>
    <row r="386" spans="1:4" ht="31.5" outlineLevel="1">
      <c r="A386" s="37" t="s">
        <v>1055</v>
      </c>
      <c r="B386" s="38" t="s">
        <v>25</v>
      </c>
      <c r="C386" s="37">
        <v>5.48</v>
      </c>
      <c r="D386" s="111"/>
    </row>
    <row r="387" spans="1:4" ht="15.75">
      <c r="A387" s="43" t="s">
        <v>1055</v>
      </c>
      <c r="B387" s="38"/>
      <c r="C387" s="37"/>
      <c r="D387" s="111"/>
    </row>
    <row r="388" spans="1:4" ht="15.75" outlineLevel="1">
      <c r="A388" s="37" t="s">
        <v>1057</v>
      </c>
      <c r="B388" s="38" t="s">
        <v>0</v>
      </c>
      <c r="C388" s="37">
        <v>5.0999999999999996</v>
      </c>
      <c r="D388" s="111"/>
    </row>
    <row r="389" spans="1:4" ht="15.75" outlineLevel="1">
      <c r="A389" s="37" t="s">
        <v>1057</v>
      </c>
      <c r="B389" s="38" t="s">
        <v>1</v>
      </c>
      <c r="C389" s="37">
        <v>5.2</v>
      </c>
      <c r="D389" s="111"/>
    </row>
    <row r="390" spans="1:4" ht="15.75" outlineLevel="1">
      <c r="A390" s="37" t="s">
        <v>1057</v>
      </c>
      <c r="B390" s="38" t="s">
        <v>2</v>
      </c>
      <c r="C390" s="37">
        <v>5.3</v>
      </c>
      <c r="D390" s="111"/>
    </row>
    <row r="391" spans="1:4" ht="15.75" outlineLevel="1">
      <c r="A391" s="37" t="s">
        <v>1057</v>
      </c>
      <c r="B391" s="38" t="s">
        <v>182</v>
      </c>
      <c r="C391" s="37">
        <v>5.6</v>
      </c>
      <c r="D391" s="111"/>
    </row>
    <row r="392" spans="1:4" ht="15.75" outlineLevel="1">
      <c r="A392" s="37" t="s">
        <v>1057</v>
      </c>
      <c r="B392" s="38" t="s">
        <v>1155</v>
      </c>
      <c r="C392" s="39">
        <v>5.0999999999999996</v>
      </c>
      <c r="D392" s="111"/>
    </row>
    <row r="393" spans="1:4" ht="15.75" outlineLevel="1">
      <c r="A393" s="37" t="s">
        <v>1057</v>
      </c>
      <c r="B393" s="38" t="s">
        <v>1154</v>
      </c>
      <c r="C393" s="37">
        <v>5.14</v>
      </c>
      <c r="D393" s="111"/>
    </row>
    <row r="394" spans="1:4" ht="15.75" outlineLevel="1">
      <c r="A394" s="37" t="s">
        <v>1057</v>
      </c>
      <c r="B394" s="38" t="s">
        <v>4</v>
      </c>
      <c r="C394" s="37">
        <v>5.19</v>
      </c>
      <c r="D394" s="111"/>
    </row>
    <row r="395" spans="1:4" ht="15.75" outlineLevel="1">
      <c r="A395" s="37" t="s">
        <v>1057</v>
      </c>
      <c r="B395" s="38" t="s">
        <v>184</v>
      </c>
      <c r="C395" s="37">
        <v>5.24</v>
      </c>
      <c r="D395" s="111"/>
    </row>
    <row r="396" spans="1:4" ht="15.75" outlineLevel="1">
      <c r="A396" s="37" t="s">
        <v>1057</v>
      </c>
      <c r="B396" s="38" t="s">
        <v>5</v>
      </c>
      <c r="C396" s="37">
        <v>5.26</v>
      </c>
      <c r="D396" s="111"/>
    </row>
    <row r="397" spans="1:4" ht="15.75" outlineLevel="1">
      <c r="A397" s="37" t="s">
        <v>1057</v>
      </c>
      <c r="B397" s="38" t="s">
        <v>6</v>
      </c>
      <c r="C397" s="37">
        <v>5.27</v>
      </c>
      <c r="D397" s="111"/>
    </row>
    <row r="398" spans="1:4" ht="15.75" outlineLevel="1">
      <c r="A398" s="37" t="s">
        <v>1057</v>
      </c>
      <c r="B398" s="38" t="s">
        <v>7</v>
      </c>
      <c r="C398" s="37">
        <v>5.28</v>
      </c>
      <c r="D398" s="111"/>
    </row>
    <row r="399" spans="1:4" ht="15.75" outlineLevel="1">
      <c r="A399" s="37" t="s">
        <v>1057</v>
      </c>
      <c r="B399" s="38" t="s">
        <v>372</v>
      </c>
      <c r="C399" s="37">
        <v>5.29</v>
      </c>
      <c r="D399" s="111"/>
    </row>
    <row r="400" spans="1:4" ht="15.75" outlineLevel="1">
      <c r="A400" s="37" t="s">
        <v>1057</v>
      </c>
      <c r="B400" s="38" t="s">
        <v>185</v>
      </c>
      <c r="C400" s="37">
        <v>5.31</v>
      </c>
      <c r="D400" s="111"/>
    </row>
    <row r="401" spans="1:4" ht="15.75" outlineLevel="1">
      <c r="A401" s="37" t="s">
        <v>1057</v>
      </c>
      <c r="B401" s="38" t="s">
        <v>150</v>
      </c>
      <c r="C401" s="37">
        <v>5.36</v>
      </c>
      <c r="D401" s="111"/>
    </row>
    <row r="402" spans="1:4" ht="15.75" outlineLevel="1">
      <c r="A402" s="37" t="s">
        <v>1057</v>
      </c>
      <c r="B402" s="38" t="s">
        <v>193</v>
      </c>
      <c r="C402" s="37">
        <v>5.37</v>
      </c>
      <c r="D402" s="111"/>
    </row>
    <row r="403" spans="1:4" ht="15.75" outlineLevel="1">
      <c r="A403" s="37" t="s">
        <v>1057</v>
      </c>
      <c r="B403" s="38" t="s">
        <v>9</v>
      </c>
      <c r="C403" s="37">
        <v>5.49</v>
      </c>
      <c r="D403" s="111"/>
    </row>
    <row r="404" spans="1:4" ht="15.75" outlineLevel="1">
      <c r="A404" s="37" t="s">
        <v>1057</v>
      </c>
      <c r="B404" s="38" t="s">
        <v>10</v>
      </c>
      <c r="C404" s="37">
        <v>5.51</v>
      </c>
      <c r="D404" s="111"/>
    </row>
    <row r="405" spans="1:4" ht="15.75" outlineLevel="1">
      <c r="A405" s="37" t="s">
        <v>1057</v>
      </c>
      <c r="B405" s="38" t="s">
        <v>1156</v>
      </c>
      <c r="C405" s="37">
        <v>5.52</v>
      </c>
      <c r="D405" s="111"/>
    </row>
    <row r="406" spans="1:4" ht="15.75" outlineLevel="1">
      <c r="A406" s="37" t="s">
        <v>1057</v>
      </c>
      <c r="B406" s="38" t="s">
        <v>11</v>
      </c>
      <c r="C406" s="37">
        <v>5.53</v>
      </c>
      <c r="D406" s="111"/>
    </row>
    <row r="407" spans="1:4" ht="15.75" outlineLevel="1">
      <c r="A407" s="37" t="s">
        <v>1057</v>
      </c>
      <c r="B407" s="38" t="s">
        <v>12</v>
      </c>
      <c r="C407" s="37">
        <v>5.69</v>
      </c>
      <c r="D407" s="111"/>
    </row>
    <row r="408" spans="1:4" ht="15.75" outlineLevel="1">
      <c r="A408" s="37" t="s">
        <v>1057</v>
      </c>
      <c r="B408" s="38" t="s">
        <v>13</v>
      </c>
      <c r="C408" s="37">
        <v>5.75</v>
      </c>
      <c r="D408" s="111"/>
    </row>
    <row r="409" spans="1:4" ht="15.75" outlineLevel="1">
      <c r="A409" s="37" t="s">
        <v>1057</v>
      </c>
      <c r="B409" s="38" t="s">
        <v>15</v>
      </c>
      <c r="C409" s="37">
        <v>5.74</v>
      </c>
      <c r="D409" s="111"/>
    </row>
    <row r="410" spans="1:4" ht="15.75" outlineLevel="1">
      <c r="A410" s="37" t="s">
        <v>1057</v>
      </c>
      <c r="B410" s="38" t="s">
        <v>14</v>
      </c>
      <c r="C410" s="39">
        <v>5.7</v>
      </c>
      <c r="D410" s="111"/>
    </row>
    <row r="411" spans="1:4" ht="15.75" outlineLevel="1">
      <c r="A411" s="37" t="s">
        <v>1057</v>
      </c>
      <c r="B411" s="38" t="s">
        <v>456</v>
      </c>
      <c r="C411" s="37">
        <v>5.76</v>
      </c>
      <c r="D411" s="111"/>
    </row>
    <row r="412" spans="1:4" ht="15.75" outlineLevel="1">
      <c r="A412" s="37" t="s">
        <v>1057</v>
      </c>
      <c r="B412" s="38" t="s">
        <v>874</v>
      </c>
      <c r="C412" s="37">
        <v>5.89</v>
      </c>
      <c r="D412" s="110" t="s">
        <v>1153</v>
      </c>
    </row>
    <row r="413" spans="1:4" ht="15.75" outlineLevel="1">
      <c r="A413" s="37" t="s">
        <v>1057</v>
      </c>
      <c r="B413" s="38" t="s">
        <v>186</v>
      </c>
      <c r="C413" s="37">
        <v>5.109</v>
      </c>
      <c r="D413" s="111"/>
    </row>
    <row r="414" spans="1:4" ht="15.75" outlineLevel="1">
      <c r="A414" s="37" t="s">
        <v>1057</v>
      </c>
      <c r="B414" s="38" t="s">
        <v>187</v>
      </c>
      <c r="C414" s="37">
        <v>5.1109999999999998</v>
      </c>
      <c r="D414" s="111"/>
    </row>
    <row r="415" spans="1:4" ht="15.75" outlineLevel="1">
      <c r="A415" s="37" t="s">
        <v>1057</v>
      </c>
      <c r="B415" s="38" t="s">
        <v>159</v>
      </c>
      <c r="C415" s="37">
        <v>5.1120000000000001</v>
      </c>
      <c r="D415" s="111"/>
    </row>
    <row r="416" spans="1:4" ht="15.75" outlineLevel="1">
      <c r="A416" s="37" t="s">
        <v>1057</v>
      </c>
      <c r="B416" s="38" t="s">
        <v>1169</v>
      </c>
      <c r="C416" s="37">
        <v>5.1130000000000004</v>
      </c>
      <c r="D416" s="111"/>
    </row>
    <row r="417" spans="1:4" ht="15.75" outlineLevel="1">
      <c r="A417" s="37" t="s">
        <v>1057</v>
      </c>
      <c r="B417" s="38" t="s">
        <v>17</v>
      </c>
      <c r="C417" s="37">
        <v>5.58</v>
      </c>
      <c r="D417" s="111"/>
    </row>
    <row r="418" spans="1:4" ht="15.75" outlineLevel="1">
      <c r="A418" s="37" t="s">
        <v>1057</v>
      </c>
      <c r="B418" s="38" t="s">
        <v>18</v>
      </c>
      <c r="C418" s="37">
        <v>5.54</v>
      </c>
      <c r="D418" s="111"/>
    </row>
    <row r="419" spans="1:4" ht="15.75" outlineLevel="1">
      <c r="A419" s="37" t="s">
        <v>1057</v>
      </c>
      <c r="B419" s="38" t="s">
        <v>19</v>
      </c>
      <c r="C419" s="37">
        <v>5.55</v>
      </c>
      <c r="D419" s="111"/>
    </row>
    <row r="420" spans="1:4" ht="15.75" outlineLevel="1">
      <c r="A420" s="37" t="s">
        <v>1057</v>
      </c>
      <c r="B420" s="38" t="s">
        <v>20</v>
      </c>
      <c r="C420" s="37">
        <v>5.63</v>
      </c>
      <c r="D420" s="111"/>
    </row>
    <row r="421" spans="1:4" ht="15.75" outlineLevel="1">
      <c r="A421" s="37" t="s">
        <v>1057</v>
      </c>
      <c r="B421" s="38" t="s">
        <v>21</v>
      </c>
      <c r="C421" s="37">
        <v>5.65</v>
      </c>
      <c r="D421" s="111"/>
    </row>
    <row r="422" spans="1:4" ht="15.75" outlineLevel="1">
      <c r="A422" s="37" t="s">
        <v>1057</v>
      </c>
      <c r="B422" s="38" t="s">
        <v>201</v>
      </c>
      <c r="C422" s="37">
        <v>5.66</v>
      </c>
      <c r="D422" s="111"/>
    </row>
    <row r="423" spans="1:4" ht="15.75" outlineLevel="1">
      <c r="A423" s="37" t="s">
        <v>1057</v>
      </c>
      <c r="B423" s="38" t="s">
        <v>22</v>
      </c>
      <c r="C423" s="37">
        <v>5.68</v>
      </c>
      <c r="D423" s="111"/>
    </row>
    <row r="424" spans="1:4" ht="15.75" outlineLevel="1">
      <c r="A424" s="37" t="s">
        <v>1057</v>
      </c>
      <c r="B424" s="38" t="s">
        <v>24</v>
      </c>
      <c r="C424" s="37">
        <v>5.47</v>
      </c>
      <c r="D424" s="111"/>
    </row>
    <row r="425" spans="1:4" ht="15.75" outlineLevel="1">
      <c r="A425" s="37" t="s">
        <v>1057</v>
      </c>
      <c r="B425" s="38" t="s">
        <v>25</v>
      </c>
      <c r="C425" s="37">
        <v>5.48</v>
      </c>
      <c r="D425" s="111"/>
    </row>
    <row r="426" spans="1:4" ht="15.75">
      <c r="A426" s="43" t="s">
        <v>1057</v>
      </c>
      <c r="B426" s="38"/>
      <c r="C426" s="37"/>
      <c r="D426" s="111"/>
    </row>
    <row r="427" spans="1:4" ht="15.75" outlineLevel="1">
      <c r="A427" s="37" t="s">
        <v>1170</v>
      </c>
      <c r="B427" s="38" t="s">
        <v>0</v>
      </c>
      <c r="C427" s="37">
        <v>5.0999999999999996</v>
      </c>
      <c r="D427" s="111"/>
    </row>
    <row r="428" spans="1:4" ht="15.75" outlineLevel="1">
      <c r="A428" s="37" t="s">
        <v>1170</v>
      </c>
      <c r="B428" s="38" t="s">
        <v>1</v>
      </c>
      <c r="C428" s="37">
        <v>5.2</v>
      </c>
      <c r="D428" s="111"/>
    </row>
    <row r="429" spans="1:4" ht="15.75" outlineLevel="1">
      <c r="A429" s="37" t="s">
        <v>1170</v>
      </c>
      <c r="B429" s="38" t="s">
        <v>2</v>
      </c>
      <c r="C429" s="37">
        <v>5.3</v>
      </c>
      <c r="D429" s="111"/>
    </row>
    <row r="430" spans="1:4" ht="15.75" outlineLevel="1">
      <c r="A430" s="37" t="s">
        <v>1170</v>
      </c>
      <c r="B430" s="38" t="s">
        <v>182</v>
      </c>
      <c r="C430" s="37">
        <v>5.6</v>
      </c>
      <c r="D430" s="111"/>
    </row>
    <row r="431" spans="1:4" ht="15.75" outlineLevel="1">
      <c r="A431" s="37" t="s">
        <v>1170</v>
      </c>
      <c r="B431" s="38" t="s">
        <v>1155</v>
      </c>
      <c r="C431" s="39">
        <v>5.0999999999999996</v>
      </c>
      <c r="D431" s="111"/>
    </row>
    <row r="432" spans="1:4" ht="15.75" outlineLevel="1">
      <c r="A432" s="37" t="s">
        <v>1170</v>
      </c>
      <c r="B432" s="38" t="s">
        <v>1154</v>
      </c>
      <c r="C432" s="37">
        <v>5.14</v>
      </c>
      <c r="D432" s="111"/>
    </row>
    <row r="433" spans="1:4" ht="15.75" outlineLevel="1">
      <c r="A433" s="37" t="s">
        <v>1170</v>
      </c>
      <c r="B433" s="38" t="s">
        <v>4</v>
      </c>
      <c r="C433" s="37">
        <v>5.19</v>
      </c>
      <c r="D433" s="111"/>
    </row>
    <row r="434" spans="1:4" ht="15.75" outlineLevel="1">
      <c r="A434" s="37" t="s">
        <v>1170</v>
      </c>
      <c r="B434" s="38" t="s">
        <v>184</v>
      </c>
      <c r="C434" s="37">
        <v>5.24</v>
      </c>
      <c r="D434" s="111"/>
    </row>
    <row r="435" spans="1:4" ht="15.75" outlineLevel="1">
      <c r="A435" s="37" t="s">
        <v>1170</v>
      </c>
      <c r="B435" s="38" t="s">
        <v>5</v>
      </c>
      <c r="C435" s="37">
        <v>5.26</v>
      </c>
      <c r="D435" s="111"/>
    </row>
    <row r="436" spans="1:4" ht="15.75" outlineLevel="1">
      <c r="A436" s="37" t="s">
        <v>1170</v>
      </c>
      <c r="B436" s="38" t="s">
        <v>6</v>
      </c>
      <c r="C436" s="37">
        <v>5.27</v>
      </c>
      <c r="D436" s="111"/>
    </row>
    <row r="437" spans="1:4" ht="15.75" outlineLevel="1">
      <c r="A437" s="37" t="s">
        <v>1170</v>
      </c>
      <c r="B437" s="38" t="s">
        <v>7</v>
      </c>
      <c r="C437" s="37">
        <v>5.28</v>
      </c>
      <c r="D437" s="111"/>
    </row>
    <row r="438" spans="1:4" ht="15.75" outlineLevel="1">
      <c r="A438" s="37" t="s">
        <v>1170</v>
      </c>
      <c r="B438" s="38" t="s">
        <v>372</v>
      </c>
      <c r="C438" s="37">
        <v>5.29</v>
      </c>
      <c r="D438" s="111"/>
    </row>
    <row r="439" spans="1:4" ht="15.75" outlineLevel="1">
      <c r="A439" s="37" t="s">
        <v>1170</v>
      </c>
      <c r="B439" s="38" t="s">
        <v>185</v>
      </c>
      <c r="C439" s="37">
        <v>5.31</v>
      </c>
      <c r="D439" s="111"/>
    </row>
    <row r="440" spans="1:4" ht="15.75" outlineLevel="1">
      <c r="A440" s="37" t="s">
        <v>1170</v>
      </c>
      <c r="B440" s="38" t="s">
        <v>150</v>
      </c>
      <c r="C440" s="37">
        <v>5.36</v>
      </c>
      <c r="D440" s="111"/>
    </row>
    <row r="441" spans="1:4" ht="15.75" outlineLevel="1">
      <c r="A441" s="37" t="s">
        <v>1170</v>
      </c>
      <c r="B441" s="38" t="s">
        <v>193</v>
      </c>
      <c r="C441" s="37">
        <v>5.37</v>
      </c>
      <c r="D441" s="111"/>
    </row>
    <row r="442" spans="1:4" ht="15.75" outlineLevel="1">
      <c r="A442" s="37" t="s">
        <v>1170</v>
      </c>
      <c r="B442" s="38" t="s">
        <v>11</v>
      </c>
      <c r="C442" s="37">
        <v>5.53</v>
      </c>
      <c r="D442" s="111"/>
    </row>
    <row r="443" spans="1:4" ht="15.75" outlineLevel="1">
      <c r="A443" s="37" t="s">
        <v>1170</v>
      </c>
      <c r="B443" s="38" t="s">
        <v>186</v>
      </c>
      <c r="C443" s="37">
        <v>5.109</v>
      </c>
      <c r="D443" s="111"/>
    </row>
    <row r="444" spans="1:4" ht="15.75" outlineLevel="1">
      <c r="A444" s="37" t="s">
        <v>1170</v>
      </c>
      <c r="B444" s="38" t="s">
        <v>187</v>
      </c>
      <c r="C444" s="37">
        <v>5.1109999999999998</v>
      </c>
      <c r="D444" s="111"/>
    </row>
    <row r="445" spans="1:4" ht="15.75" outlineLevel="1">
      <c r="A445" s="37" t="s">
        <v>1170</v>
      </c>
      <c r="B445" s="38" t="s">
        <v>159</v>
      </c>
      <c r="C445" s="37">
        <v>5.1120000000000001</v>
      </c>
      <c r="D445" s="111"/>
    </row>
    <row r="446" spans="1:4" ht="15.75" outlineLevel="1">
      <c r="A446" s="37" t="s">
        <v>1170</v>
      </c>
      <c r="B446" s="38" t="s">
        <v>1169</v>
      </c>
      <c r="C446" s="37">
        <v>5.1130000000000004</v>
      </c>
      <c r="D446" s="111"/>
    </row>
    <row r="447" spans="1:4" ht="15.75" outlineLevel="1">
      <c r="A447" s="37" t="s">
        <v>1170</v>
      </c>
      <c r="B447" s="38" t="s">
        <v>17</v>
      </c>
      <c r="C447" s="37">
        <v>5.58</v>
      </c>
      <c r="D447" s="111"/>
    </row>
    <row r="448" spans="1:4" ht="15.75" outlineLevel="1">
      <c r="A448" s="37" t="s">
        <v>1170</v>
      </c>
      <c r="B448" s="38" t="s">
        <v>18</v>
      </c>
      <c r="C448" s="37">
        <v>5.54</v>
      </c>
      <c r="D448" s="111"/>
    </row>
    <row r="449" spans="1:4" ht="15.75" outlineLevel="1">
      <c r="A449" s="37" t="s">
        <v>1170</v>
      </c>
      <c r="B449" s="38" t="s">
        <v>19</v>
      </c>
      <c r="C449" s="37">
        <v>5.55</v>
      </c>
      <c r="D449" s="111"/>
    </row>
    <row r="450" spans="1:4" ht="15.75" outlineLevel="1">
      <c r="A450" s="37" t="s">
        <v>1170</v>
      </c>
      <c r="B450" s="38" t="s">
        <v>20</v>
      </c>
      <c r="C450" s="37">
        <v>5.63</v>
      </c>
      <c r="D450" s="111"/>
    </row>
    <row r="451" spans="1:4" ht="15.75" outlineLevel="1">
      <c r="A451" s="37" t="s">
        <v>1170</v>
      </c>
      <c r="B451" s="38" t="s">
        <v>24</v>
      </c>
      <c r="C451" s="37">
        <v>5.47</v>
      </c>
      <c r="D451" s="111"/>
    </row>
    <row r="452" spans="1:4" ht="15.75" outlineLevel="1">
      <c r="A452" s="37" t="s">
        <v>1170</v>
      </c>
      <c r="B452" s="38" t="s">
        <v>25</v>
      </c>
      <c r="C452" s="37">
        <v>5.48</v>
      </c>
      <c r="D452" s="111"/>
    </row>
    <row r="453" spans="1:4" ht="15.75">
      <c r="A453" s="43" t="s">
        <v>1170</v>
      </c>
      <c r="B453" s="38"/>
      <c r="C453" s="37"/>
      <c r="D453" s="111"/>
    </row>
    <row r="454" spans="1:4" ht="15.75" outlineLevel="1">
      <c r="A454" s="37" t="s">
        <v>818</v>
      </c>
      <c r="B454" s="38" t="s">
        <v>0</v>
      </c>
      <c r="C454" s="37">
        <v>5.0999999999999996</v>
      </c>
      <c r="D454" s="111"/>
    </row>
    <row r="455" spans="1:4" ht="15.75" outlineLevel="1">
      <c r="A455" s="37" t="s">
        <v>818</v>
      </c>
      <c r="B455" s="38" t="s">
        <v>1</v>
      </c>
      <c r="C455" s="37">
        <v>5.2</v>
      </c>
      <c r="D455" s="111"/>
    </row>
    <row r="456" spans="1:4" ht="15.75" outlineLevel="1">
      <c r="A456" s="37" t="s">
        <v>818</v>
      </c>
      <c r="B456" s="38" t="s">
        <v>238</v>
      </c>
      <c r="C456" s="37">
        <v>5.5</v>
      </c>
      <c r="D456" s="111"/>
    </row>
    <row r="457" spans="1:4" ht="15.75" outlineLevel="1">
      <c r="A457" s="37" t="s">
        <v>818</v>
      </c>
      <c r="B457" s="38" t="s">
        <v>239</v>
      </c>
      <c r="C457" s="37">
        <v>5.8</v>
      </c>
      <c r="D457" s="110" t="s">
        <v>1153</v>
      </c>
    </row>
    <row r="458" spans="1:4" ht="15.75" outlineLevel="1">
      <c r="A458" s="37" t="s">
        <v>818</v>
      </c>
      <c r="B458" s="38" t="s">
        <v>240</v>
      </c>
      <c r="C458" s="37">
        <v>5.12</v>
      </c>
      <c r="D458" s="110" t="s">
        <v>1153</v>
      </c>
    </row>
    <row r="459" spans="1:4" ht="15.75" outlineLevel="1">
      <c r="A459" s="37" t="s">
        <v>818</v>
      </c>
      <c r="B459" s="38" t="s">
        <v>241</v>
      </c>
      <c r="C459" s="37">
        <v>5.15</v>
      </c>
      <c r="D459" s="111"/>
    </row>
    <row r="460" spans="1:4" ht="15.75" outlineLevel="1">
      <c r="A460" s="37" t="s">
        <v>818</v>
      </c>
      <c r="B460" s="38" t="s">
        <v>242</v>
      </c>
      <c r="C460" s="39">
        <v>5.2</v>
      </c>
      <c r="D460" s="110"/>
    </row>
    <row r="461" spans="1:4" ht="15.75" outlineLevel="1">
      <c r="A461" s="37" t="s">
        <v>818</v>
      </c>
      <c r="B461" s="38" t="s">
        <v>243</v>
      </c>
      <c r="C461" s="37">
        <v>5.25</v>
      </c>
      <c r="D461" s="111"/>
    </row>
    <row r="462" spans="1:4" ht="15.75" outlineLevel="1">
      <c r="A462" s="37" t="s">
        <v>818</v>
      </c>
      <c r="B462" s="38" t="s">
        <v>5</v>
      </c>
      <c r="C462" s="37">
        <v>5.26</v>
      </c>
      <c r="D462" s="111"/>
    </row>
    <row r="463" spans="1:4" ht="15.75" outlineLevel="1">
      <c r="A463" s="37" t="s">
        <v>818</v>
      </c>
      <c r="B463" s="38" t="s">
        <v>875</v>
      </c>
      <c r="C463" s="37">
        <v>5.1139999999999999</v>
      </c>
      <c r="D463" s="110" t="s">
        <v>1153</v>
      </c>
    </row>
    <row r="464" spans="1:4" ht="15.75" outlineLevel="1">
      <c r="A464" s="37" t="s">
        <v>818</v>
      </c>
      <c r="B464" s="38" t="s">
        <v>6</v>
      </c>
      <c r="C464" s="37">
        <v>5.27</v>
      </c>
      <c r="D464" s="111"/>
    </row>
    <row r="465" spans="1:4" ht="15.75" outlineLevel="1">
      <c r="A465" s="37" t="s">
        <v>818</v>
      </c>
      <c r="B465" s="38" t="s">
        <v>1171</v>
      </c>
      <c r="C465" s="37">
        <v>5.1150000000000002</v>
      </c>
      <c r="D465" s="110" t="s">
        <v>1153</v>
      </c>
    </row>
    <row r="466" spans="1:4" ht="15.75" outlineLevel="1">
      <c r="A466" s="37" t="s">
        <v>818</v>
      </c>
      <c r="B466" s="38" t="s">
        <v>1172</v>
      </c>
      <c r="C466" s="37">
        <v>5.1159999999999997</v>
      </c>
      <c r="D466" s="110" t="s">
        <v>1153</v>
      </c>
    </row>
    <row r="467" spans="1:4" ht="15.75" outlineLevel="1">
      <c r="A467" s="37" t="s">
        <v>818</v>
      </c>
      <c r="B467" s="38" t="s">
        <v>7</v>
      </c>
      <c r="C467" s="37">
        <v>5.28</v>
      </c>
      <c r="D467" s="111"/>
    </row>
    <row r="468" spans="1:4" ht="15.75" outlineLevel="1">
      <c r="A468" s="37" t="s">
        <v>818</v>
      </c>
      <c r="B468" s="38" t="s">
        <v>150</v>
      </c>
      <c r="C468" s="37">
        <v>5.36</v>
      </c>
      <c r="D468" s="111"/>
    </row>
    <row r="469" spans="1:4" ht="15.75" outlineLevel="1">
      <c r="A469" s="37" t="s">
        <v>818</v>
      </c>
      <c r="B469" s="38" t="s">
        <v>193</v>
      </c>
      <c r="C469" s="37">
        <v>5.37</v>
      </c>
      <c r="D469" s="111"/>
    </row>
    <row r="470" spans="1:4" ht="15.75" outlineLevel="1">
      <c r="A470" s="37" t="s">
        <v>818</v>
      </c>
      <c r="B470" s="38" t="s">
        <v>11</v>
      </c>
      <c r="C470" s="37">
        <v>5.53</v>
      </c>
      <c r="D470" s="111"/>
    </row>
    <row r="471" spans="1:4" ht="15.75" outlineLevel="1">
      <c r="A471" s="37" t="s">
        <v>818</v>
      </c>
      <c r="B471" s="38" t="s">
        <v>186</v>
      </c>
      <c r="C471" s="37">
        <v>5.109</v>
      </c>
      <c r="D471" s="111"/>
    </row>
    <row r="472" spans="1:4" ht="15.75" outlineLevel="1">
      <c r="A472" s="37" t="s">
        <v>818</v>
      </c>
      <c r="B472" s="38" t="s">
        <v>187</v>
      </c>
      <c r="C472" s="37">
        <v>5.1109999999999998</v>
      </c>
      <c r="D472" s="111"/>
    </row>
    <row r="473" spans="1:4" ht="15.75" outlineLevel="1">
      <c r="A473" s="37" t="s">
        <v>818</v>
      </c>
      <c r="B473" s="38" t="s">
        <v>159</v>
      </c>
      <c r="C473" s="37">
        <v>5.1120000000000001</v>
      </c>
      <c r="D473" s="111"/>
    </row>
    <row r="474" spans="1:4" ht="15.75" outlineLevel="1">
      <c r="A474" s="37" t="s">
        <v>818</v>
      </c>
      <c r="B474" s="38" t="s">
        <v>18</v>
      </c>
      <c r="C474" s="37">
        <v>5.54</v>
      </c>
      <c r="D474" s="111"/>
    </row>
    <row r="475" spans="1:4" ht="15.75" outlineLevel="1">
      <c r="A475" s="37" t="s">
        <v>818</v>
      </c>
      <c r="B475" s="38" t="s">
        <v>1173</v>
      </c>
      <c r="C475" s="37">
        <v>5.61</v>
      </c>
      <c r="D475" s="111"/>
    </row>
    <row r="476" spans="1:4" ht="15.75" outlineLevel="1">
      <c r="A476" s="37" t="s">
        <v>818</v>
      </c>
      <c r="B476" s="38" t="s">
        <v>20</v>
      </c>
      <c r="C476" s="37">
        <v>5.63</v>
      </c>
      <c r="D476" s="111"/>
    </row>
    <row r="477" spans="1:4" ht="15.75" outlineLevel="1">
      <c r="A477" s="37" t="s">
        <v>818</v>
      </c>
      <c r="B477" s="38" t="s">
        <v>1174</v>
      </c>
      <c r="C477" s="37">
        <v>5.46</v>
      </c>
      <c r="D477" s="111"/>
    </row>
    <row r="478" spans="1:4" ht="15.75" outlineLevel="1">
      <c r="A478" s="37" t="s">
        <v>818</v>
      </c>
      <c r="B478" s="38" t="s">
        <v>24</v>
      </c>
      <c r="C478" s="37">
        <v>5.47</v>
      </c>
      <c r="D478" s="111"/>
    </row>
    <row r="479" spans="1:4" ht="15.75" outlineLevel="1">
      <c r="A479" s="37" t="s">
        <v>818</v>
      </c>
      <c r="B479" s="38" t="s">
        <v>25</v>
      </c>
      <c r="C479" s="37">
        <v>5.48</v>
      </c>
      <c r="D479" s="111"/>
    </row>
    <row r="480" spans="1:4" ht="15.75">
      <c r="A480" s="43" t="s">
        <v>818</v>
      </c>
      <c r="B480" s="38"/>
      <c r="C480" s="37"/>
      <c r="D480" s="111"/>
    </row>
    <row r="481" spans="1:4" ht="15.75" outlineLevel="1">
      <c r="A481" s="37" t="s">
        <v>1175</v>
      </c>
      <c r="B481" s="38" t="s">
        <v>0</v>
      </c>
      <c r="C481" s="37">
        <v>5.0999999999999996</v>
      </c>
      <c r="D481" s="111"/>
    </row>
    <row r="482" spans="1:4" ht="15.75" outlineLevel="1">
      <c r="A482" s="37" t="s">
        <v>1175</v>
      </c>
      <c r="B482" s="38" t="s">
        <v>1</v>
      </c>
      <c r="C482" s="37">
        <v>5.2</v>
      </c>
      <c r="D482" s="111"/>
    </row>
    <row r="483" spans="1:4" ht="15.75" outlineLevel="1">
      <c r="A483" s="37" t="s">
        <v>1175</v>
      </c>
      <c r="B483" s="38" t="s">
        <v>2</v>
      </c>
      <c r="C483" s="37">
        <v>5.3</v>
      </c>
      <c r="D483" s="111"/>
    </row>
    <row r="484" spans="1:4" ht="15.75" outlineLevel="1">
      <c r="A484" s="37" t="s">
        <v>1175</v>
      </c>
      <c r="B484" s="38" t="s">
        <v>182</v>
      </c>
      <c r="C484" s="37">
        <v>5.6</v>
      </c>
      <c r="D484" s="111"/>
    </row>
    <row r="485" spans="1:4" ht="15.75" outlineLevel="1">
      <c r="A485" s="37" t="s">
        <v>1175</v>
      </c>
      <c r="B485" s="38" t="s">
        <v>1155</v>
      </c>
      <c r="C485" s="39">
        <v>5.0999999999999996</v>
      </c>
      <c r="D485" s="111"/>
    </row>
    <row r="486" spans="1:4" ht="15.75" outlineLevel="1">
      <c r="A486" s="37" t="s">
        <v>1175</v>
      </c>
      <c r="B486" s="38" t="s">
        <v>1154</v>
      </c>
      <c r="C486" s="37">
        <v>5.14</v>
      </c>
      <c r="D486" s="111"/>
    </row>
    <row r="487" spans="1:4" ht="15.75" outlineLevel="1">
      <c r="A487" s="37" t="s">
        <v>1175</v>
      </c>
      <c r="B487" s="38" t="s">
        <v>4</v>
      </c>
      <c r="C487" s="37">
        <v>5.19</v>
      </c>
      <c r="D487" s="111"/>
    </row>
    <row r="488" spans="1:4" ht="15.75" outlineLevel="1">
      <c r="A488" s="37" t="s">
        <v>1175</v>
      </c>
      <c r="B488" s="38" t="s">
        <v>184</v>
      </c>
      <c r="C488" s="37">
        <v>5.24</v>
      </c>
      <c r="D488" s="111"/>
    </row>
    <row r="489" spans="1:4" ht="15.75" outlineLevel="1">
      <c r="A489" s="37" t="s">
        <v>1175</v>
      </c>
      <c r="B489" s="38" t="s">
        <v>6</v>
      </c>
      <c r="C489" s="37">
        <v>5.27</v>
      </c>
      <c r="D489" s="111"/>
    </row>
    <row r="490" spans="1:4" ht="15.75" outlineLevel="1">
      <c r="A490" s="37" t="s">
        <v>1175</v>
      </c>
      <c r="B490" s="38" t="s">
        <v>7</v>
      </c>
      <c r="C490" s="37">
        <v>5.28</v>
      </c>
      <c r="D490" s="111"/>
    </row>
    <row r="491" spans="1:4" ht="15.75" outlineLevel="1">
      <c r="A491" s="37" t="s">
        <v>1175</v>
      </c>
      <c r="B491" s="38" t="s">
        <v>372</v>
      </c>
      <c r="C491" s="37">
        <v>5.29</v>
      </c>
      <c r="D491" s="111"/>
    </row>
    <row r="492" spans="1:4" ht="15.75" outlineLevel="1">
      <c r="A492" s="37" t="s">
        <v>1175</v>
      </c>
      <c r="B492" s="38" t="s">
        <v>1160</v>
      </c>
      <c r="C492" s="37">
        <v>5.34</v>
      </c>
      <c r="D492" s="111"/>
    </row>
    <row r="493" spans="1:4" ht="15.75" outlineLevel="1">
      <c r="A493" s="37" t="s">
        <v>1175</v>
      </c>
      <c r="B493" s="38" t="s">
        <v>185</v>
      </c>
      <c r="C493" s="37">
        <v>5.31</v>
      </c>
      <c r="D493" s="111"/>
    </row>
    <row r="494" spans="1:4" ht="15.75" outlineLevel="1">
      <c r="A494" s="37" t="s">
        <v>1175</v>
      </c>
      <c r="B494" s="38" t="s">
        <v>1161</v>
      </c>
      <c r="C494" s="37">
        <v>5.101</v>
      </c>
      <c r="D494" s="111"/>
    </row>
    <row r="495" spans="1:4" ht="15.75" outlineLevel="1">
      <c r="A495" s="37" t="s">
        <v>1175</v>
      </c>
      <c r="B495" s="38" t="s">
        <v>150</v>
      </c>
      <c r="C495" s="37">
        <v>5.36</v>
      </c>
      <c r="D495" s="111"/>
    </row>
    <row r="496" spans="1:4" ht="15.75" outlineLevel="1">
      <c r="A496" s="37" t="s">
        <v>1175</v>
      </c>
      <c r="B496" s="38" t="s">
        <v>193</v>
      </c>
      <c r="C496" s="37">
        <v>5.37</v>
      </c>
      <c r="D496" s="111"/>
    </row>
    <row r="497" spans="1:4" ht="15.75" outlineLevel="1">
      <c r="A497" s="37" t="s">
        <v>1175</v>
      </c>
      <c r="B497" s="38" t="s">
        <v>11</v>
      </c>
      <c r="C497" s="37">
        <v>5.53</v>
      </c>
      <c r="D497" s="111"/>
    </row>
    <row r="498" spans="1:4" ht="15.75" outlineLevel="1">
      <c r="A498" s="37" t="s">
        <v>1175</v>
      </c>
      <c r="B498" s="38" t="s">
        <v>186</v>
      </c>
      <c r="C498" s="37">
        <v>5.109</v>
      </c>
      <c r="D498" s="111"/>
    </row>
    <row r="499" spans="1:4" ht="15.75" outlineLevel="1">
      <c r="A499" s="37" t="s">
        <v>1175</v>
      </c>
      <c r="B499" s="38" t="s">
        <v>187</v>
      </c>
      <c r="C499" s="37">
        <v>5.1109999999999998</v>
      </c>
      <c r="D499" s="111"/>
    </row>
    <row r="500" spans="1:4" ht="15.75" outlineLevel="1">
      <c r="A500" s="37" t="s">
        <v>1175</v>
      </c>
      <c r="B500" s="38" t="s">
        <v>159</v>
      </c>
      <c r="C500" s="37">
        <v>5.1120000000000001</v>
      </c>
      <c r="D500" s="111"/>
    </row>
    <row r="501" spans="1:4" ht="15.75" outlineLevel="1">
      <c r="A501" s="37" t="s">
        <v>1175</v>
      </c>
      <c r="B501" s="38" t="s">
        <v>1162</v>
      </c>
      <c r="C501" s="37">
        <v>5.1020000000000003</v>
      </c>
      <c r="D501" s="111"/>
    </row>
    <row r="502" spans="1:4" ht="15.75" outlineLevel="1">
      <c r="A502" s="37" t="s">
        <v>1175</v>
      </c>
      <c r="B502" s="38" t="s">
        <v>1163</v>
      </c>
      <c r="C502" s="40">
        <v>5.0999999999999996</v>
      </c>
      <c r="D502" s="111"/>
    </row>
    <row r="503" spans="1:4" ht="15.75" outlineLevel="1">
      <c r="A503" s="37" t="s">
        <v>1175</v>
      </c>
      <c r="B503" s="38" t="s">
        <v>17</v>
      </c>
      <c r="C503" s="37">
        <v>5.58</v>
      </c>
      <c r="D503" s="111"/>
    </row>
    <row r="504" spans="1:4" ht="15.75" outlineLevel="1">
      <c r="A504" s="37" t="s">
        <v>1175</v>
      </c>
      <c r="B504" s="38" t="s">
        <v>19</v>
      </c>
      <c r="C504" s="37">
        <v>5.55</v>
      </c>
      <c r="D504" s="111"/>
    </row>
    <row r="505" spans="1:4" ht="15.75" outlineLevel="1">
      <c r="A505" s="37" t="s">
        <v>1175</v>
      </c>
      <c r="B505" s="38" t="s">
        <v>18</v>
      </c>
      <c r="C505" s="37">
        <v>5.54</v>
      </c>
      <c r="D505" s="111"/>
    </row>
    <row r="506" spans="1:4" ht="15.75" outlineLevel="1">
      <c r="A506" s="37" t="s">
        <v>1175</v>
      </c>
      <c r="B506" s="38" t="s">
        <v>20</v>
      </c>
      <c r="C506" s="37">
        <v>5.63</v>
      </c>
      <c r="D506" s="111"/>
    </row>
    <row r="507" spans="1:4" ht="15.75" outlineLevel="1">
      <c r="A507" s="37" t="s">
        <v>1175</v>
      </c>
      <c r="B507" s="38" t="s">
        <v>24</v>
      </c>
      <c r="C507" s="37">
        <v>5.47</v>
      </c>
      <c r="D507" s="111"/>
    </row>
    <row r="508" spans="1:4" ht="15.75" outlineLevel="1">
      <c r="A508" s="37" t="s">
        <v>1175</v>
      </c>
      <c r="B508" s="38" t="s">
        <v>25</v>
      </c>
      <c r="C508" s="37">
        <v>5.48</v>
      </c>
      <c r="D508" s="111"/>
    </row>
    <row r="509" spans="1:4" ht="15.75">
      <c r="A509" s="43" t="s">
        <v>1175</v>
      </c>
      <c r="B509" s="38"/>
      <c r="C509" s="37"/>
      <c r="D509" s="111"/>
    </row>
    <row r="510" spans="1:4" ht="15.75" outlineLevel="1">
      <c r="A510" s="37" t="s">
        <v>1075</v>
      </c>
      <c r="B510" s="38" t="s">
        <v>0</v>
      </c>
      <c r="C510" s="37">
        <v>5.0999999999999996</v>
      </c>
      <c r="D510" s="111"/>
    </row>
    <row r="511" spans="1:4" ht="15.75" outlineLevel="1">
      <c r="A511" s="37" t="s">
        <v>1075</v>
      </c>
      <c r="B511" s="38" t="s">
        <v>1</v>
      </c>
      <c r="C511" s="37">
        <v>5.2</v>
      </c>
      <c r="D511" s="111"/>
    </row>
    <row r="512" spans="1:4" ht="15.75" outlineLevel="1">
      <c r="A512" s="37" t="s">
        <v>1075</v>
      </c>
      <c r="B512" s="38" t="s">
        <v>2</v>
      </c>
      <c r="C512" s="37">
        <v>5.3</v>
      </c>
      <c r="D512" s="111"/>
    </row>
    <row r="513" spans="1:4" ht="15.75" outlineLevel="1">
      <c r="A513" s="37" t="s">
        <v>1075</v>
      </c>
      <c r="B513" s="38" t="s">
        <v>182</v>
      </c>
      <c r="C513" s="37">
        <v>5.6</v>
      </c>
      <c r="D513" s="111"/>
    </row>
    <row r="514" spans="1:4" ht="15.75" outlineLevel="1">
      <c r="A514" s="37" t="s">
        <v>1075</v>
      </c>
      <c r="B514" s="38" t="s">
        <v>1155</v>
      </c>
      <c r="C514" s="39">
        <v>5.0999999999999996</v>
      </c>
      <c r="D514" s="111"/>
    </row>
    <row r="515" spans="1:4" ht="15.75" outlineLevel="1">
      <c r="A515" s="37" t="s">
        <v>1075</v>
      </c>
      <c r="B515" s="38" t="s">
        <v>1154</v>
      </c>
      <c r="C515" s="37">
        <v>5.14</v>
      </c>
      <c r="D515" s="111"/>
    </row>
    <row r="516" spans="1:4" ht="15.75" outlineLevel="1">
      <c r="A516" s="37" t="s">
        <v>1075</v>
      </c>
      <c r="B516" s="38" t="s">
        <v>4</v>
      </c>
      <c r="C516" s="37">
        <v>5.19</v>
      </c>
      <c r="D516" s="111"/>
    </row>
    <row r="517" spans="1:4" ht="15.75" outlineLevel="1">
      <c r="A517" s="37" t="s">
        <v>1075</v>
      </c>
      <c r="B517" s="38" t="s">
        <v>184</v>
      </c>
      <c r="C517" s="37">
        <v>5.24</v>
      </c>
      <c r="D517" s="111"/>
    </row>
    <row r="518" spans="1:4" ht="15.75" outlineLevel="1">
      <c r="A518" s="37" t="s">
        <v>1075</v>
      </c>
      <c r="B518" s="38" t="s">
        <v>5</v>
      </c>
      <c r="C518" s="37">
        <v>5.26</v>
      </c>
      <c r="D518" s="111"/>
    </row>
    <row r="519" spans="1:4" ht="15.75" outlineLevel="1">
      <c r="A519" s="37" t="s">
        <v>1075</v>
      </c>
      <c r="B519" s="38" t="s">
        <v>6</v>
      </c>
      <c r="C519" s="37">
        <v>5.27</v>
      </c>
      <c r="D519" s="111"/>
    </row>
    <row r="520" spans="1:4" ht="15.75" outlineLevel="1">
      <c r="A520" s="37" t="s">
        <v>1075</v>
      </c>
      <c r="B520" s="38" t="s">
        <v>7</v>
      </c>
      <c r="C520" s="37">
        <v>5.28</v>
      </c>
      <c r="D520" s="111"/>
    </row>
    <row r="521" spans="1:4" ht="15.75" outlineLevel="1">
      <c r="A521" s="37" t="s">
        <v>1075</v>
      </c>
      <c r="B521" s="38" t="s">
        <v>185</v>
      </c>
      <c r="C521" s="37">
        <v>5.31</v>
      </c>
      <c r="D521" s="111"/>
    </row>
    <row r="522" spans="1:4" ht="15.75" outlineLevel="1">
      <c r="A522" s="37" t="s">
        <v>1075</v>
      </c>
      <c r="B522" s="38" t="s">
        <v>221</v>
      </c>
      <c r="C522" s="37">
        <v>5.33</v>
      </c>
      <c r="D522" s="111"/>
    </row>
    <row r="523" spans="1:4" ht="15.75" outlineLevel="1">
      <c r="A523" s="37" t="s">
        <v>1075</v>
      </c>
      <c r="B523" s="38" t="s">
        <v>1161</v>
      </c>
      <c r="C523" s="37">
        <v>5.101</v>
      </c>
      <c r="D523" s="111"/>
    </row>
    <row r="524" spans="1:4" ht="15.75" outlineLevel="1">
      <c r="A524" s="37" t="s">
        <v>1075</v>
      </c>
      <c r="B524" s="38" t="s">
        <v>150</v>
      </c>
      <c r="C524" s="37">
        <v>5.36</v>
      </c>
      <c r="D524" s="111"/>
    </row>
    <row r="525" spans="1:4" ht="15.75" outlineLevel="1">
      <c r="A525" s="37" t="s">
        <v>1075</v>
      </c>
      <c r="B525" s="38" t="s">
        <v>193</v>
      </c>
      <c r="C525" s="37">
        <v>5.37</v>
      </c>
      <c r="D525" s="111"/>
    </row>
    <row r="526" spans="1:4" ht="15.75" outlineLevel="1">
      <c r="A526" s="37" t="s">
        <v>1075</v>
      </c>
      <c r="B526" s="38" t="s">
        <v>11</v>
      </c>
      <c r="C526" s="37">
        <v>5.53</v>
      </c>
      <c r="D526" s="111"/>
    </row>
    <row r="527" spans="1:4" ht="15.75" outlineLevel="1">
      <c r="A527" s="37" t="s">
        <v>1075</v>
      </c>
      <c r="B527" s="38" t="s">
        <v>186</v>
      </c>
      <c r="C527" s="37">
        <v>5.109</v>
      </c>
      <c r="D527" s="111"/>
    </row>
    <row r="528" spans="1:4" ht="15.75" outlineLevel="1">
      <c r="A528" s="37" t="s">
        <v>1075</v>
      </c>
      <c r="B528" s="38" t="s">
        <v>187</v>
      </c>
      <c r="C528" s="37">
        <v>5.1109999999999998</v>
      </c>
      <c r="D528" s="111"/>
    </row>
    <row r="529" spans="1:4" ht="15.75" outlineLevel="1">
      <c r="A529" s="37" t="s">
        <v>1075</v>
      </c>
      <c r="B529" s="38" t="s">
        <v>159</v>
      </c>
      <c r="C529" s="37">
        <v>5.1120000000000001</v>
      </c>
      <c r="D529" s="111"/>
    </row>
    <row r="530" spans="1:4" ht="15.75" outlineLevel="1">
      <c r="A530" s="37" t="s">
        <v>1075</v>
      </c>
      <c r="B530" s="38" t="s">
        <v>1162</v>
      </c>
      <c r="C530" s="37">
        <v>5.1020000000000003</v>
      </c>
      <c r="D530" s="111"/>
    </row>
    <row r="531" spans="1:4" ht="15.75" outlineLevel="1">
      <c r="A531" s="37" t="s">
        <v>1075</v>
      </c>
      <c r="B531" s="38" t="s">
        <v>1163</v>
      </c>
      <c r="C531" s="40">
        <v>5.0999999999999996</v>
      </c>
      <c r="D531" s="111"/>
    </row>
    <row r="532" spans="1:4" ht="15.75" outlineLevel="1">
      <c r="A532" s="37" t="s">
        <v>1075</v>
      </c>
      <c r="B532" s="38" t="s">
        <v>17</v>
      </c>
      <c r="C532" s="37">
        <v>5.58</v>
      </c>
      <c r="D532" s="111"/>
    </row>
    <row r="533" spans="1:4" ht="15.75" outlineLevel="1">
      <c r="A533" s="37" t="s">
        <v>1075</v>
      </c>
      <c r="B533" s="38" t="s">
        <v>19</v>
      </c>
      <c r="C533" s="37">
        <v>5.55</v>
      </c>
      <c r="D533" s="111"/>
    </row>
    <row r="534" spans="1:4" ht="15.75" outlineLevel="1">
      <c r="A534" s="37" t="s">
        <v>1075</v>
      </c>
      <c r="B534" s="38" t="s">
        <v>18</v>
      </c>
      <c r="C534" s="37">
        <v>5.54</v>
      </c>
      <c r="D534" s="111"/>
    </row>
    <row r="535" spans="1:4" ht="15.75" outlineLevel="1">
      <c r="A535" s="37" t="s">
        <v>1075</v>
      </c>
      <c r="B535" s="38" t="s">
        <v>20</v>
      </c>
      <c r="C535" s="37">
        <v>5.63</v>
      </c>
      <c r="D535" s="111"/>
    </row>
    <row r="536" spans="1:4" ht="15.75" outlineLevel="1">
      <c r="A536" s="37" t="s">
        <v>1075</v>
      </c>
      <c r="B536" s="38" t="s">
        <v>24</v>
      </c>
      <c r="C536" s="37">
        <v>5.47</v>
      </c>
      <c r="D536" s="111"/>
    </row>
    <row r="537" spans="1:4" ht="15.75" outlineLevel="1">
      <c r="A537" s="37" t="s">
        <v>1075</v>
      </c>
      <c r="B537" s="38" t="s">
        <v>25</v>
      </c>
      <c r="C537" s="37">
        <v>5.48</v>
      </c>
      <c r="D537" s="111"/>
    </row>
    <row r="538" spans="1:4" ht="15.75">
      <c r="A538" s="43" t="s">
        <v>1075</v>
      </c>
      <c r="B538" s="38"/>
      <c r="C538" s="37"/>
      <c r="D538" s="111"/>
    </row>
    <row r="539" spans="1:4" ht="15.75" outlineLevel="1">
      <c r="A539" s="37" t="s">
        <v>1084</v>
      </c>
      <c r="B539" s="38" t="s">
        <v>0</v>
      </c>
      <c r="C539" s="37">
        <v>5.0999999999999996</v>
      </c>
      <c r="D539" s="111"/>
    </row>
    <row r="540" spans="1:4" ht="15.75" outlineLevel="1">
      <c r="A540" s="37" t="s">
        <v>1084</v>
      </c>
      <c r="B540" s="38" t="s">
        <v>1</v>
      </c>
      <c r="C540" s="37">
        <v>5.2</v>
      </c>
      <c r="D540" s="111"/>
    </row>
    <row r="541" spans="1:4" ht="15.75" outlineLevel="1">
      <c r="A541" s="37" t="s">
        <v>1084</v>
      </c>
      <c r="B541" s="38" t="s">
        <v>5</v>
      </c>
      <c r="C541" s="37">
        <v>5.26</v>
      </c>
      <c r="D541" s="111"/>
    </row>
    <row r="542" spans="1:4" ht="15.75" outlineLevel="1">
      <c r="A542" s="37" t="s">
        <v>1084</v>
      </c>
      <c r="B542" s="38" t="s">
        <v>1176</v>
      </c>
      <c r="C542" s="37">
        <v>5.21</v>
      </c>
      <c r="D542" s="111"/>
    </row>
    <row r="543" spans="1:4" ht="15.75" outlineLevel="1">
      <c r="A543" s="37" t="s">
        <v>1084</v>
      </c>
      <c r="B543" s="38" t="s">
        <v>1177</v>
      </c>
      <c r="C543" s="37">
        <v>5.53</v>
      </c>
      <c r="D543" s="111"/>
    </row>
    <row r="544" spans="1:4" ht="15.75" outlineLevel="1">
      <c r="A544" s="37" t="s">
        <v>1084</v>
      </c>
      <c r="B544" s="38" t="s">
        <v>18</v>
      </c>
      <c r="C544" s="37">
        <v>5.54</v>
      </c>
      <c r="D544" s="111"/>
    </row>
    <row r="545" spans="1:4" ht="15.75" outlineLevel="1">
      <c r="A545" s="37" t="s">
        <v>1084</v>
      </c>
      <c r="B545" s="38" t="s">
        <v>1178</v>
      </c>
      <c r="C545" s="37">
        <v>5.58</v>
      </c>
      <c r="D545" s="111"/>
    </row>
    <row r="546" spans="1:4" ht="15.75" outlineLevel="1">
      <c r="A546" s="37" t="s">
        <v>1084</v>
      </c>
      <c r="B546" s="38" t="s">
        <v>1179</v>
      </c>
      <c r="C546" s="37">
        <v>5.1180000000000003</v>
      </c>
      <c r="D546" s="111"/>
    </row>
    <row r="547" spans="1:4" ht="15.75" outlineLevel="1">
      <c r="A547" s="37" t="s">
        <v>1084</v>
      </c>
      <c r="B547" s="38" t="s">
        <v>1180</v>
      </c>
      <c r="C547" s="37">
        <v>5.47</v>
      </c>
      <c r="D547" s="111"/>
    </row>
    <row r="548" spans="1:4" ht="15.75" outlineLevel="1">
      <c r="A548" s="37" t="s">
        <v>1084</v>
      </c>
      <c r="B548" s="38" t="s">
        <v>1181</v>
      </c>
      <c r="C548" s="37">
        <v>5.48</v>
      </c>
      <c r="D548" s="111"/>
    </row>
    <row r="549" spans="1:4" ht="15.75" outlineLevel="1">
      <c r="A549" s="37" t="s">
        <v>1084</v>
      </c>
      <c r="B549" s="38" t="s">
        <v>1182</v>
      </c>
      <c r="C549" s="37">
        <v>5.21</v>
      </c>
      <c r="D549" s="111"/>
    </row>
    <row r="550" spans="1:4" ht="15.75" outlineLevel="1">
      <c r="A550" s="37" t="s">
        <v>1084</v>
      </c>
      <c r="B550" s="38" t="s">
        <v>1183</v>
      </c>
      <c r="C550" s="37">
        <v>5.53</v>
      </c>
      <c r="D550" s="111"/>
    </row>
    <row r="551" spans="1:4" ht="15.75" outlineLevel="1">
      <c r="A551" s="37" t="s">
        <v>1084</v>
      </c>
      <c r="B551" s="38" t="s">
        <v>18</v>
      </c>
      <c r="C551" s="37">
        <v>5.54</v>
      </c>
      <c r="D551" s="111"/>
    </row>
    <row r="552" spans="1:4" ht="15.75" outlineLevel="1">
      <c r="A552" s="37" t="s">
        <v>1084</v>
      </c>
      <c r="B552" s="38" t="s">
        <v>1184</v>
      </c>
      <c r="C552" s="37">
        <v>5.58</v>
      </c>
      <c r="D552" s="111"/>
    </row>
    <row r="553" spans="1:4" ht="15.75" outlineLevel="1">
      <c r="A553" s="37" t="s">
        <v>1084</v>
      </c>
      <c r="B553" s="38" t="s">
        <v>1185</v>
      </c>
      <c r="C553" s="37">
        <v>5.1180000000000003</v>
      </c>
      <c r="D553" s="111"/>
    </row>
    <row r="554" spans="1:4" ht="15.75" outlineLevel="1">
      <c r="A554" s="37" t="s">
        <v>1084</v>
      </c>
      <c r="B554" s="38" t="s">
        <v>1186</v>
      </c>
      <c r="C554" s="37">
        <v>5.47</v>
      </c>
      <c r="D554" s="111"/>
    </row>
    <row r="555" spans="1:4" ht="15.75" outlineLevel="1">
      <c r="A555" s="37" t="s">
        <v>1084</v>
      </c>
      <c r="B555" s="38" t="s">
        <v>1187</v>
      </c>
      <c r="C555" s="37">
        <v>5.48</v>
      </c>
      <c r="D555" s="111"/>
    </row>
    <row r="556" spans="1:4" ht="15.75" outlineLevel="1">
      <c r="A556" s="37" t="s">
        <v>1084</v>
      </c>
      <c r="B556" s="38" t="s">
        <v>1188</v>
      </c>
      <c r="C556" s="37">
        <v>5.63</v>
      </c>
      <c r="D556" s="111"/>
    </row>
    <row r="557" spans="1:4" ht="15.75" outlineLevel="1">
      <c r="A557" s="37" t="s">
        <v>1084</v>
      </c>
      <c r="B557" s="38" t="s">
        <v>6</v>
      </c>
      <c r="C557" s="37">
        <v>5.27</v>
      </c>
      <c r="D557" s="111"/>
    </row>
    <row r="558" spans="1:4" ht="15.75" outlineLevel="1">
      <c r="A558" s="37" t="s">
        <v>1084</v>
      </c>
      <c r="B558" s="38" t="s">
        <v>7</v>
      </c>
      <c r="C558" s="37">
        <v>5.28</v>
      </c>
      <c r="D558" s="111"/>
    </row>
    <row r="559" spans="1:4" ht="15.75" outlineLevel="1">
      <c r="A559" s="37" t="s">
        <v>1084</v>
      </c>
      <c r="B559" s="38" t="s">
        <v>1189</v>
      </c>
      <c r="C559" s="37">
        <v>5.35</v>
      </c>
      <c r="D559" s="111"/>
    </row>
    <row r="560" spans="1:4" ht="15.75" outlineLevel="1">
      <c r="A560" s="37" t="s">
        <v>1084</v>
      </c>
      <c r="B560" s="38" t="s">
        <v>971</v>
      </c>
      <c r="C560" s="37">
        <v>5.1189999999999998</v>
      </c>
      <c r="D560" s="111"/>
    </row>
    <row r="561" spans="1:4" ht="15.75" outlineLevel="1">
      <c r="A561" s="37" t="s">
        <v>1084</v>
      </c>
      <c r="B561" s="38" t="s">
        <v>978</v>
      </c>
      <c r="C561" s="40">
        <v>5.12</v>
      </c>
      <c r="D561" s="111"/>
    </row>
    <row r="562" spans="1:4" ht="15.75" outlineLevel="1">
      <c r="A562" s="37" t="s">
        <v>1084</v>
      </c>
      <c r="B562" s="38" t="s">
        <v>370</v>
      </c>
      <c r="C562" s="37">
        <v>5.1210000000000004</v>
      </c>
      <c r="D562" s="111"/>
    </row>
    <row r="563" spans="1:4" ht="15.75" outlineLevel="1">
      <c r="A563" s="37" t="s">
        <v>1084</v>
      </c>
      <c r="B563" s="38" t="s">
        <v>150</v>
      </c>
      <c r="C563" s="37">
        <v>5.36</v>
      </c>
      <c r="D563" s="111"/>
    </row>
    <row r="564" spans="1:4" ht="15.75" outlineLevel="1">
      <c r="A564" s="37" t="s">
        <v>1084</v>
      </c>
      <c r="B564" s="38" t="s">
        <v>1190</v>
      </c>
      <c r="C564" s="37">
        <v>5.1219999999999999</v>
      </c>
      <c r="D564" s="111"/>
    </row>
    <row r="565" spans="1:4" ht="15.75" outlineLevel="1">
      <c r="A565" s="37" t="s">
        <v>1084</v>
      </c>
      <c r="B565" s="38" t="s">
        <v>1191</v>
      </c>
      <c r="C565" s="37">
        <v>5.1230000000000002</v>
      </c>
      <c r="D565" s="111"/>
    </row>
    <row r="566" spans="1:4" ht="15.75" outlineLevel="1">
      <c r="A566" s="37" t="s">
        <v>1084</v>
      </c>
      <c r="B566" s="38" t="s">
        <v>942</v>
      </c>
      <c r="C566" s="37">
        <v>5.1239999999999997</v>
      </c>
      <c r="D566" s="111"/>
    </row>
    <row r="567" spans="1:4" ht="15.75" outlineLevel="1">
      <c r="A567" s="37" t="s">
        <v>1084</v>
      </c>
      <c r="B567" s="38" t="s">
        <v>950</v>
      </c>
      <c r="C567" s="37">
        <v>5.125</v>
      </c>
      <c r="D567" s="111"/>
    </row>
    <row r="568" spans="1:4" ht="15.75" outlineLevel="1">
      <c r="A568" s="37" t="s">
        <v>1084</v>
      </c>
      <c r="B568" s="38" t="s">
        <v>1192</v>
      </c>
      <c r="C568" s="37">
        <v>5.1260000000000003</v>
      </c>
      <c r="D568" s="111"/>
    </row>
    <row r="569" spans="1:4" ht="15.75" outlineLevel="1">
      <c r="A569" s="37" t="s">
        <v>1084</v>
      </c>
      <c r="B569" s="38" t="s">
        <v>968</v>
      </c>
      <c r="C569" s="37">
        <v>5.1269999999999998</v>
      </c>
      <c r="D569" s="111"/>
    </row>
    <row r="570" spans="1:4" ht="15.75" outlineLevel="1">
      <c r="A570" s="37" t="s">
        <v>1084</v>
      </c>
      <c r="B570" s="38" t="s">
        <v>953</v>
      </c>
      <c r="C570" s="39">
        <v>5.72</v>
      </c>
      <c r="D570" s="111"/>
    </row>
    <row r="571" spans="1:4" ht="15.75" outlineLevel="1">
      <c r="A571" s="37" t="s">
        <v>1084</v>
      </c>
      <c r="B571" s="38" t="s">
        <v>964</v>
      </c>
      <c r="C571" s="37">
        <v>5.1280000000000001</v>
      </c>
      <c r="D571" s="111"/>
    </row>
    <row r="572" spans="1:4" ht="15.75" outlineLevel="1">
      <c r="A572" s="37" t="s">
        <v>1084</v>
      </c>
      <c r="B572" s="38" t="s">
        <v>1193</v>
      </c>
      <c r="C572" s="37">
        <v>5.1289999999999996</v>
      </c>
      <c r="D572" s="110" t="s">
        <v>1153</v>
      </c>
    </row>
    <row r="573" spans="1:4" ht="15.75" outlineLevel="1">
      <c r="A573" s="37" t="s">
        <v>1084</v>
      </c>
      <c r="B573" s="38" t="s">
        <v>1194</v>
      </c>
      <c r="C573" s="37">
        <v>5.1310000000000002</v>
      </c>
      <c r="D573" s="111"/>
    </row>
    <row r="574" spans="1:4" ht="15.75" outlineLevel="1">
      <c r="A574" s="37" t="s">
        <v>1084</v>
      </c>
      <c r="B574" s="38" t="s">
        <v>1195</v>
      </c>
      <c r="C574" s="37">
        <v>5.1319999999999997</v>
      </c>
      <c r="D574" s="110" t="s">
        <v>1153</v>
      </c>
    </row>
    <row r="575" spans="1:4" ht="15.75" outlineLevel="1">
      <c r="A575" s="37" t="s">
        <v>1084</v>
      </c>
      <c r="B575" s="38" t="s">
        <v>993</v>
      </c>
      <c r="C575" s="37">
        <v>5.133</v>
      </c>
      <c r="D575" s="110" t="s">
        <v>1153</v>
      </c>
    </row>
    <row r="576" spans="1:4" ht="15.75" outlineLevel="1">
      <c r="A576" s="37" t="s">
        <v>1084</v>
      </c>
      <c r="B576" s="38" t="s">
        <v>1196</v>
      </c>
      <c r="C576" s="37">
        <v>5.1340000000000003</v>
      </c>
      <c r="D576" s="110" t="s">
        <v>1153</v>
      </c>
    </row>
    <row r="577" spans="1:4" ht="15.75" outlineLevel="1">
      <c r="A577" s="37" t="s">
        <v>1084</v>
      </c>
      <c r="B577" s="38" t="s">
        <v>1197</v>
      </c>
      <c r="C577" s="40">
        <v>5.13</v>
      </c>
      <c r="D577" s="111"/>
    </row>
    <row r="578" spans="1:4" ht="15.75" outlineLevel="1">
      <c r="A578" s="37" t="s">
        <v>1084</v>
      </c>
      <c r="B578" s="38" t="s">
        <v>24</v>
      </c>
      <c r="C578" s="37">
        <v>5.47</v>
      </c>
      <c r="D578" s="111"/>
    </row>
    <row r="579" spans="1:4" ht="15.75" outlineLevel="1">
      <c r="A579" s="37" t="s">
        <v>1084</v>
      </c>
      <c r="B579" s="38" t="s">
        <v>25</v>
      </c>
      <c r="C579" s="37">
        <v>5.48</v>
      </c>
      <c r="D579" s="111"/>
    </row>
    <row r="580" spans="1:4" ht="15.75">
      <c r="A580" s="43" t="s">
        <v>1084</v>
      </c>
      <c r="B580" s="38"/>
      <c r="C580" s="37"/>
      <c r="D580" s="111"/>
    </row>
    <row r="581" spans="1:4" ht="15.75" outlineLevel="1">
      <c r="A581" s="37" t="s">
        <v>1077</v>
      </c>
      <c r="B581" s="38" t="s">
        <v>0</v>
      </c>
      <c r="C581" s="37">
        <v>5.0999999999999996</v>
      </c>
      <c r="D581" s="111"/>
    </row>
    <row r="582" spans="1:4" ht="15.75" outlineLevel="1">
      <c r="A582" s="37" t="s">
        <v>1077</v>
      </c>
      <c r="B582" s="38" t="s">
        <v>1</v>
      </c>
      <c r="C582" s="37">
        <v>5.2</v>
      </c>
      <c r="D582" s="111"/>
    </row>
    <row r="583" spans="1:4" ht="15.75" outlineLevel="1">
      <c r="A583" s="37" t="s">
        <v>1077</v>
      </c>
      <c r="B583" s="38" t="s">
        <v>145</v>
      </c>
      <c r="C583" s="37">
        <v>5.9</v>
      </c>
      <c r="D583" s="110" t="s">
        <v>1153</v>
      </c>
    </row>
    <row r="584" spans="1:4" ht="15.75" outlineLevel="1">
      <c r="A584" s="37" t="s">
        <v>1077</v>
      </c>
      <c r="B584" s="38" t="s">
        <v>146</v>
      </c>
      <c r="C584" s="37">
        <v>5.13</v>
      </c>
      <c r="D584" s="110" t="s">
        <v>1153</v>
      </c>
    </row>
    <row r="585" spans="1:4" ht="15.75" outlineLevel="1">
      <c r="A585" s="37" t="s">
        <v>1077</v>
      </c>
      <c r="B585" s="38" t="s">
        <v>147</v>
      </c>
      <c r="C585" s="37">
        <v>5.16</v>
      </c>
      <c r="D585" s="110" t="s">
        <v>1153</v>
      </c>
    </row>
    <row r="586" spans="1:4" ht="15.75" outlineLevel="1">
      <c r="A586" s="37" t="s">
        <v>1077</v>
      </c>
      <c r="B586" s="38" t="s">
        <v>148</v>
      </c>
      <c r="C586" s="37">
        <v>5.22</v>
      </c>
      <c r="D586" s="110"/>
    </row>
    <row r="587" spans="1:4" ht="15.75" outlineLevel="1">
      <c r="A587" s="37" t="s">
        <v>1077</v>
      </c>
      <c r="B587" s="38" t="s">
        <v>5</v>
      </c>
      <c r="C587" s="37">
        <v>5.26</v>
      </c>
      <c r="D587" s="111"/>
    </row>
    <row r="588" spans="1:4" ht="15.75" outlineLevel="1">
      <c r="A588" s="37" t="s">
        <v>1077</v>
      </c>
      <c r="B588" s="38" t="s">
        <v>1198</v>
      </c>
      <c r="C588" s="37">
        <v>5.77</v>
      </c>
      <c r="D588" s="111"/>
    </row>
    <row r="589" spans="1:4" ht="15.75" outlineLevel="1">
      <c r="A589" s="37" t="s">
        <v>1077</v>
      </c>
      <c r="B589" s="38" t="s">
        <v>6</v>
      </c>
      <c r="C589" s="37">
        <v>5.27</v>
      </c>
      <c r="D589" s="111"/>
    </row>
    <row r="590" spans="1:4" ht="15.75" outlineLevel="1">
      <c r="A590" s="37" t="s">
        <v>1077</v>
      </c>
      <c r="B590" s="38" t="s">
        <v>7</v>
      </c>
      <c r="C590" s="37">
        <v>5.28</v>
      </c>
      <c r="D590" s="110" t="s">
        <v>1153</v>
      </c>
    </row>
    <row r="591" spans="1:4" ht="15.75" outlineLevel="1">
      <c r="A591" s="37" t="s">
        <v>1077</v>
      </c>
      <c r="B591" s="38" t="s">
        <v>185</v>
      </c>
      <c r="C591" s="37">
        <v>5.31</v>
      </c>
      <c r="D591" s="111"/>
    </row>
    <row r="592" spans="1:4" ht="15.75" outlineLevel="1">
      <c r="A592" s="37" t="s">
        <v>1077</v>
      </c>
      <c r="B592" s="38" t="s">
        <v>150</v>
      </c>
      <c r="C592" s="37">
        <v>5.36</v>
      </c>
      <c r="D592" s="111"/>
    </row>
    <row r="593" spans="1:4" ht="15.75" outlineLevel="1">
      <c r="A593" s="37" t="s">
        <v>1077</v>
      </c>
      <c r="B593" s="38" t="s">
        <v>1199</v>
      </c>
      <c r="C593" s="37">
        <v>5.78</v>
      </c>
      <c r="D593" s="111"/>
    </row>
    <row r="594" spans="1:4" ht="15.75" outlineLevel="1">
      <c r="A594" s="37" t="s">
        <v>1077</v>
      </c>
      <c r="B594" s="38" t="s">
        <v>1200</v>
      </c>
      <c r="C594" s="37">
        <v>5.79</v>
      </c>
      <c r="D594" s="110" t="s">
        <v>1153</v>
      </c>
    </row>
    <row r="595" spans="1:4" ht="15.75" outlineLevel="1">
      <c r="A595" s="37" t="s">
        <v>1077</v>
      </c>
      <c r="B595" s="38" t="s">
        <v>1201</v>
      </c>
      <c r="C595" s="37">
        <v>5.41</v>
      </c>
      <c r="D595" s="111"/>
    </row>
    <row r="596" spans="1:4" ht="15.75" outlineLevel="1">
      <c r="A596" s="37" t="s">
        <v>1077</v>
      </c>
      <c r="B596" s="38" t="s">
        <v>9</v>
      </c>
      <c r="C596" s="37">
        <v>5.49</v>
      </c>
      <c r="D596" s="111"/>
    </row>
    <row r="597" spans="1:4" ht="15.75" outlineLevel="1">
      <c r="A597" s="37" t="s">
        <v>1077</v>
      </c>
      <c r="B597" s="38" t="s">
        <v>10</v>
      </c>
      <c r="C597" s="37">
        <v>5.51</v>
      </c>
      <c r="D597" s="111"/>
    </row>
    <row r="598" spans="1:4" ht="15.75" outlineLevel="1">
      <c r="A598" s="37" t="s">
        <v>1077</v>
      </c>
      <c r="B598" s="38" t="s">
        <v>1202</v>
      </c>
      <c r="C598" s="37">
        <v>5.52</v>
      </c>
      <c r="D598" s="111"/>
    </row>
    <row r="599" spans="1:4" ht="15.75" outlineLevel="1">
      <c r="A599" s="37" t="s">
        <v>1077</v>
      </c>
      <c r="B599" s="38" t="s">
        <v>11</v>
      </c>
      <c r="C599" s="37">
        <v>5.53</v>
      </c>
      <c r="D599" s="111"/>
    </row>
    <row r="600" spans="1:4" ht="15.75" outlineLevel="1">
      <c r="A600" s="37" t="s">
        <v>1077</v>
      </c>
      <c r="B600" s="38" t="s">
        <v>12</v>
      </c>
      <c r="C600" s="37">
        <v>5.69</v>
      </c>
      <c r="D600" s="111"/>
    </row>
    <row r="601" spans="1:4" ht="15.75" outlineLevel="1">
      <c r="A601" s="37" t="s">
        <v>1077</v>
      </c>
      <c r="B601" s="38" t="s">
        <v>152</v>
      </c>
      <c r="C601" s="37">
        <v>5.71</v>
      </c>
      <c r="D601" s="111"/>
    </row>
    <row r="602" spans="1:4" ht="15.75" outlineLevel="1">
      <c r="A602" s="37" t="s">
        <v>1077</v>
      </c>
      <c r="B602" s="38" t="s">
        <v>14</v>
      </c>
      <c r="C602" s="39">
        <v>5.7</v>
      </c>
      <c r="D602" s="111"/>
    </row>
    <row r="603" spans="1:4" ht="15.75" outlineLevel="1">
      <c r="A603" s="37" t="s">
        <v>1077</v>
      </c>
      <c r="B603" s="38" t="s">
        <v>798</v>
      </c>
      <c r="C603" s="39">
        <v>5.8</v>
      </c>
      <c r="D603" s="110" t="s">
        <v>1153</v>
      </c>
    </row>
    <row r="604" spans="1:4" ht="15.75" outlineLevel="1">
      <c r="A604" s="37" t="s">
        <v>1077</v>
      </c>
      <c r="B604" s="38" t="s">
        <v>953</v>
      </c>
      <c r="C604" s="39">
        <v>5.72</v>
      </c>
      <c r="D604" s="110" t="s">
        <v>1153</v>
      </c>
    </row>
    <row r="605" spans="1:4" ht="15.75" outlineLevel="1">
      <c r="A605" s="37" t="s">
        <v>1077</v>
      </c>
      <c r="B605" s="38" t="s">
        <v>1203</v>
      </c>
      <c r="C605" s="37">
        <v>5.73</v>
      </c>
      <c r="D605" s="110" t="s">
        <v>1153</v>
      </c>
    </row>
    <row r="606" spans="1:4" ht="15.75" outlineLevel="1">
      <c r="A606" s="37" t="s">
        <v>1077</v>
      </c>
      <c r="B606" s="38" t="s">
        <v>15</v>
      </c>
      <c r="C606" s="37">
        <v>5.74</v>
      </c>
      <c r="D606" s="111"/>
    </row>
    <row r="607" spans="1:4" ht="15.75" outlineLevel="1">
      <c r="A607" s="37" t="s">
        <v>1077</v>
      </c>
      <c r="B607" s="38" t="s">
        <v>13</v>
      </c>
      <c r="C607" s="37">
        <v>5.75</v>
      </c>
      <c r="D607" s="111"/>
    </row>
    <row r="608" spans="1:4" ht="15.75" outlineLevel="1">
      <c r="A608" s="37" t="s">
        <v>1077</v>
      </c>
      <c r="B608" s="38" t="s">
        <v>456</v>
      </c>
      <c r="C608" s="37">
        <v>5.76</v>
      </c>
      <c r="D608" s="111"/>
    </row>
    <row r="609" spans="1:4" ht="15.75" outlineLevel="1">
      <c r="A609" s="37" t="s">
        <v>1077</v>
      </c>
      <c r="B609" s="38" t="s">
        <v>801</v>
      </c>
      <c r="C609" s="37">
        <v>5.81</v>
      </c>
      <c r="D609" s="110" t="s">
        <v>1153</v>
      </c>
    </row>
    <row r="610" spans="1:4" ht="15.75" outlineLevel="1">
      <c r="A610" s="37" t="s">
        <v>1077</v>
      </c>
      <c r="B610" s="38" t="s">
        <v>1204</v>
      </c>
      <c r="C610" s="37">
        <v>5.82</v>
      </c>
      <c r="D610" s="110" t="s">
        <v>1153</v>
      </c>
    </row>
    <row r="611" spans="1:4" ht="15.75" outlineLevel="1">
      <c r="A611" s="37" t="s">
        <v>1077</v>
      </c>
      <c r="B611" s="38" t="s">
        <v>1205</v>
      </c>
      <c r="C611" s="37">
        <v>5.83</v>
      </c>
      <c r="D611" s="110" t="s">
        <v>1153</v>
      </c>
    </row>
    <row r="612" spans="1:4" ht="15.75" outlineLevel="1">
      <c r="A612" s="37" t="s">
        <v>1077</v>
      </c>
      <c r="B612" s="38" t="s">
        <v>1206</v>
      </c>
      <c r="C612" s="37">
        <v>5.84</v>
      </c>
      <c r="D612" s="111"/>
    </row>
    <row r="613" spans="1:4" ht="15.75" outlineLevel="1">
      <c r="A613" s="37" t="s">
        <v>1077</v>
      </c>
      <c r="B613" s="38" t="s">
        <v>824</v>
      </c>
      <c r="C613" s="37">
        <v>5.85</v>
      </c>
      <c r="D613" s="110" t="s">
        <v>1153</v>
      </c>
    </row>
    <row r="614" spans="1:4" ht="15.75" outlineLevel="1">
      <c r="A614" s="37" t="s">
        <v>1077</v>
      </c>
      <c r="B614" s="38" t="s">
        <v>825</v>
      </c>
      <c r="C614" s="37">
        <v>5.86</v>
      </c>
      <c r="D614" s="110" t="s">
        <v>1153</v>
      </c>
    </row>
    <row r="615" spans="1:4" ht="15.75" outlineLevel="1">
      <c r="A615" s="37" t="s">
        <v>1077</v>
      </c>
      <c r="B615" s="38" t="s">
        <v>1207</v>
      </c>
      <c r="C615" s="37">
        <v>5.88</v>
      </c>
      <c r="D615" s="110" t="s">
        <v>1153</v>
      </c>
    </row>
    <row r="616" spans="1:4" ht="15.75" outlineLevel="1">
      <c r="A616" s="37" t="s">
        <v>1077</v>
      </c>
      <c r="B616" s="38" t="s">
        <v>831</v>
      </c>
      <c r="C616" s="37">
        <v>5.87</v>
      </c>
      <c r="D616" s="111"/>
    </row>
    <row r="617" spans="1:4" ht="15.75" outlineLevel="1">
      <c r="A617" s="37" t="s">
        <v>1077</v>
      </c>
      <c r="B617" s="38" t="s">
        <v>186</v>
      </c>
      <c r="C617" s="37">
        <v>5.109</v>
      </c>
      <c r="D617" s="111"/>
    </row>
    <row r="618" spans="1:4" ht="15.75" outlineLevel="1">
      <c r="A618" s="37" t="s">
        <v>1077</v>
      </c>
      <c r="B618" s="38" t="s">
        <v>199</v>
      </c>
      <c r="C618" s="40">
        <v>5.1100000000000003</v>
      </c>
      <c r="D618" s="110" t="s">
        <v>1153</v>
      </c>
    </row>
    <row r="619" spans="1:4" ht="15.75" outlineLevel="1">
      <c r="A619" s="37" t="s">
        <v>1077</v>
      </c>
      <c r="B619" s="38" t="s">
        <v>187</v>
      </c>
      <c r="C619" s="37">
        <v>5.1109999999999998</v>
      </c>
      <c r="D619" s="111"/>
    </row>
    <row r="620" spans="1:4" ht="15.75" outlineLevel="1">
      <c r="A620" s="37" t="s">
        <v>1077</v>
      </c>
      <c r="B620" s="38" t="s">
        <v>159</v>
      </c>
      <c r="C620" s="37">
        <v>5.1120000000000001</v>
      </c>
      <c r="D620" s="111"/>
    </row>
    <row r="621" spans="1:4" ht="15.75" outlineLevel="1">
      <c r="A621" s="37" t="s">
        <v>1077</v>
      </c>
      <c r="B621" s="38" t="s">
        <v>1169</v>
      </c>
      <c r="C621" s="37">
        <v>5.1130000000000004</v>
      </c>
      <c r="D621" s="111"/>
    </row>
    <row r="622" spans="1:4" ht="15.75" outlineLevel="1">
      <c r="A622" s="37" t="s">
        <v>1077</v>
      </c>
      <c r="B622" s="38" t="s">
        <v>1208</v>
      </c>
      <c r="C622" s="37">
        <v>5.99</v>
      </c>
      <c r="D622" s="110" t="s">
        <v>1153</v>
      </c>
    </row>
    <row r="623" spans="1:4" ht="15.75" outlineLevel="1">
      <c r="A623" s="37" t="s">
        <v>1077</v>
      </c>
      <c r="B623" s="38" t="s">
        <v>1209</v>
      </c>
      <c r="C623" s="37">
        <v>5.58</v>
      </c>
      <c r="D623" s="110"/>
    </row>
    <row r="624" spans="1:4" ht="15.75" outlineLevel="1">
      <c r="A624" s="37" t="s">
        <v>1077</v>
      </c>
      <c r="B624" s="38" t="s">
        <v>18</v>
      </c>
      <c r="C624" s="37">
        <v>5.54</v>
      </c>
      <c r="D624" s="111"/>
    </row>
    <row r="625" spans="1:4" ht="15.75" outlineLevel="1">
      <c r="A625" s="37" t="s">
        <v>1077</v>
      </c>
      <c r="B625" s="38" t="s">
        <v>1210</v>
      </c>
      <c r="C625" s="37">
        <v>5.56</v>
      </c>
      <c r="D625" s="111"/>
    </row>
    <row r="626" spans="1:4" ht="15.75" outlineLevel="1">
      <c r="A626" s="37" t="s">
        <v>1077</v>
      </c>
      <c r="B626" s="38" t="s">
        <v>20</v>
      </c>
      <c r="C626" s="37">
        <v>5.63</v>
      </c>
      <c r="D626" s="111"/>
    </row>
    <row r="627" spans="1:4" ht="15.75" outlineLevel="1">
      <c r="A627" s="37" t="s">
        <v>1077</v>
      </c>
      <c r="B627" s="38" t="s">
        <v>200</v>
      </c>
      <c r="C627" s="37">
        <v>5.64</v>
      </c>
      <c r="D627" s="111"/>
    </row>
    <row r="628" spans="1:4" ht="15.75" outlineLevel="1">
      <c r="A628" s="37" t="s">
        <v>1077</v>
      </c>
      <c r="B628" s="38" t="s">
        <v>21</v>
      </c>
      <c r="C628" s="37">
        <v>5.65</v>
      </c>
      <c r="D628" s="111"/>
    </row>
    <row r="629" spans="1:4" ht="15.75" outlineLevel="1">
      <c r="A629" s="37" t="s">
        <v>1077</v>
      </c>
      <c r="B629" s="38" t="s">
        <v>201</v>
      </c>
      <c r="C629" s="37">
        <v>5.66</v>
      </c>
      <c r="D629" s="111"/>
    </row>
    <row r="630" spans="1:4" ht="15.75" outlineLevel="1">
      <c r="A630" s="37" t="s">
        <v>1077</v>
      </c>
      <c r="B630" s="38" t="s">
        <v>874</v>
      </c>
      <c r="C630" s="37">
        <v>5.89</v>
      </c>
      <c r="D630" s="110" t="s">
        <v>1153</v>
      </c>
    </row>
    <row r="631" spans="1:4" ht="15.75" outlineLevel="1">
      <c r="A631" s="37" t="s">
        <v>1077</v>
      </c>
      <c r="B631" s="38" t="s">
        <v>22</v>
      </c>
      <c r="C631" s="37">
        <v>5.68</v>
      </c>
      <c r="D631" s="111"/>
    </row>
    <row r="632" spans="1:4" ht="15.75" outlineLevel="1">
      <c r="A632" s="37" t="s">
        <v>1077</v>
      </c>
      <c r="B632" s="38" t="s">
        <v>24</v>
      </c>
      <c r="C632" s="37">
        <v>5.47</v>
      </c>
      <c r="D632" s="111"/>
    </row>
    <row r="633" spans="1:4" ht="15.75" outlineLevel="1">
      <c r="A633" s="37" t="s">
        <v>1077</v>
      </c>
      <c r="B633" s="38" t="s">
        <v>25</v>
      </c>
      <c r="C633" s="37">
        <v>5.48</v>
      </c>
      <c r="D633" s="111"/>
    </row>
    <row r="634" spans="1:4" ht="15.75">
      <c r="A634" s="43" t="s">
        <v>1077</v>
      </c>
      <c r="B634" s="38"/>
      <c r="C634" s="37"/>
      <c r="D634" s="111"/>
    </row>
    <row r="635" spans="1:4" ht="15.75" outlineLevel="1">
      <c r="A635" s="37" t="s">
        <v>1096</v>
      </c>
      <c r="B635" s="38" t="s">
        <v>0</v>
      </c>
      <c r="C635" s="37">
        <v>5.0999999999999996</v>
      </c>
      <c r="D635" s="111"/>
    </row>
    <row r="636" spans="1:4" ht="15.75" outlineLevel="1">
      <c r="A636" s="37" t="s">
        <v>1096</v>
      </c>
      <c r="B636" s="38" t="s">
        <v>1</v>
      </c>
      <c r="C636" s="37">
        <v>5.2</v>
      </c>
      <c r="D636" s="111"/>
    </row>
    <row r="637" spans="1:4" ht="15.75" outlineLevel="1">
      <c r="A637" s="37" t="s">
        <v>1096</v>
      </c>
      <c r="B637" s="38" t="s">
        <v>2</v>
      </c>
      <c r="C637" s="37">
        <v>5.3</v>
      </c>
      <c r="D637" s="111"/>
    </row>
    <row r="638" spans="1:4" ht="15.75" outlineLevel="1">
      <c r="A638" s="37" t="s">
        <v>1096</v>
      </c>
      <c r="B638" s="38" t="s">
        <v>182</v>
      </c>
      <c r="C638" s="37">
        <v>5.6</v>
      </c>
      <c r="D638" s="111"/>
    </row>
    <row r="639" spans="1:4" ht="15.75" outlineLevel="1">
      <c r="A639" s="37" t="s">
        <v>1096</v>
      </c>
      <c r="B639" s="38" t="s">
        <v>1155</v>
      </c>
      <c r="C639" s="39">
        <v>5.0999999999999996</v>
      </c>
      <c r="D639" s="111"/>
    </row>
    <row r="640" spans="1:4" ht="15.75" outlineLevel="1">
      <c r="A640" s="37" t="s">
        <v>1096</v>
      </c>
      <c r="B640" s="38" t="s">
        <v>1154</v>
      </c>
      <c r="C640" s="37">
        <v>5.14</v>
      </c>
      <c r="D640" s="111"/>
    </row>
    <row r="641" spans="1:4" ht="15.75" outlineLevel="1">
      <c r="A641" s="37" t="s">
        <v>1096</v>
      </c>
      <c r="B641" s="38" t="s">
        <v>4</v>
      </c>
      <c r="C641" s="37">
        <v>5.19</v>
      </c>
      <c r="D641" s="111"/>
    </row>
    <row r="642" spans="1:4" ht="15.75" outlineLevel="1">
      <c r="A642" s="37" t="s">
        <v>1096</v>
      </c>
      <c r="B642" s="38" t="s">
        <v>184</v>
      </c>
      <c r="C642" s="37">
        <v>5.24</v>
      </c>
      <c r="D642" s="111"/>
    </row>
    <row r="643" spans="1:4" ht="15.75" outlineLevel="1">
      <c r="A643" s="37" t="s">
        <v>1096</v>
      </c>
      <c r="B643" s="38" t="s">
        <v>5</v>
      </c>
      <c r="C643" s="37">
        <v>5.26</v>
      </c>
      <c r="D643" s="111"/>
    </row>
    <row r="644" spans="1:4" ht="15.75" outlineLevel="1">
      <c r="A644" s="37" t="s">
        <v>1096</v>
      </c>
      <c r="B644" s="38" t="s">
        <v>6</v>
      </c>
      <c r="C644" s="37">
        <v>5.27</v>
      </c>
      <c r="D644" s="111"/>
    </row>
    <row r="645" spans="1:4" ht="15.75" outlineLevel="1">
      <c r="A645" s="37" t="s">
        <v>1096</v>
      </c>
      <c r="B645" s="38" t="s">
        <v>7</v>
      </c>
      <c r="C645" s="37">
        <v>5.28</v>
      </c>
      <c r="D645" s="111"/>
    </row>
    <row r="646" spans="1:4" ht="15.75" outlineLevel="1">
      <c r="A646" s="37" t="s">
        <v>1096</v>
      </c>
      <c r="B646" s="38" t="s">
        <v>150</v>
      </c>
      <c r="C646" s="37">
        <v>5.36</v>
      </c>
      <c r="D646" s="111"/>
    </row>
    <row r="647" spans="1:4" ht="15.75" outlineLevel="1">
      <c r="A647" s="37" t="s">
        <v>1096</v>
      </c>
      <c r="B647" s="38" t="s">
        <v>221</v>
      </c>
      <c r="C647" s="37">
        <v>5.33</v>
      </c>
      <c r="D647" s="111"/>
    </row>
    <row r="648" spans="1:4" ht="15.75" outlineLevel="1">
      <c r="A648" s="37" t="s">
        <v>1096</v>
      </c>
      <c r="B648" s="38" t="s">
        <v>193</v>
      </c>
      <c r="C648" s="37">
        <v>5.37</v>
      </c>
      <c r="D648" s="111"/>
    </row>
    <row r="649" spans="1:4" ht="15.75" outlineLevel="1">
      <c r="A649" s="37" t="s">
        <v>1096</v>
      </c>
      <c r="B649" s="38" t="s">
        <v>9</v>
      </c>
      <c r="C649" s="37">
        <v>5.49</v>
      </c>
      <c r="D649" s="111"/>
    </row>
    <row r="650" spans="1:4" ht="15.75" outlineLevel="1">
      <c r="A650" s="37" t="s">
        <v>1096</v>
      </c>
      <c r="B650" s="38" t="s">
        <v>10</v>
      </c>
      <c r="C650" s="37">
        <v>5.51</v>
      </c>
      <c r="D650" s="111"/>
    </row>
    <row r="651" spans="1:4" ht="15.75" outlineLevel="1">
      <c r="A651" s="37" t="s">
        <v>1096</v>
      </c>
      <c r="B651" s="38" t="s">
        <v>1156</v>
      </c>
      <c r="C651" s="37">
        <v>5.52</v>
      </c>
      <c r="D651" s="111"/>
    </row>
    <row r="652" spans="1:4" ht="15.75" outlineLevel="1">
      <c r="A652" s="37" t="s">
        <v>1096</v>
      </c>
      <c r="B652" s="38" t="s">
        <v>11</v>
      </c>
      <c r="C652" s="37">
        <v>5.53</v>
      </c>
      <c r="D652" s="111"/>
    </row>
    <row r="653" spans="1:4" ht="15.75" outlineLevel="1">
      <c r="A653" s="37" t="s">
        <v>1096</v>
      </c>
      <c r="B653" s="38" t="s">
        <v>12</v>
      </c>
      <c r="C653" s="37">
        <v>5.69</v>
      </c>
      <c r="D653" s="111"/>
    </row>
    <row r="654" spans="1:4" ht="15.75" outlineLevel="1">
      <c r="A654" s="37" t="s">
        <v>1096</v>
      </c>
      <c r="B654" s="38" t="s">
        <v>14</v>
      </c>
      <c r="C654" s="39">
        <v>5.7</v>
      </c>
      <c r="D654" s="111"/>
    </row>
    <row r="655" spans="1:4" ht="15.75" outlineLevel="1">
      <c r="A655" s="37" t="s">
        <v>1096</v>
      </c>
      <c r="B655" s="38" t="s">
        <v>15</v>
      </c>
      <c r="C655" s="37">
        <v>5.74</v>
      </c>
      <c r="D655" s="111"/>
    </row>
    <row r="656" spans="1:4" ht="15.75" outlineLevel="1">
      <c r="A656" s="37" t="s">
        <v>1096</v>
      </c>
      <c r="B656" s="38" t="s">
        <v>186</v>
      </c>
      <c r="C656" s="37">
        <v>5.109</v>
      </c>
      <c r="D656" s="111"/>
    </row>
    <row r="657" spans="1:4" ht="15.75" outlineLevel="1">
      <c r="A657" s="37" t="s">
        <v>1096</v>
      </c>
      <c r="B657" s="38" t="s">
        <v>187</v>
      </c>
      <c r="C657" s="37">
        <v>5.1109999999999998</v>
      </c>
      <c r="D657" s="111"/>
    </row>
    <row r="658" spans="1:4" ht="15.75" outlineLevel="1">
      <c r="A658" s="37" t="s">
        <v>1096</v>
      </c>
      <c r="B658" s="38" t="s">
        <v>159</v>
      </c>
      <c r="C658" s="37">
        <v>5.1120000000000001</v>
      </c>
      <c r="D658" s="111"/>
    </row>
    <row r="659" spans="1:4" ht="15.75" outlineLevel="1">
      <c r="A659" s="37" t="s">
        <v>1096</v>
      </c>
      <c r="B659" s="38" t="s">
        <v>17</v>
      </c>
      <c r="C659" s="37">
        <v>5.58</v>
      </c>
      <c r="D659" s="111"/>
    </row>
    <row r="660" spans="1:4" ht="15.75" outlineLevel="1">
      <c r="A660" s="37" t="s">
        <v>1096</v>
      </c>
      <c r="B660" s="38" t="s">
        <v>18</v>
      </c>
      <c r="C660" s="37">
        <v>5.54</v>
      </c>
      <c r="D660" s="111"/>
    </row>
    <row r="661" spans="1:4" ht="15.75" outlineLevel="1">
      <c r="A661" s="37" t="s">
        <v>1096</v>
      </c>
      <c r="B661" s="38" t="s">
        <v>19</v>
      </c>
      <c r="C661" s="37">
        <v>5.55</v>
      </c>
      <c r="D661" s="111"/>
    </row>
    <row r="662" spans="1:4" ht="15.75" outlineLevel="1">
      <c r="A662" s="37" t="s">
        <v>1096</v>
      </c>
      <c r="B662" s="38" t="s">
        <v>20</v>
      </c>
      <c r="C662" s="37">
        <v>5.63</v>
      </c>
      <c r="D662" s="111"/>
    </row>
    <row r="663" spans="1:4" ht="15.75" outlineLevel="1">
      <c r="A663" s="37" t="s">
        <v>1096</v>
      </c>
      <c r="B663" s="38" t="s">
        <v>24</v>
      </c>
      <c r="C663" s="37">
        <v>5.47</v>
      </c>
      <c r="D663" s="111"/>
    </row>
    <row r="664" spans="1:4" ht="15.75" outlineLevel="1">
      <c r="A664" s="37" t="s">
        <v>1096</v>
      </c>
      <c r="B664" s="38" t="s">
        <v>25</v>
      </c>
      <c r="C664" s="37">
        <v>5.48</v>
      </c>
      <c r="D664" s="111"/>
    </row>
    <row r="665" spans="1:4" ht="15.75">
      <c r="A665" s="43" t="s">
        <v>1096</v>
      </c>
      <c r="B665" s="38"/>
      <c r="C665" s="37"/>
      <c r="D665" s="111"/>
    </row>
    <row r="666" spans="1:4" ht="15.75" outlineLevel="1">
      <c r="A666" s="37" t="s">
        <v>1101</v>
      </c>
      <c r="B666" s="38" t="s">
        <v>0</v>
      </c>
      <c r="C666" s="37">
        <v>5.0999999999999996</v>
      </c>
      <c r="D666" s="111"/>
    </row>
    <row r="667" spans="1:4" ht="15.75" outlineLevel="1">
      <c r="A667" s="37" t="s">
        <v>1101</v>
      </c>
      <c r="B667" s="38" t="s">
        <v>1</v>
      </c>
      <c r="C667" s="37">
        <v>5.2</v>
      </c>
      <c r="D667" s="111"/>
    </row>
    <row r="668" spans="1:4" ht="15.75" outlineLevel="1">
      <c r="A668" s="37" t="s">
        <v>1101</v>
      </c>
      <c r="B668" s="38" t="s">
        <v>205</v>
      </c>
      <c r="C668" s="37">
        <v>5.4</v>
      </c>
      <c r="D668" s="111"/>
    </row>
    <row r="669" spans="1:4" ht="15.75" outlineLevel="1">
      <c r="A669" s="37" t="s">
        <v>1101</v>
      </c>
      <c r="B669" s="38" t="s">
        <v>206</v>
      </c>
      <c r="C669" s="37">
        <v>5.7</v>
      </c>
      <c r="D669" s="111"/>
    </row>
    <row r="670" spans="1:4" ht="15.75" outlineLevel="1">
      <c r="A670" s="37" t="s">
        <v>1101</v>
      </c>
      <c r="B670" s="38" t="s">
        <v>207</v>
      </c>
      <c r="C670" s="37">
        <v>5.1100000000000003</v>
      </c>
      <c r="D670" s="111"/>
    </row>
    <row r="671" spans="1:4" ht="15.75" outlineLevel="1">
      <c r="A671" s="37" t="s">
        <v>1101</v>
      </c>
      <c r="B671" s="38" t="s">
        <v>5</v>
      </c>
      <c r="C671" s="37">
        <v>5.26</v>
      </c>
      <c r="D671" s="111"/>
    </row>
    <row r="672" spans="1:4" ht="15.75" outlineLevel="1">
      <c r="A672" s="37" t="s">
        <v>1101</v>
      </c>
      <c r="B672" s="38" t="s">
        <v>208</v>
      </c>
      <c r="C672" s="37">
        <v>5.43</v>
      </c>
      <c r="D672" s="111"/>
    </row>
    <row r="673" spans="1:4" ht="15.75" outlineLevel="1">
      <c r="A673" s="37" t="s">
        <v>1101</v>
      </c>
      <c r="B673" s="38" t="s">
        <v>6</v>
      </c>
      <c r="C673" s="37">
        <v>5.27</v>
      </c>
      <c r="D673" s="111"/>
    </row>
    <row r="674" spans="1:4" ht="15.75" outlineLevel="1">
      <c r="A674" s="37" t="s">
        <v>1101</v>
      </c>
      <c r="B674" s="38" t="s">
        <v>7</v>
      </c>
      <c r="C674" s="37">
        <v>5.28</v>
      </c>
      <c r="D674" s="111"/>
    </row>
    <row r="675" spans="1:4" ht="15.75" outlineLevel="1">
      <c r="A675" s="37" t="s">
        <v>1101</v>
      </c>
      <c r="B675" s="38" t="s">
        <v>150</v>
      </c>
      <c r="C675" s="37">
        <v>5.36</v>
      </c>
      <c r="D675" s="111"/>
    </row>
    <row r="676" spans="1:4" ht="15.75" outlineLevel="1">
      <c r="A676" s="37" t="s">
        <v>1101</v>
      </c>
      <c r="B676" s="38" t="s">
        <v>209</v>
      </c>
      <c r="C676" s="39">
        <v>5.5</v>
      </c>
      <c r="D676" s="111"/>
    </row>
    <row r="677" spans="1:4" ht="15.75" outlineLevel="1">
      <c r="A677" s="37" t="s">
        <v>1101</v>
      </c>
      <c r="B677" s="38" t="s">
        <v>10</v>
      </c>
      <c r="C677" s="37">
        <v>5.51</v>
      </c>
      <c r="D677" s="111"/>
    </row>
    <row r="678" spans="1:4" ht="15.75" outlineLevel="1">
      <c r="A678" s="37" t="s">
        <v>1101</v>
      </c>
      <c r="B678" s="38" t="s">
        <v>11</v>
      </c>
      <c r="C678" s="37">
        <v>5.53</v>
      </c>
      <c r="D678" s="111"/>
    </row>
    <row r="679" spans="1:4" ht="15.75" outlineLevel="1">
      <c r="A679" s="37" t="s">
        <v>1101</v>
      </c>
      <c r="B679" s="38" t="s">
        <v>12</v>
      </c>
      <c r="C679" s="37">
        <v>5.69</v>
      </c>
      <c r="D679" s="111"/>
    </row>
    <row r="680" spans="1:4" ht="15.75" outlineLevel="1">
      <c r="A680" s="37" t="s">
        <v>1101</v>
      </c>
      <c r="B680" s="38" t="s">
        <v>14</v>
      </c>
      <c r="C680" s="39">
        <v>5.7</v>
      </c>
      <c r="D680" s="110" t="s">
        <v>1153</v>
      </c>
    </row>
    <row r="681" spans="1:4" ht="15.75" outlineLevel="1">
      <c r="A681" s="37" t="s">
        <v>1101</v>
      </c>
      <c r="B681" s="38" t="s">
        <v>15</v>
      </c>
      <c r="C681" s="37">
        <v>5.74</v>
      </c>
      <c r="D681" s="111"/>
    </row>
    <row r="682" spans="1:4" ht="15.75" outlineLevel="1">
      <c r="A682" s="37" t="s">
        <v>1101</v>
      </c>
      <c r="B682" s="38" t="s">
        <v>160</v>
      </c>
      <c r="C682" s="37">
        <v>5.59</v>
      </c>
      <c r="D682" s="111"/>
    </row>
    <row r="683" spans="1:4" ht="15.75" outlineLevel="1">
      <c r="A683" s="37" t="s">
        <v>1101</v>
      </c>
      <c r="B683" s="38" t="s">
        <v>18</v>
      </c>
      <c r="C683" s="37">
        <v>5.54</v>
      </c>
      <c r="D683" s="111"/>
    </row>
    <row r="684" spans="1:4" ht="15.75" outlineLevel="1">
      <c r="A684" s="37" t="s">
        <v>1101</v>
      </c>
      <c r="B684" s="38" t="s">
        <v>210</v>
      </c>
      <c r="C684" s="37">
        <v>5.57</v>
      </c>
      <c r="D684" s="111"/>
    </row>
    <row r="685" spans="1:4" ht="15.75" outlineLevel="1">
      <c r="A685" s="37" t="s">
        <v>1101</v>
      </c>
      <c r="B685" s="38" t="s">
        <v>20</v>
      </c>
      <c r="C685" s="37">
        <v>5.63</v>
      </c>
      <c r="D685" s="111"/>
    </row>
    <row r="686" spans="1:4" ht="15.75" outlineLevel="1">
      <c r="A686" s="37" t="s">
        <v>1101</v>
      </c>
      <c r="B686" s="38" t="s">
        <v>24</v>
      </c>
      <c r="C686" s="37">
        <v>5.47</v>
      </c>
      <c r="D686" s="111"/>
    </row>
    <row r="687" spans="1:4" ht="15.75" outlineLevel="1">
      <c r="A687" s="37" t="s">
        <v>1101</v>
      </c>
      <c r="B687" s="38" t="s">
        <v>25</v>
      </c>
      <c r="C687" s="37">
        <v>5.48</v>
      </c>
      <c r="D687" s="111"/>
    </row>
    <row r="688" spans="1:4" ht="15.75">
      <c r="A688" s="43" t="s">
        <v>1101</v>
      </c>
      <c r="B688" s="38"/>
      <c r="C688" s="37"/>
      <c r="D688" s="111"/>
    </row>
    <row r="689" spans="1:4" ht="15.75" outlineLevel="1">
      <c r="A689" s="37" t="s">
        <v>1104</v>
      </c>
      <c r="B689" s="38" t="s">
        <v>0</v>
      </c>
      <c r="C689" s="37">
        <v>5.0999999999999996</v>
      </c>
      <c r="D689" s="111"/>
    </row>
    <row r="690" spans="1:4" ht="15.75" outlineLevel="1">
      <c r="A690" s="37" t="s">
        <v>1104</v>
      </c>
      <c r="B690" s="38" t="s">
        <v>1</v>
      </c>
      <c r="C690" s="37">
        <v>5.2</v>
      </c>
      <c r="D690" s="111"/>
    </row>
    <row r="691" spans="1:4" ht="15.75" outlineLevel="1">
      <c r="A691" s="37" t="s">
        <v>1104</v>
      </c>
      <c r="B691" s="38" t="s">
        <v>191</v>
      </c>
      <c r="C691" s="37">
        <v>5.17</v>
      </c>
      <c r="D691" s="111"/>
    </row>
    <row r="692" spans="1:4" ht="15.75" outlineLevel="1">
      <c r="A692" s="37" t="s">
        <v>1104</v>
      </c>
      <c r="B692" s="38" t="s">
        <v>5</v>
      </c>
      <c r="C692" s="37">
        <v>5.26</v>
      </c>
      <c r="D692" s="111"/>
    </row>
    <row r="693" spans="1:4" ht="15.75" outlineLevel="1">
      <c r="A693" s="37" t="s">
        <v>1104</v>
      </c>
      <c r="B693" s="38" t="s">
        <v>192</v>
      </c>
      <c r="C693" s="37">
        <v>5.1029999999999998</v>
      </c>
      <c r="D693" s="111"/>
    </row>
    <row r="694" spans="1:4" ht="15.75" outlineLevel="1">
      <c r="A694" s="37" t="s">
        <v>1104</v>
      </c>
      <c r="B694" s="38" t="s">
        <v>150</v>
      </c>
      <c r="C694" s="37">
        <v>5.36</v>
      </c>
      <c r="D694" s="111"/>
    </row>
    <row r="695" spans="1:4" ht="15.75" outlineLevel="1">
      <c r="A695" s="37" t="s">
        <v>1104</v>
      </c>
      <c r="B695" s="38" t="s">
        <v>193</v>
      </c>
      <c r="C695" s="37">
        <v>5.37</v>
      </c>
      <c r="D695" s="111"/>
    </row>
    <row r="696" spans="1:4" ht="15.75" outlineLevel="1">
      <c r="A696" s="37" t="s">
        <v>1104</v>
      </c>
      <c r="B696" s="38" t="s">
        <v>194</v>
      </c>
      <c r="C696" s="37">
        <v>5.1040000000000001</v>
      </c>
      <c r="D696" s="111"/>
    </row>
    <row r="697" spans="1:4" ht="15.75" outlineLevel="1">
      <c r="A697" s="37" t="s">
        <v>1104</v>
      </c>
      <c r="B697" s="38" t="s">
        <v>195</v>
      </c>
      <c r="C697" s="37">
        <v>5.1050000000000004</v>
      </c>
      <c r="D697" s="111"/>
    </row>
    <row r="698" spans="1:4" ht="15.75" outlineLevel="1">
      <c r="A698" s="37" t="s">
        <v>1104</v>
      </c>
      <c r="B698" s="38" t="s">
        <v>196</v>
      </c>
      <c r="C698" s="37">
        <v>5.1059999999999999</v>
      </c>
      <c r="D698" s="111"/>
    </row>
    <row r="699" spans="1:4" ht="15.75" outlineLevel="1">
      <c r="A699" s="37" t="s">
        <v>1104</v>
      </c>
      <c r="B699" s="38" t="s">
        <v>197</v>
      </c>
      <c r="C699" s="37">
        <v>5.1070000000000002</v>
      </c>
      <c r="D699" s="111"/>
    </row>
    <row r="700" spans="1:4" ht="15.75" outlineLevel="1">
      <c r="A700" s="37" t="s">
        <v>1104</v>
      </c>
      <c r="B700" s="38" t="s">
        <v>925</v>
      </c>
      <c r="C700" s="37">
        <v>5.1079999999999997</v>
      </c>
      <c r="D700" s="110" t="s">
        <v>1153</v>
      </c>
    </row>
    <row r="701" spans="1:4" ht="15.75" outlineLevel="1">
      <c r="A701" s="37" t="s">
        <v>1104</v>
      </c>
      <c r="B701" s="38" t="s">
        <v>186</v>
      </c>
      <c r="C701" s="37">
        <v>5.109</v>
      </c>
      <c r="D701" s="111"/>
    </row>
    <row r="702" spans="1:4" ht="15.75" outlineLevel="1">
      <c r="A702" s="37" t="s">
        <v>1104</v>
      </c>
      <c r="B702" s="38" t="s">
        <v>199</v>
      </c>
      <c r="C702" s="40">
        <v>5.1100000000000003</v>
      </c>
      <c r="D702" s="110" t="s">
        <v>1153</v>
      </c>
    </row>
    <row r="703" spans="1:4" ht="15.75" outlineLevel="1">
      <c r="A703" s="37" t="s">
        <v>1104</v>
      </c>
      <c r="B703" s="38" t="s">
        <v>187</v>
      </c>
      <c r="C703" s="37">
        <v>5.1109999999999998</v>
      </c>
      <c r="D703" s="111"/>
    </row>
    <row r="704" spans="1:4" ht="15.75" outlineLevel="1">
      <c r="A704" s="37" t="s">
        <v>1104</v>
      </c>
      <c r="B704" s="38" t="s">
        <v>159</v>
      </c>
      <c r="C704" s="37">
        <v>5.1120000000000001</v>
      </c>
      <c r="D704" s="111"/>
    </row>
    <row r="705" spans="1:4" ht="15.75" outlineLevel="1">
      <c r="A705" s="37" t="s">
        <v>1104</v>
      </c>
      <c r="B705" s="38" t="s">
        <v>11</v>
      </c>
      <c r="C705" s="37">
        <v>5.53</v>
      </c>
      <c r="D705" s="111"/>
    </row>
    <row r="706" spans="1:4" ht="15.75" outlineLevel="1">
      <c r="A706" s="37" t="s">
        <v>1104</v>
      </c>
      <c r="B706" s="38" t="s">
        <v>200</v>
      </c>
      <c r="C706" s="37">
        <v>5.64</v>
      </c>
      <c r="D706" s="111"/>
    </row>
    <row r="707" spans="1:4" ht="15.75" outlineLevel="1">
      <c r="A707" s="37" t="s">
        <v>1104</v>
      </c>
      <c r="B707" s="38" t="s">
        <v>20</v>
      </c>
      <c r="C707" s="37">
        <v>5.63</v>
      </c>
      <c r="D707" s="111"/>
    </row>
    <row r="708" spans="1:4" ht="15.75" outlineLevel="1">
      <c r="A708" s="37" t="s">
        <v>1104</v>
      </c>
      <c r="B708" s="38" t="s">
        <v>21</v>
      </c>
      <c r="C708" s="37">
        <v>5.65</v>
      </c>
      <c r="D708" s="111"/>
    </row>
    <row r="709" spans="1:4" ht="15.75" outlineLevel="1">
      <c r="A709" s="37" t="s">
        <v>1104</v>
      </c>
      <c r="B709" s="38" t="s">
        <v>201</v>
      </c>
      <c r="C709" s="37">
        <v>5.66</v>
      </c>
      <c r="D709" s="111"/>
    </row>
    <row r="710" spans="1:4" ht="15.75" outlineLevel="1">
      <c r="A710" s="37" t="s">
        <v>1104</v>
      </c>
      <c r="B710" s="38" t="s">
        <v>22</v>
      </c>
      <c r="C710" s="37">
        <v>5.68</v>
      </c>
      <c r="D710" s="111"/>
    </row>
    <row r="711" spans="1:4" ht="15.75" outlineLevel="1">
      <c r="A711" s="37" t="s">
        <v>1104</v>
      </c>
      <c r="B711" s="38" t="s">
        <v>24</v>
      </c>
      <c r="C711" s="37">
        <v>5.47</v>
      </c>
      <c r="D711" s="111"/>
    </row>
    <row r="712" spans="1:4" ht="15.75" outlineLevel="1">
      <c r="A712" s="37" t="s">
        <v>1104</v>
      </c>
      <c r="B712" s="38" t="s">
        <v>25</v>
      </c>
      <c r="C712" s="37">
        <v>5.48</v>
      </c>
      <c r="D712" s="111"/>
    </row>
    <row r="713" spans="1:4" ht="15.75">
      <c r="A713" s="43" t="s">
        <v>1104</v>
      </c>
      <c r="B713" s="38"/>
      <c r="C713" s="37"/>
      <c r="D713" s="111"/>
    </row>
    <row r="714" spans="1:4" ht="15.75" outlineLevel="1">
      <c r="A714" s="37" t="s">
        <v>1211</v>
      </c>
      <c r="B714" s="38" t="s">
        <v>0</v>
      </c>
      <c r="C714" s="37">
        <v>5.0999999999999996</v>
      </c>
      <c r="D714" s="111"/>
    </row>
    <row r="715" spans="1:4" ht="15.75" outlineLevel="1">
      <c r="A715" s="37" t="s">
        <v>1211</v>
      </c>
      <c r="B715" s="38" t="s">
        <v>1</v>
      </c>
      <c r="C715" s="37">
        <v>5.2</v>
      </c>
      <c r="D715" s="111"/>
    </row>
    <row r="716" spans="1:4" ht="15.75" outlineLevel="1">
      <c r="A716" s="37" t="s">
        <v>1211</v>
      </c>
      <c r="B716" s="38" t="s">
        <v>2</v>
      </c>
      <c r="C716" s="37">
        <v>5.3</v>
      </c>
      <c r="D716" s="111"/>
    </row>
    <row r="717" spans="1:4" ht="15.75" outlineLevel="1">
      <c r="A717" s="37" t="s">
        <v>1211</v>
      </c>
      <c r="B717" s="38" t="s">
        <v>182</v>
      </c>
      <c r="C717" s="37">
        <v>5.6</v>
      </c>
      <c r="D717" s="111"/>
    </row>
    <row r="718" spans="1:4" ht="15.75" outlineLevel="1">
      <c r="A718" s="37" t="s">
        <v>1211</v>
      </c>
      <c r="B718" s="38" t="s">
        <v>1155</v>
      </c>
      <c r="C718" s="39">
        <v>5.0999999999999996</v>
      </c>
      <c r="D718" s="111"/>
    </row>
    <row r="719" spans="1:4" ht="15.75" outlineLevel="1">
      <c r="A719" s="37" t="s">
        <v>1211</v>
      </c>
      <c r="B719" s="38" t="s">
        <v>1154</v>
      </c>
      <c r="C719" s="37">
        <v>5.14</v>
      </c>
      <c r="D719" s="111"/>
    </row>
    <row r="720" spans="1:4" ht="15.75" outlineLevel="1">
      <c r="A720" s="37" t="s">
        <v>1211</v>
      </c>
      <c r="B720" s="38" t="s">
        <v>4</v>
      </c>
      <c r="C720" s="37">
        <v>5.19</v>
      </c>
      <c r="D720" s="111"/>
    </row>
    <row r="721" spans="1:4" ht="15.75" outlineLevel="1">
      <c r="A721" s="37" t="s">
        <v>1211</v>
      </c>
      <c r="B721" s="38" t="s">
        <v>184</v>
      </c>
      <c r="C721" s="37">
        <v>5.24</v>
      </c>
      <c r="D721" s="111"/>
    </row>
    <row r="722" spans="1:4" ht="15.75" outlineLevel="1">
      <c r="A722" s="37" t="s">
        <v>1211</v>
      </c>
      <c r="B722" s="38" t="s">
        <v>5</v>
      </c>
      <c r="C722" s="37">
        <v>5.26</v>
      </c>
      <c r="D722" s="111"/>
    </row>
    <row r="723" spans="1:4" ht="15.75" outlineLevel="1">
      <c r="A723" s="37" t="s">
        <v>1211</v>
      </c>
      <c r="B723" s="38" t="s">
        <v>6</v>
      </c>
      <c r="C723" s="37">
        <v>5.27</v>
      </c>
      <c r="D723" s="111"/>
    </row>
    <row r="724" spans="1:4" ht="15.75" outlineLevel="1">
      <c r="A724" s="37" t="s">
        <v>1211</v>
      </c>
      <c r="B724" s="38" t="s">
        <v>7</v>
      </c>
      <c r="C724" s="37">
        <v>5.28</v>
      </c>
      <c r="D724" s="111"/>
    </row>
    <row r="725" spans="1:4" ht="15.75" outlineLevel="1">
      <c r="A725" s="37" t="s">
        <v>1211</v>
      </c>
      <c r="B725" s="38" t="s">
        <v>185</v>
      </c>
      <c r="C725" s="37">
        <v>5.31</v>
      </c>
      <c r="D725" s="111"/>
    </row>
    <row r="726" spans="1:4" ht="15.75" outlineLevel="1">
      <c r="A726" s="37" t="s">
        <v>1211</v>
      </c>
      <c r="B726" s="38" t="s">
        <v>150</v>
      </c>
      <c r="C726" s="37">
        <v>5.36</v>
      </c>
      <c r="D726" s="111"/>
    </row>
    <row r="727" spans="1:4" ht="15.75" outlineLevel="1">
      <c r="A727" s="37" t="s">
        <v>1211</v>
      </c>
      <c r="B727" s="38" t="s">
        <v>11</v>
      </c>
      <c r="C727" s="37">
        <v>5.53</v>
      </c>
      <c r="D727" s="111"/>
    </row>
    <row r="728" spans="1:4" ht="15.75" outlineLevel="1">
      <c r="A728" s="37" t="s">
        <v>1211</v>
      </c>
      <c r="B728" s="38" t="s">
        <v>186</v>
      </c>
      <c r="C728" s="37">
        <v>5.109</v>
      </c>
      <c r="D728" s="111"/>
    </row>
    <row r="729" spans="1:4" ht="15.75" outlineLevel="1">
      <c r="A729" s="37" t="s">
        <v>1211</v>
      </c>
      <c r="B729" s="38" t="s">
        <v>187</v>
      </c>
      <c r="C729" s="37">
        <v>5.1109999999999998</v>
      </c>
      <c r="D729" s="111"/>
    </row>
    <row r="730" spans="1:4" ht="15.75" outlineLevel="1">
      <c r="A730" s="37" t="s">
        <v>1211</v>
      </c>
      <c r="B730" s="38" t="s">
        <v>159</v>
      </c>
      <c r="C730" s="37">
        <v>5.1120000000000001</v>
      </c>
      <c r="D730" s="111"/>
    </row>
    <row r="731" spans="1:4" ht="15.75" outlineLevel="1">
      <c r="A731" s="37" t="s">
        <v>1211</v>
      </c>
      <c r="B731" s="38" t="s">
        <v>1169</v>
      </c>
      <c r="C731" s="37">
        <v>5.1130000000000004</v>
      </c>
      <c r="D731" s="111"/>
    </row>
    <row r="732" spans="1:4" ht="15.75" outlineLevel="1">
      <c r="A732" s="37" t="s">
        <v>1211</v>
      </c>
      <c r="B732" s="38" t="s">
        <v>189</v>
      </c>
      <c r="C732" s="37">
        <v>5.117</v>
      </c>
      <c r="D732" s="111"/>
    </row>
    <row r="733" spans="1:4" ht="15.75" outlineLevel="1">
      <c r="A733" s="37" t="s">
        <v>1211</v>
      </c>
      <c r="B733" s="38" t="s">
        <v>190</v>
      </c>
      <c r="C733" s="37">
        <v>5.67</v>
      </c>
      <c r="D733" s="111"/>
    </row>
    <row r="734" spans="1:4" ht="15.75" outlineLevel="1">
      <c r="A734" s="37" t="s">
        <v>1211</v>
      </c>
      <c r="B734" s="38" t="s">
        <v>20</v>
      </c>
      <c r="C734" s="37">
        <v>5.63</v>
      </c>
      <c r="D734" s="111"/>
    </row>
    <row r="735" spans="1:4" ht="15.75" outlineLevel="1">
      <c r="A735" s="37" t="s">
        <v>1211</v>
      </c>
      <c r="B735" s="38" t="s">
        <v>24</v>
      </c>
      <c r="C735" s="37">
        <v>5.47</v>
      </c>
      <c r="D735" s="111"/>
    </row>
    <row r="736" spans="1:4" ht="15.75" outlineLevel="1">
      <c r="A736" s="37" t="s">
        <v>1211</v>
      </c>
      <c r="B736" s="38" t="s">
        <v>25</v>
      </c>
      <c r="C736" s="37">
        <v>5.48</v>
      </c>
      <c r="D736" s="111"/>
    </row>
    <row r="737" spans="1:4" ht="15.75">
      <c r="A737" s="43" t="s">
        <v>1212</v>
      </c>
      <c r="B737" s="38"/>
      <c r="C737" s="37"/>
      <c r="D737" s="111"/>
    </row>
    <row r="738" spans="1:4" ht="15.75" outlineLevel="1">
      <c r="A738" s="37" t="s">
        <v>1106</v>
      </c>
      <c r="B738" s="38" t="s">
        <v>0</v>
      </c>
      <c r="C738" s="37">
        <v>5.0999999999999996</v>
      </c>
      <c r="D738" s="111"/>
    </row>
    <row r="739" spans="1:4" ht="15.75" outlineLevel="1">
      <c r="A739" s="37" t="s">
        <v>1106</v>
      </c>
      <c r="B739" s="38" t="s">
        <v>1</v>
      </c>
      <c r="C739" s="37">
        <v>5.2</v>
      </c>
      <c r="D739" s="111"/>
    </row>
    <row r="740" spans="1:4" ht="15.75" outlineLevel="1">
      <c r="A740" s="37" t="s">
        <v>1106</v>
      </c>
      <c r="B740" s="38" t="s">
        <v>156</v>
      </c>
      <c r="C740" s="37">
        <v>5.18</v>
      </c>
      <c r="D740" s="111"/>
    </row>
    <row r="741" spans="1:4" ht="15.75" outlineLevel="1">
      <c r="A741" s="37" t="s">
        <v>1106</v>
      </c>
      <c r="B741" s="38" t="s">
        <v>157</v>
      </c>
      <c r="C741" s="37">
        <v>5.23</v>
      </c>
      <c r="D741" s="111"/>
    </row>
    <row r="742" spans="1:4" ht="15.75" outlineLevel="1">
      <c r="A742" s="37" t="s">
        <v>1106</v>
      </c>
      <c r="B742" s="38" t="s">
        <v>5</v>
      </c>
      <c r="C742" s="37">
        <v>5.26</v>
      </c>
      <c r="D742" s="111"/>
    </row>
    <row r="743" spans="1:4" ht="15.75" outlineLevel="1">
      <c r="A743" s="37" t="s">
        <v>1106</v>
      </c>
      <c r="B743" s="38" t="s">
        <v>6</v>
      </c>
      <c r="C743" s="37">
        <v>5.27</v>
      </c>
      <c r="D743" s="111"/>
    </row>
    <row r="744" spans="1:4" ht="15.75" outlineLevel="1">
      <c r="A744" s="37" t="s">
        <v>1106</v>
      </c>
      <c r="B744" s="38" t="s">
        <v>7</v>
      </c>
      <c r="C744" s="37">
        <v>5.28</v>
      </c>
      <c r="D744" s="111"/>
    </row>
    <row r="745" spans="1:4" ht="15.75" outlineLevel="1">
      <c r="A745" s="37" t="s">
        <v>1106</v>
      </c>
      <c r="B745" s="38" t="s">
        <v>150</v>
      </c>
      <c r="C745" s="37">
        <v>5.36</v>
      </c>
      <c r="D745" s="111"/>
    </row>
    <row r="746" spans="1:4" ht="15.75" outlineLevel="1">
      <c r="A746" s="37" t="s">
        <v>1106</v>
      </c>
      <c r="B746" s="38" t="s">
        <v>158</v>
      </c>
      <c r="C746" s="37">
        <v>5.44</v>
      </c>
      <c r="D746" s="111"/>
    </row>
    <row r="747" spans="1:4" ht="15.75" outlineLevel="1">
      <c r="A747" s="37" t="s">
        <v>1106</v>
      </c>
      <c r="B747" s="38" t="s">
        <v>11</v>
      </c>
      <c r="C747" s="37">
        <v>5.53</v>
      </c>
      <c r="D747" s="111"/>
    </row>
    <row r="748" spans="1:4" ht="15.75" outlineLevel="1">
      <c r="A748" s="37" t="s">
        <v>1106</v>
      </c>
      <c r="B748" s="38" t="s">
        <v>159</v>
      </c>
      <c r="C748" s="37">
        <v>5.1120000000000001</v>
      </c>
      <c r="D748" s="111"/>
    </row>
    <row r="749" spans="1:4" ht="15.75" outlineLevel="1">
      <c r="A749" s="37" t="s">
        <v>1106</v>
      </c>
      <c r="B749" s="38" t="s">
        <v>160</v>
      </c>
      <c r="C749" s="37">
        <v>5.59</v>
      </c>
      <c r="D749" s="111"/>
    </row>
    <row r="750" spans="1:4" ht="15.75" outlineLevel="1">
      <c r="A750" s="37" t="s">
        <v>1106</v>
      </c>
      <c r="B750" s="38" t="s">
        <v>18</v>
      </c>
      <c r="C750" s="37">
        <v>5.54</v>
      </c>
      <c r="D750" s="111"/>
    </row>
    <row r="751" spans="1:4" ht="15.75" outlineLevel="1">
      <c r="A751" s="37" t="s">
        <v>1106</v>
      </c>
      <c r="B751" s="38" t="s">
        <v>20</v>
      </c>
      <c r="C751" s="37">
        <v>5.63</v>
      </c>
      <c r="D751" s="111"/>
    </row>
    <row r="752" spans="1:4" ht="15.75" outlineLevel="1">
      <c r="A752" s="37" t="s">
        <v>1106</v>
      </c>
      <c r="B752" s="38" t="s">
        <v>21</v>
      </c>
      <c r="C752" s="37">
        <v>5.65</v>
      </c>
      <c r="D752" s="111"/>
    </row>
    <row r="753" spans="1:4" ht="15.75" outlineLevel="1">
      <c r="A753" s="37" t="s">
        <v>1106</v>
      </c>
      <c r="B753" s="38" t="s">
        <v>22</v>
      </c>
      <c r="C753" s="37">
        <v>5.68</v>
      </c>
      <c r="D753" s="111"/>
    </row>
    <row r="754" spans="1:4" ht="15.75" outlineLevel="1">
      <c r="A754" s="37" t="s">
        <v>1106</v>
      </c>
      <c r="B754" s="38" t="s">
        <v>24</v>
      </c>
      <c r="C754" s="37">
        <v>5.47</v>
      </c>
      <c r="D754" s="111"/>
    </row>
    <row r="755" spans="1:4" ht="15.75" outlineLevel="1">
      <c r="A755" s="37" t="s">
        <v>1106</v>
      </c>
      <c r="B755" s="38" t="s">
        <v>25</v>
      </c>
      <c r="C755" s="37">
        <v>5.48</v>
      </c>
      <c r="D755" s="111"/>
    </row>
    <row r="756" spans="1:4" ht="15.75">
      <c r="A756" s="43" t="s">
        <v>1106</v>
      </c>
      <c r="B756" s="38"/>
      <c r="C756" s="37"/>
      <c r="D756" s="111"/>
    </row>
    <row r="757" spans="1:4" ht="15.75" outlineLevel="1">
      <c r="A757" s="37" t="s">
        <v>1213</v>
      </c>
      <c r="B757" s="38" t="s">
        <v>0</v>
      </c>
      <c r="C757" s="37">
        <v>5.0999999999999996</v>
      </c>
      <c r="D757" s="111"/>
    </row>
    <row r="758" spans="1:4" ht="15.75" outlineLevel="1">
      <c r="A758" s="37" t="s">
        <v>1213</v>
      </c>
      <c r="B758" s="38" t="s">
        <v>1</v>
      </c>
      <c r="C758" s="37">
        <v>5.2</v>
      </c>
      <c r="D758" s="111"/>
    </row>
    <row r="759" spans="1:4" ht="15.75" outlineLevel="1">
      <c r="A759" s="37" t="s">
        <v>1213</v>
      </c>
      <c r="B759" s="38" t="s">
        <v>145</v>
      </c>
      <c r="C759" s="37">
        <v>5.9</v>
      </c>
      <c r="D759" s="110" t="s">
        <v>1153</v>
      </c>
    </row>
    <row r="760" spans="1:4" ht="15.75" outlineLevel="1">
      <c r="A760" s="37" t="s">
        <v>1213</v>
      </c>
      <c r="B760" s="38" t="s">
        <v>146</v>
      </c>
      <c r="C760" s="37">
        <v>5.13</v>
      </c>
      <c r="D760" s="111"/>
    </row>
    <row r="761" spans="1:4" ht="15.75" outlineLevel="1">
      <c r="A761" s="37" t="s">
        <v>1213</v>
      </c>
      <c r="B761" s="38" t="s">
        <v>147</v>
      </c>
      <c r="C761" s="37">
        <v>5.16</v>
      </c>
      <c r="D761" s="110" t="s">
        <v>1153</v>
      </c>
    </row>
    <row r="762" spans="1:4" ht="15.75" outlineLevel="1">
      <c r="A762" s="37" t="s">
        <v>1213</v>
      </c>
      <c r="B762" s="38" t="s">
        <v>148</v>
      </c>
      <c r="C762" s="37">
        <v>5.22</v>
      </c>
      <c r="D762" s="110"/>
    </row>
    <row r="763" spans="1:4" ht="15.75" outlineLevel="1">
      <c r="A763" s="37" t="s">
        <v>1213</v>
      </c>
      <c r="B763" s="38" t="s">
        <v>149</v>
      </c>
      <c r="C763" s="37">
        <v>5.42</v>
      </c>
      <c r="D763" s="111"/>
    </row>
    <row r="764" spans="1:4" ht="15.75" outlineLevel="1">
      <c r="A764" s="37" t="s">
        <v>1213</v>
      </c>
      <c r="B764" s="38" t="s">
        <v>6</v>
      </c>
      <c r="C764" s="37">
        <v>5.27</v>
      </c>
      <c r="D764" s="111"/>
    </row>
    <row r="765" spans="1:4" ht="15.75" outlineLevel="1">
      <c r="A765" s="37" t="s">
        <v>1213</v>
      </c>
      <c r="B765" s="38" t="s">
        <v>7</v>
      </c>
      <c r="C765" s="37">
        <v>5.28</v>
      </c>
      <c r="D765" s="110" t="s">
        <v>1153</v>
      </c>
    </row>
    <row r="766" spans="1:4" ht="15.75" outlineLevel="1">
      <c r="A766" s="37" t="s">
        <v>1213</v>
      </c>
      <c r="B766" s="38" t="s">
        <v>150</v>
      </c>
      <c r="C766" s="37">
        <v>5.36</v>
      </c>
      <c r="D766" s="111"/>
    </row>
    <row r="767" spans="1:4" ht="15.75" outlineLevel="1">
      <c r="A767" s="37" t="s">
        <v>1213</v>
      </c>
      <c r="B767" s="38" t="s">
        <v>9</v>
      </c>
      <c r="C767" s="37">
        <v>5.49</v>
      </c>
      <c r="D767" s="111"/>
    </row>
    <row r="768" spans="1:4" ht="15.75" outlineLevel="1">
      <c r="A768" s="37" t="s">
        <v>1213</v>
      </c>
      <c r="B768" s="38" t="s">
        <v>10</v>
      </c>
      <c r="C768" s="37">
        <v>5.51</v>
      </c>
      <c r="D768" s="111"/>
    </row>
    <row r="769" spans="1:4" ht="15.75" outlineLevel="1">
      <c r="A769" s="37" t="s">
        <v>1213</v>
      </c>
      <c r="B769" s="38" t="s">
        <v>1202</v>
      </c>
      <c r="C769" s="37">
        <v>5.52</v>
      </c>
      <c r="D769" s="111"/>
    </row>
    <row r="770" spans="1:4" ht="15.75" outlineLevel="1">
      <c r="A770" s="37" t="s">
        <v>1213</v>
      </c>
      <c r="B770" s="38" t="s">
        <v>11</v>
      </c>
      <c r="C770" s="37">
        <v>5.53</v>
      </c>
      <c r="D770" s="111"/>
    </row>
    <row r="771" spans="1:4" ht="15.75" outlineLevel="1">
      <c r="A771" s="37" t="s">
        <v>1213</v>
      </c>
      <c r="B771" s="38" t="s">
        <v>18</v>
      </c>
      <c r="C771" s="37">
        <v>5.54</v>
      </c>
      <c r="D771" s="111"/>
    </row>
    <row r="772" spans="1:4" ht="15.75" outlineLevel="1">
      <c r="A772" s="37" t="s">
        <v>1213</v>
      </c>
      <c r="B772" s="38" t="s">
        <v>14</v>
      </c>
      <c r="C772" s="39">
        <v>5.7</v>
      </c>
      <c r="D772" s="111"/>
    </row>
    <row r="773" spans="1:4" ht="15.75" outlineLevel="1">
      <c r="A773" s="37" t="s">
        <v>1213</v>
      </c>
      <c r="B773" s="38" t="s">
        <v>152</v>
      </c>
      <c r="C773" s="37">
        <v>5.71</v>
      </c>
      <c r="D773" s="111"/>
    </row>
    <row r="774" spans="1:4" ht="15.75" outlineLevel="1">
      <c r="A774" s="37" t="s">
        <v>1213</v>
      </c>
      <c r="B774" s="38" t="s">
        <v>153</v>
      </c>
      <c r="C774" s="39">
        <v>5.9</v>
      </c>
      <c r="D774" s="111"/>
    </row>
    <row r="775" spans="1:4" ht="15.75" outlineLevel="1">
      <c r="A775" s="37" t="s">
        <v>1213</v>
      </c>
      <c r="B775" s="38" t="s">
        <v>154</v>
      </c>
      <c r="C775" s="37">
        <v>5.91</v>
      </c>
      <c r="D775" s="111"/>
    </row>
    <row r="776" spans="1:4" ht="15.75" outlineLevel="1">
      <c r="A776" s="37" t="s">
        <v>1213</v>
      </c>
      <c r="B776" s="38" t="s">
        <v>155</v>
      </c>
      <c r="C776" s="37">
        <v>5.97</v>
      </c>
      <c r="D776" s="111"/>
    </row>
    <row r="777" spans="1:4" ht="15.75">
      <c r="A777" s="43" t="s">
        <v>1213</v>
      </c>
      <c r="B777" s="38"/>
      <c r="C777" s="37"/>
      <c r="D777" s="111"/>
    </row>
    <row r="778" spans="1:4" ht="15.75" outlineLevel="1">
      <c r="A778" s="37" t="s">
        <v>1140</v>
      </c>
      <c r="B778" s="38" t="s">
        <v>0</v>
      </c>
      <c r="C778" s="37">
        <v>5.0999999999999996</v>
      </c>
      <c r="D778" s="111"/>
    </row>
    <row r="779" spans="1:4" ht="15.75" outlineLevel="1">
      <c r="A779" s="37" t="s">
        <v>1140</v>
      </c>
      <c r="B779" s="38" t="s">
        <v>1</v>
      </c>
      <c r="C779" s="37">
        <v>5.2</v>
      </c>
      <c r="D779" s="111"/>
    </row>
    <row r="780" spans="1:4" ht="15.75" outlineLevel="1">
      <c r="A780" s="37" t="s">
        <v>1140</v>
      </c>
      <c r="B780" s="38" t="s">
        <v>5</v>
      </c>
      <c r="C780" s="37">
        <v>5.26</v>
      </c>
      <c r="D780" s="111"/>
    </row>
    <row r="781" spans="1:4" ht="15.75" outlineLevel="1">
      <c r="A781" s="37" t="s">
        <v>1140</v>
      </c>
      <c r="B781" s="38" t="s">
        <v>238</v>
      </c>
      <c r="C781" s="37">
        <v>5.5</v>
      </c>
      <c r="D781" s="111"/>
    </row>
    <row r="782" spans="1:4" ht="15.75" outlineLevel="1">
      <c r="A782" s="37" t="s">
        <v>1140</v>
      </c>
      <c r="B782" s="38" t="s">
        <v>239</v>
      </c>
      <c r="C782" s="37">
        <v>5.8</v>
      </c>
      <c r="D782" s="110" t="s">
        <v>1153</v>
      </c>
    </row>
    <row r="783" spans="1:4" ht="15.75" outlineLevel="1">
      <c r="A783" s="37" t="s">
        <v>1140</v>
      </c>
      <c r="B783" s="38" t="s">
        <v>240</v>
      </c>
      <c r="C783" s="37">
        <v>5.12</v>
      </c>
      <c r="D783" s="37"/>
    </row>
    <row r="784" spans="1:4" ht="15.75" outlineLevel="1">
      <c r="A784" s="37" t="s">
        <v>1140</v>
      </c>
      <c r="B784" s="38" t="s">
        <v>241</v>
      </c>
      <c r="C784" s="37">
        <v>5.15</v>
      </c>
      <c r="D784" s="37"/>
    </row>
    <row r="785" spans="1:4" ht="15.75" outlineLevel="1">
      <c r="A785" s="37" t="s">
        <v>1140</v>
      </c>
      <c r="B785" s="38" t="s">
        <v>242</v>
      </c>
      <c r="C785" s="39">
        <v>5.2</v>
      </c>
      <c r="D785" s="110"/>
    </row>
    <row r="786" spans="1:4" ht="15.75" outlineLevel="1">
      <c r="A786" s="37" t="s">
        <v>1140</v>
      </c>
      <c r="B786" s="38" t="s">
        <v>243</v>
      </c>
      <c r="C786" s="37">
        <v>5.25</v>
      </c>
      <c r="D786" s="37"/>
    </row>
    <row r="787" spans="1:4" ht="15.75" outlineLevel="1">
      <c r="A787" s="37" t="s">
        <v>1140</v>
      </c>
      <c r="B787" s="38" t="s">
        <v>11</v>
      </c>
      <c r="C787" s="37">
        <v>5.53</v>
      </c>
      <c r="D787" s="37"/>
    </row>
    <row r="788" spans="1:4" ht="15.75" outlineLevel="1">
      <c r="A788" s="37" t="s">
        <v>1140</v>
      </c>
      <c r="B788" s="38" t="s">
        <v>244</v>
      </c>
      <c r="C788" s="39">
        <v>5.4</v>
      </c>
      <c r="D788" s="37"/>
    </row>
    <row r="789" spans="1:4" ht="31.5" outlineLevel="1">
      <c r="A789" s="37" t="s">
        <v>1140</v>
      </c>
      <c r="B789" s="38" t="s">
        <v>245</v>
      </c>
      <c r="C789" s="37">
        <v>5.92</v>
      </c>
      <c r="D789" s="37"/>
    </row>
    <row r="790" spans="1:4" ht="15.75" outlineLevel="1">
      <c r="A790" s="37" t="s">
        <v>1140</v>
      </c>
      <c r="B790" s="38" t="s">
        <v>246</v>
      </c>
      <c r="C790" s="37">
        <v>5.93</v>
      </c>
      <c r="D790" s="37"/>
    </row>
    <row r="791" spans="1:4" ht="31.5" outlineLevel="1">
      <c r="A791" s="37" t="s">
        <v>1140</v>
      </c>
      <c r="B791" s="38" t="s">
        <v>247</v>
      </c>
      <c r="C791" s="37">
        <v>5.94</v>
      </c>
      <c r="D791" s="37"/>
    </row>
    <row r="792" spans="1:4" ht="15.75" outlineLevel="1">
      <c r="A792" s="37" t="s">
        <v>1140</v>
      </c>
      <c r="B792" s="38" t="s">
        <v>248</v>
      </c>
      <c r="C792" s="37">
        <v>5.95</v>
      </c>
      <c r="D792" s="37"/>
    </row>
    <row r="793" spans="1:4" ht="15.75" outlineLevel="1">
      <c r="A793" s="37" t="s">
        <v>1140</v>
      </c>
      <c r="B793" s="38" t="s">
        <v>249</v>
      </c>
      <c r="C793" s="37">
        <v>5.98</v>
      </c>
      <c r="D793" s="37"/>
    </row>
    <row r="794" spans="1:4" ht="15.75" outlineLevel="1">
      <c r="A794" s="37" t="s">
        <v>1140</v>
      </c>
      <c r="B794" s="38" t="s">
        <v>250</v>
      </c>
      <c r="C794" s="37">
        <v>5.96</v>
      </c>
      <c r="D794" s="37"/>
    </row>
    <row r="795" spans="1:4" ht="15.75">
      <c r="A795" s="43" t="s">
        <v>1140</v>
      </c>
      <c r="B795" s="38"/>
      <c r="C795" s="37"/>
      <c r="D795" s="37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3" t="s">
        <v>1228</v>
      </c>
    </row>
    <row r="3" spans="1:2">
      <c r="A3" t="s">
        <v>1229</v>
      </c>
      <c r="B3" t="s">
        <v>1230</v>
      </c>
    </row>
    <row r="4" spans="1:2">
      <c r="A4" t="s">
        <v>225</v>
      </c>
      <c r="B4" t="s">
        <v>1231</v>
      </c>
    </row>
    <row r="5" spans="1:2">
      <c r="A5" t="s">
        <v>1232</v>
      </c>
      <c r="B5" t="s">
        <v>1233</v>
      </c>
    </row>
    <row r="6" spans="1:2">
      <c r="A6" t="s">
        <v>1234</v>
      </c>
      <c r="B6" t="s">
        <v>1235</v>
      </c>
    </row>
    <row r="7" spans="1:2">
      <c r="A7" t="s">
        <v>1236</v>
      </c>
      <c r="B7" t="s">
        <v>1237</v>
      </c>
    </row>
    <row r="8" spans="1:2">
      <c r="A8" t="s">
        <v>1238</v>
      </c>
      <c r="B8" t="s">
        <v>1239</v>
      </c>
    </row>
    <row r="10" spans="1:2" ht="15">
      <c r="A10" s="23" t="s">
        <v>1240</v>
      </c>
    </row>
    <row r="11" spans="1:2">
      <c r="A11" t="s">
        <v>1241</v>
      </c>
    </row>
    <row r="12" spans="1:2">
      <c r="A12" t="s">
        <v>1242</v>
      </c>
      <c r="B12" t="s">
        <v>1243</v>
      </c>
    </row>
    <row r="14" spans="1:2">
      <c r="A14" s="36"/>
    </row>
    <row r="15" spans="1:2" ht="15">
      <c r="A15" s="23" t="s">
        <v>1244</v>
      </c>
    </row>
    <row r="16" spans="1:2">
      <c r="A16" s="34" t="s">
        <v>1245</v>
      </c>
    </row>
    <row r="17" spans="1:2">
      <c r="A17" s="34" t="s">
        <v>1246</v>
      </c>
    </row>
    <row r="18" spans="1:2">
      <c r="A18" s="34" t="s">
        <v>1247</v>
      </c>
    </row>
    <row r="19" spans="1:2">
      <c r="A19" s="34" t="s">
        <v>1248</v>
      </c>
    </row>
    <row r="21" spans="1:2" ht="15">
      <c r="A21" s="35" t="s">
        <v>1249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3" t="s">
        <v>1250</v>
      </c>
      <c r="B34" s="23" t="s">
        <v>358</v>
      </c>
    </row>
    <row r="35" spans="1:2">
      <c r="A35" s="15" t="s">
        <v>1251</v>
      </c>
      <c r="B35" s="42">
        <v>512310509</v>
      </c>
    </row>
    <row r="36" spans="1:2">
      <c r="A36" t="s">
        <v>1252</v>
      </c>
      <c r="B36" s="42">
        <v>513910703</v>
      </c>
    </row>
    <row r="37" spans="1:2">
      <c r="A37" t="s">
        <v>1253</v>
      </c>
      <c r="B37" s="42">
        <v>512304882</v>
      </c>
    </row>
    <row r="38" spans="1:2">
      <c r="A38" t="s">
        <v>1254</v>
      </c>
      <c r="B38" s="42">
        <v>520030677</v>
      </c>
    </row>
    <row r="39" spans="1:2">
      <c r="A39" t="s">
        <v>1255</v>
      </c>
      <c r="B39" s="42">
        <v>513621110</v>
      </c>
    </row>
    <row r="40" spans="1:2">
      <c r="A40" t="s">
        <v>1256</v>
      </c>
      <c r="B40" s="15">
        <v>513173393</v>
      </c>
    </row>
    <row r="41" spans="1:2">
      <c r="A41" t="s">
        <v>1257</v>
      </c>
      <c r="B41" s="15">
        <v>511880460</v>
      </c>
    </row>
    <row r="42" spans="1:2">
      <c r="A42" t="s">
        <v>1258</v>
      </c>
      <c r="B42" s="15">
        <v>510773922</v>
      </c>
    </row>
    <row r="43" spans="1:2">
      <c r="A43" t="s">
        <v>1259</v>
      </c>
      <c r="B43">
        <v>520021916</v>
      </c>
    </row>
    <row r="44" spans="1:2">
      <c r="A44" t="s">
        <v>1260</v>
      </c>
      <c r="B44">
        <v>520044025</v>
      </c>
    </row>
    <row r="45" spans="1:2">
      <c r="A45" t="s">
        <v>1261</v>
      </c>
      <c r="B45">
        <v>570003152</v>
      </c>
    </row>
    <row r="46" spans="1:2">
      <c r="A46" t="s">
        <v>1262</v>
      </c>
      <c r="B46" s="15">
        <v>520023094</v>
      </c>
    </row>
    <row r="47" spans="1:2">
      <c r="A47" t="s">
        <v>1263</v>
      </c>
      <c r="B47" s="15">
        <v>512711409</v>
      </c>
    </row>
    <row r="48" spans="1:2">
      <c r="A48" t="s">
        <v>1264</v>
      </c>
      <c r="B48">
        <v>515859379</v>
      </c>
    </row>
    <row r="49" spans="1:2">
      <c r="A49" t="s">
        <v>1265</v>
      </c>
      <c r="B49" s="15">
        <v>520030990</v>
      </c>
    </row>
    <row r="50" spans="1:2">
      <c r="A50" t="s">
        <v>1266</v>
      </c>
      <c r="B50" s="15">
        <v>520028812</v>
      </c>
    </row>
    <row r="51" spans="1:2">
      <c r="A51" t="s">
        <v>1267</v>
      </c>
      <c r="B51" s="15">
        <v>520034968</v>
      </c>
    </row>
    <row r="52" spans="1:2">
      <c r="A52" t="s">
        <v>1268</v>
      </c>
      <c r="B52" s="15">
        <v>520031824</v>
      </c>
    </row>
    <row r="53" spans="1:2">
      <c r="A53" t="s">
        <v>1269</v>
      </c>
      <c r="B53" s="15">
        <v>520005497</v>
      </c>
    </row>
    <row r="54" spans="1:2">
      <c r="A54" t="s">
        <v>1270</v>
      </c>
      <c r="B54" s="15">
        <v>520022518</v>
      </c>
    </row>
    <row r="55" spans="1:2">
      <c r="A55" t="s">
        <v>1271</v>
      </c>
      <c r="B55" s="15">
        <v>520028556</v>
      </c>
    </row>
    <row r="56" spans="1:2">
      <c r="A56" t="s">
        <v>1272</v>
      </c>
      <c r="B56" s="15">
        <v>520032269</v>
      </c>
    </row>
    <row r="57" spans="1:2">
      <c r="A57" t="s">
        <v>1273</v>
      </c>
      <c r="B57" s="15">
        <v>520027954</v>
      </c>
    </row>
    <row r="58" spans="1:2">
      <c r="A58" t="s">
        <v>1274</v>
      </c>
      <c r="B58">
        <v>520029620</v>
      </c>
    </row>
    <row r="59" spans="1:2">
      <c r="A59" t="s">
        <v>1275</v>
      </c>
      <c r="B59" s="15">
        <v>520028861</v>
      </c>
    </row>
    <row r="60" spans="1:2">
      <c r="A60" t="s">
        <v>1276</v>
      </c>
      <c r="B60" s="15">
        <v>520030743</v>
      </c>
    </row>
    <row r="61" spans="1:2">
      <c r="A61" t="s">
        <v>1277</v>
      </c>
      <c r="B61">
        <v>520042177</v>
      </c>
    </row>
    <row r="62" spans="1:2">
      <c r="A62" t="s">
        <v>1278</v>
      </c>
      <c r="B62" s="15">
        <v>515447035</v>
      </c>
    </row>
    <row r="63" spans="1:2">
      <c r="A63" t="s">
        <v>1279</v>
      </c>
      <c r="B63" s="15">
        <v>520042607</v>
      </c>
    </row>
    <row r="64" spans="1:2">
      <c r="A64" t="s">
        <v>1280</v>
      </c>
      <c r="B64" s="15">
        <v>513026484</v>
      </c>
    </row>
    <row r="65" spans="1:2">
      <c r="A65" t="s">
        <v>1281</v>
      </c>
      <c r="B65">
        <v>520023185</v>
      </c>
    </row>
    <row r="66" spans="1:2">
      <c r="A66" t="s">
        <v>1282</v>
      </c>
      <c r="B66">
        <v>520004078</v>
      </c>
    </row>
    <row r="67" spans="1:2">
      <c r="A67" t="s">
        <v>1283</v>
      </c>
      <c r="B67" s="15">
        <v>512267592</v>
      </c>
    </row>
    <row r="68" spans="1:2">
      <c r="A68" t="s">
        <v>1284</v>
      </c>
      <c r="B68">
        <v>515764868</v>
      </c>
    </row>
    <row r="69" spans="1:2">
      <c r="A69" t="s">
        <v>1285</v>
      </c>
      <c r="B69" s="15">
        <v>513452003</v>
      </c>
    </row>
    <row r="70" spans="1:2">
      <c r="A70" t="s">
        <v>1286</v>
      </c>
      <c r="B70" s="15">
        <v>510142789</v>
      </c>
    </row>
    <row r="71" spans="1:2">
      <c r="A71" t="s">
        <v>1287</v>
      </c>
      <c r="B71" s="15">
        <v>510960586</v>
      </c>
    </row>
    <row r="72" spans="1:2">
      <c r="A72" t="s">
        <v>1288</v>
      </c>
      <c r="B72" s="15">
        <v>510930670</v>
      </c>
    </row>
    <row r="73" spans="1:2">
      <c r="A73" t="s">
        <v>1289</v>
      </c>
      <c r="B73" s="15">
        <v>510927536</v>
      </c>
    </row>
    <row r="74" spans="1:2">
      <c r="A74" t="s">
        <v>1290</v>
      </c>
      <c r="B74" s="15">
        <v>510930654</v>
      </c>
    </row>
    <row r="75" spans="1:2">
      <c r="A75" t="s">
        <v>1291</v>
      </c>
      <c r="B75" s="15">
        <v>520032566</v>
      </c>
    </row>
    <row r="76" spans="1:2">
      <c r="A76" t="s">
        <v>1292</v>
      </c>
      <c r="B76" s="15">
        <v>513611509</v>
      </c>
    </row>
    <row r="77" spans="1:2">
      <c r="A77" t="s">
        <v>1293</v>
      </c>
      <c r="B77">
        <v>510888985</v>
      </c>
    </row>
    <row r="78" spans="1:2">
      <c r="A78" t="s">
        <v>1294</v>
      </c>
      <c r="B78">
        <v>520024647</v>
      </c>
    </row>
    <row r="79" spans="1:2">
      <c r="A79" t="s">
        <v>1295</v>
      </c>
      <c r="B79" s="15">
        <v>512244146</v>
      </c>
    </row>
    <row r="80" spans="1:2">
      <c r="A80" t="s">
        <v>1296</v>
      </c>
      <c r="B80" s="15">
        <v>510694821</v>
      </c>
    </row>
    <row r="81" spans="1:2">
      <c r="A81" t="s">
        <v>1297</v>
      </c>
      <c r="B81">
        <v>515761625</v>
      </c>
    </row>
    <row r="82" spans="1:2">
      <c r="A82" t="s">
        <v>1298</v>
      </c>
      <c r="B82" s="15">
        <v>511423048</v>
      </c>
    </row>
    <row r="83" spans="1:2">
      <c r="A83" t="s">
        <v>1299</v>
      </c>
      <c r="B83" s="15">
        <v>520019688</v>
      </c>
    </row>
    <row r="84" spans="1:2">
      <c r="A84" t="s">
        <v>1300</v>
      </c>
      <c r="B84">
        <v>520004896</v>
      </c>
    </row>
    <row r="85" spans="1:2">
      <c r="A85" t="s">
        <v>1301</v>
      </c>
      <c r="B85" s="15">
        <v>512237744</v>
      </c>
    </row>
    <row r="86" spans="1:2">
      <c r="A86" t="s">
        <v>1302</v>
      </c>
      <c r="B86" s="15">
        <v>514956465</v>
      </c>
    </row>
    <row r="87" spans="1:2">
      <c r="A87" t="s">
        <v>1303</v>
      </c>
      <c r="B87" s="15">
        <v>512362914</v>
      </c>
    </row>
    <row r="88" spans="1:2">
      <c r="A88" t="s">
        <v>1304</v>
      </c>
      <c r="B88" s="15">
        <v>520042615</v>
      </c>
    </row>
    <row r="89" spans="1:2">
      <c r="A89" t="s">
        <v>1305</v>
      </c>
      <c r="B89" s="15">
        <v>512065202</v>
      </c>
    </row>
    <row r="90" spans="1:2">
      <c r="A90" t="s">
        <v>1306</v>
      </c>
      <c r="B90">
        <v>520042540</v>
      </c>
    </row>
    <row r="91" spans="1:2">
      <c r="A91" t="s">
        <v>1307</v>
      </c>
      <c r="B91" s="15">
        <v>520027715</v>
      </c>
    </row>
    <row r="92" spans="1:2">
      <c r="A92" t="s">
        <v>1308</v>
      </c>
      <c r="B92" s="15">
        <v>512245812</v>
      </c>
    </row>
    <row r="93" spans="1:2">
      <c r="A93" t="s">
        <v>1309</v>
      </c>
      <c r="B93" s="15">
        <v>520022351</v>
      </c>
    </row>
    <row r="94" spans="1:2">
      <c r="A94" t="s">
        <v>1310</v>
      </c>
      <c r="B94" s="15">
        <v>514767490</v>
      </c>
    </row>
    <row r="95" spans="1:2">
      <c r="A95" t="s">
        <v>1311</v>
      </c>
      <c r="B95" s="15">
        <v>520024985</v>
      </c>
    </row>
    <row r="96" spans="1:2">
      <c r="A96" t="s">
        <v>1312</v>
      </c>
      <c r="B96" s="15">
        <v>520042573</v>
      </c>
    </row>
    <row r="97" spans="1:2">
      <c r="A97" t="s">
        <v>1313</v>
      </c>
      <c r="B97" s="15">
        <v>570009449</v>
      </c>
    </row>
    <row r="98" spans="1:2">
      <c r="A98" t="s">
        <v>1314</v>
      </c>
      <c r="B98" s="15">
        <v>520031659</v>
      </c>
    </row>
    <row r="99" spans="1:2">
      <c r="A99" t="s">
        <v>1315</v>
      </c>
      <c r="B99" s="15">
        <v>520042581</v>
      </c>
    </row>
    <row r="100" spans="1:2">
      <c r="A100" t="s">
        <v>1316</v>
      </c>
      <c r="B100">
        <v>520031030</v>
      </c>
    </row>
    <row r="101" spans="1:2">
      <c r="A101" t="s">
        <v>1317</v>
      </c>
      <c r="B101" s="15">
        <v>520030941</v>
      </c>
    </row>
    <row r="102" spans="1:2">
      <c r="A102" t="s">
        <v>1318</v>
      </c>
      <c r="B102" s="15">
        <v>512008335</v>
      </c>
    </row>
    <row r="103" spans="1:2">
      <c r="A103" t="s">
        <v>1319</v>
      </c>
      <c r="B103" s="15">
        <v>520022963</v>
      </c>
    </row>
    <row r="104" spans="1:2">
      <c r="A104" t="s">
        <v>1320</v>
      </c>
      <c r="B104" s="15">
        <v>570011767</v>
      </c>
    </row>
    <row r="105" spans="1:2">
      <c r="A105" t="s">
        <v>1321</v>
      </c>
      <c r="B105" s="15">
        <v>570014928</v>
      </c>
    </row>
    <row r="106" spans="1:2">
      <c r="A106" t="s">
        <v>1322</v>
      </c>
      <c r="B106" s="15">
        <v>570005959</v>
      </c>
    </row>
    <row r="107" spans="1:2">
      <c r="A107" t="s">
        <v>1323</v>
      </c>
      <c r="B107" s="15">
        <v>510800402</v>
      </c>
    </row>
    <row r="108" spans="1:2">
      <c r="A108" t="s">
        <v>1324</v>
      </c>
      <c r="B108" s="15">
        <v>570007476</v>
      </c>
    </row>
    <row r="109" spans="1:2">
      <c r="A109" t="s">
        <v>1325</v>
      </c>
      <c r="B109" s="15">
        <v>570005850</v>
      </c>
    </row>
    <row r="110" spans="1:2">
      <c r="A110" t="s">
        <v>1326</v>
      </c>
      <c r="B110" s="15">
        <v>520020504</v>
      </c>
    </row>
    <row r="111" spans="1:2">
      <c r="A111" t="s">
        <v>1327</v>
      </c>
      <c r="B111" s="15">
        <v>520020447</v>
      </c>
    </row>
    <row r="112" spans="1:2">
      <c r="A112" t="s">
        <v>1328</v>
      </c>
      <c r="B112" s="15">
        <v>511033060</v>
      </c>
    </row>
    <row r="113" spans="1:2">
      <c r="A113" t="s">
        <v>1329</v>
      </c>
      <c r="B113">
        <v>520027848</v>
      </c>
    </row>
    <row r="114" spans="1:2">
      <c r="A114" t="s">
        <v>1330</v>
      </c>
      <c r="B114" s="15">
        <v>570009852</v>
      </c>
    </row>
    <row r="115" spans="1:2">
      <c r="A115" t="s">
        <v>1331</v>
      </c>
      <c r="B115" s="15">
        <v>520027251</v>
      </c>
    </row>
    <row r="116" spans="1:2">
      <c r="A116" t="s">
        <v>1332</v>
      </c>
      <c r="B116" s="15">
        <v>520028390</v>
      </c>
    </row>
    <row r="117" spans="1:2">
      <c r="A117" t="s">
        <v>1333</v>
      </c>
      <c r="B117" s="15">
        <v>510806870</v>
      </c>
    </row>
    <row r="118" spans="1:2">
      <c r="A118" t="s">
        <v>1334</v>
      </c>
      <c r="B118">
        <v>513879189</v>
      </c>
    </row>
    <row r="119" spans="1:2">
      <c r="A119" t="s">
        <v>1335</v>
      </c>
      <c r="B119">
        <v>510015951</v>
      </c>
    </row>
    <row r="120" spans="1:2">
      <c r="A120" t="s">
        <v>1336</v>
      </c>
      <c r="B120" s="15">
        <v>520030693</v>
      </c>
    </row>
    <row r="121" spans="1:2">
      <c r="A121" t="s">
        <v>1337</v>
      </c>
      <c r="B121" s="15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Balat Noi</cp:lastModifiedBy>
  <cp:lastPrinted>2022-08-08T09:16:18Z</cp:lastPrinted>
  <dcterms:created xsi:type="dcterms:W3CDTF">2021-05-03T04:41:48Z</dcterms:created>
  <dcterms:modified xsi:type="dcterms:W3CDTF">2024-08-12T09:33:45Z</dcterms:modified>
</cp:coreProperties>
</file>