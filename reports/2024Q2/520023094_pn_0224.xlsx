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P:\p\מחלקת כספים\danel\2024\דוח נכסים רבעוני publuc\6-2024\"/>
    </mc:Choice>
  </mc:AlternateContent>
  <xr:revisionPtr revIDLastSave="0" documentId="8_{92F0AE9D-6379-4809-AA09-F09441C0C9A2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חוב'!$A$1:$AJ$79</definedName>
    <definedName name="_xlnm._FilterDatabase" localSheetId="31" hidden="1">'אפשרויות בחירה'!$A$1:$E$1040</definedName>
    <definedName name="_xlnm._FilterDatabase" localSheetId="30" hidden="1">'יתרות התחייבות להשקעה'!$A$1:$Q$91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השקעה'!$A$1:$Z$89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8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19" l="1"/>
  <c r="AA3" i="19"/>
  <c r="AA4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2" i="19"/>
  <c r="AA2" i="4"/>
  <c r="C30" i="2"/>
  <c r="D30" i="2"/>
  <c r="B30" i="2"/>
  <c r="E32" i="2" s="1"/>
  <c r="E26" i="2" l="1"/>
  <c r="E27" i="2"/>
  <c r="E23" i="2"/>
  <c r="E24" i="2"/>
  <c r="E19" i="2"/>
  <c r="E20" i="2"/>
  <c r="E15" i="2"/>
  <c r="E18" i="2"/>
  <c r="E7" i="2"/>
  <c r="E8" i="2"/>
  <c r="E9" i="2"/>
  <c r="E4" i="2"/>
  <c r="E6" i="2"/>
  <c r="E3" i="2"/>
  <c r="D13" i="38"/>
  <c r="E30" i="2" l="1"/>
  <c r="D15" i="38"/>
</calcChain>
</file>

<file path=xl/sharedStrings.xml><?xml version="1.0" encoding="utf-8"?>
<sst xmlns="http://schemas.openxmlformats.org/spreadsheetml/2006/main" count="11960" uniqueCount="2691">
  <si>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</si>
  <si>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</si>
  <si>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</si>
  <si>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</si>
  <si>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</si>
  <si>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</si>
  <si>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</si>
  <si>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</si>
  <si>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</si>
  <si>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</si>
  <si>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</si>
  <si>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</si>
  <si>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</si>
  <si>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</si>
  <si>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</si>
  <si>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</si>
  <si>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</si>
  <si>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</si>
  <si>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</si>
  <si>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</si>
  <si>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</si>
  <si>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</si>
  <si>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</si>
  <si>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</si>
  <si>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</si>
  <si>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</si>
  <si>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</si>
  <si>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</si>
  <si>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</si>
  <si>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</si>
  <si>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</si>
  <si>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</si>
  <si>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</si>
  <si>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</si>
  <si>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</si>
  <si>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</si>
  <si>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</si>
  <si>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</si>
  <si>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</si>
  <si>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</si>
  <si>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</si>
  <si>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</si>
  <si>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</si>
  <si>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</si>
  <si>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</si>
  <si>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</si>
  <si>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</si>
  <si>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</si>
  <si>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</si>
  <si>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</si>
  <si>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</si>
  <si>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</si>
  <si>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</si>
  <si>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</si>
  <si>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</si>
  <si>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</si>
  <si>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</si>
  <si>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</si>
  <si>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</si>
  <si>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</si>
  <si>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</si>
  <si>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</si>
  <si>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</si>
  <si>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</si>
  <si>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</si>
  <si>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</si>
  <si>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</si>
  <si>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</si>
  <si>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</si>
  <si>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</si>
  <si>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</si>
  <si>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</si>
  <si>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</si>
  <si>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</si>
  <si>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</si>
  <si>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</si>
  <si>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</si>
  <si>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</si>
  <si>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</si>
  <si>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</si>
  <si>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</si>
  <si>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</si>
  <si>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</si>
  <si>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</si>
  <si>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</si>
  <si>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</si>
  <si>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</si>
  <si>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</si>
  <si>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</si>
  <si>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</si>
  <si>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</si>
  <si>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</si>
  <si>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</si>
  <si>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</si>
  <si>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</si>
  <si>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</si>
  <si>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</si>
  <si>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</si>
  <si>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</si>
  <si>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</si>
  <si>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</si>
  <si>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</si>
  <si>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</si>
  <si>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</si>
  <si>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</si>
  <si>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</si>
  <si>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</si>
  <si>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</si>
  <si>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</si>
  <si>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</si>
  <si>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</si>
  <si>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</si>
  <si>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</si>
  <si>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</si>
  <si>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</si>
  <si>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</si>
  <si>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</si>
  <si>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</si>
  <si>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</si>
  <si>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</si>
  <si>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</si>
  <si>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</si>
  <si>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</si>
  <si>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</si>
  <si>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</si>
  <si>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</si>
  <si>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</si>
  <si>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</si>
  <si>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</si>
  <si>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</si>
  <si>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</si>
  <si>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</si>
  <si>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</si>
  <si>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</si>
  <si>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</si>
  <si>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</si>
  <si>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</si>
  <si>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</si>
  <si>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</si>
  <si>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</si>
  <si>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</si>
  <si>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</si>
  <si>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</si>
  <si>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</si>
  <si>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</si>
  <si>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</si>
  <si>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</si>
  <si>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</si>
  <si>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</si>
  <si>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</si>
  <si>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</si>
  <si>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</si>
  <si>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</si>
  <si>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</si>
  <si>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</si>
  <si>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</si>
  <si>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</si>
  <si>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</si>
  <si>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</si>
  <si>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</si>
  <si>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</si>
  <si>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</si>
  <si>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</si>
  <si>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</si>
  <si>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</si>
  <si>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</si>
  <si>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</si>
  <si>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</si>
  <si>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</si>
  <si>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</si>
  <si>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</si>
  <si>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</si>
  <si>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</si>
  <si>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</si>
  <si>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</si>
  <si>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</si>
  <si>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</si>
  <si>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</si>
  <si>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</si>
  <si>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</si>
  <si>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</si>
  <si>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</si>
  <si>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</si>
  <si>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</si>
  <si>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</si>
  <si>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</si>
  <si>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</si>
  <si>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</si>
  <si>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</si>
  <si>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</si>
  <si>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</si>
  <si>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</si>
  <si>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</si>
  <si>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</si>
  <si>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</si>
  <si>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</si>
  <si>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</si>
  <si>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</si>
  <si>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</si>
  <si>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</si>
  <si>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</si>
  <si>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</si>
  <si>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</si>
  <si>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</si>
  <si>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</si>
  <si>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</si>
  <si>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</si>
  <si>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</si>
  <si>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</si>
  <si>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</si>
  <si>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</si>
  <si>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</si>
  <si>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</si>
  <si>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</si>
  <si>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</si>
  <si>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</si>
  <si>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</si>
  <si>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</si>
  <si>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</si>
  <si>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</si>
  <si>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</si>
  <si>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</si>
  <si>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</si>
  <si>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</si>
  <si>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</si>
  <si>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</si>
  <si>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</si>
  <si>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</si>
  <si>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</si>
  <si>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</si>
  <si>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</si>
  <si>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</si>
  <si>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</si>
  <si>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</si>
  <si>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</si>
  <si>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</si>
  <si>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</si>
  <si>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</si>
  <si>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</si>
  <si>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</si>
  <si>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</si>
  <si>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</si>
  <si>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</si>
  <si>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</si>
  <si>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</si>
  <si>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</si>
  <si>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</si>
  <si>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</si>
  <si>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</si>
  <si>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</si>
  <si>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</si>
  <si>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</si>
  <si>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</si>
  <si>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</si>
  <si>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</si>
  <si>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</si>
  <si>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</si>
  <si>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</si>
  <si>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</si>
  <si>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</si>
  <si>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</si>
  <si>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</si>
  <si>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</si>
  <si>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</si>
  <si>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</si>
  <si>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</si>
  <si>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</si>
  <si>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</si>
  <si>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</si>
  <si>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</si>
  <si>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</si>
  <si>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</si>
  <si>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</si>
  <si>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</si>
  <si>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</si>
  <si>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</si>
  <si>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</si>
  <si>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</si>
  <si>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</si>
  <si>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</si>
  <si>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</si>
  <si>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</si>
  <si>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</si>
  <si>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</si>
  <si>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</si>
  <si>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</si>
  <si>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</si>
  <si>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</si>
  <si>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</si>
  <si>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</si>
  <si>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</si>
  <si>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</si>
  <si>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</si>
  <si>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</si>
  <si>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</si>
  <si>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</si>
  <si>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</si>
  <si>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</si>
  <si>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</si>
  <si>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</si>
  <si>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</si>
  <si>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</si>
  <si>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</si>
  <si>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</si>
  <si>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</si>
  <si>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</si>
  <si>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</si>
  <si>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</si>
  <si>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</si>
  <si>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</si>
  <si>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</si>
  <si>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</si>
  <si>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</si>
  <si>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</si>
  <si>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</si>
  <si>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</si>
  <si>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</si>
  <si>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</si>
  <si>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</si>
  <si>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</si>
  <si>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</si>
  <si>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</si>
  <si>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</si>
  <si>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</si>
  <si>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</si>
  <si>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</si>
  <si>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</si>
  <si>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</si>
  <si>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</si>
  <si>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</si>
  <si>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</si>
  <si>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</si>
  <si>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</si>
  <si>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</si>
  <si>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</si>
  <si>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</si>
  <si>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</si>
  <si>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</si>
  <si>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</si>
  <si>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</si>
  <si>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</si>
  <si>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</si>
  <si>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</si>
  <si>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</si>
  <si>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</si>
  <si>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</si>
  <si>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</si>
  <si>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</si>
  <si>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</si>
  <si>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</si>
  <si>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</si>
  <si>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</si>
  <si>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</si>
  <si>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</si>
  <si>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</si>
  <si>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</si>
  <si>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</si>
  <si>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</si>
  <si>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</si>
  <si>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</si>
  <si>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</si>
  <si>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</si>
  <si>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</si>
  <si>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</si>
  <si>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</si>
  <si>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</si>
  <si>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</si>
  <si>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</si>
  <si>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</si>
  <si>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</si>
  <si>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</si>
  <si>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</si>
  <si>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</si>
  <si>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</si>
  <si>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</si>
  <si>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</si>
  <si>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</si>
  <si>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</si>
  <si>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</si>
  <si>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</si>
  <si>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</si>
  <si>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</si>
  <si>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</si>
  <si>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</si>
  <si>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</si>
  <si>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</si>
  <si>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</si>
  <si>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</si>
  <si>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</si>
  <si>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</si>
  <si>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</si>
  <si>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</si>
  <si>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</si>
  <si>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</si>
  <si>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</si>
  <si>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</si>
  <si>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</si>
  <si>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</si>
  <si>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</si>
  <si>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</si>
  <si>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</si>
  <si>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</si>
  <si>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</si>
  <si>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</si>
  <si>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</si>
  <si>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</si>
  <si>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</si>
  <si>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</si>
  <si>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</si>
  <si>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</si>
  <si>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</si>
  <si>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</si>
  <si>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</si>
  <si>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</si>
  <si>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</si>
  <si>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</si>
  <si>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</si>
  <si>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</si>
  <si>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</si>
  <si>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</si>
  <si>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</si>
  <si>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</si>
  <si>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</si>
  <si>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</si>
  <si>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</si>
  <si>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</si>
  <si>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</si>
  <si>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</si>
  <si>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</si>
  <si>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</si>
  <si>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</si>
  <si>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</si>
  <si>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</si>
  <si>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</si>
  <si>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</si>
  <si>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</si>
  <si>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</si>
  <si>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</si>
  <si>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</si>
  <si>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</si>
  <si>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</si>
  <si>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</si>
  <si>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</si>
  <si>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</si>
  <si>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</si>
  <si>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</si>
  <si>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</si>
  <si>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</si>
  <si>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</si>
  <si>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</si>
  <si>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</si>
  <si>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</si>
  <si>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</si>
  <si>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</si>
  <si>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</si>
  <si>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</si>
  <si>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</si>
  <si>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</si>
  <si>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</si>
  <si>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</si>
  <si>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</si>
  <si>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</si>
  <si>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</si>
  <si>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</si>
  <si>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</si>
  <si>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</si>
  <si>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</si>
  <si>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</si>
  <si>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</si>
  <si>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</si>
  <si>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</si>
  <si>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</si>
  <si>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</si>
  <si>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</si>
  <si>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</si>
  <si>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</si>
  <si>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</si>
  <si>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</si>
  <si>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</si>
  <si>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</si>
  <si>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</si>
  <si>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</si>
  <si>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</si>
  <si>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</si>
  <si>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</si>
  <si>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</si>
  <si>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</si>
  <si>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</si>
  <si>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</si>
  <si>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</si>
  <si>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</si>
  <si>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</si>
  <si>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</si>
  <si>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</si>
  <si>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</si>
  <si>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</si>
  <si>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</si>
  <si>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</si>
  <si>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</si>
  <si>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</si>
  <si>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</si>
  <si>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</si>
  <si>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</si>
  <si>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</si>
  <si>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</si>
  <si>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</si>
  <si>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</si>
  <si>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</si>
  <si>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</si>
  <si>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</si>
  <si>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</si>
  <si>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</si>
  <si>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</si>
  <si>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</si>
  <si>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</si>
  <si>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</si>
  <si>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</si>
  <si>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</si>
  <si>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</si>
  <si>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</si>
  <si>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</si>
  <si>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</si>
  <si>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</si>
  <si>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</si>
  <si>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</si>
  <si>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</si>
  <si>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</si>
  <si>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</si>
  <si>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</si>
  <si>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</si>
  <si>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</si>
  <si>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</si>
  <si>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</si>
  <si>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</si>
  <si>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</si>
  <si>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</si>
  <si>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</si>
  <si>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</si>
  <si>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</si>
  <si>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</si>
  <si>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</si>
  <si>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</si>
  <si>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</si>
  <si>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</si>
  <si>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</si>
  <si>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</si>
  <si>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</si>
  <si>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</si>
  <si>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</si>
  <si>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</si>
  <si>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</si>
  <si>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</si>
  <si>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</si>
  <si>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</si>
  <si>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</si>
  <si>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</si>
  <si>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</si>
  <si>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</si>
  <si>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</si>
  <si>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</si>
  <si>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</si>
  <si>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</si>
  <si>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</si>
  <si>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</si>
  <si>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</si>
  <si>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</si>
  <si>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</si>
  <si>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</si>
  <si>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</si>
  <si>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</si>
  <si>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</si>
  <si>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</si>
  <si>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</si>
  <si>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</si>
  <si>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</si>
  <si>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</si>
  <si>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</si>
  <si>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</si>
  <si>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</si>
  <si>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</si>
  <si>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</si>
  <si>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</si>
  <si>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</si>
  <si>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</si>
  <si>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</si>
  <si>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</si>
  <si>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</si>
  <si>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</si>
  <si>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</si>
  <si>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</si>
  <si>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</si>
  <si>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</si>
  <si>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</si>
  <si>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</si>
  <si>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</si>
  <si>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</si>
  <si>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</si>
  <si>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</si>
  <si>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</si>
  <si>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</si>
  <si>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</si>
  <si>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</si>
  <si>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</si>
  <si>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</si>
  <si>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</si>
  <si>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</si>
  <si>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</si>
  <si>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</si>
  <si>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</si>
  <si>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</si>
  <si>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</si>
  <si>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</si>
  <si>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</si>
  <si>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</si>
  <si>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</si>
  <si>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</si>
  <si>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</si>
  <si>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</si>
  <si>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</si>
  <si>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</si>
  <si>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</si>
  <si>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</si>
  <si>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</si>
  <si>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</si>
  <si>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</si>
  <si>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</si>
  <si>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</si>
  <si>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</si>
  <si>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</si>
  <si>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</si>
  <si>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</si>
  <si>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</si>
  <si>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</si>
  <si>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</si>
  <si>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</si>
  <si>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</si>
  <si>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</si>
  <si>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</si>
  <si>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</si>
  <si>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</si>
  <si>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</si>
  <si>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</si>
  <si>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</si>
  <si>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</si>
  <si>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</si>
  <si>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</si>
  <si>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</si>
  <si>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</si>
  <si>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</si>
  <si>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</si>
  <si>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</si>
  <si>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</si>
  <si>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</si>
  <si>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</si>
  <si>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</si>
  <si>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</si>
  <si>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</si>
  <si>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</si>
  <si>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</si>
  <si>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</si>
  <si>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</si>
  <si>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</si>
  <si>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</si>
  <si>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</si>
  <si>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</si>
  <si>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</si>
  <si>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</si>
  <si>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</si>
  <si>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</si>
  <si>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</si>
  <si>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</si>
  <si>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</si>
  <si>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</si>
  <si>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</si>
  <si>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</si>
  <si>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</si>
  <si>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</si>
  <si>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</si>
  <si>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</si>
  <si>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</si>
  <si>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</si>
  <si>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</si>
  <si>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</si>
  <si>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</si>
  <si>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</si>
  <si>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</si>
  <si>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</si>
  <si>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</si>
  <si>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</si>
  <si>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</si>
  <si>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</si>
  <si>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</si>
  <si>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</si>
  <si>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</si>
  <si>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</si>
  <si>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</si>
  <si>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</si>
  <si>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</si>
  <si>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</si>
  <si>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</si>
  <si>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</si>
  <si>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</si>
  <si>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</si>
  <si>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</si>
  <si>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</si>
  <si>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</si>
  <si>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</si>
  <si>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</si>
  <si>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</si>
  <si>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</si>
  <si>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</si>
  <si>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</si>
  <si>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</si>
  <si>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</si>
  <si>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</si>
  <si>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</si>
  <si>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</si>
  <si>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</si>
  <si>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</si>
  <si>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</si>
  <si>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</si>
  <si>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</si>
  <si>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</si>
  <si>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</si>
  <si>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</si>
  <si>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</si>
  <si>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</si>
  <si>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</si>
  <si>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</si>
  <si>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</si>
  <si>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</si>
  <si>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</si>
  <si>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</si>
  <si>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</si>
  <si>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</si>
  <si>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</si>
  <si>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</si>
  <si>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</si>
  <si>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</si>
  <si>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</si>
  <si>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</si>
  <si>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</si>
  <si>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</si>
  <si>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</si>
  <si>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</si>
  <si>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</si>
  <si>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</si>
  <si>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</si>
  <si>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</si>
  <si>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</si>
  <si>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</si>
  <si>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</si>
  <si>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</si>
  <si>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</si>
  <si>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</si>
  <si>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</si>
  <si>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</si>
  <si>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</si>
  <si>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</si>
  <si>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</si>
  <si>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</si>
  <si>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</si>
  <si>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</si>
  <si>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</si>
  <si>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</si>
  <si>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</si>
  <si>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</si>
  <si>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</si>
  <si>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</si>
  <si>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</si>
  <si>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</si>
  <si>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</si>
  <si>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</si>
  <si>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</si>
  <si>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</si>
  <si>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</si>
  <si>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</si>
  <si>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</si>
  <si>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</si>
  <si>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</si>
  <si>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</si>
  <si>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</si>
  <si>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</si>
  <si>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</si>
  <si>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</si>
  <si>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</si>
  <si>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</si>
  <si>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</si>
  <si>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</si>
  <si>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</si>
  <si>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</si>
  <si>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</si>
  <si>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</si>
  <si>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</si>
  <si>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</si>
  <si>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</si>
  <si>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</si>
  <si>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</si>
  <si>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</si>
  <si>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</si>
  <si>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</si>
  <si>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</si>
  <si>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</si>
  <si>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</si>
  <si>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</si>
  <si>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</si>
  <si>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</si>
  <si>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</si>
  <si>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</si>
  <si>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</si>
  <si>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</si>
  <si>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</si>
  <si>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</si>
  <si>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</si>
  <si>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</si>
  <si>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</si>
  <si>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</si>
  <si>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</si>
  <si>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</si>
  <si>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</si>
  <si>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</si>
  <si>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</si>
  <si>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</si>
  <si>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</si>
  <si>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</si>
  <si>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</si>
  <si>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</si>
  <si>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</si>
  <si>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</si>
  <si>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</si>
  <si>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</si>
  <si>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</si>
  <si>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</si>
  <si>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</si>
  <si>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</si>
  <si>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</si>
  <si>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</si>
  <si>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</si>
  <si>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</si>
  <si>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</si>
  <si>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</si>
  <si>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</si>
  <si>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</si>
  <si>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</si>
  <si>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</si>
  <si>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</si>
  <si>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</si>
  <si>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</si>
  <si>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</si>
  <si>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</si>
  <si>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</si>
  <si>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</si>
  <si>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</si>
  <si>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</si>
  <si>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</si>
  <si>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</si>
  <si>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</si>
  <si>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</si>
  <si>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</si>
  <si>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</si>
  <si>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</si>
  <si>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</si>
  <si>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</si>
  <si>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</si>
  <si>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</si>
  <si>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</si>
  <si>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</si>
  <si>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</si>
  <si>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</si>
  <si>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</si>
  <si>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</si>
  <si>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</si>
  <si>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</si>
  <si>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</si>
  <si>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</si>
  <si>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</si>
  <si>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</si>
  <si>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</si>
  <si>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</si>
  <si>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</si>
  <si>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</si>
  <si>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</si>
  <si>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</si>
  <si>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</si>
  <si>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</si>
  <si>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</si>
  <si>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</si>
  <si>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</si>
  <si>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</si>
  <si>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</si>
  <si>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</si>
  <si>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</si>
  <si>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</si>
  <si>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</si>
  <si>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</si>
  <si>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</si>
  <si>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</si>
  <si>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</si>
  <si>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</si>
  <si>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</si>
  <si>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</si>
  <si>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</si>
  <si>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</si>
  <si>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</si>
  <si>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</si>
  <si>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</si>
  <si>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</si>
  <si>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</si>
  <si>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</si>
  <si>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</si>
  <si>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</si>
  <si>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</si>
  <si>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</si>
  <si>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</si>
  <si>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</si>
  <si>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</si>
  <si>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</si>
  <si>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</si>
  <si>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</si>
  <si>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</si>
  <si>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</si>
  <si>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</si>
  <si>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</si>
  <si>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</si>
  <si>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</si>
  <si>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</si>
  <si>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</si>
  <si>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</si>
  <si>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</si>
  <si>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</si>
  <si>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</si>
  <si>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</si>
  <si>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</si>
  <si>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</si>
  <si>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</si>
  <si>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</si>
  <si>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</si>
  <si>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</si>
  <si>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</si>
  <si>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</si>
  <si>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</si>
  <si>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</si>
  <si>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</si>
  <si>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</si>
  <si>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</si>
  <si>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</si>
  <si>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</si>
  <si>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</si>
  <si>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</si>
  <si>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</si>
  <si>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</si>
  <si>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</si>
  <si>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</si>
  <si>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</si>
  <si>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</si>
  <si>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</si>
  <si>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</si>
  <si>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</si>
  <si>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</si>
  <si>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</si>
  <si>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</si>
  <si>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</si>
  <si>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</si>
  <si>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</si>
  <si>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</si>
  <si>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</si>
  <si>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</si>
  <si>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</si>
  <si>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</si>
  <si>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</si>
  <si>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</si>
  <si>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</si>
  <si>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</si>
  <si>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</si>
  <si>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</si>
  <si>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</si>
  <si>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</si>
  <si>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</si>
  <si>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</si>
  <si>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</si>
  <si>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</si>
  <si>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</si>
  <si>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</si>
  <si>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</si>
  <si>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</si>
  <si>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</si>
  <si>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</si>
  <si>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</si>
  <si>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</si>
  <si>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</si>
  <si>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</si>
  <si>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</si>
  <si>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</si>
  <si>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</si>
  <si>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</si>
  <si>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</si>
  <si>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</si>
  <si>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</si>
  <si>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</si>
  <si>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</si>
  <si>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</si>
  <si>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</si>
  <si>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</si>
  <si>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</si>
  <si>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</si>
  <si>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</si>
  <si>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</si>
  <si>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</si>
  <si>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</si>
  <si>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</si>
  <si>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</si>
  <si>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</si>
  <si>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</si>
  <si>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</si>
  <si>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</si>
  <si>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</si>
  <si>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</si>
  <si>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</si>
  <si>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</si>
  <si>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</si>
  <si>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</si>
  <si>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</si>
  <si>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</si>
  <si>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</si>
  <si>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</si>
  <si>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</si>
  <si>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</si>
  <si>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</si>
  <si>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</si>
  <si>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</si>
  <si>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</si>
  <si>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</si>
  <si>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</si>
  <si>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</si>
  <si>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</si>
  <si>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</si>
  <si>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</si>
  <si>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</si>
  <si>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</si>
  <si>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</si>
  <si>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</si>
  <si>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</si>
  <si>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</si>
  <si>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</si>
  <si>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</si>
  <si>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</si>
  <si>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</si>
  <si>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</si>
  <si>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</si>
  <si>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</si>
  <si>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</si>
  <si>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</si>
  <si>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</si>
  <si>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</si>
  <si>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</si>
  <si>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</si>
  <si>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</si>
  <si>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</si>
  <si>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</si>
  <si>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</si>
  <si>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</si>
  <si>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</si>
  <si>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</si>
  <si>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</si>
  <si>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</si>
  <si>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</si>
  <si>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</si>
  <si>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</si>
  <si>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</si>
  <si>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</si>
  <si>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</si>
  <si>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</si>
  <si>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</si>
  <si>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</si>
  <si>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</si>
  <si>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</si>
  <si>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</si>
  <si>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</si>
  <si>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</si>
  <si>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</si>
  <si>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</si>
  <si>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</si>
  <si>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</si>
  <si>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</si>
  <si>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</si>
  <si>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</si>
  <si>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</si>
  <si>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</si>
  <si>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</si>
  <si>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</si>
  <si>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</si>
  <si>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</si>
  <si>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</si>
  <si>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</si>
  <si>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</si>
  <si>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</si>
  <si>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</si>
  <si>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</si>
  <si>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</si>
  <si>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</si>
  <si>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</si>
  <si>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</si>
  <si>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</si>
  <si>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</si>
  <si>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</si>
  <si>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</si>
  <si>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</si>
  <si>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</si>
  <si>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</si>
  <si>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</si>
  <si>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</si>
  <si>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</si>
  <si>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</si>
  <si>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</si>
  <si>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</si>
  <si>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</si>
  <si>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</si>
  <si>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</si>
  <si>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</si>
  <si>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</si>
  <si>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</si>
  <si>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</si>
  <si>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</si>
  <si>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</si>
  <si>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</si>
  <si>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</si>
  <si>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</si>
  <si>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</si>
  <si>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</si>
  <si>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</si>
  <si>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</si>
  <si>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</si>
  <si>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</si>
  <si>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</si>
  <si>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</si>
  <si>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</si>
  <si>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</si>
  <si>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</si>
  <si>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</si>
  <si>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</si>
  <si>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</si>
  <si>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</si>
  <si>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</si>
  <si>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</si>
  <si>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</si>
  <si>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</si>
  <si>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</si>
  <si>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</si>
  <si>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</si>
  <si>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</si>
  <si>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</si>
  <si>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</si>
  <si>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</si>
  <si>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</si>
  <si>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</si>
  <si>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</si>
  <si>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</si>
  <si>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</si>
  <si>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</si>
  <si>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</si>
  <si>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</si>
  <si>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</si>
  <si>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</si>
  <si>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</si>
  <si>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</si>
  <si>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</si>
  <si>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</si>
  <si>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</si>
  <si>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</si>
  <si>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</si>
  <si>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</si>
  <si>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</si>
  <si>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</si>
  <si>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</si>
  <si>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</si>
  <si>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</si>
  <si>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</si>
  <si>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</si>
  <si>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</si>
  <si>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</si>
  <si>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</si>
  <si>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</si>
  <si>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</si>
  <si>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</si>
  <si>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</si>
  <si>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</si>
  <si>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</si>
  <si>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</si>
  <si>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</si>
  <si>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</si>
  <si>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</si>
  <si>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</si>
  <si>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</si>
  <si>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</si>
  <si>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</si>
  <si>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</si>
  <si>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</si>
  <si>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</si>
  <si>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</si>
  <si>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</si>
  <si>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</si>
  <si>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</si>
  <si>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</si>
  <si>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</si>
  <si>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267</t>
  </si>
  <si>
    <t>בנק מזרחי</t>
  </si>
  <si>
    <t>20-515</t>
  </si>
  <si>
    <t>ilAAA</t>
  </si>
  <si>
    <t>ILS</t>
  </si>
  <si>
    <t>USD</t>
  </si>
  <si>
    <t>3.759</t>
  </si>
  <si>
    <t>EUR</t>
  </si>
  <si>
    <t>GBP</t>
  </si>
  <si>
    <t>CAD</t>
  </si>
  <si>
    <t>מדינת ישראל</t>
  </si>
  <si>
    <t>ממשל צמודה 1131</t>
  </si>
  <si>
    <t>1172220</t>
  </si>
  <si>
    <t>ilRF</t>
  </si>
  <si>
    <t>30/11/2031</t>
  </si>
  <si>
    <t>ממשל צמוד 0841</t>
  </si>
  <si>
    <t>1120583</t>
  </si>
  <si>
    <t>30/08/2041</t>
  </si>
  <si>
    <t>ממשל צמודה 1151</t>
  </si>
  <si>
    <t>1168301</t>
  </si>
  <si>
    <t>30/11/2051</t>
  </si>
  <si>
    <t>ממשלתי  צמוד 545</t>
  </si>
  <si>
    <t>1134865</t>
  </si>
  <si>
    <t>31/05/2045</t>
  </si>
  <si>
    <t>ממשל צמוד 0536</t>
  </si>
  <si>
    <t>1097708</t>
  </si>
  <si>
    <t>31/05/2036</t>
  </si>
  <si>
    <t>ממשל צמודה 1033</t>
  </si>
  <si>
    <t>1204379</t>
  </si>
  <si>
    <t>31/10/2033</t>
  </si>
  <si>
    <t>ממשלתי צמוד 1028</t>
  </si>
  <si>
    <t>1197326</t>
  </si>
  <si>
    <t>31/10/2028</t>
  </si>
  <si>
    <t>ממשל צמודה 529</t>
  </si>
  <si>
    <t>1157023</t>
  </si>
  <si>
    <t>31/05/2029</t>
  </si>
  <si>
    <t>ממשל צמוד 527</t>
  </si>
  <si>
    <t>1140847</t>
  </si>
  <si>
    <t>31/05/2027</t>
  </si>
  <si>
    <t>ממשל צמודה 0726</t>
  </si>
  <si>
    <t>1169564</t>
  </si>
  <si>
    <t>31/07/2026</t>
  </si>
  <si>
    <t>ממשל משתנה1130</t>
  </si>
  <si>
    <t>1166552</t>
  </si>
  <si>
    <t>29/11/2030</t>
  </si>
  <si>
    <t>ממשל שקלית0347</t>
  </si>
  <si>
    <t>1140193</t>
  </si>
  <si>
    <t>31/03/2047</t>
  </si>
  <si>
    <t>ממשל שקלית 0335</t>
  </si>
  <si>
    <t>1202332</t>
  </si>
  <si>
    <t>30/03/2035</t>
  </si>
  <si>
    <t>ממשל שקלית 1152</t>
  </si>
  <si>
    <t>1184076</t>
  </si>
  <si>
    <t>29/11/2025</t>
  </si>
  <si>
    <t>ממשל שקלי 0142</t>
  </si>
  <si>
    <t>1125400</t>
  </si>
  <si>
    <t>31/01/2042</t>
  </si>
  <si>
    <t>ISRAEL 5.5 03/12/2034</t>
  </si>
  <si>
    <t>us46514brl35</t>
  </si>
  <si>
    <t>A2</t>
  </si>
  <si>
    <t>12/03/2034</t>
  </si>
  <si>
    <t>ISRAEL 6.5 11/06/31</t>
  </si>
  <si>
    <t>XS2715285230</t>
  </si>
  <si>
    <t>A1</t>
  </si>
  <si>
    <t>06/11/2031</t>
  </si>
  <si>
    <t>ISRAEL 5.75 03/12/2054</t>
  </si>
  <si>
    <t>us46514brm18</t>
  </si>
  <si>
    <t>12/03/2054</t>
  </si>
  <si>
    <t>אמות השקעות בע"מ</t>
  </si>
  <si>
    <t>1328</t>
  </si>
  <si>
    <t>אמות אגח ז</t>
  </si>
  <si>
    <t>1162866</t>
  </si>
  <si>
    <t>נדלן מניב בישראל</t>
  </si>
  <si>
    <t>ilAA</t>
  </si>
  <si>
    <t>05/01/2032</t>
  </si>
  <si>
    <t>חברה לנכסים ולבנין בע"מ</t>
  </si>
  <si>
    <t>699</t>
  </si>
  <si>
    <t>נכסים אגח יא</t>
  </si>
  <si>
    <t>1205566</t>
  </si>
  <si>
    <t>ilA+</t>
  </si>
  <si>
    <t>24/12/2027</t>
  </si>
  <si>
    <t>שיכון ובינוי בע"מ</t>
  </si>
  <si>
    <t>1068</t>
  </si>
  <si>
    <t>שיכון ובינוי אגח  10</t>
  </si>
  <si>
    <t>1175132</t>
  </si>
  <si>
    <t>ilA</t>
  </si>
  <si>
    <t>30/04/2030</t>
  </si>
  <si>
    <t>בנק הפועלים בע"מ</t>
  </si>
  <si>
    <t>662</t>
  </si>
  <si>
    <t>פועלים  אגח 100</t>
  </si>
  <si>
    <t>6620488</t>
  </si>
  <si>
    <t>09/12/2031</t>
  </si>
  <si>
    <t>פסיפיק</t>
  </si>
  <si>
    <t>1662</t>
  </si>
  <si>
    <t>פסיפיק אגח ג</t>
  </si>
  <si>
    <t>1197680</t>
  </si>
  <si>
    <t>נדלן מניב בחו"ל</t>
  </si>
  <si>
    <t>30/06/2026</t>
  </si>
  <si>
    <t>אלוני חץ נכסים והשקעות בע"מ</t>
  </si>
  <si>
    <t>390</t>
  </si>
  <si>
    <t>אלוני חץ  יב</t>
  </si>
  <si>
    <t>3900495</t>
  </si>
  <si>
    <t>ilAA-</t>
  </si>
  <si>
    <t>28/02/2031</t>
  </si>
  <si>
    <t>שטראוס גרופ בע"מ</t>
  </si>
  <si>
    <t>746</t>
  </si>
  <si>
    <t>שטראוס אגח ו</t>
  </si>
  <si>
    <t>7460421</t>
  </si>
  <si>
    <t>ilAA+</t>
  </si>
  <si>
    <t>30/06/2037</t>
  </si>
  <si>
    <t>חברת גב ים  קרקעות בע"מ</t>
  </si>
  <si>
    <t>759</t>
  </si>
  <si>
    <t>גב ים     ח</t>
  </si>
  <si>
    <t>7590151</t>
  </si>
  <si>
    <t>30/06/2034</t>
  </si>
  <si>
    <t>מזרחי טפחות חברה להנפקות בע"מ</t>
  </si>
  <si>
    <t>231</t>
  </si>
  <si>
    <t>מז טפ הנ אגח 63</t>
  </si>
  <si>
    <t>2310548</t>
  </si>
  <si>
    <t>13/04/2031</t>
  </si>
  <si>
    <t>כללביט מימון בע"מ</t>
  </si>
  <si>
    <t>1324</t>
  </si>
  <si>
    <t>כללביט    יא ש</t>
  </si>
  <si>
    <t>1160647</t>
  </si>
  <si>
    <t>Aa3.il</t>
  </si>
  <si>
    <t>31/03/2030</t>
  </si>
  <si>
    <t>בנק לאומי לישראל בע"מ</t>
  </si>
  <si>
    <t>604</t>
  </si>
  <si>
    <t>לאומי אגח 184</t>
  </si>
  <si>
    <t>6040604</t>
  </si>
  <si>
    <t>05/05/2030</t>
  </si>
  <si>
    <t>בתי זיקוק לנפט בע"מ</t>
  </si>
  <si>
    <t>259</t>
  </si>
  <si>
    <t>בזן      אגח יב</t>
  </si>
  <si>
    <t>2590578</t>
  </si>
  <si>
    <t>25/09/2029</t>
  </si>
  <si>
    <t>מזרחי הנפק40</t>
  </si>
  <si>
    <t>2310167</t>
  </si>
  <si>
    <t>Aaa.il</t>
  </si>
  <si>
    <t>08/06/2025</t>
  </si>
  <si>
    <t>כללביט   אגח יב</t>
  </si>
  <si>
    <t>1179928</t>
  </si>
  <si>
    <t>31/03/2032</t>
  </si>
  <si>
    <t>או פי סי אנרגיה בע"מ</t>
  </si>
  <si>
    <t>1682</t>
  </si>
  <si>
    <t>או פי סי אגח ג</t>
  </si>
  <si>
    <t>1180355</t>
  </si>
  <si>
    <t>ilA-</t>
  </si>
  <si>
    <t>01/09/2030</t>
  </si>
  <si>
    <t>שיכון ובינוי אנרגיה בע"מ</t>
  </si>
  <si>
    <t>1930</t>
  </si>
  <si>
    <t>שוב אנרגיה אגחא</t>
  </si>
  <si>
    <t>1198571</t>
  </si>
  <si>
    <t>A3.il</t>
  </si>
  <si>
    <t>הראל ביטוח מימון והנפקות בע"מ</t>
  </si>
  <si>
    <t>1367</t>
  </si>
  <si>
    <t>הראל הנפק אגח ג</t>
  </si>
  <si>
    <t>1207984</t>
  </si>
  <si>
    <t>01/01/2034</t>
  </si>
  <si>
    <t>פז חברת הנפט בע"מ</t>
  </si>
  <si>
    <t>1363</t>
  </si>
  <si>
    <t>פז נפט    ח</t>
  </si>
  <si>
    <t>1162817</t>
  </si>
  <si>
    <t>שופרסל בע"מ</t>
  </si>
  <si>
    <t>777</t>
  </si>
  <si>
    <t>שופרסל    ז</t>
  </si>
  <si>
    <t>7770258</t>
  </si>
  <si>
    <t>20/08/2030</t>
  </si>
  <si>
    <t>בי קומיוניקיישנס  בע"מ</t>
  </si>
  <si>
    <t>1422</t>
  </si>
  <si>
    <t>בי קומיוניקיישנס בע"מ</t>
  </si>
  <si>
    <t>1178151</t>
  </si>
  <si>
    <t>30/11/2026</t>
  </si>
  <si>
    <t>אפי (אפריקה ישראל) נכסים בע"מ</t>
  </si>
  <si>
    <t>1172</t>
  </si>
  <si>
    <t>אפי נכסים י</t>
  </si>
  <si>
    <t>1160878</t>
  </si>
  <si>
    <t>A2.il</t>
  </si>
  <si>
    <t>30/03/2029</t>
  </si>
  <si>
    <t>איי.סי.אל. גרופ (כיל) בע"מ</t>
  </si>
  <si>
    <t>281</t>
  </si>
  <si>
    <t>איי.סי.אל. (כיל) אגח ז</t>
  </si>
  <si>
    <t>2810372</t>
  </si>
  <si>
    <t>31/12/2034</t>
  </si>
  <si>
    <t>שפיר הנדסה ותעשייה בע"מ</t>
  </si>
  <si>
    <t>1633</t>
  </si>
  <si>
    <t>שפיר הנדסה אגח ב</t>
  </si>
  <si>
    <t>1141951</t>
  </si>
  <si>
    <t>05/07/2030</t>
  </si>
  <si>
    <t>דור אלון אנרגיה בישראל(1988)בע"מ</t>
  </si>
  <si>
    <t>1072</t>
  </si>
  <si>
    <t>דור אלון  ז</t>
  </si>
  <si>
    <t>1157700</t>
  </si>
  <si>
    <t>30/09/2027</t>
  </si>
  <si>
    <t>אלוני חץ  ט</t>
  </si>
  <si>
    <t>3900354</t>
  </si>
  <si>
    <t>28/02/2027</t>
  </si>
  <si>
    <t>מגדל ביטוח גיוס הון בע"מ</t>
  </si>
  <si>
    <t>1597</t>
  </si>
  <si>
    <t>מגדל הון  אגח ח</t>
  </si>
  <si>
    <t>1182955</t>
  </si>
  <si>
    <t>A1.il</t>
  </si>
  <si>
    <t>דיסקונט מנפיקים בע"מ</t>
  </si>
  <si>
    <t>748</t>
  </si>
  <si>
    <t>אלביט מערכות בע"מ</t>
  </si>
  <si>
    <t>1040</t>
  </si>
  <si>
    <t>01/07/2029</t>
  </si>
  <si>
    <t>לאומי אגח 182</t>
  </si>
  <si>
    <t>6040539</t>
  </si>
  <si>
    <t>25/11/2027</t>
  </si>
  <si>
    <t>חברת החשמל לישראל בע"מ</t>
  </si>
  <si>
    <t>600</t>
  </si>
  <si>
    <t>חשמל      31</t>
  </si>
  <si>
    <t>6000285</t>
  </si>
  <si>
    <t>Aa1.il</t>
  </si>
  <si>
    <t>21/09/2031</t>
  </si>
  <si>
    <t>דיסקונט אגח טו</t>
  </si>
  <si>
    <t>7480304</t>
  </si>
  <si>
    <t>15/08/2032</t>
  </si>
  <si>
    <t>מקורות חברת מים בע"מ</t>
  </si>
  <si>
    <t>1150</t>
  </si>
  <si>
    <t>מקורות  אגח 11</t>
  </si>
  <si>
    <t>1158476</t>
  </si>
  <si>
    <t>שרותים</t>
  </si>
  <si>
    <t>31/12/2053</t>
  </si>
  <si>
    <t>פועלים אגח 201</t>
  </si>
  <si>
    <t>1191345</t>
  </si>
  <si>
    <t>29/11/2032</t>
  </si>
  <si>
    <t>אדמה פתרונות לחקלאות בע"מ</t>
  </si>
  <si>
    <t>1063</t>
  </si>
  <si>
    <t>אדמה אג"ח ב</t>
  </si>
  <si>
    <t>1110915</t>
  </si>
  <si>
    <t>30/11/2036</t>
  </si>
  <si>
    <t>מזרחי טפחות הנפקות 62</t>
  </si>
  <si>
    <t>2310498</t>
  </si>
  <si>
    <t>22/10/2028</t>
  </si>
  <si>
    <t>פועלים  אגח 203</t>
  </si>
  <si>
    <t>1199868</t>
  </si>
  <si>
    <t>02/12/2030</t>
  </si>
  <si>
    <t>קבוצת עזריאלי בע"מ</t>
  </si>
  <si>
    <t>1420</t>
  </si>
  <si>
    <t>עזריאלי אגח ה</t>
  </si>
  <si>
    <t>1156603</t>
  </si>
  <si>
    <t>30/06/2028</t>
  </si>
  <si>
    <t>ביג מרכזי קניות בע"מ</t>
  </si>
  <si>
    <t>1327</t>
  </si>
  <si>
    <t>ביג אגח ט</t>
  </si>
  <si>
    <t>1141050</t>
  </si>
  <si>
    <t>20/12/2026</t>
  </si>
  <si>
    <t>פועלים  אגח 200</t>
  </si>
  <si>
    <t>6620496</t>
  </si>
  <si>
    <t>אמות  אגח ו</t>
  </si>
  <si>
    <t>1158609</t>
  </si>
  <si>
    <t>03/10/2029</t>
  </si>
  <si>
    <t>חשמל אגח 34</t>
  </si>
  <si>
    <t>1196781</t>
  </si>
  <si>
    <t>12/06/2033</t>
  </si>
  <si>
    <t>מז טפ הנ אגח 66</t>
  </si>
  <si>
    <t>1191667</t>
  </si>
  <si>
    <t>08/12/2031</t>
  </si>
  <si>
    <t>איירפורט סיטי בע"מ</t>
  </si>
  <si>
    <t>1300</t>
  </si>
  <si>
    <t>איירפורט אגח ה</t>
  </si>
  <si>
    <t>1133487</t>
  </si>
  <si>
    <t>28/02/2029</t>
  </si>
  <si>
    <t>עזריאלי   ו</t>
  </si>
  <si>
    <t>1156611</t>
  </si>
  <si>
    <t>31/12/2032</t>
  </si>
  <si>
    <t>שיכון ובינוי אגח 8</t>
  </si>
  <si>
    <t>1135888</t>
  </si>
  <si>
    <t>01/05/2029</t>
  </si>
  <si>
    <t>עזריאלי   אגח ד</t>
  </si>
  <si>
    <t>1138650</t>
  </si>
  <si>
    <t>חשמל אגח  27</t>
  </si>
  <si>
    <t>6000210</t>
  </si>
  <si>
    <t>12/04/2029</t>
  </si>
  <si>
    <t>רבוע כחול נדל"ן בע"מ</t>
  </si>
  <si>
    <t>1349</t>
  </si>
  <si>
    <t>רבוע נדלן ו</t>
  </si>
  <si>
    <t>1140607</t>
  </si>
  <si>
    <t>ביג אגח כא</t>
  </si>
  <si>
    <t>1202217</t>
  </si>
  <si>
    <t>03/07/2030</t>
  </si>
  <si>
    <t>גזית גלוב בע"מ</t>
  </si>
  <si>
    <t>126</t>
  </si>
  <si>
    <t>גזית גלוב יב</t>
  </si>
  <si>
    <t>1260603</t>
  </si>
  <si>
    <t>30/06/2027</t>
  </si>
  <si>
    <t>מימון ישיר מקבוצת ישיר 2006 בע"מ</t>
  </si>
  <si>
    <t>1675</t>
  </si>
  <si>
    <t>מימון ישיר אגחה</t>
  </si>
  <si>
    <t>1182831</t>
  </si>
  <si>
    <t>31/07/2031</t>
  </si>
  <si>
    <t>לאומי 183</t>
  </si>
  <si>
    <t>6040547</t>
  </si>
  <si>
    <t>25/11/2029</t>
  </si>
  <si>
    <t>חשמל אגח 35</t>
  </si>
  <si>
    <t>1196799</t>
  </si>
  <si>
    <t>12/06/2037</t>
  </si>
  <si>
    <t>100</t>
  </si>
  <si>
    <t>אפי נכסיםסדרה יג</t>
  </si>
  <si>
    <t>1178292</t>
  </si>
  <si>
    <t>אלרוב נדל"ן ומלונאות בע"מ</t>
  </si>
  <si>
    <t>387</t>
  </si>
  <si>
    <t>אלרוב נדל"ן אגח ו'</t>
  </si>
  <si>
    <t>3870185</t>
  </si>
  <si>
    <t>01/10/2027</t>
  </si>
  <si>
    <t>מבנה נדלן כ.ד. (מבני תעשיה) בע"מ</t>
  </si>
  <si>
    <t>226</t>
  </si>
  <si>
    <t>מבנה (מבני תעשיה) אגח 20</t>
  </si>
  <si>
    <t>2260495</t>
  </si>
  <si>
    <t>Aa2.il</t>
  </si>
  <si>
    <t>31/12/2029</t>
  </si>
  <si>
    <t>עזריאלי אגח ח</t>
  </si>
  <si>
    <t>1178680</t>
  </si>
  <si>
    <t>02/01/2041</t>
  </si>
  <si>
    <t>מזרחי הנפק49</t>
  </si>
  <si>
    <t>2310282</t>
  </si>
  <si>
    <t>23/06/2026</t>
  </si>
  <si>
    <t>מזרחי הנפק52</t>
  </si>
  <si>
    <t>2310381</t>
  </si>
  <si>
    <t>01/07/2030</t>
  </si>
  <si>
    <t>מליסרון בע"מ</t>
  </si>
  <si>
    <t>323</t>
  </si>
  <si>
    <t>מליסרון אגח  יא</t>
  </si>
  <si>
    <t>3230208</t>
  </si>
  <si>
    <t>10/07/2025</t>
  </si>
  <si>
    <t>קיסטו ריט בע"מ</t>
  </si>
  <si>
    <t>1904</t>
  </si>
  <si>
    <t>קיסטון ריט אגח א</t>
  </si>
  <si>
    <t>1182187</t>
  </si>
  <si>
    <t>31/12/2031</t>
  </si>
  <si>
    <t>מליסרון אגח יז</t>
  </si>
  <si>
    <t>3230273</t>
  </si>
  <si>
    <t>01/01/2032</t>
  </si>
  <si>
    <t>מליסרון אגח כ</t>
  </si>
  <si>
    <t>3230422</t>
  </si>
  <si>
    <t>מזרחי הנפק46</t>
  </si>
  <si>
    <t>2310225</t>
  </si>
  <si>
    <t>28/09/2027</t>
  </si>
  <si>
    <t>עזריאלי  אגח ז</t>
  </si>
  <si>
    <t>1178672</t>
  </si>
  <si>
    <t>02/07/2036</t>
  </si>
  <si>
    <t>מז טפ הנ אגח 64</t>
  </si>
  <si>
    <t>2310555</t>
  </si>
  <si>
    <t>גב ים     ט</t>
  </si>
  <si>
    <t>7590219</t>
  </si>
  <si>
    <t>30/06/2033</t>
  </si>
  <si>
    <t>ג'נריישן קפיטל בע"מ</t>
  </si>
  <si>
    <t>1769</t>
  </si>
  <si>
    <t>ג'נרישן קפ אגח ב</t>
  </si>
  <si>
    <t>1177526</t>
  </si>
  <si>
    <t>30/06/2031</t>
  </si>
  <si>
    <t>בזק החברה הישראלית לתקשורת בע"מ</t>
  </si>
  <si>
    <t>230</t>
  </si>
  <si>
    <t>בזק  12</t>
  </si>
  <si>
    <t>2300242</t>
  </si>
  <si>
    <t>02/06/2030</t>
  </si>
  <si>
    <t>אפי נכסים אגח ח</t>
  </si>
  <si>
    <t>1142231</t>
  </si>
  <si>
    <t>15/10/2026</t>
  </si>
  <si>
    <t>נכסים ובנין אגח י'</t>
  </si>
  <si>
    <t>1193630</t>
  </si>
  <si>
    <t>אמות      אגח ח</t>
  </si>
  <si>
    <t>1172782</t>
  </si>
  <si>
    <t>ביג  אגח יח</t>
  </si>
  <si>
    <t>1174226</t>
  </si>
  <si>
    <t>30/03/2031</t>
  </si>
  <si>
    <t>מגה אור החזקות בע"מ</t>
  </si>
  <si>
    <t>1450</t>
  </si>
  <si>
    <t>מגה אור   ח</t>
  </si>
  <si>
    <t>1147602</t>
  </si>
  <si>
    <t>31/03/2027</t>
  </si>
  <si>
    <t>מבנה אגח כה</t>
  </si>
  <si>
    <t>2260636</t>
  </si>
  <si>
    <t>30/09/2033</t>
  </si>
  <si>
    <t>מגה אור   ו</t>
  </si>
  <si>
    <t>1138668</t>
  </si>
  <si>
    <t>אלון ריבוע כחול ישראל בע"מ</t>
  </si>
  <si>
    <t>2063</t>
  </si>
  <si>
    <t>אלון רבוע אגח ז</t>
  </si>
  <si>
    <t>1183979</t>
  </si>
  <si>
    <t>סלע קפיטל נדלן בע"מ</t>
  </si>
  <si>
    <t>1514</t>
  </si>
  <si>
    <t>סלע נדלן אגח ג</t>
  </si>
  <si>
    <t>1138973</t>
  </si>
  <si>
    <t>13/04/2029</t>
  </si>
  <si>
    <t>אלדן תחבורה בע"מ</t>
  </si>
  <si>
    <t>1636</t>
  </si>
  <si>
    <t>אלדן תחבו אגח ז</t>
  </si>
  <si>
    <t>1184779</t>
  </si>
  <si>
    <t>מימון ישיר אגח ו חסום עד 12.03.2024</t>
  </si>
  <si>
    <t>1191659</t>
  </si>
  <si>
    <t>01/12/2030</t>
  </si>
  <si>
    <t>קבוצת דלק בע"מ</t>
  </si>
  <si>
    <t>0</t>
  </si>
  <si>
    <t>נובה מכשירי מדידה בע"מ</t>
  </si>
  <si>
    <t>2177</t>
  </si>
  <si>
    <t>נובה</t>
  </si>
  <si>
    <t>1084557</t>
  </si>
  <si>
    <t>טבע תעשיות פרמצבטיות בע"מ</t>
  </si>
  <si>
    <t>629</t>
  </si>
  <si>
    <t>טבע</t>
  </si>
  <si>
    <t>629014</t>
  </si>
  <si>
    <t>פועלים</t>
  </si>
  <si>
    <t>662577</t>
  </si>
  <si>
    <t>לאומי</t>
  </si>
  <si>
    <t>604611</t>
  </si>
  <si>
    <t>בנק דיסקונט לישראל בע"מ</t>
  </si>
  <si>
    <t>691</t>
  </si>
  <si>
    <t>דיסקונט</t>
  </si>
  <si>
    <t>691212</t>
  </si>
  <si>
    <t>בנק מזרחי טפחות בע"מ</t>
  </si>
  <si>
    <t>695</t>
  </si>
  <si>
    <t>מזרחי טפחות</t>
  </si>
  <si>
    <t>695437</t>
  </si>
  <si>
    <t>נייס בע"מ</t>
  </si>
  <si>
    <t>273</t>
  </si>
  <si>
    <t>נייס</t>
  </si>
  <si>
    <t>273011</t>
  </si>
  <si>
    <t>טאואר סמיקונדקטור בע"מ</t>
  </si>
  <si>
    <t>2028</t>
  </si>
  <si>
    <t>טאואר</t>
  </si>
  <si>
    <t>1082379</t>
  </si>
  <si>
    <t>קמטק בע"מ</t>
  </si>
  <si>
    <t>2174</t>
  </si>
  <si>
    <t>קמטק</t>
  </si>
  <si>
    <t>1095264</t>
  </si>
  <si>
    <t>אלומה קרן תשתיות (2020)בע"מ</t>
  </si>
  <si>
    <t>1978</t>
  </si>
  <si>
    <t>אלומה תשתיות</t>
  </si>
  <si>
    <t>1181643</t>
  </si>
  <si>
    <t>בזק</t>
  </si>
  <si>
    <t>230011</t>
  </si>
  <si>
    <t>אנרג'יאן פי אל סי</t>
  </si>
  <si>
    <t>1762</t>
  </si>
  <si>
    <t>אנרג'יאן</t>
  </si>
  <si>
    <t>1155290</t>
  </si>
  <si>
    <t>אנלייט אנרגיה מתחדשת בע"מ</t>
  </si>
  <si>
    <t>720</t>
  </si>
  <si>
    <t>אנלייט אנרגיה</t>
  </si>
  <si>
    <t>720011</t>
  </si>
  <si>
    <t>אלביט מערכות</t>
  </si>
  <si>
    <t>1081124</t>
  </si>
  <si>
    <t>הראל השקעות בביטוח ושירותים פיננסיים בע"מ</t>
  </si>
  <si>
    <t>585</t>
  </si>
  <si>
    <t>הראל השקעות</t>
  </si>
  <si>
    <t>585018</t>
  </si>
  <si>
    <t>1095</t>
  </si>
  <si>
    <t>דלק קבוצה</t>
  </si>
  <si>
    <t>1084128</t>
  </si>
  <si>
    <t>כלל אחזקות עסקי ביטוח בע"מ</t>
  </si>
  <si>
    <t>224</t>
  </si>
  <si>
    <t>כלל עסקי ביטוח</t>
  </si>
  <si>
    <t>224014</t>
  </si>
  <si>
    <t>אורמת טכנולוגיות,אינק</t>
  </si>
  <si>
    <t>2250</t>
  </si>
  <si>
    <t>אורמת טכנו</t>
  </si>
  <si>
    <t>1134402</t>
  </si>
  <si>
    <t>ביג</t>
  </si>
  <si>
    <t>1097260</t>
  </si>
  <si>
    <t>רבוע נדלן</t>
  </si>
  <si>
    <t>1098565</t>
  </si>
  <si>
    <t>דלתא-גליל תעשיות בע"מ</t>
  </si>
  <si>
    <t>627</t>
  </si>
  <si>
    <t>דלתא</t>
  </si>
  <si>
    <t>627034</t>
  </si>
  <si>
    <t>מטריקס אי.טי. בע"מ</t>
  </si>
  <si>
    <t>445</t>
  </si>
  <si>
    <t>מטריקס</t>
  </si>
  <si>
    <t>445015</t>
  </si>
  <si>
    <t>מניבים קרן הריט החדשה בע"מ</t>
  </si>
  <si>
    <t>1679</t>
  </si>
  <si>
    <t>מניבים ריט</t>
  </si>
  <si>
    <t>1140573</t>
  </si>
  <si>
    <t>הבנק הבינלאומי הראשון לישראל בע"מ</t>
  </si>
  <si>
    <t>593</t>
  </si>
  <si>
    <t>בינלאומי</t>
  </si>
  <si>
    <t>593038</t>
  </si>
  <si>
    <t>סלקום ישראל בע"מ</t>
  </si>
  <si>
    <t>2066</t>
  </si>
  <si>
    <t>סלקום</t>
  </si>
  <si>
    <t>1101534</t>
  </si>
  <si>
    <t>עזריאלי קבוצה</t>
  </si>
  <si>
    <t>1119478</t>
  </si>
  <si>
    <t>איי.סי.אל. (כיל)</t>
  </si>
  <si>
    <t>281014</t>
  </si>
  <si>
    <t>סאמיט אחזקות נדל"ן בע"מ</t>
  </si>
  <si>
    <t>1060</t>
  </si>
  <si>
    <t>סאמיט</t>
  </si>
  <si>
    <t>1081686</t>
  </si>
  <si>
    <t>בזן</t>
  </si>
  <si>
    <t>2590248</t>
  </si>
  <si>
    <t>ריט 1 בע"מ</t>
  </si>
  <si>
    <t>1357</t>
  </si>
  <si>
    <t>ריט 1</t>
  </si>
  <si>
    <t>1098920</t>
  </si>
  <si>
    <t>FACEBOOK INC</t>
  </si>
  <si>
    <t>90042</t>
  </si>
  <si>
    <t>META US -META PLATFORMS INC-CLASS A</t>
  </si>
  <si>
    <t>US30303M1027</t>
  </si>
  <si>
    <t>NVIDIA CORP</t>
  </si>
  <si>
    <t>90057</t>
  </si>
  <si>
    <t>NVDA US -NVIDIA CORP</t>
  </si>
  <si>
    <t>US67066G1040</t>
  </si>
  <si>
    <t>MICROSOFT</t>
  </si>
  <si>
    <t>90052</t>
  </si>
  <si>
    <t>MSFT US -MICROSOFT CORP</t>
  </si>
  <si>
    <t>US5949181045</t>
  </si>
  <si>
    <t>APPLE INC</t>
  </si>
  <si>
    <t>90112</t>
  </si>
  <si>
    <t>AAPL US -APPLE INC</t>
  </si>
  <si>
    <t>US0378331005</t>
  </si>
  <si>
    <t>ALPHABET INC-CL A</t>
  </si>
  <si>
    <t>90054</t>
  </si>
  <si>
    <t>GOOGL US -ALPHABET INC-CL A</t>
  </si>
  <si>
    <t>US02079K3059</t>
  </si>
  <si>
    <t>AMAZON.COM INC</t>
  </si>
  <si>
    <t>90055</t>
  </si>
  <si>
    <t>AMZN US -AMAZON.COM INC</t>
  </si>
  <si>
    <t>US0231351067</t>
  </si>
  <si>
    <t>ADOBE INC</t>
  </si>
  <si>
    <t>90056</t>
  </si>
  <si>
    <t>ADBE US -ADOBE INC</t>
  </si>
  <si>
    <t>US00724F1012</t>
  </si>
  <si>
    <t>IBI Lion SA Sociedad Unip</t>
  </si>
  <si>
    <t>90225</t>
  </si>
  <si>
    <t>YIBI SM -IBI LION SOCIMI</t>
  </si>
  <si>
    <t>ES0105633004</t>
  </si>
  <si>
    <t>ROYAL DUTCH SHELL PLC</t>
  </si>
  <si>
    <t>90130</t>
  </si>
  <si>
    <t>RDSA LN -SHELL PLC</t>
  </si>
  <si>
    <t>GB00B03MLX29</t>
  </si>
  <si>
    <t>Berkshire Hathaway Inc</t>
  </si>
  <si>
    <t>90220</t>
  </si>
  <si>
    <t>BRK/B US -BERKSHIRE HATHAWAY INC-CL B</t>
  </si>
  <si>
    <t>US0846707026</t>
  </si>
  <si>
    <t>VISA   Inc</t>
  </si>
  <si>
    <t>90049</t>
  </si>
  <si>
    <t>V US -VISA INC-CLASS A SHARES</t>
  </si>
  <si>
    <t>US92826C8394</t>
  </si>
  <si>
    <t>UBER TECHNOLOGIES,INC</t>
  </si>
  <si>
    <t>90221</t>
  </si>
  <si>
    <t>UBER US -UBER TECHNOLOGIES INC</t>
  </si>
  <si>
    <t>US90353T1007</t>
  </si>
  <si>
    <t>Walmartn  Inc</t>
  </si>
  <si>
    <t>90088</t>
  </si>
  <si>
    <t>WMT US -WALMART INC</t>
  </si>
  <si>
    <t>US9311421039</t>
  </si>
  <si>
    <t>Palo Alto Networks Inc</t>
  </si>
  <si>
    <t>90230</t>
  </si>
  <si>
    <t>PANW US -PALO ALTO NETWORKS INC</t>
  </si>
  <si>
    <t>US6974351057</t>
  </si>
  <si>
    <t>Costco Wholesale Corp</t>
  </si>
  <si>
    <t>90125</t>
  </si>
  <si>
    <t>COST US Costco Wholesale Corp</t>
  </si>
  <si>
    <t>US22160K1051</t>
  </si>
  <si>
    <t>MCKESSON CORP</t>
  </si>
  <si>
    <t>90119</t>
  </si>
  <si>
    <t>MCK US -MCKESSON CORP</t>
  </si>
  <si>
    <t>US58155Q1031</t>
  </si>
  <si>
    <t>iShares - BlackRock Inc</t>
  </si>
  <si>
    <t>90127</t>
  </si>
  <si>
    <t>GE US -GENERAL ELECTRIC CO</t>
  </si>
  <si>
    <t>US3696043013</t>
  </si>
  <si>
    <t>exxon mobil corp</t>
  </si>
  <si>
    <t>90246</t>
  </si>
  <si>
    <t>XOM US -EXXON MOBIL CORP</t>
  </si>
  <si>
    <t>US30231G1022</t>
  </si>
  <si>
    <t>FREEFORT-MCMORAN INC</t>
  </si>
  <si>
    <t>90100</t>
  </si>
  <si>
    <t>FCX US -FREEPORT-MCMORAN INC</t>
  </si>
  <si>
    <t>US35671D8570</t>
  </si>
  <si>
    <t>ASML Holding NV</t>
  </si>
  <si>
    <t>90235</t>
  </si>
  <si>
    <t>ASML US -ASML HOLDING NV-NY REG SHS</t>
  </si>
  <si>
    <t>USN070592100</t>
  </si>
  <si>
    <t>BOEING CO</t>
  </si>
  <si>
    <t>90061</t>
  </si>
  <si>
    <t>BA US -BOEING CO/THE</t>
  </si>
  <si>
    <t>US0970231058</t>
  </si>
  <si>
    <t>Taiwan Semiconductor manufacturing company</t>
  </si>
  <si>
    <t>90227</t>
  </si>
  <si>
    <t>TSM US -TAIWAN SEMICONDUCTOR-SP ADR</t>
  </si>
  <si>
    <t>US8740391003</t>
  </si>
  <si>
    <t>Linde PLC</t>
  </si>
  <si>
    <t>94194</t>
  </si>
  <si>
    <t>IE00S9YS762</t>
  </si>
  <si>
    <t>Mastercard Inc</t>
  </si>
  <si>
    <t>90191</t>
  </si>
  <si>
    <t>MA US Mastercard Inc</t>
  </si>
  <si>
    <t>US57636Q1040</t>
  </si>
  <si>
    <t>unitedhealth th group incorporated</t>
  </si>
  <si>
    <t>90242</t>
  </si>
  <si>
    <t>UNH US -UNITEDHEALTH GROUP INC</t>
  </si>
  <si>
    <t>us91324p1021</t>
  </si>
  <si>
    <t>TESLA INC</t>
  </si>
  <si>
    <t>90215</t>
  </si>
  <si>
    <t>TSLA US -TESLA INC</t>
  </si>
  <si>
    <t>US88160R1014</t>
  </si>
  <si>
    <t>walt disney co/the</t>
  </si>
  <si>
    <t>90069</t>
  </si>
  <si>
    <t>DIS US -WALT DISNEY CO/THE</t>
  </si>
  <si>
    <t>US2546871060</t>
  </si>
  <si>
    <t>JPMorgan Chase &amp; Co</t>
  </si>
  <si>
    <t>90126</t>
  </si>
  <si>
    <t>JPM US JPMorgan Chase &amp; Co</t>
  </si>
  <si>
    <t>US46625H1005</t>
  </si>
  <si>
    <t>DELTA AIR LINES INC</t>
  </si>
  <si>
    <t>90097</t>
  </si>
  <si>
    <t>DAL US -DELTA AIR LINES INC</t>
  </si>
  <si>
    <t>US2473617023</t>
  </si>
  <si>
    <t>wells fargo &amp; co</t>
  </si>
  <si>
    <t>90228</t>
  </si>
  <si>
    <t>WFC US -WELLS FARGO &amp; CO</t>
  </si>
  <si>
    <t>US9497461015</t>
  </si>
  <si>
    <t>Oracle Corp</t>
  </si>
  <si>
    <t>94195</t>
  </si>
  <si>
    <t>us68389x1054</t>
  </si>
  <si>
    <t>INTUIT INC</t>
  </si>
  <si>
    <t>90123</t>
  </si>
  <si>
    <t>INTU US Intuit Inc</t>
  </si>
  <si>
    <t>US4612021034</t>
  </si>
  <si>
    <t>NIKE INC</t>
  </si>
  <si>
    <t>90082</t>
  </si>
  <si>
    <t>NKE US -NIKE INC -CL B</t>
  </si>
  <si>
    <t>US6541061031</t>
  </si>
  <si>
    <t>הראל קרנות נאמנות בע"מ</t>
  </si>
  <si>
    <t>1747</t>
  </si>
  <si>
    <t>הראל מחקה תא 90</t>
  </si>
  <si>
    <t>5130638</t>
  </si>
  <si>
    <t>פסגות קרנות נאמנות בע"מ</t>
  </si>
  <si>
    <t>1750</t>
  </si>
  <si>
    <t>PTF ת"א 90</t>
  </si>
  <si>
    <t>5130919</t>
  </si>
  <si>
    <t>PTF ת"א 35</t>
  </si>
  <si>
    <t>5130687</t>
  </si>
  <si>
    <t>מיטב תכלית קרנות נאמנות בע"מ</t>
  </si>
  <si>
    <t>1734</t>
  </si>
  <si>
    <t>תכלית סל תא נפט וגז</t>
  </si>
  <si>
    <t>1144807</t>
  </si>
  <si>
    <t>מגדל קרנות נאמנות בע"מ</t>
  </si>
  <si>
    <t>1735</t>
  </si>
  <si>
    <t>מגדל סל MTF S&amp;P500</t>
  </si>
  <si>
    <t>1150333</t>
  </si>
  <si>
    <t>אי.בי.אי. קונסיומר קרדיט שמ</t>
  </si>
  <si>
    <t>90013</t>
  </si>
  <si>
    <t>אי בי אי מחקה Shiller Barclays CAPE® US Core Mid-M</t>
  </si>
  <si>
    <t>5130737</t>
  </si>
  <si>
    <t>תכלית סל  EUROSTOXX600</t>
  </si>
  <si>
    <t>1144724</t>
  </si>
  <si>
    <t>קסם קרנות נאמנות בע"מ</t>
  </si>
  <si>
    <t>1733</t>
  </si>
  <si>
    <t>קסם Morningstar Wide Moat Focus ETF</t>
  </si>
  <si>
    <t>1147032</t>
  </si>
  <si>
    <t>קסם קרן סל ניקיי225 שקלי</t>
  </si>
  <si>
    <t>1145945</t>
  </si>
  <si>
    <t>תכלית סל RUSSEL2000</t>
  </si>
  <si>
    <t>1144484</t>
  </si>
  <si>
    <t>תכלית סל נאסדק ביוטכנולוגיה</t>
  </si>
  <si>
    <t>1144526</t>
  </si>
  <si>
    <t>תכלית סל PHLX Semiconductor Sector</t>
  </si>
  <si>
    <t>1170703</t>
  </si>
  <si>
    <t>מור סל</t>
  </si>
  <si>
    <t>1799</t>
  </si>
  <si>
    <t>מור סל S&amp;P 500 מנוטרלת מטח</t>
  </si>
  <si>
    <t>1165828</t>
  </si>
  <si>
    <t>State Street Bank and Trust Company</t>
  </si>
  <si>
    <t>90002</t>
  </si>
  <si>
    <t>XLF US -FINANCIAL SELECT SECTOR SPDR</t>
  </si>
  <si>
    <t>US81369Y6059</t>
  </si>
  <si>
    <t>invesco LTD</t>
  </si>
  <si>
    <t>90195</t>
  </si>
  <si>
    <t>RSPT US -INVESCO S&amp;P 500 EQUAL WEIGHT</t>
  </si>
  <si>
    <t>us46137v2824</t>
  </si>
  <si>
    <t>IWP US iShares Russell Mid-Cap Growth</t>
  </si>
  <si>
    <t>US4642874816</t>
  </si>
  <si>
    <t>ishares- BlackRock Fund Adv</t>
  </si>
  <si>
    <t>90001</t>
  </si>
  <si>
    <t>IGV US -ISHARES EXPANDED TECH-SOFTWA</t>
  </si>
  <si>
    <t>us4642875151</t>
  </si>
  <si>
    <t>LYXOR INDEX FUND</t>
  </si>
  <si>
    <t>90212</t>
  </si>
  <si>
    <t>BNK FP -LYXOR EURSTX600 BANKS</t>
  </si>
  <si>
    <t>LU1834983477</t>
  </si>
  <si>
    <t>VANGUARD Group InC</t>
  </si>
  <si>
    <t>90252</t>
  </si>
  <si>
    <t>VANGURUARD INFO</t>
  </si>
  <si>
    <t>US92204A7028</t>
  </si>
  <si>
    <t>90213</t>
  </si>
  <si>
    <t>EWJ US -ISHARES MSCI JAPAN ETF</t>
  </si>
  <si>
    <t>US46434G8226</t>
  </si>
  <si>
    <t>Vanguard Group</t>
  </si>
  <si>
    <t>90085</t>
  </si>
  <si>
    <t>VYM US -VANGUARD HIGH DVD YIELD ETF</t>
  </si>
  <si>
    <t>us9219464065</t>
  </si>
  <si>
    <t>XLV US -HEALTH CARE SELECT SECTOR</t>
  </si>
  <si>
    <t>US81369Y2090</t>
  </si>
  <si>
    <t>STATE STREET BANK AND TRUST COMPANY</t>
  </si>
  <si>
    <t>90241</t>
  </si>
  <si>
    <t>XLI US -INDUSTRIAL SELECT SECT SPDR</t>
  </si>
  <si>
    <t>US81369Y7040</t>
  </si>
  <si>
    <t>vanguard</t>
  </si>
  <si>
    <t>90231</t>
  </si>
  <si>
    <t>IVOO US -VANGUARD S&amp;P MID-CAP 400 ETF</t>
  </si>
  <si>
    <t>us9219328856</t>
  </si>
  <si>
    <t>VANECK ETF</t>
  </si>
  <si>
    <t>90214</t>
  </si>
  <si>
    <t>PPH US -VANECK PHARMACEUTICAL ETF</t>
  </si>
  <si>
    <t>US92189F6925</t>
  </si>
  <si>
    <t>SPDR-State Street Corp</t>
  </si>
  <si>
    <t>94196</t>
  </si>
  <si>
    <t>SPDR EURO STOXX</t>
  </si>
  <si>
    <t>US78463X2027</t>
  </si>
  <si>
    <t>EWY US -ISHARES MSCI SOUTH KOREA ETF</t>
  </si>
  <si>
    <t>US4642867729</t>
  </si>
  <si>
    <t>VTWO US -VANGUARD RUSSELL 2000 ETF</t>
  </si>
  <si>
    <t>us92206c6646</t>
  </si>
  <si>
    <t>state street bank and trust company</t>
  </si>
  <si>
    <t>90198</t>
  </si>
  <si>
    <t>XLP US -CONSUMER STAPLES SELECT</t>
  </si>
  <si>
    <t>us81369Y3080</t>
  </si>
  <si>
    <t>VanEck Vectors ETF Trust</t>
  </si>
  <si>
    <t>90051</t>
  </si>
  <si>
    <t>SMH US</t>
  </si>
  <si>
    <t>US92189F6768</t>
  </si>
  <si>
    <t>wisdontree investments</t>
  </si>
  <si>
    <t>90217</t>
  </si>
  <si>
    <t>DXJ US -WISDOMTREE JAPAN HEDGED EQ</t>
  </si>
  <si>
    <t>us97717w8516</t>
  </si>
  <si>
    <t>ISHARES-BLACKROCK</t>
  </si>
  <si>
    <t>90249</t>
  </si>
  <si>
    <t>ITA US iShares US Aerospace &amp; Defense</t>
  </si>
  <si>
    <t>US4642887602</t>
  </si>
  <si>
    <t>90247</t>
  </si>
  <si>
    <t>XOP US -SPDR S&amp;P OIL &amp; GAS EXP &amp; PR</t>
  </si>
  <si>
    <t>US78468R5569</t>
  </si>
  <si>
    <t>XHB US -SPDR S&amp;P HOMEBUILDERS ETF</t>
  </si>
  <si>
    <t>US78464A8889</t>
  </si>
  <si>
    <t>XLE US -ENERGY SELECT SECTOR SPDR</t>
  </si>
  <si>
    <t>US81369Y5069</t>
  </si>
  <si>
    <t>IHF US -ISHARES U.S. HEALTHCARE PROV</t>
  </si>
  <si>
    <t>US4642888287</t>
  </si>
  <si>
    <t>Electra Real Estate 4 - EMIF</t>
  </si>
  <si>
    <t>90199</t>
  </si>
  <si>
    <t>INDA US -ISHARES MSCI INDIA ETF</t>
  </si>
  <si>
    <t>us46429b5984</t>
  </si>
  <si>
    <t>EWT US -ISHARES MSCI TAIWAN ETF</t>
  </si>
  <si>
    <t>US46434G7723</t>
  </si>
  <si>
    <t>XLB US Spdr Materials</t>
  </si>
  <si>
    <t>US81369Y1001</t>
  </si>
  <si>
    <t>94198</t>
  </si>
  <si>
    <t>SPDR S&amp;P BIOTEC</t>
  </si>
  <si>
    <t>US78464A8707</t>
  </si>
  <si>
    <t>Fisher asset management</t>
  </si>
  <si>
    <t>90073</t>
  </si>
  <si>
    <t>FIGEUSD ID -FISHER INV INS GLB EQTY-USD</t>
  </si>
  <si>
    <t>ie00bz4sv347</t>
  </si>
  <si>
    <t>KOTAK FUNDS</t>
  </si>
  <si>
    <t>90043</t>
  </si>
  <si>
    <t>KIMDCLJ LX -KOTAK FUNDS-IND MIDCP-JA USD</t>
  </si>
  <si>
    <t>LU0675383409</t>
  </si>
  <si>
    <t>BEA Union investment management ltd</t>
  </si>
  <si>
    <t>90223</t>
  </si>
  <si>
    <t>CLSI3UJ HK -BEA UNI GROW GT CHGRO-I3</t>
  </si>
  <si>
    <t>HK0000873718</t>
  </si>
  <si>
    <t>BEA UNION INV.C</t>
  </si>
  <si>
    <t>HK0000873726</t>
  </si>
  <si>
    <t>aditya bsl</t>
  </si>
  <si>
    <t>90192</t>
  </si>
  <si>
    <t>AINFLED ID - INDIA FRONTLINE equity fund</t>
  </si>
  <si>
    <t>IE00BJ8RGN06</t>
  </si>
  <si>
    <t>Goldman Sachs  ASSET MANAGEMENT B.V</t>
  </si>
  <si>
    <t>90025</t>
  </si>
  <si>
    <t>GOLDMAN SACHS-J</t>
  </si>
  <si>
    <t>LU1217871216</t>
  </si>
  <si>
    <t>marketfield george town spc</t>
  </si>
  <si>
    <t>90238</t>
  </si>
  <si>
    <t>MFLDOFF KY -MARKETDIELD FUND OFFSHORE</t>
  </si>
  <si>
    <t>KYG582251891</t>
  </si>
  <si>
    <t>ערד בקרן פנסיה</t>
  </si>
  <si>
    <t>ערד 8794</t>
  </si>
  <si>
    <t>8287948</t>
  </si>
  <si>
    <t>02/09/2012</t>
  </si>
  <si>
    <t>צמוד למדד מחירים לצרכן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</si>
  <si>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</si>
  <si>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</si>
  <si>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</si>
  <si>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</si>
  <si>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</si>
  <si>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</si>
  <si>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</si>
  <si>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</si>
  <si>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</si>
  <si>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8815</t>
  </si>
  <si>
    <t>8288151</t>
  </si>
  <si>
    <t>01/06/2014</t>
  </si>
  <si>
    <t>01/06/2029</t>
  </si>
  <si>
    <t>ערד  8889</t>
  </si>
  <si>
    <t>8288896</t>
  </si>
  <si>
    <t>01/09/2020</t>
  </si>
  <si>
    <t>02/09/2035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</si>
  <si>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</si>
  <si>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</si>
  <si>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</si>
  <si>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</si>
  <si>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</si>
  <si>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</si>
  <si>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</si>
  <si>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</si>
  <si>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</si>
  <si>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</si>
  <si>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</si>
  <si>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</si>
  <si>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</si>
  <si>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</si>
  <si>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</si>
  <si>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</si>
  <si>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</si>
  <si>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</si>
  <si>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</si>
  <si>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</si>
  <si>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</si>
  <si>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</si>
  <si>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</si>
  <si>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</si>
  <si>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8823</t>
  </si>
  <si>
    <t>8288235</t>
  </si>
  <si>
    <t>01/02/2015</t>
  </si>
  <si>
    <t>01/02/2030</t>
  </si>
  <si>
    <t>ערד 8798</t>
  </si>
  <si>
    <t>8287989</t>
  </si>
  <si>
    <t>01/01/2013</t>
  </si>
  <si>
    <t>01/01/2028</t>
  </si>
  <si>
    <t>ערד  8900</t>
  </si>
  <si>
    <t>8289001</t>
  </si>
  <si>
    <t>01/08/2021</t>
  </si>
  <si>
    <t>01/08/2036</t>
  </si>
  <si>
    <t>ערד 8825</t>
  </si>
  <si>
    <t>8288250</t>
  </si>
  <si>
    <t>01/04/2015</t>
  </si>
  <si>
    <t>01/04/2030</t>
  </si>
  <si>
    <t>ערד 8865</t>
  </si>
  <si>
    <t>8288656</t>
  </si>
  <si>
    <t>01/08/2018</t>
  </si>
  <si>
    <t>01/08/2033</t>
  </si>
  <si>
    <t>ערד 8812</t>
  </si>
  <si>
    <t>8288128</t>
  </si>
  <si>
    <t>02/03/2014</t>
  </si>
  <si>
    <t>02/03/2029</t>
  </si>
  <si>
    <t>ערד 8797</t>
  </si>
  <si>
    <t>8287971</t>
  </si>
  <si>
    <t>02/12/2012</t>
  </si>
  <si>
    <t>02/12/2027</t>
  </si>
  <si>
    <t>ערד 8807</t>
  </si>
  <si>
    <t>8288078</t>
  </si>
  <si>
    <t>01/10/2013</t>
  </si>
  <si>
    <t>01/10/2028</t>
  </si>
  <si>
    <t>ערד 8838</t>
  </si>
  <si>
    <t>8288383</t>
  </si>
  <si>
    <t>01/05/2016</t>
  </si>
  <si>
    <t>01/05/2031</t>
  </si>
  <si>
    <t>ערד 8826</t>
  </si>
  <si>
    <t>8288268</t>
  </si>
  <si>
    <t>01/05/2015</t>
  </si>
  <si>
    <t>01/05/2030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</si>
  <si>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</si>
  <si>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</si>
  <si>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</si>
  <si>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</si>
  <si>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</si>
  <si>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</si>
  <si>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</si>
  <si>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</si>
  <si>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</si>
  <si>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</si>
  <si>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</si>
  <si>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</si>
  <si>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</si>
  <si>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</si>
  <si>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</si>
  <si>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</si>
  <si>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</si>
  <si>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</si>
  <si>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</si>
  <si>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</si>
  <si>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</si>
  <si>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</si>
  <si>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</si>
  <si>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</si>
  <si>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</si>
  <si>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</si>
  <si>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</si>
  <si>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</si>
  <si>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</si>
  <si>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</si>
  <si>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</si>
  <si>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</si>
  <si>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</si>
  <si>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</si>
  <si>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</si>
  <si>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</si>
  <si>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</si>
  <si>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</si>
  <si>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</si>
  <si>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</si>
  <si>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8851</t>
  </si>
  <si>
    <t>8288516</t>
  </si>
  <si>
    <t>01/06/2017</t>
  </si>
  <si>
    <t>01/06/2032</t>
  </si>
  <si>
    <t>ערד 8879</t>
  </si>
  <si>
    <t>8288797</t>
  </si>
  <si>
    <t>02/10/2019</t>
  </si>
  <si>
    <t>02/10/2034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</si>
  <si>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</si>
  <si>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</si>
  <si>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</si>
  <si>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</si>
  <si>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</si>
  <si>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</si>
  <si>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</si>
  <si>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</si>
  <si>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</si>
  <si>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</si>
  <si>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</si>
  <si>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</si>
  <si>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8880</t>
  </si>
  <si>
    <t>8288805</t>
  </si>
  <si>
    <t>01/11/2019</t>
  </si>
  <si>
    <t>01/11/2034</t>
  </si>
  <si>
    <t>ערד  8892</t>
  </si>
  <si>
    <t>8288920</t>
  </si>
  <si>
    <t>01/12/2020</t>
  </si>
  <si>
    <t>01/12/2035</t>
  </si>
  <si>
    <t>ערד 8849</t>
  </si>
  <si>
    <t>8288490</t>
  </si>
  <si>
    <t>02/04/2017</t>
  </si>
  <si>
    <t>02/04/2032</t>
  </si>
  <si>
    <t>ערד 8903</t>
  </si>
  <si>
    <t>8289035</t>
  </si>
  <si>
    <t>01/11/2021</t>
  </si>
  <si>
    <t>01/11/2036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</si>
  <si>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</si>
  <si>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</si>
  <si>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</si>
  <si>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</si>
  <si>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</si>
  <si>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</si>
  <si>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</si>
  <si>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</si>
  <si>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</si>
  <si>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</si>
  <si>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</si>
  <si>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</si>
  <si>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8801</t>
  </si>
  <si>
    <t>8288011</t>
  </si>
  <si>
    <t>02/04/2013</t>
  </si>
  <si>
    <t>02/04/2028</t>
  </si>
  <si>
    <t>ערד 8839</t>
  </si>
  <si>
    <t>8288391</t>
  </si>
  <si>
    <t>01/06/2016</t>
  </si>
  <si>
    <t>01/06/2031</t>
  </si>
  <si>
    <t>ערד 8872</t>
  </si>
  <si>
    <t>8288722</t>
  </si>
  <si>
    <t>01/03/2019</t>
  </si>
  <si>
    <t>01/03/2034</t>
  </si>
  <si>
    <t>ערד 8814</t>
  </si>
  <si>
    <t>8288144</t>
  </si>
  <si>
    <t>01/05/2014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</si>
  <si>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</si>
  <si>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</si>
  <si>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</si>
  <si>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</si>
  <si>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</si>
  <si>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</si>
  <si>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</si>
  <si>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</si>
  <si>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8850</t>
  </si>
  <si>
    <t>8288508</t>
  </si>
  <si>
    <t>01/05/2017</t>
  </si>
  <si>
    <t>01/05/2032</t>
  </si>
  <si>
    <t>ערד  8896</t>
  </si>
  <si>
    <t>8288961</t>
  </si>
  <si>
    <t>01/04/2021</t>
  </si>
  <si>
    <t>01/04/2036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</si>
  <si>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</si>
  <si>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</si>
  <si>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</si>
  <si>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</si>
  <si>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</si>
  <si>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</si>
  <si>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</si>
  <si>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</si>
  <si>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</si>
  <si>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</si>
  <si>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</si>
  <si>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</si>
  <si>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</si>
  <si>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</si>
  <si>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</si>
  <si>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</si>
  <si>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</si>
  <si>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</si>
  <si>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</si>
  <si>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</si>
  <si>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</si>
  <si>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</si>
  <si>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</si>
  <si>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</si>
  <si>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8816</t>
  </si>
  <si>
    <t>8288169</t>
  </si>
  <si>
    <t>01/07/2014</t>
  </si>
  <si>
    <t>ערד 8832</t>
  </si>
  <si>
    <t>8288326</t>
  </si>
  <si>
    <t>01/11/2015</t>
  </si>
  <si>
    <t>01/11/2030</t>
  </si>
  <si>
    <t>ערד 8863</t>
  </si>
  <si>
    <t>8288631</t>
  </si>
  <si>
    <t>01/06/2018</t>
  </si>
  <si>
    <t>01/06/2033</t>
  </si>
  <si>
    <t>ערד  8902</t>
  </si>
  <si>
    <t>8289027</t>
  </si>
  <si>
    <t>01/10/2021</t>
  </si>
  <si>
    <t>01/10/2036</t>
  </si>
  <si>
    <t>ערד 8811</t>
  </si>
  <si>
    <t>8288110</t>
  </si>
  <si>
    <t>02/02/2014</t>
  </si>
  <si>
    <t>02/02/2029</t>
  </si>
  <si>
    <t>ערד 8895</t>
  </si>
  <si>
    <t>8288953</t>
  </si>
  <si>
    <t>01/03/2021</t>
  </si>
  <si>
    <t>01/03/2036</t>
  </si>
  <si>
    <t>ערד 8862</t>
  </si>
  <si>
    <t>8288623</t>
  </si>
  <si>
    <t>01/05/2018</t>
  </si>
  <si>
    <t>01/05/2033</t>
  </si>
  <si>
    <t>ערד 8897</t>
  </si>
  <si>
    <t>8288979</t>
  </si>
  <si>
    <t>02/05/2021</t>
  </si>
  <si>
    <t>02/05/2036</t>
  </si>
  <si>
    <t>ערד 8857</t>
  </si>
  <si>
    <t>8288573</t>
  </si>
  <si>
    <t>01/12/2017</t>
  </si>
  <si>
    <t>01/12/2032</t>
  </si>
  <si>
    <t>ערד 8799</t>
  </si>
  <si>
    <t>8287997</t>
  </si>
  <si>
    <t>01/02/2013</t>
  </si>
  <si>
    <t>01/02/2028</t>
  </si>
  <si>
    <t>ערד 8834</t>
  </si>
  <si>
    <t>8288342</t>
  </si>
  <si>
    <t>01/01/2016</t>
  </si>
  <si>
    <t>01/01/2031</t>
  </si>
  <si>
    <t>ערד 8855</t>
  </si>
  <si>
    <t>8288557</t>
  </si>
  <si>
    <t>01/10/2017</t>
  </si>
  <si>
    <t>01/10/2032</t>
  </si>
  <si>
    <t>ערד 8876</t>
  </si>
  <si>
    <t>8288763</t>
  </si>
  <si>
    <t>01/07/2019</t>
  </si>
  <si>
    <t>01/07/2034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</si>
  <si>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</si>
  <si>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</si>
  <si>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</si>
  <si>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</si>
  <si>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</si>
  <si>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</si>
  <si>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</si>
  <si>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</si>
  <si>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</si>
  <si>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</si>
  <si>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</si>
  <si>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</si>
  <si>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</si>
  <si>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</si>
  <si>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</si>
  <si>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</si>
  <si>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</si>
  <si>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</si>
  <si>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</si>
  <si>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</si>
  <si>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</si>
  <si>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</si>
  <si>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</si>
  <si>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</si>
  <si>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</si>
  <si>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</si>
  <si>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</si>
  <si>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</si>
  <si>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</si>
  <si>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</si>
  <si>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</si>
  <si>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</si>
  <si>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</si>
  <si>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</si>
  <si>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</si>
  <si>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</si>
  <si>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</si>
  <si>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</si>
  <si>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</si>
  <si>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</si>
  <si>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</si>
  <si>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</si>
  <si>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</si>
  <si>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ערד 8806</t>
  </si>
  <si>
    <t>8288060</t>
  </si>
  <si>
    <t>01/09/2013</t>
  </si>
  <si>
    <t>01/09/2028</t>
  </si>
  <si>
    <t>8289050</t>
  </si>
  <si>
    <t>02/01/2022</t>
  </si>
  <si>
    <t>01/01/2037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</si>
  <si>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</si>
  <si>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</si>
  <si>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</si>
  <si>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</si>
  <si>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</si>
  <si>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</si>
  <si>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</si>
  <si>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</si>
  <si>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</si>
  <si>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</si>
  <si>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</si>
  <si>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</si>
  <si>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</si>
  <si>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</si>
  <si>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</si>
  <si>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עוגן-הקרן להלוואות חברתיות בע"מ(חל"צ)</t>
  </si>
  <si>
    <t>90239</t>
  </si>
  <si>
    <t>עוגן הלוואה א'</t>
  </si>
  <si>
    <t>93100002</t>
  </si>
  <si>
    <t>15/03/2022</t>
  </si>
  <si>
    <t>15/07/2025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</si>
  <si>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</si>
  <si>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</si>
  <si>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</si>
  <si>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</si>
  <si>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</si>
  <si>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15/03/2026</t>
  </si>
  <si>
    <t>עוגן הלוואה ב'</t>
  </si>
  <si>
    <t>93100003</t>
  </si>
  <si>
    <t>15/01/2026</t>
  </si>
  <si>
    <t>עוגן חוב בכיר</t>
  </si>
  <si>
    <t>93100001</t>
  </si>
  <si>
    <t>15/07/2024</t>
  </si>
  <si>
    <t>מקורות סדרה 8 -9988627</t>
  </si>
  <si>
    <t>1124346</t>
  </si>
  <si>
    <t>14/07/2011</t>
  </si>
  <si>
    <t>14/07/2048</t>
  </si>
  <si>
    <t>רפאל מערכות לחימה מתקדמות בעמ</t>
  </si>
  <si>
    <t>1315</t>
  </si>
  <si>
    <t>רפאל אגח ג רמ</t>
  </si>
  <si>
    <t>1140276</t>
  </si>
  <si>
    <t>02/03/2017</t>
  </si>
  <si>
    <t>15/09/2034</t>
  </si>
  <si>
    <t>מקורות אגח 6-רמ</t>
  </si>
  <si>
    <t>1100908</t>
  </si>
  <si>
    <t>25/12/2006</t>
  </si>
  <si>
    <t>25/12/2036</t>
  </si>
  <si>
    <t>אגד חברה לתחבורה בע"מ</t>
  </si>
  <si>
    <t>2422</t>
  </si>
  <si>
    <t>אגד אגח  רמ 1</t>
  </si>
  <si>
    <t>1198787</t>
  </si>
  <si>
    <t>16/08/2023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</si>
  <si>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</si>
  <si>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</si>
  <si>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</si>
  <si>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</si>
  <si>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</si>
  <si>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</si>
  <si>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אלומה</t>
  </si>
  <si>
    <t>90118</t>
  </si>
  <si>
    <t>אלומה חברת ניהול</t>
  </si>
  <si>
    <t>666108071</t>
  </si>
  <si>
    <t>25/12/2020</t>
  </si>
  <si>
    <t>Moneta Capital</t>
  </si>
  <si>
    <t>Viola Growth 3</t>
  </si>
  <si>
    <t>Viola Credit 5</t>
  </si>
  <si>
    <t>Moneta Seeds 2</t>
  </si>
  <si>
    <t>Viola Credit 5 Annex</t>
  </si>
  <si>
    <t>Pontifax - Debt</t>
  </si>
  <si>
    <t>Vertex 5</t>
  </si>
  <si>
    <t>Accelmed Partners 2</t>
  </si>
  <si>
    <t>Vertex Israel Opportunity 2</t>
  </si>
  <si>
    <t>Pitango Growth II</t>
  </si>
  <si>
    <t>JAL Ventures 2</t>
  </si>
  <si>
    <t>First Time 2</t>
  </si>
  <si>
    <t>Vertex - Trigo</t>
  </si>
  <si>
    <t>Gilboa Hedge FOF</t>
  </si>
  <si>
    <t>Milestone 4- MREI4</t>
  </si>
  <si>
    <t>LCN European Fund III LOAN</t>
  </si>
  <si>
    <t>Milestone 5 - MREI</t>
  </si>
  <si>
    <t>Reality 4</t>
  </si>
  <si>
    <t>Forma</t>
  </si>
  <si>
    <t>Reality 3</t>
  </si>
  <si>
    <t>Starlight Canada 2019</t>
  </si>
  <si>
    <t>Electra Real Estate 2 - EMIF</t>
  </si>
  <si>
    <t>Electra Real Estate 3 - EMIF</t>
  </si>
  <si>
    <t>Alto 3</t>
  </si>
  <si>
    <t>Starwood 11</t>
  </si>
  <si>
    <t>Yesodot 3</t>
  </si>
  <si>
    <t>Yesodot 2</t>
  </si>
  <si>
    <t>Alto 2</t>
  </si>
  <si>
    <t>Naftaly Capital</t>
  </si>
  <si>
    <t>LCN European Fund III Equity</t>
  </si>
  <si>
    <t>Yesodot 1 Annex</t>
  </si>
  <si>
    <t>Yesodot 1</t>
  </si>
  <si>
    <t>Levine Liechtman-LLCP 6</t>
  </si>
  <si>
    <t>MIP 4- Macquarie</t>
  </si>
  <si>
    <t>LCP 9 - Lexington</t>
  </si>
  <si>
    <t>Vestar 7</t>
  </si>
  <si>
    <t>Coller 8</t>
  </si>
  <si>
    <t>Monarch Capital 5</t>
  </si>
  <si>
    <t>Hamilton Lane Secondary Feeder Fund V</t>
  </si>
  <si>
    <t>CCF-IBI</t>
  </si>
  <si>
    <t>Arbel</t>
  </si>
  <si>
    <t>LCN Europe IV</t>
  </si>
  <si>
    <t>Marathon Real Estate</t>
  </si>
  <si>
    <t>Ametrine</t>
  </si>
  <si>
    <t>First Time Ventures 3</t>
  </si>
  <si>
    <t>Helios 3</t>
  </si>
  <si>
    <t>Cogito Capital 2</t>
  </si>
  <si>
    <t>Patria VII</t>
  </si>
  <si>
    <t>ת.ש.י דרך 431</t>
  </si>
  <si>
    <t>Fortissimo Capital VI</t>
  </si>
  <si>
    <t>Gatewood Capital Opportunity 2</t>
  </si>
  <si>
    <t>Lexington X</t>
  </si>
  <si>
    <t>550246771</t>
  </si>
  <si>
    <t>FIMI 5</t>
  </si>
  <si>
    <t>Klirmark IV</t>
  </si>
  <si>
    <t>Lool Ventures 3</t>
  </si>
  <si>
    <t>Timora 1</t>
  </si>
  <si>
    <t>Hamilton Lane opportunities 2017</t>
  </si>
  <si>
    <t>Cogito Capital - ממשלתית</t>
  </si>
  <si>
    <t>Clayton, Dubilier &amp; Rice Fund XII</t>
  </si>
  <si>
    <t>Leader Top Capital</t>
  </si>
  <si>
    <t>Stage One 4</t>
  </si>
  <si>
    <t>ISF 3 - Israel secondary fund</t>
  </si>
  <si>
    <t>Hamilton Lane Strategic Opportunities Fund VIII, L</t>
  </si>
  <si>
    <t>Cogito Capital - משלימה</t>
  </si>
  <si>
    <t>Shaked Partners 2</t>
  </si>
  <si>
    <t>Global Infrastructure Partners V</t>
  </si>
  <si>
    <t>Stage One 4 Annex</t>
  </si>
  <si>
    <t>550234843</t>
  </si>
  <si>
    <t>Origo 2</t>
  </si>
  <si>
    <t>Reality 5</t>
  </si>
  <si>
    <t>550241343</t>
  </si>
  <si>
    <t>Noy</t>
  </si>
  <si>
    <t>JTLV 3</t>
  </si>
  <si>
    <t>Gatewood</t>
  </si>
  <si>
    <t>Harel co-invest Debt</t>
  </si>
  <si>
    <t>Giza Zinger MEZZ</t>
  </si>
  <si>
    <t>Arbel 2</t>
  </si>
  <si>
    <t>Noy 2</t>
  </si>
  <si>
    <t>Faropoint 3</t>
  </si>
  <si>
    <t>Lahav 3</t>
  </si>
  <si>
    <t>ISF 2 - Israel Secondary Fund</t>
  </si>
  <si>
    <t>AMI</t>
  </si>
  <si>
    <t>Hamilton Lane opportunities 2019</t>
  </si>
  <si>
    <t>Pantheon Global 4</t>
  </si>
  <si>
    <t>Monarch 6</t>
  </si>
  <si>
    <t>Naftaly Shaked 2</t>
  </si>
  <si>
    <t>Arkin Bio Capital</t>
  </si>
  <si>
    <t>Viola Credit GL 2</t>
  </si>
  <si>
    <t>Moneta Capital 2</t>
  </si>
  <si>
    <t>0.000%</t>
  </si>
  <si>
    <t>90038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</si>
  <si>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</si>
  <si>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</si>
  <si>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</si>
  <si>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</si>
  <si>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</si>
  <si>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</si>
  <si>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</si>
  <si>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9418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</si>
  <si>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</si>
  <si>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</si>
  <si>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</si>
  <si>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</si>
  <si>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</si>
  <si>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</si>
  <si>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</si>
  <si>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</si>
  <si>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</si>
  <si>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</si>
  <si>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</si>
  <si>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</si>
  <si>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</si>
  <si>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</si>
  <si>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</si>
  <si>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</si>
  <si>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</si>
  <si>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</si>
  <si>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</si>
  <si>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512475203</t>
  </si>
  <si>
    <t>דרך ארץ סדרה א  מאוחדת</t>
  </si>
  <si>
    <t>90150520</t>
  </si>
  <si>
    <t>30/06/2005</t>
  </si>
  <si>
    <t>מזרחי לא צמוד משתנה 5 שנים</t>
  </si>
  <si>
    <t>555552003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</si>
  <si>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</si>
  <si>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</si>
  <si>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</si>
  <si>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</si>
  <si>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</si>
  <si>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</si>
  <si>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מזרחי מקדמות ריבית ופדיון</t>
  </si>
  <si>
    <t>555559000</t>
  </si>
  <si>
    <t>30/12/1899</t>
  </si>
  <si>
    <t>16/07/2024</t>
  </si>
  <si>
    <t>01/08/2025</t>
  </si>
  <si>
    <t>28/06/2025</t>
  </si>
  <si>
    <t>01/08/2020</t>
  </si>
  <si>
    <t>דרורי&amp;שקד שמאים</t>
  </si>
  <si>
    <t>ארבל</t>
  </si>
  <si>
    <t>Arbel Fund 2</t>
  </si>
  <si>
    <t>מנוף אוריגו 2</t>
  </si>
  <si>
    <t>ת.ש.י. כביש 431</t>
  </si>
  <si>
    <t>קרן נוי</t>
  </si>
  <si>
    <t>קרן ריאליטי</t>
  </si>
  <si>
    <t>קוגיטו קפיטל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</si>
  <si>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</si>
  <si>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</si>
  <si>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</si>
  <si>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</si>
  <si>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</si>
  <si>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</si>
  <si>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</si>
  <si>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</si>
  <si>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ויולה</t>
  </si>
  <si>
    <t>המילטון ליין</t>
  </si>
  <si>
    <t>פורמה</t>
  </si>
  <si>
    <t>לוין ליכטמן</t>
  </si>
  <si>
    <t>Firstime</t>
  </si>
  <si>
    <t>הליוס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</si>
  <si>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</si>
  <si>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</si>
  <si>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</si>
  <si>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</si>
  <si>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</si>
  <si>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</si>
  <si>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</si>
  <si>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</si>
  <si>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</si>
  <si>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</si>
  <si>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</si>
  <si>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</si>
  <si>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</si>
  <si>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</si>
  <si>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ARTEMIS LUX US SM CMP</t>
  </si>
  <si>
    <t>אלקטרה נדלן ALEMIF3 FEEDER5</t>
  </si>
  <si>
    <t>JAL VENTURES</t>
  </si>
  <si>
    <t>LCN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</si>
  <si>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</si>
  <si>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</si>
  <si>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</si>
  <si>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</si>
  <si>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</si>
  <si>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</si>
  <si>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לידר טופ קפיטל</t>
  </si>
  <si>
    <t>COGITO CAPITAL 2</t>
  </si>
  <si>
    <t>Israel Seconday Fund III</t>
  </si>
  <si>
    <t>גיזה זינגר אבן מזנין שותפות מוגבלת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</si>
  <si>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</si>
  <si>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</si>
  <si>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</si>
  <si>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</si>
  <si>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</si>
  <si>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</si>
  <si>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</si>
  <si>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</si>
  <si>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Global Infrastructure Partners</t>
  </si>
  <si>
    <t>Hamilton Lane Strategic Opportunities Fund VIII</t>
  </si>
  <si>
    <t>LIN US Linde PLC</t>
  </si>
  <si>
    <t>ORACLE CORP</t>
  </si>
  <si>
    <t>שרותי מידע</t>
  </si>
  <si>
    <t>ערד  8905</t>
  </si>
  <si>
    <t>זבוטינסקי 9  בני ברק</t>
  </si>
  <si>
    <t>Stage one VC</t>
  </si>
  <si>
    <t>30.06.24</t>
  </si>
  <si>
    <t>20.06.24</t>
  </si>
  <si>
    <t>24.06.24</t>
  </si>
  <si>
    <t>23.06.24</t>
  </si>
  <si>
    <t>30.04.24</t>
  </si>
  <si>
    <t>18.03.24</t>
  </si>
  <si>
    <t>27.06.24</t>
  </si>
  <si>
    <t>22.05.24</t>
  </si>
  <si>
    <t>28.02.24</t>
  </si>
  <si>
    <t>16.04.24</t>
  </si>
  <si>
    <t>13.05.24</t>
  </si>
  <si>
    <t>15.05.24</t>
  </si>
  <si>
    <t>17.06.24</t>
  </si>
  <si>
    <t>31.05.24</t>
  </si>
  <si>
    <t>31.03.24</t>
  </si>
  <si>
    <t>27.11.23</t>
  </si>
  <si>
    <t>29.05.24</t>
  </si>
  <si>
    <t>'38-3981213</t>
  </si>
  <si>
    <t xml:space="preserve">CO-88944 </t>
  </si>
  <si>
    <t>'549300WAPBN4UFVLCY82</t>
  </si>
  <si>
    <t>81-2034575</t>
  </si>
  <si>
    <t>20-4166306</t>
  </si>
  <si>
    <t>98-1360886</t>
  </si>
  <si>
    <t>'25490077C3CWFCE3PU44</t>
  </si>
  <si>
    <t>98-1249543</t>
  </si>
  <si>
    <t>5493000NFOA8B5UMGZ40</t>
  </si>
  <si>
    <t>'213800TQEVD7NHYQQ475</t>
  </si>
  <si>
    <t>B231183</t>
  </si>
  <si>
    <t>GK4GNP.99999.SL.136</t>
  </si>
  <si>
    <t>MC-103156</t>
  </si>
  <si>
    <t>'85-1058970</t>
  </si>
  <si>
    <t>98-1564872</t>
  </si>
  <si>
    <t>88-1993469</t>
  </si>
  <si>
    <t>'254900CI8MJ50Q5WME06</t>
  </si>
  <si>
    <t>'54930033SR1RQUEVTQ74</t>
  </si>
  <si>
    <t>2549007AFI546HSMS528</t>
  </si>
  <si>
    <t>'549300PVU5P7DQ3OUK70</t>
  </si>
  <si>
    <t>MC-117050</t>
  </si>
  <si>
    <t>01-0552543</t>
  </si>
  <si>
    <t>23-2962336</t>
  </si>
  <si>
    <t>EIN</t>
  </si>
  <si>
    <t>MIP 6- Macquarie</t>
  </si>
  <si>
    <t>Pitango Growth III</t>
  </si>
  <si>
    <t>Pitango International MC 2019 Ltd</t>
  </si>
  <si>
    <t>לילך לב רם</t>
  </si>
  <si>
    <t>03-5765881</t>
  </si>
  <si>
    <t>lilach@gilad-pension.co.il</t>
  </si>
  <si>
    <t>בית הכשרת הישוב</t>
  </si>
  <si>
    <t xml:space="preserve">Viola Growth III Ltd </t>
  </si>
  <si>
    <t>Viola Group</t>
  </si>
  <si>
    <t>Moneta</t>
  </si>
  <si>
    <t>פונטיפקס מדיסון פיננסים (ישראל) ש.מ</t>
  </si>
  <si>
    <t>Vertex Ventures</t>
  </si>
  <si>
    <t>Accelmed Partners II, L.P</t>
  </si>
  <si>
    <t>Firstime Ventures II G.P. Ltd</t>
  </si>
  <si>
    <t>גלבוע פאנד</t>
  </si>
  <si>
    <t>Milestone Real Estate Investors IV, LP</t>
  </si>
  <si>
    <t>Milestone Real Estate Investors V, LP</t>
  </si>
  <si>
    <t>ריאלטי השקעות נדלן</t>
  </si>
  <si>
    <t>Forma Fund General Partner Ltd.</t>
  </si>
  <si>
    <t>Starlight</t>
  </si>
  <si>
    <t>אלקטרה מולטי פמילי אינווסטמנטס</t>
  </si>
  <si>
    <t>Alto Fund III GP LLC</t>
  </si>
  <si>
    <t>Starwood Opportunity Fund XI Investor U.S. Private</t>
  </si>
  <si>
    <t>יסודות נדלן</t>
  </si>
  <si>
    <t>Alto Fund II GP LLC</t>
  </si>
  <si>
    <t>Naftali Group</t>
  </si>
  <si>
    <t>Macquarie Infrastructure Partners Inc.</t>
  </si>
  <si>
    <t>Lexington Capital Partners IX, L.P</t>
  </si>
  <si>
    <t>Vestar Capital Partners</t>
  </si>
  <si>
    <t>Coller International Partners</t>
  </si>
  <si>
    <t xml:space="preserve">Monarch Capital Partners </t>
  </si>
  <si>
    <t>Hamilton Lane</t>
  </si>
  <si>
    <t>אי.בי.אי קונסיומר קרדיט</t>
  </si>
  <si>
    <t>ארבל פיננס</t>
  </si>
  <si>
    <t>LCN European Fund IV SLP</t>
  </si>
  <si>
    <t>מרתון קרן נדלן שותפות מוגבלת</t>
  </si>
  <si>
    <t>Firstime Ventures III G.P. Ltd</t>
  </si>
  <si>
    <t>PPE FEEDER VII (ONTARIO), L.P</t>
  </si>
  <si>
    <t>תשתיות ישראל ניהול 2 בע"מ</t>
  </si>
  <si>
    <t>Fortissimo Capital</t>
  </si>
  <si>
    <t>Gatewood Capital</t>
  </si>
  <si>
    <t>lexington</t>
  </si>
  <si>
    <t>FIMI Israel</t>
  </si>
  <si>
    <t>,Klirmark Fund IV (G.P.)</t>
  </si>
  <si>
    <t>Lool Ventures</t>
  </si>
  <si>
    <t>TIMORA REAL ESTATE FUND, LIMITED PARTNERSHIP</t>
  </si>
  <si>
    <t xml:space="preserve"> Israel secondary fund</t>
  </si>
  <si>
    <t>שקד פרטנרס</t>
  </si>
  <si>
    <t>קרן נוי 1 להשקעה בתשתיות ואנרגיה, שותפות מוגבלת</t>
  </si>
  <si>
    <t>ג'יי.טי.אל.וי 3 (פי.אי) שותפות מוגבלת</t>
  </si>
  <si>
    <t>הראל אלטרנטיב</t>
  </si>
  <si>
    <t>NOY E.I INFRASTRUCTURE AND ENERGY G.P</t>
  </si>
  <si>
    <t>FIVF 3</t>
  </si>
  <si>
    <t>Apax Partners Guernsey Limited</t>
  </si>
  <si>
    <t>pantheon global infrastructure</t>
  </si>
  <si>
    <t>Naftali Group and Shaked Group</t>
  </si>
  <si>
    <t>ארקין ביו קפיטל, שותפות מוגבלת</t>
  </si>
  <si>
    <t>שורה ריקה</t>
  </si>
  <si>
    <t>תא ריק המשך לתא הבא</t>
  </si>
  <si>
    <t>סוף גליון. לתשומת ליבך מסמך זה מכיל גליונות נוספים</t>
  </si>
  <si>
    <t>סוף מסמך</t>
  </si>
  <si>
    <t>לתשומת ליבך הטבלה בגליון זה מתחילה בתא A2</t>
  </si>
  <si>
    <t>נושא</t>
  </si>
  <si>
    <r>
      <rPr>
        <b/>
        <sz val="1"/>
        <color theme="3"/>
        <rFont val="Arial"/>
        <family val="2"/>
      </rPr>
      <t xml:space="preserve">לתשומת ליבך דף זה אינו מכיל תוכן בטבלה.
מלבד כותרות העמודות
</t>
    </r>
    <r>
      <rPr>
        <b/>
        <sz val="10"/>
        <color theme="0"/>
        <rFont val="Arial"/>
        <family val="2"/>
      </rPr>
      <t>מספר קופה/קרן/ח.פ. עבור חברת ביטוח</t>
    </r>
  </si>
  <si>
    <r>
      <rPr>
        <b/>
        <sz val="1"/>
        <color theme="3"/>
        <rFont val="Arial"/>
        <family val="2"/>
      </rPr>
      <t xml:space="preserve">לתשומת ליבך דף זה אינו מכיל תוכן בטבלה. מלבד כותרות העמודות
</t>
    </r>
    <r>
      <rPr>
        <b/>
        <sz val="10"/>
        <color theme="0"/>
        <rFont val="Arial"/>
        <family val="2"/>
      </rPr>
      <t>מספר קרן</t>
    </r>
  </si>
  <si>
    <t>עמודה1</t>
  </si>
  <si>
    <t>שער חליפין2</t>
  </si>
  <si>
    <t>שורה ריקה התוכן הבא מופיע בתא C1076</t>
  </si>
  <si>
    <r>
      <t>ü</t>
    </r>
    <r>
      <rPr>
        <b/>
        <sz val="1"/>
        <color rgb="FFFFFFFF"/>
        <rFont val="Wingdings"/>
        <charset val="2"/>
      </rPr>
      <t xml:space="preserve">    כן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</si>
</sst>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%"/>
    <numFmt numFmtId="165" formatCode="0.000"/>
    <numFmt numFmtId="166" formatCode="#,##0.000"/>
    <numFmt numFmtId="167" formatCode="0.000,;\-0.000,"/>
    <numFmt numFmtId="168" formatCode="#,##0.000##%"/>
    <numFmt numFmtId="169" formatCode="0.000%"/>
    <numFmt numFmtId="170" formatCode="#,##0.000%"/>
    <numFmt numFmtId="171" formatCode="_ * #,##0.000_ ;_ * \-#,##0.000_ ;_ * &quot;-&quot;??_ ;_ @_ 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1"/>
      <color indexed="8"/>
      <name val="Arial"/>
      <family val="2"/>
    </font>
    <font>
      <sz val="1"/>
      <color theme="0"/>
      <name val="Arial"/>
      <family val="2"/>
      <charset val="177"/>
      <scheme val="minor"/>
    </font>
    <font>
      <sz val="1"/>
      <color theme="0"/>
      <name val="Arial"/>
      <family val="2"/>
      <scheme val="minor"/>
    </font>
    <font>
      <sz val="1"/>
      <color theme="3"/>
      <name val="Arial"/>
      <family val="2"/>
    </font>
    <font>
      <b/>
      <sz val="1"/>
      <color theme="3"/>
      <name val="Arial"/>
      <family val="2"/>
    </font>
    <font>
      <sz val="1"/>
      <color rgb="FFFFFF00"/>
      <name val="Arial"/>
      <family val="2"/>
      <scheme val="minor"/>
    </font>
    <font>
      <b/>
      <sz val="12"/>
      <color rgb="FF375623"/>
      <name val="Wingdings"/>
      <charset val="2"/>
    </font>
    <font>
      <b/>
      <sz val="1"/>
      <color rgb="FFFFFFFF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1" fillId="0" borderId="0" xfId="0" applyFont="1" applyProtection="1">
      <protection locked="0"/>
    </xf>
    <xf numFmtId="0" fontId="10" fillId="5" borderId="0" xfId="1" applyFont="1" applyFill="1" applyAlignment="1" applyProtection="1">
      <alignment horizontal="left" vertical="center" wrapText="1" indent="1"/>
      <protection locked="0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7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19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0" fillId="5" borderId="12" xfId="1" applyFont="1" applyFill="1" applyBorder="1" applyAlignment="1" applyProtection="1">
      <alignment horizontal="right" vertical="center" wrapText="1"/>
      <protection locked="0"/>
    </xf>
    <xf numFmtId="0" fontId="10" fillId="5" borderId="12" xfId="1" applyFont="1" applyFill="1" applyBorder="1" applyAlignment="1">
      <alignment horizontal="right" vertical="center" wrapText="1"/>
    </xf>
    <xf numFmtId="0" fontId="10" fillId="5" borderId="12" xfId="1" applyFont="1" applyFill="1" applyBorder="1" applyAlignment="1" applyProtection="1">
      <alignment vertical="center" wrapText="1"/>
      <protection locked="0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4" fillId="0" borderId="15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6" xfId="0" applyBorder="1" applyAlignment="1">
      <alignment horizontal="right" vertical="top"/>
    </xf>
    <xf numFmtId="0" fontId="0" fillId="0" borderId="17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1" fillId="2" borderId="4" xfId="0" applyFont="1" applyFill="1" applyBorder="1" applyAlignment="1">
      <alignment horizontal="right"/>
    </xf>
    <xf numFmtId="0" fontId="17" fillId="0" borderId="0" xfId="0" applyFont="1"/>
    <xf numFmtId="0" fontId="22" fillId="0" borderId="0" xfId="0" applyFont="1" applyAlignment="1">
      <alignment horizontal="center"/>
    </xf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5" fillId="2" borderId="4" xfId="0" applyFont="1" applyFill="1" applyBorder="1" applyAlignment="1">
      <alignment horizontal="right"/>
    </xf>
    <xf numFmtId="0" fontId="18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  <xf numFmtId="169" fontId="0" fillId="0" borderId="0" xfId="4" applyNumberFormat="1" applyFont="1"/>
    <xf numFmtId="170" fontId="0" fillId="0" borderId="0" xfId="0" applyNumberFormat="1"/>
    <xf numFmtId="43" fontId="0" fillId="0" borderId="0" xfId="3" applyFont="1"/>
    <xf numFmtId="165" fontId="0" fillId="0" borderId="0" xfId="0" applyNumberFormat="1" applyAlignment="1">
      <alignment horizontal="right"/>
    </xf>
    <xf numFmtId="171" fontId="0" fillId="0" borderId="0" xfId="3" applyNumberFormat="1" applyFont="1"/>
    <xf numFmtId="165" fontId="4" fillId="0" borderId="0" xfId="3" applyNumberFormat="1" applyFont="1" applyAlignment="1" applyProtection="1">
      <alignment horizontal="right"/>
      <protection locked="0"/>
    </xf>
    <xf numFmtId="14" fontId="0" fillId="0" borderId="0" xfId="0" applyNumberFormat="1"/>
    <xf numFmtId="165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2" fillId="0" borderId="0" xfId="0" applyNumberFormat="1" applyFont="1"/>
    <xf numFmtId="165" fontId="2" fillId="0" borderId="0" xfId="0" applyNumberFormat="1" applyFont="1" applyProtection="1">
      <protection locked="0"/>
    </xf>
    <xf numFmtId="169" fontId="0" fillId="0" borderId="0" xfId="0" applyNumberFormat="1"/>
    <xf numFmtId="169" fontId="1" fillId="0" borderId="0" xfId="0" applyNumberFormat="1" applyFont="1" applyProtection="1">
      <protection locked="0"/>
    </xf>
    <xf numFmtId="165" fontId="1" fillId="0" borderId="0" xfId="0" applyNumberFormat="1" applyFont="1" applyAlignment="1">
      <alignment horizontal="right"/>
    </xf>
    <xf numFmtId="0" fontId="1" fillId="0" borderId="0" xfId="0" applyFont="1"/>
    <xf numFmtId="14" fontId="2" fillId="0" borderId="0" xfId="0" applyNumberFormat="1" applyFont="1" applyProtection="1">
      <protection locked="0"/>
    </xf>
    <xf numFmtId="14" fontId="5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9" fontId="2" fillId="0" borderId="0" xfId="0" applyNumberFormat="1" applyFont="1" applyProtection="1">
      <protection locked="0"/>
    </xf>
    <xf numFmtId="171" fontId="0" fillId="0" borderId="11" xfId="3" applyNumberFormat="1" applyFont="1" applyBorder="1"/>
    <xf numFmtId="171" fontId="13" fillId="0" borderId="11" xfId="3" applyNumberFormat="1" applyFont="1" applyBorder="1" applyAlignment="1">
      <alignment horizontal="center" vertical="center" wrapText="1"/>
    </xf>
    <xf numFmtId="0" fontId="10" fillId="5" borderId="12" xfId="1" applyFont="1" applyFill="1" applyBorder="1" applyAlignment="1" applyProtection="1">
      <alignment horizontal="right" vertical="center" wrapText="1" indent="1"/>
      <protection locked="0"/>
    </xf>
    <xf numFmtId="0" fontId="26" fillId="7" borderId="18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/>
    <xf numFmtId="171" fontId="4" fillId="0" borderId="0" xfId="0" applyNumberFormat="1" applyFont="1"/>
    <xf numFmtId="0" fontId="18" fillId="3" borderId="3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 readingOrder="2"/>
    </xf>
    <xf numFmtId="43" fontId="18" fillId="3" borderId="3" xfId="3" applyFont="1" applyFill="1" applyBorder="1" applyAlignment="1">
      <alignment horizontal="center" vertical="center" wrapText="1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43" fontId="1" fillId="0" borderId="0" xfId="3" applyFont="1"/>
    <xf numFmtId="166" fontId="27" fillId="0" borderId="0" xfId="0" applyNumberFormat="1" applyFont="1"/>
    <xf numFmtId="169" fontId="1" fillId="0" borderId="0" xfId="4" applyNumberFormat="1" applyFont="1" applyProtection="1">
      <protection locked="0"/>
    </xf>
    <xf numFmtId="170" fontId="1" fillId="0" borderId="0" xfId="0" applyNumberFormat="1" applyFont="1"/>
    <xf numFmtId="43" fontId="4" fillId="0" borderId="0" xfId="3" applyFont="1"/>
    <xf numFmtId="43" fontId="1" fillId="0" borderId="0" xfId="0" applyNumberFormat="1" applyFont="1"/>
    <xf numFmtId="0" fontId="7" fillId="3" borderId="19" xfId="0" applyFont="1" applyFill="1" applyBorder="1" applyAlignment="1">
      <alignment horizontal="center" vertical="center" wrapText="1"/>
    </xf>
    <xf numFmtId="0" fontId="28" fillId="0" borderId="0" xfId="0" applyFont="1"/>
    <xf numFmtId="0" fontId="30" fillId="3" borderId="11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7" fillId="3" borderId="14" xfId="0" applyFont="1" applyFill="1" applyBorder="1" applyAlignment="1">
      <alignment horizontal="right" vertical="center" wrapText="1"/>
    </xf>
    <xf numFmtId="169" fontId="0" fillId="0" borderId="13" xfId="0" applyNumberFormat="1" applyBorder="1"/>
    <xf numFmtId="0" fontId="8" fillId="0" borderId="13" xfId="0" applyFont="1" applyBorder="1" applyAlignment="1">
      <alignment horizontal="center" vertical="center" wrapText="1"/>
    </xf>
    <xf numFmtId="169" fontId="13" fillId="0" borderId="13" xfId="0" applyNumberFormat="1" applyFont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8" fillId="0" borderId="24" xfId="0" applyFont="1" applyBorder="1"/>
    <xf numFmtId="171" fontId="0" fillId="0" borderId="25" xfId="3" applyNumberFormat="1" applyFont="1" applyBorder="1"/>
    <xf numFmtId="0" fontId="8" fillId="0" borderId="25" xfId="0" applyFont="1" applyBorder="1" applyAlignment="1">
      <alignment horizontal="center" vertical="center" wrapText="1"/>
    </xf>
    <xf numFmtId="169" fontId="8" fillId="0" borderId="26" xfId="4" applyNumberFormat="1" applyFont="1" applyBorder="1" applyProtection="1">
      <protection locked="0"/>
    </xf>
    <xf numFmtId="0" fontId="29" fillId="0" borderId="0" xfId="0" applyFont="1"/>
    <xf numFmtId="0" fontId="32" fillId="6" borderId="0" xfId="0" applyFont="1" applyFill="1"/>
    <xf numFmtId="0" fontId="17" fillId="0" borderId="27" xfId="0" applyFont="1" applyBorder="1"/>
    <xf numFmtId="0" fontId="17" fillId="0" borderId="28" xfId="0" applyFont="1" applyBorder="1" applyAlignment="1">
      <alignment horizontal="right"/>
    </xf>
    <xf numFmtId="0" fontId="17" fillId="0" borderId="29" xfId="0" applyFont="1" applyBorder="1" applyAlignment="1">
      <alignment vertical="center" wrapText="1" readingOrder="2"/>
    </xf>
    <xf numFmtId="0" fontId="16" fillId="0" borderId="29" xfId="0" applyFont="1" applyBorder="1" applyAlignment="1">
      <alignment horizontal="right" vertical="center" wrapText="1" readingOrder="2"/>
    </xf>
    <xf numFmtId="0" fontId="16" fillId="0" borderId="29" xfId="0" applyFont="1" applyBorder="1" applyAlignment="1">
      <alignment vertical="center" wrapText="1" readingOrder="2"/>
    </xf>
    <xf numFmtId="0" fontId="33" fillId="0" borderId="1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0" xfId="0" applyFont="1" applyAlignment="1">
      <alignment horizontal="center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259">
    <dxf>
      <font>
        <color theme="0" tint="-0.24994659260841701"/>
      </font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ashed">
          <color auto="1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9" formatCode="0.0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68" formatCode="#,##0.000##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6" formatCode="#,##0.000"/>
    </dxf>
    <dxf>
      <numFmt numFmtId="166" formatCode="#,##0.0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9" formatCode="0.000%"/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66" formatCode="#,##0.000"/>
    </dxf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protection locked="0" hidden="0"/>
    </dxf>
    <dxf>
      <numFmt numFmtId="167" formatCode="0.000,;\-0.000,"/>
    </dxf>
    <dxf>
      <numFmt numFmtId="169" formatCode="0.000%"/>
    </dxf>
    <dxf>
      <numFmt numFmtId="168" formatCode="#,##0.000##%"/>
    </dxf>
    <dxf>
      <numFmt numFmtId="165" formatCode="0.00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protection locked="0" hidden="0"/>
    </dxf>
    <dxf>
      <numFmt numFmtId="165" formatCode="0.000"/>
    </dxf>
    <dxf>
      <numFmt numFmtId="167" formatCode="0.000,;\-0.000,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##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7" formatCode="0.000,;\-0.000,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67" formatCode="0.000,;\-0.000,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69" formatCode="0.000%"/>
    </dxf>
    <dxf>
      <numFmt numFmtId="169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9" formatCode="0.0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68" formatCode="#,##0.000##%"/>
    </dxf>
    <dxf>
      <numFmt numFmtId="167" formatCode="0.000,;\-0.000,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protection locked="0" hidden="0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6" formatCode="#,##0.000"/>
    </dxf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protection locked="0" hidden="0"/>
    </dxf>
    <dxf>
      <numFmt numFmtId="167" formatCode="0.000,;\-0.000,"/>
    </dxf>
    <dxf>
      <numFmt numFmtId="19" formatCode="dd/mm/yyyy"/>
    </dxf>
    <dxf>
      <numFmt numFmtId="19" formatCode="dd/mm/yyyy"/>
    </dxf>
    <dxf>
      <numFmt numFmtId="168" formatCode="#,##0.000##%"/>
    </dxf>
    <dxf>
      <numFmt numFmtId="170" formatCode="#,##0.000%"/>
    </dxf>
    <dxf>
      <numFmt numFmtId="167" formatCode="0.000,;\-0.000,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6" formatCode="#,##0.000"/>
    </dxf>
    <dxf>
      <numFmt numFmtId="165" formatCode="0.000"/>
    </dxf>
    <dxf>
      <numFmt numFmtId="167" formatCode="0.000,;\-0.000,"/>
    </dxf>
    <dxf>
      <numFmt numFmtId="170" formatCode="#,##0.000%"/>
    </dxf>
    <dxf>
      <numFmt numFmtId="168" formatCode="#,##0.000##%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numFmt numFmtId="166" formatCode="#,##0.000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70" formatCode="#,##0.000%"/>
    </dxf>
    <dxf>
      <numFmt numFmtId="166" formatCode="#,##0.000"/>
    </dxf>
    <dxf>
      <numFmt numFmtId="167" formatCode="0.000,;\-0.000,"/>
    </dxf>
    <dxf>
      <numFmt numFmtId="165" formatCode="0.000"/>
    </dxf>
    <dxf>
      <alignment horizontal="right" vertical="bottom" textRotation="0" wrapText="0" indent="0" justifyLastLine="0" shrinkToFit="0" readingOrder="0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70" formatCode="#,##0.000%"/>
    </dxf>
    <dxf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6" formatCode="#,##0.000"/>
    </dxf>
    <dxf>
      <alignment horizontal="right" vertical="bottom" textRotation="0" wrapText="0" indent="0" justifyLastLine="0" shrinkToFit="0" readingOrder="0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numFmt numFmtId="167" formatCode="0.000,;\-0.000,"/>
    </dxf>
    <dxf>
      <numFmt numFmtId="168" formatCode="#,##0.000##%"/>
    </dxf>
    <dxf>
      <numFmt numFmtId="168" formatCode="#,##0.000##%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70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71" formatCode="_ * #,##0.000_ ;_ * \-#,##0.0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numFmt numFmtId="165" formatCode="0.0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7" formatCode="0.000,;\-0.000,"/>
    </dxf>
    <dxf>
      <numFmt numFmtId="170" formatCode="#,##0.000%"/>
    </dxf>
    <dxf>
      <numFmt numFmtId="168" formatCode="#,##0.000##%"/>
    </dxf>
    <dxf>
      <numFmt numFmtId="167" formatCode="0.000,;\-0.000,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70" formatCode="#,##0.000%"/>
    </dxf>
    <dxf>
      <numFmt numFmtId="170" formatCode="#,##0.000%"/>
    </dxf>
    <dxf>
      <numFmt numFmtId="167" formatCode="0.000,;\-0.000,"/>
    </dxf>
    <dxf>
      <numFmt numFmtId="165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71" formatCode="_ * #,##0.000_ ;_ * \-#,##0.000_ ;_ * &quot;-&quot;??_ ;_ @_ 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top style="hair">
          <color theme="1"/>
        </top>
      </border>
    </dxf>
    <dxf>
      <border outline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</dxfs>
  <tableStyles count="0" defaultPivotStyle="PivotStyleLight16"/>
  <colors>
    <mruColors>
      <color rgb="FFFF0066"/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5333</xdr:colOff>
      <xdr:row>0</xdr:row>
      <xdr:rowOff>0</xdr:rowOff>
    </xdr:from>
    <xdr:to>
      <xdr:col>4</xdr:col>
      <xdr:colOff>438150</xdr:colOff>
      <xdr:row>2</xdr:row>
      <xdr:rowOff>24766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83F0DA62-6CC3-9DBB-814D-7B6A3C5D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156850" y="0"/>
          <a:ext cx="432817" cy="4343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574783-115C-4EBA-B101-01495E7D13D3}" name="טבלה2" displayName="טבלה2" ref="A2:E32" totalsRowShown="0" headerRowDxfId="258" dataDxfId="256" headerRowBorderDxfId="257" tableBorderDxfId="255" totalsRowBorderDxfId="254">
  <autoFilter ref="A2:E32" xr:uid="{08574783-115C-4EBA-B101-01495E7D13D3}"/>
  <tableColumns count="5">
    <tableColumn id="1" xr3:uid="{5562D61C-FE96-4FA5-B014-EFB351FEF330}" name="נושא" dataDxfId="253"/>
    <tableColumn id="2" xr3:uid="{D18B44B7-6D35-4A30-8A2F-8BC31C591EDD}" name="שווי הוגן" dataDxfId="252"/>
    <tableColumn id="3" xr3:uid="{85EA5006-030B-426D-9B9D-FA0A95533E5C}" name="עלות מופחתת" dataDxfId="251"/>
    <tableColumn id="4" xr3:uid="{92F26F01-0474-41B3-AC37-D5FE45EA6A44}" name="השיטה שיושמה בדוח הכספי" dataDxfId="250"/>
    <tableColumn id="5" xr3:uid="{FEE99100-6EA4-4D7F-BE0A-48F99A1961E5}" name="שיעור מסך נכסי השקעה" dataDxfId="24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סכום נכסים" altTextSummary="סכום נכס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28966-D566-4187-8877-403C69E0B76B}" name="טבלה3" displayName="טבלה3" ref="A1:Q7" totalsRowShown="0" headerRowDxfId="248" headerRowBorderDxfId="247" tableBorderDxfId="246">
  <autoFilter ref="A1:Q7" xr:uid="{57628966-D566-4187-8877-403C69E0B76B}"/>
  <tableColumns count="17">
    <tableColumn id="1" xr3:uid="{5D1269FE-FE25-4FD6-9A5E-4F95787589B4}" name="מספר קופה/קרן/ח.פ. עבור חברת ביטוח"/>
    <tableColumn id="2" xr3:uid="{187383D0-7670-474B-A09B-A59A19288E71}" name="מספר מסלול"/>
    <tableColumn id="3" xr3:uid="{4EF74173-BE12-4F8F-8134-5B3133FEDD85}" name="שם הבנק"/>
    <tableColumn id="4" xr3:uid="{B6CE1D8B-418E-4DD3-94A8-ABAF5B8CED93}" name="מספר מזהה בנק"/>
    <tableColumn id="5" xr3:uid="{F509ED16-ED2C-45EE-B2E8-B9205C47E5D8}" name="סוג מספר מזהה בנק"/>
    <tableColumn id="6" xr3:uid="{B4EC08E8-5DEF-407A-8EE1-4FFB83ED826A}" name="מאפיין עיקרי"/>
    <tableColumn id="7" xr3:uid="{E7F6FAFD-0719-45A2-BF86-B74A44A0006A}" name="ישראל/חו&quot;ל"/>
    <tableColumn id="8" xr3:uid="{D516B559-5502-4E05-8FC5-B52C77F53A46}" name="בעל עניין/צד קשור"/>
    <tableColumn id="9" xr3:uid="{70BA843C-8F10-46AD-8273-9006918C8BE1}" name="דירוג הבנק"/>
    <tableColumn id="10" xr3:uid="{5C53ADD3-E1F8-487C-899B-1A3E1E1C60CB}" name="שם מדרג"/>
    <tableColumn id="11" xr3:uid="{17C5B578-69D5-4571-84FD-BDACBB964272}" name="מטבע פעילות"/>
    <tableColumn id="12" xr3:uid="{8ECA3ED9-5ECA-41DB-8577-3775A975440F}" name="שווי מטבעי" dataDxfId="245" dataCellStyle="Comma"/>
    <tableColumn id="13" xr3:uid="{D8FF8FD1-9BE1-4966-8B8E-2E561BFBCBE2}" name="שער חליפין" dataDxfId="244"/>
    <tableColumn id="14" xr3:uid="{B053BDBF-7108-42DA-8972-4F86568923AD}" name="שיעור ריבית"/>
    <tableColumn id="15" xr3:uid="{182254D0-F92A-48B4-9B46-AD29F26C19B9}" name="שווי הוגן (באלפי ש&quot;ח)" dataDxfId="243"/>
    <tableColumn id="16" xr3:uid="{1A559FCD-84FF-4752-9694-F3CDD679F912}" name="שיעור מנכסי אפיק ההשקעה" dataDxfId="242"/>
    <tableColumn id="17" xr3:uid="{8BBC3BC1-6917-46B4-ACFF-27BA1249D0C7}" name="שיעור מסך נכסי ההשקעה" dataDxfId="24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זומנים ושווי מזומנים" altTextSummary="מזומנים ושווי מזומנים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3E9B49-385B-4520-8D68-810CC4768CDC}" name="טבלה4" displayName="טבלה4" ref="A1:Z20" totalsRowShown="0" headerRowDxfId="240" headerRowBorderDxfId="239" tableBorderDxfId="238">
  <autoFilter ref="A1:Z20" xr:uid="{F83E9B49-385B-4520-8D68-810CC4768CDC}"/>
  <tableColumns count="26">
    <tableColumn id="1" xr3:uid="{1329E564-FC1C-4D76-A1F7-CDB731CABFDC}" name="מספר קופה/קרן/ח.פ. עבור חברת ביטוח"/>
    <tableColumn id="2" xr3:uid="{10B971EE-0417-4010-8F23-D3DA6E01DB0E}" name="מספר מסלול"/>
    <tableColumn id="3" xr3:uid="{7EFED3DE-8004-4CF0-8B17-8DB85E54C78E}" name="שם מנפיק"/>
    <tableColumn id="4" xr3:uid="{762F93F6-7BA4-4228-81EF-32BEB3A23FD0}" name="שם נייר ערך"/>
    <tableColumn id="5" xr3:uid="{7299F63E-1C2F-4E1D-B3F8-C9DC7B244808}" name="מספר נייר ערך"/>
    <tableColumn id="6" xr3:uid="{6BC21913-B664-4B5A-B2C0-90E29E89E16A}" name="מאפיין עיקרי"/>
    <tableColumn id="7" xr3:uid="{F6F58304-14DB-47AF-B184-53837E9E3A34}" name="ישראל/חו&quot;ל"/>
    <tableColumn id="8" xr3:uid="{38FAA113-3B23-484A-B1AD-FC1CE6FED7B9}" name="מדינה לפי חשיפה כלכלית"/>
    <tableColumn id="9" xr3:uid="{01399082-8C88-41A9-BAD7-CC30E90A6A41}" name="זירת מסחר"/>
    <tableColumn id="10" xr3:uid="{EF8DDA45-101B-4F06-A2E1-4E7D150F691E}" name="דירוג"/>
    <tableColumn id="11" xr3:uid="{24D61704-BAD9-47BD-B823-27F343BA0B19}" name="שם מדרג"/>
    <tableColumn id="12" xr3:uid="{24088362-82B5-4778-B962-087E9FE603CF}" name="מטבע פעילות"/>
    <tableColumn id="13" xr3:uid="{1ED12236-625B-46BE-BFD1-4D2DF7D4FCFA}" name="מח&quot;מ" dataDxfId="237"/>
    <tableColumn id="14" xr3:uid="{38A10E2E-3C53-4452-A897-027D91EB55D8}" name="מועד פדיון"/>
    <tableColumn id="15" xr3:uid="{D093BA47-3C4D-4F66-994E-21CC5EE70B45}" name="שיעור ריבית" dataDxfId="236"/>
    <tableColumn id="16" xr3:uid="{D42C4062-0CD3-4CFA-80C6-7788029EEFCB}" name="תשואה לפדיון" dataDxfId="235"/>
    <tableColumn id="17" xr3:uid="{1E4F1832-D3CD-4204-84C9-63767251A0FC}" name="סכום לקבל (במטבע הפעילות)"/>
    <tableColumn id="18" xr3:uid="{86B91848-145F-4913-BF8A-E1DBCABA8C95}" name="ערך נקוב (יחידות)" dataDxfId="234"/>
    <tableColumn id="19" xr3:uid="{4EF5A236-2DED-4FA3-9156-1D091CFB5D54}" name="שער חליפין" dataDxfId="233"/>
    <tableColumn id="20" xr3:uid="{7C75FCCA-9822-4DEF-8A0B-EE859E8AA598}" name="שער נייר הערך" dataDxfId="232"/>
    <tableColumn id="21" xr3:uid="{6751595D-F54F-4007-B07A-EF4F1E73B547}" name="שווי הוגן (באלפי ש&quot;ח)" dataDxfId="231" dataCellStyle="Comma"/>
    <tableColumn id="22" xr3:uid="{E27FE397-C268-4499-9549-5154BF62B11C}" name="עלות מופחתת (באלפי ש&quot;ח)" dataDxfId="230"/>
    <tableColumn id="23" xr3:uid="{915A8C6A-16ED-4D7B-9914-FA51D0FC60D5}" name="השיטה שיושמה בדוח הכספי" dataDxfId="229"/>
    <tableColumn id="24" xr3:uid="{BADC636D-036B-46DD-8454-0382CB7A7ADC}" name="שיעור מערך נקוב מונפק" dataDxfId="228"/>
    <tableColumn id="25" xr3:uid="{25EEF9DB-A404-415B-8E82-FB534E02A697}" name="שיעור מנכסי אפיק ההשקעה" dataDxfId="227"/>
    <tableColumn id="26" xr3:uid="{4320CF98-B8AA-439D-B68C-92D21C97FD46}" name="שיעור מסך נכסי ההשקעה" dataDxfId="22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 ממשלתיות" altTextSummary="איגרות חוב ממשלתיו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C61335-91EC-4290-92FC-6E31DDBA1DE7}" name="טבלה5" displayName="טבלה5" ref="A1:AJ79" totalsRowShown="0" headerRowDxfId="225" headerRowBorderDxfId="224" tableBorderDxfId="223">
  <autoFilter ref="A1:AJ79" xr:uid="{84C61335-91EC-4290-92FC-6E31DDBA1DE7}"/>
  <tableColumns count="36">
    <tableColumn id="1" xr3:uid="{C9F6D51B-03AA-45C2-B2EC-D8E6FC84924B}" name="מספר קופה/קרן/ח.פ. עבור חברת ביטוח"/>
    <tableColumn id="2" xr3:uid="{553C2FEE-75C2-41C2-82FF-CFA4C59BCE8B}" name="מספר מסלול"/>
    <tableColumn id="3" xr3:uid="{39BEE580-7957-4819-866D-13B47720DA15}" name="שם מנפיק"/>
    <tableColumn id="4" xr3:uid="{A42D4C1C-1737-4C0B-8D22-E73732A23A66}" name="מספר מנפיק"/>
    <tableColumn id="5" xr3:uid="{D9045867-8C88-46EC-9804-737B69A18EC6}" name="סוג מספר מזהה מנפיק"/>
    <tableColumn id="6" xr3:uid="{BEBE27EE-D634-4A03-B8FF-F3BF182873D1}" name="שם נייר ערך"/>
    <tableColumn id="7" xr3:uid="{83653E04-F8ED-482D-AE8A-BC34D5CB40EE}" name="מספר נייר ערך"/>
    <tableColumn id="8" xr3:uid="{4AA144DD-C2E7-4541-BC6E-B0C4E6DCFFD8}" name="סוג מספר נייר ערך"/>
    <tableColumn id="9" xr3:uid="{3BD1529E-88CC-44D6-A22A-F9DC773A2EAD}" name="מאפיין עיקרי"/>
    <tableColumn id="10" xr3:uid="{2A949B86-5ED7-4414-A652-46691AA5C197}" name="ישראל/חו&quot;ל"/>
    <tableColumn id="11" xr3:uid="{9CF3BD40-9686-4732-AC1A-F4DD31A04C23}" name="מדינה לפי חשיפה כלכלית"/>
    <tableColumn id="12" xr3:uid="{193C93FD-C9E9-4FAA-9F1F-E1ADF808F9CC}" name="סטאטוס סחירות"/>
    <tableColumn id="13" xr3:uid="{0B971363-17D7-4D0D-9E2E-3A5B106E8F0F}" name="זירת מסחר"/>
    <tableColumn id="14" xr3:uid="{AE9DAE1D-DAAC-45D3-AEBB-7982A626A19A}" name="ענף מסחר"/>
    <tableColumn id="15" xr3:uid="{FDFEAE3A-FA5B-4185-896C-70B4CBF36ED0}" name="בעל עניין/צד קשור"/>
    <tableColumn id="16" xr3:uid="{7D1DF5A3-1BE4-4A2A-AE06-069127A570B8}" name="דירוג"/>
    <tableColumn id="17" xr3:uid="{225F153C-9FD6-4119-A2E7-BE6F275A21CC}" name="שם מדרג"/>
    <tableColumn id="18" xr3:uid="{87FFB6FE-495D-4D1A-A058-9CC338D5C34A}" name="דירוג נייר הערך/המנפיק"/>
    <tableColumn id="19" xr3:uid="{CD80F1F4-B192-4E8C-B4B9-228D563D931A}" name="מטבע פעילות"/>
    <tableColumn id="20" xr3:uid="{30B6E02D-16C5-47E9-ABCC-9A3B3DDA5BC5}" name="מח&quot;מ" dataDxfId="222"/>
    <tableColumn id="21" xr3:uid="{A03D5341-8309-4708-9038-71595C0221BD}" name="מועד פדיון"/>
    <tableColumn id="22" xr3:uid="{0430547C-4045-49AA-87A1-C613774C0C66}" name="שיעור ריבית" dataDxfId="221"/>
    <tableColumn id="23" xr3:uid="{660F070C-8F0A-4A2F-B7A2-8311586227B0}" name="תשואה לפדיון" dataDxfId="220"/>
    <tableColumn id="24" xr3:uid="{196AD581-7936-4AF7-8971-5D40E1E12C07}" name="נחיתות חוזית"/>
    <tableColumn id="25" xr3:uid="{2297BF95-1588-4A53-BBC2-39205DF2BA93}" name="האם סווג כחוב בעייתי"/>
    <tableColumn id="26" xr3:uid="{D371C851-6F28-4405-A5C9-386644F2EFD2}" name="ערך נקוב (יחידות)" dataDxfId="219"/>
    <tableColumn id="27" xr3:uid="{B573FB4E-7F06-4193-B5DF-266F35572749}" name="שער חליפין" dataDxfId="218" dataCellStyle="Comma"/>
    <tableColumn id="28" xr3:uid="{06B30A83-791C-42BF-8B67-D87F7ED611D3}" name="שער נייר הערך" dataDxfId="217"/>
    <tableColumn id="29" xr3:uid="{8CBF530F-4653-480C-B7BC-6CE340F09C10}" name="סכום לקבל (במטבע הפעילות)" dataDxfId="216"/>
    <tableColumn id="30" xr3:uid="{E4D8626D-4C0F-4ED1-9C99-A8F2A185B9EC}" name="שווי הוגן (באלפי ש&quot;ח)" dataDxfId="215"/>
    <tableColumn id="31" xr3:uid="{B87A1591-C849-41C9-BE79-0A81BD7E3112}" name="עלות מופחתת (באלפי ש&quot;ח)" dataDxfId="214"/>
    <tableColumn id="32" xr3:uid="{29DF199C-2B18-4E81-8C9E-373AFE541F0B}" name="עלות מופחתת (במטבע הפעילות)" dataDxfId="213"/>
    <tableColumn id="33" xr3:uid="{A68195A1-453F-4E82-9022-9F1B7F0B5A5C}" name="השיטה שיושמה בדוח הכספי" dataDxfId="212"/>
    <tableColumn id="34" xr3:uid="{5F12DB4C-8CA3-4BC0-97E1-D734857FAEB2}" name="שיעור מערך נקוב מונפק" dataDxfId="211"/>
    <tableColumn id="35" xr3:uid="{72069F69-1F5F-4FF8-B4E4-61BF4FD77C8E}" name="שיעור מנכסי אפיק ההשקעה" dataDxfId="210"/>
    <tableColumn id="36" xr3:uid="{3B7C9CEA-61AC-4DEA-9D97-B331DD0FC67A}" name="שיעור מסך נכסי ההשקעה" dataDxfId="20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" altTextSummary="איגרות חוב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80CC2-1C70-4A91-AFF4-52FA7DB3B34F}" name="טבלה1" displayName="טבלה1" ref="A1:X64" totalsRowShown="0" headerRowDxfId="208" headerRowBorderDxfId="207" tableBorderDxfId="206">
  <autoFilter ref="A1:X64" xr:uid="{97C80CC2-1C70-4A91-AFF4-52FA7DB3B34F}"/>
  <tableColumns count="24">
    <tableColumn id="1" xr3:uid="{8A012BAA-25DC-4C42-883E-1925B33CDF72}" name="מספר קופה/קרן/ח.פ. עבור חברת ביטוח"/>
    <tableColumn id="2" xr3:uid="{F9F05AAC-271A-4BDD-8772-2FFB18C06D1D}" name="מספר מסלול"/>
    <tableColumn id="3" xr3:uid="{C0EB74DE-8054-4E0C-92BF-0EC5DB39527B}" name="שם מנפיק"/>
    <tableColumn id="4" xr3:uid="{7E99C266-4839-4B51-8E26-B3BD04ED61D3}" name="מספר מנפיק"/>
    <tableColumn id="5" xr3:uid="{B6E1E23D-02D1-474E-93F3-D5839A75D890}" name="סוג מספר מזהה מנפיק"/>
    <tableColumn id="6" xr3:uid="{F04D4F92-0195-42D0-904C-89A8470FF1BA}" name="שם נייר ערך"/>
    <tableColumn id="7" xr3:uid="{4D1C0572-0000-47BE-86EC-0DCCCBE174BC}" name="מספר נייר ערך"/>
    <tableColumn id="8" xr3:uid="{A989FA7C-4A03-4CA3-8D58-D84F0452A410}" name="סוג מספר נייר ערך"/>
    <tableColumn id="9" xr3:uid="{6A4D8821-DD54-4855-8361-3788F7BEA028}" name="מאפיין עיקרי"/>
    <tableColumn id="10" xr3:uid="{5F7A2BD8-5400-45C2-A0DF-D751CD2ECD8F}" name="ישראל/חו&quot;ל"/>
    <tableColumn id="11" xr3:uid="{D8F27B30-6077-4E83-88AD-49F28389C7F5}" name="מדינה לפי חשיפה כלכלית"/>
    <tableColumn id="12" xr3:uid="{26A02FFB-0763-4828-BA8A-E615032EF5E0}" name="סטאטוס סחירות"/>
    <tableColumn id="13" xr3:uid="{C16A9E42-1321-4F1B-848A-1806DDF9389A}" name="זירת מסחר"/>
    <tableColumn id="14" xr3:uid="{7A39DA54-80A4-4241-A01C-B87E7AB7D2A2}" name="ענף מסחר"/>
    <tableColumn id="15" xr3:uid="{05175A26-426E-48E7-99B4-13E003705FB2}" name="בעל עניין/צד קשור"/>
    <tableColumn id="16" xr3:uid="{57A29A97-9032-41D2-AB3E-980EE22E2DD0}" name="מטבע פעילות"/>
    <tableColumn id="17" xr3:uid="{4B8485E0-FA39-4331-A17D-8F26794F4B2C}" name="ערך נקוב (יחידות)" dataDxfId="205"/>
    <tableColumn id="18" xr3:uid="{0A86407C-EE3E-4B60-947F-5F4D56377985}" name="שער חליפין" dataDxfId="204"/>
    <tableColumn id="19" xr3:uid="{5F3F3B80-F2A1-45B8-BC70-4D0E4C52A586}" name="שער נייר הערך" dataDxfId="203"/>
    <tableColumn id="20" xr3:uid="{C3E0710A-619A-4A8A-954C-375BC8AE82A0}" name="סכום לקבל (במטבע הפעילות)" dataDxfId="202"/>
    <tableColumn id="21" xr3:uid="{96E41F71-E14B-466E-84D8-3C3C89A9B63E}" name="שווי הוגן (באלפי ש&quot;ח)" dataDxfId="201"/>
    <tableColumn id="22" xr3:uid="{C0C73950-275B-463E-96AD-62BAF0BF7AA1}" name="שיעור מערך נקוב מונפק" dataDxfId="200"/>
    <tableColumn id="23" xr3:uid="{A3F31379-E63D-4F00-8333-FB8C8DDD8F59}" name="שיעור מנכסי אפיק ההשקעה" dataDxfId="199"/>
    <tableColumn id="24" xr3:uid="{64C1FAD4-CBBA-4D5A-BD49-FBAE59D2CA94}" name="שיעור מסך נכסי ההשקעה" dataDxfId="19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ניות מבכ ויהש" altTextSummary="מניות מבכ ויהש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3E7B91-F595-472F-A1A9-C32A4AEDD834}" name="טבלה6" displayName="טבלה6" ref="A1:W41" totalsRowShown="0" headerRowDxfId="197" headerRowBorderDxfId="196" tableBorderDxfId="195">
  <autoFilter ref="A1:W41" xr:uid="{A53E7B91-F595-472F-A1A9-C32A4AEDD834}"/>
  <tableColumns count="23">
    <tableColumn id="1" xr3:uid="{50396993-7C11-4F67-9EC6-38C48760E0D6}" name="מספר קופה/קרן/ח.פ. עבור חברת ביטוח"/>
    <tableColumn id="2" xr3:uid="{DE8CD132-E229-4530-B402-7996C6914D2E}" name="מספר מסלול"/>
    <tableColumn id="3" xr3:uid="{A33C8B8C-ACD5-4DFA-B894-C842562120C4}" name="שם מנפיק"/>
    <tableColumn id="4" xr3:uid="{E82579E7-9805-4892-BB96-8AE994544B0F}" name="מספר מנפיק"/>
    <tableColumn id="5" xr3:uid="{5F66EE18-1203-4715-974A-876277D4FECF}" name="סוג מספר מזהה מנפיק"/>
    <tableColumn id="6" xr3:uid="{E5ADCF6D-70A5-4EE5-B88D-274E9ED026A6}" name="שם נייר ערך"/>
    <tableColumn id="7" xr3:uid="{5FF46001-0C43-43B3-B62D-3A9819830216}" name="מספר נייר ערך"/>
    <tableColumn id="8" xr3:uid="{D5379D9F-BC4B-4197-A1E0-DC9AF527522B}" name="סוג מספר נייר ערך"/>
    <tableColumn id="9" xr3:uid="{33B5947A-BF5D-4E44-A4BC-BDA20BB377C4}" name="מאפיין עיקרי"/>
    <tableColumn id="10" xr3:uid="{4A276C7B-EA7B-4EEC-9117-9B48AE6794D9}" name="ישראל/חו&quot;ל"/>
    <tableColumn id="11" xr3:uid="{5DEB3CAC-AD5A-40E8-B3EB-546AFDC92FEE}" name="מדינה לפי חשיפה כלכלית"/>
    <tableColumn id="12" xr3:uid="{16272046-E1FB-4A0A-A623-760184A26DC9}" name="זירת מסחר"/>
    <tableColumn id="13" xr3:uid="{8E6839D3-6836-49CB-8CEE-192D098C7972}" name="סיווג הקרן"/>
    <tableColumn id="14" xr3:uid="{B5C2E4A2-0392-4AAB-8272-46C2F7D3E2F3}" name="בעל עניין/צד קשור"/>
    <tableColumn id="15" xr3:uid="{A563F589-D531-4CB7-BD71-12735E59E30B}" name="מטבע פעילות"/>
    <tableColumn id="16" xr3:uid="{C2378ECF-3A4D-41B2-85F7-E1FCF0DFFD60}" name="ערך נקוב (יחידות)" dataDxfId="194"/>
    <tableColumn id="17" xr3:uid="{221F1E7A-DF23-4A21-9A2B-DEF643CF3918}" name="שער חליפין" dataDxfId="193"/>
    <tableColumn id="18" xr3:uid="{5832CEE6-0EE5-441E-BA5E-D1E2480BC2FC}" name="שער נייר הערך" dataDxfId="192"/>
    <tableColumn id="19" xr3:uid="{449C8C75-16CE-4E83-BA2E-C49915A28BB3}" name="סכום לקבל (במטבע הפעילות)" dataDxfId="191"/>
    <tableColumn id="20" xr3:uid="{0F1BA5DB-B7A7-4EF2-92E0-5C372CD0959B}" name="שווי הוגן (באלפי ש&quot;ח)" dataDxfId="190"/>
    <tableColumn id="21" xr3:uid="{866A1ED8-84BA-4414-8526-86F76A3939BA}" name="שיעור מערך נקוב מונפק" dataDxfId="189"/>
    <tableColumn id="22" xr3:uid="{924C6BCE-806F-4CFC-876F-113D6A5F072B}" name="שיעור מנכסי אפיק ההשקעה" dataDxfId="188"/>
    <tableColumn id="23" xr3:uid="{90FA2B97-AB0C-489F-8E61-17253256721A}" name="שיעור מסך נכסי ההשקעה" dataDxfId="18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סל" altTextSummary="קרנות סל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B7363B-48A3-4069-BAF8-E49E66C32FCA}" name="טבלה7" displayName="טבלה7" ref="A1:W8" totalsRowShown="0" headerRowDxfId="186" headerRowBorderDxfId="185" tableBorderDxfId="184">
  <autoFilter ref="A1:W8" xr:uid="{89B7363B-48A3-4069-BAF8-E49E66C32FCA}"/>
  <tableColumns count="23">
    <tableColumn id="1" xr3:uid="{AFCF66CE-CC51-4FC4-80E7-0FAEA537DB9C}" name="מספר קופה/קרן/ח.פ. עבור חברת ביטוח"/>
    <tableColumn id="2" xr3:uid="{6D87433F-A59F-4B12-B33B-F804FB662589}" name="מספר מסלול"/>
    <tableColumn id="3" xr3:uid="{7BF2AEB1-2B98-4CD1-B999-63196944DEA9}" name="שם מנפיק"/>
    <tableColumn id="4" xr3:uid="{A9C9DB0B-4F94-4EFD-85FB-1B0F7057A9B0}" name="מספר מנפיק"/>
    <tableColumn id="5" xr3:uid="{80927BCD-DBAE-40FB-8893-6AE3EA065957}" name="סוג מספר מזהה מנפיק"/>
    <tableColumn id="6" xr3:uid="{CCC928C8-B2BD-4F09-BE80-C94A1D2ADDE8}" name="שם נייר ערך "/>
    <tableColumn id="7" xr3:uid="{6A0E8ABE-AF1E-4260-B435-B2B35FD87B27}" name="מספר נייר ערך"/>
    <tableColumn id="8" xr3:uid="{D4025B17-D536-49D2-A494-CEC01461321D}" name="סוג מספר נייר ערך"/>
    <tableColumn id="9" xr3:uid="{3463BDB7-CA4A-47CA-8751-91DE20F75880}" name="מאפיין עיקרי"/>
    <tableColumn id="10" xr3:uid="{6EAEA3B6-1B06-4CFF-9907-3572FF241DB8}" name="ישראל/חו&quot;ל"/>
    <tableColumn id="11" xr3:uid="{01234B4C-7600-4681-92A4-B81C34F3722E}" name="מדינה לפי חשיפה כלכלית"/>
    <tableColumn id="12" xr3:uid="{546AB10D-7A6A-494C-A8BC-96715A79962C}" name="סטאטוס סחירות"/>
    <tableColumn id="13" xr3:uid="{177D08B6-8C91-4DBF-9AE5-4BCB36E06412}" name="זירת מסחר"/>
    <tableColumn id="14" xr3:uid="{79B2888D-7E24-406E-95BA-581578EB36BD}" name="סיווג הקרן"/>
    <tableColumn id="15" xr3:uid="{0FF7D5DC-C3A3-4E56-857B-FE7AB96EA768}" name="בעל עניין/צד קשור"/>
    <tableColumn id="16" xr3:uid="{4504ACC1-AB92-473D-8386-BC15A49EA4E1}" name="מטבע פעילות"/>
    <tableColumn id="17" xr3:uid="{AE5BC8DE-B8B6-462C-AA53-F56923065FB0}" name="ערך נקוב (יחידות)" dataDxfId="183"/>
    <tableColumn id="18" xr3:uid="{2B81F3FB-9837-4199-A305-41D837C5FBF1}" name="שער חליפין"/>
    <tableColumn id="19" xr3:uid="{C3676A6B-2F66-4F0D-B60F-90D43D7F5A14}" name="שער נייר הערך" dataDxfId="182"/>
    <tableColumn id="20" xr3:uid="{C166F796-D516-4286-B5F9-B911C4D80889}" name="שווי הוגן (באלפי ש&quot;ח)" dataDxfId="181" dataCellStyle="Comma"/>
    <tableColumn id="21" xr3:uid="{76731447-A5FE-41A6-B60C-1ADA03267B35}" name="שיעור מערך נקוב מונפק" dataDxfId="180"/>
    <tableColumn id="22" xr3:uid="{BC8A3702-A019-4F8A-A7CA-BAFCCDB39D6F}" name="שיעור מנכסי אפיק ההשקעה" dataDxfId="179"/>
    <tableColumn id="23" xr3:uid="{8E08B46F-8007-4996-A811-D82E01DB1E25}" name="שיעור מסך נכסי ההשקעה" dataDxfId="17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נאמנות" altTextSummary="קרנות נאמנות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F35917-B2FB-4693-BC7E-7AEDD7FA6767}" name="טבלה8" displayName="טבלה8" ref="A1:R88" totalsRowShown="0" headerRowDxfId="177" headerRowBorderDxfId="176" tableBorderDxfId="175">
  <autoFilter ref="A1:R88" xr:uid="{2DF35917-B2FB-4693-BC7E-7AEDD7FA6767}"/>
  <tableColumns count="18">
    <tableColumn id="1" xr3:uid="{CC32B8A2-4815-4B43-965F-02F2CB9CC0C2}" name="מספר קופה/קרן/ח.פ. עבור חברת ביטוח"/>
    <tableColumn id="2" xr3:uid="{095B8B68-8719-4BED-AD8D-05D3793E9E9E}" name="מספר מסלול"/>
    <tableColumn id="3" xr3:uid="{0E9919A5-A8EA-478A-8AFF-B26E36FC440D}" name="מאפיין עיקרי"/>
    <tableColumn id="4" xr3:uid="{CE159C83-6CFC-48E9-9B62-7BB72CA13FA3}" name="שם נייר ערך"/>
    <tableColumn id="5" xr3:uid="{EFDFFC14-EC57-4ACB-92FD-9E6EA45E3D26}" name="מספר נייר ערך"/>
    <tableColumn id="6" xr3:uid="{3007D25E-3297-4055-A210-F2DC2A3346B4}" name="תאריך רכישה"/>
    <tableColumn id="7" xr3:uid="{DD515A60-BD51-4C25-AF25-5C80FC091B92}" name="מח&quot;מ" dataDxfId="174"/>
    <tableColumn id="8" xr3:uid="{DE62087B-4344-428E-AF87-BE8BB4A26F4E}" name="סוג הצמדה"/>
    <tableColumn id="9" xr3:uid="{FE966229-16F7-4BB4-8A74-0036166B65BC}" name="מועד פדיון"/>
    <tableColumn id="10" xr3:uid="{169A6FAA-02B7-4FF6-BD94-2AC5414EABB7}" name="שיעור ריבית" dataDxfId="173"/>
    <tableColumn id="11" xr3:uid="{742298FC-129C-4BD4-94A4-508F15E431ED}" name="תשואה לפדיון" dataDxfId="172"/>
    <tableColumn id="12" xr3:uid="{38427C44-6800-4498-97C1-9654C8700791}" name="ערך נקוב (יחידות)" dataDxfId="171"/>
    <tableColumn id="13" xr3:uid="{42F438A0-F45E-4FA6-B84A-1A73B4AEC8FC}" name="שער נייר הערך" dataDxfId="170"/>
    <tableColumn id="14" xr3:uid="{5BDF2126-B557-495D-9AEC-AA83301D7778}" name="שווי הוגן (באלפי ש&quot;ח)" dataDxfId="169"/>
    <tableColumn id="15" xr3:uid="{D5EF3F4C-91B5-49CD-A347-4E5AD1E639A4}" name="עלות מופחתת (באלפי ש&quot;ח)" dataDxfId="168"/>
    <tableColumn id="16" xr3:uid="{1E0324A0-E950-491E-A320-3E9A1CABD908}" name="השיטה שיושמה בדוח הכספי"/>
    <tableColumn id="17" xr3:uid="{5A4E21D2-240F-47DF-BF2B-4F33202FE7C2}" name="שיעור מנכסי אפיק ההשקעה" dataDxfId="167"/>
    <tableColumn id="18" xr3:uid="{C9F2B8C0-5731-4009-9D32-E429BEFA6EDA}" name="שיעור מסך נכסי ההשקעה" dataDxfId="16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יועדות" altTextSummary="לא סחיר איגרות חוב מיועדות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88168E-2D77-47CC-8A79-41A792A9450D}" name="טבלה9" displayName="טבלה9" ref="A1:AL10" totalsRowShown="0" headerRowDxfId="165" dataDxfId="163" headerRowBorderDxfId="164" tableBorderDxfId="162">
  <autoFilter ref="A1:AL10" xr:uid="{C688168E-2D77-47CC-8A79-41A792A9450D}"/>
  <tableColumns count="38">
    <tableColumn id="1" xr3:uid="{B9A5DA10-91C0-4153-9967-02C8786B8568}" name="מספר קופה/קרן/ח.פ. עבור חברת ביטוח"/>
    <tableColumn id="2" xr3:uid="{675B417B-0C54-41F1-BD35-81148EF26194}" name="מספר מסלול"/>
    <tableColumn id="3" xr3:uid="{DA4436B7-9084-471B-8E1C-26F0E027ECC2}" name="שם מנפיק"/>
    <tableColumn id="4" xr3:uid="{24901907-9C71-41B3-BA6C-D85C816ECC06}" name="מספר מנפיק"/>
    <tableColumn id="5" xr3:uid="{DF39D4D9-FA39-489E-B551-501BCB04374B}" name="סוג מספר מזהה מנפיק"/>
    <tableColumn id="6" xr3:uid="{230E893A-EFC9-4CF7-8E9A-921B6D790B82}" name="שם נייר ערך"/>
    <tableColumn id="7" xr3:uid="{715AEB80-D6AB-4F0F-9A4C-98C57FB8018C}" name="מספר נייר ערך"/>
    <tableColumn id="8" xr3:uid="{121C9218-6AA9-4679-A928-131332A3A2A6}" name="סוג מספר נייר ערך"/>
    <tableColumn id="9" xr3:uid="{AB6A72F9-0E05-486B-975C-C2ABA0F1B792}" name="מאפיין עיקרי"/>
    <tableColumn id="10" xr3:uid="{121164E5-59B9-40E4-B56C-BA6B78E877E2}" name="ישראל/חו&quot;ל"/>
    <tableColumn id="11" xr3:uid="{4CBAF686-6159-4361-94FE-CCE40AE60656}" name="מדינה לפי חשיפה כלכלית"/>
    <tableColumn id="12" xr3:uid="{1761CC58-8652-4909-AF84-044BDEAF3625}" name="סטאטוס סחירות"/>
    <tableColumn id="13" xr3:uid="{0DFD5B7F-0C54-4A28-AE97-849121150E23}" name="ענף מסחר"/>
    <tableColumn id="14" xr3:uid="{4B6A3C28-0E34-4AF2-BAB2-31E21B41F8AF}" name="בעל עניין/צד קשור"/>
    <tableColumn id="15" xr3:uid="{2E6F1A42-68C8-47B4-A208-FCB1A63C678D}" name="תאריך רכישה"/>
    <tableColumn id="16" xr3:uid="{BA69ED1E-1E28-4654-9BB7-4ECDF661E5B2}" name="דירוג"/>
    <tableColumn id="17" xr3:uid="{56EA1435-19DD-4FF5-A43F-5F4359460FDC}" name="שם מדרג"/>
    <tableColumn id="18" xr3:uid="{A593B804-01EB-45FA-9463-3F6983C5C5AD}" name="דירוג נייר הערך/המנפיק"/>
    <tableColumn id="19" xr3:uid="{C9702A89-0849-44A3-8CF2-17A0BBF2211E}" name="מטבע פעילות"/>
    <tableColumn id="20" xr3:uid="{92227753-2D81-4D67-BE3C-82B1793C662D}" name="מח&quot;מ" dataDxfId="161"/>
    <tableColumn id="21" xr3:uid="{F96A8868-EB5B-472A-9299-03AC66E1DA64}" name="מועד פדיון"/>
    <tableColumn id="22" xr3:uid="{302A4FF4-BB2C-4E48-B1F1-EA87E20452B9}" name="תשואה לפדיון" dataDxfId="160"/>
    <tableColumn id="23" xr3:uid="{5C111B51-9442-4196-A0C9-447424C43084}" name="שיעור ריבית" dataDxfId="159"/>
    <tableColumn id="24" xr3:uid="{EC28B896-3B72-4170-841D-146657665FA6}" name="נחיתות חוזית"/>
    <tableColumn id="25" xr3:uid="{214C2FF9-32E4-464B-95EA-8665D52EE20C}" name="האם סווג כחוב בעייתי"/>
    <tableColumn id="26" xr3:uid="{4DAE44F2-3F9C-496D-B5A5-211D73E251B3}" name="סוג גורם משערך"/>
    <tableColumn id="27" xr3:uid="{52C815B0-9BEE-4658-90DF-4F770304DB64}" name="תלות/אי-תלות המשערך"/>
    <tableColumn id="28" xr3:uid="{963F6EA3-A9CF-451D-8CA4-8CA1A3F96868}" name="תאריך שערוך אחרון" dataDxfId="158"/>
    <tableColumn id="29" xr3:uid="{97007E4B-FA5E-4473-B56F-B64F3B0AD996}" name="תאריך אחרון בו נבחנה בפועל ירידת ערך" dataDxfId="157"/>
    <tableColumn id="30" xr3:uid="{878BAB9A-69D0-4F82-989F-FD5D16EADE5B}" name="ערך נקוב (יחידות)" dataDxfId="156"/>
    <tableColumn id="31" xr3:uid="{211372D6-4858-494D-9BAC-606FBD331D0E}" name="שער חליפין" dataDxfId="155"/>
    <tableColumn id="32" xr3:uid="{CE2CD9D4-B8CA-4211-B9A7-A090E1830130}" name="שער נייר הערך" dataDxfId="154"/>
    <tableColumn id="33" xr3:uid="{A81114A2-D408-4A31-9F08-211AC3F564FD}" name="שווי הוגן (באלפי ש&quot;ח)" dataDxfId="153"/>
    <tableColumn id="34" xr3:uid="{C3BA32B1-4C9D-4D82-AE1F-9EA6CF3A21CD}" name="עלות מופחתת (באלפי ש&quot;ח)" dataDxfId="152"/>
    <tableColumn id="35" xr3:uid="{DB1F35D7-92E6-42F4-8EB8-CB032395FA8B}" name="עלות מופחתת (במטבע הפעילות)" dataDxfId="151"/>
    <tableColumn id="36" xr3:uid="{05E8609D-EFD5-4C60-8D12-5CAEE13454F6}" name="השיטה שיושמה בדוח הכספי" dataDxfId="150"/>
    <tableColumn id="37" xr3:uid="{CC07C664-5FB8-47CB-A1CF-58FCA3CCFA1E}" name="שיעור מנכסי אפיק ההשקעה" dataDxfId="149"/>
    <tableColumn id="38" xr3:uid="{ABC21093-40A5-4D7F-8436-7D247042B998}" name="שיעור מסך נכסי ההשקעה" dataDxfId="14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" altTextSummary="לא סחיר איגרות חוב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2900E1-532F-4C4F-BE8D-D7CD4850DA17}" name="טבלה10" displayName="טבלה10" ref="A1:Z2" totalsRowShown="0" headerRowDxfId="147" headerRowBorderDxfId="146" tableBorderDxfId="145">
  <autoFilter ref="A1:Z2" xr:uid="{BC2900E1-532F-4C4F-BE8D-D7CD4850DA17}"/>
  <tableColumns count="26">
    <tableColumn id="1" xr3:uid="{35222EB7-982E-448E-B780-6AAECD181438}" name="מספר קופה/קרן/ח.פ. עבור חברת ביטוח"/>
    <tableColumn id="2" xr3:uid="{894F7A79-F4B6-4031-AC3B-FABAACD95625}" name="מספר מסלול"/>
    <tableColumn id="3" xr3:uid="{3044F4EE-9E8D-4082-BD91-A95D0028741E}" name="שם מנפיק"/>
    <tableColumn id="4" xr3:uid="{7380E08A-0808-4C12-918E-413283727064}" name="מספר מנפיק"/>
    <tableColumn id="5" xr3:uid="{DF0FEAEE-5D1D-44B2-A626-77D299BDC265}" name="סוג מספר מזהה מנפיק"/>
    <tableColumn id="6" xr3:uid="{3ECE0811-6985-4B27-82AA-7968340BDB23}" name="שם נייר ערך"/>
    <tableColumn id="7" xr3:uid="{8B2D6817-9F38-4A9E-BB8C-A063AC18A07C}" name="מספר נייר ערך"/>
    <tableColumn id="8" xr3:uid="{9F563BE3-4950-483E-BB63-5AAF9D3BBD54}" name="סוג מספר נייר ערך"/>
    <tableColumn id="9" xr3:uid="{C8E52C35-CA70-4F30-B3F5-A28BEA193D0E}" name="מאפיין עיקרי"/>
    <tableColumn id="10" xr3:uid="{76C9EA8D-0CCE-480F-A140-D0EDF54B2A90}" name="ישראל/חו&quot;ל"/>
    <tableColumn id="11" xr3:uid="{658B16B5-BC90-46DC-8F30-56AD7E1B31CD}" name="מדינה לפי חשיפה כלכלית"/>
    <tableColumn id="12" xr3:uid="{777C7663-83A0-4422-B91A-7E1170485D1B}" name="סטאטוס סחירות"/>
    <tableColumn id="13" xr3:uid="{8895DCE1-39EA-459C-85A4-DBAA96BB3BEF}" name="ענף מסחר"/>
    <tableColumn id="14" xr3:uid="{41DE597A-ECFF-40BB-B8E3-EE59FBD9E0F5}" name="בעל עניין/צד קשור"/>
    <tableColumn id="15" xr3:uid="{05A603A2-408D-4587-A789-CC4015E04547}" name="תאריך רכישה"/>
    <tableColumn id="16" xr3:uid="{81AF9E03-5637-49AB-8E23-03C4F9680F05}" name="מטבע פעילות"/>
    <tableColumn id="17" xr3:uid="{CA9ACE2E-937E-4C82-AE88-BA027DD9D423}" name="סוג גורם משערך"/>
    <tableColumn id="18" xr3:uid="{F47C8A44-1DC7-4005-A25C-D9A989D30E64}" name="תלות/אי-תלות המשערך"/>
    <tableColumn id="19" xr3:uid="{B3F2C3FB-77B1-4C1B-9576-2DBA65A595E1}" name="תאריך שערוך אחרון"/>
    <tableColumn id="20" xr3:uid="{F3301A23-10ED-480F-8D84-A71B46D9EB07}" name="תאריך אחרון בו נבחנה בפועל ירידת ערך"/>
    <tableColumn id="21" xr3:uid="{C970158C-2339-497C-807E-C18A8DA296A0}" name="ערך נקוב (יחידות)" dataDxfId="144"/>
    <tableColumn id="22" xr3:uid="{92C72872-3CC5-4EC8-BD0B-AB8BB97C840F}" name="שער חליפין" dataDxfId="143"/>
    <tableColumn id="23" xr3:uid="{97EE8099-2950-44B2-A184-2029190AA2E6}" name="שער נייר הערך"/>
    <tableColumn id="24" xr3:uid="{49DE210B-3B18-4462-933F-82BB8CA51B62}" name="שווי הוגן (באלפי ש&quot;ח)" dataDxfId="142"/>
    <tableColumn id="25" xr3:uid="{B27A6B18-B730-4CA1-8EC1-046FF02E2542}" name="שיעור מנכסי אפיק ההשקעה" dataDxfId="141"/>
    <tableColumn id="26" xr3:uid="{04D2A51E-7A51-460B-A92B-D0601DFCEB7C}" name="שיעור מסך נכסי ההשקעה" dataDxfId="14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ניות מבכ ויהש" altTextSummary="לא סחיר מניות מבכ ויהש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86565D-7A3E-483D-ABBA-0220C1155298}" name="טבלה11" displayName="טבלה11" ref="A1:AA89" totalsRowShown="0" headerRowDxfId="139" dataDxfId="138">
  <autoFilter ref="A1:AA89" xr:uid="{F386565D-7A3E-483D-ABBA-0220C1155298}"/>
  <tableColumns count="27">
    <tableColumn id="1" xr3:uid="{0B42507E-A119-46DF-8588-2D0C376331AC}" name="מספר קופה/קרן/ח.פ. עבור חברת ביטוח" dataDxfId="137"/>
    <tableColumn id="2" xr3:uid="{5A3D16D8-785E-4C9C-9E29-01A3A02BC2B0}" name="מספר מסלול" dataDxfId="136"/>
    <tableColumn id="3" xr3:uid="{9243A846-714A-4247-A756-A60338DCD9CF}" name="שם שותף כללי קרן השקעות" dataDxfId="135"/>
    <tableColumn id="4" xr3:uid="{FBD00E23-8D5B-4C7E-9159-8944EA655503}" name="מספר מזהה שותף כללי קרן השקעות" dataDxfId="134"/>
    <tableColumn id="5" xr3:uid="{37BB53E2-8582-4C38-8A7A-2BA1C80C0FD1}" name="סוג מספר מזהה שותף כללי קרן השקעות" dataDxfId="133"/>
    <tableColumn id="6" xr3:uid="{ABA150C9-9E85-4B7E-84B4-307544BCAA72}" name="שם קרן השקעה" dataDxfId="132"/>
    <tableColumn id="7" xr3:uid="{6B0D6011-7728-42CF-BDAE-41F556EFEA28}" name="מספר מזהה קרן השקעה" dataDxfId="131"/>
    <tableColumn id="8" xr3:uid="{30FE96AD-83C6-416C-9293-A6FA57B13F8C}" name="סוג מספר מזהה קרן השקעות" dataDxfId="130"/>
    <tableColumn id="9" xr3:uid="{CE9188AB-5032-4045-B5DA-B275F58691E0}" name="מאפיין עיקרי" dataDxfId="129"/>
    <tableColumn id="10" xr3:uid="{8D292463-6827-407E-93BE-D1539653A601}" name="אסטרטגיית קרן ההשקעה" dataDxfId="128"/>
    <tableColumn id="11" xr3:uid="{C6406466-02EE-4E89-A5DE-1D5F8B133B4E}" name="ישראל/חו&quot;ל" dataDxfId="127"/>
    <tableColumn id="12" xr3:uid="{8E1CE380-2F38-4D26-82AD-51B754615D04}" name="מדינת התאגדות קרן השקעה" dataDxfId="126"/>
    <tableColumn id="13" xr3:uid="{491875E1-5C2E-4E1A-82B7-2FACA435EFD4}" name="מיקום משרד השותף הכללי" dataDxfId="125"/>
    <tableColumn id="14" xr3:uid="{1E5549C6-6998-4FAD-AB13-8709A0273027}" name="מדינה לפי חשיפה כלכלית" dataDxfId="124"/>
    <tableColumn id="15" xr3:uid="{04A5340A-723E-450B-8D66-CCF507C08856}" name="בעל עניין/צד קשור" dataDxfId="123"/>
    <tableColumn id="16" xr3:uid="{3F453114-121E-4B96-877A-16528C825DCD}" name="תאריך רכישה" dataDxfId="122"/>
    <tableColumn id="17" xr3:uid="{D56A4AD9-107E-4799-90CD-C5A10440A6F4}" name="מטבע פעילות" dataDxfId="121"/>
    <tableColumn id="18" xr3:uid="{D69A0D0B-FC54-448B-B596-661C859E3410}" name="סוג גורם משערך" dataDxfId="120"/>
    <tableColumn id="19" xr3:uid="{B039A088-C0E5-4212-943E-9D00E17F4C9C}" name="תלות/אי-תלות המשערך" dataDxfId="119"/>
    <tableColumn id="20" xr3:uid="{52CCA435-44D0-49F5-BEE6-4AEF70C16EAA}" name="תאריך שערוך אחרון" dataDxfId="118"/>
    <tableColumn id="21" xr3:uid="{7D99C8D7-36E5-4BB3-B27E-DDCC362DFB73}" name="שער חליפין" dataDxfId="117"/>
    <tableColumn id="22" xr3:uid="{8A1EE9FC-6976-4DD5-84CC-6AD6273FC288}" name="NAV_x000a_(במטבע הדיווח של קרן ההשקעה)" dataDxfId="116" dataCellStyle="Comma"/>
    <tableColumn id="23" xr3:uid="{D8320017-8358-4E26-865E-0689BE478AF9}" name="שווי הוגן (באלפי ש&quot;ח)" dataDxfId="115"/>
    <tableColumn id="24" xr3:uid="{22967938-5E82-4BA2-B29B-82565CA2344E}" name="שיעור החזקה בקרן השקעה" dataDxfId="114" dataCellStyle="Percent"/>
    <tableColumn id="25" xr3:uid="{88E81F7D-B4D2-4540-B66D-650B216A68F5}" name="שיעור מנכסי אפיק ההשקעה" dataDxfId="113"/>
    <tableColumn id="26" xr3:uid="{218E1600-67ED-444A-8C27-BC36196FDBF5}" name="שיעור מסך נכסי ההשקעה" dataDxfId="112"/>
    <tableColumn id="27" xr3:uid="{36A5F9BB-D44F-4A31-BE33-2649BF062D9E}" name="עמודה1" dataDxfId="111">
      <calculatedColumnFormula>V2*U2/1000-W2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השקעה" altTextSummary="קרנות השקעה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C8C595-0D1C-4F0E-8B8A-98B04EA1AC5B}" name="טבלה12" displayName="טבלה12" ref="A1:AO3" totalsRowShown="0" headerRowDxfId="110" headerRowBorderDxfId="109" tableBorderDxfId="108">
  <autoFilter ref="A1:AO3" xr:uid="{73C8C595-0D1C-4F0E-8B8A-98B04EA1AC5B}"/>
  <tableColumns count="41">
    <tableColumn id="1" xr3:uid="{1F011A37-CA6C-4A32-968F-C483AE8A9A4A}" name="מספר קופה/קרן/ח.פ. עבור חברת ביטוח"/>
    <tableColumn id="2" xr3:uid="{E05D2ED6-C16A-44DE-AFE1-2E76D6919785}" name="מספר מסלול"/>
    <tableColumn id="3" xr3:uid="{C631245D-07E4-4C73-895E-693A34D0655E}" name="מאפיין עיקרי"/>
    <tableColumn id="4" xr3:uid="{DC91B4E3-C426-40D4-AC58-01538FD686DC}" name="מספר עסקה (רגל 1)"/>
    <tableColumn id="5" xr3:uid="{7F89FC62-5987-4B64-9FB8-D0FB0E587222}" name="מטבע פעילות (רגל 1)" dataDxfId="107"/>
    <tableColumn id="6" xr3:uid="{AC1CAE66-8A9F-4CF1-9991-180F194CB991}" name="שער חליפין" dataDxfId="106"/>
    <tableColumn id="7" xr3:uid="{DA34BF9D-362B-4B76-9CFD-8386178F3A72}" name="ערך נקוב (רגל 1)" dataDxfId="105" dataCellStyle="Comma"/>
    <tableColumn id="8" xr3:uid="{C0519473-0164-488B-9B22-3548A473AFE9}" name="שווי הוגן במטבע הנסחר (רגל 1)" dataDxfId="104" dataCellStyle="Comma"/>
    <tableColumn id="9" xr3:uid="{ABF1F673-B866-4A2C-AA21-E473C68E4E24}" name="שיעור מנכסי אפיק ההשקעה (רגל 1)" dataDxfId="103"/>
    <tableColumn id="10" xr3:uid="{E517C3C3-C8C9-4045-9805-C95B7ED49008}" name="שיעור מסך נכסי ההשקעה (רגל 1)" dataDxfId="102"/>
    <tableColumn id="11" xr3:uid="{B7DDD34E-5863-44A0-90CB-52DF009BBD90}" name="מספר עסקה (רגל 2)"/>
    <tableColumn id="12" xr3:uid="{42BD2EE2-97F5-4D42-B051-EC3398FADF62}" name="מטבע פעילות (רגל 2)" dataDxfId="101"/>
    <tableColumn id="13" xr3:uid="{2E44F264-061C-4485-B68B-CD4138A6F6CB}" name="שער חליפין2" dataDxfId="100"/>
    <tableColumn id="14" xr3:uid="{B678B9C1-87E2-456E-A578-827AF5C9C1F9}" name="ערך נקוב (רגל 2)" dataDxfId="99" dataCellStyle="Comma"/>
    <tableColumn id="15" xr3:uid="{A5628074-1EA1-40FC-9B25-65F2A5E3402B}" name="שווי הוגן במטבע הנסחר (רגל 2)" dataDxfId="98" dataCellStyle="Comma"/>
    <tableColumn id="16" xr3:uid="{ED9A36FB-33F4-4BA7-BC79-9A523FEEE7AD}" name="שיעור מנכסי ההשקעה (רגל 2)"/>
    <tableColumn id="17" xr3:uid="{5545BA5A-3DCB-410C-A169-C9A47E4E6C6A}" name="שיעור מסך אפיק ההשקעה (רגל 2)"/>
    <tableColumn id="18" xr3:uid="{40E36B03-45FD-4340-B6F1-E99BC31803B8}" name="שווי הוגן (נטו  באלפי ש&quot;ח)" dataDxfId="97"/>
    <tableColumn id="19" xr3:uid="{7B804361-23DC-4C51-9E6D-490235612C20}" name="ישראל/חו&quot;ל"/>
    <tableColumn id="20" xr3:uid="{3D7B5F2C-E94A-46AC-AB12-88C55E872BD5}" name="מדינה לפי חשיפה כלכלית" dataDxfId="96"/>
    <tableColumn id="21" xr3:uid="{ED88BB39-931D-4E65-91BD-67A3F00E5B87}" name="סוג הנכס" dataDxfId="95"/>
    <tableColumn id="22" xr3:uid="{25C28030-18B3-4A4B-A5BE-3342DA692E25}" name="פקטור מוביל"/>
    <tableColumn id="23" xr3:uid="{9B453ECB-4D86-4A65-BAF4-ABB38DAA2D68}" name="פקטור נוסף"/>
    <tableColumn id="24" xr3:uid="{4D5517DE-DD4C-4EC7-99B5-0327BDAF2685}" name="טיקר" dataDxfId="94"/>
    <tableColumn id="25" xr3:uid="{AED3E8E2-0668-46E0-8A91-4F558F12C7C2}" name="בעל עניין/צד קשור"/>
    <tableColumn id="26" xr3:uid="{82AE4F2D-6824-4E47-8F40-BDF02B494CE8}" name="מועד ההתקשרות בעסקה" dataDxfId="93"/>
    <tableColumn id="27" xr3:uid="{1F082DE4-F677-492B-806E-2655849FE23D}" name="מועד סיום חוזי" dataDxfId="92"/>
    <tableColumn id="28" xr3:uid="{E8EBE5A5-E6FE-4EC6-9DFF-7FCA897A203A}" name="תדירות Reset"/>
    <tableColumn id="29" xr3:uid="{85A4B328-4101-4889-BBB9-AAF994512A1B}" name="סוג הסליקה" dataDxfId="91"/>
    <tableColumn id="30" xr3:uid="{D1E454F1-722D-4081-9EC7-B44EE7ED95E4}" name="נספח התחשבנות בטחונות - CSA" dataDxfId="90"/>
    <tableColumn id="31" xr3:uid="{0D11D44B-D0AF-4992-A261-F83E95280F65}" name="גורם מצטט" dataDxfId="89"/>
    <tableColumn id="32" xr3:uid="{B2184CF4-1041-4AF9-B1A6-A96097EE8C33}" name="ריבית עוגן" dataDxfId="88"/>
    <tableColumn id="33" xr3:uid="{1C72DBA0-B362-424B-BF1C-28F25E1396F8}" name="תקופת ריבית עוגן"/>
    <tableColumn id="34" xr3:uid="{683504B7-7355-4F75-9376-279C8C6665C0}" name="שיעור ריבית עוגן"/>
    <tableColumn id="35" xr3:uid="{5D2955E8-807B-4E0D-8393-5143A26B7EE6}" name="שער נכס הבסיס במועד ההתקשרות בעסקה"/>
    <tableColumn id="36" xr3:uid="{B7492B9F-9B5D-419C-9AE8-6A1CBE54EC06}" name="שער הנגזר במועד ההתקשרות בעסקה" dataDxfId="87"/>
    <tableColumn id="37" xr3:uid="{382BEEC4-6A5D-4A65-9D35-274D543D2DEB}" name="האם קיים קנס בגין יציאה מוקדמת" dataDxfId="86"/>
    <tableColumn id="38" xr3:uid="{4C0FC958-8E6D-41DA-902F-4FFD401807A8}" name="שיעור הקנס בגין יציאה מוקדמת" dataDxfId="85"/>
    <tableColumn id="39" xr3:uid="{558A70C8-37D5-477A-8580-94BB6A316B6A}" name="צד נגדי - Counterparty"/>
    <tableColumn id="40" xr3:uid="{6E231B05-762C-4288-A54F-65EB026C0748}" name="שיעור מנכסי אפיק ההשקעה" dataDxfId="84"/>
    <tableColumn id="41" xr3:uid="{CD122043-AB8B-4DF4-B8F3-ED31FA14B6DC}" name="שיעור מסך נכסי ההשקעה" dataDxfId="8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גזרים אחרים" altTextSummary="לא סחיר נגזרים אחרים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90F93-FC37-4E4F-B175-F20B1C6CFA98}" name="טבלה13" displayName="טבלה13" ref="A1:BA15" totalsRowShown="0" headerRowDxfId="82" headerRowBorderDxfId="81" tableBorderDxfId="80">
  <autoFilter ref="A1:BA15" xr:uid="{EBB90F93-FC37-4E4F-B175-F20B1C6CFA98}"/>
  <tableColumns count="53">
    <tableColumn id="1" xr3:uid="{EBFF7C5C-B2CB-4E12-8946-B2DEA114CA50}" name="מספר קופה/קרן/ח.פ. עבור חברת ביטוח"/>
    <tableColumn id="2" xr3:uid="{42F09DE2-96F3-4A4B-9FA4-69D54896E3BA}" name="מספר מסלול"/>
    <tableColumn id="3" xr3:uid="{B525CF26-53B9-4276-841A-40C084238A3D}" name="מספר מזהה לווה"/>
    <tableColumn id="4" xr3:uid="{2838350A-D24D-467B-B4D6-9A5145E6F0D4}" name="סוג מספר מזהה לווה"/>
    <tableColumn id="5" xr3:uid="{8457F07B-3AE3-4810-986A-331F69D2AEF2}" name="שם הלוואה"/>
    <tableColumn id="6" xr3:uid="{5967502D-5C27-4106-80E9-7E835B8F69DC}" name="מספר הלוואה"/>
    <tableColumn id="7" xr3:uid="{39FB4351-3BFF-4883-A94B-9686497C2B86}" name="מאפיין עיקרי"/>
    <tableColumn id="8" xr3:uid="{E9963D4F-A9F0-47A9-92E9-46491088A519}" name="מאפיין הלוואות מתואמות עבור זכויות מקרקעין"/>
    <tableColumn id="9" xr3:uid="{9B5A0115-5E36-4FEA-A9B1-2AE29222A40E}" name="ישראל/חו&quot;ל"/>
    <tableColumn id="10" xr3:uid="{E79A7EAE-1F6A-4F97-B462-E56D1864F7B8}" name="מדינה לפי חשיפה כלכלית"/>
    <tableColumn id="11" xr3:uid="{E6833ECC-D56E-497C-9AD9-658898383E07}" name="ענף מסחר"/>
    <tableColumn id="12" xr3:uid="{8FE80D00-1A72-4438-BAE4-7C9F45CE98B2}" name="בעל עניין/צד קשור"/>
    <tableColumn id="13" xr3:uid="{89AD0386-124D-4846-B2E7-33BA78491150}" name="קונסורציום/ סינדיקציה"/>
    <tableColumn id="14" xr3:uid="{5DCF8ED5-1A8F-49F4-BF13-7B680698D202}" name="מספר קונסורציום/ סינדיקציה" dataDxfId="79"/>
    <tableColumn id="15" xr3:uid="{ABD82C1C-B595-40CA-9C0F-8BBBE019364D}" name="תאריך העמדת הלוואה"/>
    <tableColumn id="16" xr3:uid="{57926DF9-54FB-4A16-B56E-19E15959CB13}" name="דירוג" dataDxfId="78"/>
    <tableColumn id="17" xr3:uid="{1BAB08BE-A35D-4E73-8520-F13A1640FA41}" name="שם מדרג"/>
    <tableColumn id="18" xr3:uid="{FC0EDE0E-F3C5-45C2-B04D-90A3CD036FED}" name="דירוג הלוואה/המנפיק"/>
    <tableColumn id="19" xr3:uid="{DCCC4D24-6E3F-41AC-A661-8785F0B727D7}" name="מטבע פעילות"/>
    <tableColumn id="20" xr3:uid="{D1DA9BAC-CE33-421C-A553-99CDD82403CF}" name="מח&quot;מ" dataDxfId="77"/>
    <tableColumn id="21" xr3:uid="{EAAE9D2F-D5E2-4A3C-B170-C3B7EB6C96A3}" name="סוג הריבית" dataDxfId="76"/>
    <tableColumn id="22" xr3:uid="{4827DCE4-196D-41C7-8160-CB9B9E2BF14B}" name="שיעור ריבית" dataDxfId="75"/>
    <tableColumn id="23" xr3:uid="{0294A161-E105-4228-B23C-A1A524103567}" name="סוג הצמדה"/>
    <tableColumn id="24" xr3:uid="{BF69061E-A580-45A9-8FD4-D46AFC21CAE9}" name="ריבית עוגן"/>
    <tableColumn id="25" xr3:uid="{E26C36C9-DDB2-4A6B-926D-279B0EF26759}" name="שיעור תוספת/הפחתה לריבית העוגן" dataDxfId="74"/>
    <tableColumn id="26" xr3:uid="{F60784FA-D8BA-45FB-9925-718E17ED95B7}" name="תשואה לפדיון" dataDxfId="73"/>
    <tableColumn id="27" xr3:uid="{C3A68E44-05C5-429F-89BA-7916022ED795}" name="מועד פדיון"/>
    <tableColumn id="28" xr3:uid="{DEAFE92B-59CB-4F40-BC18-2CF3B993A0B0}" name="נחיתות חוזית"/>
    <tableColumn id="29" xr3:uid="{0EF25EDF-EB82-484C-BFB1-3E86AEF5C6EB}" name="סוג בטוחה" dataDxfId="72"/>
    <tableColumn id="30" xr3:uid="{A4279D98-16CD-417E-9A14-6D9E49FCD862}" name="שווי הבטוחות העומדות כנגד ההלוואה" dataDxfId="71"/>
    <tableColumn id="31" xr3:uid="{93100855-27F2-4418-BA58-A3CB7594AD67}" name="שיעור הבטוחות מהחוב" dataDxfId="70"/>
    <tableColumn id="32" xr3:uid="{EA559511-6DAB-4E59-9C4B-1CC5DE15A0F0}" name="מועד עדכון אחרון לשווי הבטוחות" dataDxfId="69"/>
    <tableColumn id="33" xr3:uid="{31D96B64-9F78-4FDF-A98A-4D8C08527C60}" name="זכות חזרה"/>
    <tableColumn id="34" xr3:uid="{275C445C-7BE4-445A-96D5-EFC846B98D10}" name="מבנה לוח סילוקין"/>
    <tableColumn id="35" xr3:uid="{AB1858DE-51DA-455F-8D5D-8F20ACABB649}" name="יעוד הלוואה"/>
    <tableColumn id="36" xr3:uid="{37A473B9-DF43-4178-8560-1C271865D7D4}" name="זכות פירעון מוקדם"/>
    <tableColumn id="37" xr3:uid="{A21E84FA-0F20-4EFF-9841-ED894D178352}" name="סוג גורם משערך"/>
    <tableColumn id="38" xr3:uid="{23FD4D44-7CED-40B2-A7CC-3FB695C6C412}" name="שם גורם משערך"/>
    <tableColumn id="39" xr3:uid="{13F76EB6-28D5-4C94-8050-28117DDC45FA}" name="תלות/אי-תלות המשערך"/>
    <tableColumn id="40" xr3:uid="{F42B938A-BAD1-4F9A-B5B0-4D1D5254E15B}" name="תאריך שערוך אחרון" dataDxfId="68"/>
    <tableColumn id="41" xr3:uid="{157CC263-C6EF-4075-A2A7-046C20D5DA24}" name="תאריך אחרון בו נבחנה בפועל ירידת ערך" dataDxfId="67"/>
    <tableColumn id="42" xr3:uid="{1F5D9857-BE1D-41D9-900F-21384C5D99D9}" name="שיעור ריבית בגין אי-ניצול מסגרת האשראי" dataDxfId="66"/>
    <tableColumn id="43" xr3:uid="{92B555B1-D417-4FAA-B589-220E7F8933D2}" name="ערך נקוב" dataDxfId="65"/>
    <tableColumn id="44" xr3:uid="{7FB9968F-792D-46A6-A15D-EFC5815D3F3E}" name="שער הלוואה" dataDxfId="64"/>
    <tableColumn id="45" xr3:uid="{2EF9495E-95C3-45CB-BEB9-AAFDD7145F71}" name="שער חליפין" dataDxfId="63"/>
    <tableColumn id="46" xr3:uid="{D25B2A53-45F5-4EB2-898D-07C2475E52AC}" name="שווי הוגן (באלפי ש&quot;ח)" dataDxfId="62"/>
    <tableColumn id="47" xr3:uid="{2FE1293A-2BEF-47CB-ADA4-3C50B2439902}" name="שווי הוגן (במטבע הפעילות)" dataDxfId="61" dataCellStyle="Comma"/>
    <tableColumn id="48" xr3:uid="{9EA345EF-0E1A-4620-A8E4-DABFB365810F}" name="עלות מופחתת (באלפי ש&quot;ח)" dataDxfId="60"/>
    <tableColumn id="49" xr3:uid="{10227CB6-E322-4C02-AE85-CC549370417A}" name="עלות מופחתת (במטבע הפעילות)" dataDxfId="59"/>
    <tableColumn id="50" xr3:uid="{2515C6DE-8A6B-408D-A2EE-E6C0B0F496A0}" name="האם סווג כחוב בעייתי"/>
    <tableColumn id="51" xr3:uid="{DE960CDC-B102-447D-8E07-8B59E19B7275}" name="השיטה שיושמה בדוח הכספי" dataDxfId="58"/>
    <tableColumn id="52" xr3:uid="{849E6CEC-E5B2-4552-A7A2-437EACE84BF7}" name="שיעור מנכסי אפיק ההשקעה" dataDxfId="57"/>
    <tableColumn id="53" xr3:uid="{B6A40AAD-9F31-4279-B84E-72A43D4D5E67}" name="שיעור מסך נכסי ההשקעה" dataDxfId="5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לוואות" altTextSummary="הלוואות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F0F7103-D2C6-40AB-B166-A45449DC640A}" name="טבלה14" displayName="טבלה14" ref="A1:V3" totalsRowShown="0" headerRowDxfId="55" headerRowBorderDxfId="54" tableBorderDxfId="53">
  <autoFilter ref="A1:V3" xr:uid="{AF0F7103-D2C6-40AB-B166-A45449DC640A}"/>
  <tableColumns count="22">
    <tableColumn id="1" xr3:uid="{F1E2159D-2ED3-4F75-89CB-571FACB270E2}" name="מספר קופה/קרן/ח.פ. עבור חברת ביטוח"/>
    <tableColumn id="2" xr3:uid="{F5403313-304C-4A7B-8C84-EA877473094B}" name="מספר מסלול"/>
    <tableColumn id="3" xr3:uid="{1A786F63-031B-4478-A43B-220A292A7797}" name="שם הבנק"/>
    <tableColumn id="4" xr3:uid="{A866E419-A86F-43D2-B294-D927C0A38BE2}" name="מספר מזהה בנק"/>
    <tableColumn id="5" xr3:uid="{19F9D164-93F7-4D94-A670-B8B39DD833E8}" name="סוג מספר מזהה בנק"/>
    <tableColumn id="6" xr3:uid="{2AA53D55-830A-487F-B71F-DB1D2FD0CFF8}" name="מאפיין עיקרי"/>
    <tableColumn id="7" xr3:uid="{6C196818-3553-41AF-8D6D-8A30C7A56BE4}" name="תאריך פקיעת פיקדון"/>
    <tableColumn id="8" xr3:uid="{E07C738C-D29D-4FA9-B80B-61B73EF0BCB8}" name="ישראל/חו&quot;ל"/>
    <tableColumn id="9" xr3:uid="{B11740AF-AD05-4738-BEDE-593EEFDAB2DB}" name="מדינה לפי חשיפה כלכלית"/>
    <tableColumn id="10" xr3:uid="{B979CF10-AEC6-41F6-8A0B-D5468AEF3D96}" name="בעל עניין/צד קשור"/>
    <tableColumn id="11" xr3:uid="{02A87DA7-DC1A-40B2-A176-7A544A7D33A8}" name="דירוג הבנק"/>
    <tableColumn id="12" xr3:uid="{16B5A9C2-A2F3-474D-8493-5898C46AB8EA}" name="שם מדרג"/>
    <tableColumn id="13" xr3:uid="{B8D51CC5-F0F1-496A-98D9-646082853641}" name="מטבע פעילות"/>
    <tableColumn id="14" xr3:uid="{5C44C695-A03E-4AE9-9901-C6A5D194C86E}" name="מח&quot;מ" dataDxfId="52"/>
    <tableColumn id="15" xr3:uid="{3C7ACC9A-3BBE-495E-8474-6448537CF2A1}" name="שיעור ריבית" dataDxfId="51"/>
    <tableColumn id="16" xr3:uid="{99F1D081-516B-46AA-9B17-5F62ADD8F691}" name="תשואה לפדיון" dataDxfId="50"/>
    <tableColumn id="17" xr3:uid="{E3A46C14-7DE0-4A1E-B31C-E3F97047D1E0}" name="שווי מטבעי" dataDxfId="49"/>
    <tableColumn id="18" xr3:uid="{71CE0E00-21AA-4521-BAF5-6DC0E75D40C0}" name="שער חליפין" dataDxfId="48"/>
    <tableColumn id="19" xr3:uid="{1DA82990-3AEA-4790-B76B-146952F92FF3}" name="שער פיקדון" dataDxfId="47"/>
    <tableColumn id="20" xr3:uid="{918E363F-87BF-43FF-9FAD-F6A1F434D499}" name="שווי הוגן (באלפי ש&quot;ח)" dataDxfId="46"/>
    <tableColumn id="21" xr3:uid="{0F0F80EC-E047-4548-9128-BE741EC0FCCE}" name="שיעור מנכסי אפיק ההשקעה" dataDxfId="45"/>
    <tableColumn id="22" xr3:uid="{C717C20A-1019-4976-945D-4FC52D34E70B}" name="שיעור מסך נכסי ההשקעה" dataDxfId="4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3 חודשים" altTextSummary="פיקדונות מעל 3 חודשים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9B8B5C-8AFD-4D4F-907F-9D9C1BCDDFFE}" name="טבלה15" displayName="טבלה15" ref="A1:X2" totalsRowShown="0" headerRowDxfId="43" dataDxfId="41" headerRowBorderDxfId="42" tableBorderDxfId="40">
  <autoFilter ref="A1:X2" xr:uid="{369B8B5C-8AFD-4D4F-907F-9D9C1BCDDFFE}"/>
  <tableColumns count="24">
    <tableColumn id="1" xr3:uid="{6C9B7F8E-42F6-4AC2-B0D7-D2D15A187FD3}" name="מספר קופה/קרן/ח.פ. עבור חברת ביטוח"/>
    <tableColumn id="2" xr3:uid="{D526826D-8A01-4FF6-956D-DE09D89E3119}" name="מספר מסלול"/>
    <tableColumn id="3" xr3:uid="{4993788E-BBFD-450C-B6C9-0317E3A71016}" name="שם הנכס"/>
    <tableColumn id="4" xr3:uid="{079739E8-C5C2-44EF-AA39-34B55893368B}" name="מאפיין עיקרי"/>
    <tableColumn id="5" xr3:uid="{4705BF84-E9DA-4A89-87A9-03E4A0E7AD05}" name="מדינת מיקום נדל&quot;ן"/>
    <tableColumn id="6" xr3:uid="{1520C174-A297-4539-B200-A6DEA3B93100}" name="בעל עניין/צד קשור"/>
    <tableColumn id="7" xr3:uid="{13E3C05C-45CB-4498-B424-471FC3E829B7}" name="תאריך רכישה"/>
    <tableColumn id="8" xr3:uid="{3255ECE5-E7B7-45A8-9554-4E22363CFB2F}" name="שימוש עיקרי בנכס"/>
    <tableColumn id="9" xr3:uid="{0E513828-38A3-4495-B084-B353636053BE}" name="מחזור חיי הנכס"/>
    <tableColumn id="10" xr3:uid="{C6BA449B-AD0D-4FDD-BAC5-E0F9D41FC2A5}" name="כתובת הנכס"/>
    <tableColumn id="11" xr3:uid="{95B01D08-3414-4EAB-AE5A-1779665FEE1C}" name="שיעור תשואה בפועל במהלך הרבעון" dataDxfId="39"/>
    <tableColumn id="12" xr3:uid="{82537F0C-E59C-48D3-9CB3-D5F294B39DFA}" name="השיטה שבאמצעותה נקבע שווי הנכס"/>
    <tableColumn id="13" xr3:uid="{D47EF107-AF27-4025-8924-D50F69724B26}" name="סוג גורם משערך"/>
    <tableColumn id="14" xr3:uid="{26484BAA-A358-45D3-8CF3-5D7739A2DA60}" name="שם גורם משערך"/>
    <tableColumn id="15" xr3:uid="{000ED9BD-A1D8-4992-8475-3E4ED1A2F121}" name="תלות/אי-תלות המשערך"/>
    <tableColumn id="16" xr3:uid="{37B1E7AE-75EF-4A57-9DF2-9EC5313366EF}" name="תאריך שערוך אחרון" dataDxfId="38"/>
    <tableColumn id="17" xr3:uid="{106FD74A-53BA-41F1-8034-09EE82DD6A3C}" name="מטבע פעילות"/>
    <tableColumn id="18" xr3:uid="{30853D59-2B00-4EEA-9175-BF6C7017182A}" name="שווי הוגן (במטבע הפעילות)" dataDxfId="37"/>
    <tableColumn id="19" xr3:uid="{83BF2226-A320-426E-9424-93EF4175AAE1}" name="שווי הוגן (באלפי ש&quot;ח)" dataDxfId="36"/>
    <tableColumn id="20" xr3:uid="{46C98554-CC1F-4355-A722-53D7AB8B391A}" name="עלות מופחתת (באלפי ש&quot;ח)" dataDxfId="35"/>
    <tableColumn id="21" xr3:uid="{83A3A9D6-0031-4A76-A4AA-50AE7E4AA97A}" name="עלות מופחתת (במטבע הפעילות)" dataDxfId="34"/>
    <tableColumn id="22" xr3:uid="{0BB08AB3-FD9C-4E32-8F72-62304C36906D}" name="השיטה שיושמה בדוח הכספי" dataDxfId="33"/>
    <tableColumn id="23" xr3:uid="{E1ADACB6-E6AF-4EAF-9634-24D2955EFA92}" name="שיעור מנכסי אפיק ההשקעה" dataDxfId="32"/>
    <tableColumn id="24" xr3:uid="{8671B56E-D749-4F52-9AF3-23337C9528EA}" name="שיעור מסך נכסי ההשקעה" dataDxfId="3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זכויות מקרקעין" altTextSummary="זכויות מקרקעין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9ECE38-3346-4F50-99BE-3816BCC66519}" name="טבלה16" displayName="טבלה16" ref="A1:Q91" totalsRowShown="0" headerRowDxfId="30" dataDxfId="28" headerRowBorderDxfId="29" tableBorderDxfId="27" dataCellStyle="Comma">
  <autoFilter ref="A1:Q91" xr:uid="{EE9ECE38-3346-4F50-99BE-3816BCC66519}"/>
  <tableColumns count="17">
    <tableColumn id="1" xr3:uid="{AADD232A-74D2-4215-A4AD-5C16C6E3A371}" name="מספר קופה/קרן/ח.פ. עבור חברת ביטוח"/>
    <tableColumn id="2" xr3:uid="{2201A498-966E-4512-842A-60ECE11D9708}" name="מספר מסלול"/>
    <tableColumn id="3" xr3:uid="{E8F3E632-889E-496A-BB41-812B57C416AB}" name="מאפיין עיקרי" dataDxfId="26"/>
    <tableColumn id="4" xr3:uid="{5355B4DC-AEAE-43BB-969F-DB8631563919}" name="שם שותף כללי קרן השקעות"/>
    <tableColumn id="5" xr3:uid="{8173ADDD-16DE-4E7A-BF56-A8D992266D7E}" name="מספר מזהה שותף כללי קרן השקעות"/>
    <tableColumn id="6" xr3:uid="{0E147A6A-3CFB-4835-B7B5-A7AAAEE2A312}" name="סוג מספר מזהה שותף כללי קרן השקעות"/>
    <tableColumn id="7" xr3:uid="{ADC91DCE-3578-4A67-B1BF-2FA4850C376A}" name="שם קרן השקעה"/>
    <tableColumn id="8" xr3:uid="{2BB5C52C-1757-4F60-B9AE-A92EBC895583}" name="מספר מזהה קרן השקעה"/>
    <tableColumn id="9" xr3:uid="{78DD62CD-9ACE-45CB-ABD6-9E5FB82B6732}" name="סוג מספר מזהה קרן השקעות"/>
    <tableColumn id="10" xr3:uid="{4D177048-E1B1-4A02-A919-213B8FC8BEA2}" name="מטבע פעילות"/>
    <tableColumn id="11" xr3:uid="{A88ED50F-768C-47E7-A681-2596E909339B}" name="תאריך העמדת התחייבות לקרן השקעה" dataDxfId="25"/>
    <tableColumn id="12" xr3:uid="{C0B0ACD2-54B4-4913-858E-856A0B8CFF3D}" name="סכום המחויבות הראשוני (במטבע הדיווח של קרן ההשקעה)" dataDxfId="24" dataCellStyle="Comma"/>
    <tableColumn id="13" xr3:uid="{36130B92-9661-418C-AFFD-4950CB6AA0FA}" name="סכום המחויבות הראשוני (באלפי ש&quot;ח)" dataDxfId="23" dataCellStyle="Comma"/>
    <tableColumn id="14" xr3:uid="{D0A8C0F3-A238-4BA6-A94D-3FACDA7B9136}" name="יתרת המחויבות לתקופת הדיווח (במטבע הדיווח של קרן ההשקעה)" dataDxfId="22" dataCellStyle="Comma"/>
    <tableColumn id="15" xr3:uid="{F91F30EB-FB65-47D5-A97B-5784670DFA9D}" name="יתרת המחויבות לתקופת הדיווח (באלפי ש&quot;ח)" dataDxfId="21" dataCellStyle="Comma"/>
    <tableColumn id="16" xr3:uid="{D68A804A-F143-45C1-8E5D-34C255F48CF8}" name="שיעור יתרת המחויבות" dataDxfId="20"/>
    <tableColumn id="17" xr3:uid="{768C6B40-8650-4A41-B065-AD7C4126DF2B}" name="תאריך פקיעת מחויבות להשקעה" dataDxfId="1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יתרות התחייבות להשקעה" altTextSummary="יתרות התחייבות להשקעה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3431AB-948B-4843-91A2-1228ABB4D9D8}" name="טבלה17" displayName="טבלה17" ref="A1:E1315" totalsRowShown="0" headerRowDxfId="18">
  <autoFilter ref="A1:E1315" xr:uid="{8F3431AB-948B-4843-91A2-1228ABB4D9D8}"/>
  <tableColumns count="5">
    <tableColumn id="1" xr3:uid="{62902DB8-81A4-49BB-911F-B8DBA296114E}" name="שם גיליון_x000a_(רלוונטי לגיליונות עם עמודה &quot;מאפיין עיקרי&quot;)" dataDxfId="17"/>
    <tableColumn id="2" xr3:uid="{C05768EF-D1B5-440B-9394-6CC1798C1E95}" name="שם עמודה"/>
    <tableColumn id="3" xr3:uid="{0A9896A5-2C00-4DE7-8883-9C7B1F113972}" name="אפשרות בחירה" dataDxfId="16"/>
    <tableColumn id="4" xr3:uid="{5FAAA644-8226-45B0-B82B-8B853912C600}" name="הערות והסברים" dataDxfId="15"/>
    <tableColumn id="5" xr3:uid="{CAA62542-2BA1-4977-B333-651071446698}" name="שינוי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שרויות בחירה" altTextSummary="אפשרויות בחירה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DD43939-2F35-4A08-972B-17EBB29A20A7}" name="טבלה18" displayName="טבלה18" ref="A1:D795" totalsRowShown="0" headerRowDxfId="14" dataDxfId="13" tableBorderDxfId="12">
  <autoFilter ref="A1:D795" xr:uid="{00000000-0009-0000-0000-000020000000}"/>
  <tableColumns count="4">
    <tableColumn id="1" xr3:uid="{327E3E88-6083-4683-B4EA-F2FB39913342}" name="שם גיליון" dataDxfId="11"/>
    <tableColumn id="2" xr3:uid="{32808F45-3F53-4794-84F6-44611983581C}" name="שם סעיף" dataDxfId="10"/>
    <tableColumn id="3" xr3:uid="{7CCDF622-2E03-443C-A2D7-A32B603CDF72}" name="מספר סעיף" dataDxfId="9"/>
    <tableColumn id="4" xr3:uid="{1E1254E7-F996-4599-AE60-A692AB0EDC28}" name="מידע שניתן לדווח רק לרשות" dataDxfId="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יפוי סעיפים" altTextSummary="מיפוי סעיפ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G11" sqref="G11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26" t="s">
        <v>0</v>
      </c>
      <c r="B1" s="27"/>
      <c r="C1" s="27"/>
      <c r="D1" s="27"/>
    </row>
    <row r="2" spans="1:8" x14ac:dyDescent="0.2">
      <c r="A2" s="192" t="s">
        <v>2679</v>
      </c>
      <c r="B2" s="192"/>
      <c r="C2" s="192"/>
      <c r="D2" s="192"/>
    </row>
    <row r="3" spans="1:8" ht="15" x14ac:dyDescent="0.2">
      <c r="A3" t="s">
        <v>1</v>
      </c>
      <c r="B3" s="170" t="s">
        <v>2680</v>
      </c>
      <c r="C3" s="170" t="s">
        <v>2680</v>
      </c>
      <c r="D3" s="79" t="s">
        <v>1098</v>
      </c>
    </row>
    <row r="4" spans="1:8" x14ac:dyDescent="0.2">
      <c r="A4" s="192" t="s">
        <v>2679</v>
      </c>
      <c r="B4" s="192"/>
      <c r="C4" s="192"/>
      <c r="D4" s="192"/>
    </row>
    <row r="5" spans="1:8" ht="15" x14ac:dyDescent="0.2">
      <c r="A5" t="s">
        <v>2</v>
      </c>
      <c r="B5" s="170" t="s">
        <v>2680</v>
      </c>
      <c r="C5" s="170" t="s">
        <v>2680</v>
      </c>
      <c r="D5" s="79" t="s">
        <v>1107</v>
      </c>
    </row>
    <row r="6" spans="1:8" x14ac:dyDescent="0.2">
      <c r="A6" s="192" t="s">
        <v>2679</v>
      </c>
      <c r="B6" s="192"/>
      <c r="C6" s="192"/>
      <c r="D6" s="192"/>
    </row>
    <row r="7" spans="1:8" ht="15" x14ac:dyDescent="0.2">
      <c r="A7" t="s">
        <v>3</v>
      </c>
      <c r="B7" s="170" t="s">
        <v>2680</v>
      </c>
      <c r="C7" s="170" t="s">
        <v>2680</v>
      </c>
      <c r="D7" s="79" t="s">
        <v>1112</v>
      </c>
    </row>
    <row r="8" spans="1:8" ht="15" x14ac:dyDescent="0.2">
      <c r="A8" s="192" t="s">
        <v>2679</v>
      </c>
      <c r="B8" s="192"/>
      <c r="C8" s="192"/>
      <c r="D8" s="192"/>
      <c r="E8" s="25"/>
      <c r="F8" s="25"/>
      <c r="G8" s="25"/>
      <c r="H8" s="25"/>
    </row>
    <row r="9" spans="1:8" ht="15" x14ac:dyDescent="0.2">
      <c r="A9" t="s">
        <v>4</v>
      </c>
      <c r="B9" s="170" t="s">
        <v>2680</v>
      </c>
      <c r="C9" s="170" t="s">
        <v>2680</v>
      </c>
      <c r="D9" s="79">
        <v>2024</v>
      </c>
    </row>
    <row r="10" spans="1:8" x14ac:dyDescent="0.2">
      <c r="A10" s="192" t="s">
        <v>2679</v>
      </c>
      <c r="B10" s="192"/>
      <c r="C10" s="192"/>
      <c r="D10" s="192"/>
    </row>
    <row r="11" spans="1:8" ht="15" x14ac:dyDescent="0.2">
      <c r="A11" t="s">
        <v>5</v>
      </c>
      <c r="B11" s="170" t="s">
        <v>2680</v>
      </c>
      <c r="C11" s="170" t="s">
        <v>2680</v>
      </c>
      <c r="D11" s="79" t="s">
        <v>1128</v>
      </c>
    </row>
    <row r="12" spans="1:8" x14ac:dyDescent="0.2">
      <c r="A12" s="192" t="s">
        <v>2679</v>
      </c>
      <c r="B12" s="192"/>
      <c r="C12" s="192"/>
      <c r="D12" s="192"/>
    </row>
    <row r="13" spans="1:8" ht="15" x14ac:dyDescent="0.2">
      <c r="A13" t="s">
        <v>6</v>
      </c>
      <c r="B13" s="170" t="s">
        <v>2680</v>
      </c>
      <c r="C13" s="170" t="s">
        <v>2680</v>
      </c>
      <c r="D13" s="80">
        <f>IFERROR(VLOOKUP(D11,'File Name Info'!A35:B121,2,0),"תא מחושב")</f>
        <v>520023094</v>
      </c>
    </row>
    <row r="14" spans="1:8" x14ac:dyDescent="0.2">
      <c r="A14" s="192" t="s">
        <v>2679</v>
      </c>
      <c r="B14" s="192"/>
      <c r="C14" s="192"/>
      <c r="D14" s="192"/>
    </row>
    <row r="15" spans="1:8" ht="15" x14ac:dyDescent="0.25">
      <c r="A15" s="15" t="s">
        <v>7</v>
      </c>
      <c r="B15" s="170" t="s">
        <v>2680</v>
      </c>
      <c r="C15" s="170" t="s">
        <v>2680</v>
      </c>
      <c r="D15" s="8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520023094_pn_0224.xlxs</v>
      </c>
    </row>
    <row r="16" spans="1:8" ht="15" x14ac:dyDescent="0.2">
      <c r="A16" s="192" t="s">
        <v>2679</v>
      </c>
      <c r="B16" s="192"/>
      <c r="C16" s="192"/>
      <c r="D16" s="192"/>
      <c r="E16" s="25"/>
      <c r="F16" s="25"/>
      <c r="G16" s="25"/>
      <c r="H16" s="25"/>
    </row>
    <row r="17" spans="1:8" ht="15" x14ac:dyDescent="0.25">
      <c r="A17" s="15" t="s">
        <v>8</v>
      </c>
      <c r="B17" s="13" t="s">
        <v>9</v>
      </c>
      <c r="C17" s="170" t="s">
        <v>2680</v>
      </c>
      <c r="D17" s="150" t="s">
        <v>2625</v>
      </c>
    </row>
    <row r="18" spans="1:8" x14ac:dyDescent="0.2">
      <c r="A18" s="192" t="s">
        <v>2679</v>
      </c>
      <c r="B18" s="192"/>
      <c r="C18" s="192"/>
      <c r="D18" s="192"/>
      <c r="E18" s="14"/>
      <c r="F18" s="14"/>
      <c r="G18" s="14"/>
      <c r="H18" s="14"/>
    </row>
    <row r="19" spans="1:8" ht="15" x14ac:dyDescent="0.2">
      <c r="A19" s="170" t="s">
        <v>2680</v>
      </c>
      <c r="B19" s="13" t="s">
        <v>10</v>
      </c>
      <c r="C19" s="170" t="s">
        <v>2680</v>
      </c>
      <c r="D19" s="151" t="s">
        <v>2626</v>
      </c>
    </row>
    <row r="20" spans="1:8" x14ac:dyDescent="0.2">
      <c r="A20" s="192" t="s">
        <v>2679</v>
      </c>
      <c r="B20" s="192"/>
      <c r="C20" s="192"/>
      <c r="D20" s="192"/>
      <c r="E20" s="14"/>
      <c r="F20" s="14"/>
      <c r="G20" s="14"/>
      <c r="H20" s="14"/>
    </row>
    <row r="21" spans="1:8" ht="15" x14ac:dyDescent="0.2">
      <c r="A21" s="170" t="s">
        <v>2680</v>
      </c>
      <c r="B21" s="13" t="s">
        <v>11</v>
      </c>
      <c r="C21" s="170" t="s">
        <v>2680</v>
      </c>
      <c r="D21" s="81" t="s">
        <v>2627</v>
      </c>
    </row>
    <row r="22" spans="1:8" x14ac:dyDescent="0.2">
      <c r="A22" s="192" t="s">
        <v>2679</v>
      </c>
      <c r="B22" s="192"/>
      <c r="C22" s="192"/>
      <c r="D22" s="192"/>
    </row>
    <row r="23" spans="1:8" ht="15" x14ac:dyDescent="0.25">
      <c r="A23" s="15" t="s">
        <v>12</v>
      </c>
      <c r="B23" s="170" t="s">
        <v>2680</v>
      </c>
      <c r="C23" s="170" t="s">
        <v>2680</v>
      </c>
      <c r="D23" t="s">
        <v>13</v>
      </c>
    </row>
    <row r="24" spans="1:8" x14ac:dyDescent="0.2">
      <c r="A24" s="193" t="s">
        <v>2681</v>
      </c>
      <c r="B24" s="193"/>
      <c r="C24" s="193"/>
      <c r="D24" s="193"/>
    </row>
    <row r="25" spans="1:8" x14ac:dyDescent="0.2">
      <c r="D25" s="1"/>
    </row>
    <row r="28" spans="1:8" ht="14.1" customHeight="1" x14ac:dyDescent="0.2">
      <c r="A28" s="21"/>
      <c r="D28" s="22"/>
      <c r="E28" s="23"/>
      <c r="F28" s="23"/>
      <c r="G28" s="23"/>
      <c r="H28" s="23"/>
    </row>
    <row r="29" spans="1:8" x14ac:dyDescent="0.2">
      <c r="D29" s="13"/>
      <c r="E29" s="13"/>
      <c r="F29" s="13"/>
      <c r="G29" s="13"/>
      <c r="H29" s="13"/>
    </row>
  </sheetData>
  <mergeCells count="12">
    <mergeCell ref="A24:D24"/>
    <mergeCell ref="A2:D2"/>
    <mergeCell ref="A4:D4"/>
    <mergeCell ref="A6:D6"/>
    <mergeCell ref="A8:D8"/>
    <mergeCell ref="A10:D10"/>
    <mergeCell ref="A12:D12"/>
    <mergeCell ref="A14:D14"/>
    <mergeCell ref="A16:D16"/>
    <mergeCell ref="A18:D18"/>
    <mergeCell ref="A20:D20"/>
    <mergeCell ref="A22:D22"/>
  </mergeCells>
  <conditionalFormatting sqref="D3">
    <cfRule type="containsText" dxfId="7" priority="16" operator="containsText" text="Please fill in data">
      <formula>NOT(ISERROR(SEARCH("Please fill in data",D3)))</formula>
    </cfRule>
  </conditionalFormatting>
  <conditionalFormatting sqref="D5">
    <cfRule type="containsText" dxfId="6" priority="10" operator="containsText" text="Please fill in data">
      <formula>NOT(ISERROR(SEARCH("Please fill in data",D5)))</formula>
    </cfRule>
  </conditionalFormatting>
  <conditionalFormatting sqref="D7 D9">
    <cfRule type="containsText" dxfId="5" priority="8" operator="containsText" text="Please fill in data">
      <formula>NOT(ISERROR(SEARCH("Please fill in data",D7)))</formula>
    </cfRule>
  </conditionalFormatting>
  <conditionalFormatting sqref="D11">
    <cfRule type="containsText" dxfId="4" priority="7" operator="containsText" text="Please fill in data">
      <formula>NOT(ISERROR(SEARCH("Please fill in data",D11)))</formula>
    </cfRule>
  </conditionalFormatting>
  <conditionalFormatting sqref="D13">
    <cfRule type="containsText" dxfId="3" priority="6" operator="containsText" text="Please fill in data">
      <formula>NOT(ISERROR(SEARCH("Please fill in data",D13)))</formula>
    </cfRule>
  </conditionalFormatting>
  <conditionalFormatting sqref="D15 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3"/>
  <sheetViews>
    <sheetView showGridLines="0" rightToLeft="1" workbookViewId="0">
      <selection activeCell="A2" sqref="A2:E32"/>
    </sheetView>
  </sheetViews>
  <sheetFormatPr defaultColWidth="9" defaultRowHeight="12.75" x14ac:dyDescent="0.2"/>
  <cols>
    <col min="1" max="1" width="42.75" style="8" customWidth="1"/>
    <col min="2" max="2" width="14.25" style="9" bestFit="1" customWidth="1"/>
    <col min="3" max="3" width="13" style="9" customWidth="1"/>
    <col min="4" max="4" width="22" style="9" customWidth="1"/>
    <col min="5" max="5" width="19.125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5" ht="18.75" customHeight="1" x14ac:dyDescent="0.2">
      <c r="A1" s="171" t="s">
        <v>2683</v>
      </c>
      <c r="B1" s="37"/>
      <c r="C1" s="83" t="s">
        <v>14</v>
      </c>
      <c r="D1" s="82"/>
      <c r="E1" s="37"/>
    </row>
    <row r="2" spans="1:5" ht="39.75" customHeight="1" x14ac:dyDescent="0.2">
      <c r="A2" s="177" t="s">
        <v>2684</v>
      </c>
      <c r="B2" s="178" t="s">
        <v>15</v>
      </c>
      <c r="C2" s="178" t="s">
        <v>16</v>
      </c>
      <c r="D2" s="178" t="s">
        <v>17</v>
      </c>
      <c r="E2" s="179" t="s">
        <v>18</v>
      </c>
    </row>
    <row r="3" spans="1:5" ht="14.25" x14ac:dyDescent="0.2">
      <c r="A3" s="172" t="s">
        <v>19</v>
      </c>
      <c r="B3" s="148">
        <v>197787.69140000001</v>
      </c>
      <c r="C3" s="38"/>
      <c r="D3" s="38"/>
      <c r="E3" s="174">
        <f>B3/B30</f>
        <v>1.752110482363092E-2</v>
      </c>
    </row>
    <row r="4" spans="1:5" ht="14.25" x14ac:dyDescent="0.2">
      <c r="A4" s="172" t="s">
        <v>20</v>
      </c>
      <c r="B4" s="148">
        <v>2685068.5794000002</v>
      </c>
      <c r="C4" s="38"/>
      <c r="D4" s="38"/>
      <c r="E4" s="174">
        <f>B4/B$30</f>
        <v>0.23785791575453497</v>
      </c>
    </row>
    <row r="5" spans="1:5" ht="14.25" x14ac:dyDescent="0.2">
      <c r="A5" s="172" t="s">
        <v>21</v>
      </c>
      <c r="B5" s="148"/>
      <c r="C5" s="38"/>
      <c r="D5" s="38"/>
      <c r="E5" s="174"/>
    </row>
    <row r="6" spans="1:5" ht="14.25" x14ac:dyDescent="0.2">
      <c r="A6" s="172" t="s">
        <v>22</v>
      </c>
      <c r="B6" s="148">
        <v>761749.42879999999</v>
      </c>
      <c r="C6" s="38"/>
      <c r="D6" s="38"/>
      <c r="E6" s="174">
        <f>B6/B$30</f>
        <v>6.7479889657814041E-2</v>
      </c>
    </row>
    <row r="7" spans="1:5" ht="14.25" x14ac:dyDescent="0.2">
      <c r="A7" s="172" t="s">
        <v>23</v>
      </c>
      <c r="B7" s="148">
        <v>597108.45059999998</v>
      </c>
      <c r="C7" s="38"/>
      <c r="D7" s="38"/>
      <c r="E7" s="174">
        <f t="shared" ref="E7:E9" si="0">B7/B$30</f>
        <v>5.2895100195493983E-2</v>
      </c>
    </row>
    <row r="8" spans="1:5" ht="14.25" x14ac:dyDescent="0.2">
      <c r="A8" s="172" t="s">
        <v>24</v>
      </c>
      <c r="B8" s="148">
        <v>723411.62320000003</v>
      </c>
      <c r="C8" s="38"/>
      <c r="D8" s="38"/>
      <c r="E8" s="174">
        <f t="shared" si="0"/>
        <v>6.4083719219345678E-2</v>
      </c>
    </row>
    <row r="9" spans="1:5" ht="14.25" x14ac:dyDescent="0.2">
      <c r="A9" s="172" t="s">
        <v>25</v>
      </c>
      <c r="B9" s="148">
        <v>129589.09910000001</v>
      </c>
      <c r="C9" s="38"/>
      <c r="D9" s="38"/>
      <c r="E9" s="174">
        <f t="shared" si="0"/>
        <v>1.1479704188159584E-2</v>
      </c>
    </row>
    <row r="10" spans="1:5" ht="14.25" x14ac:dyDescent="0.2">
      <c r="A10" s="172" t="s">
        <v>26</v>
      </c>
      <c r="B10" s="148"/>
      <c r="C10" s="38"/>
      <c r="D10" s="38"/>
      <c r="E10" s="174"/>
    </row>
    <row r="11" spans="1:5" ht="14.25" x14ac:dyDescent="0.2">
      <c r="A11" s="172" t="s">
        <v>27</v>
      </c>
      <c r="B11" s="148"/>
      <c r="C11" s="38"/>
      <c r="D11" s="38"/>
      <c r="E11" s="174"/>
    </row>
    <row r="12" spans="1:5" ht="14.25" x14ac:dyDescent="0.2">
      <c r="A12" s="172" t="s">
        <v>28</v>
      </c>
      <c r="B12" s="148"/>
      <c r="C12" s="38"/>
      <c r="D12" s="38"/>
      <c r="E12" s="174"/>
    </row>
    <row r="13" spans="1:5" ht="14.25" x14ac:dyDescent="0.2">
      <c r="A13" s="172" t="s">
        <v>29</v>
      </c>
      <c r="B13" s="148"/>
      <c r="C13" s="38"/>
      <c r="D13" s="38"/>
      <c r="E13" s="174"/>
    </row>
    <row r="14" spans="1:5" ht="14.25" x14ac:dyDescent="0.2">
      <c r="A14" s="172" t="s">
        <v>30</v>
      </c>
      <c r="B14" s="148"/>
      <c r="C14" s="38"/>
      <c r="D14" s="38"/>
      <c r="E14" s="174"/>
    </row>
    <row r="15" spans="1:5" ht="14.25" x14ac:dyDescent="0.2">
      <c r="A15" s="172" t="s">
        <v>31</v>
      </c>
      <c r="B15" s="148">
        <v>3980622.7988</v>
      </c>
      <c r="C15" s="38"/>
      <c r="D15" s="38"/>
      <c r="E15" s="174">
        <f t="shared" ref="E15" si="1">B15/B$30</f>
        <v>0.35262512458401585</v>
      </c>
    </row>
    <row r="16" spans="1:5" ht="14.25" x14ac:dyDescent="0.2">
      <c r="A16" s="172" t="s">
        <v>32</v>
      </c>
      <c r="B16" s="148"/>
      <c r="C16" s="38"/>
      <c r="D16" s="38"/>
      <c r="E16" s="174"/>
    </row>
    <row r="17" spans="1:5" ht="14.25" x14ac:dyDescent="0.2">
      <c r="A17" s="172" t="s">
        <v>33</v>
      </c>
      <c r="B17" s="148"/>
      <c r="C17" s="38"/>
      <c r="D17" s="38"/>
      <c r="E17" s="174"/>
    </row>
    <row r="18" spans="1:5" ht="14.25" x14ac:dyDescent="0.2">
      <c r="A18" s="172" t="s">
        <v>34</v>
      </c>
      <c r="B18" s="148">
        <v>175939.18299999999</v>
      </c>
      <c r="C18" s="38"/>
      <c r="D18" s="38"/>
      <c r="E18" s="174">
        <f t="shared" ref="E18:E20" si="2">B18/B$30</f>
        <v>1.558564562894222E-2</v>
      </c>
    </row>
    <row r="19" spans="1:5" ht="14.25" x14ac:dyDescent="0.2">
      <c r="A19" s="172" t="s">
        <v>35</v>
      </c>
      <c r="B19" s="148">
        <v>2.5209999999999999</v>
      </c>
      <c r="C19" s="38"/>
      <c r="D19" s="38"/>
      <c r="E19" s="174">
        <f t="shared" si="2"/>
        <v>2.2332383247774508E-7</v>
      </c>
    </row>
    <row r="20" spans="1:5" ht="14.25" x14ac:dyDescent="0.2">
      <c r="A20" s="172" t="s">
        <v>36</v>
      </c>
      <c r="B20" s="148">
        <v>1590421.5549999999</v>
      </c>
      <c r="C20" s="38"/>
      <c r="D20" s="38"/>
      <c r="E20" s="174">
        <f t="shared" si="2"/>
        <v>0.14088815427124746</v>
      </c>
    </row>
    <row r="21" spans="1:5" ht="14.25" x14ac:dyDescent="0.2">
      <c r="A21" s="172" t="s">
        <v>37</v>
      </c>
      <c r="B21" s="148"/>
      <c r="C21" s="38"/>
      <c r="D21" s="38"/>
      <c r="E21" s="174"/>
    </row>
    <row r="22" spans="1:5" ht="14.25" x14ac:dyDescent="0.2">
      <c r="A22" s="172" t="s">
        <v>38</v>
      </c>
      <c r="B22" s="148"/>
      <c r="C22" s="38"/>
      <c r="D22" s="38"/>
      <c r="E22" s="174"/>
    </row>
    <row r="23" spans="1:5" ht="14.25" x14ac:dyDescent="0.2">
      <c r="A23" s="172" t="s">
        <v>39</v>
      </c>
      <c r="B23" s="148">
        <v>-3348.5250000000001</v>
      </c>
      <c r="C23" s="38"/>
      <c r="D23" s="38"/>
      <c r="E23" s="174">
        <f t="shared" ref="E23:E24" si="3">B23/B$30</f>
        <v>-2.9663047844011954E-4</v>
      </c>
    </row>
    <row r="24" spans="1:5" ht="14.25" x14ac:dyDescent="0.2">
      <c r="A24" s="172" t="s">
        <v>40</v>
      </c>
      <c r="B24" s="148">
        <v>439402.484</v>
      </c>
      <c r="C24" s="38"/>
      <c r="D24" s="38"/>
      <c r="E24" s="174">
        <f t="shared" si="3"/>
        <v>3.8924651617263412E-2</v>
      </c>
    </row>
    <row r="25" spans="1:5" ht="14.25" x14ac:dyDescent="0.2">
      <c r="A25" s="172" t="s">
        <v>41</v>
      </c>
      <c r="B25" s="148"/>
      <c r="C25" s="38"/>
      <c r="D25" s="38"/>
      <c r="E25" s="174"/>
    </row>
    <row r="26" spans="1:5" ht="14.25" x14ac:dyDescent="0.2">
      <c r="A26" s="172" t="s">
        <v>42</v>
      </c>
      <c r="B26" s="148">
        <v>684.92290000000003</v>
      </c>
      <c r="C26" s="38"/>
      <c r="D26" s="38"/>
      <c r="E26" s="174">
        <f t="shared" ref="E26:E27" si="4">B26/B$30</f>
        <v>6.0674179682574912E-5</v>
      </c>
    </row>
    <row r="27" spans="1:5" ht="14.25" x14ac:dyDescent="0.2">
      <c r="A27" s="172" t="s">
        <v>43</v>
      </c>
      <c r="B27" s="148">
        <v>10100.1167</v>
      </c>
      <c r="C27" s="38"/>
      <c r="D27" s="38"/>
      <c r="E27" s="174">
        <f t="shared" si="4"/>
        <v>8.947230344769836E-4</v>
      </c>
    </row>
    <row r="28" spans="1:5" x14ac:dyDescent="0.2">
      <c r="A28" s="172" t="s">
        <v>44</v>
      </c>
      <c r="B28" s="38"/>
      <c r="C28" s="38"/>
      <c r="D28" s="38"/>
      <c r="E28" s="175"/>
    </row>
    <row r="29" spans="1:5" x14ac:dyDescent="0.2">
      <c r="A29" s="172" t="s">
        <v>45</v>
      </c>
      <c r="B29" s="38"/>
      <c r="C29" s="38"/>
      <c r="D29" s="38"/>
      <c r="E29" s="175"/>
    </row>
    <row r="30" spans="1:5" x14ac:dyDescent="0.2">
      <c r="A30" s="173" t="s">
        <v>46</v>
      </c>
      <c r="B30" s="149">
        <f>SUM(B3:B29)</f>
        <v>11288539.9289</v>
      </c>
      <c r="C30" s="39">
        <f>SUM(C3:C29)</f>
        <v>0</v>
      </c>
      <c r="D30" s="39">
        <f>SUM(D3:D29)</f>
        <v>0</v>
      </c>
      <c r="E30" s="176">
        <f>SUM(E3:E29)</f>
        <v>1</v>
      </c>
    </row>
    <row r="31" spans="1:5" x14ac:dyDescent="0.2">
      <c r="A31" s="172" t="s">
        <v>47</v>
      </c>
      <c r="B31" s="38"/>
      <c r="C31" s="38"/>
      <c r="D31" s="38"/>
      <c r="E31" s="175"/>
    </row>
    <row r="32" spans="1:5" ht="14.25" x14ac:dyDescent="0.2">
      <c r="A32" s="180" t="s">
        <v>48</v>
      </c>
      <c r="B32" s="181">
        <v>869977.56400000001</v>
      </c>
      <c r="C32" s="182"/>
      <c r="D32" s="182"/>
      <c r="E32" s="183">
        <f>B32/B30</f>
        <v>7.706732398339261E-2</v>
      </c>
    </row>
    <row r="33" spans="1:5" x14ac:dyDescent="0.2">
      <c r="A33" s="194" t="s">
        <v>2681</v>
      </c>
      <c r="B33" s="194"/>
      <c r="C33" s="194"/>
      <c r="D33" s="194"/>
      <c r="E33" s="194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1">
    <mergeCell ref="A33:E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2"/>
  <sheetViews>
    <sheetView rightToLeft="1" workbookViewId="0">
      <selection activeCell="G5" sqref="G5"/>
    </sheetView>
  </sheetViews>
  <sheetFormatPr defaultColWidth="9" defaultRowHeight="14.25" x14ac:dyDescent="0.2"/>
  <cols>
    <col min="1" max="1" width="11.8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2" width="16.375" style="2" customWidth="1"/>
    <col min="13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7" s="3" customFormat="1" ht="66.75" customHeight="1" x14ac:dyDescent="0.2">
      <c r="A1" s="169" t="s">
        <v>49</v>
      </c>
      <c r="B1" s="169" t="s">
        <v>50</v>
      </c>
      <c r="C1" s="169" t="s">
        <v>51</v>
      </c>
      <c r="D1" s="169" t="s">
        <v>52</v>
      </c>
      <c r="E1" s="169" t="s">
        <v>53</v>
      </c>
      <c r="F1" s="169" t="s">
        <v>54</v>
      </c>
      <c r="G1" s="169" t="s">
        <v>55</v>
      </c>
      <c r="H1" s="169" t="s">
        <v>56</v>
      </c>
      <c r="I1" s="169" t="s">
        <v>57</v>
      </c>
      <c r="J1" s="169" t="s">
        <v>58</v>
      </c>
      <c r="K1" s="169" t="s">
        <v>59</v>
      </c>
      <c r="L1" s="169" t="s">
        <v>60</v>
      </c>
      <c r="M1" s="169" t="s">
        <v>61</v>
      </c>
      <c r="N1" s="169" t="s">
        <v>62</v>
      </c>
      <c r="O1" s="169" t="s">
        <v>63</v>
      </c>
      <c r="P1" s="169" t="s">
        <v>64</v>
      </c>
      <c r="Q1" s="169" t="s">
        <v>65</v>
      </c>
    </row>
    <row r="2" spans="1:17" x14ac:dyDescent="0.2">
      <c r="A2" t="s">
        <v>1204</v>
      </c>
      <c r="B2" t="s">
        <v>1204</v>
      </c>
      <c r="C2" t="s">
        <v>1205</v>
      </c>
      <c r="D2" t="s">
        <v>1206</v>
      </c>
      <c r="E2" t="s">
        <v>315</v>
      </c>
      <c r="F2" t="s">
        <v>934</v>
      </c>
      <c r="G2" t="s">
        <v>204</v>
      </c>
      <c r="H2" t="s">
        <v>339</v>
      </c>
      <c r="I2" t="s">
        <v>1207</v>
      </c>
      <c r="J2" t="s">
        <v>413</v>
      </c>
      <c r="K2" t="s">
        <v>1208</v>
      </c>
      <c r="L2" s="132">
        <v>-5490912.9000000004</v>
      </c>
      <c r="M2" s="127">
        <v>1</v>
      </c>
      <c r="N2" s="96"/>
      <c r="O2" s="125">
        <v>-5490912.9000000004</v>
      </c>
      <c r="P2" s="129">
        <v>-2.7761651345004655E-2</v>
      </c>
      <c r="Q2" s="129">
        <v>-4.8641293270205061E-4</v>
      </c>
    </row>
    <row r="3" spans="1:17" x14ac:dyDescent="0.2">
      <c r="A3" t="s">
        <v>1204</v>
      </c>
      <c r="B3" t="s">
        <v>1204</v>
      </c>
      <c r="C3" t="s">
        <v>1205</v>
      </c>
      <c r="D3" t="s">
        <v>1206</v>
      </c>
      <c r="E3" t="s">
        <v>315</v>
      </c>
      <c r="F3" t="s">
        <v>937</v>
      </c>
      <c r="G3" t="s">
        <v>204</v>
      </c>
      <c r="H3" t="s">
        <v>339</v>
      </c>
      <c r="I3" t="s">
        <v>1207</v>
      </c>
      <c r="J3" t="s">
        <v>413</v>
      </c>
      <c r="K3" t="s">
        <v>1208</v>
      </c>
      <c r="L3" s="132">
        <v>159169839.90000001</v>
      </c>
      <c r="M3" s="127">
        <v>1</v>
      </c>
      <c r="N3" s="128">
        <v>4.1500000000000002E-2</v>
      </c>
      <c r="O3" s="125">
        <v>159169839.90000001</v>
      </c>
      <c r="P3" s="129">
        <v>0.80475098715084892</v>
      </c>
      <c r="Q3" s="129">
        <v>1.4100072178355823E-2</v>
      </c>
    </row>
    <row r="4" spans="1:17" x14ac:dyDescent="0.2">
      <c r="A4" t="s">
        <v>1204</v>
      </c>
      <c r="B4" t="s">
        <v>1204</v>
      </c>
      <c r="C4" t="s">
        <v>1205</v>
      </c>
      <c r="D4" t="s">
        <v>1206</v>
      </c>
      <c r="E4" t="s">
        <v>315</v>
      </c>
      <c r="F4" t="s">
        <v>936</v>
      </c>
      <c r="G4" t="s">
        <v>205</v>
      </c>
      <c r="H4" t="s">
        <v>339</v>
      </c>
      <c r="I4" t="s">
        <v>1207</v>
      </c>
      <c r="J4" t="s">
        <v>413</v>
      </c>
      <c r="K4" t="s">
        <v>1209</v>
      </c>
      <c r="L4" s="132">
        <v>6814772.4000000004</v>
      </c>
      <c r="M4" s="13">
        <v>3.7589999999999999</v>
      </c>
      <c r="N4"/>
      <c r="O4" s="125">
        <v>25616729.300000001</v>
      </c>
      <c r="P4" s="129">
        <v>0.12951629637602524</v>
      </c>
      <c r="Q4" s="129">
        <v>2.2692598783143401E-3</v>
      </c>
    </row>
    <row r="5" spans="1:17" x14ac:dyDescent="0.2">
      <c r="A5" t="s">
        <v>1204</v>
      </c>
      <c r="B5" t="s">
        <v>1204</v>
      </c>
      <c r="C5" t="s">
        <v>1205</v>
      </c>
      <c r="D5" t="s">
        <v>1206</v>
      </c>
      <c r="E5" t="s">
        <v>315</v>
      </c>
      <c r="F5" t="s">
        <v>936</v>
      </c>
      <c r="G5" t="s">
        <v>205</v>
      </c>
      <c r="H5" t="s">
        <v>339</v>
      </c>
      <c r="I5" t="s">
        <v>1207</v>
      </c>
      <c r="J5" t="s">
        <v>413</v>
      </c>
      <c r="K5" t="s">
        <v>1211</v>
      </c>
      <c r="L5" s="132">
        <v>3313298.5</v>
      </c>
      <c r="M5" s="131">
        <v>4.0202</v>
      </c>
      <c r="N5"/>
      <c r="O5" s="125">
        <v>13320122.699999999</v>
      </c>
      <c r="P5" s="129">
        <v>6.7345559338633648E-2</v>
      </c>
      <c r="Q5" s="129">
        <v>1.1799640668082626E-3</v>
      </c>
    </row>
    <row r="6" spans="1:17" x14ac:dyDescent="0.2">
      <c r="A6" t="s">
        <v>1204</v>
      </c>
      <c r="B6" t="s">
        <v>1204</v>
      </c>
      <c r="C6" t="s">
        <v>1205</v>
      </c>
      <c r="D6" t="s">
        <v>1206</v>
      </c>
      <c r="E6" t="s">
        <v>315</v>
      </c>
      <c r="F6" t="s">
        <v>936</v>
      </c>
      <c r="G6" t="s">
        <v>205</v>
      </c>
      <c r="H6" t="s">
        <v>339</v>
      </c>
      <c r="I6" t="s">
        <v>1207</v>
      </c>
      <c r="J6" t="s">
        <v>413</v>
      </c>
      <c r="K6" t="s">
        <v>1212</v>
      </c>
      <c r="L6" s="132">
        <v>816499.3</v>
      </c>
      <c r="M6" s="131">
        <v>4.7504999999999997</v>
      </c>
      <c r="N6"/>
      <c r="O6" s="125">
        <v>3878780.1</v>
      </c>
      <c r="P6" s="129">
        <v>1.9610826330948298E-2</v>
      </c>
      <c r="Q6" s="129">
        <v>3.4360202243745731E-4</v>
      </c>
    </row>
    <row r="7" spans="1:17" x14ac:dyDescent="0.2">
      <c r="A7" t="s">
        <v>1204</v>
      </c>
      <c r="B7" t="s">
        <v>1204</v>
      </c>
      <c r="C7" t="s">
        <v>1205</v>
      </c>
      <c r="D7" t="s">
        <v>1206</v>
      </c>
      <c r="E7" t="s">
        <v>315</v>
      </c>
      <c r="F7" t="s">
        <v>936</v>
      </c>
      <c r="G7" t="s">
        <v>205</v>
      </c>
      <c r="H7" t="s">
        <v>339</v>
      </c>
      <c r="I7" t="s">
        <v>1207</v>
      </c>
      <c r="J7" t="s">
        <v>413</v>
      </c>
      <c r="K7" t="s">
        <v>1213</v>
      </c>
      <c r="L7" s="132">
        <v>471722.3</v>
      </c>
      <c r="M7" s="131">
        <v>2.7412999999999998</v>
      </c>
      <c r="N7"/>
      <c r="O7" s="125">
        <v>1293132.3999999999</v>
      </c>
      <c r="P7" s="129">
        <v>6.5379821485485384E-3</v>
      </c>
      <c r="Q7" s="129">
        <v>1.145522300279654E-4</v>
      </c>
    </row>
    <row r="8" spans="1:17" x14ac:dyDescent="0.2">
      <c r="A8" s="195" t="s">
        <v>2681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</row>
    <row r="9" spans="1:17" x14ac:dyDescent="0.2">
      <c r="A9" s="102"/>
      <c r="B9" s="102"/>
      <c r="C9" s="102"/>
      <c r="D9"/>
      <c r="E9" s="16"/>
      <c r="F9" s="102"/>
      <c r="G9" s="102"/>
      <c r="H9" s="102"/>
      <c r="I9" s="102"/>
      <c r="J9" s="102"/>
      <c r="K9" s="102"/>
      <c r="L9" s="102"/>
      <c r="M9"/>
      <c r="N9"/>
      <c r="O9"/>
      <c r="P9"/>
      <c r="Q9"/>
    </row>
    <row r="10" spans="1:17" x14ac:dyDescent="0.2">
      <c r="A10" s="102"/>
      <c r="B10" s="102"/>
      <c r="C10" s="102"/>
      <c r="D10"/>
      <c r="E10" s="16"/>
      <c r="F10" s="102"/>
      <c r="G10" s="102"/>
      <c r="H10" s="102"/>
      <c r="I10" s="102"/>
      <c r="J10" s="102"/>
      <c r="K10" s="102"/>
      <c r="L10" s="102"/>
      <c r="M10"/>
      <c r="N10"/>
      <c r="O10"/>
      <c r="P10"/>
      <c r="Q10"/>
    </row>
    <row r="11" spans="1:17" x14ac:dyDescent="0.2">
      <c r="A11" s="102"/>
      <c r="B11" s="102"/>
      <c r="C11" s="102"/>
      <c r="D11"/>
      <c r="E11" s="16"/>
      <c r="F11" s="102"/>
      <c r="G11" s="102"/>
      <c r="H11" s="102"/>
      <c r="I11" s="102"/>
      <c r="J11" s="102"/>
      <c r="K11" s="102"/>
      <c r="L11" s="102"/>
      <c r="M11"/>
      <c r="N11"/>
      <c r="O11"/>
      <c r="P11"/>
      <c r="Q11"/>
    </row>
    <row r="12" spans="1:17" x14ac:dyDescent="0.2">
      <c r="A12" s="102"/>
      <c r="B12" s="102"/>
      <c r="C12" s="102"/>
      <c r="D12"/>
      <c r="E12" s="16"/>
      <c r="F12" s="102"/>
      <c r="G12" s="102"/>
      <c r="H12" s="102"/>
      <c r="I12" s="102"/>
      <c r="J12" s="102"/>
      <c r="K12" s="102"/>
      <c r="L12" s="102"/>
      <c r="M12"/>
      <c r="N12"/>
      <c r="O12"/>
      <c r="P12"/>
      <c r="Q12"/>
    </row>
    <row r="13" spans="1:17" x14ac:dyDescent="0.2">
      <c r="A13" s="102"/>
      <c r="B13" s="102"/>
      <c r="C13" s="102"/>
      <c r="D13"/>
      <c r="E13" s="16"/>
      <c r="F13" s="102"/>
      <c r="G13" s="102"/>
      <c r="H13" s="102"/>
      <c r="I13" s="102"/>
      <c r="J13" s="102"/>
      <c r="K13" s="102"/>
      <c r="L13" s="102"/>
      <c r="M13"/>
      <c r="N13"/>
      <c r="O13"/>
      <c r="P13"/>
      <c r="Q13"/>
    </row>
    <row r="14" spans="1:17" x14ac:dyDescent="0.2">
      <c r="A14" s="102"/>
      <c r="B14" s="102"/>
      <c r="C14" s="102"/>
      <c r="D14"/>
      <c r="E14" s="16"/>
      <c r="F14" s="102"/>
      <c r="G14" s="102"/>
      <c r="H14" s="102"/>
      <c r="I14" s="102"/>
      <c r="J14" s="102"/>
      <c r="K14" s="102"/>
      <c r="L14" s="102"/>
      <c r="M14"/>
      <c r="N14"/>
      <c r="O14"/>
      <c r="P14"/>
      <c r="Q14"/>
    </row>
    <row r="15" spans="1:17" x14ac:dyDescent="0.2">
      <c r="A15" s="102"/>
      <c r="B15" s="102"/>
      <c r="C15" s="102"/>
      <c r="D15"/>
      <c r="E15" s="16"/>
      <c r="F15" s="102"/>
      <c r="G15" s="102"/>
      <c r="H15" s="102"/>
      <c r="I15" s="102"/>
      <c r="J15" s="102"/>
      <c r="K15" s="102"/>
      <c r="L15" s="102"/>
      <c r="M15"/>
      <c r="N15"/>
      <c r="O15"/>
      <c r="P15"/>
      <c r="Q15"/>
    </row>
    <row r="16" spans="1:17" x14ac:dyDescent="0.2">
      <c r="A16" s="102"/>
      <c r="B16" s="102"/>
      <c r="C16" s="102"/>
      <c r="D16"/>
      <c r="E16" s="16"/>
      <c r="F16" s="102"/>
      <c r="G16" s="102"/>
      <c r="H16" s="102"/>
      <c r="I16" s="102"/>
      <c r="J16" s="102"/>
      <c r="K16" s="102"/>
      <c r="L16" s="102"/>
      <c r="M16"/>
      <c r="N16"/>
      <c r="O16"/>
      <c r="P16"/>
      <c r="Q16"/>
    </row>
    <row r="17" spans="4:17" x14ac:dyDescent="0.2">
      <c r="D17"/>
      <c r="E17" s="16"/>
      <c r="F17" s="102"/>
      <c r="G17" s="102"/>
      <c r="H17" s="102"/>
      <c r="I17" s="102"/>
      <c r="J17" s="102"/>
      <c r="K17" s="102"/>
      <c r="L17" s="102"/>
      <c r="M17"/>
      <c r="N17"/>
      <c r="O17"/>
      <c r="P17"/>
      <c r="Q17"/>
    </row>
    <row r="18" spans="4:17" x14ac:dyDescent="0.2">
      <c r="D18"/>
      <c r="E18" s="16"/>
      <c r="F18" s="102"/>
      <c r="G18" s="102"/>
      <c r="H18" s="102"/>
      <c r="I18" s="102"/>
      <c r="J18" s="102"/>
      <c r="K18" s="102"/>
      <c r="L18" s="102"/>
      <c r="M18"/>
      <c r="N18"/>
      <c r="O18"/>
      <c r="P18"/>
      <c r="Q18"/>
    </row>
    <row r="19" spans="4:17" x14ac:dyDescent="0.2">
      <c r="D19"/>
      <c r="E19" s="16"/>
      <c r="F19" s="102"/>
      <c r="G19" s="102"/>
      <c r="H19" s="102"/>
      <c r="I19" s="102"/>
      <c r="J19" s="102"/>
      <c r="K19" s="102"/>
      <c r="L19" s="102"/>
      <c r="M19"/>
      <c r="N19"/>
      <c r="O19"/>
      <c r="P19"/>
      <c r="Q19"/>
    </row>
    <row r="20" spans="4:17" x14ac:dyDescent="0.2">
      <c r="D20"/>
      <c r="E20" s="16"/>
      <c r="F20" s="102"/>
      <c r="G20" s="102"/>
      <c r="H20" s="102"/>
      <c r="I20" s="102"/>
      <c r="J20" s="102"/>
      <c r="K20" s="102"/>
      <c r="L20" s="102"/>
      <c r="M20"/>
      <c r="N20"/>
      <c r="O20"/>
      <c r="P20"/>
      <c r="Q20"/>
    </row>
    <row r="21" spans="4:17" x14ac:dyDescent="0.2">
      <c r="D21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4:17" x14ac:dyDescent="0.2">
      <c r="D2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1">
    <mergeCell ref="A8:Q8"/>
  </mergeCells>
  <dataValidations count="4">
    <dataValidation type="list" allowBlank="1" showInputMessage="1" showErrorMessage="1" sqref="G2:G7 G9:G20" xr:uid="{00000000-0002-0000-0200-000000000000}">
      <formula1>israel_abroad</formula1>
    </dataValidation>
    <dataValidation type="list" allowBlank="1" showInputMessage="1" showErrorMessage="1" sqref="H2:H7 H9:H20" xr:uid="{00000000-0002-0000-0200-000001000000}">
      <formula1>Holding_interest</formula1>
    </dataValidation>
    <dataValidation type="list" allowBlank="1" showInputMessage="1" showErrorMessage="1" sqref="J2:J7 J9:J21" xr:uid="{00000000-0002-0000-0200-000002000000}">
      <formula1>Rating_Agency</formula1>
    </dataValidation>
    <dataValidation type="list" allowBlank="1" showInputMessage="1" showErrorMessage="1" sqref="E2:E7 E9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F2:F7 F9:F20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A26"/>
  <sheetViews>
    <sheetView rightToLeft="1" workbookViewId="0">
      <selection activeCell="D12" sqref="D12"/>
    </sheetView>
  </sheetViews>
  <sheetFormatPr defaultColWidth="9" defaultRowHeight="14.25" x14ac:dyDescent="0.2"/>
  <cols>
    <col min="1" max="1" width="11.5" style="4" customWidth="1"/>
    <col min="2" max="4" width="11.625" style="4" customWidth="1"/>
    <col min="5" max="5" width="12.75" style="4" customWidth="1"/>
    <col min="6" max="6" width="35" style="4" bestFit="1" customWidth="1"/>
    <col min="7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27" width="15.625" style="167" customWidth="1"/>
    <col min="28" max="30" width="11.625" style="4" customWidth="1"/>
    <col min="31" max="16384" width="9" style="4"/>
  </cols>
  <sheetData>
    <row r="1" spans="1:27" ht="66.75" customHeight="1" x14ac:dyDescent="0.2">
      <c r="A1" s="169" t="s">
        <v>49</v>
      </c>
      <c r="B1" s="169" t="s">
        <v>50</v>
      </c>
      <c r="C1" s="169" t="s">
        <v>66</v>
      </c>
      <c r="D1" s="169" t="s">
        <v>67</v>
      </c>
      <c r="E1" s="169" t="s">
        <v>68</v>
      </c>
      <c r="F1" s="169" t="s">
        <v>54</v>
      </c>
      <c r="G1" s="169" t="s">
        <v>55</v>
      </c>
      <c r="H1" s="169" t="s">
        <v>69</v>
      </c>
      <c r="I1" s="169" t="s">
        <v>70</v>
      </c>
      <c r="J1" s="169" t="s">
        <v>71</v>
      </c>
      <c r="K1" s="169" t="s">
        <v>58</v>
      </c>
      <c r="L1" s="169" t="s">
        <v>59</v>
      </c>
      <c r="M1" s="169" t="s">
        <v>72</v>
      </c>
      <c r="N1" s="169" t="s">
        <v>73</v>
      </c>
      <c r="O1" s="169" t="s">
        <v>62</v>
      </c>
      <c r="P1" s="169" t="s">
        <v>74</v>
      </c>
      <c r="Q1" s="169" t="s">
        <v>75</v>
      </c>
      <c r="R1" s="169" t="s">
        <v>76</v>
      </c>
      <c r="S1" s="169" t="s">
        <v>61</v>
      </c>
      <c r="T1" s="169" t="s">
        <v>77</v>
      </c>
      <c r="U1" s="169" t="s">
        <v>63</v>
      </c>
      <c r="V1" s="169" t="s">
        <v>78</v>
      </c>
      <c r="W1" s="169" t="s">
        <v>17</v>
      </c>
      <c r="X1" s="169" t="s">
        <v>79</v>
      </c>
      <c r="Y1" s="169" t="s">
        <v>64</v>
      </c>
      <c r="Z1" s="169" t="s">
        <v>65</v>
      </c>
    </row>
    <row r="2" spans="1:27" x14ac:dyDescent="0.2">
      <c r="A2" t="s">
        <v>1204</v>
      </c>
      <c r="B2" t="s">
        <v>1204</v>
      </c>
      <c r="C2" t="s">
        <v>1214</v>
      </c>
      <c r="D2" t="s">
        <v>1215</v>
      </c>
      <c r="E2" t="s">
        <v>1216</v>
      </c>
      <c r="F2" t="s">
        <v>943</v>
      </c>
      <c r="G2" t="s">
        <v>204</v>
      </c>
      <c r="H2" t="s">
        <v>204</v>
      </c>
      <c r="I2" t="s">
        <v>340</v>
      </c>
      <c r="J2" t="s">
        <v>1217</v>
      </c>
      <c r="K2" t="s">
        <v>413</v>
      </c>
      <c r="L2" t="s">
        <v>1208</v>
      </c>
      <c r="M2" s="125">
        <v>7390</v>
      </c>
      <c r="N2" t="s">
        <v>1218</v>
      </c>
      <c r="O2" s="126">
        <v>0.01</v>
      </c>
      <c r="P2" s="126">
        <v>2.18E-2</v>
      </c>
      <c r="Q2"/>
      <c r="R2" s="125">
        <v>524720338000</v>
      </c>
      <c r="S2" s="132">
        <v>1</v>
      </c>
      <c r="T2" s="131">
        <v>97.65</v>
      </c>
      <c r="U2" s="132">
        <v>512389.41010000004</v>
      </c>
      <c r="V2" s="155"/>
      <c r="W2" s="16"/>
      <c r="X2" s="129">
        <v>4.4614360744013197E-2</v>
      </c>
      <c r="Y2" s="129">
        <v>0.19082917061417407</v>
      </c>
      <c r="Z2" s="129">
        <v>4.5390054223879116E-2</v>
      </c>
      <c r="AA2" s="167">
        <f>R2*T2/100000</f>
        <v>512389410.05699998</v>
      </c>
    </row>
    <row r="3" spans="1:27" x14ac:dyDescent="0.2">
      <c r="A3" t="s">
        <v>1204</v>
      </c>
      <c r="B3" t="s">
        <v>1204</v>
      </c>
      <c r="C3" t="s">
        <v>1214</v>
      </c>
      <c r="D3" t="s">
        <v>1219</v>
      </c>
      <c r="E3" t="s">
        <v>1220</v>
      </c>
      <c r="F3" t="s">
        <v>943</v>
      </c>
      <c r="G3" t="s">
        <v>204</v>
      </c>
      <c r="H3" t="s">
        <v>204</v>
      </c>
      <c r="I3" t="s">
        <v>340</v>
      </c>
      <c r="J3" t="s">
        <v>1217</v>
      </c>
      <c r="K3" t="s">
        <v>413</v>
      </c>
      <c r="L3" t="s">
        <v>1208</v>
      </c>
      <c r="M3" s="125">
        <v>13720</v>
      </c>
      <c r="N3" t="s">
        <v>1221</v>
      </c>
      <c r="O3" s="126">
        <v>2.75E-2</v>
      </c>
      <c r="P3" s="126">
        <v>2.35E-2</v>
      </c>
      <c r="Q3"/>
      <c r="R3" s="125">
        <v>308191213000</v>
      </c>
      <c r="S3" s="132">
        <v>1</v>
      </c>
      <c r="T3" s="131">
        <v>131.08000000000001</v>
      </c>
      <c r="U3" s="132">
        <v>403977.04200000002</v>
      </c>
      <c r="V3" s="155"/>
      <c r="W3" s="16"/>
      <c r="X3" s="129">
        <v>1.718333919044316E-2</v>
      </c>
      <c r="Y3" s="129">
        <v>0.15045315605474333</v>
      </c>
      <c r="Z3" s="129">
        <v>3.5786336488805699E-2</v>
      </c>
    </row>
    <row r="4" spans="1:27" x14ac:dyDescent="0.2">
      <c r="A4" t="s">
        <v>1204</v>
      </c>
      <c r="B4" t="s">
        <v>1204</v>
      </c>
      <c r="C4" t="s">
        <v>1214</v>
      </c>
      <c r="D4" t="s">
        <v>1222</v>
      </c>
      <c r="E4" t="s">
        <v>1223</v>
      </c>
      <c r="F4" t="s">
        <v>943</v>
      </c>
      <c r="G4" t="s">
        <v>204</v>
      </c>
      <c r="H4" t="s">
        <v>204</v>
      </c>
      <c r="I4" t="s">
        <v>340</v>
      </c>
      <c r="J4" t="s">
        <v>1217</v>
      </c>
      <c r="K4" t="s">
        <v>413</v>
      </c>
      <c r="L4" t="s">
        <v>1208</v>
      </c>
      <c r="M4" s="125">
        <v>24940</v>
      </c>
      <c r="N4" t="s">
        <v>1224</v>
      </c>
      <c r="O4" s="126">
        <v>5.0000000000000001E-3</v>
      </c>
      <c r="P4" s="126">
        <v>2.46E-2</v>
      </c>
      <c r="Q4"/>
      <c r="R4" s="125">
        <v>566719612000</v>
      </c>
      <c r="S4" s="132">
        <v>1</v>
      </c>
      <c r="T4" s="131">
        <v>69.900000000000006</v>
      </c>
      <c r="U4" s="132">
        <v>396137.00880000001</v>
      </c>
      <c r="V4" s="155"/>
      <c r="W4" s="16"/>
      <c r="X4" s="129">
        <v>6.1963379783668143E-2</v>
      </c>
      <c r="Y4" s="129">
        <v>0.14753329275127763</v>
      </c>
      <c r="Z4" s="129">
        <v>3.5091826560139802E-2</v>
      </c>
    </row>
    <row r="5" spans="1:27" x14ac:dyDescent="0.2">
      <c r="A5" t="s">
        <v>1204</v>
      </c>
      <c r="B5" t="s">
        <v>1204</v>
      </c>
      <c r="C5" t="s">
        <v>1214</v>
      </c>
      <c r="D5" t="s">
        <v>1225</v>
      </c>
      <c r="E5" t="s">
        <v>1226</v>
      </c>
      <c r="F5" t="s">
        <v>943</v>
      </c>
      <c r="G5" t="s">
        <v>204</v>
      </c>
      <c r="H5" t="s">
        <v>204</v>
      </c>
      <c r="I5" t="s">
        <v>340</v>
      </c>
      <c r="J5" t="s">
        <v>1217</v>
      </c>
      <c r="K5" t="s">
        <v>413</v>
      </c>
      <c r="L5" t="s">
        <v>1208</v>
      </c>
      <c r="M5" s="125">
        <v>18620</v>
      </c>
      <c r="N5" t="s">
        <v>1227</v>
      </c>
      <c r="O5" s="126">
        <v>0.01</v>
      </c>
      <c r="P5" s="126">
        <v>2.4299999999999999E-2</v>
      </c>
      <c r="Q5"/>
      <c r="R5" s="125">
        <v>301105096000</v>
      </c>
      <c r="S5" s="132">
        <v>1</v>
      </c>
      <c r="T5" s="131">
        <v>88.06</v>
      </c>
      <c r="U5" s="132">
        <v>265153.14750000002</v>
      </c>
      <c r="V5" s="155"/>
      <c r="W5" s="16"/>
      <c r="X5" s="129">
        <v>1.6630950918591795E-2</v>
      </c>
      <c r="Y5" s="129">
        <v>9.8750977747001312E-2</v>
      </c>
      <c r="Z5" s="129">
        <v>2.3488611411826468E-2</v>
      </c>
    </row>
    <row r="6" spans="1:27" x14ac:dyDescent="0.2">
      <c r="A6" t="s">
        <v>1204</v>
      </c>
      <c r="B6" t="s">
        <v>1204</v>
      </c>
      <c r="C6" t="s">
        <v>1214</v>
      </c>
      <c r="D6" t="s">
        <v>1228</v>
      </c>
      <c r="E6" t="s">
        <v>1229</v>
      </c>
      <c r="F6" t="s">
        <v>943</v>
      </c>
      <c r="G6" t="s">
        <v>204</v>
      </c>
      <c r="H6" t="s">
        <v>204</v>
      </c>
      <c r="I6" t="s">
        <v>340</v>
      </c>
      <c r="J6" t="s">
        <v>1217</v>
      </c>
      <c r="K6" t="s">
        <v>413</v>
      </c>
      <c r="L6" t="s">
        <v>1208</v>
      </c>
      <c r="M6" s="125">
        <v>9880</v>
      </c>
      <c r="N6" t="s">
        <v>1230</v>
      </c>
      <c r="O6" s="126">
        <v>0.04</v>
      </c>
      <c r="P6" s="126">
        <v>2.3099999999999999E-2</v>
      </c>
      <c r="Q6"/>
      <c r="R6" s="125">
        <v>152048838000</v>
      </c>
      <c r="S6" s="132">
        <v>1</v>
      </c>
      <c r="T6" s="131">
        <v>159.08000000000001</v>
      </c>
      <c r="U6" s="132">
        <v>241879.29149999999</v>
      </c>
      <c r="V6" s="155"/>
      <c r="W6" s="16"/>
      <c r="X6" s="129">
        <v>9.5434312289943268E-3</v>
      </c>
      <c r="Y6" s="129">
        <v>9.0083096328478662E-2</v>
      </c>
      <c r="Z6" s="129">
        <v>2.1426895132671427E-2</v>
      </c>
    </row>
    <row r="7" spans="1:27" x14ac:dyDescent="0.2">
      <c r="A7" t="s">
        <v>1204</v>
      </c>
      <c r="B7" t="s">
        <v>1204</v>
      </c>
      <c r="C7" t="s">
        <v>1214</v>
      </c>
      <c r="D7" t="s">
        <v>1231</v>
      </c>
      <c r="E7" t="s">
        <v>1232</v>
      </c>
      <c r="F7" t="s">
        <v>943</v>
      </c>
      <c r="G7" t="s">
        <v>204</v>
      </c>
      <c r="H7" t="s">
        <v>204</v>
      </c>
      <c r="I7" t="s">
        <v>340</v>
      </c>
      <c r="J7" t="s">
        <v>1217</v>
      </c>
      <c r="K7" t="s">
        <v>413</v>
      </c>
      <c r="L7" t="s">
        <v>1208</v>
      </c>
      <c r="M7" s="125">
        <v>8680</v>
      </c>
      <c r="N7" t="s">
        <v>1233</v>
      </c>
      <c r="O7" s="126">
        <v>1.6E-2</v>
      </c>
      <c r="P7" s="126">
        <v>2.3E-2</v>
      </c>
      <c r="Q7"/>
      <c r="R7" s="125">
        <v>130000000000</v>
      </c>
      <c r="S7" s="132">
        <v>1</v>
      </c>
      <c r="T7" s="131">
        <v>96.6</v>
      </c>
      <c r="U7" s="132">
        <v>125580</v>
      </c>
      <c r="V7" s="155"/>
      <c r="W7" s="16"/>
      <c r="X7" s="129">
        <v>2.8382637249154796E-2</v>
      </c>
      <c r="Y7" s="129">
        <v>4.6769755142016117E-2</v>
      </c>
      <c r="Z7" s="129">
        <v>1.1124513695161346E-2</v>
      </c>
    </row>
    <row r="8" spans="1:27" x14ac:dyDescent="0.2">
      <c r="A8" t="s">
        <v>1204</v>
      </c>
      <c r="B8" t="s">
        <v>1204</v>
      </c>
      <c r="C8" t="s">
        <v>1214</v>
      </c>
      <c r="D8" t="s">
        <v>1234</v>
      </c>
      <c r="E8" t="s">
        <v>1235</v>
      </c>
      <c r="F8" t="s">
        <v>943</v>
      </c>
      <c r="G8" t="s">
        <v>204</v>
      </c>
      <c r="H8" t="s">
        <v>204</v>
      </c>
      <c r="I8" t="s">
        <v>340</v>
      </c>
      <c r="J8" t="s">
        <v>1217</v>
      </c>
      <c r="K8" t="s">
        <v>413</v>
      </c>
      <c r="L8" t="s">
        <v>1208</v>
      </c>
      <c r="M8" s="125">
        <v>4230</v>
      </c>
      <c r="N8" t="s">
        <v>1236</v>
      </c>
      <c r="O8" s="126">
        <v>1.0999999999999999E-2</v>
      </c>
      <c r="P8" s="126">
        <v>1.9400000000000001E-2</v>
      </c>
      <c r="Q8"/>
      <c r="R8" s="125">
        <v>123700000000</v>
      </c>
      <c r="S8" s="132">
        <v>1</v>
      </c>
      <c r="T8" s="131">
        <v>99.98</v>
      </c>
      <c r="U8" s="132">
        <v>123675.26</v>
      </c>
      <c r="V8" s="155"/>
      <c r="W8" s="16"/>
      <c r="X8" s="129">
        <v>8.7228062812102995E-3</v>
      </c>
      <c r="Y8" s="129">
        <v>4.6060372888399266E-2</v>
      </c>
      <c r="Z8" s="129">
        <v>1.0955782159759836E-2</v>
      </c>
    </row>
    <row r="9" spans="1:27" x14ac:dyDescent="0.2">
      <c r="A9" t="s">
        <v>1204</v>
      </c>
      <c r="B9" t="s">
        <v>1204</v>
      </c>
      <c r="C9" t="s">
        <v>1214</v>
      </c>
      <c r="D9" t="s">
        <v>1237</v>
      </c>
      <c r="E9" t="s">
        <v>1238</v>
      </c>
      <c r="F9" t="s">
        <v>943</v>
      </c>
      <c r="G9" t="s">
        <v>204</v>
      </c>
      <c r="H9" t="s">
        <v>204</v>
      </c>
      <c r="I9" t="s">
        <v>340</v>
      </c>
      <c r="J9" t="s">
        <v>1217</v>
      </c>
      <c r="K9" t="s">
        <v>413</v>
      </c>
      <c r="L9" t="s">
        <v>1208</v>
      </c>
      <c r="M9" s="125">
        <v>4870</v>
      </c>
      <c r="N9" t="s">
        <v>1239</v>
      </c>
      <c r="O9" s="126">
        <v>5.0000000000000001E-3</v>
      </c>
      <c r="P9" s="126">
        <v>1.9900000000000001E-2</v>
      </c>
      <c r="Q9"/>
      <c r="R9" s="125">
        <v>83246258000</v>
      </c>
      <c r="S9" s="132">
        <v>1</v>
      </c>
      <c r="T9" s="131">
        <v>105.85</v>
      </c>
      <c r="U9" s="132">
        <v>88116.164099999995</v>
      </c>
      <c r="V9" s="155"/>
      <c r="W9" s="16"/>
      <c r="X9" s="129">
        <v>4.1175151585777061E-3</v>
      </c>
      <c r="Y9" s="129">
        <v>3.281710000544133E-2</v>
      </c>
      <c r="Z9" s="129">
        <v>7.8057769885145961E-3</v>
      </c>
    </row>
    <row r="10" spans="1:27" x14ac:dyDescent="0.2">
      <c r="A10" t="s">
        <v>1204</v>
      </c>
      <c r="B10" t="s">
        <v>1204</v>
      </c>
      <c r="C10" t="s">
        <v>1214</v>
      </c>
      <c r="D10" t="s">
        <v>1240</v>
      </c>
      <c r="E10" t="s">
        <v>1241</v>
      </c>
      <c r="F10" t="s">
        <v>943</v>
      </c>
      <c r="G10" t="s">
        <v>204</v>
      </c>
      <c r="H10" t="s">
        <v>204</v>
      </c>
      <c r="I10" t="s">
        <v>340</v>
      </c>
      <c r="J10" t="s">
        <v>1217</v>
      </c>
      <c r="K10" t="s">
        <v>413</v>
      </c>
      <c r="L10" t="s">
        <v>1208</v>
      </c>
      <c r="M10" s="125">
        <v>2890</v>
      </c>
      <c r="N10" t="s">
        <v>1242</v>
      </c>
      <c r="O10" s="126">
        <v>7.4999999999999997E-3</v>
      </c>
      <c r="P10" s="126">
        <v>1.7399999999999999E-2</v>
      </c>
      <c r="Q10"/>
      <c r="R10" s="125">
        <v>53898111000</v>
      </c>
      <c r="S10" s="132">
        <v>1</v>
      </c>
      <c r="T10" s="131">
        <v>111.66</v>
      </c>
      <c r="U10" s="132">
        <v>60182.630700000002</v>
      </c>
      <c r="V10" s="155"/>
      <c r="W10" s="16"/>
      <c r="X10" s="129">
        <v>2.6916671231882448E-3</v>
      </c>
      <c r="Y10" s="129">
        <v>2.2413815126881457E-2</v>
      </c>
      <c r="Z10" s="129">
        <v>5.3312828468457711E-3</v>
      </c>
    </row>
    <row r="11" spans="1:27" x14ac:dyDescent="0.2">
      <c r="A11" t="s">
        <v>1204</v>
      </c>
      <c r="B11" t="s">
        <v>1204</v>
      </c>
      <c r="C11" t="s">
        <v>1214</v>
      </c>
      <c r="D11" t="s">
        <v>1243</v>
      </c>
      <c r="E11" t="s">
        <v>1244</v>
      </c>
      <c r="F11" t="s">
        <v>943</v>
      </c>
      <c r="G11" t="s">
        <v>204</v>
      </c>
      <c r="H11" t="s">
        <v>204</v>
      </c>
      <c r="I11" t="s">
        <v>340</v>
      </c>
      <c r="J11" t="s">
        <v>1217</v>
      </c>
      <c r="K11" t="s">
        <v>413</v>
      </c>
      <c r="L11" t="s">
        <v>1208</v>
      </c>
      <c r="M11" s="125">
        <v>2080</v>
      </c>
      <c r="N11" t="s">
        <v>1245</v>
      </c>
      <c r="O11" s="126">
        <v>1E-3</v>
      </c>
      <c r="P11" s="126">
        <v>1.6400000000000001E-2</v>
      </c>
      <c r="Q11"/>
      <c r="R11" s="125">
        <v>33928558000</v>
      </c>
      <c r="S11" s="132">
        <v>1</v>
      </c>
      <c r="T11" s="131">
        <v>110.2</v>
      </c>
      <c r="U11" s="132">
        <v>37389.270899999996</v>
      </c>
      <c r="V11" s="155"/>
      <c r="W11" s="16"/>
      <c r="X11" s="129">
        <v>2.5968196829694121E-3</v>
      </c>
      <c r="Y11" s="129">
        <v>1.3924884899504894E-2</v>
      </c>
      <c r="Z11" s="129">
        <v>3.3121313613404986E-3</v>
      </c>
    </row>
    <row r="12" spans="1:27" x14ac:dyDescent="0.2">
      <c r="A12" t="s">
        <v>1204</v>
      </c>
      <c r="B12" t="s">
        <v>1204</v>
      </c>
      <c r="C12" t="s">
        <v>1214</v>
      </c>
      <c r="D12" t="s">
        <v>1243</v>
      </c>
      <c r="E12" t="s">
        <v>1244</v>
      </c>
      <c r="F12" t="s">
        <v>943</v>
      </c>
      <c r="G12" t="s">
        <v>204</v>
      </c>
      <c r="H12" t="s">
        <v>204</v>
      </c>
      <c r="I12" t="s">
        <v>340</v>
      </c>
      <c r="J12" t="s">
        <v>1217</v>
      </c>
      <c r="K12" t="s">
        <v>413</v>
      </c>
      <c r="L12" t="s">
        <v>1208</v>
      </c>
      <c r="M12" s="125">
        <v>2080</v>
      </c>
      <c r="N12" t="s">
        <v>1245</v>
      </c>
      <c r="O12" s="126">
        <v>1E-3</v>
      </c>
      <c r="P12" s="126">
        <v>1.6400000000000001E-2</v>
      </c>
      <c r="Q12"/>
      <c r="R12" s="125">
        <v>26811520000</v>
      </c>
      <c r="S12" s="132">
        <v>1</v>
      </c>
      <c r="T12" s="131">
        <v>110.2</v>
      </c>
      <c r="U12" s="132">
        <v>29546.294999999998</v>
      </c>
      <c r="V12" s="155"/>
      <c r="W12" s="16"/>
      <c r="X12" s="129">
        <v>2.0520967282584793E-3</v>
      </c>
      <c r="Y12" s="129">
        <v>1.1003925659934426E-2</v>
      </c>
      <c r="Z12" s="129">
        <v>2.6173607565994406E-3</v>
      </c>
    </row>
    <row r="13" spans="1:27" x14ac:dyDescent="0.2">
      <c r="A13" t="s">
        <v>1204</v>
      </c>
      <c r="B13" t="s">
        <v>1204</v>
      </c>
      <c r="C13" t="s">
        <v>1214</v>
      </c>
      <c r="D13" t="s">
        <v>1246</v>
      </c>
      <c r="E13" t="s">
        <v>1247</v>
      </c>
      <c r="F13" t="s">
        <v>945</v>
      </c>
      <c r="G13" t="s">
        <v>204</v>
      </c>
      <c r="H13" t="s">
        <v>204</v>
      </c>
      <c r="I13" t="s">
        <v>340</v>
      </c>
      <c r="J13" t="s">
        <v>1217</v>
      </c>
      <c r="K13" t="s">
        <v>413</v>
      </c>
      <c r="L13" t="s">
        <v>1208</v>
      </c>
      <c r="M13" s="125">
        <v>5620</v>
      </c>
      <c r="N13" t="s">
        <v>1248</v>
      </c>
      <c r="O13" s="126">
        <v>4.0899999999999999E-2</v>
      </c>
      <c r="P13" s="126">
        <v>4.8599999999999997E-2</v>
      </c>
      <c r="Q13"/>
      <c r="R13" s="125">
        <v>120730000000</v>
      </c>
      <c r="S13" s="132">
        <v>1</v>
      </c>
      <c r="T13" s="131">
        <v>97.22</v>
      </c>
      <c r="U13" s="132">
        <v>117373.70600000001</v>
      </c>
      <c r="V13" s="155"/>
      <c r="W13" s="16"/>
      <c r="X13" s="129">
        <v>6.3989903238128674E-3</v>
      </c>
      <c r="Y13" s="129">
        <v>4.3713485345843191E-2</v>
      </c>
      <c r="Z13" s="129">
        <v>1.0397558527224409E-2</v>
      </c>
    </row>
    <row r="14" spans="1:27" x14ac:dyDescent="0.2">
      <c r="A14" t="s">
        <v>1204</v>
      </c>
      <c r="B14" t="s">
        <v>1204</v>
      </c>
      <c r="C14" t="s">
        <v>1214</v>
      </c>
      <c r="D14" t="s">
        <v>1249</v>
      </c>
      <c r="E14" t="s">
        <v>1250</v>
      </c>
      <c r="F14" t="s">
        <v>945</v>
      </c>
      <c r="G14" t="s">
        <v>204</v>
      </c>
      <c r="H14" t="s">
        <v>204</v>
      </c>
      <c r="I14" t="s">
        <v>340</v>
      </c>
      <c r="J14" t="s">
        <v>1217</v>
      </c>
      <c r="K14" t="s">
        <v>413</v>
      </c>
      <c r="L14" t="s">
        <v>1208</v>
      </c>
      <c r="M14" s="125">
        <v>14480</v>
      </c>
      <c r="N14" t="s">
        <v>1251</v>
      </c>
      <c r="O14" s="126">
        <v>3.7499999999999999E-2</v>
      </c>
      <c r="P14" s="126">
        <v>5.4699999999999999E-2</v>
      </c>
      <c r="Q14"/>
      <c r="R14" s="125">
        <v>79746274000</v>
      </c>
      <c r="S14" s="132">
        <v>1</v>
      </c>
      <c r="T14" s="131">
        <v>78.790000000000006</v>
      </c>
      <c r="U14" s="132">
        <v>62832.0893</v>
      </c>
      <c r="V14" s="155"/>
      <c r="W14" s="16"/>
      <c r="X14" s="129">
        <v>3.1619380776597736E-3</v>
      </c>
      <c r="Y14" s="129">
        <v>2.3400552881844533E-2</v>
      </c>
      <c r="Z14" s="129">
        <v>5.5659853300058385E-3</v>
      </c>
    </row>
    <row r="15" spans="1:27" x14ac:dyDescent="0.2">
      <c r="A15" t="s">
        <v>1204</v>
      </c>
      <c r="B15" t="s">
        <v>1204</v>
      </c>
      <c r="C15" t="s">
        <v>1214</v>
      </c>
      <c r="D15" t="s">
        <v>1252</v>
      </c>
      <c r="E15" t="s">
        <v>1253</v>
      </c>
      <c r="F15" t="s">
        <v>945</v>
      </c>
      <c r="G15" t="s">
        <v>204</v>
      </c>
      <c r="H15" t="s">
        <v>204</v>
      </c>
      <c r="I15" t="s">
        <v>340</v>
      </c>
      <c r="J15" t="s">
        <v>1217</v>
      </c>
      <c r="K15" t="s">
        <v>413</v>
      </c>
      <c r="L15" t="s">
        <v>1208</v>
      </c>
      <c r="M15" s="125">
        <v>8760</v>
      </c>
      <c r="N15" t="s">
        <v>1254</v>
      </c>
      <c r="O15" s="126">
        <v>0.04</v>
      </c>
      <c r="P15" s="126">
        <v>5.04E-2</v>
      </c>
      <c r="Q15"/>
      <c r="R15" s="125">
        <v>50000000000</v>
      </c>
      <c r="S15" s="132">
        <v>1</v>
      </c>
      <c r="T15" s="131">
        <v>92.5</v>
      </c>
      <c r="U15" s="132">
        <v>46250</v>
      </c>
      <c r="V15" s="155"/>
      <c r="W15" s="16"/>
      <c r="X15" s="129">
        <v>5.3874178364905758E-3</v>
      </c>
      <c r="Y15" s="129">
        <v>1.7224885931822306E-2</v>
      </c>
      <c r="Z15" s="129">
        <v>4.0970597101545811E-3</v>
      </c>
    </row>
    <row r="16" spans="1:27" x14ac:dyDescent="0.2">
      <c r="A16" t="s">
        <v>1204</v>
      </c>
      <c r="B16" t="s">
        <v>1204</v>
      </c>
      <c r="C16" t="s">
        <v>1214</v>
      </c>
      <c r="D16" t="s">
        <v>1255</v>
      </c>
      <c r="E16" t="s">
        <v>1256</v>
      </c>
      <c r="F16" t="s">
        <v>945</v>
      </c>
      <c r="G16" t="s">
        <v>204</v>
      </c>
      <c r="H16" t="s">
        <v>204</v>
      </c>
      <c r="I16" t="s">
        <v>340</v>
      </c>
      <c r="J16" t="s">
        <v>1217</v>
      </c>
      <c r="K16" t="s">
        <v>413</v>
      </c>
      <c r="L16" t="s">
        <v>1208</v>
      </c>
      <c r="M16" s="125">
        <v>16830</v>
      </c>
      <c r="N16" t="s">
        <v>1257</v>
      </c>
      <c r="O16" s="126">
        <v>2.8000000000000001E-2</v>
      </c>
      <c r="P16" s="126">
        <v>5.5599999999999997E-2</v>
      </c>
      <c r="Q16"/>
      <c r="R16" s="125">
        <v>54139225000</v>
      </c>
      <c r="S16" s="132">
        <v>1</v>
      </c>
      <c r="T16" s="131">
        <v>62.6</v>
      </c>
      <c r="U16" s="132">
        <v>33891.154900000001</v>
      </c>
      <c r="V16" s="155"/>
      <c r="W16" s="16"/>
      <c r="X16" s="129">
        <v>4.5009855711584289E-4</v>
      </c>
      <c r="Y16" s="129">
        <v>1.2622081651653542E-2</v>
      </c>
      <c r="Z16" s="129">
        <v>3.0022504879252975E-3</v>
      </c>
    </row>
    <row r="17" spans="1:26" x14ac:dyDescent="0.2">
      <c r="A17" t="s">
        <v>1204</v>
      </c>
      <c r="B17" t="s">
        <v>1204</v>
      </c>
      <c r="C17" t="s">
        <v>1214</v>
      </c>
      <c r="D17" t="s">
        <v>1258</v>
      </c>
      <c r="E17" t="s">
        <v>1259</v>
      </c>
      <c r="F17" t="s">
        <v>945</v>
      </c>
      <c r="G17" t="s">
        <v>204</v>
      </c>
      <c r="H17" t="s">
        <v>204</v>
      </c>
      <c r="I17" t="s">
        <v>340</v>
      </c>
      <c r="J17" t="s">
        <v>1217</v>
      </c>
      <c r="K17" t="s">
        <v>413</v>
      </c>
      <c r="L17" t="s">
        <v>1208</v>
      </c>
      <c r="M17" s="125">
        <v>11520</v>
      </c>
      <c r="N17" t="s">
        <v>1260</v>
      </c>
      <c r="O17" s="126">
        <v>5.5E-2</v>
      </c>
      <c r="P17" s="126">
        <v>5.33E-2</v>
      </c>
      <c r="Q17"/>
      <c r="R17" s="125">
        <v>17128001000</v>
      </c>
      <c r="S17" s="132">
        <v>1</v>
      </c>
      <c r="T17" s="131">
        <v>104.09</v>
      </c>
      <c r="U17" s="132">
        <v>17828.536199999999</v>
      </c>
      <c r="V17" s="155"/>
      <c r="W17" s="16"/>
      <c r="X17" s="129">
        <v>9.0304012648128587E-4</v>
      </c>
      <c r="Y17" s="129">
        <v>6.6398811476943258E-3</v>
      </c>
      <c r="Z17" s="129">
        <v>1.5793422167269663E-3</v>
      </c>
    </row>
    <row r="18" spans="1:26" x14ac:dyDescent="0.2">
      <c r="A18" t="s">
        <v>1204</v>
      </c>
      <c r="B18" t="s">
        <v>1204</v>
      </c>
      <c r="C18" t="s">
        <v>1214</v>
      </c>
      <c r="D18" t="s">
        <v>1261</v>
      </c>
      <c r="E18" t="s">
        <v>1262</v>
      </c>
      <c r="F18" t="s">
        <v>947</v>
      </c>
      <c r="G18" t="s">
        <v>204</v>
      </c>
      <c r="H18" t="s">
        <v>204</v>
      </c>
      <c r="I18" t="s">
        <v>340</v>
      </c>
      <c r="J18" t="s">
        <v>1263</v>
      </c>
      <c r="K18" t="s">
        <v>431</v>
      </c>
      <c r="L18" t="s">
        <v>1209</v>
      </c>
      <c r="M18" s="125">
        <v>7666.2</v>
      </c>
      <c r="N18" t="s">
        <v>1264</v>
      </c>
      <c r="O18" s="126">
        <v>5.5E-2</v>
      </c>
      <c r="P18" s="129">
        <v>6.4024540411233594E-2</v>
      </c>
      <c r="Q18"/>
      <c r="R18" s="125">
        <v>19000000000</v>
      </c>
      <c r="S18" s="13" t="s">
        <v>1210</v>
      </c>
      <c r="T18" s="131">
        <v>97.045299999999997</v>
      </c>
      <c r="U18" s="132">
        <v>69310.723700000002</v>
      </c>
      <c r="V18" s="155"/>
      <c r="W18" s="16"/>
      <c r="X18" s="129">
        <v>6.3333333333333332E-3</v>
      </c>
      <c r="Y18" s="129">
        <v>2.5813390482345436E-2</v>
      </c>
      <c r="Z18" s="129">
        <v>6.1398956455392005E-3</v>
      </c>
    </row>
    <row r="19" spans="1:26" x14ac:dyDescent="0.2">
      <c r="A19" t="s">
        <v>1204</v>
      </c>
      <c r="B19" t="s">
        <v>1204</v>
      </c>
      <c r="C19" t="s">
        <v>1214</v>
      </c>
      <c r="D19" t="s">
        <v>1265</v>
      </c>
      <c r="E19" t="s">
        <v>1266</v>
      </c>
      <c r="F19" t="s">
        <v>947</v>
      </c>
      <c r="G19" t="s">
        <v>204</v>
      </c>
      <c r="H19" t="s">
        <v>204</v>
      </c>
      <c r="I19" t="s">
        <v>340</v>
      </c>
      <c r="J19" t="s">
        <v>1267</v>
      </c>
      <c r="K19" t="s">
        <v>431</v>
      </c>
      <c r="L19" t="s">
        <v>1209</v>
      </c>
      <c r="M19" s="125">
        <v>6004.1</v>
      </c>
      <c r="N19" t="s">
        <v>1268</v>
      </c>
      <c r="O19" s="126">
        <v>6.5000000000000002E-2</v>
      </c>
      <c r="P19" s="129">
        <v>4.8477755838632203E-2</v>
      </c>
      <c r="Q19"/>
      <c r="R19" s="125">
        <v>12000000000</v>
      </c>
      <c r="S19" s="13" t="s">
        <v>1210</v>
      </c>
      <c r="T19" s="131">
        <v>103.4156</v>
      </c>
      <c r="U19" s="132">
        <v>46648.7088</v>
      </c>
      <c r="V19" s="155"/>
      <c r="W19" s="16"/>
      <c r="X19" s="129">
        <v>4.0000000000000001E-3</v>
      </c>
      <c r="Y19" s="129">
        <v>1.7373377054564109E-2</v>
      </c>
      <c r="Z19" s="129">
        <v>4.1323793632837254E-3</v>
      </c>
    </row>
    <row r="20" spans="1:26" x14ac:dyDescent="0.2">
      <c r="A20" t="s">
        <v>1204</v>
      </c>
      <c r="B20" t="s">
        <v>1204</v>
      </c>
      <c r="C20" t="s">
        <v>1214</v>
      </c>
      <c r="D20" t="s">
        <v>1269</v>
      </c>
      <c r="E20" t="s">
        <v>1270</v>
      </c>
      <c r="F20" t="s">
        <v>947</v>
      </c>
      <c r="G20" t="s">
        <v>204</v>
      </c>
      <c r="H20" t="s">
        <v>204</v>
      </c>
      <c r="I20" t="s">
        <v>340</v>
      </c>
      <c r="J20" t="s">
        <v>1267</v>
      </c>
      <c r="K20" t="s">
        <v>431</v>
      </c>
      <c r="L20" t="s">
        <v>1209</v>
      </c>
      <c r="M20" s="125">
        <v>13987.8</v>
      </c>
      <c r="N20" t="s">
        <v>1271</v>
      </c>
      <c r="O20" s="126">
        <v>5.7500000000000002E-2</v>
      </c>
      <c r="P20" s="129">
        <v>6.6308826740979807E-2</v>
      </c>
      <c r="Q20"/>
      <c r="R20" s="125">
        <v>2000000000</v>
      </c>
      <c r="S20" s="13" t="s">
        <v>1210</v>
      </c>
      <c r="T20" s="131">
        <v>91.888000000000005</v>
      </c>
      <c r="U20" s="132">
        <v>6908.1397999999999</v>
      </c>
      <c r="V20" s="155"/>
      <c r="W20" s="16"/>
      <c r="X20" s="129">
        <v>6.6666666666666664E-4</v>
      </c>
      <c r="Y20" s="129">
        <v>2.5727982863800476E-3</v>
      </c>
      <c r="Z20" s="129">
        <v>6.1195808455303158E-4</v>
      </c>
    </row>
    <row r="21" spans="1:26" x14ac:dyDescent="0.2">
      <c r="A21" s="195" t="s">
        <v>2681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spans="1:26" x14ac:dyDescent="0.2">
      <c r="L22" s="16"/>
    </row>
    <row r="23" spans="1:26" x14ac:dyDescent="0.2">
      <c r="L23" s="16"/>
    </row>
    <row r="24" spans="1:26" x14ac:dyDescent="0.2">
      <c r="L24" s="16"/>
    </row>
    <row r="25" spans="1:26" x14ac:dyDescent="0.2">
      <c r="L25" s="16"/>
    </row>
    <row r="26" spans="1:26" x14ac:dyDescent="0.2">
      <c r="L26" s="16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1">
    <mergeCell ref="A21:Z21"/>
  </mergeCell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/>
  </sheetViews>
  <sheetFormatPr defaultColWidth="11.625" defaultRowHeight="14.25" x14ac:dyDescent="0.2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6"/>
      <c r="AB2" s="16"/>
      <c r="AC2" s="16"/>
      <c r="AD2" s="16"/>
      <c r="AE2" s="16"/>
      <c r="AF2"/>
      <c r="AG2" s="16"/>
    </row>
    <row r="3" spans="1:36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/>
      <c r="P3" s="16"/>
      <c r="Q3" s="16"/>
      <c r="R3" s="16"/>
      <c r="S3" s="16"/>
      <c r="T3" s="103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G3" s="16"/>
    </row>
    <row r="4" spans="1:36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/>
      <c r="P4" s="16"/>
      <c r="Q4" s="16"/>
      <c r="R4" s="16"/>
      <c r="S4" s="16"/>
      <c r="T4" s="103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G4" s="16"/>
    </row>
    <row r="5" spans="1:36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03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6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03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/>
    </row>
    <row r="7" spans="1:36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03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G7"/>
    </row>
    <row r="8" spans="1:36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03"/>
      <c r="U8" s="16"/>
      <c r="V8" s="16"/>
      <c r="W8" s="16"/>
      <c r="X8" s="16"/>
      <c r="Y8" s="16"/>
      <c r="Z8" s="16"/>
      <c r="AB8"/>
      <c r="AC8"/>
      <c r="AG8"/>
    </row>
    <row r="9" spans="1:36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03"/>
      <c r="U9" s="16"/>
      <c r="V9" s="16"/>
      <c r="W9" s="16"/>
      <c r="X9" s="16"/>
      <c r="Y9" s="16"/>
      <c r="Z9" s="16"/>
      <c r="AB9" s="103"/>
      <c r="AC9" s="103"/>
      <c r="AD9" s="103"/>
      <c r="AG9" s="16"/>
    </row>
    <row r="10" spans="1:36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03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03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03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03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03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03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03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03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03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03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03"/>
      <c r="X20" s="16"/>
      <c r="Y20" s="16"/>
      <c r="AG20" s="16"/>
    </row>
    <row r="21" spans="1:33" x14ac:dyDescent="0.2">
      <c r="T21" s="102"/>
    </row>
    <row r="22" spans="1:33" x14ac:dyDescent="0.2">
      <c r="T22" s="102"/>
    </row>
    <row r="23" spans="1:33" x14ac:dyDescent="0.2">
      <c r="T23" s="102"/>
    </row>
    <row r="24" spans="1:33" x14ac:dyDescent="0.2">
      <c r="T24" s="102"/>
    </row>
    <row r="25" spans="1:33" x14ac:dyDescent="0.2">
      <c r="T25"/>
    </row>
    <row r="1048572" spans="12:14" x14ac:dyDescent="0.2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1">
    <mergeCell ref="A2:Z2"/>
  </mergeCells>
  <dataValidations count="14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3:J20" xr:uid="{00000000-0002-0000-0400-000001000000}">
      <formula1>israel_abroad</formula1>
    </dataValidation>
    <dataValidation type="list" allowBlank="1" showInputMessage="1" showErrorMessage="1" sqref="N1048572:N1048576 N3:N20" xr:uid="{00000000-0002-0000-0400-000002000000}">
      <formula1>Holding_interest</formula1>
    </dataValidation>
    <dataValidation type="list" allowBlank="1" showInputMessage="1" showErrorMessage="1" sqref="P3:P20" xr:uid="{00000000-0002-0000-0400-000003000000}">
      <formula1>Rating_Agency</formula1>
    </dataValidation>
    <dataValidation type="list" allowBlank="1" showInputMessage="1" showErrorMessage="1" sqref="Q3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3:K20" xr:uid="{00000000-0002-0000-0400-000006000000}">
      <formula1>Country_list</formula1>
    </dataValidation>
    <dataValidation type="list" allowBlank="1" showInputMessage="1" showErrorMessage="1" sqref="T3:T20" xr:uid="{00000000-0002-0000-0400-000007000000}">
      <formula1>Underlying_Interest_Rates</formula1>
    </dataValidation>
    <dataValidation type="list" allowBlank="1" showInputMessage="1" showErrorMessage="1" sqref="Y3:Y20" xr:uid="{00000000-0002-0000-0400-000008000000}">
      <formula1>Yes_No_Bad_Debt</formula1>
    </dataValidation>
    <dataValidation type="list" allowBlank="1" showInputMessage="1" showErrorMessage="1" sqref="X3:X20" xr:uid="{00000000-0002-0000-0400-000009000000}">
      <formula1>Subordination_Risk</formula1>
    </dataValidation>
    <dataValidation type="list" allowBlank="1" showInputMessage="1" showErrorMessage="1" sqref="E3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M3:M20" xr:uid="{00000000-0002-0000-0400-00000D000000}">
      <formula1>Industry_Sector</formula1>
    </dataValidation>
    <dataValidation type="list" allowBlank="1" showInputMessage="1" showErrorMessage="1" sqref="L3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I3:I20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0"/>
  <sheetViews>
    <sheetView rightToLeft="1" workbookViewId="0">
      <selection activeCell="F9" sqref="F9"/>
    </sheetView>
  </sheetViews>
  <sheetFormatPr defaultColWidth="11.625" defaultRowHeight="14.25" x14ac:dyDescent="0.2"/>
  <cols>
    <col min="1" max="1" width="11.875" style="2" customWidth="1"/>
    <col min="2" max="4" width="11.625" style="2"/>
    <col min="5" max="5" width="18.125" style="4" customWidth="1"/>
    <col min="6" max="6" width="30.75" style="2" bestFit="1" customWidth="1"/>
    <col min="7" max="7" width="12.75" style="2" customWidth="1"/>
    <col min="8" max="8" width="15.5" style="2" customWidth="1"/>
    <col min="9" max="9" width="24.625" style="2" bestFit="1" customWidth="1"/>
    <col min="10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6.875" style="2" customWidth="1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6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67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89</v>
      </c>
      <c r="M1" s="169" t="s">
        <v>70</v>
      </c>
      <c r="N1" s="169" t="s">
        <v>83</v>
      </c>
      <c r="O1" s="169" t="s">
        <v>56</v>
      </c>
      <c r="P1" s="169" t="s">
        <v>71</v>
      </c>
      <c r="Q1" s="169" t="s">
        <v>58</v>
      </c>
      <c r="R1" s="169" t="s">
        <v>84</v>
      </c>
      <c r="S1" s="169" t="s">
        <v>59</v>
      </c>
      <c r="T1" s="169" t="s">
        <v>72</v>
      </c>
      <c r="U1" s="169" t="s">
        <v>73</v>
      </c>
      <c r="V1" s="169" t="s">
        <v>62</v>
      </c>
      <c r="W1" s="169" t="s">
        <v>74</v>
      </c>
      <c r="X1" s="169" t="s">
        <v>86</v>
      </c>
      <c r="Y1" s="169" t="s">
        <v>87</v>
      </c>
      <c r="Z1" s="169" t="s">
        <v>76</v>
      </c>
      <c r="AA1" s="169" t="s">
        <v>61</v>
      </c>
      <c r="AB1" s="169" t="s">
        <v>77</v>
      </c>
      <c r="AC1" s="169" t="s">
        <v>75</v>
      </c>
      <c r="AD1" s="169" t="s">
        <v>63</v>
      </c>
      <c r="AE1" s="169" t="s">
        <v>78</v>
      </c>
      <c r="AF1" s="169" t="s">
        <v>88</v>
      </c>
      <c r="AG1" s="169" t="s">
        <v>17</v>
      </c>
      <c r="AH1" s="169" t="s">
        <v>79</v>
      </c>
      <c r="AI1" s="169" t="s">
        <v>64</v>
      </c>
      <c r="AJ1" s="169" t="s">
        <v>65</v>
      </c>
    </row>
    <row r="2" spans="1:36" x14ac:dyDescent="0.2">
      <c r="A2" t="s">
        <v>1204</v>
      </c>
      <c r="B2" t="s">
        <v>1204</v>
      </c>
      <c r="C2" t="s">
        <v>1272</v>
      </c>
      <c r="D2" t="s">
        <v>1273</v>
      </c>
      <c r="E2" t="s">
        <v>80</v>
      </c>
      <c r="F2" t="s">
        <v>1274</v>
      </c>
      <c r="G2" t="s">
        <v>1275</v>
      </c>
      <c r="H2" t="s">
        <v>312</v>
      </c>
      <c r="I2" t="s">
        <v>951</v>
      </c>
      <c r="J2" t="s">
        <v>204</v>
      </c>
      <c r="K2" t="s">
        <v>204</v>
      </c>
      <c r="L2" t="s">
        <v>325</v>
      </c>
      <c r="M2" t="s">
        <v>340</v>
      </c>
      <c r="N2" t="s">
        <v>1276</v>
      </c>
      <c r="O2" t="s">
        <v>339</v>
      </c>
      <c r="P2" t="s">
        <v>1277</v>
      </c>
      <c r="Q2" t="s">
        <v>413</v>
      </c>
      <c r="R2" t="s">
        <v>407</v>
      </c>
      <c r="S2" t="s">
        <v>1208</v>
      </c>
      <c r="T2" s="125">
        <v>5500</v>
      </c>
      <c r="U2" t="s">
        <v>1278</v>
      </c>
      <c r="V2" s="126">
        <v>2.4400000000000002E-2</v>
      </c>
      <c r="W2" s="126">
        <v>6.13E-2</v>
      </c>
      <c r="X2" t="s">
        <v>412</v>
      </c>
      <c r="Y2" t="s">
        <v>339</v>
      </c>
      <c r="Z2" s="125">
        <v>14000000000</v>
      </c>
      <c r="AA2" s="132">
        <v>1</v>
      </c>
      <c r="AB2" s="127">
        <v>83.12</v>
      </c>
      <c r="AC2" s="103"/>
      <c r="AD2" s="124">
        <v>11636.8</v>
      </c>
      <c r="AE2" s="103"/>
      <c r="AF2" s="103"/>
      <c r="AG2" s="16"/>
      <c r="AH2" s="129">
        <v>1.5303657355484284E-2</v>
      </c>
      <c r="AI2" s="129">
        <v>1.5276414474946882E-2</v>
      </c>
      <c r="AJ2" s="129">
        <v>1.0308467985973367E-3</v>
      </c>
    </row>
    <row r="3" spans="1:36" x14ac:dyDescent="0.2">
      <c r="A3" t="s">
        <v>1204</v>
      </c>
      <c r="B3" t="s">
        <v>1204</v>
      </c>
      <c r="C3" t="s">
        <v>1279</v>
      </c>
      <c r="D3" t="s">
        <v>1280</v>
      </c>
      <c r="E3" t="s">
        <v>80</v>
      </c>
      <c r="F3" t="s">
        <v>1281</v>
      </c>
      <c r="G3" t="s">
        <v>1282</v>
      </c>
      <c r="H3" t="s">
        <v>312</v>
      </c>
      <c r="I3" t="s">
        <v>951</v>
      </c>
      <c r="J3" t="s">
        <v>204</v>
      </c>
      <c r="K3" t="s">
        <v>204</v>
      </c>
      <c r="L3" t="s">
        <v>325</v>
      </c>
      <c r="M3" t="s">
        <v>340</v>
      </c>
      <c r="N3" t="s">
        <v>1276</v>
      </c>
      <c r="O3" t="s">
        <v>339</v>
      </c>
      <c r="P3" t="s">
        <v>1283</v>
      </c>
      <c r="Q3" t="s">
        <v>413</v>
      </c>
      <c r="R3" t="s">
        <v>407</v>
      </c>
      <c r="S3" t="s">
        <v>1208</v>
      </c>
      <c r="T3" s="125">
        <v>3160</v>
      </c>
      <c r="U3" t="s">
        <v>1284</v>
      </c>
      <c r="V3" s="126">
        <v>6.6299999999999998E-2</v>
      </c>
      <c r="W3" s="126">
        <v>7.2499999999999995E-2</v>
      </c>
      <c r="X3" t="s">
        <v>412</v>
      </c>
      <c r="Y3" t="s">
        <v>339</v>
      </c>
      <c r="Z3" s="125">
        <v>9967000000</v>
      </c>
      <c r="AA3" s="132">
        <v>1</v>
      </c>
      <c r="AB3" s="127">
        <v>98.62</v>
      </c>
      <c r="AC3" s="103"/>
      <c r="AD3" s="124">
        <v>9829.4554000000007</v>
      </c>
      <c r="AE3" s="103"/>
      <c r="AF3" s="102"/>
      <c r="AG3" s="16"/>
      <c r="AH3" s="129">
        <v>7.5289521333290026E-3</v>
      </c>
      <c r="AI3" s="129">
        <v>1.2903790969459369E-2</v>
      </c>
      <c r="AJ3" s="129">
        <v>8.7074304199138118E-4</v>
      </c>
    </row>
    <row r="4" spans="1:36" x14ac:dyDescent="0.2">
      <c r="A4" t="s">
        <v>1204</v>
      </c>
      <c r="B4" t="s">
        <v>1204</v>
      </c>
      <c r="C4" t="s">
        <v>1285</v>
      </c>
      <c r="D4" t="s">
        <v>1286</v>
      </c>
      <c r="E4" t="s">
        <v>80</v>
      </c>
      <c r="F4" t="s">
        <v>1287</v>
      </c>
      <c r="G4" t="s">
        <v>1288</v>
      </c>
      <c r="H4" t="s">
        <v>312</v>
      </c>
      <c r="I4" t="s">
        <v>951</v>
      </c>
      <c r="J4" t="s">
        <v>204</v>
      </c>
      <c r="K4" t="s">
        <v>204</v>
      </c>
      <c r="L4" t="s">
        <v>325</v>
      </c>
      <c r="M4" t="s">
        <v>340</v>
      </c>
      <c r="N4" t="s">
        <v>447</v>
      </c>
      <c r="O4" t="s">
        <v>339</v>
      </c>
      <c r="P4" t="s">
        <v>1289</v>
      </c>
      <c r="Q4" t="s">
        <v>413</v>
      </c>
      <c r="R4" t="s">
        <v>407</v>
      </c>
      <c r="S4" t="s">
        <v>1208</v>
      </c>
      <c r="T4" s="125">
        <v>3540</v>
      </c>
      <c r="U4" t="s">
        <v>1290</v>
      </c>
      <c r="V4" s="126">
        <v>2.8000000000000001E-2</v>
      </c>
      <c r="W4" s="126">
        <v>6.7000000000000004E-2</v>
      </c>
      <c r="X4" t="s">
        <v>412</v>
      </c>
      <c r="Y4" t="s">
        <v>339</v>
      </c>
      <c r="Z4" s="125">
        <v>10000000000</v>
      </c>
      <c r="AA4" s="132">
        <v>1</v>
      </c>
      <c r="AB4" s="127">
        <v>87.99</v>
      </c>
      <c r="AC4" s="103"/>
      <c r="AD4" s="124">
        <v>8799</v>
      </c>
      <c r="AE4" s="103"/>
      <c r="AF4" s="102"/>
      <c r="AG4" s="16"/>
      <c r="AH4" s="129">
        <v>1.2839624107164639E-2</v>
      </c>
      <c r="AI4" s="129">
        <v>1.1551042465717174E-2</v>
      </c>
      <c r="AJ4" s="129">
        <v>7.7946007328973306E-4</v>
      </c>
    </row>
    <row r="5" spans="1:36" x14ac:dyDescent="0.2">
      <c r="A5" t="s">
        <v>1204</v>
      </c>
      <c r="B5" t="s">
        <v>1204</v>
      </c>
      <c r="C5" t="s">
        <v>1291</v>
      </c>
      <c r="D5" t="s">
        <v>1292</v>
      </c>
      <c r="E5" t="s">
        <v>80</v>
      </c>
      <c r="F5" t="s">
        <v>1293</v>
      </c>
      <c r="G5" t="s">
        <v>1294</v>
      </c>
      <c r="H5" t="s">
        <v>312</v>
      </c>
      <c r="I5" t="s">
        <v>951</v>
      </c>
      <c r="J5" t="s">
        <v>204</v>
      </c>
      <c r="K5" t="s">
        <v>204</v>
      </c>
      <c r="L5" t="s">
        <v>325</v>
      </c>
      <c r="M5" t="s">
        <v>340</v>
      </c>
      <c r="N5" t="s">
        <v>448</v>
      </c>
      <c r="O5" t="s">
        <v>339</v>
      </c>
      <c r="P5" t="s">
        <v>1207</v>
      </c>
      <c r="Q5" t="s">
        <v>413</v>
      </c>
      <c r="R5" t="s">
        <v>409</v>
      </c>
      <c r="S5" t="s">
        <v>1208</v>
      </c>
      <c r="T5" s="125">
        <v>3570</v>
      </c>
      <c r="U5" t="s">
        <v>1295</v>
      </c>
      <c r="V5" s="126">
        <v>2.5000000000000001E-2</v>
      </c>
      <c r="W5" s="126">
        <v>5.0900000000000001E-2</v>
      </c>
      <c r="X5" t="s">
        <v>412</v>
      </c>
      <c r="Y5" t="s">
        <v>339</v>
      </c>
      <c r="Z5" s="125">
        <v>9013999110</v>
      </c>
      <c r="AA5" s="132">
        <v>1</v>
      </c>
      <c r="AB5" s="127">
        <v>92.62</v>
      </c>
      <c r="AC5" s="103"/>
      <c r="AD5" s="124">
        <v>8348.7659999999996</v>
      </c>
      <c r="AE5" s="103"/>
      <c r="AF5" s="102"/>
      <c r="AG5" s="16"/>
      <c r="AH5" s="129">
        <v>3.3546598179596313E-3</v>
      </c>
      <c r="AI5" s="129">
        <v>1.0959989808096086E-2</v>
      </c>
      <c r="AJ5" s="129">
        <v>7.395760585616458E-4</v>
      </c>
    </row>
    <row r="6" spans="1:36" x14ac:dyDescent="0.2">
      <c r="A6" t="s">
        <v>1204</v>
      </c>
      <c r="B6" t="s">
        <v>1204</v>
      </c>
      <c r="C6" t="s">
        <v>1296</v>
      </c>
      <c r="D6" t="s">
        <v>1297</v>
      </c>
      <c r="E6" t="s">
        <v>80</v>
      </c>
      <c r="F6" t="s">
        <v>1298</v>
      </c>
      <c r="G6" t="s">
        <v>1299</v>
      </c>
      <c r="H6" t="s">
        <v>312</v>
      </c>
      <c r="I6" t="s">
        <v>951</v>
      </c>
      <c r="J6" t="s">
        <v>204</v>
      </c>
      <c r="K6" t="s">
        <v>204</v>
      </c>
      <c r="L6" t="s">
        <v>325</v>
      </c>
      <c r="M6" t="s">
        <v>340</v>
      </c>
      <c r="N6" t="s">
        <v>1300</v>
      </c>
      <c r="O6" t="s">
        <v>339</v>
      </c>
      <c r="P6" t="s">
        <v>1277</v>
      </c>
      <c r="Q6" t="s">
        <v>413</v>
      </c>
      <c r="R6" t="s">
        <v>407</v>
      </c>
      <c r="S6" t="s">
        <v>1208</v>
      </c>
      <c r="T6" s="125">
        <v>1870</v>
      </c>
      <c r="U6" t="s">
        <v>1301</v>
      </c>
      <c r="V6" s="126">
        <v>0.09</v>
      </c>
      <c r="W6" s="126">
        <v>6.9599999999999995E-2</v>
      </c>
      <c r="X6" t="s">
        <v>412</v>
      </c>
      <c r="Y6" t="s">
        <v>339</v>
      </c>
      <c r="Z6" s="125">
        <v>8000000000</v>
      </c>
      <c r="AA6" s="132">
        <v>1</v>
      </c>
      <c r="AB6" s="127">
        <v>103.98</v>
      </c>
      <c r="AC6" s="103"/>
      <c r="AD6" s="124">
        <v>8318.4</v>
      </c>
      <c r="AE6" s="102"/>
      <c r="AF6" s="102"/>
      <c r="AG6" s="102"/>
      <c r="AH6" s="129">
        <v>2.502956617504427E-2</v>
      </c>
      <c r="AI6" s="129">
        <v>1.0920126337859045E-2</v>
      </c>
      <c r="AJ6" s="129">
        <v>7.3688608633405109E-4</v>
      </c>
    </row>
    <row r="7" spans="1:36" x14ac:dyDescent="0.2">
      <c r="A7" t="s">
        <v>1204</v>
      </c>
      <c r="B7" t="s">
        <v>1204</v>
      </c>
      <c r="C7" t="s">
        <v>1302</v>
      </c>
      <c r="D7" t="s">
        <v>1303</v>
      </c>
      <c r="E7" t="s">
        <v>80</v>
      </c>
      <c r="F7" t="s">
        <v>1304</v>
      </c>
      <c r="G7" t="s">
        <v>1305</v>
      </c>
      <c r="H7" t="s">
        <v>312</v>
      </c>
      <c r="I7" t="s">
        <v>951</v>
      </c>
      <c r="J7" t="s">
        <v>204</v>
      </c>
      <c r="K7" t="s">
        <v>204</v>
      </c>
      <c r="L7" t="s">
        <v>325</v>
      </c>
      <c r="M7" t="s">
        <v>340</v>
      </c>
      <c r="N7" t="s">
        <v>1276</v>
      </c>
      <c r="O7" t="s">
        <v>339</v>
      </c>
      <c r="P7" t="s">
        <v>1306</v>
      </c>
      <c r="Q7" t="s">
        <v>413</v>
      </c>
      <c r="R7" t="s">
        <v>407</v>
      </c>
      <c r="S7" t="s">
        <v>1208</v>
      </c>
      <c r="T7" s="125">
        <v>4570</v>
      </c>
      <c r="U7" t="s">
        <v>1307</v>
      </c>
      <c r="V7" s="126">
        <v>2.41E-2</v>
      </c>
      <c r="W7" s="126">
        <v>6.4899999999999999E-2</v>
      </c>
      <c r="X7" t="s">
        <v>412</v>
      </c>
      <c r="Y7" t="s">
        <v>339</v>
      </c>
      <c r="Z7" s="125">
        <v>9665821330</v>
      </c>
      <c r="AA7" s="132">
        <v>1</v>
      </c>
      <c r="AB7" s="127">
        <v>84.18</v>
      </c>
      <c r="AC7" s="103"/>
      <c r="AD7" s="124">
        <v>8136.6884</v>
      </c>
      <c r="AE7" s="102"/>
      <c r="AF7" s="102"/>
      <c r="AG7" s="102"/>
      <c r="AH7" s="129">
        <v>5.5391777017214008E-3</v>
      </c>
      <c r="AI7" s="129">
        <v>1.068158122375434E-2</v>
      </c>
      <c r="AJ7" s="129">
        <v>7.2078915026314578E-4</v>
      </c>
    </row>
    <row r="8" spans="1:36" x14ac:dyDescent="0.2">
      <c r="A8" t="s">
        <v>1204</v>
      </c>
      <c r="B8" t="s">
        <v>1204</v>
      </c>
      <c r="C8" t="s">
        <v>1308</v>
      </c>
      <c r="D8" t="s">
        <v>1309</v>
      </c>
      <c r="E8" t="s">
        <v>80</v>
      </c>
      <c r="F8" t="s">
        <v>1310</v>
      </c>
      <c r="G8" t="s">
        <v>1311</v>
      </c>
      <c r="H8" t="s">
        <v>312</v>
      </c>
      <c r="I8" t="s">
        <v>951</v>
      </c>
      <c r="J8" t="s">
        <v>204</v>
      </c>
      <c r="K8" t="s">
        <v>204</v>
      </c>
      <c r="L8" t="s">
        <v>325</v>
      </c>
      <c r="M8" t="s">
        <v>340</v>
      </c>
      <c r="N8" t="s">
        <v>459</v>
      </c>
      <c r="O8" t="s">
        <v>339</v>
      </c>
      <c r="P8" t="s">
        <v>1312</v>
      </c>
      <c r="Q8" t="s">
        <v>413</v>
      </c>
      <c r="R8" t="s">
        <v>407</v>
      </c>
      <c r="S8" t="s">
        <v>1208</v>
      </c>
      <c r="T8" s="125">
        <v>6440</v>
      </c>
      <c r="U8" t="s">
        <v>1313</v>
      </c>
      <c r="V8" s="126">
        <v>1.9E-2</v>
      </c>
      <c r="W8" s="126">
        <v>5.5800000000000002E-2</v>
      </c>
      <c r="X8" t="s">
        <v>412</v>
      </c>
      <c r="Y8" t="s">
        <v>339</v>
      </c>
      <c r="Z8" s="125">
        <v>10195400000</v>
      </c>
      <c r="AA8" s="132">
        <v>1</v>
      </c>
      <c r="AB8" s="127">
        <v>78.97</v>
      </c>
      <c r="AC8" s="103"/>
      <c r="AD8" s="124">
        <v>8051.3073999999997</v>
      </c>
      <c r="AE8" s="103"/>
      <c r="AF8" s="102"/>
      <c r="AG8" s="16"/>
      <c r="AH8" s="129">
        <v>9.4840930232558147E-3</v>
      </c>
      <c r="AI8" s="129">
        <v>1.0569495789399032E-2</v>
      </c>
      <c r="AJ8" s="129">
        <v>7.1322566660904298E-4</v>
      </c>
    </row>
    <row r="9" spans="1:36" x14ac:dyDescent="0.2">
      <c r="A9" t="s">
        <v>1204</v>
      </c>
      <c r="B9" t="s">
        <v>1204</v>
      </c>
      <c r="C9" t="s">
        <v>1314</v>
      </c>
      <c r="D9" t="s">
        <v>1315</v>
      </c>
      <c r="E9" t="s">
        <v>80</v>
      </c>
      <c r="F9" t="s">
        <v>1316</v>
      </c>
      <c r="G9" t="s">
        <v>1317</v>
      </c>
      <c r="H9" t="s">
        <v>312</v>
      </c>
      <c r="I9" t="s">
        <v>951</v>
      </c>
      <c r="J9" t="s">
        <v>204</v>
      </c>
      <c r="K9" t="s">
        <v>204</v>
      </c>
      <c r="L9" t="s">
        <v>325</v>
      </c>
      <c r="M9" t="s">
        <v>340</v>
      </c>
      <c r="N9" t="s">
        <v>1276</v>
      </c>
      <c r="O9" t="s">
        <v>339</v>
      </c>
      <c r="P9" t="s">
        <v>1277</v>
      </c>
      <c r="Q9" t="s">
        <v>413</v>
      </c>
      <c r="R9" t="s">
        <v>407</v>
      </c>
      <c r="S9" t="s">
        <v>1208</v>
      </c>
      <c r="T9" s="125">
        <v>5380</v>
      </c>
      <c r="U9" t="s">
        <v>1318</v>
      </c>
      <c r="V9" s="126">
        <v>2.5499999999999998E-2</v>
      </c>
      <c r="W9" s="126">
        <v>6.1400000000000003E-2</v>
      </c>
      <c r="X9" t="s">
        <v>412</v>
      </c>
      <c r="Y9" t="s">
        <v>339</v>
      </c>
      <c r="Z9" s="125">
        <v>9285714290</v>
      </c>
      <c r="AA9" s="132">
        <v>1</v>
      </c>
      <c r="AB9" s="127">
        <v>82.82</v>
      </c>
      <c r="AC9" s="103"/>
      <c r="AD9" s="124">
        <v>7690.4286000000002</v>
      </c>
      <c r="AE9" s="103"/>
      <c r="AF9" s="102"/>
      <c r="AG9" s="16"/>
      <c r="AH9" s="129">
        <v>6.5699984895613911E-3</v>
      </c>
      <c r="AI9" s="129">
        <v>1.0095745772148617E-2</v>
      </c>
      <c r="AJ9" s="129">
        <v>6.8125719066732687E-4</v>
      </c>
    </row>
    <row r="10" spans="1:36" x14ac:dyDescent="0.2">
      <c r="A10" t="s">
        <v>1204</v>
      </c>
      <c r="B10" t="s">
        <v>1204</v>
      </c>
      <c r="C10" t="s">
        <v>1319</v>
      </c>
      <c r="D10" t="s">
        <v>1320</v>
      </c>
      <c r="E10" t="s">
        <v>80</v>
      </c>
      <c r="F10" t="s">
        <v>1321</v>
      </c>
      <c r="G10" t="s">
        <v>1322</v>
      </c>
      <c r="H10" t="s">
        <v>312</v>
      </c>
      <c r="I10" t="s">
        <v>951</v>
      </c>
      <c r="J10" t="s">
        <v>204</v>
      </c>
      <c r="K10" t="s">
        <v>204</v>
      </c>
      <c r="L10" t="s">
        <v>325</v>
      </c>
      <c r="M10" t="s">
        <v>340</v>
      </c>
      <c r="N10" t="s">
        <v>448</v>
      </c>
      <c r="O10" t="s">
        <v>339</v>
      </c>
      <c r="P10" t="s">
        <v>1207</v>
      </c>
      <c r="Q10" t="s">
        <v>413</v>
      </c>
      <c r="R10" t="s">
        <v>407</v>
      </c>
      <c r="S10" t="s">
        <v>1208</v>
      </c>
      <c r="T10" s="125">
        <v>3490</v>
      </c>
      <c r="U10" t="s">
        <v>1323</v>
      </c>
      <c r="V10" s="126">
        <v>2.7400000000000001E-2</v>
      </c>
      <c r="W10" s="126">
        <v>5.0200000000000002E-2</v>
      </c>
      <c r="X10" t="s">
        <v>412</v>
      </c>
      <c r="Y10" t="s">
        <v>339</v>
      </c>
      <c r="Z10" s="125">
        <v>8166900010</v>
      </c>
      <c r="AA10" s="132">
        <v>1</v>
      </c>
      <c r="AB10" s="127">
        <v>93.09</v>
      </c>
      <c r="AC10" s="103"/>
      <c r="AD10" s="124">
        <v>7602.5672000000004</v>
      </c>
      <c r="AE10" s="103"/>
      <c r="AF10" s="102"/>
      <c r="AG10" s="16"/>
      <c r="AH10" s="129">
        <v>4.2403096601012968E-3</v>
      </c>
      <c r="AI10" s="129">
        <v>9.9804042276062724E-3</v>
      </c>
      <c r="AJ10" s="129">
        <v>6.7347398590211565E-4</v>
      </c>
    </row>
    <row r="11" spans="1:36" x14ac:dyDescent="0.2">
      <c r="A11" t="s">
        <v>1204</v>
      </c>
      <c r="B11" t="s">
        <v>1204</v>
      </c>
      <c r="C11" t="s">
        <v>1324</v>
      </c>
      <c r="D11" t="s">
        <v>1325</v>
      </c>
      <c r="E11" t="s">
        <v>80</v>
      </c>
      <c r="F11" t="s">
        <v>1326</v>
      </c>
      <c r="G11" t="s">
        <v>1327</v>
      </c>
      <c r="H11" t="s">
        <v>312</v>
      </c>
      <c r="I11" t="s">
        <v>951</v>
      </c>
      <c r="J11" t="s">
        <v>204</v>
      </c>
      <c r="K11" t="s">
        <v>204</v>
      </c>
      <c r="L11" t="s">
        <v>325</v>
      </c>
      <c r="M11" t="s">
        <v>340</v>
      </c>
      <c r="N11" t="s">
        <v>445</v>
      </c>
      <c r="O11" t="s">
        <v>339</v>
      </c>
      <c r="P11" t="s">
        <v>1328</v>
      </c>
      <c r="Q11" t="s">
        <v>415</v>
      </c>
      <c r="R11" t="s">
        <v>407</v>
      </c>
      <c r="S11" t="s">
        <v>1208</v>
      </c>
      <c r="T11" s="125">
        <v>5290</v>
      </c>
      <c r="U11" t="s">
        <v>1329</v>
      </c>
      <c r="V11" s="126">
        <v>2.64E-2</v>
      </c>
      <c r="W11" s="126">
        <v>5.8299999999999998E-2</v>
      </c>
      <c r="X11" t="s">
        <v>412</v>
      </c>
      <c r="Y11" t="s">
        <v>339</v>
      </c>
      <c r="Z11" s="125">
        <v>7800000000</v>
      </c>
      <c r="AA11" s="132">
        <v>1</v>
      </c>
      <c r="AB11" s="127">
        <v>85.64</v>
      </c>
      <c r="AC11" s="103"/>
      <c r="AD11" s="124">
        <v>6679.92</v>
      </c>
      <c r="AE11" s="103"/>
      <c r="AF11" s="102"/>
      <c r="AG11" s="16"/>
      <c r="AH11" s="129">
        <v>4.7672242157857491E-3</v>
      </c>
      <c r="AI11" s="129">
        <v>8.769182814819124E-3</v>
      </c>
      <c r="AJ11" s="129">
        <v>5.9174121295255751E-4</v>
      </c>
    </row>
    <row r="12" spans="1:36" x14ac:dyDescent="0.2">
      <c r="A12" t="s">
        <v>1204</v>
      </c>
      <c r="B12" t="s">
        <v>1204</v>
      </c>
      <c r="C12" t="s">
        <v>1330</v>
      </c>
      <c r="D12" t="s">
        <v>1331</v>
      </c>
      <c r="E12" t="s">
        <v>80</v>
      </c>
      <c r="F12" t="s">
        <v>1332</v>
      </c>
      <c r="G12" t="s">
        <v>1333</v>
      </c>
      <c r="H12" t="s">
        <v>312</v>
      </c>
      <c r="I12" t="s">
        <v>951</v>
      </c>
      <c r="J12" t="s">
        <v>204</v>
      </c>
      <c r="K12" t="s">
        <v>204</v>
      </c>
      <c r="L12" t="s">
        <v>325</v>
      </c>
      <c r="M12" t="s">
        <v>340</v>
      </c>
      <c r="N12" t="s">
        <v>448</v>
      </c>
      <c r="O12" t="s">
        <v>339</v>
      </c>
      <c r="P12" t="s">
        <v>1207</v>
      </c>
      <c r="Q12" t="s">
        <v>413</v>
      </c>
      <c r="R12" t="s">
        <v>409</v>
      </c>
      <c r="S12" t="s">
        <v>1208</v>
      </c>
      <c r="T12" s="125">
        <v>3360</v>
      </c>
      <c r="U12" t="s">
        <v>1334</v>
      </c>
      <c r="V12" s="126">
        <v>2.76E-2</v>
      </c>
      <c r="W12" s="126">
        <v>0.05</v>
      </c>
      <c r="X12" t="s">
        <v>412</v>
      </c>
      <c r="Y12" t="s">
        <v>339</v>
      </c>
      <c r="Z12" s="125">
        <v>6000000000</v>
      </c>
      <c r="AA12" s="132">
        <v>1</v>
      </c>
      <c r="AB12" s="127">
        <v>93.41</v>
      </c>
      <c r="AC12" s="103"/>
      <c r="AD12" s="124">
        <v>5604.6</v>
      </c>
      <c r="AE12" s="103"/>
      <c r="AF12" s="102"/>
      <c r="AG12" s="16"/>
      <c r="AH12" s="129">
        <v>4.4900030083020155E-3</v>
      </c>
      <c r="AI12" s="129">
        <v>7.3575375160084642E-3</v>
      </c>
      <c r="AJ12" s="129">
        <v>4.9648391030340246E-4</v>
      </c>
    </row>
    <row r="13" spans="1:36" x14ac:dyDescent="0.2">
      <c r="A13" t="s">
        <v>1204</v>
      </c>
      <c r="B13" t="s">
        <v>1204</v>
      </c>
      <c r="C13" t="s">
        <v>1335</v>
      </c>
      <c r="D13" t="s">
        <v>1336</v>
      </c>
      <c r="E13" t="s">
        <v>80</v>
      </c>
      <c r="F13" t="s">
        <v>1337</v>
      </c>
      <c r="G13" t="s">
        <v>1338</v>
      </c>
      <c r="H13" t="s">
        <v>312</v>
      </c>
      <c r="I13" t="s">
        <v>951</v>
      </c>
      <c r="J13" t="s">
        <v>204</v>
      </c>
      <c r="K13" t="s">
        <v>204</v>
      </c>
      <c r="L13" t="s">
        <v>325</v>
      </c>
      <c r="M13" t="s">
        <v>340</v>
      </c>
      <c r="N13" t="s">
        <v>440</v>
      </c>
      <c r="O13" t="s">
        <v>339</v>
      </c>
      <c r="P13" t="s">
        <v>1283</v>
      </c>
      <c r="Q13" t="s">
        <v>413</v>
      </c>
      <c r="R13" t="s">
        <v>407</v>
      </c>
      <c r="S13" t="s">
        <v>1208</v>
      </c>
      <c r="T13" s="125">
        <v>3350</v>
      </c>
      <c r="U13" t="s">
        <v>1339</v>
      </c>
      <c r="V13" s="126">
        <v>0.05</v>
      </c>
      <c r="W13" s="126">
        <v>6.3E-2</v>
      </c>
      <c r="X13" t="s">
        <v>412</v>
      </c>
      <c r="Y13" t="s">
        <v>339</v>
      </c>
      <c r="Z13" s="125">
        <v>5637653000</v>
      </c>
      <c r="AA13" s="132">
        <v>1</v>
      </c>
      <c r="AB13" s="127">
        <v>97.4</v>
      </c>
      <c r="AC13" s="103"/>
      <c r="AD13" s="124">
        <v>5491.0739999999996</v>
      </c>
      <c r="AE13" s="103"/>
      <c r="AF13" s="102"/>
      <c r="AG13" s="16"/>
      <c r="AH13" s="129">
        <v>5.4474088482349197E-3</v>
      </c>
      <c r="AI13" s="129">
        <v>7.2085042857732012E-3</v>
      </c>
      <c r="AJ13" s="129">
        <v>4.8642720304892256E-4</v>
      </c>
    </row>
    <row r="14" spans="1:36" x14ac:dyDescent="0.2">
      <c r="A14" t="s">
        <v>1204</v>
      </c>
      <c r="B14" t="s">
        <v>1204</v>
      </c>
      <c r="C14" t="s">
        <v>1319</v>
      </c>
      <c r="D14" t="s">
        <v>1320</v>
      </c>
      <c r="E14" t="s">
        <v>80</v>
      </c>
      <c r="F14" t="s">
        <v>1340</v>
      </c>
      <c r="G14" t="s">
        <v>1341</v>
      </c>
      <c r="H14" t="s">
        <v>312</v>
      </c>
      <c r="I14" t="s">
        <v>951</v>
      </c>
      <c r="J14" t="s">
        <v>204</v>
      </c>
      <c r="K14" t="s">
        <v>204</v>
      </c>
      <c r="L14" t="s">
        <v>325</v>
      </c>
      <c r="M14" t="s">
        <v>340</v>
      </c>
      <c r="N14" t="s">
        <v>448</v>
      </c>
      <c r="O14" t="s">
        <v>339</v>
      </c>
      <c r="P14" t="s">
        <v>1342</v>
      </c>
      <c r="Q14" t="s">
        <v>415</v>
      </c>
      <c r="R14" t="s">
        <v>407</v>
      </c>
      <c r="S14" t="s">
        <v>1208</v>
      </c>
      <c r="T14" s="125">
        <v>940</v>
      </c>
      <c r="U14" t="s">
        <v>1343</v>
      </c>
      <c r="V14" s="126">
        <v>2.98E-2</v>
      </c>
      <c r="W14" s="126">
        <v>4.4999999999999998E-2</v>
      </c>
      <c r="X14" t="s">
        <v>412</v>
      </c>
      <c r="Y14" t="s">
        <v>339</v>
      </c>
      <c r="Z14" s="125">
        <v>5460554000</v>
      </c>
      <c r="AA14" s="132">
        <v>1</v>
      </c>
      <c r="AB14" s="127">
        <v>98.82</v>
      </c>
      <c r="AC14" s="103"/>
      <c r="AD14" s="124">
        <v>5396.1194999999998</v>
      </c>
      <c r="AE14" s="103"/>
      <c r="AF14" s="102"/>
      <c r="AG14" s="16"/>
      <c r="AH14" s="129">
        <v>2.1480391690213369E-3</v>
      </c>
      <c r="AI14" s="129">
        <v>7.0838510131703315E-3</v>
      </c>
      <c r="AJ14" s="129">
        <v>4.780156463182456E-4</v>
      </c>
    </row>
    <row r="15" spans="1:36" x14ac:dyDescent="0.2">
      <c r="A15" t="s">
        <v>1204</v>
      </c>
      <c r="B15" t="s">
        <v>1204</v>
      </c>
      <c r="C15" t="s">
        <v>1324</v>
      </c>
      <c r="D15" t="s">
        <v>1325</v>
      </c>
      <c r="E15" t="s">
        <v>80</v>
      </c>
      <c r="F15" t="s">
        <v>1344</v>
      </c>
      <c r="G15" t="s">
        <v>1345</v>
      </c>
      <c r="H15" t="s">
        <v>312</v>
      </c>
      <c r="I15" t="s">
        <v>951</v>
      </c>
      <c r="J15" t="s">
        <v>204</v>
      </c>
      <c r="K15" t="s">
        <v>204</v>
      </c>
      <c r="L15" t="s">
        <v>325</v>
      </c>
      <c r="M15" t="s">
        <v>340</v>
      </c>
      <c r="N15" t="s">
        <v>445</v>
      </c>
      <c r="O15" t="s">
        <v>339</v>
      </c>
      <c r="P15" t="s">
        <v>1306</v>
      </c>
      <c r="Q15" t="s">
        <v>413</v>
      </c>
      <c r="R15" t="s">
        <v>407</v>
      </c>
      <c r="S15" t="s">
        <v>1208</v>
      </c>
      <c r="T15" s="125">
        <v>6930</v>
      </c>
      <c r="U15" t="s">
        <v>1346</v>
      </c>
      <c r="V15" s="126">
        <v>2.5000000000000001E-2</v>
      </c>
      <c r="W15" s="126">
        <v>6.1800000000000001E-2</v>
      </c>
      <c r="X15" t="s">
        <v>412</v>
      </c>
      <c r="Y15" t="s">
        <v>339</v>
      </c>
      <c r="Z15" s="125">
        <v>6590821450</v>
      </c>
      <c r="AA15" s="132">
        <v>1</v>
      </c>
      <c r="AB15" s="127">
        <v>78.709999999999994</v>
      </c>
      <c r="AC15" s="103"/>
      <c r="AD15" s="124">
        <v>5187.6355999999996</v>
      </c>
      <c r="AE15" s="103"/>
      <c r="AF15" s="102"/>
      <c r="AG15" s="16"/>
      <c r="AH15" s="129">
        <v>8.968601367361894E-3</v>
      </c>
      <c r="AI15" s="129">
        <v>6.8101600964069987E-3</v>
      </c>
      <c r="AJ15" s="129">
        <v>4.5954708448304879E-4</v>
      </c>
    </row>
    <row r="16" spans="1:36" x14ac:dyDescent="0.2">
      <c r="A16" t="s">
        <v>1204</v>
      </c>
      <c r="B16" t="s">
        <v>1204</v>
      </c>
      <c r="C16" t="s">
        <v>1347</v>
      </c>
      <c r="D16" t="s">
        <v>1348</v>
      </c>
      <c r="E16" t="s">
        <v>80</v>
      </c>
      <c r="F16" t="s">
        <v>1349</v>
      </c>
      <c r="G16" t="s">
        <v>1350</v>
      </c>
      <c r="H16" t="s">
        <v>312</v>
      </c>
      <c r="I16" t="s">
        <v>951</v>
      </c>
      <c r="J16" t="s">
        <v>204</v>
      </c>
      <c r="K16" t="s">
        <v>204</v>
      </c>
      <c r="L16" t="s">
        <v>325</v>
      </c>
      <c r="M16" t="s">
        <v>340</v>
      </c>
      <c r="N16" t="s">
        <v>440</v>
      </c>
      <c r="O16" t="s">
        <v>339</v>
      </c>
      <c r="P16" t="s">
        <v>1351</v>
      </c>
      <c r="Q16" t="s">
        <v>413</v>
      </c>
      <c r="R16" t="s">
        <v>407</v>
      </c>
      <c r="S16" t="s">
        <v>1208</v>
      </c>
      <c r="T16" s="125">
        <v>3260</v>
      </c>
      <c r="U16" t="s">
        <v>1352</v>
      </c>
      <c r="V16" s="126">
        <v>2.5000000000000001E-2</v>
      </c>
      <c r="W16" s="126">
        <v>5.9400000000000001E-2</v>
      </c>
      <c r="X16" t="s">
        <v>412</v>
      </c>
      <c r="Y16" t="s">
        <v>339</v>
      </c>
      <c r="Z16" s="125">
        <v>5700000000</v>
      </c>
      <c r="AA16" s="132">
        <v>1</v>
      </c>
      <c r="AB16" s="127">
        <v>90.38</v>
      </c>
      <c r="AC16" s="103"/>
      <c r="AD16" s="124">
        <v>5151.66</v>
      </c>
      <c r="AE16" s="103"/>
      <c r="AF16" s="102"/>
      <c r="AG16" s="16"/>
      <c r="AH16" s="129">
        <v>6.6998367355574438E-3</v>
      </c>
      <c r="AI16" s="129">
        <v>6.7629325410770019E-3</v>
      </c>
      <c r="AJ16" s="129">
        <v>4.5636018651707994E-4</v>
      </c>
    </row>
    <row r="17" spans="1:36" x14ac:dyDescent="0.2">
      <c r="A17" t="s">
        <v>1204</v>
      </c>
      <c r="B17" t="s">
        <v>1204</v>
      </c>
      <c r="C17" t="s">
        <v>1353</v>
      </c>
      <c r="D17" t="s">
        <v>1354</v>
      </c>
      <c r="E17" t="s">
        <v>80</v>
      </c>
      <c r="F17" t="s">
        <v>1355</v>
      </c>
      <c r="G17" t="s">
        <v>1356</v>
      </c>
      <c r="H17" t="s">
        <v>312</v>
      </c>
      <c r="I17" t="s">
        <v>951</v>
      </c>
      <c r="J17" t="s">
        <v>204</v>
      </c>
      <c r="K17" t="s">
        <v>204</v>
      </c>
      <c r="L17" t="s">
        <v>325</v>
      </c>
      <c r="M17" t="s">
        <v>340</v>
      </c>
      <c r="N17" t="s">
        <v>440</v>
      </c>
      <c r="O17" t="s">
        <v>339</v>
      </c>
      <c r="P17" t="s">
        <v>1357</v>
      </c>
      <c r="Q17" t="s">
        <v>415</v>
      </c>
      <c r="R17" t="s">
        <v>407</v>
      </c>
      <c r="S17" t="s">
        <v>1208</v>
      </c>
      <c r="T17" s="125">
        <v>4520</v>
      </c>
      <c r="U17" t="s">
        <v>1318</v>
      </c>
      <c r="V17" s="126">
        <v>6.7699999999999996E-2</v>
      </c>
      <c r="W17" s="126">
        <v>6.5000000000000002E-2</v>
      </c>
      <c r="X17" t="s">
        <v>412</v>
      </c>
      <c r="Y17" t="s">
        <v>339</v>
      </c>
      <c r="Z17" s="125">
        <v>5000000000</v>
      </c>
      <c r="AA17" s="132">
        <v>1</v>
      </c>
      <c r="AB17" s="127">
        <v>101.65</v>
      </c>
      <c r="AC17" s="103"/>
      <c r="AD17" s="124">
        <v>5082.5</v>
      </c>
      <c r="AE17" s="103"/>
      <c r="AF17" s="102"/>
      <c r="AG17" s="16"/>
      <c r="AH17" s="129">
        <v>6.6666666666666671E-3</v>
      </c>
      <c r="AI17" s="129">
        <v>6.6721415310839341E-3</v>
      </c>
      <c r="AJ17" s="129">
        <v>4.5023364274293312E-4</v>
      </c>
    </row>
    <row r="18" spans="1:36" x14ac:dyDescent="0.2">
      <c r="A18" t="s">
        <v>1204</v>
      </c>
      <c r="B18" t="s">
        <v>1204</v>
      </c>
      <c r="C18" t="s">
        <v>1358</v>
      </c>
      <c r="D18" t="s">
        <v>1359</v>
      </c>
      <c r="E18" t="s">
        <v>80</v>
      </c>
      <c r="F18" t="s">
        <v>1360</v>
      </c>
      <c r="G18" t="s">
        <v>1361</v>
      </c>
      <c r="H18" t="s">
        <v>312</v>
      </c>
      <c r="I18" t="s">
        <v>951</v>
      </c>
      <c r="J18" t="s">
        <v>204</v>
      </c>
      <c r="K18" t="s">
        <v>204</v>
      </c>
      <c r="L18" t="s">
        <v>325</v>
      </c>
      <c r="M18" t="s">
        <v>340</v>
      </c>
      <c r="N18" t="s">
        <v>445</v>
      </c>
      <c r="O18" t="s">
        <v>339</v>
      </c>
      <c r="P18" t="s">
        <v>1306</v>
      </c>
      <c r="Q18" t="s">
        <v>413</v>
      </c>
      <c r="R18" t="s">
        <v>407</v>
      </c>
      <c r="S18" t="s">
        <v>1208</v>
      </c>
      <c r="T18" s="125">
        <v>7350</v>
      </c>
      <c r="U18" t="s">
        <v>1362</v>
      </c>
      <c r="V18" s="126">
        <v>6.0199999999999997E-2</v>
      </c>
      <c r="W18" s="126">
        <v>6.3200000000000006E-2</v>
      </c>
      <c r="X18" t="s">
        <v>412</v>
      </c>
      <c r="Y18" t="s">
        <v>339</v>
      </c>
      <c r="Z18" s="125">
        <v>4999000000</v>
      </c>
      <c r="AA18" s="132">
        <v>1</v>
      </c>
      <c r="AB18" s="127">
        <v>99.25</v>
      </c>
      <c r="AC18" s="103"/>
      <c r="AD18" s="124">
        <v>4961.5074999999997</v>
      </c>
      <c r="AE18" s="103"/>
      <c r="AF18" s="102"/>
      <c r="AG18" s="16"/>
      <c r="AH18" s="129">
        <v>9.9979999999999999E-3</v>
      </c>
      <c r="AI18" s="129">
        <v>6.5133064923825722E-3</v>
      </c>
      <c r="AJ18" s="129">
        <v>4.3951551307848169E-4</v>
      </c>
    </row>
    <row r="19" spans="1:36" x14ac:dyDescent="0.2">
      <c r="A19" t="s">
        <v>1204</v>
      </c>
      <c r="B19" t="s">
        <v>1204</v>
      </c>
      <c r="C19" t="s">
        <v>1363</v>
      </c>
      <c r="D19" t="s">
        <v>1364</v>
      </c>
      <c r="E19" t="s">
        <v>80</v>
      </c>
      <c r="F19" t="s">
        <v>1365</v>
      </c>
      <c r="G19" t="s">
        <v>1366</v>
      </c>
      <c r="H19" t="s">
        <v>312</v>
      </c>
      <c r="I19" t="s">
        <v>951</v>
      </c>
      <c r="J19" t="s">
        <v>204</v>
      </c>
      <c r="K19" t="s">
        <v>204</v>
      </c>
      <c r="L19" t="s">
        <v>325</v>
      </c>
      <c r="M19" t="s">
        <v>340</v>
      </c>
      <c r="N19" t="s">
        <v>440</v>
      </c>
      <c r="O19" t="s">
        <v>339</v>
      </c>
      <c r="P19" t="s">
        <v>1306</v>
      </c>
      <c r="Q19" t="s">
        <v>413</v>
      </c>
      <c r="R19" t="s">
        <v>407</v>
      </c>
      <c r="S19" t="s">
        <v>1208</v>
      </c>
      <c r="T19" s="125">
        <v>4040</v>
      </c>
      <c r="U19" t="s">
        <v>1218</v>
      </c>
      <c r="V19" s="126">
        <v>2.4299999999999999E-2</v>
      </c>
      <c r="W19" s="126">
        <v>5.6099999999999997E-2</v>
      </c>
      <c r="X19" t="s">
        <v>412</v>
      </c>
      <c r="Y19" t="s">
        <v>339</v>
      </c>
      <c r="Z19" s="125">
        <v>5600000000</v>
      </c>
      <c r="AA19" s="132">
        <v>1</v>
      </c>
      <c r="AB19" s="127">
        <v>88.44</v>
      </c>
      <c r="AC19" s="103"/>
      <c r="AD19" s="124">
        <v>4952.6400000000003</v>
      </c>
      <c r="AE19" s="103"/>
      <c r="AF19" s="102"/>
      <c r="AG19" s="16"/>
      <c r="AH19" s="129">
        <v>3.8235304158430712E-3</v>
      </c>
      <c r="AI19" s="129">
        <v>6.5016655253335044E-3</v>
      </c>
      <c r="AJ19" s="129">
        <v>4.3872998492756719E-4</v>
      </c>
    </row>
    <row r="20" spans="1:36" x14ac:dyDescent="0.2">
      <c r="A20" t="s">
        <v>1204</v>
      </c>
      <c r="B20" t="s">
        <v>1204</v>
      </c>
      <c r="C20" t="s">
        <v>1367</v>
      </c>
      <c r="D20" t="s">
        <v>1368</v>
      </c>
      <c r="E20" t="s">
        <v>80</v>
      </c>
      <c r="F20" t="s">
        <v>1369</v>
      </c>
      <c r="G20" t="s">
        <v>1370</v>
      </c>
      <c r="H20" t="s">
        <v>312</v>
      </c>
      <c r="I20" t="s">
        <v>951</v>
      </c>
      <c r="J20" t="s">
        <v>204</v>
      </c>
      <c r="K20" t="s">
        <v>204</v>
      </c>
      <c r="L20" t="s">
        <v>325</v>
      </c>
      <c r="M20" t="s">
        <v>340</v>
      </c>
      <c r="N20" t="s">
        <v>475</v>
      </c>
      <c r="O20" t="s">
        <v>339</v>
      </c>
      <c r="P20" t="s">
        <v>1277</v>
      </c>
      <c r="Q20" t="s">
        <v>413</v>
      </c>
      <c r="R20" t="s">
        <v>407</v>
      </c>
      <c r="S20" t="s">
        <v>1208</v>
      </c>
      <c r="T20" s="125">
        <v>3470</v>
      </c>
      <c r="U20" t="s">
        <v>1371</v>
      </c>
      <c r="V20" s="126">
        <v>3.5200000000000002E-2</v>
      </c>
      <c r="W20" s="126">
        <v>5.4399999999999997E-2</v>
      </c>
      <c r="X20" t="s">
        <v>412</v>
      </c>
      <c r="Y20" t="s">
        <v>339</v>
      </c>
      <c r="Z20" s="125">
        <v>5074468090</v>
      </c>
      <c r="AA20" s="132">
        <v>1</v>
      </c>
      <c r="AB20" s="127">
        <v>95.05</v>
      </c>
      <c r="AC20" s="102"/>
      <c r="AD20" s="124">
        <v>4823.2819</v>
      </c>
      <c r="AE20" s="102"/>
      <c r="AF20" s="102"/>
      <c r="AG20" s="102"/>
      <c r="AH20" s="129">
        <v>6.3143265123992778E-3</v>
      </c>
      <c r="AI20" s="129">
        <v>6.3318484233197119E-3</v>
      </c>
      <c r="AJ20" s="129">
        <v>4.272707896926458E-4</v>
      </c>
    </row>
    <row r="21" spans="1:36" x14ac:dyDescent="0.2">
      <c r="A21" t="s">
        <v>1204</v>
      </c>
      <c r="B21" t="s">
        <v>1204</v>
      </c>
      <c r="C21" t="s">
        <v>1372</v>
      </c>
      <c r="D21" t="s">
        <v>1373</v>
      </c>
      <c r="E21" t="s">
        <v>80</v>
      </c>
      <c r="F21" t="s">
        <v>1374</v>
      </c>
      <c r="G21" t="s">
        <v>1375</v>
      </c>
      <c r="H21" t="s">
        <v>312</v>
      </c>
      <c r="I21" t="s">
        <v>951</v>
      </c>
      <c r="J21" t="s">
        <v>204</v>
      </c>
      <c r="K21" t="s">
        <v>204</v>
      </c>
      <c r="L21" t="s">
        <v>325</v>
      </c>
      <c r="M21" t="s">
        <v>340</v>
      </c>
      <c r="N21" t="s">
        <v>484</v>
      </c>
      <c r="O21" t="s">
        <v>339</v>
      </c>
      <c r="P21" t="s">
        <v>1357</v>
      </c>
      <c r="Q21" t="s">
        <v>415</v>
      </c>
      <c r="R21" t="s">
        <v>407</v>
      </c>
      <c r="S21" t="s">
        <v>1208</v>
      </c>
      <c r="T21" s="125">
        <v>2330</v>
      </c>
      <c r="U21" t="s">
        <v>1376</v>
      </c>
      <c r="V21" s="126">
        <v>3.6499999999999998E-2</v>
      </c>
      <c r="W21" s="126">
        <v>5.8000000000000003E-2</v>
      </c>
      <c r="X21" t="s">
        <v>412</v>
      </c>
      <c r="Y21" t="s">
        <v>339</v>
      </c>
      <c r="Z21" s="125">
        <v>5000000000</v>
      </c>
      <c r="AA21" s="132">
        <v>1</v>
      </c>
      <c r="AB21" s="127">
        <v>95.7</v>
      </c>
      <c r="AC21" s="102"/>
      <c r="AD21" s="124">
        <v>4785</v>
      </c>
      <c r="AE21" s="102"/>
      <c r="AF21" s="102"/>
      <c r="AG21" s="102"/>
      <c r="AH21" s="129">
        <v>2.4878510248455003E-3</v>
      </c>
      <c r="AI21" s="129">
        <v>6.2815931581380472E-3</v>
      </c>
      <c r="AJ21" s="129">
        <v>4.2387958298572258E-4</v>
      </c>
    </row>
    <row r="22" spans="1:36" x14ac:dyDescent="0.2">
      <c r="A22" t="s">
        <v>1204</v>
      </c>
      <c r="B22" t="s">
        <v>1204</v>
      </c>
      <c r="C22" t="s">
        <v>1377</v>
      </c>
      <c r="D22" t="s">
        <v>1378</v>
      </c>
      <c r="E22" t="s">
        <v>80</v>
      </c>
      <c r="F22" t="s">
        <v>1379</v>
      </c>
      <c r="G22" t="s">
        <v>1380</v>
      </c>
      <c r="H22" t="s">
        <v>312</v>
      </c>
      <c r="I22" t="s">
        <v>951</v>
      </c>
      <c r="J22" t="s">
        <v>204</v>
      </c>
      <c r="K22" t="s">
        <v>204</v>
      </c>
      <c r="L22" t="s">
        <v>325</v>
      </c>
      <c r="M22" t="s">
        <v>340</v>
      </c>
      <c r="N22" t="s">
        <v>1300</v>
      </c>
      <c r="O22" t="s">
        <v>339</v>
      </c>
      <c r="P22" t="s">
        <v>1381</v>
      </c>
      <c r="Q22" t="s">
        <v>415</v>
      </c>
      <c r="R22" t="s">
        <v>407</v>
      </c>
      <c r="S22" t="s">
        <v>1208</v>
      </c>
      <c r="T22" s="125">
        <v>3070</v>
      </c>
      <c r="U22" t="s">
        <v>1382</v>
      </c>
      <c r="V22" s="126">
        <v>3.2500000000000001E-2</v>
      </c>
      <c r="W22" s="126">
        <v>6.1600000000000002E-2</v>
      </c>
      <c r="X22" t="s">
        <v>412</v>
      </c>
      <c r="Y22" t="s">
        <v>339</v>
      </c>
      <c r="Z22" s="125">
        <v>5100000000</v>
      </c>
      <c r="AA22" s="132">
        <v>1</v>
      </c>
      <c r="AB22" s="127">
        <v>92.55</v>
      </c>
      <c r="AC22" s="102"/>
      <c r="AD22" s="124">
        <v>4720.05</v>
      </c>
      <c r="AE22" s="102"/>
      <c r="AF22" s="102"/>
      <c r="AG22" s="102"/>
      <c r="AH22" s="129">
        <v>1.485767223975039E-2</v>
      </c>
      <c r="AI22" s="129">
        <v>6.1963288999100294E-3</v>
      </c>
      <c r="AJ22" s="129">
        <v>4.1812598237654332E-4</v>
      </c>
    </row>
    <row r="23" spans="1:36" x14ac:dyDescent="0.2">
      <c r="A23" t="s">
        <v>1204</v>
      </c>
      <c r="B23" t="s">
        <v>1204</v>
      </c>
      <c r="C23" t="s">
        <v>1383</v>
      </c>
      <c r="D23" t="s">
        <v>1384</v>
      </c>
      <c r="E23" t="s">
        <v>80</v>
      </c>
      <c r="F23" t="s">
        <v>1385</v>
      </c>
      <c r="G23" t="s">
        <v>1386</v>
      </c>
      <c r="H23" t="s">
        <v>312</v>
      </c>
      <c r="I23" t="s">
        <v>951</v>
      </c>
      <c r="J23" t="s">
        <v>204</v>
      </c>
      <c r="K23" t="s">
        <v>204</v>
      </c>
      <c r="L23" t="s">
        <v>325</v>
      </c>
      <c r="M23" t="s">
        <v>340</v>
      </c>
      <c r="N23" t="s">
        <v>456</v>
      </c>
      <c r="O23" t="s">
        <v>339</v>
      </c>
      <c r="P23" t="s">
        <v>1277</v>
      </c>
      <c r="Q23" t="s">
        <v>413</v>
      </c>
      <c r="R23" t="s">
        <v>407</v>
      </c>
      <c r="S23" t="s">
        <v>1208</v>
      </c>
      <c r="T23" s="125">
        <v>7810</v>
      </c>
      <c r="U23" t="s">
        <v>1387</v>
      </c>
      <c r="V23" s="126">
        <v>2.4E-2</v>
      </c>
      <c r="W23" s="126">
        <v>5.8400000000000001E-2</v>
      </c>
      <c r="X23" t="s">
        <v>412</v>
      </c>
      <c r="Y23" t="s">
        <v>339</v>
      </c>
      <c r="Z23" s="125">
        <v>6126948250</v>
      </c>
      <c r="AA23" s="132">
        <v>1</v>
      </c>
      <c r="AB23" s="127">
        <v>76.87</v>
      </c>
      <c r="AC23" s="102"/>
      <c r="AD23" s="124">
        <v>4709.7851000000001</v>
      </c>
      <c r="AE23" s="102"/>
      <c r="AF23" s="102"/>
      <c r="AG23" s="102"/>
      <c r="AH23" s="129">
        <v>7.994765256990749E-3</v>
      </c>
      <c r="AI23" s="129">
        <v>6.1828534973205904E-3</v>
      </c>
      <c r="AJ23" s="129">
        <v>4.1721666719385337E-4</v>
      </c>
    </row>
    <row r="24" spans="1:36" x14ac:dyDescent="0.2">
      <c r="A24" t="s">
        <v>1204</v>
      </c>
      <c r="B24" t="s">
        <v>1204</v>
      </c>
      <c r="C24" t="s">
        <v>1388</v>
      </c>
      <c r="D24" t="s">
        <v>1389</v>
      </c>
      <c r="E24" t="s">
        <v>80</v>
      </c>
      <c r="F24" t="s">
        <v>1390</v>
      </c>
      <c r="G24" t="s">
        <v>1391</v>
      </c>
      <c r="H24" t="s">
        <v>312</v>
      </c>
      <c r="I24" t="s">
        <v>951</v>
      </c>
      <c r="J24" t="s">
        <v>204</v>
      </c>
      <c r="K24" t="s">
        <v>204</v>
      </c>
      <c r="L24" t="s">
        <v>325</v>
      </c>
      <c r="M24" t="s">
        <v>340</v>
      </c>
      <c r="N24" t="s">
        <v>463</v>
      </c>
      <c r="O24" t="s">
        <v>339</v>
      </c>
      <c r="P24" t="s">
        <v>1283</v>
      </c>
      <c r="Q24" t="s">
        <v>413</v>
      </c>
      <c r="R24" t="s">
        <v>407</v>
      </c>
      <c r="S24" t="s">
        <v>1208</v>
      </c>
      <c r="T24" s="125">
        <v>3280</v>
      </c>
      <c r="U24" t="s">
        <v>1392</v>
      </c>
      <c r="V24" s="126">
        <v>2.6200000000000001E-2</v>
      </c>
      <c r="W24" s="126">
        <v>5.6500000000000002E-2</v>
      </c>
      <c r="X24" t="s">
        <v>412</v>
      </c>
      <c r="Y24" t="s">
        <v>339</v>
      </c>
      <c r="Z24" s="125">
        <v>4162747830</v>
      </c>
      <c r="AA24" s="132">
        <v>1</v>
      </c>
      <c r="AB24" s="127">
        <v>90.82</v>
      </c>
      <c r="AC24" s="125">
        <v>751811.3</v>
      </c>
      <c r="AD24" s="124">
        <v>4532.4188999999997</v>
      </c>
      <c r="AE24" s="102"/>
      <c r="AF24" s="102"/>
      <c r="AG24" s="102"/>
      <c r="AH24" s="129">
        <v>6.4765180965943147E-3</v>
      </c>
      <c r="AI24" s="129">
        <v>6.9369664348987925E-3</v>
      </c>
      <c r="AJ24" s="129">
        <v>4.6810392930357212E-4</v>
      </c>
    </row>
    <row r="25" spans="1:36" x14ac:dyDescent="0.2">
      <c r="A25" t="s">
        <v>1204</v>
      </c>
      <c r="B25" t="s">
        <v>1204</v>
      </c>
      <c r="C25" t="s">
        <v>1393</v>
      </c>
      <c r="D25" t="s">
        <v>1394</v>
      </c>
      <c r="E25" t="s">
        <v>80</v>
      </c>
      <c r="F25" t="s">
        <v>1395</v>
      </c>
      <c r="G25" t="s">
        <v>1396</v>
      </c>
      <c r="H25" t="s">
        <v>312</v>
      </c>
      <c r="I25" t="s">
        <v>951</v>
      </c>
      <c r="J25" t="s">
        <v>204</v>
      </c>
      <c r="K25" t="s">
        <v>204</v>
      </c>
      <c r="L25" t="s">
        <v>325</v>
      </c>
      <c r="M25" t="s">
        <v>340</v>
      </c>
      <c r="N25" t="s">
        <v>440</v>
      </c>
      <c r="O25" t="s">
        <v>339</v>
      </c>
      <c r="P25" t="s">
        <v>1381</v>
      </c>
      <c r="Q25" t="s">
        <v>415</v>
      </c>
      <c r="R25" t="s">
        <v>407</v>
      </c>
      <c r="S25" t="s">
        <v>1208</v>
      </c>
      <c r="T25" s="125">
        <v>1660</v>
      </c>
      <c r="U25" t="s">
        <v>1397</v>
      </c>
      <c r="V25" s="126">
        <v>3.2899999999999999E-2</v>
      </c>
      <c r="W25" s="126">
        <v>5.4199999999999998E-2</v>
      </c>
      <c r="X25" t="s">
        <v>412</v>
      </c>
      <c r="Y25" t="s">
        <v>339</v>
      </c>
      <c r="Z25" s="125">
        <v>4160000000</v>
      </c>
      <c r="AA25" s="132">
        <v>1</v>
      </c>
      <c r="AB25" s="127">
        <v>97.48</v>
      </c>
      <c r="AC25" s="102"/>
      <c r="AD25" s="124">
        <v>4055.1680000000001</v>
      </c>
      <c r="AE25" s="102"/>
      <c r="AF25" s="102"/>
      <c r="AG25" s="102"/>
      <c r="AH25" s="129">
        <v>1.0522846338871572E-2</v>
      </c>
      <c r="AI25" s="129">
        <v>5.3234933257889968E-3</v>
      </c>
      <c r="AJ25" s="129">
        <v>3.5922736066395958E-4</v>
      </c>
    </row>
    <row r="26" spans="1:36" x14ac:dyDescent="0.2">
      <c r="A26" t="s">
        <v>1204</v>
      </c>
      <c r="B26" t="s">
        <v>1204</v>
      </c>
      <c r="C26" t="s">
        <v>1302</v>
      </c>
      <c r="D26" t="s">
        <v>1303</v>
      </c>
      <c r="E26" t="s">
        <v>80</v>
      </c>
      <c r="F26" t="s">
        <v>1398</v>
      </c>
      <c r="G26" t="s">
        <v>1399</v>
      </c>
      <c r="H26" t="s">
        <v>312</v>
      </c>
      <c r="I26" t="s">
        <v>951</v>
      </c>
      <c r="J26" t="s">
        <v>204</v>
      </c>
      <c r="K26" t="s">
        <v>204</v>
      </c>
      <c r="L26" t="s">
        <v>325</v>
      </c>
      <c r="M26" t="s">
        <v>340</v>
      </c>
      <c r="N26" t="s">
        <v>1276</v>
      </c>
      <c r="O26" t="s">
        <v>339</v>
      </c>
      <c r="P26" t="s">
        <v>1306</v>
      </c>
      <c r="Q26" t="s">
        <v>413</v>
      </c>
      <c r="R26" t="s">
        <v>407</v>
      </c>
      <c r="S26" t="s">
        <v>1208</v>
      </c>
      <c r="T26" s="125">
        <v>1600</v>
      </c>
      <c r="U26" t="s">
        <v>1400</v>
      </c>
      <c r="V26" s="126">
        <v>3.85E-2</v>
      </c>
      <c r="W26" s="126">
        <v>5.57E-2</v>
      </c>
      <c r="X26" t="s">
        <v>412</v>
      </c>
      <c r="Y26" t="s">
        <v>339</v>
      </c>
      <c r="Z26" s="125">
        <v>3707137180</v>
      </c>
      <c r="AA26" s="132">
        <v>1</v>
      </c>
      <c r="AB26" s="127">
        <v>98.64</v>
      </c>
      <c r="AD26" s="124">
        <v>3656.7201</v>
      </c>
      <c r="AH26" s="129">
        <v>3.3157603761190691E-3</v>
      </c>
      <c r="AI26" s="129">
        <v>4.8004238352224249E-3</v>
      </c>
      <c r="AJ26" s="129">
        <v>3.2393082490429038E-4</v>
      </c>
    </row>
    <row r="27" spans="1:36" x14ac:dyDescent="0.2">
      <c r="A27" t="s">
        <v>1204</v>
      </c>
      <c r="B27" t="s">
        <v>1204</v>
      </c>
      <c r="C27" t="s">
        <v>1401</v>
      </c>
      <c r="D27" t="s">
        <v>1402</v>
      </c>
      <c r="E27" t="s">
        <v>80</v>
      </c>
      <c r="F27" t="s">
        <v>1403</v>
      </c>
      <c r="G27" t="s">
        <v>1404</v>
      </c>
      <c r="H27" t="s">
        <v>312</v>
      </c>
      <c r="I27" t="s">
        <v>951</v>
      </c>
      <c r="J27" t="s">
        <v>204</v>
      </c>
      <c r="K27" t="s">
        <v>204</v>
      </c>
      <c r="L27" t="s">
        <v>325</v>
      </c>
      <c r="M27" t="s">
        <v>340</v>
      </c>
      <c r="N27" t="s">
        <v>445</v>
      </c>
      <c r="O27" t="s">
        <v>339</v>
      </c>
      <c r="P27" t="s">
        <v>1405</v>
      </c>
      <c r="Q27" t="s">
        <v>415</v>
      </c>
      <c r="R27" t="s">
        <v>407</v>
      </c>
      <c r="S27" t="s">
        <v>1208</v>
      </c>
      <c r="T27" s="125">
        <v>5370</v>
      </c>
      <c r="U27" t="s">
        <v>1329</v>
      </c>
      <c r="V27" s="126">
        <v>2.3800000000000002E-2</v>
      </c>
      <c r="W27" s="126">
        <v>5.96E-2</v>
      </c>
      <c r="X27" t="s">
        <v>412</v>
      </c>
      <c r="Y27" t="s">
        <v>339</v>
      </c>
      <c r="Z27" s="125">
        <v>2004042000</v>
      </c>
      <c r="AA27" s="132">
        <v>1</v>
      </c>
      <c r="AB27" s="127">
        <v>83.57</v>
      </c>
      <c r="AD27" s="124">
        <v>1674.7779</v>
      </c>
      <c r="AH27" s="129">
        <v>3.0823590934608907E-3</v>
      </c>
      <c r="AI27" s="129">
        <v>2.1985942307778165E-3</v>
      </c>
      <c r="AJ27" s="129">
        <v>1.4836032551543917E-4</v>
      </c>
    </row>
    <row r="28" spans="1:36" x14ac:dyDescent="0.2">
      <c r="A28" t="s">
        <v>1204</v>
      </c>
      <c r="B28" t="s">
        <v>1204</v>
      </c>
      <c r="C28" t="s">
        <v>1330</v>
      </c>
      <c r="D28" t="s">
        <v>1331</v>
      </c>
      <c r="E28" t="s">
        <v>80</v>
      </c>
      <c r="F28" t="s">
        <v>1411</v>
      </c>
      <c r="G28" t="s">
        <v>1412</v>
      </c>
      <c r="H28" t="s">
        <v>312</v>
      </c>
      <c r="I28" t="s">
        <v>754</v>
      </c>
      <c r="J28" t="s">
        <v>204</v>
      </c>
      <c r="K28" t="s">
        <v>204</v>
      </c>
      <c r="L28" t="s">
        <v>325</v>
      </c>
      <c r="M28" t="s">
        <v>340</v>
      </c>
      <c r="N28" t="s">
        <v>448</v>
      </c>
      <c r="O28" t="s">
        <v>339</v>
      </c>
      <c r="P28" t="s">
        <v>1207</v>
      </c>
      <c r="Q28" t="s">
        <v>413</v>
      </c>
      <c r="R28" t="s">
        <v>407</v>
      </c>
      <c r="S28" t="s">
        <v>1208</v>
      </c>
      <c r="T28" s="125">
        <v>3400</v>
      </c>
      <c r="U28" t="s">
        <v>1413</v>
      </c>
      <c r="V28" s="126">
        <v>1E-3</v>
      </c>
      <c r="W28" s="126">
        <v>2.3599999999999999E-2</v>
      </c>
      <c r="X28" t="s">
        <v>412</v>
      </c>
      <c r="Y28" t="s">
        <v>339</v>
      </c>
      <c r="Z28" s="125">
        <v>31689000000</v>
      </c>
      <c r="AA28" s="132">
        <v>1</v>
      </c>
      <c r="AB28" s="127">
        <v>102.72</v>
      </c>
      <c r="AD28" s="124">
        <v>32550.9408</v>
      </c>
      <c r="AH28" s="129">
        <v>1.0100868434347862E-2</v>
      </c>
      <c r="AI28" s="129">
        <v>4.2731821738816428E-2</v>
      </c>
      <c r="AJ28" s="129">
        <v>2.8835275260390685E-3</v>
      </c>
    </row>
    <row r="29" spans="1:36" x14ac:dyDescent="0.2">
      <c r="A29" t="s">
        <v>1204</v>
      </c>
      <c r="B29" t="s">
        <v>1204</v>
      </c>
      <c r="C29" t="s">
        <v>1414</v>
      </c>
      <c r="D29" t="s">
        <v>1415</v>
      </c>
      <c r="E29" t="s">
        <v>80</v>
      </c>
      <c r="F29" t="s">
        <v>1416</v>
      </c>
      <c r="G29" t="s">
        <v>1417</v>
      </c>
      <c r="H29" t="s">
        <v>312</v>
      </c>
      <c r="I29" t="s">
        <v>754</v>
      </c>
      <c r="J29" t="s">
        <v>204</v>
      </c>
      <c r="K29" t="s">
        <v>204</v>
      </c>
      <c r="L29" t="s">
        <v>325</v>
      </c>
      <c r="M29" t="s">
        <v>340</v>
      </c>
      <c r="N29" t="s">
        <v>440</v>
      </c>
      <c r="O29" t="s">
        <v>339</v>
      </c>
      <c r="P29" t="s">
        <v>1418</v>
      </c>
      <c r="Q29" t="s">
        <v>415</v>
      </c>
      <c r="R29" t="s">
        <v>407</v>
      </c>
      <c r="S29" t="s">
        <v>1208</v>
      </c>
      <c r="T29" s="125">
        <v>5980</v>
      </c>
      <c r="U29" t="s">
        <v>1419</v>
      </c>
      <c r="V29" s="126">
        <v>2.3900000000000001E-2</v>
      </c>
      <c r="W29" s="126">
        <v>3.0200000000000001E-2</v>
      </c>
      <c r="X29" t="s">
        <v>412</v>
      </c>
      <c r="Y29" t="s">
        <v>339</v>
      </c>
      <c r="Z29" s="125">
        <v>25198000000</v>
      </c>
      <c r="AA29" s="132">
        <v>1</v>
      </c>
      <c r="AB29" s="127">
        <v>109.95</v>
      </c>
      <c r="AD29" s="124">
        <v>27705.201000000001</v>
      </c>
      <c r="AH29" s="129">
        <v>1.2786514231200556E-2</v>
      </c>
      <c r="AI29" s="129">
        <v>3.6370491336768944E-2</v>
      </c>
      <c r="AJ29" s="129">
        <v>2.4542673033261493E-3</v>
      </c>
    </row>
    <row r="30" spans="1:36" x14ac:dyDescent="0.2">
      <c r="A30" t="s">
        <v>1204</v>
      </c>
      <c r="B30" t="s">
        <v>1204</v>
      </c>
      <c r="C30" t="s">
        <v>1406</v>
      </c>
      <c r="D30" t="s">
        <v>1407</v>
      </c>
      <c r="E30" t="s">
        <v>80</v>
      </c>
      <c r="F30" t="s">
        <v>1420</v>
      </c>
      <c r="G30" t="s">
        <v>1421</v>
      </c>
      <c r="H30" t="s">
        <v>312</v>
      </c>
      <c r="I30" t="s">
        <v>754</v>
      </c>
      <c r="J30" t="s">
        <v>204</v>
      </c>
      <c r="K30" t="s">
        <v>204</v>
      </c>
      <c r="L30" t="s">
        <v>325</v>
      </c>
      <c r="M30" t="s">
        <v>340</v>
      </c>
      <c r="N30" t="s">
        <v>448</v>
      </c>
      <c r="O30" t="s">
        <v>339</v>
      </c>
      <c r="P30" t="s">
        <v>1207</v>
      </c>
      <c r="Q30" t="s">
        <v>413</v>
      </c>
      <c r="R30" t="s">
        <v>407</v>
      </c>
      <c r="S30" t="s">
        <v>1208</v>
      </c>
      <c r="T30" s="125">
        <v>3960</v>
      </c>
      <c r="U30" t="s">
        <v>1422</v>
      </c>
      <c r="V30" s="126">
        <v>2E-3</v>
      </c>
      <c r="W30" s="126">
        <v>2.58E-2</v>
      </c>
      <c r="X30" t="s">
        <v>412</v>
      </c>
      <c r="Y30" t="s">
        <v>339</v>
      </c>
      <c r="Z30" s="125">
        <v>26960570250</v>
      </c>
      <c r="AA30" s="132">
        <v>1</v>
      </c>
      <c r="AB30" s="127">
        <v>100.85</v>
      </c>
      <c r="AD30" s="124">
        <v>27189.735100000002</v>
      </c>
      <c r="AH30" s="129">
        <v>9.3799811395392282E-3</v>
      </c>
      <c r="AI30" s="129">
        <v>3.5693804379871755E-2</v>
      </c>
      <c r="AJ30" s="129">
        <v>2.4086047177558222E-3</v>
      </c>
    </row>
    <row r="31" spans="1:36" x14ac:dyDescent="0.2">
      <c r="A31" t="s">
        <v>1204</v>
      </c>
      <c r="B31" t="s">
        <v>1204</v>
      </c>
      <c r="C31" t="s">
        <v>1423</v>
      </c>
      <c r="D31" t="s">
        <v>1424</v>
      </c>
      <c r="E31" t="s">
        <v>80</v>
      </c>
      <c r="F31" t="s">
        <v>1425</v>
      </c>
      <c r="G31" t="s">
        <v>1426</v>
      </c>
      <c r="H31" t="s">
        <v>312</v>
      </c>
      <c r="I31" t="s">
        <v>754</v>
      </c>
      <c r="J31" t="s">
        <v>204</v>
      </c>
      <c r="K31" t="s">
        <v>204</v>
      </c>
      <c r="L31" t="s">
        <v>325</v>
      </c>
      <c r="M31" t="s">
        <v>340</v>
      </c>
      <c r="N31" t="s">
        <v>1427</v>
      </c>
      <c r="O31" t="s">
        <v>339</v>
      </c>
      <c r="P31" t="s">
        <v>1207</v>
      </c>
      <c r="Q31" t="s">
        <v>413</v>
      </c>
      <c r="R31" t="s">
        <v>407</v>
      </c>
      <c r="S31" t="s">
        <v>1208</v>
      </c>
      <c r="T31" s="125">
        <v>11710</v>
      </c>
      <c r="U31" t="s">
        <v>1428</v>
      </c>
      <c r="V31" s="126">
        <v>2.07E-2</v>
      </c>
      <c r="W31" s="126">
        <v>3.2599999999999997E-2</v>
      </c>
      <c r="X31" t="s">
        <v>412</v>
      </c>
      <c r="Y31" t="s">
        <v>339</v>
      </c>
      <c r="Z31" s="125">
        <v>27266764060</v>
      </c>
      <c r="AA31" s="132">
        <v>1</v>
      </c>
      <c r="AB31" s="127">
        <v>97.32</v>
      </c>
      <c r="AD31" s="124">
        <v>26536.014800000001</v>
      </c>
      <c r="AH31" s="129">
        <v>9.4175923764249526E-3</v>
      </c>
      <c r="AI31" s="129">
        <v>3.4835621506029035E-2</v>
      </c>
      <c r="AJ31" s="129">
        <v>2.3506948548385359E-3</v>
      </c>
    </row>
    <row r="32" spans="1:36" x14ac:dyDescent="0.2">
      <c r="A32" t="s">
        <v>1204</v>
      </c>
      <c r="B32" t="s">
        <v>1204</v>
      </c>
      <c r="C32" t="s">
        <v>1291</v>
      </c>
      <c r="D32" t="s">
        <v>1292</v>
      </c>
      <c r="E32" t="s">
        <v>80</v>
      </c>
      <c r="F32" t="s">
        <v>1429</v>
      </c>
      <c r="G32" t="s">
        <v>1430</v>
      </c>
      <c r="H32" t="s">
        <v>312</v>
      </c>
      <c r="I32" t="s">
        <v>754</v>
      </c>
      <c r="J32" t="s">
        <v>204</v>
      </c>
      <c r="K32" t="s">
        <v>204</v>
      </c>
      <c r="L32" t="s">
        <v>325</v>
      </c>
      <c r="M32" t="s">
        <v>340</v>
      </c>
      <c r="N32" t="s">
        <v>448</v>
      </c>
      <c r="O32" t="s">
        <v>339</v>
      </c>
      <c r="P32" t="s">
        <v>1207</v>
      </c>
      <c r="Q32" t="s">
        <v>413</v>
      </c>
      <c r="R32" t="s">
        <v>409</v>
      </c>
      <c r="S32" t="s">
        <v>1208</v>
      </c>
      <c r="T32" s="125">
        <v>4160</v>
      </c>
      <c r="U32" t="s">
        <v>1431</v>
      </c>
      <c r="V32" s="126">
        <v>1.3899999999999999E-2</v>
      </c>
      <c r="W32" s="126">
        <v>2.5100000000000001E-2</v>
      </c>
      <c r="X32" t="s">
        <v>412</v>
      </c>
      <c r="Y32" t="s">
        <v>339</v>
      </c>
      <c r="Z32" s="125">
        <v>25643062000</v>
      </c>
      <c r="AA32" s="132">
        <v>1</v>
      </c>
      <c r="AB32" s="127">
        <v>101.46</v>
      </c>
      <c r="AD32" s="124">
        <v>26017.450700000001</v>
      </c>
      <c r="AH32" s="129">
        <v>1.2821531000000001E-2</v>
      </c>
      <c r="AI32" s="129">
        <v>3.4154867365094717E-2</v>
      </c>
      <c r="AJ32" s="129">
        <v>2.3047578171936822E-3</v>
      </c>
    </row>
    <row r="33" spans="1:36" x14ac:dyDescent="0.2">
      <c r="A33" t="s">
        <v>1204</v>
      </c>
      <c r="B33" t="s">
        <v>1204</v>
      </c>
      <c r="C33" t="s">
        <v>1432</v>
      </c>
      <c r="D33" t="s">
        <v>1433</v>
      </c>
      <c r="E33" t="s">
        <v>80</v>
      </c>
      <c r="F33" t="s">
        <v>1434</v>
      </c>
      <c r="G33" t="s">
        <v>1435</v>
      </c>
      <c r="H33" t="s">
        <v>312</v>
      </c>
      <c r="I33" t="s">
        <v>754</v>
      </c>
      <c r="J33" t="s">
        <v>204</v>
      </c>
      <c r="K33" t="s">
        <v>204</v>
      </c>
      <c r="L33" t="s">
        <v>325</v>
      </c>
      <c r="M33" t="s">
        <v>340</v>
      </c>
      <c r="N33" t="s">
        <v>456</v>
      </c>
      <c r="O33" t="s">
        <v>339</v>
      </c>
      <c r="P33" t="s">
        <v>1306</v>
      </c>
      <c r="Q33" t="s">
        <v>413</v>
      </c>
      <c r="R33" t="s">
        <v>407</v>
      </c>
      <c r="S33" t="s">
        <v>1208</v>
      </c>
      <c r="T33" s="125">
        <v>5430</v>
      </c>
      <c r="U33" t="s">
        <v>1436</v>
      </c>
      <c r="V33" s="126">
        <v>5.1499999999999997E-2</v>
      </c>
      <c r="W33" s="126">
        <v>3.8899999999999997E-2</v>
      </c>
      <c r="X33" t="s">
        <v>412</v>
      </c>
      <c r="Y33" t="s">
        <v>339</v>
      </c>
      <c r="Z33" s="125">
        <v>16925526880</v>
      </c>
      <c r="AA33" s="132">
        <v>1</v>
      </c>
      <c r="AB33" s="127">
        <v>147.13</v>
      </c>
      <c r="AD33" s="124">
        <v>24902.527699999999</v>
      </c>
      <c r="AH33" s="129">
        <v>5.0512596330957709E-3</v>
      </c>
      <c r="AI33" s="129">
        <v>3.2691232520693253E-2</v>
      </c>
      <c r="AJ33" s="129">
        <v>2.2059922792370401E-3</v>
      </c>
    </row>
    <row r="34" spans="1:36" x14ac:dyDescent="0.2">
      <c r="A34" t="s">
        <v>1204</v>
      </c>
      <c r="B34" t="s">
        <v>1204</v>
      </c>
      <c r="C34" t="s">
        <v>1319</v>
      </c>
      <c r="D34" t="s">
        <v>1320</v>
      </c>
      <c r="E34" t="s">
        <v>80</v>
      </c>
      <c r="F34" t="s">
        <v>1437</v>
      </c>
      <c r="G34" t="s">
        <v>1438</v>
      </c>
      <c r="H34" t="s">
        <v>312</v>
      </c>
      <c r="I34" t="s">
        <v>754</v>
      </c>
      <c r="J34" t="s">
        <v>204</v>
      </c>
      <c r="K34" t="s">
        <v>204</v>
      </c>
      <c r="L34" t="s">
        <v>325</v>
      </c>
      <c r="M34" t="s">
        <v>340</v>
      </c>
      <c r="N34" t="s">
        <v>448</v>
      </c>
      <c r="O34" t="s">
        <v>339</v>
      </c>
      <c r="P34" t="s">
        <v>1207</v>
      </c>
      <c r="Q34" t="s">
        <v>413</v>
      </c>
      <c r="R34" t="s">
        <v>407</v>
      </c>
      <c r="S34" t="s">
        <v>1208</v>
      </c>
      <c r="T34" s="125">
        <v>4300</v>
      </c>
      <c r="U34" t="s">
        <v>1439</v>
      </c>
      <c r="V34" s="126">
        <v>1E-3</v>
      </c>
      <c r="W34" s="126">
        <v>2.5499999999999998E-2</v>
      </c>
      <c r="X34" t="s">
        <v>412</v>
      </c>
      <c r="Y34" t="s">
        <v>339</v>
      </c>
      <c r="Z34" s="125">
        <v>19999000000</v>
      </c>
      <c r="AA34" s="132">
        <v>1</v>
      </c>
      <c r="AB34" s="127">
        <v>99.99</v>
      </c>
      <c r="AD34" s="124">
        <v>19997.000100000001</v>
      </c>
      <c r="AH34" s="129">
        <v>5.9219273283961727E-3</v>
      </c>
      <c r="AI34" s="129">
        <v>2.625141463144114E-2</v>
      </c>
      <c r="AJ34" s="129">
        <v>1.7714357499171269E-3</v>
      </c>
    </row>
    <row r="35" spans="1:36" x14ac:dyDescent="0.2">
      <c r="A35" t="s">
        <v>1204</v>
      </c>
      <c r="B35" t="s">
        <v>1204</v>
      </c>
      <c r="C35" t="s">
        <v>1291</v>
      </c>
      <c r="D35" t="s">
        <v>1292</v>
      </c>
      <c r="E35" t="s">
        <v>80</v>
      </c>
      <c r="F35" t="s">
        <v>1440</v>
      </c>
      <c r="G35" t="s">
        <v>1441</v>
      </c>
      <c r="H35" t="s">
        <v>312</v>
      </c>
      <c r="I35" t="s">
        <v>754</v>
      </c>
      <c r="J35" t="s">
        <v>204</v>
      </c>
      <c r="K35" t="s">
        <v>204</v>
      </c>
      <c r="L35" t="s">
        <v>325</v>
      </c>
      <c r="M35" t="s">
        <v>340</v>
      </c>
      <c r="N35" t="s">
        <v>448</v>
      </c>
      <c r="O35" t="s">
        <v>339</v>
      </c>
      <c r="P35" t="s">
        <v>1207</v>
      </c>
      <c r="Q35" t="s">
        <v>413</v>
      </c>
      <c r="R35" t="s">
        <v>407</v>
      </c>
      <c r="S35" t="s">
        <v>1208</v>
      </c>
      <c r="T35" s="125">
        <v>3260</v>
      </c>
      <c r="U35" t="s">
        <v>1442</v>
      </c>
      <c r="V35" s="126">
        <v>1.7500000000000002E-2</v>
      </c>
      <c r="W35" s="126">
        <v>2.4400000000000002E-2</v>
      </c>
      <c r="X35" t="s">
        <v>412</v>
      </c>
      <c r="Y35" t="s">
        <v>339</v>
      </c>
      <c r="Z35" s="125">
        <v>17233734750</v>
      </c>
      <c r="AA35" s="132">
        <v>1</v>
      </c>
      <c r="AB35" s="127">
        <v>111.51</v>
      </c>
      <c r="AD35" s="124">
        <v>19217.337599999999</v>
      </c>
      <c r="AH35" s="129">
        <v>6.3741048560204214E-3</v>
      </c>
      <c r="AI35" s="129">
        <v>2.5227898957093722E-2</v>
      </c>
      <c r="AJ35" s="129">
        <v>1.7023692907721778E-3</v>
      </c>
    </row>
    <row r="36" spans="1:36" x14ac:dyDescent="0.2">
      <c r="A36" t="s">
        <v>1204</v>
      </c>
      <c r="B36" t="s">
        <v>1204</v>
      </c>
      <c r="C36" t="s">
        <v>1443</v>
      </c>
      <c r="D36" t="s">
        <v>1444</v>
      </c>
      <c r="E36" t="s">
        <v>80</v>
      </c>
      <c r="F36" t="s">
        <v>1445</v>
      </c>
      <c r="G36" t="s">
        <v>1446</v>
      </c>
      <c r="H36" t="s">
        <v>312</v>
      </c>
      <c r="I36" t="s">
        <v>754</v>
      </c>
      <c r="J36" t="s">
        <v>204</v>
      </c>
      <c r="K36" t="s">
        <v>204</v>
      </c>
      <c r="L36" t="s">
        <v>325</v>
      </c>
      <c r="M36" t="s">
        <v>340</v>
      </c>
      <c r="N36" t="s">
        <v>1276</v>
      </c>
      <c r="O36" t="s">
        <v>339</v>
      </c>
      <c r="P36" t="s">
        <v>1418</v>
      </c>
      <c r="Q36" t="s">
        <v>415</v>
      </c>
      <c r="R36" t="s">
        <v>407</v>
      </c>
      <c r="S36" t="s">
        <v>1208</v>
      </c>
      <c r="T36" s="125">
        <v>2800</v>
      </c>
      <c r="U36" t="s">
        <v>1447</v>
      </c>
      <c r="V36" s="126">
        <v>1.77E-2</v>
      </c>
      <c r="W36" s="126">
        <v>2.6700000000000002E-2</v>
      </c>
      <c r="X36" t="s">
        <v>412</v>
      </c>
      <c r="Y36" t="s">
        <v>339</v>
      </c>
      <c r="Z36" s="125">
        <v>16038702710</v>
      </c>
      <c r="AA36" s="132">
        <v>1</v>
      </c>
      <c r="AB36" s="127">
        <v>110.8</v>
      </c>
      <c r="AD36" s="124">
        <v>17770.882600000001</v>
      </c>
      <c r="AH36" s="129">
        <v>4.9450413810730809E-3</v>
      </c>
      <c r="AI36" s="129">
        <v>2.3329039617778297E-2</v>
      </c>
      <c r="AJ36" s="129">
        <v>1.5742349648719396E-3</v>
      </c>
    </row>
    <row r="37" spans="1:36" x14ac:dyDescent="0.2">
      <c r="A37" t="s">
        <v>1204</v>
      </c>
      <c r="B37" t="s">
        <v>1204</v>
      </c>
      <c r="C37" t="s">
        <v>1448</v>
      </c>
      <c r="D37" t="s">
        <v>1449</v>
      </c>
      <c r="E37" t="s">
        <v>80</v>
      </c>
      <c r="F37" t="s">
        <v>1450</v>
      </c>
      <c r="G37" t="s">
        <v>1451</v>
      </c>
      <c r="H37" t="s">
        <v>312</v>
      </c>
      <c r="I37" t="s">
        <v>754</v>
      </c>
      <c r="J37" t="s">
        <v>204</v>
      </c>
      <c r="K37" t="s">
        <v>204</v>
      </c>
      <c r="L37" t="s">
        <v>325</v>
      </c>
      <c r="M37" t="s">
        <v>340</v>
      </c>
      <c r="N37" t="s">
        <v>1276</v>
      </c>
      <c r="O37" t="s">
        <v>339</v>
      </c>
      <c r="P37" t="s">
        <v>1328</v>
      </c>
      <c r="Q37" t="s">
        <v>415</v>
      </c>
      <c r="R37" t="s">
        <v>407</v>
      </c>
      <c r="S37" t="s">
        <v>1208</v>
      </c>
      <c r="T37" s="125">
        <v>1440</v>
      </c>
      <c r="U37" t="s">
        <v>1452</v>
      </c>
      <c r="V37" s="126">
        <v>1.95E-2</v>
      </c>
      <c r="W37" s="126">
        <v>2.8400000000000002E-2</v>
      </c>
      <c r="X37" t="s">
        <v>412</v>
      </c>
      <c r="Y37" t="s">
        <v>339</v>
      </c>
      <c r="Z37" s="125">
        <v>15117370910</v>
      </c>
      <c r="AA37" s="132">
        <v>1</v>
      </c>
      <c r="AB37" s="127">
        <v>113.23</v>
      </c>
      <c r="AD37" s="124">
        <v>17117.399099999999</v>
      </c>
      <c r="AH37" s="129">
        <v>2.5299706234724235E-2</v>
      </c>
      <c r="AI37" s="129">
        <v>2.2471167597658676E-2</v>
      </c>
      <c r="AJ37" s="129">
        <v>1.5163460782489143E-3</v>
      </c>
    </row>
    <row r="38" spans="1:36" x14ac:dyDescent="0.2">
      <c r="A38" t="s">
        <v>1204</v>
      </c>
      <c r="B38" t="s">
        <v>1204</v>
      </c>
      <c r="C38" t="s">
        <v>1291</v>
      </c>
      <c r="D38" t="s">
        <v>1292</v>
      </c>
      <c r="E38" t="s">
        <v>80</v>
      </c>
      <c r="F38" t="s">
        <v>1453</v>
      </c>
      <c r="G38" t="s">
        <v>1454</v>
      </c>
      <c r="H38" t="s">
        <v>312</v>
      </c>
      <c r="I38" t="s">
        <v>754</v>
      </c>
      <c r="J38" t="s">
        <v>204</v>
      </c>
      <c r="K38" t="s">
        <v>204</v>
      </c>
      <c r="L38" t="s">
        <v>325</v>
      </c>
      <c r="M38" t="s">
        <v>340</v>
      </c>
      <c r="N38" t="s">
        <v>448</v>
      </c>
      <c r="O38" t="s">
        <v>339</v>
      </c>
      <c r="P38" t="s">
        <v>1207</v>
      </c>
      <c r="Q38" t="s">
        <v>413</v>
      </c>
      <c r="R38" t="s">
        <v>407</v>
      </c>
      <c r="S38" t="s">
        <v>1208</v>
      </c>
      <c r="T38" s="125">
        <v>3810</v>
      </c>
      <c r="U38" t="s">
        <v>1295</v>
      </c>
      <c r="V38" s="126">
        <v>1E-3</v>
      </c>
      <c r="W38" s="126">
        <v>2.5399999999999999E-2</v>
      </c>
      <c r="X38" t="s">
        <v>412</v>
      </c>
      <c r="Y38" t="s">
        <v>339</v>
      </c>
      <c r="Z38" s="125">
        <v>16000000000</v>
      </c>
      <c r="AA38" s="132">
        <v>1</v>
      </c>
      <c r="AB38" s="127">
        <v>100.97</v>
      </c>
      <c r="AD38" s="124">
        <v>16155.2</v>
      </c>
      <c r="AH38" s="129">
        <v>4.851942960558556E-3</v>
      </c>
      <c r="AI38" s="129">
        <v>2.1208023780219808E-2</v>
      </c>
      <c r="AJ38" s="129">
        <v>1.4311096006376061E-3</v>
      </c>
    </row>
    <row r="39" spans="1:36" x14ac:dyDescent="0.2">
      <c r="A39" t="s">
        <v>1204</v>
      </c>
      <c r="B39" t="s">
        <v>1204</v>
      </c>
      <c r="C39" t="s">
        <v>1272</v>
      </c>
      <c r="D39" t="s">
        <v>1273</v>
      </c>
      <c r="E39" t="s">
        <v>80</v>
      </c>
      <c r="F39" t="s">
        <v>1455</v>
      </c>
      <c r="G39" t="s">
        <v>1456</v>
      </c>
      <c r="H39" t="s">
        <v>312</v>
      </c>
      <c r="I39" t="s">
        <v>754</v>
      </c>
      <c r="J39" t="s">
        <v>204</v>
      </c>
      <c r="K39" t="s">
        <v>204</v>
      </c>
      <c r="L39" t="s">
        <v>325</v>
      </c>
      <c r="M39" t="s">
        <v>340</v>
      </c>
      <c r="N39" t="s">
        <v>1276</v>
      </c>
      <c r="O39" t="s">
        <v>339</v>
      </c>
      <c r="P39" t="s">
        <v>1277</v>
      </c>
      <c r="Q39" t="s">
        <v>413</v>
      </c>
      <c r="R39" t="s">
        <v>407</v>
      </c>
      <c r="S39" t="s">
        <v>1208</v>
      </c>
      <c r="T39" s="125">
        <v>3540</v>
      </c>
      <c r="U39" t="s">
        <v>1457</v>
      </c>
      <c r="V39" s="126">
        <v>1.14E-2</v>
      </c>
      <c r="W39" s="126">
        <v>3.15E-2</v>
      </c>
      <c r="X39" t="s">
        <v>412</v>
      </c>
      <c r="Y39" t="s">
        <v>339</v>
      </c>
      <c r="Z39" s="125">
        <v>15000000000</v>
      </c>
      <c r="AA39" s="132">
        <v>1</v>
      </c>
      <c r="AB39" s="127">
        <v>105.17</v>
      </c>
      <c r="AD39" s="124">
        <v>15775.5</v>
      </c>
      <c r="AH39" s="129">
        <v>6.3479085545685267E-3</v>
      </c>
      <c r="AI39" s="129">
        <v>2.0709565907253244E-2</v>
      </c>
      <c r="AJ39" s="129">
        <v>1.3974738477306721E-3</v>
      </c>
    </row>
    <row r="40" spans="1:36" x14ac:dyDescent="0.2">
      <c r="A40" t="s">
        <v>1204</v>
      </c>
      <c r="B40" t="s">
        <v>1204</v>
      </c>
      <c r="C40" t="s">
        <v>1414</v>
      </c>
      <c r="D40" t="s">
        <v>1415</v>
      </c>
      <c r="E40" t="s">
        <v>80</v>
      </c>
      <c r="F40" t="s">
        <v>1458</v>
      </c>
      <c r="G40" t="s">
        <v>1459</v>
      </c>
      <c r="H40" t="s">
        <v>312</v>
      </c>
      <c r="I40" t="s">
        <v>754</v>
      </c>
      <c r="J40" t="s">
        <v>204</v>
      </c>
      <c r="K40" t="s">
        <v>204</v>
      </c>
      <c r="L40" t="s">
        <v>325</v>
      </c>
      <c r="M40" t="s">
        <v>340</v>
      </c>
      <c r="N40" t="s">
        <v>440</v>
      </c>
      <c r="O40" t="s">
        <v>339</v>
      </c>
      <c r="P40" t="s">
        <v>1418</v>
      </c>
      <c r="Q40" t="s">
        <v>415</v>
      </c>
      <c r="R40" t="s">
        <v>407</v>
      </c>
      <c r="S40" t="s">
        <v>1208</v>
      </c>
      <c r="T40" s="125">
        <v>7890</v>
      </c>
      <c r="U40" t="s">
        <v>1460</v>
      </c>
      <c r="V40" s="126">
        <v>0.03</v>
      </c>
      <c r="W40" s="126">
        <v>3.3599999999999998E-2</v>
      </c>
      <c r="X40" t="s">
        <v>412</v>
      </c>
      <c r="Y40" t="s">
        <v>339</v>
      </c>
      <c r="Z40" s="125">
        <v>15055424000</v>
      </c>
      <c r="AA40" s="132">
        <v>1</v>
      </c>
      <c r="AB40" s="127">
        <v>100.46</v>
      </c>
      <c r="AD40" s="124">
        <v>15124.679</v>
      </c>
      <c r="AH40" s="129">
        <v>1.3519112100858446E-2</v>
      </c>
      <c r="AI40" s="129">
        <v>1.9855189093807145E-2</v>
      </c>
      <c r="AJ40" s="129">
        <v>1.3398208163612306E-3</v>
      </c>
    </row>
    <row r="41" spans="1:36" x14ac:dyDescent="0.2">
      <c r="A41" t="s">
        <v>1204</v>
      </c>
      <c r="B41" t="s">
        <v>1204</v>
      </c>
      <c r="C41" t="s">
        <v>1319</v>
      </c>
      <c r="D41" t="s">
        <v>1320</v>
      </c>
      <c r="E41" t="s">
        <v>80</v>
      </c>
      <c r="F41" t="s">
        <v>1461</v>
      </c>
      <c r="G41" t="s">
        <v>1462</v>
      </c>
      <c r="H41" t="s">
        <v>312</v>
      </c>
      <c r="I41" t="s">
        <v>754</v>
      </c>
      <c r="J41" t="s">
        <v>204</v>
      </c>
      <c r="K41" t="s">
        <v>204</v>
      </c>
      <c r="L41" t="s">
        <v>325</v>
      </c>
      <c r="M41" t="s">
        <v>340</v>
      </c>
      <c r="N41" t="s">
        <v>448</v>
      </c>
      <c r="O41" t="s">
        <v>339</v>
      </c>
      <c r="P41" t="s">
        <v>1207</v>
      </c>
      <c r="Q41" t="s">
        <v>413</v>
      </c>
      <c r="R41" t="s">
        <v>407</v>
      </c>
      <c r="S41" t="s">
        <v>1208</v>
      </c>
      <c r="T41" s="125">
        <v>3730</v>
      </c>
      <c r="U41" t="s">
        <v>1463</v>
      </c>
      <c r="V41" s="126">
        <v>1.6400000000000001E-2</v>
      </c>
      <c r="W41" s="126">
        <v>2.53E-2</v>
      </c>
      <c r="X41" t="s">
        <v>412</v>
      </c>
      <c r="Y41" t="s">
        <v>339</v>
      </c>
      <c r="Z41" s="125">
        <v>14222400000</v>
      </c>
      <c r="AA41" s="132">
        <v>1</v>
      </c>
      <c r="AB41" s="127">
        <v>102.97</v>
      </c>
      <c r="AD41" s="124">
        <v>14644.8053</v>
      </c>
      <c r="AH41" s="129">
        <v>1.1754049586776859E-2</v>
      </c>
      <c r="AI41" s="129">
        <v>1.922522646794398E-2</v>
      </c>
      <c r="AJ41" s="129">
        <v>1.2973111713675044E-3</v>
      </c>
    </row>
    <row r="42" spans="1:36" x14ac:dyDescent="0.2">
      <c r="A42" t="s">
        <v>1204</v>
      </c>
      <c r="B42" t="s">
        <v>1204</v>
      </c>
      <c r="C42" t="s">
        <v>1464</v>
      </c>
      <c r="D42" t="s">
        <v>1465</v>
      </c>
      <c r="E42" t="s">
        <v>80</v>
      </c>
      <c r="F42" t="s">
        <v>1466</v>
      </c>
      <c r="G42" t="s">
        <v>1467</v>
      </c>
      <c r="H42" t="s">
        <v>312</v>
      </c>
      <c r="I42" t="s">
        <v>754</v>
      </c>
      <c r="J42" t="s">
        <v>204</v>
      </c>
      <c r="K42" t="s">
        <v>204</v>
      </c>
      <c r="L42" t="s">
        <v>325</v>
      </c>
      <c r="M42" t="s">
        <v>340</v>
      </c>
      <c r="N42" t="s">
        <v>1276</v>
      </c>
      <c r="O42" t="s">
        <v>339</v>
      </c>
      <c r="P42" t="s">
        <v>1277</v>
      </c>
      <c r="Q42" t="s">
        <v>413</v>
      </c>
      <c r="R42" t="s">
        <v>407</v>
      </c>
      <c r="S42" t="s">
        <v>1208</v>
      </c>
      <c r="T42" s="125">
        <v>2440</v>
      </c>
      <c r="U42" t="s">
        <v>1468</v>
      </c>
      <c r="V42" s="126">
        <v>2.3400000000000001E-2</v>
      </c>
      <c r="W42" s="126">
        <v>2.75E-2</v>
      </c>
      <c r="X42" t="s">
        <v>412</v>
      </c>
      <c r="Y42" t="s">
        <v>339</v>
      </c>
      <c r="Z42" s="125">
        <v>12829637430</v>
      </c>
      <c r="AA42" s="132">
        <v>1</v>
      </c>
      <c r="AB42" s="127">
        <v>113.08</v>
      </c>
      <c r="AD42" s="124">
        <v>14507.754000000001</v>
      </c>
      <c r="AH42" s="129">
        <v>4.1811504445098341E-3</v>
      </c>
      <c r="AI42" s="129">
        <v>1.9045309990190076E-2</v>
      </c>
      <c r="AJ42" s="129">
        <v>1.2851704739930199E-3</v>
      </c>
    </row>
    <row r="43" spans="1:36" x14ac:dyDescent="0.2">
      <c r="A43" t="s">
        <v>1204</v>
      </c>
      <c r="B43" t="s">
        <v>1204</v>
      </c>
      <c r="C43" t="s">
        <v>1443</v>
      </c>
      <c r="D43" t="s">
        <v>1444</v>
      </c>
      <c r="E43" t="s">
        <v>80</v>
      </c>
      <c r="F43" t="s">
        <v>1469</v>
      </c>
      <c r="G43" t="s">
        <v>1470</v>
      </c>
      <c r="H43" t="s">
        <v>312</v>
      </c>
      <c r="I43" t="s">
        <v>754</v>
      </c>
      <c r="J43" t="s">
        <v>204</v>
      </c>
      <c r="K43" t="s">
        <v>204</v>
      </c>
      <c r="L43" t="s">
        <v>325</v>
      </c>
      <c r="M43" t="s">
        <v>340</v>
      </c>
      <c r="N43" t="s">
        <v>1276</v>
      </c>
      <c r="O43" t="s">
        <v>339</v>
      </c>
      <c r="P43" t="s">
        <v>1418</v>
      </c>
      <c r="Q43" t="s">
        <v>415</v>
      </c>
      <c r="R43" t="s">
        <v>407</v>
      </c>
      <c r="S43" t="s">
        <v>1208</v>
      </c>
      <c r="T43" s="125">
        <v>5710</v>
      </c>
      <c r="U43" t="s">
        <v>1471</v>
      </c>
      <c r="V43" s="126">
        <v>2.4799999999999999E-2</v>
      </c>
      <c r="W43" s="126">
        <v>3.3399999999999999E-2</v>
      </c>
      <c r="X43" t="s">
        <v>412</v>
      </c>
      <c r="Y43" t="s">
        <v>339</v>
      </c>
      <c r="Z43" s="125">
        <v>12772280000</v>
      </c>
      <c r="AA43" s="132">
        <v>1</v>
      </c>
      <c r="AB43" s="127">
        <v>108.31</v>
      </c>
      <c r="AD43" s="124">
        <v>13833.656499999999</v>
      </c>
      <c r="AH43" s="129">
        <v>6.5231689485170229E-3</v>
      </c>
      <c r="AI43" s="129">
        <v>1.8160376556200824E-2</v>
      </c>
      <c r="AJ43" s="129">
        <v>1.2254554931710729E-3</v>
      </c>
    </row>
    <row r="44" spans="1:36" x14ac:dyDescent="0.2">
      <c r="A44" t="s">
        <v>1204</v>
      </c>
      <c r="B44" t="s">
        <v>1204</v>
      </c>
      <c r="C44" t="s">
        <v>1285</v>
      </c>
      <c r="D44" t="s">
        <v>1286</v>
      </c>
      <c r="E44" t="s">
        <v>80</v>
      </c>
      <c r="F44" t="s">
        <v>1472</v>
      </c>
      <c r="G44" t="s">
        <v>1473</v>
      </c>
      <c r="H44" t="s">
        <v>312</v>
      </c>
      <c r="I44" t="s">
        <v>754</v>
      </c>
      <c r="J44" t="s">
        <v>204</v>
      </c>
      <c r="K44" t="s">
        <v>204</v>
      </c>
      <c r="L44" t="s">
        <v>325</v>
      </c>
      <c r="M44" t="s">
        <v>340</v>
      </c>
      <c r="N44" t="s">
        <v>447</v>
      </c>
      <c r="O44" t="s">
        <v>339</v>
      </c>
      <c r="P44" t="s">
        <v>1289</v>
      </c>
      <c r="Q44" t="s">
        <v>413</v>
      </c>
      <c r="R44" t="s">
        <v>407</v>
      </c>
      <c r="S44" t="s">
        <v>1208</v>
      </c>
      <c r="T44" s="125">
        <v>3040</v>
      </c>
      <c r="U44" t="s">
        <v>1474</v>
      </c>
      <c r="V44" s="126">
        <v>3.9E-2</v>
      </c>
      <c r="W44" s="126">
        <v>4.0399999999999998E-2</v>
      </c>
      <c r="X44" t="s">
        <v>412</v>
      </c>
      <c r="Y44" t="s">
        <v>339</v>
      </c>
      <c r="Z44" s="125">
        <v>11779308540</v>
      </c>
      <c r="AA44" s="132">
        <v>1</v>
      </c>
      <c r="AB44" s="127">
        <v>114.47</v>
      </c>
      <c r="AD44" s="124">
        <v>13483.7745</v>
      </c>
      <c r="AH44" s="129">
        <v>7.7580186246212976E-3</v>
      </c>
      <c r="AI44" s="129">
        <v>1.7701062812014251E-2</v>
      </c>
      <c r="AJ44" s="129">
        <v>1.1944611715962695E-3</v>
      </c>
    </row>
    <row r="45" spans="1:36" x14ac:dyDescent="0.2">
      <c r="A45" t="s">
        <v>1204</v>
      </c>
      <c r="B45" t="s">
        <v>1204</v>
      </c>
      <c r="C45" t="s">
        <v>1443</v>
      </c>
      <c r="D45" t="s">
        <v>1444</v>
      </c>
      <c r="E45" t="s">
        <v>80</v>
      </c>
      <c r="F45" t="s">
        <v>1475</v>
      </c>
      <c r="G45" t="s">
        <v>1476</v>
      </c>
      <c r="H45" t="s">
        <v>312</v>
      </c>
      <c r="I45" t="s">
        <v>754</v>
      </c>
      <c r="J45" t="s">
        <v>204</v>
      </c>
      <c r="K45" t="s">
        <v>204</v>
      </c>
      <c r="L45" t="s">
        <v>325</v>
      </c>
      <c r="M45" t="s">
        <v>340</v>
      </c>
      <c r="N45" t="s">
        <v>1276</v>
      </c>
      <c r="O45" t="s">
        <v>339</v>
      </c>
      <c r="P45" t="s">
        <v>1418</v>
      </c>
      <c r="Q45" t="s">
        <v>415</v>
      </c>
      <c r="R45" t="s">
        <v>407</v>
      </c>
      <c r="S45" t="s">
        <v>1208</v>
      </c>
      <c r="T45" s="125">
        <v>3140</v>
      </c>
      <c r="U45" t="s">
        <v>1392</v>
      </c>
      <c r="V45" s="126">
        <v>1.34E-2</v>
      </c>
      <c r="W45" s="126">
        <v>2.7799999999999998E-2</v>
      </c>
      <c r="X45" t="s">
        <v>412</v>
      </c>
      <c r="Y45" t="s">
        <v>339</v>
      </c>
      <c r="Z45" s="125">
        <v>10814382520</v>
      </c>
      <c r="AA45" s="132">
        <v>1</v>
      </c>
      <c r="AB45" s="127">
        <v>110</v>
      </c>
      <c r="AC45" s="125">
        <v>1126774.6000000001</v>
      </c>
      <c r="AD45" s="124">
        <v>13022.5954</v>
      </c>
      <c r="AH45" s="129">
        <v>3.4993270570017462E-3</v>
      </c>
      <c r="AI45" s="129">
        <v>1.8574835054067085E-2</v>
      </c>
      <c r="AJ45" s="129">
        <v>1.2534229993144527E-3</v>
      </c>
    </row>
    <row r="46" spans="1:36" x14ac:dyDescent="0.2">
      <c r="A46" t="s">
        <v>1204</v>
      </c>
      <c r="B46" t="s">
        <v>1204</v>
      </c>
      <c r="C46" t="s">
        <v>1414</v>
      </c>
      <c r="D46" t="s">
        <v>1415</v>
      </c>
      <c r="E46" t="s">
        <v>80</v>
      </c>
      <c r="F46" t="s">
        <v>1477</v>
      </c>
      <c r="G46" t="s">
        <v>1478</v>
      </c>
      <c r="H46" t="s">
        <v>312</v>
      </c>
      <c r="I46" t="s">
        <v>754</v>
      </c>
      <c r="J46" t="s">
        <v>204</v>
      </c>
      <c r="K46" t="s">
        <v>204</v>
      </c>
      <c r="L46" t="s">
        <v>325</v>
      </c>
      <c r="M46" t="s">
        <v>340</v>
      </c>
      <c r="N46" t="s">
        <v>440</v>
      </c>
      <c r="O46" t="s">
        <v>339</v>
      </c>
      <c r="P46" t="s">
        <v>1418</v>
      </c>
      <c r="Q46" t="s">
        <v>415</v>
      </c>
      <c r="R46" t="s">
        <v>407</v>
      </c>
      <c r="S46" t="s">
        <v>1208</v>
      </c>
      <c r="T46" s="125">
        <v>3630</v>
      </c>
      <c r="U46" t="s">
        <v>1479</v>
      </c>
      <c r="V46" s="126">
        <v>3.85E-2</v>
      </c>
      <c r="W46" s="126">
        <v>2.4899999999999999E-2</v>
      </c>
      <c r="X46" t="s">
        <v>412</v>
      </c>
      <c r="Y46" t="s">
        <v>339</v>
      </c>
      <c r="Z46" s="125">
        <v>10306640520</v>
      </c>
      <c r="AA46" s="132">
        <v>1</v>
      </c>
      <c r="AB46" s="127">
        <v>121.05</v>
      </c>
      <c r="AD46" s="124">
        <v>12476.1883</v>
      </c>
      <c r="AH46" s="129">
        <v>3.9482968541089142E-3</v>
      </c>
      <c r="AI46" s="129">
        <v>1.6378336337640451E-2</v>
      </c>
      <c r="AJ46" s="129">
        <v>1.1052040783323793E-3</v>
      </c>
    </row>
    <row r="47" spans="1:36" x14ac:dyDescent="0.2">
      <c r="A47" t="s">
        <v>1204</v>
      </c>
      <c r="B47" t="s">
        <v>1204</v>
      </c>
      <c r="C47" t="s">
        <v>1480</v>
      </c>
      <c r="D47" t="s">
        <v>1481</v>
      </c>
      <c r="E47" t="s">
        <v>80</v>
      </c>
      <c r="F47" t="s">
        <v>1482</v>
      </c>
      <c r="G47" t="s">
        <v>1483</v>
      </c>
      <c r="H47" t="s">
        <v>312</v>
      </c>
      <c r="I47" t="s">
        <v>754</v>
      </c>
      <c r="J47" t="s">
        <v>204</v>
      </c>
      <c r="K47" t="s">
        <v>204</v>
      </c>
      <c r="L47" t="s">
        <v>325</v>
      </c>
      <c r="M47" t="s">
        <v>340</v>
      </c>
      <c r="N47" t="s">
        <v>1276</v>
      </c>
      <c r="O47" t="s">
        <v>339</v>
      </c>
      <c r="P47" t="s">
        <v>1306</v>
      </c>
      <c r="Q47" t="s">
        <v>413</v>
      </c>
      <c r="R47" t="s">
        <v>407</v>
      </c>
      <c r="S47" t="s">
        <v>1208</v>
      </c>
      <c r="T47" s="125">
        <v>1460</v>
      </c>
      <c r="U47" t="s">
        <v>1376</v>
      </c>
      <c r="V47" s="126">
        <v>2.1499999999999998E-2</v>
      </c>
      <c r="W47" s="126">
        <v>2.69E-2</v>
      </c>
      <c r="X47" t="s">
        <v>412</v>
      </c>
      <c r="Y47" t="s">
        <v>339</v>
      </c>
      <c r="Z47" s="125">
        <v>10245434000</v>
      </c>
      <c r="AA47" s="132">
        <v>1</v>
      </c>
      <c r="AB47" s="127">
        <v>114.49</v>
      </c>
      <c r="AD47" s="124">
        <v>11729.9974</v>
      </c>
      <c r="AH47" s="129">
        <v>5.2237996120122823E-3</v>
      </c>
      <c r="AI47" s="129">
        <v>1.5398760988222307E-2</v>
      </c>
      <c r="AJ47" s="129">
        <v>1.0391026960617812E-3</v>
      </c>
    </row>
    <row r="48" spans="1:36" x14ac:dyDescent="0.2">
      <c r="A48" t="s">
        <v>1204</v>
      </c>
      <c r="B48" t="s">
        <v>1204</v>
      </c>
      <c r="C48" t="s">
        <v>1448</v>
      </c>
      <c r="D48" t="s">
        <v>1449</v>
      </c>
      <c r="E48" t="s">
        <v>80</v>
      </c>
      <c r="F48" t="s">
        <v>1484</v>
      </c>
      <c r="G48" t="s">
        <v>1485</v>
      </c>
      <c r="H48" t="s">
        <v>312</v>
      </c>
      <c r="I48" t="s">
        <v>754</v>
      </c>
      <c r="J48" t="s">
        <v>204</v>
      </c>
      <c r="K48" t="s">
        <v>204</v>
      </c>
      <c r="L48" t="s">
        <v>325</v>
      </c>
      <c r="M48" t="s">
        <v>340</v>
      </c>
      <c r="N48" t="s">
        <v>1276</v>
      </c>
      <c r="O48" t="s">
        <v>339</v>
      </c>
      <c r="P48" t="s">
        <v>1277</v>
      </c>
      <c r="Q48" t="s">
        <v>413</v>
      </c>
      <c r="R48" t="s">
        <v>407</v>
      </c>
      <c r="S48" t="s">
        <v>1208</v>
      </c>
      <c r="T48" s="125">
        <v>5590</v>
      </c>
      <c r="U48" t="s">
        <v>1486</v>
      </c>
      <c r="V48" s="126">
        <v>2.5999999999999999E-2</v>
      </c>
      <c r="W48" s="126">
        <v>3.1800000000000002E-2</v>
      </c>
      <c r="X48" t="s">
        <v>412</v>
      </c>
      <c r="Y48" t="s">
        <v>339</v>
      </c>
      <c r="Z48" s="125">
        <v>11365000000</v>
      </c>
      <c r="AA48" s="132">
        <v>1</v>
      </c>
      <c r="AB48" s="127">
        <v>98.8</v>
      </c>
      <c r="AC48" s="125">
        <v>155918.70000000001</v>
      </c>
      <c r="AD48" s="124">
        <v>11384.538699999999</v>
      </c>
      <c r="AH48" s="129">
        <v>2.1203358208955223E-2</v>
      </c>
      <c r="AI48" s="129">
        <v>1.5149938896021793E-2</v>
      </c>
      <c r="AJ48" s="129">
        <v>1.0223122733100391E-3</v>
      </c>
    </row>
    <row r="49" spans="1:36" x14ac:dyDescent="0.2">
      <c r="A49" t="s">
        <v>1204</v>
      </c>
      <c r="B49" t="s">
        <v>1204</v>
      </c>
      <c r="C49" t="s">
        <v>1487</v>
      </c>
      <c r="D49" t="s">
        <v>1488</v>
      </c>
      <c r="E49" t="s">
        <v>80</v>
      </c>
      <c r="F49" t="s">
        <v>1489</v>
      </c>
      <c r="G49" t="s">
        <v>1490</v>
      </c>
      <c r="H49" t="s">
        <v>312</v>
      </c>
      <c r="I49" t="s">
        <v>754</v>
      </c>
      <c r="J49" t="s">
        <v>204</v>
      </c>
      <c r="K49" t="s">
        <v>204</v>
      </c>
      <c r="L49" t="s">
        <v>325</v>
      </c>
      <c r="M49" t="s">
        <v>340</v>
      </c>
      <c r="N49" t="s">
        <v>1300</v>
      </c>
      <c r="O49" t="s">
        <v>339</v>
      </c>
      <c r="P49" t="s">
        <v>1351</v>
      </c>
      <c r="Q49" t="s">
        <v>413</v>
      </c>
      <c r="R49" t="s">
        <v>407</v>
      </c>
      <c r="S49" t="s">
        <v>1208</v>
      </c>
      <c r="T49" s="125">
        <v>2110</v>
      </c>
      <c r="U49" t="s">
        <v>1491</v>
      </c>
      <c r="V49" s="126">
        <v>0.04</v>
      </c>
      <c r="W49" s="126">
        <v>5.3900000000000003E-2</v>
      </c>
      <c r="X49" t="s">
        <v>412</v>
      </c>
      <c r="Y49" t="s">
        <v>339</v>
      </c>
      <c r="Z49" s="125">
        <v>10159233760</v>
      </c>
      <c r="AA49" s="132">
        <v>1</v>
      </c>
      <c r="AB49" s="127">
        <v>110.28</v>
      </c>
      <c r="AD49" s="124">
        <v>11203.602999999999</v>
      </c>
      <c r="AH49" s="129">
        <v>3.4558664732306332E-3</v>
      </c>
      <c r="AI49" s="129">
        <v>1.4707727459100449E-2</v>
      </c>
      <c r="AJ49" s="129">
        <v>9.9247200910399219E-4</v>
      </c>
    </row>
    <row r="50" spans="1:36" x14ac:dyDescent="0.2">
      <c r="A50" t="s">
        <v>1204</v>
      </c>
      <c r="B50" t="s">
        <v>1204</v>
      </c>
      <c r="C50" t="s">
        <v>1492</v>
      </c>
      <c r="D50" t="s">
        <v>1493</v>
      </c>
      <c r="E50" t="s">
        <v>80</v>
      </c>
      <c r="F50" t="s">
        <v>1494</v>
      </c>
      <c r="G50" t="s">
        <v>1495</v>
      </c>
      <c r="H50" t="s">
        <v>312</v>
      </c>
      <c r="I50" t="s">
        <v>754</v>
      </c>
      <c r="J50" t="s">
        <v>204</v>
      </c>
      <c r="K50" t="s">
        <v>204</v>
      </c>
      <c r="L50" t="s">
        <v>325</v>
      </c>
      <c r="M50" t="s">
        <v>340</v>
      </c>
      <c r="N50" t="s">
        <v>443</v>
      </c>
      <c r="O50" t="s">
        <v>339</v>
      </c>
      <c r="P50" t="s">
        <v>1405</v>
      </c>
      <c r="Q50" t="s">
        <v>415</v>
      </c>
      <c r="R50" t="s">
        <v>407</v>
      </c>
      <c r="S50" t="s">
        <v>1208</v>
      </c>
      <c r="T50" s="125">
        <v>3220</v>
      </c>
      <c r="U50" t="s">
        <v>1496</v>
      </c>
      <c r="V50" s="126">
        <v>0.01</v>
      </c>
      <c r="W50" s="126">
        <v>3.5700000000000003E-2</v>
      </c>
      <c r="X50" t="s">
        <v>412</v>
      </c>
      <c r="Y50" t="s">
        <v>339</v>
      </c>
      <c r="Z50" s="125">
        <v>10000000000</v>
      </c>
      <c r="AA50" s="132">
        <v>1</v>
      </c>
      <c r="AB50" s="127">
        <v>102.46</v>
      </c>
      <c r="AD50" s="124">
        <v>10246</v>
      </c>
      <c r="AH50" s="129">
        <v>5.6785917092561046E-3</v>
      </c>
      <c r="AI50" s="129">
        <v>1.3450617241020361E-2</v>
      </c>
      <c r="AJ50" s="129">
        <v>9.076426765458126E-4</v>
      </c>
    </row>
    <row r="51" spans="1:36" x14ac:dyDescent="0.2">
      <c r="A51" t="s">
        <v>1204</v>
      </c>
      <c r="B51" t="s">
        <v>1204</v>
      </c>
      <c r="C51" t="s">
        <v>1330</v>
      </c>
      <c r="D51" t="s">
        <v>1331</v>
      </c>
      <c r="E51" t="s">
        <v>80</v>
      </c>
      <c r="F51" t="s">
        <v>1497</v>
      </c>
      <c r="G51" t="s">
        <v>1498</v>
      </c>
      <c r="H51" t="s">
        <v>312</v>
      </c>
      <c r="I51" t="s">
        <v>754</v>
      </c>
      <c r="J51" t="s">
        <v>204</v>
      </c>
      <c r="K51" t="s">
        <v>204</v>
      </c>
      <c r="L51" t="s">
        <v>325</v>
      </c>
      <c r="M51" t="s">
        <v>340</v>
      </c>
      <c r="N51" t="s">
        <v>448</v>
      </c>
      <c r="O51" t="s">
        <v>339</v>
      </c>
      <c r="P51" t="s">
        <v>1207</v>
      </c>
      <c r="Q51" t="s">
        <v>413</v>
      </c>
      <c r="R51" t="s">
        <v>407</v>
      </c>
      <c r="S51" t="s">
        <v>1208</v>
      </c>
      <c r="T51" s="125">
        <v>5390</v>
      </c>
      <c r="U51" t="s">
        <v>1499</v>
      </c>
      <c r="V51" s="126">
        <v>1E-3</v>
      </c>
      <c r="W51" s="126">
        <v>2.58E-2</v>
      </c>
      <c r="X51" t="s">
        <v>412</v>
      </c>
      <c r="Y51" t="s">
        <v>339</v>
      </c>
      <c r="Z51" s="125">
        <v>10486108000</v>
      </c>
      <c r="AA51" s="132">
        <v>1</v>
      </c>
      <c r="AB51" s="127">
        <v>97.13</v>
      </c>
      <c r="AD51" s="124">
        <v>10185.1567</v>
      </c>
      <c r="AH51" s="129">
        <v>4.2166548510936212E-3</v>
      </c>
      <c r="AI51" s="129">
        <v>1.3370744126185273E-2</v>
      </c>
      <c r="AJ51" s="129">
        <v>9.0225286829880675E-4</v>
      </c>
    </row>
    <row r="52" spans="1:36" x14ac:dyDescent="0.2">
      <c r="A52" t="s">
        <v>1204</v>
      </c>
      <c r="B52" t="s">
        <v>1204</v>
      </c>
      <c r="C52" t="s">
        <v>1414</v>
      </c>
      <c r="D52" t="s">
        <v>1415</v>
      </c>
      <c r="E52" t="s">
        <v>80</v>
      </c>
      <c r="F52" t="s">
        <v>1500</v>
      </c>
      <c r="G52" t="s">
        <v>1501</v>
      </c>
      <c r="H52" t="s">
        <v>312</v>
      </c>
      <c r="I52" t="s">
        <v>754</v>
      </c>
      <c r="J52" t="s">
        <v>204</v>
      </c>
      <c r="K52" t="s">
        <v>204</v>
      </c>
      <c r="L52" t="s">
        <v>325</v>
      </c>
      <c r="M52" t="s">
        <v>340</v>
      </c>
      <c r="N52" t="s">
        <v>440</v>
      </c>
      <c r="O52" t="s">
        <v>339</v>
      </c>
      <c r="P52" t="s">
        <v>1418</v>
      </c>
      <c r="Q52" t="s">
        <v>415</v>
      </c>
      <c r="R52" t="s">
        <v>407</v>
      </c>
      <c r="S52" t="s">
        <v>1208</v>
      </c>
      <c r="T52" s="125">
        <v>10650</v>
      </c>
      <c r="U52" t="s">
        <v>1502</v>
      </c>
      <c r="V52" s="126">
        <v>3.2000000000000001E-2</v>
      </c>
      <c r="W52" s="126">
        <v>3.5200000000000002E-2</v>
      </c>
      <c r="X52" t="s">
        <v>412</v>
      </c>
      <c r="Y52" t="s">
        <v>339</v>
      </c>
      <c r="Z52" s="125">
        <v>10000000000</v>
      </c>
      <c r="AA52" s="132">
        <v>1</v>
      </c>
      <c r="AB52" s="127">
        <v>100</v>
      </c>
      <c r="AD52" s="124">
        <v>10000</v>
      </c>
      <c r="AH52" s="129">
        <v>6.7348820419084769E-3</v>
      </c>
      <c r="AI52" s="129">
        <v>1.3127676401542419E-2</v>
      </c>
      <c r="AJ52" s="129">
        <v>8.8585074814153091E-4</v>
      </c>
    </row>
    <row r="53" spans="1:36" x14ac:dyDescent="0.2">
      <c r="A53" t="s">
        <v>1204</v>
      </c>
      <c r="B53" t="s">
        <v>1204</v>
      </c>
      <c r="C53" t="s">
        <v>1377</v>
      </c>
      <c r="D53" t="s">
        <v>1378</v>
      </c>
      <c r="E53" t="s">
        <v>80</v>
      </c>
      <c r="F53" t="s">
        <v>1504</v>
      </c>
      <c r="G53" t="s">
        <v>1505</v>
      </c>
      <c r="H53" t="s">
        <v>312</v>
      </c>
      <c r="I53" t="s">
        <v>754</v>
      </c>
      <c r="J53" t="s">
        <v>204</v>
      </c>
      <c r="K53" t="s">
        <v>204</v>
      </c>
      <c r="L53" t="s">
        <v>325</v>
      </c>
      <c r="M53" t="s">
        <v>340</v>
      </c>
      <c r="N53" t="s">
        <v>1300</v>
      </c>
      <c r="O53" t="s">
        <v>339</v>
      </c>
      <c r="P53" t="s">
        <v>1381</v>
      </c>
      <c r="Q53" t="s">
        <v>415</v>
      </c>
      <c r="R53" t="s">
        <v>407</v>
      </c>
      <c r="S53" t="s">
        <v>1208</v>
      </c>
      <c r="T53" s="125">
        <v>4390</v>
      </c>
      <c r="U53" t="s">
        <v>1410</v>
      </c>
      <c r="V53" s="126">
        <v>1.09E-2</v>
      </c>
      <c r="W53" s="126">
        <v>3.7699999999999997E-2</v>
      </c>
      <c r="X53" t="s">
        <v>412</v>
      </c>
      <c r="Y53" t="s">
        <v>339</v>
      </c>
      <c r="Z53" s="125">
        <v>10000000000</v>
      </c>
      <c r="AA53" s="132">
        <v>1</v>
      </c>
      <c r="AB53" s="127">
        <v>99.8</v>
      </c>
      <c r="AD53" s="124">
        <v>9980</v>
      </c>
      <c r="AH53" s="129">
        <v>1.7898821541589702E-2</v>
      </c>
      <c r="AI53" s="129">
        <v>1.3101421048739334E-2</v>
      </c>
      <c r="AJ53" s="129">
        <v>8.8407904664524796E-4</v>
      </c>
    </row>
    <row r="54" spans="1:36" x14ac:dyDescent="0.2">
      <c r="A54" t="s">
        <v>1204</v>
      </c>
      <c r="B54" t="s">
        <v>1204</v>
      </c>
      <c r="C54" t="s">
        <v>1506</v>
      </c>
      <c r="D54" t="s">
        <v>1507</v>
      </c>
      <c r="E54" t="s">
        <v>80</v>
      </c>
      <c r="F54" t="s">
        <v>1508</v>
      </c>
      <c r="G54" t="s">
        <v>1509</v>
      </c>
      <c r="H54" t="s">
        <v>312</v>
      </c>
      <c r="I54" t="s">
        <v>754</v>
      </c>
      <c r="J54" t="s">
        <v>204</v>
      </c>
      <c r="K54" t="s">
        <v>204</v>
      </c>
      <c r="L54" t="s">
        <v>325</v>
      </c>
      <c r="M54" t="s">
        <v>340</v>
      </c>
      <c r="N54" t="s">
        <v>1300</v>
      </c>
      <c r="O54" t="s">
        <v>339</v>
      </c>
      <c r="P54" t="s">
        <v>1277</v>
      </c>
      <c r="Q54" t="s">
        <v>413</v>
      </c>
      <c r="R54" t="s">
        <v>407</v>
      </c>
      <c r="S54" t="s">
        <v>1208</v>
      </c>
      <c r="T54" s="125">
        <v>3160</v>
      </c>
      <c r="U54" t="s">
        <v>1510</v>
      </c>
      <c r="V54" s="126">
        <v>5.0000000000000001E-3</v>
      </c>
      <c r="W54" s="126">
        <v>3.04E-2</v>
      </c>
      <c r="X54" t="s">
        <v>412</v>
      </c>
      <c r="Y54" t="s">
        <v>339</v>
      </c>
      <c r="Z54" s="125">
        <v>9709000000</v>
      </c>
      <c r="AA54" s="132">
        <v>1</v>
      </c>
      <c r="AB54" s="127">
        <v>102.49</v>
      </c>
      <c r="AD54" s="124">
        <v>9950.7541000000001</v>
      </c>
      <c r="AH54" s="129">
        <v>1.6020394693419576E-2</v>
      </c>
      <c r="AI54" s="129">
        <v>1.3063027977612147E-2</v>
      </c>
      <c r="AJ54" s="129">
        <v>8.8148829640574071E-4</v>
      </c>
    </row>
    <row r="55" spans="1:36" x14ac:dyDescent="0.2">
      <c r="A55" t="s">
        <v>1204</v>
      </c>
      <c r="B55" t="s">
        <v>1204</v>
      </c>
      <c r="C55" t="s">
        <v>1511</v>
      </c>
      <c r="D55" t="s">
        <v>1512</v>
      </c>
      <c r="E55" t="s">
        <v>80</v>
      </c>
      <c r="F55" t="s">
        <v>1513</v>
      </c>
      <c r="G55" t="s">
        <v>1514</v>
      </c>
      <c r="H55" t="s">
        <v>312</v>
      </c>
      <c r="I55" t="s">
        <v>754</v>
      </c>
      <c r="J55" t="s">
        <v>204</v>
      </c>
      <c r="K55" t="s">
        <v>204</v>
      </c>
      <c r="L55" t="s">
        <v>325</v>
      </c>
      <c r="M55" t="s">
        <v>340</v>
      </c>
      <c r="N55" t="s">
        <v>1276</v>
      </c>
      <c r="O55" t="s">
        <v>339</v>
      </c>
      <c r="P55" t="s">
        <v>1515</v>
      </c>
      <c r="Q55" t="s">
        <v>415</v>
      </c>
      <c r="R55" t="s">
        <v>407</v>
      </c>
      <c r="S55" t="s">
        <v>1208</v>
      </c>
      <c r="T55" s="125">
        <v>3690</v>
      </c>
      <c r="U55" t="s">
        <v>1516</v>
      </c>
      <c r="V55" s="126">
        <v>2.81E-2</v>
      </c>
      <c r="W55" s="126">
        <v>3.0599999999999999E-2</v>
      </c>
      <c r="X55" t="s">
        <v>412</v>
      </c>
      <c r="Y55" t="s">
        <v>339</v>
      </c>
      <c r="Z55" s="125">
        <v>8073562940</v>
      </c>
      <c r="AA55" s="132">
        <v>1</v>
      </c>
      <c r="AB55" s="127">
        <v>113.93</v>
      </c>
      <c r="AD55" s="124">
        <v>9198.2103000000006</v>
      </c>
      <c r="AH55" s="129">
        <v>8.5036181199013971E-3</v>
      </c>
      <c r="AI55" s="129">
        <v>1.2075112773435953E-2</v>
      </c>
      <c r="AJ55" s="129">
        <v>8.148241438206685E-4</v>
      </c>
    </row>
    <row r="56" spans="1:36" x14ac:dyDescent="0.2">
      <c r="A56" t="s">
        <v>1204</v>
      </c>
      <c r="B56" t="s">
        <v>1204</v>
      </c>
      <c r="C56" t="s">
        <v>1443</v>
      </c>
      <c r="D56" t="s">
        <v>1444</v>
      </c>
      <c r="E56" t="s">
        <v>80</v>
      </c>
      <c r="F56" t="s">
        <v>1517</v>
      </c>
      <c r="G56" t="s">
        <v>1518</v>
      </c>
      <c r="H56" t="s">
        <v>312</v>
      </c>
      <c r="I56" t="s">
        <v>754</v>
      </c>
      <c r="J56" t="s">
        <v>204</v>
      </c>
      <c r="K56" t="s">
        <v>204</v>
      </c>
      <c r="L56" t="s">
        <v>325</v>
      </c>
      <c r="M56" t="s">
        <v>340</v>
      </c>
      <c r="N56" t="s">
        <v>1276</v>
      </c>
      <c r="O56" t="s">
        <v>339</v>
      </c>
      <c r="P56" t="s">
        <v>1312</v>
      </c>
      <c r="Q56" t="s">
        <v>413</v>
      </c>
      <c r="R56" t="s">
        <v>407</v>
      </c>
      <c r="S56" t="s">
        <v>1208</v>
      </c>
      <c r="T56" s="125">
        <v>10570</v>
      </c>
      <c r="U56" t="s">
        <v>1519</v>
      </c>
      <c r="V56" s="126">
        <v>1.6899999999999998E-2</v>
      </c>
      <c r="W56" s="126">
        <v>3.7999999999999999E-2</v>
      </c>
      <c r="X56" t="s">
        <v>412</v>
      </c>
      <c r="Y56" t="s">
        <v>339</v>
      </c>
      <c r="Z56" s="125">
        <v>9974635000</v>
      </c>
      <c r="AA56" s="132">
        <v>1</v>
      </c>
      <c r="AB56" s="127">
        <v>89.8</v>
      </c>
      <c r="AC56" s="125">
        <v>94276</v>
      </c>
      <c r="AD56" s="124">
        <v>9051.4982999999993</v>
      </c>
      <c r="AH56" s="129">
        <v>3.7247835065405484E-3</v>
      </c>
      <c r="AI56" s="129">
        <v>1.2006276505811283E-2</v>
      </c>
      <c r="AJ56" s="129">
        <v>8.1017909794130639E-4</v>
      </c>
    </row>
    <row r="57" spans="1:36" x14ac:dyDescent="0.2">
      <c r="A57" t="s">
        <v>1204</v>
      </c>
      <c r="B57" t="s">
        <v>1204</v>
      </c>
      <c r="C57" t="s">
        <v>1319</v>
      </c>
      <c r="D57" t="s">
        <v>1320</v>
      </c>
      <c r="E57" t="s">
        <v>80</v>
      </c>
      <c r="F57" t="s">
        <v>1520</v>
      </c>
      <c r="G57" t="s">
        <v>1521</v>
      </c>
      <c r="H57" t="s">
        <v>312</v>
      </c>
      <c r="I57" t="s">
        <v>754</v>
      </c>
      <c r="J57" t="s">
        <v>204</v>
      </c>
      <c r="K57" t="s">
        <v>204</v>
      </c>
      <c r="L57" t="s">
        <v>325</v>
      </c>
      <c r="M57" t="s">
        <v>340</v>
      </c>
      <c r="N57" t="s">
        <v>448</v>
      </c>
      <c r="O57" t="s">
        <v>339</v>
      </c>
      <c r="P57" t="s">
        <v>1207</v>
      </c>
      <c r="Q57" t="s">
        <v>413</v>
      </c>
      <c r="R57" t="s">
        <v>407</v>
      </c>
      <c r="S57" t="s">
        <v>1208</v>
      </c>
      <c r="T57" s="125">
        <v>1970</v>
      </c>
      <c r="U57" t="s">
        <v>1522</v>
      </c>
      <c r="V57" s="126">
        <v>3.8E-3</v>
      </c>
      <c r="W57" s="126">
        <v>2.1999999999999999E-2</v>
      </c>
      <c r="X57" t="s">
        <v>412</v>
      </c>
      <c r="Y57" t="s">
        <v>339</v>
      </c>
      <c r="Z57" s="125">
        <v>8260000000</v>
      </c>
      <c r="AA57" s="132">
        <v>1</v>
      </c>
      <c r="AB57" s="127">
        <v>107.97</v>
      </c>
      <c r="AD57" s="124">
        <v>8918.3220000000001</v>
      </c>
      <c r="AH57" s="129">
        <v>2.7533333333333333E-3</v>
      </c>
      <c r="AI57" s="129">
        <v>1.1707684526075658E-2</v>
      </c>
      <c r="AJ57" s="129">
        <v>7.9003022158670748E-4</v>
      </c>
    </row>
    <row r="58" spans="1:36" x14ac:dyDescent="0.2">
      <c r="A58" t="s">
        <v>1204</v>
      </c>
      <c r="B58" t="s">
        <v>1204</v>
      </c>
      <c r="C58" t="s">
        <v>1319</v>
      </c>
      <c r="D58" t="s">
        <v>1320</v>
      </c>
      <c r="E58" t="s">
        <v>80</v>
      </c>
      <c r="F58" t="s">
        <v>1523</v>
      </c>
      <c r="G58" t="s">
        <v>1524</v>
      </c>
      <c r="H58" t="s">
        <v>312</v>
      </c>
      <c r="I58" t="s">
        <v>754</v>
      </c>
      <c r="J58" t="s">
        <v>204</v>
      </c>
      <c r="K58" t="s">
        <v>204</v>
      </c>
      <c r="L58" t="s">
        <v>325</v>
      </c>
      <c r="M58" t="s">
        <v>340</v>
      </c>
      <c r="N58" t="s">
        <v>448</v>
      </c>
      <c r="O58" t="s">
        <v>339</v>
      </c>
      <c r="P58" t="s">
        <v>1207</v>
      </c>
      <c r="Q58" t="s">
        <v>413</v>
      </c>
      <c r="R58" t="s">
        <v>407</v>
      </c>
      <c r="S58" t="s">
        <v>1208</v>
      </c>
      <c r="T58" s="125">
        <v>5970</v>
      </c>
      <c r="U58" t="s">
        <v>1525</v>
      </c>
      <c r="V58" s="126">
        <v>2E-3</v>
      </c>
      <c r="W58" s="126">
        <v>2.7300000000000001E-2</v>
      </c>
      <c r="X58" t="s">
        <v>412</v>
      </c>
      <c r="Y58" t="s">
        <v>339</v>
      </c>
      <c r="Z58" s="125">
        <v>9000000000</v>
      </c>
      <c r="AA58" s="132">
        <v>1</v>
      </c>
      <c r="AB58" s="127">
        <v>97.95</v>
      </c>
      <c r="AC58" s="125">
        <v>20456.2</v>
      </c>
      <c r="AD58" s="124">
        <v>8835.9562000000005</v>
      </c>
      <c r="AH58" s="129">
        <v>9.3905335075103406E-3</v>
      </c>
      <c r="AI58" s="129">
        <v>1.1626411580325412E-2</v>
      </c>
      <c r="AJ58" s="129">
        <v>7.845459532672917E-4</v>
      </c>
    </row>
    <row r="59" spans="1:36" x14ac:dyDescent="0.2">
      <c r="A59" t="s">
        <v>1204</v>
      </c>
      <c r="B59" t="s">
        <v>1204</v>
      </c>
      <c r="C59" t="s">
        <v>1526</v>
      </c>
      <c r="D59" t="s">
        <v>1527</v>
      </c>
      <c r="E59" t="s">
        <v>80</v>
      </c>
      <c r="F59" t="s">
        <v>1528</v>
      </c>
      <c r="G59" t="s">
        <v>1529</v>
      </c>
      <c r="H59" t="s">
        <v>312</v>
      </c>
      <c r="I59" t="s">
        <v>754</v>
      </c>
      <c r="J59" t="s">
        <v>204</v>
      </c>
      <c r="K59" t="s">
        <v>204</v>
      </c>
      <c r="L59" t="s">
        <v>325</v>
      </c>
      <c r="M59" t="s">
        <v>340</v>
      </c>
      <c r="N59" t="s">
        <v>1276</v>
      </c>
      <c r="O59" t="s">
        <v>339</v>
      </c>
      <c r="P59" t="s">
        <v>1277</v>
      </c>
      <c r="Q59" t="s">
        <v>413</v>
      </c>
      <c r="R59" t="s">
        <v>407</v>
      </c>
      <c r="S59" t="s">
        <v>1208</v>
      </c>
      <c r="T59" s="125">
        <v>1010</v>
      </c>
      <c r="U59" t="s">
        <v>1530</v>
      </c>
      <c r="V59" s="126">
        <v>2.3E-2</v>
      </c>
      <c r="W59" s="126">
        <v>2.7900000000000001E-2</v>
      </c>
      <c r="X59" t="s">
        <v>412</v>
      </c>
      <c r="Y59" t="s">
        <v>339</v>
      </c>
      <c r="Z59" s="125">
        <v>7516145530</v>
      </c>
      <c r="AA59" s="132">
        <v>1</v>
      </c>
      <c r="AB59" s="127">
        <v>114.76</v>
      </c>
      <c r="AC59" s="125">
        <v>206673.6</v>
      </c>
      <c r="AD59" s="124">
        <v>8832.2021999999997</v>
      </c>
      <c r="AH59" s="129">
        <v>5.757982896665857E-3</v>
      </c>
      <c r="AI59" s="129">
        <v>1.186594364078492E-2</v>
      </c>
      <c r="AJ59" s="129">
        <v>8.0070948811318456E-4</v>
      </c>
    </row>
    <row r="60" spans="1:36" x14ac:dyDescent="0.2">
      <c r="A60" t="s">
        <v>1204</v>
      </c>
      <c r="B60" t="s">
        <v>1204</v>
      </c>
      <c r="C60" t="s">
        <v>1531</v>
      </c>
      <c r="D60" t="s">
        <v>1532</v>
      </c>
      <c r="E60" t="s">
        <v>80</v>
      </c>
      <c r="F60" t="s">
        <v>1533</v>
      </c>
      <c r="G60" t="s">
        <v>1534</v>
      </c>
      <c r="H60" t="s">
        <v>312</v>
      </c>
      <c r="I60" t="s">
        <v>754</v>
      </c>
      <c r="J60" t="s">
        <v>204</v>
      </c>
      <c r="K60" t="s">
        <v>204</v>
      </c>
      <c r="L60" t="s">
        <v>325</v>
      </c>
      <c r="M60" t="s">
        <v>340</v>
      </c>
      <c r="N60" t="s">
        <v>451</v>
      </c>
      <c r="O60" t="s">
        <v>339</v>
      </c>
      <c r="P60" t="s">
        <v>1283</v>
      </c>
      <c r="Q60" t="s">
        <v>413</v>
      </c>
      <c r="R60" t="s">
        <v>407</v>
      </c>
      <c r="S60" t="s">
        <v>1208</v>
      </c>
      <c r="T60" s="125">
        <v>4250</v>
      </c>
      <c r="U60" t="s">
        <v>1535</v>
      </c>
      <c r="V60" s="126">
        <v>7.4999999999999997E-3</v>
      </c>
      <c r="W60" s="126">
        <v>3.8199999999999998E-2</v>
      </c>
      <c r="X60" t="s">
        <v>412</v>
      </c>
      <c r="Y60" t="s">
        <v>339</v>
      </c>
      <c r="Z60" s="125">
        <v>9000000600</v>
      </c>
      <c r="AA60" s="132">
        <v>1</v>
      </c>
      <c r="AB60" s="127">
        <v>97.3</v>
      </c>
      <c r="AD60" s="124">
        <v>8757.0005999999994</v>
      </c>
      <c r="AH60" s="129">
        <v>2.0000001333333333E-2</v>
      </c>
      <c r="AI60" s="129">
        <v>1.1495906991224445E-2</v>
      </c>
      <c r="AJ60" s="129">
        <v>7.7573955186350531E-4</v>
      </c>
    </row>
    <row r="61" spans="1:36" x14ac:dyDescent="0.2">
      <c r="A61" t="s">
        <v>1204</v>
      </c>
      <c r="B61" t="s">
        <v>1204</v>
      </c>
      <c r="C61" t="s">
        <v>1526</v>
      </c>
      <c r="D61" t="s">
        <v>1527</v>
      </c>
      <c r="E61" t="s">
        <v>80</v>
      </c>
      <c r="F61" t="s">
        <v>1536</v>
      </c>
      <c r="G61" t="s">
        <v>1537</v>
      </c>
      <c r="H61" t="s">
        <v>312</v>
      </c>
      <c r="I61" t="s">
        <v>754</v>
      </c>
      <c r="J61" t="s">
        <v>204</v>
      </c>
      <c r="K61" t="s">
        <v>204</v>
      </c>
      <c r="L61" t="s">
        <v>325</v>
      </c>
      <c r="M61" t="s">
        <v>340</v>
      </c>
      <c r="N61" t="s">
        <v>1276</v>
      </c>
      <c r="O61" t="s">
        <v>339</v>
      </c>
      <c r="P61" t="s">
        <v>1277</v>
      </c>
      <c r="Q61" t="s">
        <v>413</v>
      </c>
      <c r="R61" t="s">
        <v>407</v>
      </c>
      <c r="S61" t="s">
        <v>1208</v>
      </c>
      <c r="T61" s="125">
        <v>4140</v>
      </c>
      <c r="U61" t="s">
        <v>1538</v>
      </c>
      <c r="V61" s="126">
        <v>2.2499999999999999E-2</v>
      </c>
      <c r="W61" s="126">
        <v>3.1E-2</v>
      </c>
      <c r="X61" t="s">
        <v>412</v>
      </c>
      <c r="Y61" t="s">
        <v>339</v>
      </c>
      <c r="Z61" s="125">
        <v>7202860240</v>
      </c>
      <c r="AA61" s="132">
        <v>1</v>
      </c>
      <c r="AB61" s="127">
        <v>111.19</v>
      </c>
      <c r="AC61" s="125">
        <v>718370.6</v>
      </c>
      <c r="AD61" s="124">
        <v>8727.2309000000005</v>
      </c>
      <c r="AH61" s="129">
        <v>6.2736450828538657E-3</v>
      </c>
      <c r="AI61" s="129">
        <v>1.2399880070882155E-2</v>
      </c>
      <c r="AJ61" s="129">
        <v>8.3673932093311003E-4</v>
      </c>
    </row>
    <row r="62" spans="1:36" x14ac:dyDescent="0.2">
      <c r="A62" t="s">
        <v>1204</v>
      </c>
      <c r="B62" t="s">
        <v>1204</v>
      </c>
      <c r="C62" t="s">
        <v>1526</v>
      </c>
      <c r="D62" t="s">
        <v>1527</v>
      </c>
      <c r="E62" t="s">
        <v>80</v>
      </c>
      <c r="F62" t="s">
        <v>1539</v>
      </c>
      <c r="G62" t="s">
        <v>1540</v>
      </c>
      <c r="H62" t="s">
        <v>312</v>
      </c>
      <c r="I62" t="s">
        <v>754</v>
      </c>
      <c r="J62" t="s">
        <v>204</v>
      </c>
      <c r="K62" t="s">
        <v>204</v>
      </c>
      <c r="L62" t="s">
        <v>325</v>
      </c>
      <c r="M62" t="s">
        <v>340</v>
      </c>
      <c r="N62" t="s">
        <v>1276</v>
      </c>
      <c r="O62" t="s">
        <v>339</v>
      </c>
      <c r="P62" t="s">
        <v>1277</v>
      </c>
      <c r="Q62" t="s">
        <v>413</v>
      </c>
      <c r="R62" t="s">
        <v>407</v>
      </c>
      <c r="S62" t="s">
        <v>1208</v>
      </c>
      <c r="T62" s="125">
        <v>5550</v>
      </c>
      <c r="U62" t="s">
        <v>1525</v>
      </c>
      <c r="V62" s="126">
        <v>2.5000000000000001E-3</v>
      </c>
      <c r="W62" s="126">
        <v>3.2399999999999998E-2</v>
      </c>
      <c r="X62" t="s">
        <v>412</v>
      </c>
      <c r="Y62" t="s">
        <v>339</v>
      </c>
      <c r="Z62" s="125">
        <v>8380240010</v>
      </c>
      <c r="AA62" s="132">
        <v>1</v>
      </c>
      <c r="AB62" s="127">
        <v>94.59</v>
      </c>
      <c r="AC62" s="125">
        <v>224134.2</v>
      </c>
      <c r="AD62" s="124">
        <v>8151.0033000000003</v>
      </c>
      <c r="AH62" s="129">
        <v>7.6934391568937235E-3</v>
      </c>
      <c r="AI62" s="129">
        <v>1.0994609472753342E-2</v>
      </c>
      <c r="AJ62" s="129">
        <v>7.4191218072820351E-4</v>
      </c>
    </row>
    <row r="63" spans="1:36" x14ac:dyDescent="0.2">
      <c r="A63" t="s">
        <v>1204</v>
      </c>
      <c r="B63" t="s">
        <v>1204</v>
      </c>
      <c r="C63" t="s">
        <v>1319</v>
      </c>
      <c r="D63" t="s">
        <v>1320</v>
      </c>
      <c r="E63" t="s">
        <v>80</v>
      </c>
      <c r="F63" t="s">
        <v>1541</v>
      </c>
      <c r="G63" t="s">
        <v>1542</v>
      </c>
      <c r="H63" t="s">
        <v>312</v>
      </c>
      <c r="I63" t="s">
        <v>754</v>
      </c>
      <c r="J63" t="s">
        <v>204</v>
      </c>
      <c r="K63" t="s">
        <v>204</v>
      </c>
      <c r="L63" t="s">
        <v>325</v>
      </c>
      <c r="M63" t="s">
        <v>340</v>
      </c>
      <c r="N63" t="s">
        <v>448</v>
      </c>
      <c r="O63" t="s">
        <v>339</v>
      </c>
      <c r="P63" t="s">
        <v>1342</v>
      </c>
      <c r="Q63" t="s">
        <v>415</v>
      </c>
      <c r="R63" t="s">
        <v>407</v>
      </c>
      <c r="S63" t="s">
        <v>1208</v>
      </c>
      <c r="T63" s="125">
        <v>3170</v>
      </c>
      <c r="U63" t="s">
        <v>1543</v>
      </c>
      <c r="V63" s="126">
        <v>1.2200000000000001E-2</v>
      </c>
      <c r="W63" s="126">
        <v>2.41E-2</v>
      </c>
      <c r="X63" t="s">
        <v>412</v>
      </c>
      <c r="Y63" t="s">
        <v>339</v>
      </c>
      <c r="Z63" s="125">
        <v>7008359000</v>
      </c>
      <c r="AA63" s="132">
        <v>1</v>
      </c>
      <c r="AB63" s="127">
        <v>111.52</v>
      </c>
      <c r="AD63" s="124">
        <v>7815.7219999999998</v>
      </c>
      <c r="AH63" s="129">
        <v>2.3240254382858273E-3</v>
      </c>
      <c r="AI63" s="129">
        <v>1.0260226869330029E-2</v>
      </c>
      <c r="AJ63" s="129">
        <v>6.9235631426974704E-4</v>
      </c>
    </row>
    <row r="64" spans="1:36" x14ac:dyDescent="0.2">
      <c r="A64" t="s">
        <v>1204</v>
      </c>
      <c r="B64" t="s">
        <v>1204</v>
      </c>
      <c r="C64" t="s">
        <v>1443</v>
      </c>
      <c r="D64" t="s">
        <v>1444</v>
      </c>
      <c r="E64" t="s">
        <v>80</v>
      </c>
      <c r="F64" t="s">
        <v>1544</v>
      </c>
      <c r="G64" t="s">
        <v>1545</v>
      </c>
      <c r="H64" t="s">
        <v>312</v>
      </c>
      <c r="I64" t="s">
        <v>754</v>
      </c>
      <c r="J64" t="s">
        <v>204</v>
      </c>
      <c r="K64" t="s">
        <v>204</v>
      </c>
      <c r="L64" t="s">
        <v>325</v>
      </c>
      <c r="M64" t="s">
        <v>340</v>
      </c>
      <c r="N64" t="s">
        <v>1276</v>
      </c>
      <c r="O64" t="s">
        <v>339</v>
      </c>
      <c r="P64" t="s">
        <v>1312</v>
      </c>
      <c r="Q64" t="s">
        <v>413</v>
      </c>
      <c r="R64" t="s">
        <v>407</v>
      </c>
      <c r="S64" t="s">
        <v>1208</v>
      </c>
      <c r="T64" s="125">
        <v>7160</v>
      </c>
      <c r="U64" t="s">
        <v>1546</v>
      </c>
      <c r="V64" s="126">
        <v>8.9999999999999993E-3</v>
      </c>
      <c r="W64" s="126">
        <v>3.5299999999999998E-2</v>
      </c>
      <c r="X64" t="s">
        <v>412</v>
      </c>
      <c r="Y64" t="s">
        <v>339</v>
      </c>
      <c r="Z64" s="125">
        <v>6664000000</v>
      </c>
      <c r="AA64" s="132">
        <v>1</v>
      </c>
      <c r="AB64" s="127">
        <v>92.82</v>
      </c>
      <c r="AC64" s="125">
        <v>186347</v>
      </c>
      <c r="AD64" s="124">
        <v>6371.8717999999999</v>
      </c>
      <c r="AH64" s="129">
        <v>3.5007428046707392E-3</v>
      </c>
      <c r="AI64" s="129">
        <v>8.6094175227125948E-3</v>
      </c>
      <c r="AJ64" s="129">
        <v>5.8096031013239128E-4</v>
      </c>
    </row>
    <row r="65" spans="1:36" x14ac:dyDescent="0.2">
      <c r="A65" t="s">
        <v>1204</v>
      </c>
      <c r="B65" t="s">
        <v>1204</v>
      </c>
      <c r="C65" t="s">
        <v>1319</v>
      </c>
      <c r="D65" t="s">
        <v>1320</v>
      </c>
      <c r="E65" t="s">
        <v>80</v>
      </c>
      <c r="F65" t="s">
        <v>1547</v>
      </c>
      <c r="G65" t="s">
        <v>1548</v>
      </c>
      <c r="H65" t="s">
        <v>312</v>
      </c>
      <c r="I65" t="s">
        <v>754</v>
      </c>
      <c r="J65" t="s">
        <v>204</v>
      </c>
      <c r="K65" t="s">
        <v>204</v>
      </c>
      <c r="L65" t="s">
        <v>325</v>
      </c>
      <c r="M65" t="s">
        <v>340</v>
      </c>
      <c r="N65" t="s">
        <v>448</v>
      </c>
      <c r="O65" t="s">
        <v>339</v>
      </c>
      <c r="P65" t="s">
        <v>1207</v>
      </c>
      <c r="Q65" t="s">
        <v>413</v>
      </c>
      <c r="R65" t="s">
        <v>407</v>
      </c>
      <c r="S65" t="s">
        <v>1208</v>
      </c>
      <c r="T65" s="125">
        <v>3680</v>
      </c>
      <c r="U65" t="s">
        <v>1323</v>
      </c>
      <c r="V65" s="126">
        <v>1E-3</v>
      </c>
      <c r="W65" s="126">
        <v>2.53E-2</v>
      </c>
      <c r="X65" t="s">
        <v>412</v>
      </c>
      <c r="Y65" t="s">
        <v>339</v>
      </c>
      <c r="Z65" s="125">
        <v>6171011540</v>
      </c>
      <c r="AA65" s="132">
        <v>1</v>
      </c>
      <c r="AB65" s="127">
        <v>100.22</v>
      </c>
      <c r="AD65" s="124">
        <v>6184.5878000000002</v>
      </c>
      <c r="AH65" s="129">
        <v>5.2762132574549567E-3</v>
      </c>
      <c r="AI65" s="129">
        <v>8.1189266860952E-3</v>
      </c>
      <c r="AJ65" s="129">
        <v>5.4786216989159188E-4</v>
      </c>
    </row>
    <row r="66" spans="1:36" x14ac:dyDescent="0.2">
      <c r="A66" t="s">
        <v>1204</v>
      </c>
      <c r="B66" t="s">
        <v>1204</v>
      </c>
      <c r="C66" t="s">
        <v>1314</v>
      </c>
      <c r="D66" t="s">
        <v>1315</v>
      </c>
      <c r="E66" t="s">
        <v>80</v>
      </c>
      <c r="F66" t="s">
        <v>1549</v>
      </c>
      <c r="G66" t="s">
        <v>1550</v>
      </c>
      <c r="H66" t="s">
        <v>312</v>
      </c>
      <c r="I66" t="s">
        <v>754</v>
      </c>
      <c r="J66" t="s">
        <v>204</v>
      </c>
      <c r="K66" t="s">
        <v>204</v>
      </c>
      <c r="L66" t="s">
        <v>325</v>
      </c>
      <c r="M66" t="s">
        <v>340</v>
      </c>
      <c r="N66" t="s">
        <v>1276</v>
      </c>
      <c r="O66" t="s">
        <v>339</v>
      </c>
      <c r="P66" t="s">
        <v>1277</v>
      </c>
      <c r="Q66" t="s">
        <v>413</v>
      </c>
      <c r="R66" t="s">
        <v>407</v>
      </c>
      <c r="S66" t="s">
        <v>1208</v>
      </c>
      <c r="T66" s="125">
        <v>4210</v>
      </c>
      <c r="U66" t="s">
        <v>1551</v>
      </c>
      <c r="V66" s="126">
        <v>5.0000000000000001E-3</v>
      </c>
      <c r="W66" s="126">
        <v>3.3500000000000002E-2</v>
      </c>
      <c r="X66" t="s">
        <v>412</v>
      </c>
      <c r="Y66" t="s">
        <v>339</v>
      </c>
      <c r="Z66" s="125">
        <v>5541812500</v>
      </c>
      <c r="AA66" s="132">
        <v>1</v>
      </c>
      <c r="AB66" s="127">
        <v>100.45</v>
      </c>
      <c r="AD66" s="124">
        <v>5566.7506999999996</v>
      </c>
      <c r="AH66" s="129">
        <v>3.3749583140179149E-3</v>
      </c>
      <c r="AI66" s="129">
        <v>7.3078501223323902E-3</v>
      </c>
      <c r="AJ66" s="129">
        <v>4.9313102335564213E-4</v>
      </c>
    </row>
    <row r="67" spans="1:36" x14ac:dyDescent="0.2">
      <c r="A67" t="s">
        <v>1204</v>
      </c>
      <c r="B67" t="s">
        <v>1204</v>
      </c>
      <c r="C67" t="s">
        <v>1552</v>
      </c>
      <c r="D67" t="s">
        <v>1553</v>
      </c>
      <c r="E67" t="s">
        <v>80</v>
      </c>
      <c r="F67" t="s">
        <v>1554</v>
      </c>
      <c r="G67" t="s">
        <v>1555</v>
      </c>
      <c r="H67" t="s">
        <v>312</v>
      </c>
      <c r="I67" t="s">
        <v>754</v>
      </c>
      <c r="J67" t="s">
        <v>204</v>
      </c>
      <c r="K67" t="s">
        <v>204</v>
      </c>
      <c r="L67" t="s">
        <v>325</v>
      </c>
      <c r="M67" t="s">
        <v>340</v>
      </c>
      <c r="N67" t="s">
        <v>451</v>
      </c>
      <c r="O67" t="s">
        <v>339</v>
      </c>
      <c r="P67" t="s">
        <v>1283</v>
      </c>
      <c r="Q67" t="s">
        <v>413</v>
      </c>
      <c r="R67" t="s">
        <v>407</v>
      </c>
      <c r="S67" t="s">
        <v>1208</v>
      </c>
      <c r="T67" s="125">
        <v>4060</v>
      </c>
      <c r="U67" t="s">
        <v>1556</v>
      </c>
      <c r="V67" s="126">
        <v>7.4999999999999997E-3</v>
      </c>
      <c r="W67" s="126">
        <v>3.7100000000000001E-2</v>
      </c>
      <c r="X67" t="s">
        <v>412</v>
      </c>
      <c r="Y67" t="s">
        <v>339</v>
      </c>
      <c r="Z67" s="125">
        <v>5377485680</v>
      </c>
      <c r="AA67" s="132">
        <v>1</v>
      </c>
      <c r="AB67" s="127">
        <v>99.42</v>
      </c>
      <c r="AD67" s="124">
        <v>5346.2963</v>
      </c>
      <c r="AH67" s="129">
        <v>1.02320326360374E-2</v>
      </c>
      <c r="AI67" s="129">
        <v>7.0184447288174669E-3</v>
      </c>
      <c r="AJ67" s="129">
        <v>4.7360205444144289E-4</v>
      </c>
    </row>
    <row r="68" spans="1:36" x14ac:dyDescent="0.2">
      <c r="A68" t="s">
        <v>1204</v>
      </c>
      <c r="B68" t="s">
        <v>1204</v>
      </c>
      <c r="C68" t="s">
        <v>1557</v>
      </c>
      <c r="D68" t="s">
        <v>1558</v>
      </c>
      <c r="E68" t="s">
        <v>80</v>
      </c>
      <c r="F68" t="s">
        <v>1559</v>
      </c>
      <c r="G68" t="s">
        <v>1560</v>
      </c>
      <c r="H68" t="s">
        <v>312</v>
      </c>
      <c r="I68" t="s">
        <v>754</v>
      </c>
      <c r="J68" t="s">
        <v>204</v>
      </c>
      <c r="K68" t="s">
        <v>204</v>
      </c>
      <c r="L68" t="s">
        <v>325</v>
      </c>
      <c r="M68" t="s">
        <v>340</v>
      </c>
      <c r="N68" t="s">
        <v>484</v>
      </c>
      <c r="O68" t="s">
        <v>339</v>
      </c>
      <c r="P68" t="s">
        <v>1277</v>
      </c>
      <c r="Q68" t="s">
        <v>413</v>
      </c>
      <c r="R68" t="s">
        <v>407</v>
      </c>
      <c r="S68" t="s">
        <v>1208</v>
      </c>
      <c r="T68" s="125">
        <v>3770</v>
      </c>
      <c r="U68" t="s">
        <v>1561</v>
      </c>
      <c r="V68" s="126">
        <v>1.7000000000000001E-2</v>
      </c>
      <c r="W68" s="126">
        <v>2.5999999999999999E-2</v>
      </c>
      <c r="X68" t="s">
        <v>412</v>
      </c>
      <c r="Y68" t="s">
        <v>339</v>
      </c>
      <c r="Z68" s="125">
        <v>4900498000</v>
      </c>
      <c r="AA68" s="132">
        <v>1</v>
      </c>
      <c r="AB68" s="127">
        <v>108.38</v>
      </c>
      <c r="AD68" s="124">
        <v>5311.1597000000002</v>
      </c>
      <c r="AH68" s="129">
        <v>3.860970344458101E-3</v>
      </c>
      <c r="AI68" s="129">
        <v>6.9723186283849829E-3</v>
      </c>
      <c r="AJ68" s="129">
        <v>4.7048948224457136E-4</v>
      </c>
    </row>
    <row r="69" spans="1:36" x14ac:dyDescent="0.2">
      <c r="A69" t="s">
        <v>1204</v>
      </c>
      <c r="B69" t="s">
        <v>1204</v>
      </c>
      <c r="C69" t="s">
        <v>1377</v>
      </c>
      <c r="D69" t="s">
        <v>1378</v>
      </c>
      <c r="E69" t="s">
        <v>80</v>
      </c>
      <c r="F69" t="s">
        <v>1562</v>
      </c>
      <c r="G69" t="s">
        <v>1563</v>
      </c>
      <c r="H69" t="s">
        <v>312</v>
      </c>
      <c r="I69" t="s">
        <v>754</v>
      </c>
      <c r="J69" t="s">
        <v>204</v>
      </c>
      <c r="K69" t="s">
        <v>204</v>
      </c>
      <c r="L69" t="s">
        <v>325</v>
      </c>
      <c r="M69" t="s">
        <v>340</v>
      </c>
      <c r="N69" t="s">
        <v>1300</v>
      </c>
      <c r="O69" t="s">
        <v>339</v>
      </c>
      <c r="P69" t="s">
        <v>1381</v>
      </c>
      <c r="Q69" t="s">
        <v>415</v>
      </c>
      <c r="R69" t="s">
        <v>407</v>
      </c>
      <c r="S69" t="s">
        <v>1208</v>
      </c>
      <c r="T69" s="125">
        <v>1710</v>
      </c>
      <c r="U69" t="s">
        <v>1564</v>
      </c>
      <c r="V69" s="126">
        <v>2.5700000000000001E-2</v>
      </c>
      <c r="W69" s="126">
        <v>3.3500000000000002E-2</v>
      </c>
      <c r="X69" t="s">
        <v>412</v>
      </c>
      <c r="Y69" t="s">
        <v>339</v>
      </c>
      <c r="Z69" s="125">
        <v>4656963250</v>
      </c>
      <c r="AA69" s="132">
        <v>1</v>
      </c>
      <c r="AB69" s="127">
        <v>113.71</v>
      </c>
      <c r="AD69" s="124">
        <v>5295.4328999999998</v>
      </c>
      <c r="AH69" s="129">
        <v>3.9157050187088429E-3</v>
      </c>
      <c r="AI69" s="129">
        <v>6.9516729669234188E-3</v>
      </c>
      <c r="AJ69" s="129">
        <v>4.6909632064519991E-4</v>
      </c>
    </row>
    <row r="70" spans="1:36" x14ac:dyDescent="0.2">
      <c r="A70" t="s">
        <v>1204</v>
      </c>
      <c r="B70" t="s">
        <v>1204</v>
      </c>
      <c r="C70" t="s">
        <v>1279</v>
      </c>
      <c r="D70" t="s">
        <v>1280</v>
      </c>
      <c r="E70" t="s">
        <v>80</v>
      </c>
      <c r="F70" t="s">
        <v>1565</v>
      </c>
      <c r="G70" t="s">
        <v>1566</v>
      </c>
      <c r="H70" t="s">
        <v>312</v>
      </c>
      <c r="I70" t="s">
        <v>754</v>
      </c>
      <c r="J70" t="s">
        <v>204</v>
      </c>
      <c r="K70" t="s">
        <v>204</v>
      </c>
      <c r="L70" t="s">
        <v>325</v>
      </c>
      <c r="M70" t="s">
        <v>340</v>
      </c>
      <c r="N70" t="s">
        <v>1276</v>
      </c>
      <c r="O70" t="s">
        <v>339</v>
      </c>
      <c r="P70" t="s">
        <v>1289</v>
      </c>
      <c r="Q70" t="s">
        <v>413</v>
      </c>
      <c r="R70" t="s">
        <v>407</v>
      </c>
      <c r="S70" t="s">
        <v>1208</v>
      </c>
      <c r="T70" s="125">
        <v>4290</v>
      </c>
      <c r="U70" t="s">
        <v>1410</v>
      </c>
      <c r="V70" s="126">
        <v>3.6200000000000003E-2</v>
      </c>
      <c r="W70" s="126">
        <v>4.1599999999999998E-2</v>
      </c>
      <c r="X70" t="s">
        <v>412</v>
      </c>
      <c r="Y70" t="s">
        <v>339</v>
      </c>
      <c r="Z70" s="125">
        <v>4952738300</v>
      </c>
      <c r="AA70" s="132">
        <v>1</v>
      </c>
      <c r="AB70" s="127">
        <v>102.52</v>
      </c>
      <c r="AD70" s="124">
        <v>5077.5473000000002</v>
      </c>
      <c r="AH70" s="129">
        <v>3.928605774951098E-3</v>
      </c>
      <c r="AI70" s="129">
        <v>6.6656397935664236E-3</v>
      </c>
      <c r="AJ70" s="129">
        <v>4.4979490790000002E-4</v>
      </c>
    </row>
    <row r="71" spans="1:36" x14ac:dyDescent="0.2">
      <c r="A71" t="s">
        <v>1204</v>
      </c>
      <c r="B71" t="s">
        <v>1204</v>
      </c>
      <c r="C71" t="s">
        <v>1272</v>
      </c>
      <c r="D71" t="s">
        <v>1273</v>
      </c>
      <c r="E71" t="s">
        <v>80</v>
      </c>
      <c r="F71" t="s">
        <v>1567</v>
      </c>
      <c r="G71" t="s">
        <v>1568</v>
      </c>
      <c r="H71" t="s">
        <v>312</v>
      </c>
      <c r="I71" t="s">
        <v>754</v>
      </c>
      <c r="J71" t="s">
        <v>204</v>
      </c>
      <c r="K71" t="s">
        <v>204</v>
      </c>
      <c r="L71" t="s">
        <v>325</v>
      </c>
      <c r="M71" t="s">
        <v>340</v>
      </c>
      <c r="N71" t="s">
        <v>1276</v>
      </c>
      <c r="O71" t="s">
        <v>339</v>
      </c>
      <c r="P71" t="s">
        <v>1277</v>
      </c>
      <c r="Q71" t="s">
        <v>413</v>
      </c>
      <c r="R71" t="s">
        <v>407</v>
      </c>
      <c r="S71" t="s">
        <v>1208</v>
      </c>
      <c r="T71" s="125">
        <v>5810</v>
      </c>
      <c r="U71" t="s">
        <v>1278</v>
      </c>
      <c r="V71" s="126">
        <v>9.1999999999999998E-3</v>
      </c>
      <c r="W71" s="126">
        <v>3.5099999999999999E-2</v>
      </c>
      <c r="X71" t="s">
        <v>412</v>
      </c>
      <c r="Y71" t="s">
        <v>339</v>
      </c>
      <c r="Z71" s="125">
        <v>5000000000</v>
      </c>
      <c r="AA71" s="132">
        <v>1</v>
      </c>
      <c r="AB71" s="127">
        <v>98.59</v>
      </c>
      <c r="AD71" s="124">
        <v>4929.5</v>
      </c>
      <c r="AH71" s="129">
        <v>2.4981114277606129E-3</v>
      </c>
      <c r="AI71" s="129">
        <v>6.4712880821403349E-3</v>
      </c>
      <c r="AJ71" s="129">
        <v>4.3668012629636768E-4</v>
      </c>
    </row>
    <row r="72" spans="1:36" x14ac:dyDescent="0.2">
      <c r="A72" t="s">
        <v>1204</v>
      </c>
      <c r="B72" t="s">
        <v>1204</v>
      </c>
      <c r="C72" t="s">
        <v>1448</v>
      </c>
      <c r="D72" t="s">
        <v>1449</v>
      </c>
      <c r="E72" t="s">
        <v>80</v>
      </c>
      <c r="F72" t="s">
        <v>1569</v>
      </c>
      <c r="G72" t="s">
        <v>1570</v>
      </c>
      <c r="H72" t="s">
        <v>312</v>
      </c>
      <c r="I72" t="s">
        <v>754</v>
      </c>
      <c r="J72" t="s">
        <v>204</v>
      </c>
      <c r="K72" t="s">
        <v>204</v>
      </c>
      <c r="L72" t="s">
        <v>325</v>
      </c>
      <c r="M72" t="s">
        <v>340</v>
      </c>
      <c r="N72" t="s">
        <v>1276</v>
      </c>
      <c r="O72" t="s">
        <v>339</v>
      </c>
      <c r="P72" t="s">
        <v>1328</v>
      </c>
      <c r="Q72" t="s">
        <v>415</v>
      </c>
      <c r="R72" t="s">
        <v>407</v>
      </c>
      <c r="S72" t="s">
        <v>1208</v>
      </c>
      <c r="T72" s="125">
        <v>4450</v>
      </c>
      <c r="U72" t="s">
        <v>1571</v>
      </c>
      <c r="V72" s="126">
        <v>1.3299999999999999E-2</v>
      </c>
      <c r="W72" s="126">
        <v>3.5499999999999997E-2</v>
      </c>
      <c r="X72" t="s">
        <v>412</v>
      </c>
      <c r="Y72" t="s">
        <v>339</v>
      </c>
      <c r="Z72" s="125">
        <v>4750000000</v>
      </c>
      <c r="AA72" s="132">
        <v>1</v>
      </c>
      <c r="AB72" s="127">
        <v>103.22</v>
      </c>
      <c r="AD72" s="124">
        <v>4902.95</v>
      </c>
      <c r="AH72" s="129">
        <v>3.8E-3</v>
      </c>
      <c r="AI72" s="129">
        <v>6.4364341012942399E-3</v>
      </c>
      <c r="AJ72" s="129">
        <v>4.3432819256005194E-4</v>
      </c>
    </row>
    <row r="73" spans="1:36" x14ac:dyDescent="0.2">
      <c r="A73" t="s">
        <v>1204</v>
      </c>
      <c r="B73" t="s">
        <v>1204</v>
      </c>
      <c r="C73" t="s">
        <v>1572</v>
      </c>
      <c r="D73" t="s">
        <v>1573</v>
      </c>
      <c r="E73" t="s">
        <v>80</v>
      </c>
      <c r="F73" t="s">
        <v>1574</v>
      </c>
      <c r="G73" t="s">
        <v>1575</v>
      </c>
      <c r="H73" t="s">
        <v>312</v>
      </c>
      <c r="I73" t="s">
        <v>754</v>
      </c>
      <c r="J73" t="s">
        <v>204</v>
      </c>
      <c r="K73" t="s">
        <v>204</v>
      </c>
      <c r="L73" t="s">
        <v>325</v>
      </c>
      <c r="M73" t="s">
        <v>340</v>
      </c>
      <c r="N73" t="s">
        <v>1276</v>
      </c>
      <c r="O73" t="s">
        <v>339</v>
      </c>
      <c r="P73" t="s">
        <v>1306</v>
      </c>
      <c r="Q73" t="s">
        <v>413</v>
      </c>
      <c r="R73" t="s">
        <v>407</v>
      </c>
      <c r="S73" t="s">
        <v>1208</v>
      </c>
      <c r="T73" s="125">
        <v>1960</v>
      </c>
      <c r="U73" t="s">
        <v>1576</v>
      </c>
      <c r="V73" s="126">
        <v>1.4E-2</v>
      </c>
      <c r="W73" s="126">
        <v>2.63E-2</v>
      </c>
      <c r="X73" t="s">
        <v>412</v>
      </c>
      <c r="Y73" t="s">
        <v>339</v>
      </c>
      <c r="Z73" s="125">
        <v>4303178400</v>
      </c>
      <c r="AA73" s="132">
        <v>1</v>
      </c>
      <c r="AB73" s="127">
        <v>111.84</v>
      </c>
      <c r="AD73" s="124">
        <v>4812.6746999999996</v>
      </c>
      <c r="AH73" s="129">
        <v>5.2248402136959686E-3</v>
      </c>
      <c r="AI73" s="129">
        <v>6.3179236383650618E-3</v>
      </c>
      <c r="AJ73" s="129">
        <v>4.263311503541611E-4</v>
      </c>
    </row>
    <row r="74" spans="1:36" x14ac:dyDescent="0.2">
      <c r="A74" t="s">
        <v>1204</v>
      </c>
      <c r="B74" t="s">
        <v>1204</v>
      </c>
      <c r="C74" t="s">
        <v>1511</v>
      </c>
      <c r="D74" t="s">
        <v>1512</v>
      </c>
      <c r="E74" t="s">
        <v>80</v>
      </c>
      <c r="F74" t="s">
        <v>1577</v>
      </c>
      <c r="G74" t="s">
        <v>1578</v>
      </c>
      <c r="H74" t="s">
        <v>312</v>
      </c>
      <c r="I74" t="s">
        <v>754</v>
      </c>
      <c r="J74" t="s">
        <v>204</v>
      </c>
      <c r="K74" t="s">
        <v>204</v>
      </c>
      <c r="L74" t="s">
        <v>325</v>
      </c>
      <c r="M74" t="s">
        <v>340</v>
      </c>
      <c r="N74" t="s">
        <v>1276</v>
      </c>
      <c r="O74" t="s">
        <v>339</v>
      </c>
      <c r="P74" t="s">
        <v>1277</v>
      </c>
      <c r="Q74" t="s">
        <v>413</v>
      </c>
      <c r="R74" t="s">
        <v>407</v>
      </c>
      <c r="S74" t="s">
        <v>1208</v>
      </c>
      <c r="T74" s="125">
        <v>6060</v>
      </c>
      <c r="U74" t="s">
        <v>1579</v>
      </c>
      <c r="V74" s="126">
        <v>3.5000000000000001E-3</v>
      </c>
      <c r="W74" s="126">
        <v>3.6600000000000001E-2</v>
      </c>
      <c r="X74" t="s">
        <v>412</v>
      </c>
      <c r="Y74" t="s">
        <v>339</v>
      </c>
      <c r="Z74" s="125">
        <v>4750000000</v>
      </c>
      <c r="AA74" s="132">
        <v>1</v>
      </c>
      <c r="AB74" s="127">
        <v>90.9</v>
      </c>
      <c r="AD74" s="124">
        <v>4317.75</v>
      </c>
      <c r="AH74" s="129">
        <v>4.6266263809262211E-3</v>
      </c>
      <c r="AI74" s="129">
        <v>5.6682024782759776E-3</v>
      </c>
      <c r="AJ74" s="129">
        <v>3.8248820677880952E-4</v>
      </c>
    </row>
    <row r="75" spans="1:36" x14ac:dyDescent="0.2">
      <c r="A75" t="s">
        <v>1204</v>
      </c>
      <c r="B75" t="s">
        <v>1204</v>
      </c>
      <c r="C75" t="s">
        <v>1572</v>
      </c>
      <c r="D75" t="s">
        <v>1573</v>
      </c>
      <c r="E75" t="s">
        <v>80</v>
      </c>
      <c r="F75" t="s">
        <v>1580</v>
      </c>
      <c r="G75" t="s">
        <v>1581</v>
      </c>
      <c r="H75" t="s">
        <v>312</v>
      </c>
      <c r="I75" t="s">
        <v>754</v>
      </c>
      <c r="J75" t="s">
        <v>204</v>
      </c>
      <c r="K75" t="s">
        <v>204</v>
      </c>
      <c r="L75" t="s">
        <v>325</v>
      </c>
      <c r="M75" t="s">
        <v>340</v>
      </c>
      <c r="N75" t="s">
        <v>1276</v>
      </c>
      <c r="O75" t="s">
        <v>339</v>
      </c>
      <c r="P75" t="s">
        <v>1283</v>
      </c>
      <c r="Q75" t="s">
        <v>413</v>
      </c>
      <c r="R75" t="s">
        <v>407</v>
      </c>
      <c r="S75" t="s">
        <v>1208</v>
      </c>
      <c r="T75" s="125">
        <v>1480</v>
      </c>
      <c r="U75" t="s">
        <v>1301</v>
      </c>
      <c r="V75" s="126">
        <v>2.0500000000000001E-2</v>
      </c>
      <c r="W75" s="126">
        <v>2.9000000000000001E-2</v>
      </c>
      <c r="X75" t="s">
        <v>412</v>
      </c>
      <c r="Y75" t="s">
        <v>339</v>
      </c>
      <c r="Z75" s="125">
        <v>3133200550</v>
      </c>
      <c r="AA75" s="132">
        <v>1</v>
      </c>
      <c r="AB75" s="127">
        <v>113.64</v>
      </c>
      <c r="AD75" s="124">
        <v>3560.5691000000002</v>
      </c>
      <c r="AH75" s="129">
        <v>6.6854111134506296E-3</v>
      </c>
      <c r="AI75" s="129">
        <v>4.6741999016032066E-3</v>
      </c>
      <c r="AJ75" s="129">
        <v>3.1541328054915884E-4</v>
      </c>
    </row>
    <row r="76" spans="1:36" x14ac:dyDescent="0.2">
      <c r="A76" t="s">
        <v>1204</v>
      </c>
      <c r="B76" t="s">
        <v>1204</v>
      </c>
      <c r="C76" t="s">
        <v>1582</v>
      </c>
      <c r="D76" t="s">
        <v>1583</v>
      </c>
      <c r="E76" t="s">
        <v>80</v>
      </c>
      <c r="F76" t="s">
        <v>1584</v>
      </c>
      <c r="G76" t="s">
        <v>1585</v>
      </c>
      <c r="H76" t="s">
        <v>312</v>
      </c>
      <c r="I76" t="s">
        <v>754</v>
      </c>
      <c r="J76" t="s">
        <v>204</v>
      </c>
      <c r="K76" t="s">
        <v>204</v>
      </c>
      <c r="L76" t="s">
        <v>325</v>
      </c>
      <c r="M76" t="s">
        <v>340</v>
      </c>
      <c r="N76" t="s">
        <v>451</v>
      </c>
      <c r="O76" t="s">
        <v>339</v>
      </c>
      <c r="P76" t="s">
        <v>1283</v>
      </c>
      <c r="Q76" t="s">
        <v>413</v>
      </c>
      <c r="R76" t="s">
        <v>407</v>
      </c>
      <c r="S76" t="s">
        <v>1208</v>
      </c>
      <c r="T76" s="125">
        <v>3100</v>
      </c>
      <c r="U76" t="s">
        <v>1410</v>
      </c>
      <c r="V76" s="126">
        <v>1E-3</v>
      </c>
      <c r="W76" s="126">
        <v>3.4099999999999998E-2</v>
      </c>
      <c r="X76" t="s">
        <v>412</v>
      </c>
      <c r="Y76" t="s">
        <v>339</v>
      </c>
      <c r="Z76" s="125">
        <v>3418271100</v>
      </c>
      <c r="AA76" s="132">
        <v>1</v>
      </c>
      <c r="AB76" s="127">
        <v>99.86</v>
      </c>
      <c r="AD76" s="124">
        <v>3413.4854999999998</v>
      </c>
      <c r="AH76" s="129">
        <v>4.8852892710806095E-3</v>
      </c>
      <c r="AI76" s="129">
        <v>4.4811133313949481E-3</v>
      </c>
      <c r="AJ76" s="129">
        <v>3.0238387020697742E-4</v>
      </c>
    </row>
    <row r="77" spans="1:36" x14ac:dyDescent="0.2">
      <c r="A77" t="s">
        <v>1204</v>
      </c>
      <c r="B77" t="s">
        <v>1204</v>
      </c>
      <c r="C77" t="s">
        <v>1586</v>
      </c>
      <c r="D77" t="s">
        <v>1587</v>
      </c>
      <c r="E77" t="s">
        <v>80</v>
      </c>
      <c r="F77" t="s">
        <v>1588</v>
      </c>
      <c r="G77" t="s">
        <v>1589</v>
      </c>
      <c r="H77" t="s">
        <v>312</v>
      </c>
      <c r="I77" t="s">
        <v>754</v>
      </c>
      <c r="J77" t="s">
        <v>204</v>
      </c>
      <c r="K77" t="s">
        <v>204</v>
      </c>
      <c r="L77" t="s">
        <v>325</v>
      </c>
      <c r="M77" t="s">
        <v>340</v>
      </c>
      <c r="N77" t="s">
        <v>1276</v>
      </c>
      <c r="O77" t="s">
        <v>339</v>
      </c>
      <c r="P77" t="s">
        <v>1328</v>
      </c>
      <c r="Q77" t="s">
        <v>415</v>
      </c>
      <c r="R77" t="s">
        <v>407</v>
      </c>
      <c r="S77" t="s">
        <v>1208</v>
      </c>
      <c r="T77" s="125">
        <v>3160</v>
      </c>
      <c r="U77" t="s">
        <v>1590</v>
      </c>
      <c r="V77" s="126">
        <v>1.9599999999999999E-2</v>
      </c>
      <c r="W77" s="126">
        <v>2.9899999999999999E-2</v>
      </c>
      <c r="X77" t="s">
        <v>412</v>
      </c>
      <c r="Y77" t="s">
        <v>339</v>
      </c>
      <c r="Z77" s="125">
        <v>3000000000</v>
      </c>
      <c r="AA77" s="132">
        <v>1</v>
      </c>
      <c r="AB77" s="127">
        <v>111.11</v>
      </c>
      <c r="AD77" s="124">
        <v>3333.3</v>
      </c>
      <c r="AH77" s="129">
        <v>3.0416352630921683E-3</v>
      </c>
      <c r="AI77" s="129">
        <v>4.3758483749261343E-3</v>
      </c>
      <c r="AJ77" s="129">
        <v>2.9528062987801653E-4</v>
      </c>
    </row>
    <row r="78" spans="1:36" x14ac:dyDescent="0.2">
      <c r="A78" t="s">
        <v>1204</v>
      </c>
      <c r="B78" t="s">
        <v>1204</v>
      </c>
      <c r="C78" t="s">
        <v>1591</v>
      </c>
      <c r="D78" t="s">
        <v>1592</v>
      </c>
      <c r="E78" t="s">
        <v>80</v>
      </c>
      <c r="F78" t="s">
        <v>1593</v>
      </c>
      <c r="G78" t="s">
        <v>1594</v>
      </c>
      <c r="H78" t="s">
        <v>312</v>
      </c>
      <c r="I78" t="s">
        <v>754</v>
      </c>
      <c r="J78" t="s">
        <v>204</v>
      </c>
      <c r="K78" t="s">
        <v>204</v>
      </c>
      <c r="L78" t="s">
        <v>325</v>
      </c>
      <c r="M78" t="s">
        <v>340</v>
      </c>
      <c r="N78" t="s">
        <v>1427</v>
      </c>
      <c r="O78" t="s">
        <v>339</v>
      </c>
      <c r="P78" t="s">
        <v>1283</v>
      </c>
      <c r="Q78" t="s">
        <v>413</v>
      </c>
      <c r="R78" t="s">
        <v>407</v>
      </c>
      <c r="S78" t="s">
        <v>1208</v>
      </c>
      <c r="T78" s="125">
        <v>2620</v>
      </c>
      <c r="U78" t="s">
        <v>1410</v>
      </c>
      <c r="V78" s="126">
        <v>0.01</v>
      </c>
      <c r="W78" s="126">
        <v>2.8899999999999999E-2</v>
      </c>
      <c r="X78" t="s">
        <v>412</v>
      </c>
      <c r="Y78" t="s">
        <v>339</v>
      </c>
      <c r="Z78" s="125">
        <v>1881851560</v>
      </c>
      <c r="AA78" s="132">
        <v>1</v>
      </c>
      <c r="AB78" s="127">
        <v>105.07</v>
      </c>
      <c r="AD78" s="124">
        <v>1977.2614000000001</v>
      </c>
      <c r="AH78" s="129">
        <v>4.0768897939730065E-3</v>
      </c>
      <c r="AI78" s="129">
        <v>2.5956848268009467E-3</v>
      </c>
      <c r="AJ78" s="129">
        <v>1.7515585206617947E-4</v>
      </c>
    </row>
    <row r="79" spans="1:36" x14ac:dyDescent="0.2">
      <c r="A79" t="s">
        <v>1204</v>
      </c>
      <c r="B79" t="s">
        <v>1204</v>
      </c>
      <c r="C79" t="s">
        <v>1492</v>
      </c>
      <c r="D79" t="s">
        <v>1493</v>
      </c>
      <c r="E79" t="s">
        <v>80</v>
      </c>
      <c r="F79" t="s">
        <v>1595</v>
      </c>
      <c r="G79" t="s">
        <v>1596</v>
      </c>
      <c r="H79" t="s">
        <v>312</v>
      </c>
      <c r="I79" t="s">
        <v>754</v>
      </c>
      <c r="J79" t="s">
        <v>204</v>
      </c>
      <c r="K79" t="s">
        <v>204</v>
      </c>
      <c r="L79" t="s">
        <v>325</v>
      </c>
      <c r="M79" t="s">
        <v>340</v>
      </c>
      <c r="N79" t="s">
        <v>443</v>
      </c>
      <c r="O79" t="s">
        <v>339</v>
      </c>
      <c r="P79" t="s">
        <v>1405</v>
      </c>
      <c r="Q79" t="s">
        <v>415</v>
      </c>
      <c r="R79" t="s">
        <v>407</v>
      </c>
      <c r="S79" t="s">
        <v>1208</v>
      </c>
      <c r="T79" s="125">
        <v>1880</v>
      </c>
      <c r="U79" t="s">
        <v>1576</v>
      </c>
      <c r="V79" s="126">
        <v>3.5400000000000001E-2</v>
      </c>
      <c r="W79" s="126">
        <v>3.4500000000000003E-2</v>
      </c>
      <c r="X79" t="s">
        <v>412</v>
      </c>
      <c r="Y79" t="s">
        <v>339</v>
      </c>
      <c r="Z79" s="125">
        <v>444947000</v>
      </c>
      <c r="AA79" s="132">
        <v>1</v>
      </c>
      <c r="AB79" s="127">
        <v>106.57</v>
      </c>
      <c r="AD79" s="124">
        <v>474.18</v>
      </c>
      <c r="AH79" s="129">
        <v>3.9833752607407272E-4</v>
      </c>
      <c r="AI79" s="129">
        <v>6.2248818310687919E-4</v>
      </c>
      <c r="AJ79" s="129">
        <v>4.2005272361047956E-5</v>
      </c>
    </row>
    <row r="80" spans="1:36" x14ac:dyDescent="0.2">
      <c r="A80" s="195" t="s">
        <v>2681</v>
      </c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80:Z80"/>
  </mergeCell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5"/>
  <sheetViews>
    <sheetView rightToLeft="1" zoomScaleNormal="100" workbookViewId="0">
      <selection activeCell="E14" sqref="E14"/>
    </sheetView>
  </sheetViews>
  <sheetFormatPr defaultColWidth="9" defaultRowHeight="14.25" x14ac:dyDescent="0.2"/>
  <cols>
    <col min="1" max="1" width="12.25" style="4" customWidth="1"/>
    <col min="2" max="2" width="11.625" style="4" customWidth="1"/>
    <col min="3" max="3" width="43.875" style="4" bestFit="1" customWidth="1"/>
    <col min="4" max="4" width="11.625" style="4" customWidth="1"/>
    <col min="5" max="5" width="18.125" style="4" customWidth="1"/>
    <col min="6" max="6" width="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5" width="20.25" style="4" customWidth="1"/>
    <col min="26" max="26" width="11.625" style="4" customWidth="1"/>
    <col min="27" max="16384" width="9" style="4"/>
  </cols>
  <sheetData>
    <row r="1" spans="1:25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67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89</v>
      </c>
      <c r="M1" s="169" t="s">
        <v>70</v>
      </c>
      <c r="N1" s="169" t="s">
        <v>83</v>
      </c>
      <c r="O1" s="169" t="s">
        <v>56</v>
      </c>
      <c r="P1" s="169" t="s">
        <v>59</v>
      </c>
      <c r="Q1" s="169" t="s">
        <v>76</v>
      </c>
      <c r="R1" s="169" t="s">
        <v>61</v>
      </c>
      <c r="S1" s="169" t="s">
        <v>77</v>
      </c>
      <c r="T1" s="169" t="s">
        <v>75</v>
      </c>
      <c r="U1" s="169" t="s">
        <v>63</v>
      </c>
      <c r="V1" s="169" t="s">
        <v>79</v>
      </c>
      <c r="W1" s="169" t="s">
        <v>64</v>
      </c>
      <c r="X1" s="169" t="s">
        <v>65</v>
      </c>
    </row>
    <row r="2" spans="1:25" x14ac:dyDescent="0.2">
      <c r="A2" t="s">
        <v>1204</v>
      </c>
      <c r="B2" t="s">
        <v>1204</v>
      </c>
      <c r="C2" t="s">
        <v>1600</v>
      </c>
      <c r="D2" t="s">
        <v>1601</v>
      </c>
      <c r="E2" t="s">
        <v>80</v>
      </c>
      <c r="F2" t="s">
        <v>1602</v>
      </c>
      <c r="G2" t="s">
        <v>1603</v>
      </c>
      <c r="H2" t="s">
        <v>312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458</v>
      </c>
      <c r="O2" t="s">
        <v>339</v>
      </c>
      <c r="P2" t="s">
        <v>1208</v>
      </c>
      <c r="Q2" s="125">
        <v>42346000</v>
      </c>
      <c r="R2" s="133">
        <v>1</v>
      </c>
      <c r="S2" s="124">
        <v>87800</v>
      </c>
      <c r="T2" s="103"/>
      <c r="U2" s="124">
        <v>37179.788</v>
      </c>
      <c r="V2" s="129">
        <v>1.4766378018021913E-3</v>
      </c>
      <c r="W2" s="129">
        <v>6.2265725067017198E-2</v>
      </c>
      <c r="X2" s="129">
        <v>3.2935743015543514E-3</v>
      </c>
      <c r="Y2" s="167"/>
    </row>
    <row r="3" spans="1:25" x14ac:dyDescent="0.2">
      <c r="A3" t="s">
        <v>1204</v>
      </c>
      <c r="B3" t="s">
        <v>1204</v>
      </c>
      <c r="C3" t="s">
        <v>1604</v>
      </c>
      <c r="D3" t="s">
        <v>1605</v>
      </c>
      <c r="E3" t="s">
        <v>80</v>
      </c>
      <c r="F3" t="s">
        <v>1606</v>
      </c>
      <c r="G3" t="s">
        <v>1607</v>
      </c>
      <c r="H3" t="s">
        <v>312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467</v>
      </c>
      <c r="O3" t="s">
        <v>339</v>
      </c>
      <c r="P3" t="s">
        <v>1208</v>
      </c>
      <c r="Q3" s="125">
        <v>505822000</v>
      </c>
      <c r="R3" s="133">
        <v>1</v>
      </c>
      <c r="S3" s="124">
        <v>6120</v>
      </c>
      <c r="T3" s="103"/>
      <c r="U3" s="124">
        <v>30956.306400000001</v>
      </c>
      <c r="V3" s="129">
        <v>4.5555086958577528E-4</v>
      </c>
      <c r="W3" s="129">
        <v>5.1843137550777456E-2</v>
      </c>
      <c r="X3" s="129">
        <v>2.7422667184138464E-3</v>
      </c>
    </row>
    <row r="4" spans="1:25" x14ac:dyDescent="0.2">
      <c r="A4" t="s">
        <v>1204</v>
      </c>
      <c r="B4" t="s">
        <v>1204</v>
      </c>
      <c r="C4" t="s">
        <v>1291</v>
      </c>
      <c r="D4" t="s">
        <v>1292</v>
      </c>
      <c r="E4" t="s">
        <v>80</v>
      </c>
      <c r="F4" t="s">
        <v>1608</v>
      </c>
      <c r="G4" t="s">
        <v>1609</v>
      </c>
      <c r="H4" t="s">
        <v>312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1208</v>
      </c>
      <c r="Q4" s="125">
        <v>917761000</v>
      </c>
      <c r="R4" s="133">
        <v>1</v>
      </c>
      <c r="S4" s="124">
        <v>3365</v>
      </c>
      <c r="T4" s="103"/>
      <c r="U4" s="124">
        <v>30882.6577</v>
      </c>
      <c r="V4" s="129">
        <v>6.8651675251425531E-4</v>
      </c>
      <c r="W4" s="129">
        <v>5.1719796534980662E-2</v>
      </c>
      <c r="X4" s="129">
        <v>2.7357425383851275E-3</v>
      </c>
    </row>
    <row r="5" spans="1:25" x14ac:dyDescent="0.2">
      <c r="A5" t="s">
        <v>1204</v>
      </c>
      <c r="B5" t="s">
        <v>1204</v>
      </c>
      <c r="C5" t="s">
        <v>1330</v>
      </c>
      <c r="D5" t="s">
        <v>1331</v>
      </c>
      <c r="E5" t="s">
        <v>80</v>
      </c>
      <c r="F5" t="s">
        <v>1610</v>
      </c>
      <c r="G5" t="s">
        <v>1611</v>
      </c>
      <c r="H5" t="s">
        <v>312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448</v>
      </c>
      <c r="O5" t="s">
        <v>339</v>
      </c>
      <c r="P5" t="s">
        <v>1208</v>
      </c>
      <c r="Q5" s="125">
        <v>957844000</v>
      </c>
      <c r="R5" s="133">
        <v>1</v>
      </c>
      <c r="S5" s="124">
        <v>3110</v>
      </c>
      <c r="T5" s="103"/>
      <c r="U5" s="124">
        <v>29788.948400000001</v>
      </c>
      <c r="V5" s="129">
        <v>6.592653541921844E-4</v>
      </c>
      <c r="W5" s="129">
        <v>4.9888140059054717E-2</v>
      </c>
      <c r="X5" s="129">
        <v>2.6388562226489463E-3</v>
      </c>
    </row>
    <row r="6" spans="1:25" x14ac:dyDescent="0.2">
      <c r="A6" t="s">
        <v>1204</v>
      </c>
      <c r="B6" t="s">
        <v>1204</v>
      </c>
      <c r="C6" t="s">
        <v>1612</v>
      </c>
      <c r="D6" t="s">
        <v>1613</v>
      </c>
      <c r="E6" t="s">
        <v>80</v>
      </c>
      <c r="F6" t="s">
        <v>1614</v>
      </c>
      <c r="G6" t="s">
        <v>1615</v>
      </c>
      <c r="H6" t="s">
        <v>312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448</v>
      </c>
      <c r="O6" t="s">
        <v>339</v>
      </c>
      <c r="P6" t="s">
        <v>1208</v>
      </c>
      <c r="Q6" s="125">
        <v>1190700000</v>
      </c>
      <c r="R6" s="133">
        <v>1</v>
      </c>
      <c r="S6" s="124">
        <v>1909</v>
      </c>
      <c r="T6" s="103"/>
      <c r="U6" s="124">
        <v>22730.463</v>
      </c>
      <c r="V6" s="129">
        <v>9.6256194809047713E-4</v>
      </c>
      <c r="W6" s="129">
        <v>3.8067155192063148E-2</v>
      </c>
      <c r="X6" s="129">
        <v>2.0135797654153389E-3</v>
      </c>
    </row>
    <row r="7" spans="1:25" x14ac:dyDescent="0.2">
      <c r="A7" t="s">
        <v>1204</v>
      </c>
      <c r="B7" t="s">
        <v>1204</v>
      </c>
      <c r="C7" t="s">
        <v>1616</v>
      </c>
      <c r="D7" t="s">
        <v>1617</v>
      </c>
      <c r="E7" t="s">
        <v>80</v>
      </c>
      <c r="F7" t="s">
        <v>1618</v>
      </c>
      <c r="G7" t="s">
        <v>1619</v>
      </c>
      <c r="H7" t="s">
        <v>312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448</v>
      </c>
      <c r="O7" t="s">
        <v>339</v>
      </c>
      <c r="P7" t="s">
        <v>1208</v>
      </c>
      <c r="Q7" s="125">
        <v>171000000</v>
      </c>
      <c r="R7" s="133">
        <v>1</v>
      </c>
      <c r="S7" s="124">
        <v>13080</v>
      </c>
      <c r="T7" s="103"/>
      <c r="U7" s="124">
        <v>22366.799999999999</v>
      </c>
      <c r="V7" s="129">
        <v>6.6647429853921116E-4</v>
      </c>
      <c r="W7" s="129">
        <v>3.7458121585549661E-2</v>
      </c>
      <c r="X7" s="129">
        <v>1.9813646513531995E-3</v>
      </c>
    </row>
    <row r="8" spans="1:25" x14ac:dyDescent="0.2">
      <c r="A8" t="s">
        <v>1204</v>
      </c>
      <c r="B8" t="s">
        <v>1204</v>
      </c>
      <c r="C8" t="s">
        <v>1620</v>
      </c>
      <c r="D8" t="s">
        <v>1621</v>
      </c>
      <c r="E8" t="s">
        <v>80</v>
      </c>
      <c r="F8" t="s">
        <v>1622</v>
      </c>
      <c r="G8" t="s">
        <v>1623</v>
      </c>
      <c r="H8" t="s">
        <v>312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480</v>
      </c>
      <c r="O8" t="s">
        <v>339</v>
      </c>
      <c r="P8" t="s">
        <v>1208</v>
      </c>
      <c r="Q8" s="125">
        <v>32339000</v>
      </c>
      <c r="R8" s="133">
        <v>1</v>
      </c>
      <c r="S8" s="124">
        <v>64400</v>
      </c>
      <c r="T8" s="103"/>
      <c r="U8" s="124">
        <v>20826.315999999999</v>
      </c>
      <c r="V8" s="129">
        <v>5.0946124304195256E-4</v>
      </c>
      <c r="W8" s="129">
        <v>3.4878242614369434E-2</v>
      </c>
      <c r="X8" s="129">
        <v>1.8449007609631937E-3</v>
      </c>
    </row>
    <row r="9" spans="1:25" x14ac:dyDescent="0.2">
      <c r="A9" t="s">
        <v>1204</v>
      </c>
      <c r="B9" t="s">
        <v>1204</v>
      </c>
      <c r="C9" t="s">
        <v>1624</v>
      </c>
      <c r="D9" t="s">
        <v>1625</v>
      </c>
      <c r="E9" t="s">
        <v>80</v>
      </c>
      <c r="F9" t="s">
        <v>1626</v>
      </c>
      <c r="G9" t="s">
        <v>1627</v>
      </c>
      <c r="H9" t="s">
        <v>312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458</v>
      </c>
      <c r="O9" t="s">
        <v>339</v>
      </c>
      <c r="P9" t="s">
        <v>1208</v>
      </c>
      <c r="Q9" s="125">
        <v>136828000</v>
      </c>
      <c r="R9" s="133">
        <v>1</v>
      </c>
      <c r="S9" s="124">
        <v>14820</v>
      </c>
      <c r="T9" s="103"/>
      <c r="U9" s="124">
        <v>20277.909599999999</v>
      </c>
      <c r="V9" s="129">
        <v>1.2544019305915689E-3</v>
      </c>
      <c r="W9" s="129">
        <v>3.3959815588174652E-2</v>
      </c>
      <c r="X9" s="129">
        <v>1.7963201389906334E-3</v>
      </c>
    </row>
    <row r="10" spans="1:25" x14ac:dyDescent="0.2">
      <c r="A10" t="s">
        <v>1204</v>
      </c>
      <c r="B10" t="s">
        <v>1204</v>
      </c>
      <c r="C10" t="s">
        <v>1628</v>
      </c>
      <c r="D10" t="s">
        <v>1629</v>
      </c>
      <c r="E10" t="s">
        <v>80</v>
      </c>
      <c r="F10" t="s">
        <v>1630</v>
      </c>
      <c r="G10" t="s">
        <v>1631</v>
      </c>
      <c r="H10" t="s">
        <v>312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458</v>
      </c>
      <c r="O10" t="s">
        <v>339</v>
      </c>
      <c r="P10" t="s">
        <v>1208</v>
      </c>
      <c r="Q10" s="125">
        <v>29929000</v>
      </c>
      <c r="R10" s="133">
        <v>1</v>
      </c>
      <c r="S10" s="124">
        <v>47200</v>
      </c>
      <c r="T10" s="103"/>
      <c r="U10" s="124">
        <v>14126.487999999999</v>
      </c>
      <c r="V10" s="129">
        <v>6.8258361307158683E-4</v>
      </c>
      <c r="W10" s="129">
        <v>2.365790837673732E-2</v>
      </c>
      <c r="X10" s="129">
        <v>1.2513959963412361E-3</v>
      </c>
    </row>
    <row r="11" spans="1:25" x14ac:dyDescent="0.2">
      <c r="A11" t="s">
        <v>1204</v>
      </c>
      <c r="B11" t="s">
        <v>1204</v>
      </c>
      <c r="C11" t="s">
        <v>1632</v>
      </c>
      <c r="D11" t="s">
        <v>1633</v>
      </c>
      <c r="E11" t="s">
        <v>80</v>
      </c>
      <c r="F11" t="s">
        <v>1634</v>
      </c>
      <c r="G11" t="s">
        <v>1635</v>
      </c>
      <c r="H11" t="s">
        <v>312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451</v>
      </c>
      <c r="O11" t="s">
        <v>339</v>
      </c>
      <c r="P11" t="s">
        <v>1208</v>
      </c>
      <c r="Q11" s="125">
        <v>41000000000</v>
      </c>
      <c r="R11" s="133">
        <v>1</v>
      </c>
      <c r="S11" s="124">
        <v>29.3</v>
      </c>
      <c r="T11" s="103"/>
      <c r="U11" s="124">
        <v>12013</v>
      </c>
      <c r="V11" s="129">
        <v>0.16038952026766867</v>
      </c>
      <c r="W11" s="129">
        <v>2.0118408292970302E-2</v>
      </c>
      <c r="X11" s="129">
        <v>1.0641725037424212E-3</v>
      </c>
    </row>
    <row r="12" spans="1:25" x14ac:dyDescent="0.2">
      <c r="A12" t="s">
        <v>1204</v>
      </c>
      <c r="B12" t="s">
        <v>1204</v>
      </c>
      <c r="C12" t="s">
        <v>1557</v>
      </c>
      <c r="D12" t="s">
        <v>1558</v>
      </c>
      <c r="E12" t="s">
        <v>80</v>
      </c>
      <c r="F12" t="s">
        <v>1636</v>
      </c>
      <c r="G12" t="s">
        <v>1637</v>
      </c>
      <c r="H12" t="s">
        <v>312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484</v>
      </c>
      <c r="O12" t="s">
        <v>339</v>
      </c>
      <c r="P12" t="s">
        <v>1208</v>
      </c>
      <c r="Q12" s="125">
        <v>2716000000</v>
      </c>
      <c r="R12" s="133">
        <v>1</v>
      </c>
      <c r="S12" s="124">
        <v>423.6</v>
      </c>
      <c r="T12" s="103"/>
      <c r="U12" s="124">
        <v>11504.976000000001</v>
      </c>
      <c r="V12" s="129">
        <v>9.8208645877979591E-4</v>
      </c>
      <c r="W12" s="129">
        <v>1.9267610469393511E-2</v>
      </c>
      <c r="X12" s="129">
        <v>1.0191691596950357E-3</v>
      </c>
    </row>
    <row r="13" spans="1:25" x14ac:dyDescent="0.2">
      <c r="A13" t="s">
        <v>1204</v>
      </c>
      <c r="B13" t="s">
        <v>1204</v>
      </c>
      <c r="C13" t="s">
        <v>1638</v>
      </c>
      <c r="D13" t="s">
        <v>1639</v>
      </c>
      <c r="E13" t="s">
        <v>80</v>
      </c>
      <c r="F13" t="s">
        <v>1640</v>
      </c>
      <c r="G13" t="s">
        <v>1641</v>
      </c>
      <c r="H13" t="s">
        <v>312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454</v>
      </c>
      <c r="O13" t="s">
        <v>339</v>
      </c>
      <c r="P13" t="s">
        <v>1208</v>
      </c>
      <c r="Q13" s="125">
        <v>226000000</v>
      </c>
      <c r="R13" s="133">
        <v>1</v>
      </c>
      <c r="S13" s="124">
        <v>4611</v>
      </c>
      <c r="T13" s="125">
        <v>254860.2</v>
      </c>
      <c r="U13" s="124">
        <v>10675.7202</v>
      </c>
      <c r="V13" s="129">
        <v>1.2761915300568572E-3</v>
      </c>
      <c r="W13" s="129">
        <v>1.8305658816810007E-2</v>
      </c>
      <c r="X13" s="129">
        <v>9.6828628249611554E-4</v>
      </c>
    </row>
    <row r="14" spans="1:25" x14ac:dyDescent="0.2">
      <c r="A14" t="s">
        <v>1204</v>
      </c>
      <c r="B14" t="s">
        <v>1204</v>
      </c>
      <c r="C14" t="s">
        <v>1642</v>
      </c>
      <c r="D14" t="s">
        <v>1643</v>
      </c>
      <c r="E14" t="s">
        <v>80</v>
      </c>
      <c r="F14" t="s">
        <v>1644</v>
      </c>
      <c r="G14" t="s">
        <v>1645</v>
      </c>
      <c r="H14" t="s">
        <v>312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471</v>
      </c>
      <c r="O14" t="s">
        <v>339</v>
      </c>
      <c r="P14" t="s">
        <v>1208</v>
      </c>
      <c r="Q14" s="125">
        <v>166507800</v>
      </c>
      <c r="R14" s="133">
        <v>1</v>
      </c>
      <c r="S14" s="124">
        <v>5985</v>
      </c>
      <c r="T14" s="103"/>
      <c r="U14" s="124">
        <v>9965.4917999999998</v>
      </c>
      <c r="V14" s="129">
        <v>1.740548190423334E-4</v>
      </c>
      <c r="W14" s="129">
        <v>1.668940593325562E-2</v>
      </c>
      <c r="X14" s="129">
        <v>8.8279383932038141E-4</v>
      </c>
    </row>
    <row r="15" spans="1:25" x14ac:dyDescent="0.2">
      <c r="A15" t="s">
        <v>1204</v>
      </c>
      <c r="B15" t="s">
        <v>1204</v>
      </c>
      <c r="C15" t="s">
        <v>1408</v>
      </c>
      <c r="D15" t="s">
        <v>1409</v>
      </c>
      <c r="E15" t="s">
        <v>80</v>
      </c>
      <c r="F15" t="s">
        <v>1646</v>
      </c>
      <c r="G15" t="s">
        <v>1647</v>
      </c>
      <c r="H15" t="s">
        <v>312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446</v>
      </c>
      <c r="O15" t="s">
        <v>339</v>
      </c>
      <c r="P15" t="s">
        <v>1208</v>
      </c>
      <c r="Q15" s="125">
        <v>13744000</v>
      </c>
      <c r="R15" s="133">
        <v>1</v>
      </c>
      <c r="S15" s="124">
        <v>66410</v>
      </c>
      <c r="T15" s="125">
        <v>25831.9</v>
      </c>
      <c r="U15" s="124">
        <v>9153.2222999999994</v>
      </c>
      <c r="V15" s="129">
        <v>3.1006009422136104E-4</v>
      </c>
      <c r="W15" s="129">
        <v>1.5372343138854827E-2</v>
      </c>
      <c r="X15" s="129">
        <v>8.1312719417165876E-4</v>
      </c>
    </row>
    <row r="16" spans="1:25" x14ac:dyDescent="0.2">
      <c r="A16" t="s">
        <v>1204</v>
      </c>
      <c r="B16" t="s">
        <v>1204</v>
      </c>
      <c r="C16" t="s">
        <v>1648</v>
      </c>
      <c r="D16" t="s">
        <v>1649</v>
      </c>
      <c r="E16" t="s">
        <v>80</v>
      </c>
      <c r="F16" t="s">
        <v>1650</v>
      </c>
      <c r="G16" t="s">
        <v>1651</v>
      </c>
      <c r="H16" t="s">
        <v>312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445</v>
      </c>
      <c r="O16" t="s">
        <v>339</v>
      </c>
      <c r="P16" t="s">
        <v>1208</v>
      </c>
      <c r="Q16" s="125">
        <v>304000000</v>
      </c>
      <c r="R16" s="133">
        <v>1</v>
      </c>
      <c r="S16" s="124">
        <v>2997</v>
      </c>
      <c r="T16" s="103"/>
      <c r="U16" s="124">
        <v>9110.8799999999992</v>
      </c>
      <c r="V16" s="129">
        <v>1.4293131870385836E-3</v>
      </c>
      <c r="W16" s="129">
        <v>1.5258170627508304E-2</v>
      </c>
      <c r="X16" s="129">
        <v>8.0708798642277122E-4</v>
      </c>
    </row>
    <row r="17" spans="1:24" x14ac:dyDescent="0.2">
      <c r="A17" t="s">
        <v>1204</v>
      </c>
      <c r="B17" t="s">
        <v>1204</v>
      </c>
      <c r="C17" t="s">
        <v>1598</v>
      </c>
      <c r="D17" t="s">
        <v>1652</v>
      </c>
      <c r="E17" t="s">
        <v>80</v>
      </c>
      <c r="F17" t="s">
        <v>1653</v>
      </c>
      <c r="G17" t="s">
        <v>1654</v>
      </c>
      <c r="H17" t="s">
        <v>312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454</v>
      </c>
      <c r="O17" t="s">
        <v>339</v>
      </c>
      <c r="P17" t="s">
        <v>1208</v>
      </c>
      <c r="Q17" s="125">
        <v>22906000</v>
      </c>
      <c r="R17" s="133">
        <v>1</v>
      </c>
      <c r="S17" s="124">
        <v>39520</v>
      </c>
      <c r="T17" s="103"/>
      <c r="U17" s="124">
        <v>9052.4511999999995</v>
      </c>
      <c r="V17" s="129">
        <v>1.2523582864418848E-3</v>
      </c>
      <c r="W17" s="129">
        <v>1.5160318762489714E-2</v>
      </c>
      <c r="X17" s="129">
        <v>8.0191206680346998E-4</v>
      </c>
    </row>
    <row r="18" spans="1:24" x14ac:dyDescent="0.2">
      <c r="A18" t="s">
        <v>1204</v>
      </c>
      <c r="B18" t="s">
        <v>1204</v>
      </c>
      <c r="C18" t="s">
        <v>1655</v>
      </c>
      <c r="D18" t="s">
        <v>1656</v>
      </c>
      <c r="E18" t="s">
        <v>80</v>
      </c>
      <c r="F18" t="s">
        <v>1657</v>
      </c>
      <c r="G18" t="s">
        <v>1658</v>
      </c>
      <c r="H18" t="s">
        <v>312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445</v>
      </c>
      <c r="O18" t="s">
        <v>339</v>
      </c>
      <c r="P18" t="s">
        <v>1208</v>
      </c>
      <c r="Q18" s="125">
        <v>160000000</v>
      </c>
      <c r="R18" s="133">
        <v>1</v>
      </c>
      <c r="S18" s="124">
        <v>5291</v>
      </c>
      <c r="T18" s="103"/>
      <c r="U18" s="124">
        <v>8465.6</v>
      </c>
      <c r="V18" s="129">
        <v>2.1603931796765384E-3</v>
      </c>
      <c r="W18" s="129">
        <v>1.4177507470654238E-2</v>
      </c>
      <c r="X18" s="129">
        <v>7.4992580934669451E-4</v>
      </c>
    </row>
    <row r="19" spans="1:24" x14ac:dyDescent="0.2">
      <c r="A19" t="s">
        <v>1204</v>
      </c>
      <c r="B19" t="s">
        <v>1204</v>
      </c>
      <c r="C19" t="s">
        <v>1659</v>
      </c>
      <c r="D19" t="s">
        <v>1660</v>
      </c>
      <c r="E19" t="s">
        <v>80</v>
      </c>
      <c r="F19" t="s">
        <v>1661</v>
      </c>
      <c r="G19" t="s">
        <v>1662</v>
      </c>
      <c r="H19" t="s">
        <v>312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471</v>
      </c>
      <c r="O19" t="s">
        <v>339</v>
      </c>
      <c r="P19" t="s">
        <v>1208</v>
      </c>
      <c r="Q19" s="125">
        <v>29832000</v>
      </c>
      <c r="R19" s="133">
        <v>1</v>
      </c>
      <c r="S19" s="124">
        <v>26580</v>
      </c>
      <c r="T19" s="102"/>
      <c r="U19" s="124">
        <v>7929.3455999999996</v>
      </c>
      <c r="V19" s="129">
        <v>5.3217878081608953E-4</v>
      </c>
      <c r="W19" s="129">
        <v>1.3279431638796933E-2</v>
      </c>
      <c r="X19" s="129">
        <v>7.0242167320327563E-4</v>
      </c>
    </row>
    <row r="20" spans="1:24" x14ac:dyDescent="0.2">
      <c r="A20" t="s">
        <v>1204</v>
      </c>
      <c r="B20" t="s">
        <v>1204</v>
      </c>
      <c r="C20" t="s">
        <v>1448</v>
      </c>
      <c r="D20" t="s">
        <v>1449</v>
      </c>
      <c r="E20" t="s">
        <v>80</v>
      </c>
      <c r="F20" t="s">
        <v>1663</v>
      </c>
      <c r="G20" t="s">
        <v>1664</v>
      </c>
      <c r="H20" t="s">
        <v>312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1276</v>
      </c>
      <c r="O20" t="s">
        <v>339</v>
      </c>
      <c r="P20" t="s">
        <v>1208</v>
      </c>
      <c r="Q20" s="125">
        <v>21600000</v>
      </c>
      <c r="R20" s="133">
        <v>1</v>
      </c>
      <c r="S20" s="124">
        <v>35740</v>
      </c>
      <c r="T20" s="102"/>
      <c r="U20" s="124">
        <v>7719.84</v>
      </c>
      <c r="V20" s="129">
        <v>1.0202307025015773E-3</v>
      </c>
      <c r="W20" s="129">
        <v>1.2928568473853645E-2</v>
      </c>
      <c r="X20" s="129">
        <v>6.838626039532916E-4</v>
      </c>
    </row>
    <row r="21" spans="1:24" x14ac:dyDescent="0.2">
      <c r="A21" t="s">
        <v>1204</v>
      </c>
      <c r="B21" t="s">
        <v>1204</v>
      </c>
      <c r="C21" t="s">
        <v>1480</v>
      </c>
      <c r="D21" t="s">
        <v>1481</v>
      </c>
      <c r="E21" t="s">
        <v>80</v>
      </c>
      <c r="F21" t="s">
        <v>1665</v>
      </c>
      <c r="G21" t="s">
        <v>1666</v>
      </c>
      <c r="H21" t="s">
        <v>312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1276</v>
      </c>
      <c r="O21" t="s">
        <v>339</v>
      </c>
      <c r="P21" t="s">
        <v>1208</v>
      </c>
      <c r="Q21" s="125">
        <v>24594000</v>
      </c>
      <c r="R21" s="133">
        <v>1</v>
      </c>
      <c r="S21" s="124">
        <v>25430</v>
      </c>
      <c r="T21" s="102"/>
      <c r="U21" s="124">
        <v>6254.2542000000003</v>
      </c>
      <c r="V21" s="129">
        <v>2.0160399529049657E-3</v>
      </c>
      <c r="W21" s="129">
        <v>1.0474122997055217E-2</v>
      </c>
      <c r="X21" s="129">
        <v>5.5403357621373124E-4</v>
      </c>
    </row>
    <row r="22" spans="1:24" x14ac:dyDescent="0.2">
      <c r="A22" t="s">
        <v>1204</v>
      </c>
      <c r="B22" t="s">
        <v>1204</v>
      </c>
      <c r="C22" t="s">
        <v>1667</v>
      </c>
      <c r="D22" t="s">
        <v>1668</v>
      </c>
      <c r="E22" t="s">
        <v>80</v>
      </c>
      <c r="F22" t="s">
        <v>1669</v>
      </c>
      <c r="G22" t="s">
        <v>1670</v>
      </c>
      <c r="H22" t="s">
        <v>312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437</v>
      </c>
      <c r="O22" t="s">
        <v>339</v>
      </c>
      <c r="P22" t="s">
        <v>1208</v>
      </c>
      <c r="Q22" s="125">
        <v>38775000</v>
      </c>
      <c r="R22" s="133">
        <v>1</v>
      </c>
      <c r="S22" s="124">
        <v>15700</v>
      </c>
      <c r="T22" s="102"/>
      <c r="U22" s="124">
        <v>6087.6750000000002</v>
      </c>
      <c r="V22" s="129">
        <v>1.5105487138812317E-3</v>
      </c>
      <c r="W22" s="129">
        <v>1.0195149521760424E-2</v>
      </c>
      <c r="X22" s="129">
        <v>5.3927714531924948E-4</v>
      </c>
    </row>
    <row r="23" spans="1:24" x14ac:dyDescent="0.2">
      <c r="A23" t="s">
        <v>1204</v>
      </c>
      <c r="B23" t="s">
        <v>1204</v>
      </c>
      <c r="C23" t="s">
        <v>1671</v>
      </c>
      <c r="D23" t="s">
        <v>1672</v>
      </c>
      <c r="E23" t="s">
        <v>80</v>
      </c>
      <c r="F23" t="s">
        <v>1673</v>
      </c>
      <c r="G23" t="s">
        <v>1674</v>
      </c>
      <c r="H23" t="s">
        <v>312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2577</v>
      </c>
      <c r="O23" t="s">
        <v>339</v>
      </c>
      <c r="P23" t="s">
        <v>1208</v>
      </c>
      <c r="Q23" s="125">
        <v>76277000</v>
      </c>
      <c r="R23" s="133">
        <v>1</v>
      </c>
      <c r="S23" s="124">
        <v>6901</v>
      </c>
      <c r="T23" s="125">
        <v>61784.4</v>
      </c>
      <c r="U23" s="124">
        <v>5325.6601000000001</v>
      </c>
      <c r="V23" s="129">
        <v>1.2127810591127299E-3</v>
      </c>
      <c r="W23" s="129">
        <v>9.0224596943229256E-3</v>
      </c>
      <c r="X23" s="129">
        <v>4.7724717497544839E-4</v>
      </c>
    </row>
    <row r="24" spans="1:24" x14ac:dyDescent="0.2">
      <c r="A24" t="s">
        <v>1204</v>
      </c>
      <c r="B24" t="s">
        <v>1204</v>
      </c>
      <c r="C24" t="s">
        <v>1675</v>
      </c>
      <c r="D24" t="s">
        <v>1676</v>
      </c>
      <c r="E24" t="s">
        <v>80</v>
      </c>
      <c r="F24" t="s">
        <v>1677</v>
      </c>
      <c r="G24" t="s">
        <v>1678</v>
      </c>
      <c r="H24" t="s">
        <v>312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1276</v>
      </c>
      <c r="O24" t="s">
        <v>339</v>
      </c>
      <c r="P24" t="s">
        <v>1208</v>
      </c>
      <c r="Q24" s="125">
        <v>3338139000</v>
      </c>
      <c r="R24" s="133">
        <v>1</v>
      </c>
      <c r="S24" s="124">
        <v>159.4</v>
      </c>
      <c r="T24" s="102"/>
      <c r="U24" s="124">
        <v>5320.9935999999998</v>
      </c>
      <c r="V24" s="129">
        <v>4.8379951867401714E-3</v>
      </c>
      <c r="W24" s="129">
        <v>8.9111729863527861E-3</v>
      </c>
      <c r="X24" s="129">
        <v>4.7136061312973729E-4</v>
      </c>
    </row>
    <row r="25" spans="1:24" x14ac:dyDescent="0.2">
      <c r="A25" t="s">
        <v>1204</v>
      </c>
      <c r="B25" t="s">
        <v>1204</v>
      </c>
      <c r="C25" t="s">
        <v>1679</v>
      </c>
      <c r="D25" t="s">
        <v>1680</v>
      </c>
      <c r="E25" t="s">
        <v>80</v>
      </c>
      <c r="F25" t="s">
        <v>1681</v>
      </c>
      <c r="G25" t="s">
        <v>1682</v>
      </c>
      <c r="H25" t="s">
        <v>312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448</v>
      </c>
      <c r="O25" t="s">
        <v>339</v>
      </c>
      <c r="P25" t="s">
        <v>1208</v>
      </c>
      <c r="Q25" s="125">
        <v>35915000</v>
      </c>
      <c r="R25" s="133">
        <v>1</v>
      </c>
      <c r="S25" s="124">
        <v>14410</v>
      </c>
      <c r="T25" s="102"/>
      <c r="U25" s="124">
        <v>5175.3514999999998</v>
      </c>
      <c r="V25" s="129">
        <v>3.5796856056271881E-4</v>
      </c>
      <c r="W25" s="129">
        <v>8.6672633427650279E-3</v>
      </c>
      <c r="X25" s="129">
        <v>4.5845889981703948E-4</v>
      </c>
    </row>
    <row r="26" spans="1:24" x14ac:dyDescent="0.2">
      <c r="A26" t="s">
        <v>1204</v>
      </c>
      <c r="B26" t="s">
        <v>1204</v>
      </c>
      <c r="C26" t="s">
        <v>1683</v>
      </c>
      <c r="D26" t="s">
        <v>1684</v>
      </c>
      <c r="E26" t="s">
        <v>80</v>
      </c>
      <c r="F26" t="s">
        <v>1685</v>
      </c>
      <c r="G26" t="s">
        <v>1686</v>
      </c>
      <c r="H26" t="s">
        <v>312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484</v>
      </c>
      <c r="O26" t="s">
        <v>339</v>
      </c>
      <c r="P26" t="s">
        <v>1208</v>
      </c>
      <c r="Q26" s="125">
        <v>386380000</v>
      </c>
      <c r="R26" s="133">
        <v>1</v>
      </c>
      <c r="S26" s="124">
        <v>1320</v>
      </c>
      <c r="T26" s="102"/>
      <c r="U26" s="124">
        <v>5100.2160000000003</v>
      </c>
      <c r="V26" s="129">
        <v>2.3568223125427462E-3</v>
      </c>
      <c r="W26" s="129">
        <v>8.5414324373878133E-3</v>
      </c>
      <c r="X26" s="129">
        <v>4.5180301592834065E-4</v>
      </c>
    </row>
    <row r="27" spans="1:24" x14ac:dyDescent="0.2">
      <c r="A27" t="s">
        <v>1204</v>
      </c>
      <c r="B27" t="s">
        <v>1204</v>
      </c>
      <c r="C27" t="s">
        <v>1443</v>
      </c>
      <c r="D27" t="s">
        <v>1444</v>
      </c>
      <c r="E27" t="s">
        <v>80</v>
      </c>
      <c r="F27" t="s">
        <v>1687</v>
      </c>
      <c r="G27" t="s">
        <v>1688</v>
      </c>
      <c r="H27" t="s">
        <v>312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1276</v>
      </c>
      <c r="O27" t="s">
        <v>339</v>
      </c>
      <c r="P27" t="s">
        <v>1208</v>
      </c>
      <c r="Q27" s="125">
        <v>23000000</v>
      </c>
      <c r="R27" s="133">
        <v>1</v>
      </c>
      <c r="S27" s="124">
        <v>22000</v>
      </c>
      <c r="T27" s="102"/>
      <c r="U27" s="124">
        <v>5060</v>
      </c>
      <c r="V27" s="129">
        <v>1.8965512123250101E-4</v>
      </c>
      <c r="W27" s="129">
        <v>8.4740819081353305E-3</v>
      </c>
      <c r="X27" s="129">
        <v>4.4824047855961466E-4</v>
      </c>
    </row>
    <row r="28" spans="1:24" x14ac:dyDescent="0.2">
      <c r="A28" t="s">
        <v>1204</v>
      </c>
      <c r="B28" t="s">
        <v>1204</v>
      </c>
      <c r="C28" t="s">
        <v>1383</v>
      </c>
      <c r="D28" t="s">
        <v>1384</v>
      </c>
      <c r="E28" t="s">
        <v>80</v>
      </c>
      <c r="F28" t="s">
        <v>1689</v>
      </c>
      <c r="G28" t="s">
        <v>1690</v>
      </c>
      <c r="H28" t="s">
        <v>312</v>
      </c>
      <c r="I28" t="s">
        <v>917</v>
      </c>
      <c r="J28" t="s">
        <v>204</v>
      </c>
      <c r="K28" t="s">
        <v>204</v>
      </c>
      <c r="L28" t="s">
        <v>325</v>
      </c>
      <c r="M28" t="s">
        <v>340</v>
      </c>
      <c r="N28" t="s">
        <v>456</v>
      </c>
      <c r="O28" t="s">
        <v>339</v>
      </c>
      <c r="P28" t="s">
        <v>1208</v>
      </c>
      <c r="Q28" s="125">
        <v>298604000</v>
      </c>
      <c r="R28" s="133">
        <v>1</v>
      </c>
      <c r="S28" s="124">
        <v>1612</v>
      </c>
      <c r="T28" s="102"/>
      <c r="U28" s="124">
        <v>4813.4965000000002</v>
      </c>
      <c r="V28" s="129">
        <v>2.3198829500013646E-4</v>
      </c>
      <c r="W28" s="129">
        <v>8.0612575960555526E-3</v>
      </c>
      <c r="X28" s="129">
        <v>4.2640394579846261E-4</v>
      </c>
    </row>
    <row r="29" spans="1:24" x14ac:dyDescent="0.2">
      <c r="A29" t="s">
        <v>1204</v>
      </c>
      <c r="B29" t="s">
        <v>1204</v>
      </c>
      <c r="C29" t="s">
        <v>1691</v>
      </c>
      <c r="D29" t="s">
        <v>1692</v>
      </c>
      <c r="E29" t="s">
        <v>80</v>
      </c>
      <c r="F29" t="s">
        <v>1693</v>
      </c>
      <c r="G29" t="s">
        <v>1694</v>
      </c>
      <c r="H29" t="s">
        <v>312</v>
      </c>
      <c r="I29" t="s">
        <v>917</v>
      </c>
      <c r="J29" t="s">
        <v>204</v>
      </c>
      <c r="K29" t="s">
        <v>204</v>
      </c>
      <c r="L29" t="s">
        <v>325</v>
      </c>
      <c r="M29" t="s">
        <v>340</v>
      </c>
      <c r="N29" t="s">
        <v>1300</v>
      </c>
      <c r="O29" t="s">
        <v>339</v>
      </c>
      <c r="P29" t="s">
        <v>1208</v>
      </c>
      <c r="Q29" s="125">
        <v>110710000</v>
      </c>
      <c r="R29" s="133">
        <v>1</v>
      </c>
      <c r="S29" s="124">
        <v>4210</v>
      </c>
      <c r="T29" s="102"/>
      <c r="U29" s="124">
        <v>4660.8909999999996</v>
      </c>
      <c r="V29" s="129">
        <v>1.4984296873745923E-3</v>
      </c>
      <c r="W29" s="129">
        <v>7.8056861855515386E-3</v>
      </c>
      <c r="X29" s="129">
        <v>4.1288537793561286E-4</v>
      </c>
    </row>
    <row r="30" spans="1:24" x14ac:dyDescent="0.2">
      <c r="A30" t="s">
        <v>1204</v>
      </c>
      <c r="B30" t="s">
        <v>1204</v>
      </c>
      <c r="C30" t="s">
        <v>1335</v>
      </c>
      <c r="D30" t="s">
        <v>1336</v>
      </c>
      <c r="E30" t="s">
        <v>80</v>
      </c>
      <c r="F30" t="s">
        <v>1695</v>
      </c>
      <c r="G30" t="s">
        <v>1696</v>
      </c>
      <c r="H30" t="s">
        <v>312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440</v>
      </c>
      <c r="O30" t="s">
        <v>339</v>
      </c>
      <c r="P30" t="s">
        <v>1208</v>
      </c>
      <c r="Q30" s="125">
        <v>4424364000</v>
      </c>
      <c r="R30" s="133">
        <v>1</v>
      </c>
      <c r="S30" s="124">
        <v>86.7</v>
      </c>
      <c r="T30" s="102"/>
      <c r="U30" s="124">
        <v>3835.9236000000001</v>
      </c>
      <c r="V30" s="129">
        <v>1.3801496850956241E-3</v>
      </c>
      <c r="W30" s="129">
        <v>6.424096971948688E-3</v>
      </c>
      <c r="X30" s="129">
        <v>3.3980557802435461E-4</v>
      </c>
    </row>
    <row r="31" spans="1:24" x14ac:dyDescent="0.2">
      <c r="A31" t="s">
        <v>1204</v>
      </c>
      <c r="B31" t="s">
        <v>1204</v>
      </c>
      <c r="C31" t="s">
        <v>1697</v>
      </c>
      <c r="D31" t="s">
        <v>1698</v>
      </c>
      <c r="E31" t="s">
        <v>80</v>
      </c>
      <c r="F31" t="s">
        <v>1699</v>
      </c>
      <c r="G31" t="s">
        <v>1700</v>
      </c>
      <c r="H31" t="s">
        <v>312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1276</v>
      </c>
      <c r="O31" t="s">
        <v>338</v>
      </c>
      <c r="P31" t="s">
        <v>1208</v>
      </c>
      <c r="Q31" s="125">
        <v>78592000</v>
      </c>
      <c r="R31" s="133">
        <v>1</v>
      </c>
      <c r="S31" s="124">
        <v>1391</v>
      </c>
      <c r="U31" s="124">
        <v>1093.2147</v>
      </c>
      <c r="V31" s="129">
        <v>4.2463824446492679E-4</v>
      </c>
      <c r="W31" s="129">
        <v>1.8308282767705989E-3</v>
      </c>
      <c r="X31" s="129">
        <v>9.6842507759133424E-5</v>
      </c>
    </row>
    <row r="32" spans="1:24" x14ac:dyDescent="0.2">
      <c r="A32" t="s">
        <v>1204</v>
      </c>
      <c r="B32" t="s">
        <v>1204</v>
      </c>
      <c r="C32" t="s">
        <v>1701</v>
      </c>
      <c r="D32" t="s">
        <v>1702</v>
      </c>
      <c r="E32" t="s">
        <v>80</v>
      </c>
      <c r="F32" t="s">
        <v>1703</v>
      </c>
      <c r="G32" t="s">
        <v>1704</v>
      </c>
      <c r="H32" t="s">
        <v>321</v>
      </c>
      <c r="I32" t="s">
        <v>917</v>
      </c>
      <c r="J32" t="s">
        <v>205</v>
      </c>
      <c r="K32" t="s">
        <v>224</v>
      </c>
      <c r="L32" t="s">
        <v>325</v>
      </c>
      <c r="M32" t="s">
        <v>346</v>
      </c>
      <c r="N32" t="s">
        <v>480</v>
      </c>
      <c r="O32" t="s">
        <v>339</v>
      </c>
      <c r="P32" t="s">
        <v>1209</v>
      </c>
      <c r="Q32" s="125">
        <v>9314000</v>
      </c>
      <c r="R32" s="13" t="s">
        <v>1210</v>
      </c>
      <c r="S32" s="124">
        <v>50422</v>
      </c>
      <c r="U32" s="124">
        <v>17653.410800000001</v>
      </c>
      <c r="V32" s="129">
        <v>4.2501613134489344E-6</v>
      </c>
      <c r="W32" s="129">
        <v>2.9564515620729599E-2</v>
      </c>
      <c r="X32" s="129">
        <v>1.5638287160638341E-3</v>
      </c>
    </row>
    <row r="33" spans="1:25" x14ac:dyDescent="0.2">
      <c r="A33" t="s">
        <v>1204</v>
      </c>
      <c r="B33" t="s">
        <v>1204</v>
      </c>
      <c r="C33" t="s">
        <v>1705</v>
      </c>
      <c r="D33" t="s">
        <v>1706</v>
      </c>
      <c r="E33" t="s">
        <v>80</v>
      </c>
      <c r="F33" t="s">
        <v>1707</v>
      </c>
      <c r="G33" t="s">
        <v>1708</v>
      </c>
      <c r="H33" t="s">
        <v>321</v>
      </c>
      <c r="I33" t="s">
        <v>917</v>
      </c>
      <c r="J33" t="s">
        <v>205</v>
      </c>
      <c r="K33" t="s">
        <v>224</v>
      </c>
      <c r="L33" t="s">
        <v>325</v>
      </c>
      <c r="M33" t="s">
        <v>346</v>
      </c>
      <c r="N33" t="s">
        <v>458</v>
      </c>
      <c r="O33" t="s">
        <v>339</v>
      </c>
      <c r="P33" t="s">
        <v>1209</v>
      </c>
      <c r="Q33" s="125">
        <v>35200000</v>
      </c>
      <c r="R33" s="13" t="s">
        <v>1210</v>
      </c>
      <c r="S33" s="124">
        <v>12354</v>
      </c>
      <c r="U33" s="124">
        <v>16346.4175</v>
      </c>
      <c r="V33" s="129">
        <v>1.4308943089430895E-6</v>
      </c>
      <c r="W33" s="129">
        <v>2.7375668095316691E-2</v>
      </c>
      <c r="X33" s="129">
        <v>1.4480486147004994E-3</v>
      </c>
    </row>
    <row r="34" spans="1:25" x14ac:dyDescent="0.2">
      <c r="A34" t="s">
        <v>1204</v>
      </c>
      <c r="B34" t="s">
        <v>1204</v>
      </c>
      <c r="C34" t="s">
        <v>1709</v>
      </c>
      <c r="D34" t="s">
        <v>1710</v>
      </c>
      <c r="E34" t="s">
        <v>80</v>
      </c>
      <c r="F34" t="s">
        <v>1711</v>
      </c>
      <c r="G34" t="s">
        <v>1712</v>
      </c>
      <c r="H34" t="s">
        <v>321</v>
      </c>
      <c r="I34" t="s">
        <v>917</v>
      </c>
      <c r="J34" t="s">
        <v>205</v>
      </c>
      <c r="K34" t="s">
        <v>224</v>
      </c>
      <c r="L34" t="s">
        <v>325</v>
      </c>
      <c r="M34" t="s">
        <v>346</v>
      </c>
      <c r="N34" t="s">
        <v>480</v>
      </c>
      <c r="O34" t="s">
        <v>339</v>
      </c>
      <c r="P34" t="s">
        <v>1209</v>
      </c>
      <c r="Q34" s="125">
        <v>8864000</v>
      </c>
      <c r="R34" s="13" t="s">
        <v>1210</v>
      </c>
      <c r="S34" s="124">
        <v>44695</v>
      </c>
      <c r="U34" s="124">
        <v>14892.2739</v>
      </c>
      <c r="V34" s="129">
        <v>1.1926312298877406E-6</v>
      </c>
      <c r="W34" s="129">
        <v>2.4940385115537825E-2</v>
      </c>
      <c r="X34" s="129">
        <v>1.3192331960961302E-3</v>
      </c>
    </row>
    <row r="35" spans="1:25" x14ac:dyDescent="0.2">
      <c r="A35" t="s">
        <v>1204</v>
      </c>
      <c r="B35" t="s">
        <v>1204</v>
      </c>
      <c r="C35" t="s">
        <v>1713</v>
      </c>
      <c r="D35" t="s">
        <v>1714</v>
      </c>
      <c r="E35" t="s">
        <v>80</v>
      </c>
      <c r="F35" t="s">
        <v>1715</v>
      </c>
      <c r="G35" t="s">
        <v>1716</v>
      </c>
      <c r="H35" t="s">
        <v>321</v>
      </c>
      <c r="I35" t="s">
        <v>917</v>
      </c>
      <c r="J35" t="s">
        <v>205</v>
      </c>
      <c r="K35" t="s">
        <v>224</v>
      </c>
      <c r="L35" t="s">
        <v>325</v>
      </c>
      <c r="M35" t="s">
        <v>346</v>
      </c>
      <c r="N35" t="s">
        <v>480</v>
      </c>
      <c r="O35" t="s">
        <v>339</v>
      </c>
      <c r="P35" t="s">
        <v>1209</v>
      </c>
      <c r="Q35" s="125">
        <v>16850000</v>
      </c>
      <c r="R35" s="13" t="s">
        <v>1210</v>
      </c>
      <c r="S35" s="124">
        <v>21062</v>
      </c>
      <c r="U35" s="124">
        <v>13340.4918</v>
      </c>
      <c r="V35" s="129">
        <v>2.954585305979309E-6</v>
      </c>
      <c r="W35" s="129">
        <v>2.2341584976127968E-2</v>
      </c>
      <c r="X35" s="129">
        <v>1.1817684617687989E-3</v>
      </c>
    </row>
    <row r="36" spans="1:25" x14ac:dyDescent="0.2">
      <c r="A36" t="s">
        <v>1204</v>
      </c>
      <c r="B36" t="s">
        <v>1204</v>
      </c>
      <c r="C36" t="s">
        <v>1717</v>
      </c>
      <c r="D36" t="s">
        <v>1718</v>
      </c>
      <c r="E36" t="s">
        <v>80</v>
      </c>
      <c r="F36" t="s">
        <v>1719</v>
      </c>
      <c r="G36" t="s">
        <v>1720</v>
      </c>
      <c r="H36" t="s">
        <v>321</v>
      </c>
      <c r="I36" t="s">
        <v>917</v>
      </c>
      <c r="J36" t="s">
        <v>205</v>
      </c>
      <c r="K36" t="s">
        <v>224</v>
      </c>
      <c r="L36" t="s">
        <v>325</v>
      </c>
      <c r="M36" t="s">
        <v>346</v>
      </c>
      <c r="N36" t="s">
        <v>480</v>
      </c>
      <c r="O36" t="s">
        <v>339</v>
      </c>
      <c r="P36" t="s">
        <v>1209</v>
      </c>
      <c r="Q36" s="125">
        <v>17997000</v>
      </c>
      <c r="R36" s="13" t="s">
        <v>1210</v>
      </c>
      <c r="S36" s="124">
        <v>18215</v>
      </c>
      <c r="U36" s="124">
        <v>12322.5792</v>
      </c>
      <c r="V36" s="129">
        <v>3.0638406537282944E-6</v>
      </c>
      <c r="W36" s="129">
        <v>2.0636866682461182E-2</v>
      </c>
      <c r="X36" s="129">
        <v>1.0915965998436797E-3</v>
      </c>
    </row>
    <row r="37" spans="1:25" x14ac:dyDescent="0.2">
      <c r="A37" t="s">
        <v>1204</v>
      </c>
      <c r="B37" t="s">
        <v>1204</v>
      </c>
      <c r="C37" t="s">
        <v>1721</v>
      </c>
      <c r="D37" t="s">
        <v>1722</v>
      </c>
      <c r="E37" t="s">
        <v>80</v>
      </c>
      <c r="F37" t="s">
        <v>1723</v>
      </c>
      <c r="G37" t="s">
        <v>1724</v>
      </c>
      <c r="H37" t="s">
        <v>321</v>
      </c>
      <c r="I37" t="s">
        <v>917</v>
      </c>
      <c r="J37" t="s">
        <v>205</v>
      </c>
      <c r="K37" t="s">
        <v>224</v>
      </c>
      <c r="L37" t="s">
        <v>325</v>
      </c>
      <c r="M37" t="s">
        <v>346</v>
      </c>
      <c r="N37" t="s">
        <v>462</v>
      </c>
      <c r="O37" t="s">
        <v>339</v>
      </c>
      <c r="P37" t="s">
        <v>1209</v>
      </c>
      <c r="Q37" s="125">
        <v>15088000</v>
      </c>
      <c r="R37" s="13" t="s">
        <v>1210</v>
      </c>
      <c r="S37" s="124">
        <v>19325</v>
      </c>
      <c r="U37" s="124">
        <v>10960.326800000001</v>
      </c>
      <c r="V37" s="129">
        <v>1.4498453147512826E-6</v>
      </c>
      <c r="W37" s="129">
        <v>1.8355475706922357E-2</v>
      </c>
      <c r="X37" s="129">
        <v>9.7092136991990755E-4</v>
      </c>
    </row>
    <row r="38" spans="1:25" x14ac:dyDescent="0.2">
      <c r="A38" t="s">
        <v>1204</v>
      </c>
      <c r="B38" t="s">
        <v>1204</v>
      </c>
      <c r="C38" t="s">
        <v>1725</v>
      </c>
      <c r="D38" t="s">
        <v>1726</v>
      </c>
      <c r="E38" t="s">
        <v>80</v>
      </c>
      <c r="F38" t="s">
        <v>1727</v>
      </c>
      <c r="G38" t="s">
        <v>1728</v>
      </c>
      <c r="H38" t="s">
        <v>321</v>
      </c>
      <c r="I38" t="s">
        <v>917</v>
      </c>
      <c r="J38" t="s">
        <v>205</v>
      </c>
      <c r="K38" t="s">
        <v>224</v>
      </c>
      <c r="L38" t="s">
        <v>325</v>
      </c>
      <c r="M38" t="s">
        <v>346</v>
      </c>
      <c r="N38" t="s">
        <v>480</v>
      </c>
      <c r="O38" t="s">
        <v>339</v>
      </c>
      <c r="P38" t="s">
        <v>1209</v>
      </c>
      <c r="Q38" s="125">
        <v>4085000</v>
      </c>
      <c r="R38" s="13" t="s">
        <v>1210</v>
      </c>
      <c r="S38" s="124">
        <v>55554</v>
      </c>
      <c r="U38" s="124">
        <v>8530.6028000000006</v>
      </c>
      <c r="V38" s="129">
        <v>9.2129003157419931E-6</v>
      </c>
      <c r="W38" s="129">
        <v>1.4286368948466056E-2</v>
      </c>
      <c r="X38" s="129">
        <v>7.556840875224376E-4</v>
      </c>
    </row>
    <row r="39" spans="1:25" x14ac:dyDescent="0.2">
      <c r="A39" t="s">
        <v>1204</v>
      </c>
      <c r="B39" t="s">
        <v>1204</v>
      </c>
      <c r="C39" t="s">
        <v>1729</v>
      </c>
      <c r="D39" t="s">
        <v>1730</v>
      </c>
      <c r="E39" t="s">
        <v>80</v>
      </c>
      <c r="F39" t="s">
        <v>1731</v>
      </c>
      <c r="G39" t="s">
        <v>1732</v>
      </c>
      <c r="H39" t="s">
        <v>321</v>
      </c>
      <c r="I39" t="s">
        <v>917</v>
      </c>
      <c r="J39" t="s">
        <v>205</v>
      </c>
      <c r="K39" t="s">
        <v>293</v>
      </c>
      <c r="L39" t="s">
        <v>325</v>
      </c>
      <c r="M39" t="s">
        <v>314</v>
      </c>
      <c r="N39" t="s">
        <v>1300</v>
      </c>
      <c r="O39" t="s">
        <v>339</v>
      </c>
      <c r="P39" t="s">
        <v>1211</v>
      </c>
      <c r="Q39" s="125">
        <v>2079208000</v>
      </c>
      <c r="R39" s="131">
        <v>4.0202</v>
      </c>
      <c r="S39" s="124">
        <v>99</v>
      </c>
      <c r="U39" s="124">
        <v>8275.2437000000009</v>
      </c>
      <c r="V39" s="129">
        <v>5.6788114614536589E-2</v>
      </c>
      <c r="W39" s="129">
        <v>1.385871398567632E-2</v>
      </c>
      <c r="X39" s="129">
        <v>7.3306308063846633E-4</v>
      </c>
    </row>
    <row r="40" spans="1:25" x14ac:dyDescent="0.2">
      <c r="A40" t="s">
        <v>1204</v>
      </c>
      <c r="B40" t="s">
        <v>1204</v>
      </c>
      <c r="C40" t="s">
        <v>1733</v>
      </c>
      <c r="D40" t="s">
        <v>1734</v>
      </c>
      <c r="E40" t="s">
        <v>80</v>
      </c>
      <c r="F40" t="s">
        <v>1735</v>
      </c>
      <c r="G40" t="s">
        <v>1736</v>
      </c>
      <c r="H40" t="s">
        <v>321</v>
      </c>
      <c r="I40" t="s">
        <v>917</v>
      </c>
      <c r="J40" t="s">
        <v>205</v>
      </c>
      <c r="K40" t="s">
        <v>233</v>
      </c>
      <c r="L40" t="s">
        <v>325</v>
      </c>
      <c r="M40" t="s">
        <v>374</v>
      </c>
      <c r="N40" t="s">
        <v>454</v>
      </c>
      <c r="O40" t="s">
        <v>339</v>
      </c>
      <c r="P40" t="s">
        <v>1212</v>
      </c>
      <c r="Q40" s="125">
        <v>61241740</v>
      </c>
      <c r="R40" s="131">
        <v>4.7504999999999997</v>
      </c>
      <c r="S40" s="124">
        <v>2834</v>
      </c>
      <c r="U40" s="124">
        <v>8244.9246000000003</v>
      </c>
      <c r="V40" s="129">
        <v>1.4932639227543158E-5</v>
      </c>
      <c r="W40" s="129">
        <v>1.3807938063905506E-2</v>
      </c>
      <c r="X40" s="129">
        <v>7.303772647919137E-4</v>
      </c>
    </row>
    <row r="41" spans="1:25" x14ac:dyDescent="0.2">
      <c r="A41" t="s">
        <v>1204</v>
      </c>
      <c r="B41" t="s">
        <v>1204</v>
      </c>
      <c r="C41" t="s">
        <v>1737</v>
      </c>
      <c r="D41" t="s">
        <v>1738</v>
      </c>
      <c r="E41" t="s">
        <v>80</v>
      </c>
      <c r="F41" t="s">
        <v>1739</v>
      </c>
      <c r="G41" t="s">
        <v>1740</v>
      </c>
      <c r="H41" t="s">
        <v>321</v>
      </c>
      <c r="I41" t="s">
        <v>917</v>
      </c>
      <c r="J41" t="s">
        <v>205</v>
      </c>
      <c r="K41" t="s">
        <v>224</v>
      </c>
      <c r="L41" t="s">
        <v>325</v>
      </c>
      <c r="M41" t="s">
        <v>344</v>
      </c>
      <c r="N41" t="s">
        <v>445</v>
      </c>
      <c r="O41" t="s">
        <v>339</v>
      </c>
      <c r="P41" t="s">
        <v>1209</v>
      </c>
      <c r="Q41" s="125">
        <v>4957000</v>
      </c>
      <c r="R41" s="13" t="s">
        <v>1210</v>
      </c>
      <c r="S41" s="124">
        <v>40680</v>
      </c>
      <c r="U41" s="124">
        <v>7580.0520999999999</v>
      </c>
      <c r="V41" s="129">
        <v>3.8130769230769231E-6</v>
      </c>
      <c r="W41" s="129">
        <v>1.2694462864733641E-2</v>
      </c>
      <c r="X41" s="129">
        <v>6.7147947957438997E-4</v>
      </c>
    </row>
    <row r="42" spans="1:25" x14ac:dyDescent="0.2">
      <c r="A42" t="s">
        <v>1204</v>
      </c>
      <c r="B42" t="s">
        <v>1204</v>
      </c>
      <c r="C42" t="s">
        <v>1741</v>
      </c>
      <c r="D42" t="s">
        <v>1742</v>
      </c>
      <c r="E42" t="s">
        <v>80</v>
      </c>
      <c r="F42" t="s">
        <v>1743</v>
      </c>
      <c r="G42" t="s">
        <v>1744</v>
      </c>
      <c r="H42" t="s">
        <v>321</v>
      </c>
      <c r="I42" t="s">
        <v>917</v>
      </c>
      <c r="J42" t="s">
        <v>205</v>
      </c>
      <c r="K42" t="s">
        <v>224</v>
      </c>
      <c r="L42" t="s">
        <v>325</v>
      </c>
      <c r="M42" t="s">
        <v>344</v>
      </c>
      <c r="N42" t="s">
        <v>478</v>
      </c>
      <c r="O42" t="s">
        <v>339</v>
      </c>
      <c r="P42" t="s">
        <v>1209</v>
      </c>
      <c r="Q42" s="125">
        <v>7646000</v>
      </c>
      <c r="R42" s="13" t="s">
        <v>1210</v>
      </c>
      <c r="S42" s="124">
        <v>26247</v>
      </c>
      <c r="U42" s="124">
        <v>7543.7326999999996</v>
      </c>
      <c r="V42" s="129">
        <v>4.8572184428744366E-6</v>
      </c>
      <c r="W42" s="129">
        <v>1.2633638077210005E-2</v>
      </c>
      <c r="X42" s="129">
        <v>6.6826212433007638E-4</v>
      </c>
    </row>
    <row r="43" spans="1:25" x14ac:dyDescent="0.2">
      <c r="A43" t="s">
        <v>1204</v>
      </c>
      <c r="B43" t="s">
        <v>1204</v>
      </c>
      <c r="C43" t="s">
        <v>1745</v>
      </c>
      <c r="D43" t="s">
        <v>1746</v>
      </c>
      <c r="E43" t="s">
        <v>80</v>
      </c>
      <c r="F43" t="s">
        <v>1747</v>
      </c>
      <c r="G43" t="s">
        <v>1748</v>
      </c>
      <c r="H43" t="s">
        <v>321</v>
      </c>
      <c r="I43" t="s">
        <v>917</v>
      </c>
      <c r="J43" t="s">
        <v>205</v>
      </c>
      <c r="K43" t="s">
        <v>224</v>
      </c>
      <c r="L43" t="s">
        <v>325</v>
      </c>
      <c r="M43" t="s">
        <v>344</v>
      </c>
      <c r="N43" t="s">
        <v>480</v>
      </c>
      <c r="O43" t="s">
        <v>339</v>
      </c>
      <c r="P43" t="s">
        <v>1209</v>
      </c>
      <c r="Q43" s="125">
        <v>25244000</v>
      </c>
      <c r="R43" s="13" t="s">
        <v>1210</v>
      </c>
      <c r="S43" s="124">
        <v>7268</v>
      </c>
      <c r="U43" s="124">
        <v>6896.7647999999999</v>
      </c>
      <c r="V43" s="129">
        <v>1.2749494949494949E-5</v>
      </c>
      <c r="W43" s="129">
        <v>1.1550148193890856E-2</v>
      </c>
      <c r="X43" s="129">
        <v>6.109504262513468E-4</v>
      </c>
    </row>
    <row r="44" spans="1:25" x14ac:dyDescent="0.2">
      <c r="A44" t="s">
        <v>1204</v>
      </c>
      <c r="B44" t="s">
        <v>1204</v>
      </c>
      <c r="C44" t="s">
        <v>1749</v>
      </c>
      <c r="D44" t="s">
        <v>1750</v>
      </c>
      <c r="E44" t="s">
        <v>80</v>
      </c>
      <c r="F44" t="s">
        <v>1751</v>
      </c>
      <c r="G44" t="s">
        <v>1752</v>
      </c>
      <c r="H44" t="s">
        <v>321</v>
      </c>
      <c r="I44" t="s">
        <v>917</v>
      </c>
      <c r="J44" t="s">
        <v>205</v>
      </c>
      <c r="K44" t="s">
        <v>224</v>
      </c>
      <c r="L44" t="s">
        <v>325</v>
      </c>
      <c r="M44" t="s">
        <v>344</v>
      </c>
      <c r="N44" t="s">
        <v>462</v>
      </c>
      <c r="O44" t="s">
        <v>339</v>
      </c>
      <c r="P44" t="s">
        <v>1209</v>
      </c>
      <c r="Q44" s="125">
        <v>26400000</v>
      </c>
      <c r="R44" s="13" t="s">
        <v>1210</v>
      </c>
      <c r="S44" s="124">
        <v>6771</v>
      </c>
      <c r="U44" s="124">
        <v>6719.3779000000004</v>
      </c>
      <c r="V44" s="129">
        <v>3.2821356107495476E-6</v>
      </c>
      <c r="W44" s="129">
        <v>1.1253074834469969E-2</v>
      </c>
      <c r="X44" s="129">
        <v>5.9523659362172661E-4</v>
      </c>
    </row>
    <row r="45" spans="1:25" x14ac:dyDescent="0.2">
      <c r="A45" t="s">
        <v>1204</v>
      </c>
      <c r="B45" t="s">
        <v>1204</v>
      </c>
      <c r="C45" t="s">
        <v>1753</v>
      </c>
      <c r="D45" t="s">
        <v>1754</v>
      </c>
      <c r="E45" t="s">
        <v>80</v>
      </c>
      <c r="F45" t="s">
        <v>1755</v>
      </c>
      <c r="G45" t="s">
        <v>1756</v>
      </c>
      <c r="H45" t="s">
        <v>321</v>
      </c>
      <c r="I45" t="s">
        <v>917</v>
      </c>
      <c r="J45" t="s">
        <v>205</v>
      </c>
      <c r="K45" t="s">
        <v>224</v>
      </c>
      <c r="L45" t="s">
        <v>325</v>
      </c>
      <c r="M45" t="s">
        <v>344</v>
      </c>
      <c r="N45" t="s">
        <v>480</v>
      </c>
      <c r="O45" t="s">
        <v>339</v>
      </c>
      <c r="P45" t="s">
        <v>1209</v>
      </c>
      <c r="Q45" s="125">
        <v>4535000</v>
      </c>
      <c r="R45" s="13" t="s">
        <v>1210</v>
      </c>
      <c r="S45" s="124">
        <v>33901</v>
      </c>
      <c r="U45" s="124">
        <v>5779.1255000000001</v>
      </c>
      <c r="V45" s="129">
        <v>1.4998677073686996E-5</v>
      </c>
      <c r="W45" s="129">
        <v>9.6784155913581232E-3</v>
      </c>
      <c r="X45" s="129">
        <v>5.1194426527838559E-4</v>
      </c>
    </row>
    <row r="46" spans="1:25" x14ac:dyDescent="0.2">
      <c r="A46" t="s">
        <v>1204</v>
      </c>
      <c r="B46" t="s">
        <v>1204</v>
      </c>
      <c r="C46" t="s">
        <v>1757</v>
      </c>
      <c r="D46" t="s">
        <v>1758</v>
      </c>
      <c r="E46" t="s">
        <v>80</v>
      </c>
      <c r="F46" t="s">
        <v>1759</v>
      </c>
      <c r="G46" t="s">
        <v>1760</v>
      </c>
      <c r="H46" t="s">
        <v>321</v>
      </c>
      <c r="I46" t="s">
        <v>917</v>
      </c>
      <c r="J46" t="s">
        <v>205</v>
      </c>
      <c r="K46" t="s">
        <v>224</v>
      </c>
      <c r="L46" t="s">
        <v>325</v>
      </c>
      <c r="M46" t="s">
        <v>344</v>
      </c>
      <c r="N46" t="s">
        <v>448</v>
      </c>
      <c r="O46" t="s">
        <v>339</v>
      </c>
      <c r="P46" t="s">
        <v>1209</v>
      </c>
      <c r="Q46" s="125">
        <v>1755000</v>
      </c>
      <c r="R46" s="13" t="s">
        <v>1210</v>
      </c>
      <c r="S46" s="124">
        <v>84999</v>
      </c>
      <c r="U46" s="124">
        <v>5607.4223000000002</v>
      </c>
      <c r="V46" s="129">
        <v>3.9551078358461226E-6</v>
      </c>
      <c r="W46" s="129">
        <v>9.3908608083813488E-3</v>
      </c>
      <c r="X46" s="129">
        <v>4.9673392214848568E-4</v>
      </c>
    </row>
    <row r="47" spans="1:25" x14ac:dyDescent="0.2">
      <c r="A47" t="s">
        <v>1204</v>
      </c>
      <c r="B47" t="s">
        <v>1204</v>
      </c>
      <c r="C47" t="s">
        <v>1761</v>
      </c>
      <c r="D47" t="s">
        <v>1762</v>
      </c>
      <c r="E47" t="s">
        <v>80</v>
      </c>
      <c r="F47" t="s">
        <v>1763</v>
      </c>
      <c r="G47" t="s">
        <v>1764</v>
      </c>
      <c r="H47" t="s">
        <v>321</v>
      </c>
      <c r="I47" t="s">
        <v>917</v>
      </c>
      <c r="J47" t="s">
        <v>205</v>
      </c>
      <c r="K47" t="s">
        <v>224</v>
      </c>
      <c r="L47" t="s">
        <v>325</v>
      </c>
      <c r="M47" t="s">
        <v>344</v>
      </c>
      <c r="N47" t="s">
        <v>460</v>
      </c>
      <c r="O47" t="s">
        <v>339</v>
      </c>
      <c r="P47" t="s">
        <v>1209</v>
      </c>
      <c r="Q47" s="125">
        <v>2482000</v>
      </c>
      <c r="R47" s="13" t="s">
        <v>1210</v>
      </c>
      <c r="S47" s="124">
        <v>58404</v>
      </c>
      <c r="T47" s="125">
        <v>1538.8</v>
      </c>
      <c r="U47" s="124">
        <v>5453.3370000000004</v>
      </c>
      <c r="V47" s="129">
        <v>1.5454545454545454E-5</v>
      </c>
      <c r="W47" s="129">
        <v>9.1378100613206652E-3</v>
      </c>
      <c r="X47" s="129">
        <v>4.8334868594331564E-4</v>
      </c>
      <c r="Y47" s="125"/>
    </row>
    <row r="48" spans="1:25" x14ac:dyDescent="0.2">
      <c r="A48" t="s">
        <v>1204</v>
      </c>
      <c r="B48" t="s">
        <v>1204</v>
      </c>
      <c r="C48" t="s">
        <v>1765</v>
      </c>
      <c r="D48" t="s">
        <v>1766</v>
      </c>
      <c r="E48" t="s">
        <v>80</v>
      </c>
      <c r="F48" t="s">
        <v>1767</v>
      </c>
      <c r="G48" t="s">
        <v>1768</v>
      </c>
      <c r="H48" t="s">
        <v>321</v>
      </c>
      <c r="I48" t="s">
        <v>917</v>
      </c>
      <c r="J48" t="s">
        <v>205</v>
      </c>
      <c r="K48" t="s">
        <v>224</v>
      </c>
      <c r="L48" t="s">
        <v>325</v>
      </c>
      <c r="M48" t="s">
        <v>344</v>
      </c>
      <c r="N48" t="s">
        <v>455</v>
      </c>
      <c r="O48" t="s">
        <v>339</v>
      </c>
      <c r="P48" t="s">
        <v>1209</v>
      </c>
      <c r="Q48" s="125">
        <v>8250000</v>
      </c>
      <c r="R48" s="13" t="s">
        <v>1210</v>
      </c>
      <c r="S48" s="124">
        <v>15897</v>
      </c>
      <c r="U48" s="124">
        <v>4929.9378999999999</v>
      </c>
      <c r="V48" s="129">
        <v>9.4179157296316164E-7</v>
      </c>
      <c r="W48" s="129">
        <v>8.2562643370425841E-3</v>
      </c>
      <c r="X48" s="129">
        <v>4.367189174791661E-4</v>
      </c>
    </row>
    <row r="49" spans="1:25" x14ac:dyDescent="0.2">
      <c r="A49" t="s">
        <v>1204</v>
      </c>
      <c r="B49" t="s">
        <v>1204</v>
      </c>
      <c r="C49" t="s">
        <v>1769</v>
      </c>
      <c r="D49" t="s">
        <v>1770</v>
      </c>
      <c r="E49" t="s">
        <v>80</v>
      </c>
      <c r="F49" t="s">
        <v>1771</v>
      </c>
      <c r="G49" t="s">
        <v>1772</v>
      </c>
      <c r="H49" t="s">
        <v>321</v>
      </c>
      <c r="I49" t="s">
        <v>917</v>
      </c>
      <c r="J49" t="s">
        <v>205</v>
      </c>
      <c r="K49" t="s">
        <v>224</v>
      </c>
      <c r="L49" t="s">
        <v>325</v>
      </c>
      <c r="M49" t="s">
        <v>344</v>
      </c>
      <c r="N49" t="s">
        <v>454</v>
      </c>
      <c r="O49" t="s">
        <v>339</v>
      </c>
      <c r="P49" t="s">
        <v>1209</v>
      </c>
      <c r="Q49" s="125">
        <v>11200000</v>
      </c>
      <c r="R49" s="13" t="s">
        <v>1210</v>
      </c>
      <c r="S49" s="124">
        <v>11512</v>
      </c>
      <c r="U49" s="124">
        <v>4846.6441000000004</v>
      </c>
      <c r="V49" s="129">
        <v>2.7722772277227721E-6</v>
      </c>
      <c r="W49" s="129">
        <v>8.1167705630601807E-3</v>
      </c>
      <c r="X49" s="129">
        <v>4.2934032984173341E-4</v>
      </c>
    </row>
    <row r="50" spans="1:25" x14ac:dyDescent="0.2">
      <c r="A50" t="s">
        <v>1204</v>
      </c>
      <c r="B50" t="s">
        <v>1204</v>
      </c>
      <c r="C50" t="s">
        <v>1773</v>
      </c>
      <c r="D50" t="s">
        <v>1774</v>
      </c>
      <c r="E50" t="s">
        <v>80</v>
      </c>
      <c r="F50" t="s">
        <v>1775</v>
      </c>
      <c r="G50" t="s">
        <v>1776</v>
      </c>
      <c r="H50" t="s">
        <v>321</v>
      </c>
      <c r="I50" t="s">
        <v>917</v>
      </c>
      <c r="J50" t="s">
        <v>205</v>
      </c>
      <c r="K50" t="s">
        <v>224</v>
      </c>
      <c r="L50" t="s">
        <v>325</v>
      </c>
      <c r="M50" t="s">
        <v>344</v>
      </c>
      <c r="N50" t="s">
        <v>463</v>
      </c>
      <c r="O50" t="s">
        <v>339</v>
      </c>
      <c r="P50" t="s">
        <v>1209</v>
      </c>
      <c r="Q50" s="125">
        <v>25400000</v>
      </c>
      <c r="R50" s="13" t="s">
        <v>1210</v>
      </c>
      <c r="S50" s="124">
        <v>4860</v>
      </c>
      <c r="U50" s="124">
        <v>4640.26</v>
      </c>
      <c r="V50" s="129">
        <v>1.7681989019544687E-5</v>
      </c>
      <c r="W50" s="129">
        <v>7.7711349755100337E-3</v>
      </c>
      <c r="X50" s="129">
        <v>4.1105777571371905E-4</v>
      </c>
    </row>
    <row r="51" spans="1:25" x14ac:dyDescent="0.2">
      <c r="A51" t="s">
        <v>1204</v>
      </c>
      <c r="B51" t="s">
        <v>1204</v>
      </c>
      <c r="C51" t="s">
        <v>1777</v>
      </c>
      <c r="D51" t="s">
        <v>1778</v>
      </c>
      <c r="E51" t="s">
        <v>80</v>
      </c>
      <c r="F51" t="s">
        <v>1779</v>
      </c>
      <c r="G51" t="s">
        <v>1780</v>
      </c>
      <c r="H51" t="s">
        <v>321</v>
      </c>
      <c r="I51" t="s">
        <v>917</v>
      </c>
      <c r="J51" t="s">
        <v>205</v>
      </c>
      <c r="K51" t="s">
        <v>224</v>
      </c>
      <c r="L51" t="s">
        <v>325</v>
      </c>
      <c r="M51" t="s">
        <v>346</v>
      </c>
      <c r="N51" t="s">
        <v>458</v>
      </c>
      <c r="O51" t="s">
        <v>339</v>
      </c>
      <c r="P51" t="s">
        <v>1209</v>
      </c>
      <c r="Q51" s="125">
        <v>1200000</v>
      </c>
      <c r="R51" s="13" t="s">
        <v>1210</v>
      </c>
      <c r="S51" s="124">
        <v>102273</v>
      </c>
      <c r="U51" s="124">
        <v>4613.3305</v>
      </c>
      <c r="V51" s="129">
        <v>3.0411313008439138E-6</v>
      </c>
      <c r="W51" s="129">
        <v>7.7260356503386571E-3</v>
      </c>
      <c r="X51" s="129">
        <v>4.0867222606755314E-4</v>
      </c>
    </row>
    <row r="52" spans="1:25" x14ac:dyDescent="0.2">
      <c r="A52" t="s">
        <v>1204</v>
      </c>
      <c r="B52" t="s">
        <v>1204</v>
      </c>
      <c r="C52" t="s">
        <v>1781</v>
      </c>
      <c r="D52" t="s">
        <v>1782</v>
      </c>
      <c r="E52" t="s">
        <v>80</v>
      </c>
      <c r="F52" t="s">
        <v>1783</v>
      </c>
      <c r="G52" t="s">
        <v>1784</v>
      </c>
      <c r="H52" t="s">
        <v>321</v>
      </c>
      <c r="I52" t="s">
        <v>917</v>
      </c>
      <c r="J52" t="s">
        <v>205</v>
      </c>
      <c r="K52" t="s">
        <v>224</v>
      </c>
      <c r="L52" t="s">
        <v>325</v>
      </c>
      <c r="M52" t="s">
        <v>344</v>
      </c>
      <c r="N52" t="s">
        <v>446</v>
      </c>
      <c r="O52" t="s">
        <v>339</v>
      </c>
      <c r="P52" t="s">
        <v>1209</v>
      </c>
      <c r="Q52" s="125">
        <v>6525000</v>
      </c>
      <c r="R52" s="13" t="s">
        <v>1210</v>
      </c>
      <c r="S52" s="124">
        <v>18201</v>
      </c>
      <c r="U52" s="124">
        <v>4464.2457000000004</v>
      </c>
      <c r="V52" s="129">
        <v>1.1558901682905226E-5</v>
      </c>
      <c r="W52" s="129">
        <v>7.4763604603902108E-3</v>
      </c>
      <c r="X52" s="129">
        <v>3.9546554151574187E-4</v>
      </c>
    </row>
    <row r="53" spans="1:25" x14ac:dyDescent="0.2">
      <c r="A53" t="s">
        <v>1204</v>
      </c>
      <c r="B53" t="s">
        <v>1204</v>
      </c>
      <c r="C53" t="s">
        <v>1785</v>
      </c>
      <c r="D53" t="s">
        <v>1786</v>
      </c>
      <c r="E53" t="s">
        <v>80</v>
      </c>
      <c r="F53" t="s">
        <v>1787</v>
      </c>
      <c r="G53" t="s">
        <v>1788</v>
      </c>
      <c r="H53" t="s">
        <v>321</v>
      </c>
      <c r="I53" t="s">
        <v>917</v>
      </c>
      <c r="J53" t="s">
        <v>205</v>
      </c>
      <c r="K53" t="s">
        <v>224</v>
      </c>
      <c r="L53" t="s">
        <v>325</v>
      </c>
      <c r="M53" t="s">
        <v>344</v>
      </c>
      <c r="N53" t="s">
        <v>458</v>
      </c>
      <c r="O53" t="s">
        <v>339</v>
      </c>
      <c r="P53" t="s">
        <v>1209</v>
      </c>
      <c r="Q53" s="125">
        <v>6600000</v>
      </c>
      <c r="R53" s="13" t="s">
        <v>1210</v>
      </c>
      <c r="S53" s="124">
        <v>17381</v>
      </c>
      <c r="T53" s="125">
        <v>2815.2</v>
      </c>
      <c r="U53" s="124">
        <v>4320.549</v>
      </c>
      <c r="V53" s="129">
        <v>1.2716763005780346E-6</v>
      </c>
      <c r="W53" s="129">
        <v>7.2440323440271393E-3</v>
      </c>
      <c r="X53" s="129">
        <v>3.8317643843763011E-4</v>
      </c>
      <c r="Y53" s="125"/>
    </row>
    <row r="54" spans="1:25" x14ac:dyDescent="0.2">
      <c r="A54" t="s">
        <v>1204</v>
      </c>
      <c r="B54" t="s">
        <v>1204</v>
      </c>
      <c r="C54" t="s">
        <v>1789</v>
      </c>
      <c r="D54" t="s">
        <v>1790</v>
      </c>
      <c r="E54" t="s">
        <v>80</v>
      </c>
      <c r="F54" t="s">
        <v>2575</v>
      </c>
      <c r="G54" t="s">
        <v>1791</v>
      </c>
      <c r="H54" t="s">
        <v>321</v>
      </c>
      <c r="I54" t="s">
        <v>917</v>
      </c>
      <c r="J54" t="s">
        <v>205</v>
      </c>
      <c r="K54" t="s">
        <v>224</v>
      </c>
      <c r="L54" t="s">
        <v>325</v>
      </c>
      <c r="M54" t="s">
        <v>346</v>
      </c>
      <c r="N54" t="s">
        <v>456</v>
      </c>
      <c r="O54" t="s">
        <v>339</v>
      </c>
      <c r="P54" t="s">
        <v>1209</v>
      </c>
      <c r="Q54" s="125">
        <v>2560000</v>
      </c>
      <c r="R54" s="13" t="s">
        <v>1210</v>
      </c>
      <c r="S54" s="124">
        <v>43881</v>
      </c>
      <c r="U54" s="124">
        <v>4222.6862000000001</v>
      </c>
      <c r="V54" s="129">
        <v>5.3158353752232238E-6</v>
      </c>
      <c r="W54" s="129">
        <v>7.0718159252981987E-3</v>
      </c>
      <c r="X54" s="129">
        <v>3.7406697138459455E-4</v>
      </c>
    </row>
    <row r="55" spans="1:25" x14ac:dyDescent="0.2">
      <c r="A55" t="s">
        <v>1204</v>
      </c>
      <c r="B55" t="s">
        <v>1204</v>
      </c>
      <c r="C55" t="s">
        <v>1792</v>
      </c>
      <c r="D55" t="s">
        <v>1793</v>
      </c>
      <c r="E55" t="s">
        <v>80</v>
      </c>
      <c r="F55" t="s">
        <v>1794</v>
      </c>
      <c r="G55" t="s">
        <v>1795</v>
      </c>
      <c r="H55" t="s">
        <v>321</v>
      </c>
      <c r="I55" t="s">
        <v>917</v>
      </c>
      <c r="J55" t="s">
        <v>205</v>
      </c>
      <c r="K55" t="s">
        <v>224</v>
      </c>
      <c r="L55" t="s">
        <v>325</v>
      </c>
      <c r="M55" t="s">
        <v>344</v>
      </c>
      <c r="N55" t="s">
        <v>478</v>
      </c>
      <c r="O55" t="s">
        <v>339</v>
      </c>
      <c r="P55" t="s">
        <v>1209</v>
      </c>
      <c r="Q55" s="125">
        <v>2400000</v>
      </c>
      <c r="R55" s="13" t="s">
        <v>1210</v>
      </c>
      <c r="S55" s="124">
        <v>44116</v>
      </c>
      <c r="U55" s="124">
        <v>3979.9690999999998</v>
      </c>
      <c r="V55" s="129">
        <v>2.5925765890334011E-6</v>
      </c>
      <c r="W55" s="129">
        <v>6.665332761341511E-3</v>
      </c>
      <c r="X55" s="129">
        <v>3.5256585658377429E-4</v>
      </c>
    </row>
    <row r="56" spans="1:25" x14ac:dyDescent="0.2">
      <c r="A56" t="s">
        <v>1204</v>
      </c>
      <c r="B56" t="s">
        <v>1204</v>
      </c>
      <c r="C56" t="s">
        <v>1796</v>
      </c>
      <c r="D56" t="s">
        <v>1797</v>
      </c>
      <c r="E56" t="s">
        <v>80</v>
      </c>
      <c r="F56" t="s">
        <v>1798</v>
      </c>
      <c r="G56" t="s">
        <v>1799</v>
      </c>
      <c r="H56" t="s">
        <v>321</v>
      </c>
      <c r="I56" t="s">
        <v>917</v>
      </c>
      <c r="J56" t="s">
        <v>205</v>
      </c>
      <c r="K56" t="s">
        <v>224</v>
      </c>
      <c r="L56" t="s">
        <v>325</v>
      </c>
      <c r="M56" t="s">
        <v>344</v>
      </c>
      <c r="N56" t="s">
        <v>460</v>
      </c>
      <c r="O56" t="s">
        <v>339</v>
      </c>
      <c r="P56" t="s">
        <v>1209</v>
      </c>
      <c r="Q56" s="125">
        <v>1880000</v>
      </c>
      <c r="R56" s="13" t="s">
        <v>1210</v>
      </c>
      <c r="S56" s="124">
        <v>50926</v>
      </c>
      <c r="U56" s="124">
        <v>3598.8996999999999</v>
      </c>
      <c r="V56" s="129">
        <v>2.0192689816654671E-6</v>
      </c>
      <c r="W56" s="129">
        <v>6.0271483519175424E-3</v>
      </c>
      <c r="X56" s="129">
        <v>3.1880879733056357E-4</v>
      </c>
    </row>
    <row r="57" spans="1:25" x14ac:dyDescent="0.2">
      <c r="A57" t="s">
        <v>1204</v>
      </c>
      <c r="B57" t="s">
        <v>1204</v>
      </c>
      <c r="C57" t="s">
        <v>1800</v>
      </c>
      <c r="D57" t="s">
        <v>1801</v>
      </c>
      <c r="E57" t="s">
        <v>80</v>
      </c>
      <c r="F57" t="s">
        <v>1802</v>
      </c>
      <c r="G57" t="s">
        <v>1803</v>
      </c>
      <c r="H57" t="s">
        <v>321</v>
      </c>
      <c r="I57" t="s">
        <v>917</v>
      </c>
      <c r="J57" t="s">
        <v>205</v>
      </c>
      <c r="K57" t="s">
        <v>224</v>
      </c>
      <c r="L57" t="s">
        <v>325</v>
      </c>
      <c r="M57" t="s">
        <v>346</v>
      </c>
      <c r="N57" t="s">
        <v>569</v>
      </c>
      <c r="O57" t="s">
        <v>339</v>
      </c>
      <c r="P57" t="s">
        <v>1209</v>
      </c>
      <c r="Q57" s="125">
        <v>4800000</v>
      </c>
      <c r="R57" s="13" t="s">
        <v>1210</v>
      </c>
      <c r="S57" s="124">
        <v>19788</v>
      </c>
      <c r="U57" s="124">
        <v>3570.3883999999998</v>
      </c>
      <c r="V57" s="129">
        <v>4.6153846153846153E-6</v>
      </c>
      <c r="W57" s="129">
        <v>5.9793999764904265E-3</v>
      </c>
      <c r="X57" s="129">
        <v>3.1628312494694558E-4</v>
      </c>
    </row>
    <row r="58" spans="1:25" x14ac:dyDescent="0.2">
      <c r="A58" t="s">
        <v>1204</v>
      </c>
      <c r="B58" t="s">
        <v>1204</v>
      </c>
      <c r="C58" t="s">
        <v>1804</v>
      </c>
      <c r="D58" t="s">
        <v>1805</v>
      </c>
      <c r="E58" t="s">
        <v>80</v>
      </c>
      <c r="F58" t="s">
        <v>1806</v>
      </c>
      <c r="G58" t="s">
        <v>1807</v>
      </c>
      <c r="H58" t="s">
        <v>321</v>
      </c>
      <c r="I58" t="s">
        <v>917</v>
      </c>
      <c r="J58" t="s">
        <v>205</v>
      </c>
      <c r="K58" t="s">
        <v>224</v>
      </c>
      <c r="L58" t="s">
        <v>325</v>
      </c>
      <c r="M58" t="s">
        <v>344</v>
      </c>
      <c r="N58" t="s">
        <v>484</v>
      </c>
      <c r="O58" t="s">
        <v>339</v>
      </c>
      <c r="P58" t="s">
        <v>1209</v>
      </c>
      <c r="Q58" s="125">
        <v>8545000</v>
      </c>
      <c r="R58" s="13" t="s">
        <v>1210</v>
      </c>
      <c r="S58" s="124">
        <v>9929</v>
      </c>
      <c r="U58" s="124">
        <v>3189.2597999999998</v>
      </c>
      <c r="V58" s="129">
        <v>4.6872179526935638E-6</v>
      </c>
      <c r="W58" s="129">
        <v>5.3411164165400125E-3</v>
      </c>
      <c r="X58" s="129">
        <v>2.825208210808193E-4</v>
      </c>
    </row>
    <row r="59" spans="1:25" x14ac:dyDescent="0.2">
      <c r="A59" t="s">
        <v>1204</v>
      </c>
      <c r="B59" t="s">
        <v>1204</v>
      </c>
      <c r="C59" t="s">
        <v>1808</v>
      </c>
      <c r="D59" t="s">
        <v>1809</v>
      </c>
      <c r="E59" t="s">
        <v>80</v>
      </c>
      <c r="F59" t="s">
        <v>1810</v>
      </c>
      <c r="G59" t="s">
        <v>1811</v>
      </c>
      <c r="H59" t="s">
        <v>321</v>
      </c>
      <c r="I59" t="s">
        <v>917</v>
      </c>
      <c r="J59" t="s">
        <v>205</v>
      </c>
      <c r="K59" t="s">
        <v>224</v>
      </c>
      <c r="L59" t="s">
        <v>325</v>
      </c>
      <c r="M59" t="s">
        <v>344</v>
      </c>
      <c r="N59" t="s">
        <v>448</v>
      </c>
      <c r="O59" t="s">
        <v>339</v>
      </c>
      <c r="P59" t="s">
        <v>1209</v>
      </c>
      <c r="Q59" s="125">
        <v>4165000</v>
      </c>
      <c r="R59" s="13" t="s">
        <v>1210</v>
      </c>
      <c r="S59" s="124">
        <v>20226</v>
      </c>
      <c r="U59" s="124">
        <v>3166.6300999999999</v>
      </c>
      <c r="V59" s="129">
        <v>1.4461805555555555E-6</v>
      </c>
      <c r="W59" s="129">
        <v>5.3032179376971229E-3</v>
      </c>
      <c r="X59" s="129">
        <v>2.8051616352884191E-4</v>
      </c>
    </row>
    <row r="60" spans="1:25" x14ac:dyDescent="0.2">
      <c r="A60" t="s">
        <v>1204</v>
      </c>
      <c r="B60" t="s">
        <v>1204</v>
      </c>
      <c r="C60" t="s">
        <v>1812</v>
      </c>
      <c r="D60" t="s">
        <v>1813</v>
      </c>
      <c r="E60" t="s">
        <v>80</v>
      </c>
      <c r="F60" t="s">
        <v>1814</v>
      </c>
      <c r="G60" t="s">
        <v>1815</v>
      </c>
      <c r="H60" t="s">
        <v>321</v>
      </c>
      <c r="I60" t="s">
        <v>917</v>
      </c>
      <c r="J60" t="s">
        <v>205</v>
      </c>
      <c r="K60" t="s">
        <v>224</v>
      </c>
      <c r="L60" t="s">
        <v>325</v>
      </c>
      <c r="M60" t="s">
        <v>344</v>
      </c>
      <c r="N60" t="s">
        <v>509</v>
      </c>
      <c r="O60" t="s">
        <v>339</v>
      </c>
      <c r="P60" t="s">
        <v>1209</v>
      </c>
      <c r="Q60" s="125">
        <v>17000000</v>
      </c>
      <c r="R60" s="13" t="s">
        <v>1210</v>
      </c>
      <c r="S60" s="124">
        <v>4744</v>
      </c>
      <c r="U60" s="124">
        <v>3031.5583000000001</v>
      </c>
      <c r="V60" s="129">
        <v>2.6343834524532054E-5</v>
      </c>
      <c r="W60" s="129">
        <v>5.0770105756855997E-3</v>
      </c>
      <c r="X60" s="129">
        <v>2.685508205806683E-4</v>
      </c>
    </row>
    <row r="61" spans="1:25" x14ac:dyDescent="0.2">
      <c r="A61" t="s">
        <v>1204</v>
      </c>
      <c r="B61" t="s">
        <v>1204</v>
      </c>
      <c r="C61" t="s">
        <v>1816</v>
      </c>
      <c r="D61" t="s">
        <v>1817</v>
      </c>
      <c r="E61" t="s">
        <v>80</v>
      </c>
      <c r="F61" t="s">
        <v>1818</v>
      </c>
      <c r="G61" t="s">
        <v>1819</v>
      </c>
      <c r="H61" t="s">
        <v>321</v>
      </c>
      <c r="I61" t="s">
        <v>917</v>
      </c>
      <c r="J61" t="s">
        <v>205</v>
      </c>
      <c r="K61" t="s">
        <v>224</v>
      </c>
      <c r="L61" t="s">
        <v>325</v>
      </c>
      <c r="M61" t="s">
        <v>344</v>
      </c>
      <c r="N61" t="s">
        <v>448</v>
      </c>
      <c r="O61" t="s">
        <v>339</v>
      </c>
      <c r="P61" t="s">
        <v>1209</v>
      </c>
      <c r="Q61" s="125">
        <v>13500000</v>
      </c>
      <c r="R61" s="13" t="s">
        <v>1210</v>
      </c>
      <c r="S61" s="124">
        <v>5939</v>
      </c>
      <c r="U61" s="124">
        <v>3013.8346000000001</v>
      </c>
      <c r="V61" s="129">
        <v>3.5433070866141731E-6</v>
      </c>
      <c r="W61" s="129">
        <v>5.04732837046742E-3</v>
      </c>
      <c r="X61" s="129">
        <v>2.669807666189608E-4</v>
      </c>
    </row>
    <row r="62" spans="1:25" x14ac:dyDescent="0.2">
      <c r="A62" t="s">
        <v>1204</v>
      </c>
      <c r="B62" t="s">
        <v>1204</v>
      </c>
      <c r="C62" t="s">
        <v>1820</v>
      </c>
      <c r="D62" t="s">
        <v>1821</v>
      </c>
      <c r="E62" t="s">
        <v>80</v>
      </c>
      <c r="F62" t="s">
        <v>2576</v>
      </c>
      <c r="G62" t="s">
        <v>1822</v>
      </c>
      <c r="H62" t="s">
        <v>321</v>
      </c>
      <c r="I62" t="s">
        <v>917</v>
      </c>
      <c r="J62" t="s">
        <v>205</v>
      </c>
      <c r="K62" t="s">
        <v>224</v>
      </c>
      <c r="L62" t="s">
        <v>325</v>
      </c>
      <c r="M62" t="s">
        <v>344</v>
      </c>
      <c r="N62" t="s">
        <v>480</v>
      </c>
      <c r="O62" t="s">
        <v>339</v>
      </c>
      <c r="P62" t="s">
        <v>1209</v>
      </c>
      <c r="Q62" s="125">
        <v>5400000</v>
      </c>
      <c r="R62" s="13" t="s">
        <v>1210</v>
      </c>
      <c r="S62" s="124">
        <v>14120</v>
      </c>
      <c r="U62" s="124">
        <v>2866.1623</v>
      </c>
      <c r="V62" s="129">
        <v>1.9636363636363636E-6</v>
      </c>
      <c r="W62" s="129">
        <v>4.8000186287927241E-3</v>
      </c>
      <c r="X62" s="129">
        <v>2.5389920354670659E-4</v>
      </c>
    </row>
    <row r="63" spans="1:25" x14ac:dyDescent="0.2">
      <c r="A63" t="s">
        <v>1204</v>
      </c>
      <c r="B63" t="s">
        <v>1204</v>
      </c>
      <c r="C63" t="s">
        <v>1823</v>
      </c>
      <c r="D63" t="s">
        <v>1824</v>
      </c>
      <c r="E63" t="s">
        <v>80</v>
      </c>
      <c r="F63" t="s">
        <v>1825</v>
      </c>
      <c r="G63" t="s">
        <v>1826</v>
      </c>
      <c r="H63" t="s">
        <v>321</v>
      </c>
      <c r="I63" t="s">
        <v>917</v>
      </c>
      <c r="J63" t="s">
        <v>205</v>
      </c>
      <c r="K63" t="s">
        <v>224</v>
      </c>
      <c r="L63" t="s">
        <v>325</v>
      </c>
      <c r="M63" t="s">
        <v>344</v>
      </c>
      <c r="N63" t="s">
        <v>480</v>
      </c>
      <c r="O63" t="s">
        <v>339</v>
      </c>
      <c r="P63" t="s">
        <v>1209</v>
      </c>
      <c r="Q63" s="125">
        <v>1125000</v>
      </c>
      <c r="R63" s="13" t="s">
        <v>1210</v>
      </c>
      <c r="S63" s="124">
        <v>65721</v>
      </c>
      <c r="U63" s="124">
        <v>2779.2588999999998</v>
      </c>
      <c r="V63" s="129">
        <v>4.2824514655500569E-6</v>
      </c>
      <c r="W63" s="129">
        <v>4.6544798203329591E-3</v>
      </c>
      <c r="X63" s="129">
        <v>2.4620086101707249E-4</v>
      </c>
    </row>
    <row r="64" spans="1:25" x14ac:dyDescent="0.2">
      <c r="A64" t="s">
        <v>1204</v>
      </c>
      <c r="B64" t="s">
        <v>1204</v>
      </c>
      <c r="C64" t="s">
        <v>1827</v>
      </c>
      <c r="D64" t="s">
        <v>1828</v>
      </c>
      <c r="E64" t="s">
        <v>80</v>
      </c>
      <c r="F64" t="s">
        <v>1829</v>
      </c>
      <c r="G64" t="s">
        <v>1830</v>
      </c>
      <c r="H64" t="s">
        <v>321</v>
      </c>
      <c r="I64" t="s">
        <v>917</v>
      </c>
      <c r="J64" t="s">
        <v>205</v>
      </c>
      <c r="K64" t="s">
        <v>224</v>
      </c>
      <c r="L64" t="s">
        <v>325</v>
      </c>
      <c r="M64" t="s">
        <v>344</v>
      </c>
      <c r="N64" t="s">
        <v>437</v>
      </c>
      <c r="O64" t="s">
        <v>339</v>
      </c>
      <c r="P64" t="s">
        <v>1209</v>
      </c>
      <c r="Q64" s="125">
        <v>8000000</v>
      </c>
      <c r="R64" s="13" t="s">
        <v>1210</v>
      </c>
      <c r="S64" s="124">
        <v>7537</v>
      </c>
      <c r="T64" s="125">
        <v>2960</v>
      </c>
      <c r="U64" s="124">
        <v>2274.8719999999998</v>
      </c>
      <c r="V64" s="129">
        <v>6.6035937888264226E-6</v>
      </c>
      <c r="W64" s="129">
        <v>3.8193880900199949E-3</v>
      </c>
      <c r="X64" s="129">
        <v>2.0202829803095108E-4</v>
      </c>
    </row>
    <row r="65" spans="1:26" x14ac:dyDescent="0.2">
      <c r="A65" s="195" t="s">
        <v>2681</v>
      </c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1">
    <mergeCell ref="A65:Z65"/>
  </mergeCells>
  <dataValidations count="8"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O2:O18" xr:uid="{00000000-0002-0000-0600-000001000000}">
      <formula1>Holding_interest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I42"/>
  <sheetViews>
    <sheetView rightToLeft="1" workbookViewId="0">
      <selection activeCell="F9" sqref="F9"/>
    </sheetView>
  </sheetViews>
  <sheetFormatPr defaultColWidth="9" defaultRowHeight="14.25" x14ac:dyDescent="0.2"/>
  <cols>
    <col min="1" max="1" width="11.25" style="2" customWidth="1"/>
    <col min="2" max="2" width="11.625" style="2" customWidth="1"/>
    <col min="3" max="3" width="39.125" style="2" bestFit="1" customWidth="1"/>
    <col min="4" max="4" width="11.625" style="2" customWidth="1"/>
    <col min="5" max="5" width="18.125" style="4" customWidth="1"/>
    <col min="6" max="6" width="46.625" style="2" bestFit="1" customWidth="1"/>
    <col min="7" max="7" width="12.75" style="2" customWidth="1"/>
    <col min="8" max="8" width="15.5" style="2" customWidth="1"/>
    <col min="9" max="9" width="24.125" style="2" bestFit="1" customWidth="1"/>
    <col min="10" max="10" width="11.625" style="2" customWidth="1"/>
    <col min="11" max="11" width="19.875" style="2" customWidth="1"/>
    <col min="12" max="12" width="10.25" style="2" customWidth="1"/>
    <col min="13" max="13" width="79.37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3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67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70</v>
      </c>
      <c r="M1" s="169" t="s">
        <v>90</v>
      </c>
      <c r="N1" s="169" t="s">
        <v>56</v>
      </c>
      <c r="O1" s="169" t="s">
        <v>59</v>
      </c>
      <c r="P1" s="169" t="s">
        <v>76</v>
      </c>
      <c r="Q1" s="169" t="s">
        <v>61</v>
      </c>
      <c r="R1" s="169" t="s">
        <v>77</v>
      </c>
      <c r="S1" s="169" t="s">
        <v>75</v>
      </c>
      <c r="T1" s="169" t="s">
        <v>63</v>
      </c>
      <c r="U1" s="169" t="s">
        <v>79</v>
      </c>
      <c r="V1" s="169" t="s">
        <v>64</v>
      </c>
      <c r="W1" s="169" t="s">
        <v>65</v>
      </c>
    </row>
    <row r="2" spans="1:23" x14ac:dyDescent="0.2">
      <c r="A2" t="s">
        <v>1204</v>
      </c>
      <c r="B2" t="s">
        <v>1204</v>
      </c>
      <c r="C2" t="s">
        <v>1831</v>
      </c>
      <c r="D2" t="s">
        <v>1832</v>
      </c>
      <c r="E2" t="s">
        <v>80</v>
      </c>
      <c r="F2" t="s">
        <v>1833</v>
      </c>
      <c r="G2" t="s">
        <v>1834</v>
      </c>
      <c r="H2" t="s">
        <v>312</v>
      </c>
      <c r="I2" t="s">
        <v>964</v>
      </c>
      <c r="J2" t="s">
        <v>204</v>
      </c>
      <c r="K2" t="s">
        <v>204</v>
      </c>
      <c r="L2" t="s">
        <v>340</v>
      </c>
      <c r="M2" t="s">
        <v>577</v>
      </c>
      <c r="N2" t="s">
        <v>339</v>
      </c>
      <c r="O2" t="s">
        <v>1208</v>
      </c>
      <c r="P2" s="125">
        <v>38300000000</v>
      </c>
      <c r="Q2" s="133">
        <v>1</v>
      </c>
      <c r="R2" s="127">
        <v>124.73</v>
      </c>
      <c r="S2" s="125"/>
      <c r="T2" s="124">
        <v>47771.59</v>
      </c>
      <c r="U2" s="129">
        <v>8.2596506361871894E-2</v>
      </c>
      <c r="V2" s="129">
        <v>6.6033172070661672E-2</v>
      </c>
      <c r="W2" s="129">
        <v>4.2318498741410479E-3</v>
      </c>
    </row>
    <row r="3" spans="1:23" x14ac:dyDescent="0.2">
      <c r="A3" t="s">
        <v>1204</v>
      </c>
      <c r="B3" t="s">
        <v>1204</v>
      </c>
      <c r="C3" t="s">
        <v>1835</v>
      </c>
      <c r="D3" t="s">
        <v>1836</v>
      </c>
      <c r="E3" t="s">
        <v>80</v>
      </c>
      <c r="F3" t="s">
        <v>1837</v>
      </c>
      <c r="G3" t="s">
        <v>1838</v>
      </c>
      <c r="H3" t="s">
        <v>312</v>
      </c>
      <c r="I3" t="s">
        <v>964</v>
      </c>
      <c r="J3" t="s">
        <v>204</v>
      </c>
      <c r="K3" t="s">
        <v>204</v>
      </c>
      <c r="L3" t="s">
        <v>340</v>
      </c>
      <c r="M3" t="s">
        <v>577</v>
      </c>
      <c r="N3" t="s">
        <v>339</v>
      </c>
      <c r="O3" t="s">
        <v>1208</v>
      </c>
      <c r="P3" s="125">
        <v>27509940000</v>
      </c>
      <c r="Q3" s="133">
        <v>1</v>
      </c>
      <c r="R3" s="127">
        <v>136.62</v>
      </c>
      <c r="S3" s="125"/>
      <c r="T3" s="124">
        <v>37584.080000000002</v>
      </c>
      <c r="U3" s="129">
        <v>7.7733653574456066E-2</v>
      </c>
      <c r="V3" s="129">
        <v>5.1951296232895801E-2</v>
      </c>
      <c r="W3" s="129">
        <v>3.3293885411014973E-3</v>
      </c>
    </row>
    <row r="4" spans="1:23" x14ac:dyDescent="0.2">
      <c r="A4" t="s">
        <v>1204</v>
      </c>
      <c r="B4" t="s">
        <v>1204</v>
      </c>
      <c r="C4" t="s">
        <v>1835</v>
      </c>
      <c r="D4" t="s">
        <v>1836</v>
      </c>
      <c r="E4" t="s">
        <v>80</v>
      </c>
      <c r="F4" t="s">
        <v>1839</v>
      </c>
      <c r="G4" t="s">
        <v>1840</v>
      </c>
      <c r="H4" t="s">
        <v>312</v>
      </c>
      <c r="I4" t="s">
        <v>964</v>
      </c>
      <c r="J4" t="s">
        <v>204</v>
      </c>
      <c r="K4" t="s">
        <v>204</v>
      </c>
      <c r="L4" t="s">
        <v>340</v>
      </c>
      <c r="M4" t="s">
        <v>574</v>
      </c>
      <c r="N4" t="s">
        <v>339</v>
      </c>
      <c r="O4" t="s">
        <v>1208</v>
      </c>
      <c r="P4" s="125">
        <v>23687000000</v>
      </c>
      <c r="Q4" s="133">
        <v>1</v>
      </c>
      <c r="R4" s="127">
        <v>115.34</v>
      </c>
      <c r="S4" s="125"/>
      <c r="T4" s="124">
        <v>27320.585800000001</v>
      </c>
      <c r="U4" s="129">
        <v>0.16342174769317269</v>
      </c>
      <c r="V4" s="129">
        <v>3.7764389738810786E-2</v>
      </c>
      <c r="W4" s="129">
        <v>2.4201961370594887E-3</v>
      </c>
    </row>
    <row r="5" spans="1:23" x14ac:dyDescent="0.2">
      <c r="A5" t="s">
        <v>1204</v>
      </c>
      <c r="B5" t="s">
        <v>1204</v>
      </c>
      <c r="C5" t="s">
        <v>1841</v>
      </c>
      <c r="D5" t="s">
        <v>1842</v>
      </c>
      <c r="E5" t="s">
        <v>80</v>
      </c>
      <c r="F5" t="s">
        <v>1843</v>
      </c>
      <c r="G5" t="s">
        <v>1844</v>
      </c>
      <c r="H5" t="s">
        <v>312</v>
      </c>
      <c r="I5" t="s">
        <v>964</v>
      </c>
      <c r="J5" t="s">
        <v>204</v>
      </c>
      <c r="K5" t="s">
        <v>204</v>
      </c>
      <c r="L5" t="s">
        <v>340</v>
      </c>
      <c r="M5" t="s">
        <v>700</v>
      </c>
      <c r="N5" t="s">
        <v>339</v>
      </c>
      <c r="O5" t="s">
        <v>1208</v>
      </c>
      <c r="P5" s="125">
        <v>355898000</v>
      </c>
      <c r="Q5" s="133">
        <v>1</v>
      </c>
      <c r="R5" s="127">
        <v>1588</v>
      </c>
      <c r="S5" s="125"/>
      <c r="T5" s="124">
        <v>5651.6602000000003</v>
      </c>
      <c r="U5" s="129">
        <v>0.1010070106468061</v>
      </c>
      <c r="V5" s="129">
        <v>7.8121128711193628E-3</v>
      </c>
      <c r="W5" s="129">
        <v>5.006527451845744E-4</v>
      </c>
    </row>
    <row r="6" spans="1:23" x14ac:dyDescent="0.2">
      <c r="A6" t="s">
        <v>1204</v>
      </c>
      <c r="B6" t="s">
        <v>1204</v>
      </c>
      <c r="C6" t="s">
        <v>1845</v>
      </c>
      <c r="D6" t="s">
        <v>1846</v>
      </c>
      <c r="E6" t="s">
        <v>80</v>
      </c>
      <c r="F6" t="s">
        <v>1847</v>
      </c>
      <c r="G6" t="s">
        <v>1848</v>
      </c>
      <c r="H6" t="s">
        <v>312</v>
      </c>
      <c r="I6" t="s">
        <v>965</v>
      </c>
      <c r="J6" t="s">
        <v>204</v>
      </c>
      <c r="K6" t="s">
        <v>204</v>
      </c>
      <c r="L6" t="s">
        <v>340</v>
      </c>
      <c r="M6" t="s">
        <v>604</v>
      </c>
      <c r="N6" t="s">
        <v>339</v>
      </c>
      <c r="O6" t="s">
        <v>1208</v>
      </c>
      <c r="P6" s="125">
        <v>609700000</v>
      </c>
      <c r="Q6" s="133">
        <v>1</v>
      </c>
      <c r="R6" s="127">
        <v>8781</v>
      </c>
      <c r="S6" s="125"/>
      <c r="T6" s="124">
        <v>53537.756999999998</v>
      </c>
      <c r="U6" s="129">
        <v>1.701674733177988E-2</v>
      </c>
      <c r="V6" s="129">
        <v>7.4003564048386733E-2</v>
      </c>
      <c r="W6" s="129">
        <v>4.7426462092269488E-3</v>
      </c>
    </row>
    <row r="7" spans="1:23" x14ac:dyDescent="0.2">
      <c r="A7" t="s">
        <v>1204</v>
      </c>
      <c r="B7" t="s">
        <v>1204</v>
      </c>
      <c r="C7" t="s">
        <v>1849</v>
      </c>
      <c r="D7" t="s">
        <v>1850</v>
      </c>
      <c r="E7" t="s">
        <v>80</v>
      </c>
      <c r="F7" t="s">
        <v>1851</v>
      </c>
      <c r="G7" t="s">
        <v>1852</v>
      </c>
      <c r="H7" t="s">
        <v>312</v>
      </c>
      <c r="I7" t="s">
        <v>965</v>
      </c>
      <c r="J7" t="s">
        <v>204</v>
      </c>
      <c r="K7" t="s">
        <v>204</v>
      </c>
      <c r="L7" t="s">
        <v>340</v>
      </c>
      <c r="M7" t="s">
        <v>703</v>
      </c>
      <c r="N7" t="s">
        <v>339</v>
      </c>
      <c r="O7" t="s">
        <v>1208</v>
      </c>
      <c r="P7" s="125">
        <v>12698639000</v>
      </c>
      <c r="Q7" s="133">
        <v>1</v>
      </c>
      <c r="R7" s="127">
        <v>214.54</v>
      </c>
      <c r="S7" s="125"/>
      <c r="T7" s="124">
        <v>27243.660100000001</v>
      </c>
      <c r="U7" s="129">
        <v>1.1718935954226652E-2</v>
      </c>
      <c r="V7" s="129">
        <v>3.7658057768599942E-2</v>
      </c>
      <c r="W7" s="129">
        <v>2.4133816691088595E-3</v>
      </c>
    </row>
    <row r="8" spans="1:23" x14ac:dyDescent="0.2">
      <c r="A8" t="s">
        <v>1204</v>
      </c>
      <c r="B8" t="s">
        <v>1204</v>
      </c>
      <c r="C8" t="s">
        <v>1841</v>
      </c>
      <c r="D8" t="s">
        <v>1842</v>
      </c>
      <c r="E8" t="s">
        <v>80</v>
      </c>
      <c r="F8" t="s">
        <v>1853</v>
      </c>
      <c r="G8" t="s">
        <v>1854</v>
      </c>
      <c r="H8" t="s">
        <v>312</v>
      </c>
      <c r="I8" t="s">
        <v>965</v>
      </c>
      <c r="J8" t="s">
        <v>204</v>
      </c>
      <c r="K8" t="s">
        <v>204</v>
      </c>
      <c r="L8" t="s">
        <v>340</v>
      </c>
      <c r="M8" t="s">
        <v>610</v>
      </c>
      <c r="N8" t="s">
        <v>339</v>
      </c>
      <c r="O8" t="s">
        <v>1208</v>
      </c>
      <c r="P8" s="125">
        <v>725938000</v>
      </c>
      <c r="Q8" s="133">
        <v>1</v>
      </c>
      <c r="R8" s="127">
        <v>2654</v>
      </c>
      <c r="S8" s="125"/>
      <c r="T8" s="124">
        <v>19266.394499999999</v>
      </c>
      <c r="U8" s="129">
        <v>1.3214839857868267E-2</v>
      </c>
      <c r="V8" s="129">
        <v>2.6631333487547999E-2</v>
      </c>
      <c r="W8" s="129">
        <v>1.7067149999531893E-3</v>
      </c>
    </row>
    <row r="9" spans="1:23" x14ac:dyDescent="0.2">
      <c r="A9" t="s">
        <v>1204</v>
      </c>
      <c r="B9" t="s">
        <v>1204</v>
      </c>
      <c r="C9" t="s">
        <v>1855</v>
      </c>
      <c r="D9" t="s">
        <v>1856</v>
      </c>
      <c r="E9" t="s">
        <v>80</v>
      </c>
      <c r="F9" t="s">
        <v>1857</v>
      </c>
      <c r="G9" t="s">
        <v>1858</v>
      </c>
      <c r="H9" t="s">
        <v>312</v>
      </c>
      <c r="I9" t="s">
        <v>965</v>
      </c>
      <c r="J9" t="s">
        <v>204</v>
      </c>
      <c r="K9" t="s">
        <v>204</v>
      </c>
      <c r="L9" t="s">
        <v>340</v>
      </c>
      <c r="M9" t="s">
        <v>703</v>
      </c>
      <c r="N9" t="s">
        <v>338</v>
      </c>
      <c r="O9" t="s">
        <v>1208</v>
      </c>
      <c r="P9" s="125">
        <v>34982000</v>
      </c>
      <c r="Q9" s="133">
        <v>1</v>
      </c>
      <c r="R9" s="127">
        <v>49100</v>
      </c>
      <c r="S9" s="125"/>
      <c r="T9" s="124">
        <v>17176.162</v>
      </c>
      <c r="U9" s="129">
        <v>8.5000194386128602E-2</v>
      </c>
      <c r="V9" s="129">
        <v>2.3742070566618367E-2</v>
      </c>
      <c r="W9" s="129">
        <v>1.5215515957900136E-3</v>
      </c>
    </row>
    <row r="10" spans="1:23" x14ac:dyDescent="0.2">
      <c r="A10" t="s">
        <v>1204</v>
      </c>
      <c r="B10" t="s">
        <v>1204</v>
      </c>
      <c r="C10" t="s">
        <v>1855</v>
      </c>
      <c r="D10" t="s">
        <v>1856</v>
      </c>
      <c r="E10" t="s">
        <v>80</v>
      </c>
      <c r="F10" t="s">
        <v>1859</v>
      </c>
      <c r="G10" t="s">
        <v>1860</v>
      </c>
      <c r="H10" t="s">
        <v>312</v>
      </c>
      <c r="I10" t="s">
        <v>965</v>
      </c>
      <c r="J10" t="s">
        <v>204</v>
      </c>
      <c r="K10" t="s">
        <v>204</v>
      </c>
      <c r="L10" t="s">
        <v>340</v>
      </c>
      <c r="M10" t="s">
        <v>599</v>
      </c>
      <c r="N10" t="s">
        <v>338</v>
      </c>
      <c r="O10" t="s">
        <v>1208</v>
      </c>
      <c r="P10" s="125">
        <v>34762000</v>
      </c>
      <c r="Q10" s="133">
        <v>1</v>
      </c>
      <c r="R10" s="127">
        <v>43480</v>
      </c>
      <c r="S10" s="125"/>
      <c r="T10" s="124">
        <v>15114.517599999999</v>
      </c>
      <c r="U10" s="129">
        <v>0.13980574714955057</v>
      </c>
      <c r="V10" s="129">
        <v>2.0892324108237641E-2</v>
      </c>
      <c r="W10" s="129">
        <v>1.3389206723758338E-3</v>
      </c>
    </row>
    <row r="11" spans="1:23" x14ac:dyDescent="0.2">
      <c r="A11" t="s">
        <v>1204</v>
      </c>
      <c r="B11" t="s">
        <v>1204</v>
      </c>
      <c r="C11" t="s">
        <v>1841</v>
      </c>
      <c r="D11" t="s">
        <v>1842</v>
      </c>
      <c r="E11" t="s">
        <v>80</v>
      </c>
      <c r="F11" t="s">
        <v>1861</v>
      </c>
      <c r="G11" t="s">
        <v>1862</v>
      </c>
      <c r="H11" t="s">
        <v>312</v>
      </c>
      <c r="I11" t="s">
        <v>965</v>
      </c>
      <c r="J11" t="s">
        <v>204</v>
      </c>
      <c r="K11" t="s">
        <v>204</v>
      </c>
      <c r="L11" t="s">
        <v>340</v>
      </c>
      <c r="M11" t="s">
        <v>602</v>
      </c>
      <c r="N11" t="s">
        <v>339</v>
      </c>
      <c r="O11" t="s">
        <v>1208</v>
      </c>
      <c r="P11" s="125">
        <v>133417000</v>
      </c>
      <c r="Q11" s="133">
        <v>1</v>
      </c>
      <c r="R11" s="127">
        <v>8445</v>
      </c>
      <c r="S11" s="125"/>
      <c r="T11" s="124">
        <v>11267.065699999999</v>
      </c>
      <c r="U11" s="129">
        <v>8.5833102265409231E-2</v>
      </c>
      <c r="V11" s="129">
        <v>1.5574111826671282E-2</v>
      </c>
      <c r="W11" s="129">
        <v>9.9809385354122449E-4</v>
      </c>
    </row>
    <row r="12" spans="1:23" x14ac:dyDescent="0.2">
      <c r="A12" t="s">
        <v>1204</v>
      </c>
      <c r="B12" t="s">
        <v>1204</v>
      </c>
      <c r="C12" t="s">
        <v>1841</v>
      </c>
      <c r="D12" t="s">
        <v>1842</v>
      </c>
      <c r="E12" t="s">
        <v>80</v>
      </c>
      <c r="F12" t="s">
        <v>1863</v>
      </c>
      <c r="G12" t="s">
        <v>1864</v>
      </c>
      <c r="H12" t="s">
        <v>312</v>
      </c>
      <c r="I12" t="s">
        <v>965</v>
      </c>
      <c r="J12" t="s">
        <v>204</v>
      </c>
      <c r="K12" t="s">
        <v>204</v>
      </c>
      <c r="L12" t="s">
        <v>340</v>
      </c>
      <c r="M12" t="s">
        <v>703</v>
      </c>
      <c r="N12" t="s">
        <v>339</v>
      </c>
      <c r="O12" t="s">
        <v>1208</v>
      </c>
      <c r="P12" s="125">
        <v>73840000</v>
      </c>
      <c r="Q12" s="133">
        <v>1</v>
      </c>
      <c r="R12" s="127">
        <v>14740</v>
      </c>
      <c r="S12" s="125"/>
      <c r="T12" s="124">
        <v>10884.016</v>
      </c>
      <c r="U12" s="129">
        <v>0.16350970119177846</v>
      </c>
      <c r="V12" s="129">
        <v>1.5044634297243085E-2</v>
      </c>
      <c r="W12" s="129">
        <v>9.6416137163843937E-4</v>
      </c>
    </row>
    <row r="13" spans="1:23" x14ac:dyDescent="0.2">
      <c r="A13" t="s">
        <v>1204</v>
      </c>
      <c r="B13" t="s">
        <v>1204</v>
      </c>
      <c r="C13" t="s">
        <v>1841</v>
      </c>
      <c r="D13" t="s">
        <v>1842</v>
      </c>
      <c r="E13" t="s">
        <v>80</v>
      </c>
      <c r="F13" t="s">
        <v>1865</v>
      </c>
      <c r="G13" t="s">
        <v>1866</v>
      </c>
      <c r="H13" t="s">
        <v>312</v>
      </c>
      <c r="I13" t="s">
        <v>965</v>
      </c>
      <c r="J13" t="s">
        <v>204</v>
      </c>
      <c r="K13" t="s">
        <v>204</v>
      </c>
      <c r="L13" t="s">
        <v>340</v>
      </c>
      <c r="M13" t="s">
        <v>703</v>
      </c>
      <c r="N13" t="s">
        <v>339</v>
      </c>
      <c r="O13" t="s">
        <v>1208</v>
      </c>
      <c r="P13" s="125">
        <v>145617000</v>
      </c>
      <c r="Q13" s="133">
        <v>1</v>
      </c>
      <c r="R13" s="127">
        <v>7203</v>
      </c>
      <c r="S13" s="125"/>
      <c r="T13" s="124">
        <v>10488.7925</v>
      </c>
      <c r="U13" s="129">
        <v>2.2067518419907669E-2</v>
      </c>
      <c r="V13" s="129">
        <v>1.4498329250215396E-2</v>
      </c>
      <c r="W13" s="129">
        <v>9.2915046920847861E-4</v>
      </c>
    </row>
    <row r="14" spans="1:23" x14ac:dyDescent="0.2">
      <c r="A14" t="s">
        <v>1204</v>
      </c>
      <c r="B14" t="s">
        <v>1204</v>
      </c>
      <c r="C14" t="s">
        <v>1867</v>
      </c>
      <c r="D14" t="s">
        <v>1868</v>
      </c>
      <c r="E14" t="s">
        <v>80</v>
      </c>
      <c r="F14" t="s">
        <v>1869</v>
      </c>
      <c r="G14" t="s">
        <v>1870</v>
      </c>
      <c r="H14" t="s">
        <v>312</v>
      </c>
      <c r="I14" t="s">
        <v>965</v>
      </c>
      <c r="J14" t="s">
        <v>204</v>
      </c>
      <c r="K14" t="s">
        <v>224</v>
      </c>
      <c r="L14" t="s">
        <v>340</v>
      </c>
      <c r="M14" t="s">
        <v>604</v>
      </c>
      <c r="N14" t="s">
        <v>339</v>
      </c>
      <c r="O14" t="s">
        <v>1208</v>
      </c>
      <c r="P14" s="125">
        <v>114950000</v>
      </c>
      <c r="Q14" s="133">
        <v>1</v>
      </c>
      <c r="R14" s="127">
        <v>8649</v>
      </c>
      <c r="S14" s="125"/>
      <c r="T14" s="124">
        <v>9942.0254999999997</v>
      </c>
      <c r="U14" s="129">
        <v>6.5626069563633734E-3</v>
      </c>
      <c r="V14" s="129">
        <v>1.3742550343675103E-2</v>
      </c>
      <c r="W14" s="129">
        <v>8.8071507272171788E-4</v>
      </c>
    </row>
    <row r="15" spans="1:23" x14ac:dyDescent="0.2">
      <c r="A15" t="s">
        <v>1204</v>
      </c>
      <c r="B15" t="s">
        <v>1204</v>
      </c>
      <c r="C15" t="s">
        <v>1871</v>
      </c>
      <c r="D15" t="s">
        <v>1872</v>
      </c>
      <c r="E15" t="s">
        <v>80</v>
      </c>
      <c r="F15" t="s">
        <v>1873</v>
      </c>
      <c r="G15" t="s">
        <v>1874</v>
      </c>
      <c r="H15" t="s">
        <v>321</v>
      </c>
      <c r="I15" t="s">
        <v>965</v>
      </c>
      <c r="J15" t="s">
        <v>205</v>
      </c>
      <c r="K15" t="s">
        <v>224</v>
      </c>
      <c r="L15" t="s">
        <v>344</v>
      </c>
      <c r="M15" t="s">
        <v>595</v>
      </c>
      <c r="N15" t="s">
        <v>339</v>
      </c>
      <c r="O15" t="s">
        <v>1209</v>
      </c>
      <c r="P15" s="125">
        <v>228345000</v>
      </c>
      <c r="Q15" s="13" t="s">
        <v>1210</v>
      </c>
      <c r="R15" s="127">
        <v>4111</v>
      </c>
      <c r="S15" s="125"/>
      <c r="T15" s="124">
        <v>35286.721400000002</v>
      </c>
      <c r="U15" s="129">
        <v>2.3848155673750283E-4</v>
      </c>
      <c r="V15" s="129">
        <v>4.8775729422737724E-2</v>
      </c>
      <c r="W15" s="129">
        <v>3.1258768577385734E-3</v>
      </c>
    </row>
    <row r="16" spans="1:23" x14ac:dyDescent="0.2">
      <c r="A16" t="s">
        <v>1204</v>
      </c>
      <c r="B16" t="s">
        <v>1204</v>
      </c>
      <c r="C16" t="s">
        <v>1875</v>
      </c>
      <c r="D16" t="s">
        <v>1876</v>
      </c>
      <c r="E16" t="s">
        <v>80</v>
      </c>
      <c r="F16" t="s">
        <v>1877</v>
      </c>
      <c r="G16" t="s">
        <v>1878</v>
      </c>
      <c r="H16" t="s">
        <v>321</v>
      </c>
      <c r="I16" t="s">
        <v>965</v>
      </c>
      <c r="J16" t="s">
        <v>205</v>
      </c>
      <c r="K16" t="s">
        <v>224</v>
      </c>
      <c r="L16" t="s">
        <v>344</v>
      </c>
      <c r="M16" t="s">
        <v>604</v>
      </c>
      <c r="N16" t="s">
        <v>339</v>
      </c>
      <c r="O16" t="s">
        <v>1209</v>
      </c>
      <c r="P16" s="125">
        <v>215241000</v>
      </c>
      <c r="Q16" s="13" t="s">
        <v>1210</v>
      </c>
      <c r="R16" s="127">
        <v>3666</v>
      </c>
      <c r="S16" s="125"/>
      <c r="T16" s="124">
        <v>29661.273099999999</v>
      </c>
      <c r="U16" s="129">
        <v>1.9392828182719164E-3</v>
      </c>
      <c r="V16" s="129">
        <v>4.0999848441772915E-2</v>
      </c>
      <c r="W16" s="129">
        <v>2.6275460958085119E-3</v>
      </c>
    </row>
    <row r="17" spans="1:24" x14ac:dyDescent="0.2">
      <c r="A17" t="s">
        <v>1204</v>
      </c>
      <c r="B17" t="s">
        <v>1204</v>
      </c>
      <c r="C17" t="s">
        <v>1765</v>
      </c>
      <c r="D17" t="s">
        <v>1766</v>
      </c>
      <c r="E17" t="s">
        <v>80</v>
      </c>
      <c r="F17" t="s">
        <v>1879</v>
      </c>
      <c r="G17" t="s">
        <v>1880</v>
      </c>
      <c r="H17" t="s">
        <v>321</v>
      </c>
      <c r="I17" t="s">
        <v>965</v>
      </c>
      <c r="J17" t="s">
        <v>205</v>
      </c>
      <c r="K17" t="s">
        <v>224</v>
      </c>
      <c r="L17" t="s">
        <v>344</v>
      </c>
      <c r="M17" t="s">
        <v>602</v>
      </c>
      <c r="N17" t="s">
        <v>339</v>
      </c>
      <c r="O17" t="s">
        <v>1209</v>
      </c>
      <c r="P17" s="125">
        <v>69585000</v>
      </c>
      <c r="Q17" s="13" t="s">
        <v>1210</v>
      </c>
      <c r="R17" s="127">
        <v>11035</v>
      </c>
      <c r="S17" s="125"/>
      <c r="T17" s="124">
        <v>28864.251199999999</v>
      </c>
      <c r="U17" s="129">
        <v>5.1240795287187037E-4</v>
      </c>
      <c r="V17" s="129">
        <v>3.9898149993027619E-2</v>
      </c>
      <c r="W17" s="129">
        <v>2.5569418480423261E-3</v>
      </c>
    </row>
    <row r="18" spans="1:24" x14ac:dyDescent="0.2">
      <c r="A18" t="s">
        <v>1204</v>
      </c>
      <c r="B18" t="s">
        <v>1204</v>
      </c>
      <c r="C18" t="s">
        <v>1881</v>
      </c>
      <c r="D18" t="s">
        <v>1882</v>
      </c>
      <c r="E18" t="s">
        <v>80</v>
      </c>
      <c r="F18" t="s">
        <v>1883</v>
      </c>
      <c r="G18" t="s">
        <v>1884</v>
      </c>
      <c r="H18" t="s">
        <v>321</v>
      </c>
      <c r="I18" t="s">
        <v>965</v>
      </c>
      <c r="J18" t="s">
        <v>205</v>
      </c>
      <c r="K18" t="s">
        <v>224</v>
      </c>
      <c r="L18" t="s">
        <v>344</v>
      </c>
      <c r="M18" t="s">
        <v>597</v>
      </c>
      <c r="N18" t="s">
        <v>339</v>
      </c>
      <c r="O18" t="s">
        <v>1209</v>
      </c>
      <c r="P18" s="125">
        <v>87330000</v>
      </c>
      <c r="Q18" s="13" t="s">
        <v>1210</v>
      </c>
      <c r="R18" s="127">
        <v>8690</v>
      </c>
      <c r="S18" s="125"/>
      <c r="T18" s="124">
        <v>28526.964499999998</v>
      </c>
      <c r="U18" s="129">
        <v>1.1139030612244897E-3</v>
      </c>
      <c r="V18" s="129">
        <v>3.9431929276827156E-2</v>
      </c>
      <c r="W18" s="129">
        <v>2.5270632882623476E-3</v>
      </c>
    </row>
    <row r="19" spans="1:24" x14ac:dyDescent="0.2">
      <c r="A19" t="s">
        <v>1204</v>
      </c>
      <c r="B19" t="s">
        <v>1204</v>
      </c>
      <c r="C19" t="s">
        <v>1885</v>
      </c>
      <c r="D19" t="s">
        <v>1886</v>
      </c>
      <c r="E19" t="s">
        <v>80</v>
      </c>
      <c r="F19" t="s">
        <v>1887</v>
      </c>
      <c r="G19" t="s">
        <v>1888</v>
      </c>
      <c r="H19" t="s">
        <v>321</v>
      </c>
      <c r="I19" t="s">
        <v>965</v>
      </c>
      <c r="J19" t="s">
        <v>205</v>
      </c>
      <c r="K19" t="s">
        <v>281</v>
      </c>
      <c r="L19" t="s">
        <v>314</v>
      </c>
      <c r="M19" t="s">
        <v>610</v>
      </c>
      <c r="N19" t="s">
        <v>339</v>
      </c>
      <c r="O19" t="s">
        <v>1211</v>
      </c>
      <c r="P19" s="125">
        <v>207735000</v>
      </c>
      <c r="Q19" s="131">
        <v>4.0202</v>
      </c>
      <c r="R19" s="127">
        <v>3074.1</v>
      </c>
      <c r="S19" s="125"/>
      <c r="T19" s="124">
        <v>25672.9234</v>
      </c>
      <c r="U19" s="129">
        <v>3.1670879591656274E-3</v>
      </c>
      <c r="V19" s="129">
        <v>3.5486877585273406E-2</v>
      </c>
      <c r="W19" s="129">
        <v>2.274237837343276E-3</v>
      </c>
    </row>
    <row r="20" spans="1:24" x14ac:dyDescent="0.2">
      <c r="A20" t="s">
        <v>1204</v>
      </c>
      <c r="B20" t="s">
        <v>1204</v>
      </c>
      <c r="C20" t="s">
        <v>1889</v>
      </c>
      <c r="D20" t="s">
        <v>1890</v>
      </c>
      <c r="E20" t="s">
        <v>80</v>
      </c>
      <c r="F20" t="s">
        <v>1891</v>
      </c>
      <c r="G20" t="s">
        <v>1892</v>
      </c>
      <c r="H20" t="s">
        <v>321</v>
      </c>
      <c r="I20" t="s">
        <v>965</v>
      </c>
      <c r="J20" t="s">
        <v>205</v>
      </c>
      <c r="K20" t="s">
        <v>224</v>
      </c>
      <c r="L20" t="s">
        <v>344</v>
      </c>
      <c r="M20" t="s">
        <v>611</v>
      </c>
      <c r="N20" t="s">
        <v>339</v>
      </c>
      <c r="O20" t="s">
        <v>1209</v>
      </c>
      <c r="P20" s="125">
        <v>11043000</v>
      </c>
      <c r="Q20" s="13" t="s">
        <v>1210</v>
      </c>
      <c r="R20" s="127">
        <v>57659</v>
      </c>
      <c r="S20" s="125">
        <v>23735.7</v>
      </c>
      <c r="T20" s="124">
        <v>23958.353999999999</v>
      </c>
      <c r="U20" s="129">
        <v>8.5062017474479051E-5</v>
      </c>
      <c r="V20" s="129">
        <v>3.3139445051176337E-2</v>
      </c>
      <c r="W20" s="129">
        <v>2.1237985692835353E-3</v>
      </c>
      <c r="X20" s="125"/>
    </row>
    <row r="21" spans="1:24" x14ac:dyDescent="0.2">
      <c r="A21" t="s">
        <v>1204</v>
      </c>
      <c r="B21" t="s">
        <v>1204</v>
      </c>
      <c r="C21" t="s">
        <v>1765</v>
      </c>
      <c r="D21" t="s">
        <v>1893</v>
      </c>
      <c r="E21" t="s">
        <v>80</v>
      </c>
      <c r="F21" t="s">
        <v>1894</v>
      </c>
      <c r="G21" t="s">
        <v>1895</v>
      </c>
      <c r="H21" t="s">
        <v>321</v>
      </c>
      <c r="I21" t="s">
        <v>965</v>
      </c>
      <c r="J21" t="s">
        <v>205</v>
      </c>
      <c r="K21" t="s">
        <v>224</v>
      </c>
      <c r="L21" t="s">
        <v>344</v>
      </c>
      <c r="M21" t="s">
        <v>596</v>
      </c>
      <c r="N21" t="s">
        <v>339</v>
      </c>
      <c r="O21" t="s">
        <v>1209</v>
      </c>
      <c r="P21" s="125">
        <v>81708000</v>
      </c>
      <c r="Q21" s="13" t="s">
        <v>1210</v>
      </c>
      <c r="R21" s="127">
        <v>6824</v>
      </c>
      <c r="S21" s="125"/>
      <c r="T21" s="124">
        <v>20959.258999999998</v>
      </c>
      <c r="U21" s="129">
        <v>4.56214405360134E-4</v>
      </c>
      <c r="V21" s="129">
        <v>2.8971326996831297E-2</v>
      </c>
      <c r="W21" s="129">
        <v>1.8566775252602393E-3</v>
      </c>
    </row>
    <row r="22" spans="1:24" x14ac:dyDescent="0.2">
      <c r="A22" t="s">
        <v>1204</v>
      </c>
      <c r="B22" t="s">
        <v>1204</v>
      </c>
      <c r="C22" t="s">
        <v>1896</v>
      </c>
      <c r="D22" t="s">
        <v>1897</v>
      </c>
      <c r="E22" t="s">
        <v>80</v>
      </c>
      <c r="F22" t="s">
        <v>1898</v>
      </c>
      <c r="G22" t="s">
        <v>1899</v>
      </c>
      <c r="H22" t="s">
        <v>321</v>
      </c>
      <c r="I22" t="s">
        <v>965</v>
      </c>
      <c r="J22" t="s">
        <v>205</v>
      </c>
      <c r="K22" t="s">
        <v>224</v>
      </c>
      <c r="L22" t="s">
        <v>344</v>
      </c>
      <c r="M22" t="s">
        <v>595</v>
      </c>
      <c r="N22" t="s">
        <v>339</v>
      </c>
      <c r="O22" t="s">
        <v>1209</v>
      </c>
      <c r="P22" s="125">
        <v>41674000</v>
      </c>
      <c r="Q22" s="13" t="s">
        <v>1210</v>
      </c>
      <c r="R22" s="127">
        <v>11860</v>
      </c>
      <c r="S22" s="125"/>
      <c r="T22" s="124">
        <v>18578.994299999998</v>
      </c>
      <c r="U22" s="129">
        <v>1.0385267145135566E-4</v>
      </c>
      <c r="V22" s="129">
        <v>2.5681161739315311E-2</v>
      </c>
      <c r="W22" s="129">
        <v>1.645821602482172E-3</v>
      </c>
    </row>
    <row r="23" spans="1:24" x14ac:dyDescent="0.2">
      <c r="A23" t="s">
        <v>1204</v>
      </c>
      <c r="B23" t="s">
        <v>1204</v>
      </c>
      <c r="C23" t="s">
        <v>1871</v>
      </c>
      <c r="D23" t="s">
        <v>1872</v>
      </c>
      <c r="E23" t="s">
        <v>80</v>
      </c>
      <c r="F23" t="s">
        <v>1900</v>
      </c>
      <c r="G23" t="s">
        <v>1901</v>
      </c>
      <c r="H23" t="s">
        <v>321</v>
      </c>
      <c r="I23" t="s">
        <v>965</v>
      </c>
      <c r="J23" t="s">
        <v>205</v>
      </c>
      <c r="K23" t="s">
        <v>224</v>
      </c>
      <c r="L23" t="s">
        <v>344</v>
      </c>
      <c r="M23" t="s">
        <v>589</v>
      </c>
      <c r="N23" t="s">
        <v>339</v>
      </c>
      <c r="O23" t="s">
        <v>1209</v>
      </c>
      <c r="P23" s="125">
        <v>33429000</v>
      </c>
      <c r="Q23" s="13" t="s">
        <v>1210</v>
      </c>
      <c r="R23" s="127">
        <v>14575</v>
      </c>
      <c r="S23" s="125"/>
      <c r="T23" s="124">
        <v>18314.888299999999</v>
      </c>
      <c r="U23" s="129">
        <v>1.2442618013480593E-4</v>
      </c>
      <c r="V23" s="129">
        <v>2.53160962568643E-2</v>
      </c>
      <c r="W23" s="129">
        <v>1.6224257505562587E-3</v>
      </c>
    </row>
    <row r="24" spans="1:24" x14ac:dyDescent="0.2">
      <c r="A24" t="s">
        <v>1204</v>
      </c>
      <c r="B24" t="s">
        <v>1204</v>
      </c>
      <c r="C24" t="s">
        <v>1902</v>
      </c>
      <c r="D24" t="s">
        <v>1903</v>
      </c>
      <c r="E24" t="s">
        <v>80</v>
      </c>
      <c r="F24" t="s">
        <v>1904</v>
      </c>
      <c r="G24" t="s">
        <v>1905</v>
      </c>
      <c r="H24" t="s">
        <v>321</v>
      </c>
      <c r="I24" t="s">
        <v>965</v>
      </c>
      <c r="J24" t="s">
        <v>205</v>
      </c>
      <c r="K24" t="s">
        <v>224</v>
      </c>
      <c r="L24" t="s">
        <v>344</v>
      </c>
      <c r="M24" t="s">
        <v>595</v>
      </c>
      <c r="N24" t="s">
        <v>339</v>
      </c>
      <c r="O24" t="s">
        <v>1209</v>
      </c>
      <c r="P24" s="125">
        <v>39900000</v>
      </c>
      <c r="Q24" s="13" t="s">
        <v>1210</v>
      </c>
      <c r="R24" s="127">
        <v>12187</v>
      </c>
      <c r="S24" s="125"/>
      <c r="T24" s="124">
        <v>18278.562300000001</v>
      </c>
      <c r="U24" s="129">
        <v>2.3418791379067473E-4</v>
      </c>
      <c r="V24" s="129">
        <v>2.5265883915128524E-2</v>
      </c>
      <c r="W24" s="129">
        <v>1.6192078059173508E-3</v>
      </c>
    </row>
    <row r="25" spans="1:24" x14ac:dyDescent="0.2">
      <c r="A25" t="s">
        <v>1204</v>
      </c>
      <c r="B25" t="s">
        <v>1204</v>
      </c>
      <c r="C25" t="s">
        <v>1906</v>
      </c>
      <c r="D25" t="s">
        <v>1907</v>
      </c>
      <c r="E25" t="s">
        <v>80</v>
      </c>
      <c r="F25" t="s">
        <v>1908</v>
      </c>
      <c r="G25" t="s">
        <v>1909</v>
      </c>
      <c r="H25" t="s">
        <v>321</v>
      </c>
      <c r="I25" t="s">
        <v>965</v>
      </c>
      <c r="J25" t="s">
        <v>205</v>
      </c>
      <c r="K25" t="s">
        <v>224</v>
      </c>
      <c r="L25" t="s">
        <v>344</v>
      </c>
      <c r="M25" t="s">
        <v>595</v>
      </c>
      <c r="N25" t="s">
        <v>339</v>
      </c>
      <c r="O25" t="s">
        <v>1209</v>
      </c>
      <c r="P25" s="125">
        <v>47702000</v>
      </c>
      <c r="Q25" s="13" t="s">
        <v>1210</v>
      </c>
      <c r="R25" s="127">
        <v>9911</v>
      </c>
      <c r="S25" s="125">
        <v>49933</v>
      </c>
      <c r="T25" s="124">
        <v>17821.528999999999</v>
      </c>
      <c r="U25" s="129">
        <v>3.0280324378181207E-3</v>
      </c>
      <c r="V25" s="129">
        <v>2.4681606675043311E-2</v>
      </c>
      <c r="W25" s="129">
        <v>1.581763389915766E-3</v>
      </c>
      <c r="X25" s="125"/>
    </row>
    <row r="26" spans="1:24" x14ac:dyDescent="0.2">
      <c r="A26" t="s">
        <v>1204</v>
      </c>
      <c r="B26" t="s">
        <v>1204</v>
      </c>
      <c r="C26" t="s">
        <v>1910</v>
      </c>
      <c r="D26" t="s">
        <v>1911</v>
      </c>
      <c r="E26" t="s">
        <v>80</v>
      </c>
      <c r="F26" t="s">
        <v>1912</v>
      </c>
      <c r="G26" t="s">
        <v>1913</v>
      </c>
      <c r="H26" t="s">
        <v>321</v>
      </c>
      <c r="I26" t="s">
        <v>965</v>
      </c>
      <c r="J26" t="s">
        <v>205</v>
      </c>
      <c r="K26" t="s">
        <v>224</v>
      </c>
      <c r="L26" t="s">
        <v>346</v>
      </c>
      <c r="M26" t="s">
        <v>597</v>
      </c>
      <c r="N26" t="s">
        <v>339</v>
      </c>
      <c r="O26" t="s">
        <v>1209</v>
      </c>
      <c r="P26" s="125">
        <v>50766000</v>
      </c>
      <c r="Q26" s="13" t="s">
        <v>1210</v>
      </c>
      <c r="R26" s="127">
        <v>9148</v>
      </c>
      <c r="S26" s="125"/>
      <c r="T26" s="124">
        <v>17457.073</v>
      </c>
      <c r="U26" s="129">
        <v>9.578490566037736E-3</v>
      </c>
      <c r="V26" s="129">
        <v>2.4130364989396389E-2</v>
      </c>
      <c r="W26" s="129">
        <v>1.5464361144741144E-3</v>
      </c>
    </row>
    <row r="27" spans="1:24" x14ac:dyDescent="0.2">
      <c r="A27" t="s">
        <v>1204</v>
      </c>
      <c r="B27" t="s">
        <v>1204</v>
      </c>
      <c r="C27" t="s">
        <v>1914</v>
      </c>
      <c r="D27" t="s">
        <v>1915</v>
      </c>
      <c r="E27" t="s">
        <v>80</v>
      </c>
      <c r="F27" t="s">
        <v>1916</v>
      </c>
      <c r="G27" t="s">
        <v>1917</v>
      </c>
      <c r="H27" t="s">
        <v>321</v>
      </c>
      <c r="I27" t="s">
        <v>965</v>
      </c>
      <c r="J27" t="s">
        <v>205</v>
      </c>
      <c r="K27" t="s">
        <v>224</v>
      </c>
      <c r="L27" t="s">
        <v>344</v>
      </c>
      <c r="M27" t="s">
        <v>609</v>
      </c>
      <c r="N27" t="s">
        <v>339</v>
      </c>
      <c r="O27" t="s">
        <v>1209</v>
      </c>
      <c r="P27" s="125">
        <v>85018000</v>
      </c>
      <c r="Q27" s="13" t="s">
        <v>1210</v>
      </c>
      <c r="R27" s="127">
        <v>5003</v>
      </c>
      <c r="S27" s="125"/>
      <c r="T27" s="124">
        <v>15988.720600000001</v>
      </c>
      <c r="U27" s="129">
        <v>1.1230768029687123E-3</v>
      </c>
      <c r="V27" s="129">
        <v>2.2100707496644445E-2</v>
      </c>
      <c r="W27" s="129">
        <v>1.4163620087494875E-3</v>
      </c>
    </row>
    <row r="28" spans="1:24" x14ac:dyDescent="0.2">
      <c r="A28" t="s">
        <v>1204</v>
      </c>
      <c r="B28" t="s">
        <v>1204</v>
      </c>
      <c r="C28" t="s">
        <v>1881</v>
      </c>
      <c r="D28" t="s">
        <v>1882</v>
      </c>
      <c r="E28" t="s">
        <v>80</v>
      </c>
      <c r="F28" t="s">
        <v>1918</v>
      </c>
      <c r="G28" t="s">
        <v>1919</v>
      </c>
      <c r="H28" t="s">
        <v>321</v>
      </c>
      <c r="I28" t="s">
        <v>965</v>
      </c>
      <c r="J28" t="s">
        <v>205</v>
      </c>
      <c r="K28" t="s">
        <v>224</v>
      </c>
      <c r="L28" t="s">
        <v>344</v>
      </c>
      <c r="M28" t="s">
        <v>596</v>
      </c>
      <c r="N28" t="s">
        <v>339</v>
      </c>
      <c r="O28" t="s">
        <v>1209</v>
      </c>
      <c r="P28" s="125">
        <v>58666000</v>
      </c>
      <c r="Q28" s="13" t="s">
        <v>1210</v>
      </c>
      <c r="R28" s="127">
        <v>6609</v>
      </c>
      <c r="S28" s="125"/>
      <c r="T28" s="124">
        <v>14574.5299</v>
      </c>
      <c r="U28" s="129">
        <v>7.013269575612672E-4</v>
      </c>
      <c r="V28" s="129">
        <v>2.0145916027371338E-2</v>
      </c>
      <c r="W28" s="129">
        <v>1.2910858214361903E-3</v>
      </c>
    </row>
    <row r="29" spans="1:24" x14ac:dyDescent="0.2">
      <c r="A29" t="s">
        <v>1204</v>
      </c>
      <c r="B29" t="s">
        <v>1204</v>
      </c>
      <c r="C29" t="s">
        <v>1896</v>
      </c>
      <c r="D29" t="s">
        <v>1897</v>
      </c>
      <c r="E29" t="s">
        <v>80</v>
      </c>
      <c r="F29" t="s">
        <v>1920</v>
      </c>
      <c r="G29" t="s">
        <v>1921</v>
      </c>
      <c r="H29" t="s">
        <v>321</v>
      </c>
      <c r="I29" t="s">
        <v>965</v>
      </c>
      <c r="J29" t="s">
        <v>205</v>
      </c>
      <c r="K29" t="s">
        <v>224</v>
      </c>
      <c r="L29" t="s">
        <v>346</v>
      </c>
      <c r="M29" t="s">
        <v>602</v>
      </c>
      <c r="N29" t="s">
        <v>339</v>
      </c>
      <c r="O29" t="s">
        <v>1209</v>
      </c>
      <c r="P29" s="125">
        <v>43420000</v>
      </c>
      <c r="Q29" s="13" t="s">
        <v>1210</v>
      </c>
      <c r="R29" s="127">
        <v>8197</v>
      </c>
      <c r="S29" s="125">
        <v>36650</v>
      </c>
      <c r="T29" s="124">
        <v>13415.448</v>
      </c>
      <c r="U29" s="129">
        <v>5.9245149661544004E-2</v>
      </c>
      <c r="V29" s="129">
        <v>1.8578592178904511E-2</v>
      </c>
      <c r="W29" s="129">
        <v>1.1906411657747141E-3</v>
      </c>
      <c r="X29" s="125"/>
    </row>
    <row r="30" spans="1:24" x14ac:dyDescent="0.2">
      <c r="A30" t="s">
        <v>1204</v>
      </c>
      <c r="B30" t="s">
        <v>1204</v>
      </c>
      <c r="C30" t="s">
        <v>1922</v>
      </c>
      <c r="D30" t="s">
        <v>1923</v>
      </c>
      <c r="E30" t="s">
        <v>80</v>
      </c>
      <c r="F30" t="s">
        <v>1924</v>
      </c>
      <c r="G30" t="s">
        <v>1925</v>
      </c>
      <c r="H30" t="s">
        <v>321</v>
      </c>
      <c r="I30" t="s">
        <v>965</v>
      </c>
      <c r="J30" t="s">
        <v>205</v>
      </c>
      <c r="K30" t="s">
        <v>224</v>
      </c>
      <c r="L30" t="s">
        <v>344</v>
      </c>
      <c r="M30" t="s">
        <v>595</v>
      </c>
      <c r="N30" t="s">
        <v>339</v>
      </c>
      <c r="O30" t="s">
        <v>1209</v>
      </c>
      <c r="P30" s="125">
        <v>45994000</v>
      </c>
      <c r="Q30" s="13" t="s">
        <v>1210</v>
      </c>
      <c r="R30" s="127">
        <v>7658</v>
      </c>
      <c r="S30" s="125"/>
      <c r="T30" s="124">
        <v>13240.026900000001</v>
      </c>
      <c r="U30" s="129">
        <v>9.0933175168050613E-4</v>
      </c>
      <c r="V30" s="129">
        <v>1.8301274393377313E-2</v>
      </c>
      <c r="W30" s="129">
        <v>1.1728687765500299E-3</v>
      </c>
    </row>
    <row r="31" spans="1:24" x14ac:dyDescent="0.2">
      <c r="A31" t="s">
        <v>1204</v>
      </c>
      <c r="B31" t="s">
        <v>1204</v>
      </c>
      <c r="C31" t="s">
        <v>1926</v>
      </c>
      <c r="D31" t="s">
        <v>1927</v>
      </c>
      <c r="E31" t="s">
        <v>80</v>
      </c>
      <c r="F31" t="s">
        <v>1928</v>
      </c>
      <c r="G31" t="s">
        <v>1929</v>
      </c>
      <c r="H31" t="s">
        <v>321</v>
      </c>
      <c r="I31" t="s">
        <v>965</v>
      </c>
      <c r="J31" t="s">
        <v>205</v>
      </c>
      <c r="K31" t="s">
        <v>224</v>
      </c>
      <c r="L31" t="s">
        <v>344</v>
      </c>
      <c r="M31" t="s">
        <v>611</v>
      </c>
      <c r="N31" t="s">
        <v>339</v>
      </c>
      <c r="O31" t="s">
        <v>1209</v>
      </c>
      <c r="P31" s="125">
        <v>12480000</v>
      </c>
      <c r="Q31" s="13" t="s">
        <v>1210</v>
      </c>
      <c r="R31" s="127">
        <v>26070</v>
      </c>
      <c r="S31" s="125"/>
      <c r="T31" s="124">
        <v>12230.041800000001</v>
      </c>
      <c r="U31" s="129">
        <v>1.4199264883122187E-4</v>
      </c>
      <c r="V31" s="129">
        <v>1.6905203619883302E-2</v>
      </c>
      <c r="W31" s="129">
        <v>1.0833991699592614E-3</v>
      </c>
    </row>
    <row r="32" spans="1:24" x14ac:dyDescent="0.2">
      <c r="A32" t="s">
        <v>1204</v>
      </c>
      <c r="B32" t="s">
        <v>1204</v>
      </c>
      <c r="C32" t="s">
        <v>1930</v>
      </c>
      <c r="D32" t="s">
        <v>1931</v>
      </c>
      <c r="E32" t="s">
        <v>80</v>
      </c>
      <c r="F32" t="s">
        <v>1932</v>
      </c>
      <c r="G32" t="s">
        <v>1933</v>
      </c>
      <c r="H32" t="s">
        <v>321</v>
      </c>
      <c r="I32" t="s">
        <v>965</v>
      </c>
      <c r="J32" t="s">
        <v>205</v>
      </c>
      <c r="K32" t="s">
        <v>224</v>
      </c>
      <c r="L32" t="s">
        <v>344</v>
      </c>
      <c r="M32" t="s">
        <v>596</v>
      </c>
      <c r="N32" t="s">
        <v>339</v>
      </c>
      <c r="O32" t="s">
        <v>1209</v>
      </c>
      <c r="P32" s="125">
        <v>24975000</v>
      </c>
      <c r="Q32" s="13" t="s">
        <v>1210</v>
      </c>
      <c r="R32" s="127">
        <v>11282</v>
      </c>
      <c r="S32" s="125"/>
      <c r="T32" s="124">
        <v>10591.6572</v>
      </c>
      <c r="U32" s="129">
        <v>7.7083333333333333E-4</v>
      </c>
      <c r="V32" s="129">
        <v>1.4640515944212996E-2</v>
      </c>
      <c r="W32" s="129">
        <v>9.3826274905555883E-4</v>
      </c>
    </row>
    <row r="33" spans="1:35" x14ac:dyDescent="0.2">
      <c r="A33" t="s">
        <v>1204</v>
      </c>
      <c r="B33" t="s">
        <v>1204</v>
      </c>
      <c r="C33" t="s">
        <v>1934</v>
      </c>
      <c r="D33" t="s">
        <v>1935</v>
      </c>
      <c r="E33" t="s">
        <v>80</v>
      </c>
      <c r="F33" t="s">
        <v>1936</v>
      </c>
      <c r="G33" t="s">
        <v>1937</v>
      </c>
      <c r="H33" t="s">
        <v>321</v>
      </c>
      <c r="I33" t="s">
        <v>965</v>
      </c>
      <c r="J33" t="s">
        <v>205</v>
      </c>
      <c r="K33" t="s">
        <v>224</v>
      </c>
      <c r="L33" t="s">
        <v>344</v>
      </c>
      <c r="M33" t="s">
        <v>596</v>
      </c>
      <c r="N33" t="s">
        <v>339</v>
      </c>
      <c r="O33" t="s">
        <v>1209</v>
      </c>
      <c r="P33" s="125">
        <v>20000000</v>
      </c>
      <c r="Q33" s="13" t="s">
        <v>1210</v>
      </c>
      <c r="R33" s="127">
        <v>13205</v>
      </c>
      <c r="S33" s="125"/>
      <c r="T33" s="124">
        <v>9927.5190000000002</v>
      </c>
      <c r="U33" s="129">
        <v>4.5353846515281424E-4</v>
      </c>
      <c r="V33" s="129">
        <v>1.3722498463244852E-2</v>
      </c>
      <c r="W33" s="129">
        <v>8.7943001333392636E-4</v>
      </c>
    </row>
    <row r="34" spans="1:35" x14ac:dyDescent="0.2">
      <c r="A34" t="s">
        <v>1204</v>
      </c>
      <c r="B34" t="s">
        <v>1204</v>
      </c>
      <c r="C34" t="s">
        <v>1922</v>
      </c>
      <c r="D34" t="s">
        <v>1938</v>
      </c>
      <c r="E34" t="s">
        <v>80</v>
      </c>
      <c r="F34" t="s">
        <v>1939</v>
      </c>
      <c r="G34" t="s">
        <v>1940</v>
      </c>
      <c r="H34" t="s">
        <v>321</v>
      </c>
      <c r="I34" t="s">
        <v>965</v>
      </c>
      <c r="J34" t="s">
        <v>205</v>
      </c>
      <c r="K34" t="s">
        <v>224</v>
      </c>
      <c r="L34" t="s">
        <v>344</v>
      </c>
      <c r="M34" t="s">
        <v>595</v>
      </c>
      <c r="N34" t="s">
        <v>339</v>
      </c>
      <c r="O34" t="s">
        <v>1209</v>
      </c>
      <c r="P34" s="125">
        <v>16150000</v>
      </c>
      <c r="Q34" s="13" t="s">
        <v>1210</v>
      </c>
      <c r="R34" s="127">
        <v>14547</v>
      </c>
      <c r="S34" s="125"/>
      <c r="T34" s="124">
        <v>8831.1708999999992</v>
      </c>
      <c r="U34" s="129">
        <v>6.4599999999999998E-4</v>
      </c>
      <c r="V34" s="129">
        <v>1.2207050890151037E-2</v>
      </c>
      <c r="W34" s="129">
        <v>7.8230993837218217E-4</v>
      </c>
    </row>
    <row r="35" spans="1:35" x14ac:dyDescent="0.2">
      <c r="A35" t="s">
        <v>1204</v>
      </c>
      <c r="B35" t="s">
        <v>1204</v>
      </c>
      <c r="C35" t="s">
        <v>1871</v>
      </c>
      <c r="D35" t="s">
        <v>1872</v>
      </c>
      <c r="E35" t="s">
        <v>80</v>
      </c>
      <c r="F35" t="s">
        <v>1941</v>
      </c>
      <c r="G35" t="s">
        <v>1942</v>
      </c>
      <c r="H35" t="s">
        <v>321</v>
      </c>
      <c r="I35" t="s">
        <v>965</v>
      </c>
      <c r="J35" t="s">
        <v>205</v>
      </c>
      <c r="K35" t="s">
        <v>224</v>
      </c>
      <c r="L35" t="s">
        <v>344</v>
      </c>
      <c r="M35" t="s">
        <v>596</v>
      </c>
      <c r="N35" t="s">
        <v>339</v>
      </c>
      <c r="O35" t="s">
        <v>1209</v>
      </c>
      <c r="P35" s="125">
        <v>23200000</v>
      </c>
      <c r="Q35" s="13" t="s">
        <v>1210</v>
      </c>
      <c r="R35" s="127">
        <v>10108</v>
      </c>
      <c r="S35" s="125"/>
      <c r="T35" s="124">
        <v>8815.0655000000006</v>
      </c>
      <c r="U35" s="129">
        <v>1.4499985500014501E-3</v>
      </c>
      <c r="V35" s="129">
        <v>1.2184788851277212E-2</v>
      </c>
      <c r="W35" s="129">
        <v>7.8088323716350022E-4</v>
      </c>
    </row>
    <row r="36" spans="1:35" x14ac:dyDescent="0.2">
      <c r="A36" t="s">
        <v>1204</v>
      </c>
      <c r="B36" t="s">
        <v>1204</v>
      </c>
      <c r="C36" t="s">
        <v>1871</v>
      </c>
      <c r="D36" t="s">
        <v>1872</v>
      </c>
      <c r="E36" t="s">
        <v>80</v>
      </c>
      <c r="F36" t="s">
        <v>1943</v>
      </c>
      <c r="G36" t="s">
        <v>1944</v>
      </c>
      <c r="H36" t="s">
        <v>321</v>
      </c>
      <c r="I36" t="s">
        <v>965</v>
      </c>
      <c r="J36" t="s">
        <v>205</v>
      </c>
      <c r="K36" t="s">
        <v>224</v>
      </c>
      <c r="L36" t="s">
        <v>344</v>
      </c>
      <c r="M36" t="s">
        <v>708</v>
      </c>
      <c r="N36" t="s">
        <v>339</v>
      </c>
      <c r="O36" t="s">
        <v>1209</v>
      </c>
      <c r="P36" s="125">
        <v>25660000</v>
      </c>
      <c r="Q36" s="13" t="s">
        <v>1210</v>
      </c>
      <c r="R36" s="127">
        <v>9115</v>
      </c>
      <c r="S36" s="125"/>
      <c r="T36" s="124">
        <v>8791.9588999999996</v>
      </c>
      <c r="U36" s="129">
        <v>9.7233800682076544E-5</v>
      </c>
      <c r="V36" s="129">
        <v>1.2152849359397786E-2</v>
      </c>
      <c r="W36" s="129">
        <v>7.7883633966559652E-4</v>
      </c>
    </row>
    <row r="37" spans="1:35" x14ac:dyDescent="0.2">
      <c r="A37" t="s">
        <v>1204</v>
      </c>
      <c r="B37" t="s">
        <v>1204</v>
      </c>
      <c r="C37" t="s">
        <v>1881</v>
      </c>
      <c r="D37" t="s">
        <v>1882</v>
      </c>
      <c r="E37" t="s">
        <v>80</v>
      </c>
      <c r="F37" t="s">
        <v>1945</v>
      </c>
      <c r="G37" t="s">
        <v>1946</v>
      </c>
      <c r="H37" t="s">
        <v>321</v>
      </c>
      <c r="I37" t="s">
        <v>965</v>
      </c>
      <c r="J37" t="s">
        <v>205</v>
      </c>
      <c r="K37" t="s">
        <v>224</v>
      </c>
      <c r="L37" t="s">
        <v>344</v>
      </c>
      <c r="M37" t="s">
        <v>589</v>
      </c>
      <c r="N37" t="s">
        <v>339</v>
      </c>
      <c r="O37" t="s">
        <v>1209</v>
      </c>
      <c r="P37" s="125">
        <v>34650000</v>
      </c>
      <c r="Q37" s="13" t="s">
        <v>1210</v>
      </c>
      <c r="R37" s="127">
        <v>5242</v>
      </c>
      <c r="S37" s="125"/>
      <c r="T37" s="124">
        <v>6827.6709000000001</v>
      </c>
      <c r="U37" s="129">
        <v>2.4146341463414634E-3</v>
      </c>
      <c r="V37" s="129">
        <v>9.4376755968232397E-3</v>
      </c>
      <c r="W37" s="129">
        <v>6.0482973987471302E-4</v>
      </c>
    </row>
    <row r="38" spans="1:35" x14ac:dyDescent="0.2">
      <c r="A38" t="s">
        <v>1204</v>
      </c>
      <c r="B38" t="s">
        <v>1204</v>
      </c>
      <c r="C38" t="s">
        <v>1947</v>
      </c>
      <c r="D38" t="s">
        <v>1948</v>
      </c>
      <c r="E38" t="s">
        <v>80</v>
      </c>
      <c r="F38" t="s">
        <v>1949</v>
      </c>
      <c r="G38" t="s">
        <v>1950</v>
      </c>
      <c r="H38" t="s">
        <v>321</v>
      </c>
      <c r="I38" t="s">
        <v>965</v>
      </c>
      <c r="J38" t="s">
        <v>205</v>
      </c>
      <c r="K38" t="s">
        <v>224</v>
      </c>
      <c r="L38" t="s">
        <v>344</v>
      </c>
      <c r="M38" t="s">
        <v>595</v>
      </c>
      <c r="N38" t="s">
        <v>339</v>
      </c>
      <c r="O38" t="s">
        <v>1209</v>
      </c>
      <c r="P38" s="125">
        <v>31634000</v>
      </c>
      <c r="Q38" s="13" t="s">
        <v>1210</v>
      </c>
      <c r="R38" s="127">
        <v>5578</v>
      </c>
      <c r="S38" s="125"/>
      <c r="T38" s="124">
        <v>6632.9228999999996</v>
      </c>
      <c r="U38" s="129">
        <v>2.7567755991285403E-4</v>
      </c>
      <c r="V38" s="129">
        <v>9.1684814328008794E-3</v>
      </c>
      <c r="W38" s="129">
        <v>5.875779669639934E-4</v>
      </c>
    </row>
    <row r="39" spans="1:35" x14ac:dyDescent="0.2">
      <c r="A39" t="s">
        <v>1204</v>
      </c>
      <c r="B39" t="s">
        <v>1204</v>
      </c>
      <c r="C39" t="s">
        <v>1881</v>
      </c>
      <c r="D39" t="s">
        <v>1882</v>
      </c>
      <c r="E39" t="s">
        <v>80</v>
      </c>
      <c r="F39" t="s">
        <v>1951</v>
      </c>
      <c r="G39" t="s">
        <v>1952</v>
      </c>
      <c r="H39" t="s">
        <v>321</v>
      </c>
      <c r="I39" t="s">
        <v>965</v>
      </c>
      <c r="J39" t="s">
        <v>205</v>
      </c>
      <c r="K39" t="s">
        <v>224</v>
      </c>
      <c r="L39" t="s">
        <v>344</v>
      </c>
      <c r="M39" t="s">
        <v>595</v>
      </c>
      <c r="N39" t="s">
        <v>339</v>
      </c>
      <c r="O39" t="s">
        <v>1209</v>
      </c>
      <c r="P39" s="125">
        <v>30200000</v>
      </c>
      <c r="Q39" s="13" t="s">
        <v>1210</v>
      </c>
      <c r="R39" s="127">
        <v>5419</v>
      </c>
      <c r="S39" s="125"/>
      <c r="T39" s="124">
        <v>6151.7462999999998</v>
      </c>
      <c r="U39" s="129">
        <v>3.1038026721479957E-4</v>
      </c>
      <c r="V39" s="129">
        <v>8.5033662211441881E-3</v>
      </c>
      <c r="W39" s="129">
        <v>5.4495290994376262E-4</v>
      </c>
    </row>
    <row r="40" spans="1:35" x14ac:dyDescent="0.2">
      <c r="A40" t="s">
        <v>1204</v>
      </c>
      <c r="B40" t="s">
        <v>1204</v>
      </c>
      <c r="C40" t="s">
        <v>1871</v>
      </c>
      <c r="D40" t="s">
        <v>1872</v>
      </c>
      <c r="E40" t="s">
        <v>80</v>
      </c>
      <c r="F40" t="s">
        <v>1953</v>
      </c>
      <c r="G40" t="s">
        <v>1954</v>
      </c>
      <c r="H40" t="s">
        <v>321</v>
      </c>
      <c r="I40" t="s">
        <v>965</v>
      </c>
      <c r="J40" t="s">
        <v>205</v>
      </c>
      <c r="K40" t="s">
        <v>224</v>
      </c>
      <c r="L40" t="s">
        <v>344</v>
      </c>
      <c r="M40" t="s">
        <v>703</v>
      </c>
      <c r="N40" t="s">
        <v>339</v>
      </c>
      <c r="O40" t="s">
        <v>1209</v>
      </c>
      <c r="P40" s="125">
        <v>18330000</v>
      </c>
      <c r="Q40" s="13" t="s">
        <v>1210</v>
      </c>
      <c r="R40" s="127">
        <v>8831</v>
      </c>
      <c r="S40" s="125"/>
      <c r="T40" s="124">
        <v>6084.7771000000002</v>
      </c>
      <c r="U40" s="129">
        <v>2.8287037037037039E-4</v>
      </c>
      <c r="V40" s="129">
        <v>8.4107967717418301E-3</v>
      </c>
      <c r="W40" s="129">
        <v>5.3902043690758192E-4</v>
      </c>
    </row>
    <row r="41" spans="1:35" x14ac:dyDescent="0.2">
      <c r="A41" t="s">
        <v>1204</v>
      </c>
      <c r="B41" t="s">
        <v>1204</v>
      </c>
      <c r="C41" t="s">
        <v>1914</v>
      </c>
      <c r="D41" t="s">
        <v>1955</v>
      </c>
      <c r="E41" t="s">
        <v>80</v>
      </c>
      <c r="F41" t="s">
        <v>1956</v>
      </c>
      <c r="G41" t="s">
        <v>1957</v>
      </c>
      <c r="H41" t="s">
        <v>321</v>
      </c>
      <c r="I41" t="s">
        <v>965</v>
      </c>
      <c r="J41" t="s">
        <v>205</v>
      </c>
      <c r="K41" t="s">
        <v>224</v>
      </c>
      <c r="L41" t="s">
        <v>344</v>
      </c>
      <c r="M41" t="s">
        <v>703</v>
      </c>
      <c r="N41" t="s">
        <v>339</v>
      </c>
      <c r="O41" t="s">
        <v>1209</v>
      </c>
      <c r="P41" s="125">
        <v>13427000</v>
      </c>
      <c r="Q41" s="13" t="s">
        <v>1210</v>
      </c>
      <c r="R41" s="127">
        <v>9271</v>
      </c>
      <c r="S41" s="125"/>
      <c r="T41" s="124">
        <v>4679.2677000000003</v>
      </c>
      <c r="U41" s="129">
        <v>1.7649687808084127E-4</v>
      </c>
      <c r="V41" s="129">
        <v>6.4680051883172305E-3</v>
      </c>
      <c r="W41" s="129">
        <v>4.1451328300318077E-4</v>
      </c>
    </row>
    <row r="42" spans="1:35" x14ac:dyDescent="0.2">
      <c r="J42" s="195" t="s">
        <v>2681</v>
      </c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J42:AI42"/>
  </mergeCell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Z1048573"/>
  <sheetViews>
    <sheetView rightToLeft="1" workbookViewId="0">
      <selection sqref="A1:W8"/>
    </sheetView>
  </sheetViews>
  <sheetFormatPr defaultColWidth="9" defaultRowHeight="14.25" x14ac:dyDescent="0.2"/>
  <cols>
    <col min="1" max="1" width="11.8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2.625" style="4" customWidth="1"/>
    <col min="25" max="16384" width="9" style="4"/>
  </cols>
  <sheetData>
    <row r="1" spans="1:26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91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89</v>
      </c>
      <c r="M1" s="169" t="s">
        <v>70</v>
      </c>
      <c r="N1" s="169" t="s">
        <v>90</v>
      </c>
      <c r="O1" s="169" t="s">
        <v>56</v>
      </c>
      <c r="P1" s="169" t="s">
        <v>59</v>
      </c>
      <c r="Q1" s="169" t="s">
        <v>76</v>
      </c>
      <c r="R1" s="169" t="s">
        <v>61</v>
      </c>
      <c r="S1" s="169" t="s">
        <v>77</v>
      </c>
      <c r="T1" s="169" t="s">
        <v>63</v>
      </c>
      <c r="U1" s="169" t="s">
        <v>79</v>
      </c>
      <c r="V1" s="169" t="s">
        <v>64</v>
      </c>
      <c r="W1" s="169" t="s">
        <v>65</v>
      </c>
    </row>
    <row r="2" spans="1:26" x14ac:dyDescent="0.2">
      <c r="A2" t="s">
        <v>1204</v>
      </c>
      <c r="B2" t="s">
        <v>1204</v>
      </c>
      <c r="C2" t="s">
        <v>1958</v>
      </c>
      <c r="D2" t="s">
        <v>1959</v>
      </c>
      <c r="E2" t="s">
        <v>80</v>
      </c>
      <c r="F2" t="s">
        <v>1960</v>
      </c>
      <c r="G2" t="s">
        <v>1961</v>
      </c>
      <c r="H2" t="s">
        <v>321</v>
      </c>
      <c r="I2" t="s">
        <v>917</v>
      </c>
      <c r="J2" t="s">
        <v>205</v>
      </c>
      <c r="K2" t="s">
        <v>296</v>
      </c>
      <c r="L2" t="s">
        <v>325</v>
      </c>
      <c r="M2" t="s">
        <v>314</v>
      </c>
      <c r="N2" t="s">
        <v>595</v>
      </c>
      <c r="O2" t="s">
        <v>339</v>
      </c>
      <c r="P2" t="s">
        <v>1209</v>
      </c>
      <c r="Q2" s="125">
        <v>55942350</v>
      </c>
      <c r="R2" t="s">
        <v>1210</v>
      </c>
      <c r="S2" s="124">
        <v>19713</v>
      </c>
      <c r="T2" s="132">
        <v>41453.934200000003</v>
      </c>
      <c r="U2" s="129">
        <v>0.12370577660037901</v>
      </c>
      <c r="V2" s="129">
        <v>0.31988677896342688</v>
      </c>
      <c r="W2" s="129">
        <v>3.6721998622021119E-3</v>
      </c>
      <c r="X2" s="156"/>
    </row>
    <row r="3" spans="1:26" x14ac:dyDescent="0.2">
      <c r="A3" t="s">
        <v>1204</v>
      </c>
      <c r="B3" t="s">
        <v>1204</v>
      </c>
      <c r="C3" t="s">
        <v>1962</v>
      </c>
      <c r="D3" t="s">
        <v>1963</v>
      </c>
      <c r="E3" t="s">
        <v>80</v>
      </c>
      <c r="F3" t="s">
        <v>1964</v>
      </c>
      <c r="G3" t="s">
        <v>1965</v>
      </c>
      <c r="H3" t="s">
        <v>321</v>
      </c>
      <c r="I3" t="s">
        <v>917</v>
      </c>
      <c r="J3" t="s">
        <v>205</v>
      </c>
      <c r="K3" t="s">
        <v>244</v>
      </c>
      <c r="L3" t="s">
        <v>325</v>
      </c>
      <c r="M3" t="s">
        <v>344</v>
      </c>
      <c r="N3" t="s">
        <v>709</v>
      </c>
      <c r="O3" t="s">
        <v>339</v>
      </c>
      <c r="P3" t="s">
        <v>1209</v>
      </c>
      <c r="Q3" s="125">
        <v>204181220</v>
      </c>
      <c r="R3" t="s">
        <v>1210</v>
      </c>
      <c r="S3" s="124">
        <v>3473.37</v>
      </c>
      <c r="T3" s="132">
        <v>26658.712399999997</v>
      </c>
      <c r="U3" s="129">
        <v>1.0442349349886065E-2</v>
      </c>
      <c r="V3" s="129">
        <v>0.20571677450757131</v>
      </c>
      <c r="W3" s="129">
        <v>2.3615640303963174E-3</v>
      </c>
      <c r="X3" s="156"/>
    </row>
    <row r="4" spans="1:26" x14ac:dyDescent="0.2">
      <c r="A4" t="s">
        <v>1204</v>
      </c>
      <c r="B4" t="s">
        <v>1204</v>
      </c>
      <c r="C4" t="s">
        <v>1966</v>
      </c>
      <c r="D4" t="s">
        <v>1967</v>
      </c>
      <c r="E4" t="s">
        <v>80</v>
      </c>
      <c r="F4" t="s">
        <v>1968</v>
      </c>
      <c r="G4" t="s">
        <v>1969</v>
      </c>
      <c r="H4" t="s">
        <v>321</v>
      </c>
      <c r="I4" t="s">
        <v>917</v>
      </c>
      <c r="J4" t="s">
        <v>205</v>
      </c>
      <c r="K4" t="s">
        <v>268</v>
      </c>
      <c r="L4" t="s">
        <v>325</v>
      </c>
      <c r="M4" t="s">
        <v>344</v>
      </c>
      <c r="N4" t="s">
        <v>709</v>
      </c>
      <c r="O4" t="s">
        <v>339</v>
      </c>
      <c r="P4" t="s">
        <v>1209</v>
      </c>
      <c r="Q4" s="125">
        <v>542561990</v>
      </c>
      <c r="R4" t="s">
        <v>1210</v>
      </c>
      <c r="S4" s="124">
        <v>1009</v>
      </c>
      <c r="T4" s="132">
        <v>20578.4594</v>
      </c>
      <c r="U4" s="129">
        <v>6.6166096341463421E-2</v>
      </c>
      <c r="V4" s="129">
        <v>0.15879740259349762</v>
      </c>
      <c r="W4" s="129">
        <v>1.8229443611627537E-3</v>
      </c>
      <c r="X4" s="156"/>
    </row>
    <row r="5" spans="1:26" x14ac:dyDescent="0.2">
      <c r="A5" t="s">
        <v>1204</v>
      </c>
      <c r="B5" t="s">
        <v>1204</v>
      </c>
      <c r="C5" t="s">
        <v>1966</v>
      </c>
      <c r="D5" t="s">
        <v>1967</v>
      </c>
      <c r="E5" t="s">
        <v>80</v>
      </c>
      <c r="F5" t="s">
        <v>1970</v>
      </c>
      <c r="G5" t="s">
        <v>1971</v>
      </c>
      <c r="H5" t="s">
        <v>321</v>
      </c>
      <c r="I5" t="s">
        <v>917</v>
      </c>
      <c r="J5" t="s">
        <v>205</v>
      </c>
      <c r="K5" t="s">
        <v>246</v>
      </c>
      <c r="L5" t="s">
        <v>325</v>
      </c>
      <c r="M5" t="s">
        <v>370</v>
      </c>
      <c r="N5" t="s">
        <v>709</v>
      </c>
      <c r="O5" t="s">
        <v>339</v>
      </c>
      <c r="P5" t="s">
        <v>1209</v>
      </c>
      <c r="Q5" s="125">
        <v>300508320</v>
      </c>
      <c r="R5" t="s">
        <v>1210</v>
      </c>
      <c r="S5" s="124">
        <v>1262</v>
      </c>
      <c r="T5" s="132">
        <v>14255.688</v>
      </c>
      <c r="U5" s="129">
        <v>3.6647356097560972E-2</v>
      </c>
      <c r="V5" s="129">
        <v>0.11000659401371539</v>
      </c>
      <c r="W5" s="129">
        <v>1.2628411861456623E-3</v>
      </c>
      <c r="X5" s="156"/>
    </row>
    <row r="6" spans="1:26" x14ac:dyDescent="0.2">
      <c r="A6" t="s">
        <v>1204</v>
      </c>
      <c r="B6" t="s">
        <v>1204</v>
      </c>
      <c r="C6" t="s">
        <v>1972</v>
      </c>
      <c r="D6" t="s">
        <v>1973</v>
      </c>
      <c r="E6" t="s">
        <v>80</v>
      </c>
      <c r="F6" t="s">
        <v>1974</v>
      </c>
      <c r="G6" t="s">
        <v>1975</v>
      </c>
      <c r="H6" t="s">
        <v>321</v>
      </c>
      <c r="I6" t="s">
        <v>917</v>
      </c>
      <c r="J6" t="s">
        <v>205</v>
      </c>
      <c r="K6" t="s">
        <v>244</v>
      </c>
      <c r="L6" t="s">
        <v>325</v>
      </c>
      <c r="M6" t="s">
        <v>344</v>
      </c>
      <c r="N6" t="s">
        <v>709</v>
      </c>
      <c r="O6" t="s">
        <v>339</v>
      </c>
      <c r="P6" t="s">
        <v>1209</v>
      </c>
      <c r="Q6" s="125">
        <v>14463570</v>
      </c>
      <c r="R6" t="s">
        <v>1210</v>
      </c>
      <c r="S6" s="124">
        <v>22600.3</v>
      </c>
      <c r="T6" s="132">
        <v>12287.4576</v>
      </c>
      <c r="U6" s="129">
        <v>1.7150952793160285E-2</v>
      </c>
      <c r="V6" s="129">
        <v>9.4818388258978023E-2</v>
      </c>
      <c r="W6" s="129">
        <v>1.0884853491824203E-3</v>
      </c>
      <c r="X6" s="156"/>
    </row>
    <row r="7" spans="1:26" x14ac:dyDescent="0.2">
      <c r="A7" t="s">
        <v>1204</v>
      </c>
      <c r="B7" t="s">
        <v>1204</v>
      </c>
      <c r="C7" t="s">
        <v>1976</v>
      </c>
      <c r="D7" t="s">
        <v>1977</v>
      </c>
      <c r="E7" t="s">
        <v>80</v>
      </c>
      <c r="F7" t="s">
        <v>1978</v>
      </c>
      <c r="G7" t="s">
        <v>1979</v>
      </c>
      <c r="H7" t="s">
        <v>321</v>
      </c>
      <c r="I7" t="s">
        <v>917</v>
      </c>
      <c r="J7" t="s">
        <v>205</v>
      </c>
      <c r="K7" t="s">
        <v>251</v>
      </c>
      <c r="L7" t="s">
        <v>325</v>
      </c>
      <c r="M7" t="s">
        <v>314</v>
      </c>
      <c r="N7" t="s">
        <v>704</v>
      </c>
      <c r="O7" t="s">
        <v>339</v>
      </c>
      <c r="P7" t="s">
        <v>1209</v>
      </c>
      <c r="Q7" s="125">
        <v>80524900</v>
      </c>
      <c r="R7" t="s">
        <v>1210</v>
      </c>
      <c r="S7" s="124">
        <v>3471</v>
      </c>
      <c r="T7" s="132">
        <v>10506.477500000001</v>
      </c>
      <c r="U7" s="129">
        <v>9.0054030248574033E-6</v>
      </c>
      <c r="V7" s="129">
        <v>8.1075133184311504E-2</v>
      </c>
      <c r="W7" s="129">
        <v>9.3071709269199206E-4</v>
      </c>
      <c r="X7" s="156"/>
    </row>
    <row r="8" spans="1:26" x14ac:dyDescent="0.2">
      <c r="A8" t="s">
        <v>1204</v>
      </c>
      <c r="B8" t="s">
        <v>1204</v>
      </c>
      <c r="C8" t="s">
        <v>1980</v>
      </c>
      <c r="D8" t="s">
        <v>1981</v>
      </c>
      <c r="E8" t="s">
        <v>80</v>
      </c>
      <c r="F8" t="s">
        <v>1982</v>
      </c>
      <c r="G8" t="s">
        <v>1983</v>
      </c>
      <c r="H8" t="s">
        <v>321</v>
      </c>
      <c r="I8" t="s">
        <v>917</v>
      </c>
      <c r="J8" t="s">
        <v>205</v>
      </c>
      <c r="K8" t="s">
        <v>224</v>
      </c>
      <c r="L8" t="s">
        <v>325</v>
      </c>
      <c r="M8" t="s">
        <v>344</v>
      </c>
      <c r="N8" t="s">
        <v>595</v>
      </c>
      <c r="O8" t="s">
        <v>339</v>
      </c>
      <c r="P8" t="s">
        <v>1209</v>
      </c>
      <c r="Q8" s="125">
        <v>839320</v>
      </c>
      <c r="R8" t="s">
        <v>1210</v>
      </c>
      <c r="S8" s="124">
        <v>121976.7</v>
      </c>
      <c r="T8" s="132">
        <v>3848.3696</v>
      </c>
      <c r="U8" s="129">
        <v>1.053099121706399E-2</v>
      </c>
      <c r="V8" s="129">
        <v>2.9696640019945274E-2</v>
      </c>
      <c r="W8" s="129">
        <v>3.4090811049611037E-4</v>
      </c>
      <c r="X8" s="156"/>
    </row>
    <row r="9" spans="1:26" x14ac:dyDescent="0.2">
      <c r="A9" s="195" t="s">
        <v>2681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spans="1:26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/>
      <c r="M10" s="16"/>
      <c r="N10" s="103"/>
      <c r="O10" s="103"/>
      <c r="P10" s="16"/>
      <c r="Q10" s="16"/>
      <c r="R10" s="16"/>
      <c r="S10" s="16"/>
      <c r="T10" s="16"/>
      <c r="U10" s="16"/>
      <c r="V10" s="16"/>
      <c r="W10" s="16"/>
    </row>
    <row r="11" spans="1:2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/>
      <c r="M11" s="16"/>
      <c r="N11" s="103"/>
      <c r="O11" s="103"/>
      <c r="P11" s="16"/>
      <c r="Q11" s="16"/>
      <c r="R11" s="16"/>
      <c r="S11" s="16"/>
      <c r="T11" s="16"/>
      <c r="U11" s="16"/>
      <c r="V11" s="16"/>
      <c r="W11" s="16"/>
    </row>
    <row r="12" spans="1:2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/>
      <c r="M12" s="16"/>
      <c r="N12" s="103"/>
      <c r="O12" s="103"/>
      <c r="P12" s="16"/>
      <c r="Q12" s="16"/>
      <c r="R12" s="16"/>
      <c r="S12" s="16"/>
      <c r="T12" s="16"/>
      <c r="U12" s="16"/>
      <c r="V12" s="16"/>
      <c r="W12" s="16"/>
    </row>
    <row r="13" spans="1:2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/>
      <c r="M13" s="16"/>
      <c r="N13" s="103"/>
      <c r="O13" s="103"/>
      <c r="P13" s="16"/>
      <c r="Q13" s="16"/>
      <c r="R13" s="16"/>
      <c r="S13" s="16"/>
      <c r="T13" s="16"/>
      <c r="U13" s="16"/>
      <c r="V13" s="16"/>
      <c r="W13" s="16"/>
    </row>
    <row r="14" spans="1:2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/>
      <c r="M14" s="16"/>
      <c r="N14" s="103"/>
      <c r="O14" s="103"/>
      <c r="P14" s="16"/>
      <c r="Q14" s="16"/>
      <c r="R14" s="16"/>
      <c r="S14" s="16"/>
      <c r="T14" s="16"/>
      <c r="U14" s="16"/>
      <c r="V14" s="16"/>
      <c r="W14" s="16"/>
    </row>
    <row r="15" spans="1:2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/>
      <c r="M15" s="16"/>
      <c r="N15" s="103"/>
      <c r="O15" s="103"/>
      <c r="P15" s="16"/>
      <c r="Q15" s="16"/>
      <c r="R15" s="16"/>
      <c r="S15" s="16"/>
      <c r="T15" s="16"/>
      <c r="U15" s="16"/>
      <c r="V15" s="16"/>
      <c r="W15" s="16"/>
    </row>
    <row r="16" spans="1:2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/>
      <c r="M16" s="16"/>
      <c r="N16" s="103"/>
      <c r="O16" s="103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/>
      <c r="M17" s="16"/>
      <c r="N17" s="103"/>
      <c r="O17" s="103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/>
      <c r="M18" s="16"/>
      <c r="N18" s="103"/>
      <c r="O18" s="103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E19" s="16"/>
      <c r="H19" s="16"/>
      <c r="I19" s="16"/>
      <c r="J19" s="16"/>
      <c r="K19" s="16"/>
      <c r="L19"/>
      <c r="M19" s="16"/>
      <c r="N19" s="103"/>
      <c r="O19" s="103"/>
    </row>
    <row r="20" spans="1:23" x14ac:dyDescent="0.2">
      <c r="L20"/>
      <c r="M20" s="4"/>
    </row>
    <row r="21" spans="1:23" x14ac:dyDescent="0.2">
      <c r="H21" s="102"/>
      <c r="L21"/>
      <c r="M21" s="4"/>
    </row>
    <row r="22" spans="1:23" x14ac:dyDescent="0.2">
      <c r="H22" s="102"/>
      <c r="L22"/>
      <c r="M22" s="102"/>
    </row>
    <row r="23" spans="1:23" x14ac:dyDescent="0.2">
      <c r="H23" s="102"/>
      <c r="L23"/>
      <c r="M23" s="102"/>
    </row>
    <row r="24" spans="1:23" x14ac:dyDescent="0.2">
      <c r="H24" s="102"/>
      <c r="L24"/>
      <c r="M24" s="102"/>
    </row>
    <row r="25" spans="1:23" x14ac:dyDescent="0.2">
      <c r="H25" s="102"/>
      <c r="M25" s="102"/>
    </row>
    <row r="26" spans="1:23" x14ac:dyDescent="0.2">
      <c r="H26" s="102"/>
      <c r="M26" s="102"/>
    </row>
    <row r="27" spans="1:23" x14ac:dyDescent="0.2">
      <c r="H27" s="102"/>
      <c r="M27" s="102"/>
    </row>
    <row r="1048573" spans="14:14" x14ac:dyDescent="0.2">
      <c r="N1048573" s="10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9:Z9"/>
  </mergeCells>
  <dataValidations count="8">
    <dataValidation type="list" allowBlank="1" showInputMessage="1" showErrorMessage="1" sqref="J2:J8 J10:J19" xr:uid="{00000000-0002-0000-0800-000000000000}">
      <formula1>israel_abroad</formula1>
    </dataValidation>
    <dataValidation type="list" allowBlank="1" showInputMessage="1" showErrorMessage="1" sqref="O2:O8 O10:O19" xr:uid="{00000000-0002-0000-0800-000001000000}">
      <formula1>Holding_interest</formula1>
    </dataValidation>
    <dataValidation type="list" allowBlank="1" showInputMessage="1" showErrorMessage="1" sqref="N2:N8 N10:N19" xr:uid="{00000000-0002-0000-0800-000002000000}">
      <formula1>Fund_type</formula1>
    </dataValidation>
    <dataValidation type="list" allowBlank="1" showInputMessage="1" showErrorMessage="1" sqref="E2:E8 E10:E19" xr:uid="{00000000-0002-0000-0800-000003000000}">
      <formula1>Issuer_Type_TFunds</formula1>
    </dataValidation>
    <dataValidation type="list" allowBlank="1" showInputMessage="1" showErrorMessage="1" sqref="H2:H8 H10:H19" xr:uid="{00000000-0002-0000-0800-000004000000}">
      <formula1>Security_ID_Number_Type</formula1>
    </dataValidation>
    <dataValidation type="list" allowBlank="1" showInputMessage="1" showErrorMessage="1" sqref="L2:L8 L10:L19" xr:uid="{00000000-0002-0000-0800-000005000000}">
      <formula1>tradeable_status_funds</formula1>
    </dataValidation>
    <dataValidation type="list" allowBlank="1" showInputMessage="1" showErrorMessage="1" sqref="K2:K8 K10:K19" xr:uid="{00000000-0002-0000-0800-000006000000}">
      <formula1>Country_list_funds</formula1>
    </dataValidation>
    <dataValidation type="list" allowBlank="1" showInputMessage="1" showErrorMessage="1" sqref="M2:M8 M10:M19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I2:I8 I10:I19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Z22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6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3"/>
      <c r="D3" s="103"/>
      <c r="E3" s="16"/>
      <c r="F3" s="103"/>
      <c r="G3" s="103"/>
      <c r="H3" s="16"/>
      <c r="I3" s="16"/>
      <c r="J3" s="16"/>
      <c r="K3" s="103"/>
      <c r="L3" s="16"/>
      <c r="M3" s="103"/>
      <c r="N3" s="103"/>
      <c r="O3" s="103"/>
      <c r="P3" s="103"/>
      <c r="Q3" s="16"/>
      <c r="R3" s="16"/>
      <c r="S3" s="16"/>
      <c r="T3" s="103"/>
      <c r="U3" s="103"/>
      <c r="V3" s="103"/>
      <c r="W3" s="103"/>
      <c r="X3" s="103"/>
      <c r="Y3" s="103"/>
    </row>
    <row r="4" spans="1:26" x14ac:dyDescent="0.2">
      <c r="A4" s="103"/>
      <c r="B4" s="103"/>
      <c r="C4" s="103"/>
      <c r="D4" s="103"/>
      <c r="E4" s="16"/>
      <c r="F4" s="103"/>
      <c r="G4" s="103"/>
      <c r="H4" s="16"/>
      <c r="I4" s="16"/>
      <c r="J4" s="16"/>
      <c r="K4" s="103"/>
      <c r="L4" s="16"/>
      <c r="M4" s="103"/>
      <c r="N4" s="103"/>
      <c r="O4" s="103"/>
      <c r="P4" s="103"/>
      <c r="Q4" s="16"/>
      <c r="R4" s="16"/>
      <c r="S4" s="16"/>
      <c r="T4" s="103"/>
      <c r="U4" s="103"/>
      <c r="V4" s="103"/>
      <c r="W4" s="103"/>
      <c r="X4" s="103"/>
      <c r="Y4" s="103"/>
    </row>
    <row r="5" spans="1:26" x14ac:dyDescent="0.2">
      <c r="A5" s="103"/>
      <c r="B5" s="103"/>
      <c r="C5" s="103"/>
      <c r="D5" s="103"/>
      <c r="E5" s="16"/>
      <c r="F5" s="103"/>
      <c r="G5" s="103"/>
      <c r="H5" s="16"/>
      <c r="I5" s="16"/>
      <c r="J5" s="16"/>
      <c r="K5" s="103"/>
      <c r="L5" s="16"/>
      <c r="M5" s="103"/>
      <c r="N5" s="103"/>
      <c r="O5" s="103"/>
      <c r="P5" s="103"/>
      <c r="Q5" s="16"/>
      <c r="R5" s="16"/>
      <c r="S5" s="16"/>
      <c r="T5" s="103"/>
      <c r="U5" s="103"/>
      <c r="V5" s="103"/>
      <c r="W5" s="103"/>
      <c r="X5" s="103"/>
      <c r="Y5" s="103"/>
    </row>
    <row r="6" spans="1:26" x14ac:dyDescent="0.2">
      <c r="A6" s="103"/>
      <c r="B6" s="103"/>
      <c r="C6" s="103"/>
      <c r="D6" s="103"/>
      <c r="E6" s="16"/>
      <c r="F6" s="103"/>
      <c r="G6" s="103"/>
      <c r="H6" s="16"/>
      <c r="I6" s="16"/>
      <c r="J6" s="16"/>
      <c r="K6" s="103"/>
      <c r="L6" s="16"/>
      <c r="M6" s="103"/>
      <c r="N6" s="103"/>
      <c r="O6" s="103"/>
      <c r="P6" s="103"/>
      <c r="Q6" s="16"/>
      <c r="R6" s="16"/>
      <c r="S6" s="16"/>
      <c r="T6" s="103"/>
      <c r="U6" s="103"/>
      <c r="V6" s="103"/>
      <c r="W6" s="103"/>
      <c r="X6" s="103"/>
      <c r="Y6" s="103"/>
    </row>
    <row r="7" spans="1:26" x14ac:dyDescent="0.2">
      <c r="A7" s="103"/>
      <c r="B7" s="103"/>
      <c r="C7" s="103"/>
      <c r="D7" s="103"/>
      <c r="E7" s="16"/>
      <c r="F7" s="103"/>
      <c r="G7" s="103"/>
      <c r="H7" s="16"/>
      <c r="I7" s="16"/>
      <c r="J7" s="16"/>
      <c r="K7" s="103"/>
      <c r="L7" s="16"/>
      <c r="M7" s="103"/>
      <c r="N7" s="103"/>
      <c r="O7" s="103"/>
      <c r="P7" s="103"/>
      <c r="Q7" s="16"/>
      <c r="R7" s="16"/>
      <c r="S7" s="16"/>
      <c r="T7" s="103"/>
      <c r="U7" s="103"/>
      <c r="V7" s="103"/>
      <c r="W7" s="103"/>
      <c r="X7" s="103"/>
      <c r="Y7" s="103"/>
    </row>
    <row r="8" spans="1:26" x14ac:dyDescent="0.2">
      <c r="A8" s="103"/>
      <c r="B8" s="103"/>
      <c r="C8" s="103"/>
      <c r="D8" s="103"/>
      <c r="E8" s="16"/>
      <c r="F8" s="103"/>
      <c r="G8" s="103"/>
      <c r="H8" s="16"/>
      <c r="I8" s="16"/>
      <c r="J8" s="16"/>
      <c r="K8" s="103"/>
      <c r="L8" s="16"/>
      <c r="M8" s="103"/>
      <c r="N8" s="103"/>
      <c r="O8" s="103"/>
      <c r="P8" s="103"/>
      <c r="Q8" s="16"/>
      <c r="R8" s="16"/>
      <c r="S8" s="16"/>
      <c r="T8" s="103"/>
      <c r="U8" s="103"/>
      <c r="V8" s="103"/>
      <c r="W8" s="103"/>
      <c r="X8" s="103"/>
      <c r="Y8" s="103"/>
    </row>
    <row r="9" spans="1:26" x14ac:dyDescent="0.2">
      <c r="A9" s="103"/>
      <c r="B9" s="103"/>
      <c r="C9" s="103"/>
      <c r="D9" s="103"/>
      <c r="E9" s="16"/>
      <c r="F9" s="103"/>
      <c r="G9" s="103"/>
      <c r="H9" s="16"/>
      <c r="I9" s="16"/>
      <c r="J9" s="16"/>
      <c r="K9" s="103"/>
      <c r="L9" s="16"/>
      <c r="M9" s="103"/>
      <c r="N9" s="103"/>
      <c r="O9" s="103"/>
      <c r="P9" s="103"/>
      <c r="Q9" s="16"/>
      <c r="R9" s="16"/>
      <c r="S9" s="16"/>
      <c r="T9" s="103"/>
      <c r="U9" s="103"/>
      <c r="V9" s="103"/>
      <c r="W9" s="103"/>
      <c r="X9" s="103"/>
      <c r="Y9" s="103"/>
    </row>
    <row r="10" spans="1:26" x14ac:dyDescent="0.2">
      <c r="A10" s="103"/>
      <c r="B10" s="103"/>
      <c r="C10" s="103"/>
      <c r="D10" s="103"/>
      <c r="E10" s="16"/>
      <c r="F10" s="103"/>
      <c r="G10" s="103"/>
      <c r="H10" s="16"/>
      <c r="I10" s="16"/>
      <c r="J10" s="16"/>
      <c r="K10" s="103"/>
      <c r="L10" s="16"/>
      <c r="M10" s="103"/>
      <c r="N10" s="103"/>
      <c r="O10" s="103"/>
      <c r="P10" s="103"/>
      <c r="Q10" s="16"/>
      <c r="R10" s="16"/>
      <c r="S10" s="16"/>
      <c r="T10" s="103"/>
      <c r="U10" s="103"/>
      <c r="V10" s="103"/>
      <c r="W10" s="103"/>
      <c r="X10" s="103"/>
      <c r="Y10" s="103"/>
    </row>
    <row r="11" spans="1:26" x14ac:dyDescent="0.2">
      <c r="A11" s="103"/>
      <c r="B11" s="103"/>
      <c r="C11" s="103"/>
      <c r="D11" s="103"/>
      <c r="E11" s="16"/>
      <c r="F11" s="103"/>
      <c r="G11" s="103"/>
      <c r="H11" s="16"/>
      <c r="I11" s="16"/>
      <c r="J11" s="16"/>
      <c r="K11" s="103"/>
      <c r="L11" s="16"/>
      <c r="M11" s="103"/>
      <c r="N11" s="103"/>
      <c r="O11" s="103"/>
      <c r="P11" s="103"/>
      <c r="Q11" s="16"/>
      <c r="R11" s="16"/>
      <c r="S11" s="16"/>
      <c r="T11" s="103"/>
      <c r="U11" s="103"/>
      <c r="V11" s="103"/>
      <c r="W11" s="103"/>
      <c r="X11" s="103"/>
      <c r="Y11" s="103"/>
    </row>
    <row r="12" spans="1:26" x14ac:dyDescent="0.2">
      <c r="A12" s="103"/>
      <c r="B12" s="103"/>
      <c r="C12" s="103"/>
      <c r="D12" s="103"/>
      <c r="E12" s="16"/>
      <c r="F12" s="103"/>
      <c r="G12" s="103"/>
      <c r="H12" s="16"/>
      <c r="I12" s="16"/>
      <c r="J12" s="16"/>
      <c r="K12" s="103"/>
      <c r="L12" s="16"/>
      <c r="M12" s="103"/>
      <c r="N12" s="103"/>
      <c r="O12" s="103"/>
      <c r="P12" s="103"/>
      <c r="Q12" s="16"/>
      <c r="R12" s="16"/>
      <c r="S12" s="16"/>
      <c r="T12" s="103"/>
      <c r="U12" s="103"/>
      <c r="V12" s="103"/>
      <c r="W12" s="103"/>
      <c r="X12" s="103"/>
      <c r="Y12" s="103"/>
    </row>
    <row r="13" spans="1:26" x14ac:dyDescent="0.2">
      <c r="A13" s="103"/>
      <c r="B13" s="103"/>
      <c r="C13" s="103"/>
      <c r="D13" s="103"/>
      <c r="E13" s="16"/>
      <c r="F13" s="103"/>
      <c r="G13" s="103"/>
      <c r="H13" s="16"/>
      <c r="I13" s="16"/>
      <c r="J13" s="16"/>
      <c r="K13" s="103"/>
      <c r="L13" s="16"/>
      <c r="M13" s="103"/>
      <c r="N13" s="103"/>
      <c r="O13" s="103"/>
      <c r="P13" s="103"/>
      <c r="Q13" s="16"/>
      <c r="R13" s="16"/>
      <c r="S13" s="16"/>
      <c r="T13" s="103"/>
      <c r="U13" s="103"/>
      <c r="V13" s="103"/>
      <c r="W13" s="103"/>
      <c r="X13" s="103"/>
      <c r="Y13" s="103"/>
    </row>
    <row r="14" spans="1:26" x14ac:dyDescent="0.2">
      <c r="A14" s="103"/>
      <c r="B14" s="103"/>
      <c r="C14" s="103"/>
      <c r="D14" s="103"/>
      <c r="E14" s="16"/>
      <c r="F14" s="103"/>
      <c r="G14" s="103"/>
      <c r="H14" s="16"/>
      <c r="I14" s="16"/>
      <c r="J14" s="16"/>
      <c r="K14" s="103"/>
      <c r="L14" s="16"/>
      <c r="M14" s="103"/>
      <c r="N14" s="103"/>
      <c r="O14" s="103"/>
      <c r="P14" s="103"/>
      <c r="Q14" s="16"/>
      <c r="R14" s="16"/>
      <c r="S14" s="16"/>
      <c r="T14" s="103"/>
      <c r="U14" s="103"/>
      <c r="V14" s="103"/>
      <c r="W14" s="103"/>
      <c r="X14" s="103"/>
      <c r="Y14" s="103"/>
    </row>
    <row r="15" spans="1:26" x14ac:dyDescent="0.2">
      <c r="A15" s="103"/>
      <c r="B15" s="103"/>
      <c r="C15" s="103"/>
      <c r="D15" s="103"/>
      <c r="E15" s="16"/>
      <c r="F15" s="103"/>
      <c r="G15" s="103"/>
      <c r="H15" s="16"/>
      <c r="I15" s="16"/>
      <c r="J15" s="16"/>
      <c r="K15" s="103"/>
      <c r="L15" s="16"/>
      <c r="M15" s="103"/>
      <c r="N15" s="103"/>
      <c r="O15" s="103"/>
      <c r="P15" s="103"/>
      <c r="Q15" s="16"/>
      <c r="R15" s="16"/>
      <c r="S15" s="16"/>
      <c r="T15" s="103"/>
      <c r="U15" s="103"/>
      <c r="V15" s="103"/>
      <c r="W15" s="103"/>
      <c r="X15" s="103"/>
      <c r="Y15" s="103"/>
    </row>
    <row r="16" spans="1:26" x14ac:dyDescent="0.2">
      <c r="A16" s="103"/>
      <c r="B16" s="103"/>
      <c r="C16" s="103"/>
      <c r="D16" s="103"/>
      <c r="E16" s="16"/>
      <c r="F16" s="103"/>
      <c r="G16" s="103"/>
      <c r="H16" s="16"/>
      <c r="I16" s="16"/>
      <c r="J16" s="16"/>
      <c r="K16" s="103"/>
      <c r="L16" s="16"/>
      <c r="M16" s="103"/>
      <c r="N16" s="103"/>
      <c r="O16" s="103"/>
      <c r="P16" s="103"/>
      <c r="Q16" s="16"/>
      <c r="R16" s="16"/>
      <c r="S16" s="16"/>
      <c r="T16" s="103"/>
      <c r="U16" s="103"/>
      <c r="V16" s="103"/>
      <c r="W16" s="103"/>
      <c r="X16" s="103"/>
      <c r="Y16" s="103"/>
    </row>
    <row r="17" spans="1:25" x14ac:dyDescent="0.2">
      <c r="A17" s="103"/>
      <c r="B17" s="103"/>
      <c r="C17" s="103"/>
      <c r="D17" s="103"/>
      <c r="E17" s="16"/>
      <c r="F17" s="103"/>
      <c r="G17" s="103"/>
      <c r="H17" s="16"/>
      <c r="I17" s="16"/>
      <c r="J17" s="16"/>
      <c r="K17" s="103"/>
      <c r="L17" s="16"/>
      <c r="M17" s="103"/>
      <c r="N17" s="103"/>
      <c r="O17" s="103"/>
      <c r="P17" s="103"/>
      <c r="Q17" s="16"/>
      <c r="R17" s="16"/>
      <c r="S17" s="16"/>
      <c r="T17" s="103"/>
      <c r="U17" s="103"/>
      <c r="V17" s="103"/>
      <c r="W17" s="103"/>
      <c r="X17" s="103"/>
      <c r="Y17" s="103"/>
    </row>
    <row r="18" spans="1:25" x14ac:dyDescent="0.2">
      <c r="A18" s="103"/>
      <c r="B18" s="103"/>
      <c r="C18" s="103"/>
      <c r="D18" s="103"/>
      <c r="E18" s="16"/>
      <c r="F18" s="103"/>
      <c r="G18" s="103"/>
      <c r="H18" s="16"/>
      <c r="I18" s="16"/>
      <c r="J18" s="16"/>
      <c r="K18" s="103"/>
      <c r="L18" s="16"/>
      <c r="M18" s="103"/>
      <c r="N18" s="103"/>
      <c r="O18" s="103"/>
      <c r="P18" s="103"/>
      <c r="Q18" s="16"/>
      <c r="R18" s="16"/>
      <c r="S18" s="16"/>
      <c r="T18" s="103"/>
      <c r="U18" s="103"/>
      <c r="V18" s="103"/>
      <c r="W18" s="103"/>
      <c r="X18" s="103"/>
      <c r="Y18" s="103"/>
    </row>
    <row r="19" spans="1:25" x14ac:dyDescent="0.2">
      <c r="A19" s="103"/>
      <c r="B19" s="103"/>
      <c r="C19" s="103"/>
      <c r="D19" s="103"/>
      <c r="E19" s="16"/>
      <c r="F19" s="103"/>
      <c r="G19" s="103"/>
      <c r="H19" s="16"/>
      <c r="I19" s="16"/>
      <c r="J19" s="16"/>
      <c r="K19" s="103"/>
      <c r="L19" s="16"/>
      <c r="M19" s="103"/>
      <c r="N19" s="103"/>
      <c r="O19" s="103"/>
      <c r="P19" s="103"/>
      <c r="Q19" s="16"/>
      <c r="R19" s="16"/>
      <c r="S19" s="16"/>
      <c r="T19" s="103"/>
      <c r="U19" s="103"/>
      <c r="V19" s="103"/>
      <c r="W19" s="103"/>
      <c r="X19" s="103"/>
      <c r="Y19" s="103"/>
    </row>
    <row r="20" spans="1:25" x14ac:dyDescent="0.2">
      <c r="A20" s="102"/>
      <c r="B20" s="102"/>
      <c r="C20" s="102"/>
      <c r="D20" s="102"/>
      <c r="E20" s="16"/>
      <c r="F20" s="102"/>
      <c r="G20" s="102"/>
      <c r="H20" s="16"/>
      <c r="I20" s="16"/>
      <c r="J20" s="16"/>
      <c r="K20" s="103"/>
      <c r="L20" s="16"/>
      <c r="M20" s="102"/>
      <c r="N20" s="103"/>
      <c r="O20" s="102"/>
      <c r="P20" s="103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customFormat="1" x14ac:dyDescent="0.2">
      <c r="H21" s="4"/>
      <c r="L21" s="4"/>
    </row>
    <row r="22" spans="1:25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4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8">
    <dataValidation type="list" allowBlank="1" showInputMessage="1" showErrorMessage="1" sqref="I3:I20" xr:uid="{00000000-0002-0000-0900-000000000000}">
      <formula1>israel_abroad</formula1>
    </dataValidation>
    <dataValidation type="list" allowBlank="1" showInputMessage="1" showErrorMessage="1" sqref="N3:N20" xr:uid="{00000000-0002-0000-0900-000001000000}">
      <formula1>Industry_sectors</formula1>
    </dataValidation>
    <dataValidation type="list" allowBlank="1" showInputMessage="1" showErrorMessage="1" sqref="P3:P20" xr:uid="{00000000-0002-0000-0900-000002000000}">
      <formula1>Holding_interest</formula1>
    </dataValidation>
    <dataValidation type="list" allowBlank="1" showInputMessage="1" showErrorMessage="1" sqref="J3:J20" xr:uid="{00000000-0002-0000-0900-000003000000}">
      <formula1>Country_list</formula1>
    </dataValidation>
    <dataValidation type="list" allowBlank="1" showInputMessage="1" showErrorMessage="1" sqref="E3:E20" xr:uid="{00000000-0002-0000-0900-000004000000}">
      <formula1>Issuer_Type_TFunds</formula1>
    </dataValidation>
    <dataValidation type="list" allowBlank="1" showInputMessage="1" showErrorMessage="1" sqref="H3:H20" xr:uid="{00000000-0002-0000-0900-000005000000}">
      <formula1>Security_ID_Number_Type</formula1>
    </dataValidation>
    <dataValidation type="list" allowBlank="1" showInputMessage="1" showErrorMessage="1" sqref="K3:K20" xr:uid="{00000000-0002-0000-0900-000006000000}">
      <formula1>tradeable_status_warrants</formula1>
    </dataValidation>
    <dataValidation type="list" allowBlank="1" showInputMessage="1" showErrorMessage="1" sqref="L3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0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6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3"/>
      <c r="D3" s="103"/>
      <c r="E3" s="16"/>
      <c r="F3" s="103"/>
      <c r="G3" s="103"/>
      <c r="H3" s="16"/>
      <c r="I3" s="103"/>
      <c r="J3" s="16"/>
      <c r="K3" s="16"/>
      <c r="L3" s="16"/>
      <c r="M3" s="103"/>
      <c r="N3" s="103"/>
      <c r="O3" s="103"/>
      <c r="P3" s="103"/>
      <c r="Q3" s="16"/>
      <c r="R3" s="16"/>
      <c r="S3" s="103"/>
      <c r="T3" s="103"/>
      <c r="U3" s="103"/>
      <c r="V3" s="103"/>
      <c r="W3" s="103"/>
      <c r="X3" s="103"/>
    </row>
    <row r="4" spans="1:26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6"/>
      <c r="M4" s="103"/>
      <c r="N4" s="103"/>
      <c r="O4" s="103"/>
      <c r="P4" s="103"/>
      <c r="Q4" s="16"/>
      <c r="R4" s="16"/>
      <c r="S4" s="103"/>
      <c r="T4" s="103"/>
      <c r="U4" s="103"/>
      <c r="V4" s="103"/>
      <c r="W4" s="103"/>
      <c r="X4" s="103"/>
    </row>
    <row r="5" spans="1:26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6"/>
      <c r="M5" s="103"/>
      <c r="N5" s="103"/>
      <c r="O5" s="103"/>
      <c r="P5" s="103"/>
      <c r="Q5" s="16"/>
      <c r="R5" s="16"/>
      <c r="S5" s="103"/>
      <c r="T5" s="103"/>
      <c r="U5" s="103"/>
      <c r="V5" s="103"/>
      <c r="W5" s="103"/>
      <c r="X5" s="103"/>
    </row>
    <row r="6" spans="1:26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6"/>
      <c r="M6" s="103"/>
      <c r="N6" s="103"/>
      <c r="O6" s="103"/>
      <c r="P6" s="103"/>
      <c r="Q6" s="16"/>
      <c r="R6" s="16"/>
      <c r="S6" s="103"/>
      <c r="T6" s="103"/>
      <c r="U6" s="103"/>
      <c r="V6" s="103"/>
      <c r="W6" s="103"/>
      <c r="X6" s="103"/>
    </row>
    <row r="7" spans="1:26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6"/>
      <c r="M7" s="103"/>
      <c r="N7" s="103"/>
      <c r="O7" s="103"/>
      <c r="P7" s="103"/>
      <c r="Q7" s="16"/>
      <c r="R7" s="16"/>
      <c r="S7" s="103"/>
      <c r="T7" s="103"/>
      <c r="U7" s="103"/>
      <c r="V7" s="103"/>
      <c r="W7" s="103"/>
      <c r="X7" s="103"/>
    </row>
    <row r="8" spans="1:26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6"/>
      <c r="M8" s="103"/>
      <c r="N8" s="103"/>
      <c r="O8" s="103"/>
      <c r="P8" s="103"/>
      <c r="Q8" s="16"/>
      <c r="R8" s="16"/>
      <c r="S8" s="103"/>
      <c r="T8" s="103"/>
      <c r="U8" s="103"/>
      <c r="V8" s="103"/>
      <c r="W8" s="103"/>
      <c r="X8" s="103"/>
    </row>
    <row r="9" spans="1:26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6"/>
      <c r="M9" s="103"/>
      <c r="N9" s="103"/>
      <c r="O9" s="103"/>
      <c r="P9" s="103"/>
      <c r="Q9" s="16"/>
      <c r="R9" s="16"/>
      <c r="S9" s="103"/>
      <c r="T9" s="103"/>
      <c r="U9" s="103"/>
      <c r="V9" s="103"/>
      <c r="W9" s="103"/>
      <c r="X9" s="103"/>
    </row>
    <row r="10" spans="1:26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6"/>
      <c r="M10" s="103"/>
      <c r="N10" s="103"/>
      <c r="O10" s="103"/>
      <c r="P10" s="103"/>
      <c r="Q10" s="16"/>
      <c r="R10" s="16"/>
      <c r="S10" s="103"/>
      <c r="T10" s="103"/>
      <c r="U10" s="103"/>
      <c r="V10" s="103"/>
      <c r="W10" s="103"/>
      <c r="X10" s="103"/>
    </row>
    <row r="11" spans="1:26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6"/>
      <c r="M11" s="103"/>
      <c r="N11" s="103"/>
      <c r="O11" s="103"/>
      <c r="P11" s="103"/>
      <c r="Q11" s="16"/>
      <c r="R11" s="16"/>
      <c r="S11" s="103"/>
      <c r="T11" s="103"/>
      <c r="U11" s="103"/>
      <c r="V11" s="103"/>
      <c r="W11" s="103"/>
      <c r="X11" s="103"/>
    </row>
    <row r="12" spans="1:26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6"/>
      <c r="M12" s="103"/>
      <c r="N12" s="103"/>
      <c r="O12" s="103"/>
      <c r="P12" s="103"/>
      <c r="Q12" s="16"/>
      <c r="R12" s="16"/>
      <c r="S12" s="103"/>
      <c r="T12" s="103"/>
      <c r="U12" s="103"/>
      <c r="V12" s="103"/>
      <c r="W12" s="103"/>
      <c r="X12" s="103"/>
    </row>
    <row r="13" spans="1:26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6"/>
      <c r="M13" s="103"/>
      <c r="N13" s="103"/>
      <c r="O13" s="103"/>
      <c r="P13" s="103"/>
      <c r="Q13" s="16"/>
      <c r="R13" s="16"/>
      <c r="S13" s="103"/>
      <c r="T13" s="103"/>
      <c r="U13" s="103"/>
      <c r="V13" s="103"/>
      <c r="W13" s="103"/>
      <c r="X13" s="103"/>
    </row>
    <row r="14" spans="1:26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6"/>
      <c r="M14" s="103"/>
      <c r="N14" s="103"/>
      <c r="O14" s="103"/>
      <c r="P14" s="103"/>
      <c r="Q14" s="16"/>
      <c r="R14" s="16"/>
      <c r="S14" s="103"/>
      <c r="T14" s="103"/>
      <c r="U14" s="103"/>
      <c r="V14" s="103"/>
      <c r="W14" s="103"/>
      <c r="X14" s="103"/>
    </row>
    <row r="15" spans="1:26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6"/>
      <c r="M15" s="103"/>
      <c r="N15" s="103"/>
      <c r="O15" s="103"/>
      <c r="P15" s="103"/>
      <c r="Q15" s="16"/>
      <c r="R15" s="16"/>
      <c r="S15" s="103"/>
      <c r="T15" s="103"/>
      <c r="U15" s="103"/>
      <c r="V15" s="103"/>
      <c r="W15" s="103"/>
      <c r="X15" s="103"/>
    </row>
    <row r="16" spans="1:26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6"/>
      <c r="M16" s="103"/>
      <c r="N16" s="103"/>
      <c r="O16" s="103"/>
      <c r="P16" s="103"/>
      <c r="Q16" s="16"/>
      <c r="R16" s="16"/>
      <c r="S16" s="103"/>
      <c r="T16" s="103"/>
      <c r="U16" s="103"/>
      <c r="V16" s="103"/>
      <c r="W16" s="103"/>
      <c r="X16" s="103"/>
    </row>
    <row r="17" spans="1:24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6"/>
      <c r="M17" s="103"/>
      <c r="N17" s="103"/>
      <c r="O17" s="103"/>
      <c r="P17" s="103"/>
      <c r="Q17" s="16"/>
      <c r="R17" s="16"/>
      <c r="S17" s="103"/>
      <c r="T17" s="103"/>
      <c r="U17" s="103"/>
      <c r="V17" s="103"/>
      <c r="W17" s="103"/>
      <c r="X17" s="103"/>
    </row>
    <row r="18" spans="1:24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6"/>
      <c r="M18" s="103"/>
      <c r="N18" s="103"/>
      <c r="O18" s="103"/>
      <c r="P18" s="103"/>
      <c r="Q18" s="16"/>
      <c r="R18" s="16"/>
      <c r="S18" s="103"/>
      <c r="T18" s="103"/>
      <c r="U18" s="103"/>
      <c r="V18" s="103"/>
      <c r="W18" s="103"/>
      <c r="X18" s="103"/>
    </row>
    <row r="19" spans="1:24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6"/>
      <c r="M19" s="103"/>
      <c r="N19" s="103"/>
      <c r="O19" s="103"/>
      <c r="P19" s="103"/>
      <c r="Q19" s="16"/>
      <c r="R19" s="16"/>
      <c r="S19" s="103"/>
      <c r="T19" s="103"/>
      <c r="U19" s="103"/>
      <c r="V19" s="103"/>
      <c r="W19" s="103"/>
      <c r="X19" s="103"/>
    </row>
    <row r="20" spans="1:24" x14ac:dyDescent="0.2">
      <c r="A20" s="102"/>
      <c r="B20" s="102"/>
      <c r="C20" s="102"/>
      <c r="D20" s="102"/>
      <c r="E20" s="16"/>
      <c r="F20" s="102"/>
      <c r="G20" s="102"/>
      <c r="H20" s="16"/>
      <c r="I20" s="103"/>
      <c r="J20" s="16"/>
      <c r="K20" s="16"/>
      <c r="L20" s="16"/>
      <c r="M20" s="103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102"/>
    </row>
    <row r="21" spans="1:24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102"/>
      <c r="L21" s="4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4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  <row r="30" spans="1:24" x14ac:dyDescent="0.2">
      <c r="A30" s="102"/>
      <c r="B30" s="102"/>
      <c r="C30" s="102"/>
      <c r="D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8">
    <dataValidation type="list" allowBlank="1" showInputMessage="1" showErrorMessage="1" sqref="J3:J20" xr:uid="{00000000-0002-0000-0A00-000000000000}">
      <formula1>israel_abroad</formula1>
    </dataValidation>
    <dataValidation type="list" allowBlank="1" showInputMessage="1" showErrorMessage="1" sqref="P3:P20" xr:uid="{00000000-0002-0000-0A00-000001000000}">
      <formula1>Holding_interest</formula1>
    </dataValidation>
    <dataValidation type="list" allowBlank="1" showInputMessage="1" showErrorMessage="1" sqref="N3:N19" xr:uid="{00000000-0002-0000-0A00-000002000000}">
      <formula1>Underlying_Asset</formula1>
    </dataValidation>
    <dataValidation type="list" allowBlank="1" showInputMessage="1" showErrorMessage="1" sqref="K3:K20" xr:uid="{00000000-0002-0000-0A00-000003000000}">
      <formula1>Country_list</formula1>
    </dataValidation>
    <dataValidation type="list" allowBlank="1" showInputMessage="1" showErrorMessage="1" sqref="E3:E20" xr:uid="{00000000-0002-0000-0A00-000004000000}">
      <formula1>Issuer_Type_TFunds</formula1>
    </dataValidation>
    <dataValidation type="list" allowBlank="1" showInputMessage="1" showErrorMessage="1" sqref="H3:H20" xr:uid="{00000000-0002-0000-0A00-000005000000}">
      <formula1>Security_ID_Number_Type</formula1>
    </dataValidation>
    <dataValidation type="list" allowBlank="1" showInputMessage="1" showErrorMessage="1" sqref="M3:M20" xr:uid="{00000000-0002-0000-0A00-000006000000}">
      <formula1>Industry_Sector</formula1>
    </dataValidation>
    <dataValidation type="list" allowBlank="1" showInputMessage="1" showErrorMessage="1" sqref="L3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I3:I20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Z22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6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2"/>
      <c r="D3" s="102"/>
      <c r="E3" s="16"/>
      <c r="F3" s="103"/>
      <c r="G3" s="103"/>
      <c r="H3" s="16"/>
      <c r="I3" s="16"/>
      <c r="J3" s="16"/>
      <c r="K3" s="16"/>
      <c r="L3" s="103"/>
      <c r="M3" s="103"/>
      <c r="N3" s="16"/>
      <c r="O3" s="103"/>
      <c r="P3" s="103"/>
      <c r="Q3" s="103"/>
      <c r="R3" s="103"/>
      <c r="S3" s="103"/>
      <c r="T3" s="103"/>
    </row>
    <row r="4" spans="1:26" x14ac:dyDescent="0.2">
      <c r="A4" s="103"/>
      <c r="B4" s="103"/>
      <c r="C4" s="102"/>
      <c r="D4" s="102"/>
      <c r="E4" s="16"/>
      <c r="F4" s="103"/>
      <c r="G4" s="103"/>
      <c r="H4" s="16"/>
      <c r="I4" s="16"/>
      <c r="J4" s="16"/>
      <c r="K4" s="16"/>
      <c r="L4" s="103"/>
      <c r="M4" s="103"/>
      <c r="N4" s="16"/>
      <c r="O4" s="103"/>
      <c r="P4" s="103"/>
      <c r="Q4" s="103"/>
      <c r="R4" s="103"/>
      <c r="S4" s="103"/>
      <c r="T4" s="103"/>
    </row>
    <row r="5" spans="1:26" x14ac:dyDescent="0.2">
      <c r="A5" s="103"/>
      <c r="B5" s="103"/>
      <c r="C5" s="102"/>
      <c r="D5" s="102"/>
      <c r="E5" s="16"/>
      <c r="F5" s="103"/>
      <c r="G5" s="103"/>
      <c r="H5" s="16"/>
      <c r="I5" s="16"/>
      <c r="J5" s="16"/>
      <c r="K5" s="16"/>
      <c r="L5" s="103"/>
      <c r="M5" s="103"/>
      <c r="N5" s="16"/>
      <c r="O5" s="103"/>
      <c r="P5" s="103"/>
      <c r="Q5" s="103"/>
      <c r="R5" s="103"/>
      <c r="S5" s="103"/>
      <c r="T5" s="103"/>
    </row>
    <row r="6" spans="1:26" x14ac:dyDescent="0.2">
      <c r="A6" s="103"/>
      <c r="B6" s="103"/>
      <c r="C6" s="102"/>
      <c r="D6" s="102"/>
      <c r="E6" s="16"/>
      <c r="F6" s="103"/>
      <c r="G6" s="103"/>
      <c r="H6" s="16"/>
      <c r="I6" s="16"/>
      <c r="J6" s="16"/>
      <c r="K6" s="16"/>
      <c r="L6" s="103"/>
      <c r="M6" s="103"/>
      <c r="N6" s="16"/>
      <c r="O6" s="103"/>
      <c r="P6" s="103"/>
      <c r="Q6" s="103"/>
      <c r="R6" s="103"/>
      <c r="S6" s="103"/>
      <c r="T6" s="103"/>
    </row>
    <row r="7" spans="1:26" x14ac:dyDescent="0.2">
      <c r="A7" s="103"/>
      <c r="B7" s="103"/>
      <c r="C7" s="102"/>
      <c r="D7" s="102"/>
      <c r="E7" s="16"/>
      <c r="F7" s="103"/>
      <c r="G7" s="103"/>
      <c r="H7" s="16"/>
      <c r="I7" s="16"/>
      <c r="J7" s="16"/>
      <c r="K7" s="16"/>
      <c r="L7" s="103"/>
      <c r="M7" s="103"/>
      <c r="N7" s="16"/>
      <c r="O7" s="103"/>
      <c r="P7" s="103"/>
      <c r="Q7" s="103"/>
      <c r="R7" s="103"/>
      <c r="S7" s="103"/>
      <c r="T7" s="103"/>
    </row>
    <row r="8" spans="1:26" x14ac:dyDescent="0.2">
      <c r="A8" s="103"/>
      <c r="B8" s="103"/>
      <c r="C8" s="102"/>
      <c r="D8" s="102"/>
      <c r="E8" s="16"/>
      <c r="F8" s="103"/>
      <c r="G8" s="103"/>
      <c r="H8" s="16"/>
      <c r="I8" s="16"/>
      <c r="J8" s="16"/>
      <c r="K8" s="16"/>
      <c r="L8" s="103"/>
      <c r="M8" s="103"/>
      <c r="N8" s="16"/>
      <c r="O8" s="103"/>
      <c r="P8" s="103"/>
      <c r="Q8" s="103"/>
      <c r="R8" s="103"/>
      <c r="S8" s="103"/>
      <c r="T8" s="103"/>
    </row>
    <row r="9" spans="1:26" x14ac:dyDescent="0.2">
      <c r="A9" s="103"/>
      <c r="B9" s="103"/>
      <c r="C9" s="102"/>
      <c r="D9" s="102"/>
      <c r="E9" s="16"/>
      <c r="F9" s="103"/>
      <c r="G9" s="103"/>
      <c r="H9" s="16"/>
      <c r="I9" s="16"/>
      <c r="J9" s="16"/>
      <c r="K9" s="16"/>
      <c r="L9" s="103"/>
      <c r="M9" s="103"/>
      <c r="N9" s="16"/>
      <c r="O9" s="103"/>
      <c r="P9" s="103"/>
      <c r="Q9" s="103"/>
      <c r="R9" s="103"/>
      <c r="S9" s="103"/>
      <c r="T9" s="103"/>
    </row>
    <row r="10" spans="1:26" x14ac:dyDescent="0.2">
      <c r="A10" s="103"/>
      <c r="B10" s="103"/>
      <c r="C10" s="102"/>
      <c r="D10" s="102"/>
      <c r="E10" s="16"/>
      <c r="F10" s="103"/>
      <c r="G10" s="103"/>
      <c r="H10" s="16"/>
      <c r="I10" s="16"/>
      <c r="J10" s="16"/>
      <c r="K10" s="16"/>
      <c r="L10" s="103"/>
      <c r="M10" s="103"/>
      <c r="N10" s="16"/>
      <c r="O10" s="103"/>
      <c r="P10" s="103"/>
      <c r="Q10" s="103"/>
      <c r="R10" s="103"/>
      <c r="S10" s="103"/>
      <c r="T10" s="103"/>
    </row>
    <row r="11" spans="1:26" x14ac:dyDescent="0.2">
      <c r="A11" s="103"/>
      <c r="B11" s="103"/>
      <c r="C11" s="102"/>
      <c r="D11" s="102"/>
      <c r="E11" s="16"/>
      <c r="F11" s="103"/>
      <c r="G11" s="103"/>
      <c r="H11" s="16"/>
      <c r="I11" s="16"/>
      <c r="J11" s="16"/>
      <c r="K11" s="16"/>
      <c r="L11" s="103"/>
      <c r="M11" s="103"/>
      <c r="N11" s="16"/>
      <c r="O11" s="103"/>
      <c r="P11" s="103"/>
      <c r="Q11" s="103"/>
      <c r="R11" s="103"/>
      <c r="S11" s="103"/>
      <c r="T11" s="103"/>
    </row>
    <row r="12" spans="1:26" x14ac:dyDescent="0.2">
      <c r="A12" s="103"/>
      <c r="B12" s="103"/>
      <c r="C12" s="102"/>
      <c r="D12" s="102"/>
      <c r="E12" s="16"/>
      <c r="F12" s="103"/>
      <c r="G12" s="103"/>
      <c r="H12" s="16"/>
      <c r="I12" s="16"/>
      <c r="J12" s="16"/>
      <c r="K12" s="16"/>
      <c r="L12" s="103"/>
      <c r="M12" s="103"/>
      <c r="N12" s="16"/>
      <c r="O12" s="103"/>
      <c r="P12" s="103"/>
      <c r="Q12" s="103"/>
      <c r="R12" s="103"/>
      <c r="S12" s="103"/>
      <c r="T12" s="103"/>
    </row>
    <row r="13" spans="1:26" x14ac:dyDescent="0.2">
      <c r="A13" s="103"/>
      <c r="B13" s="103"/>
      <c r="C13" s="102"/>
      <c r="D13" s="102"/>
      <c r="E13" s="16"/>
      <c r="F13" s="103"/>
      <c r="G13" s="103"/>
      <c r="H13" s="16"/>
      <c r="I13" s="16"/>
      <c r="J13" s="16"/>
      <c r="K13" s="16"/>
      <c r="L13" s="103"/>
      <c r="M13" s="103"/>
      <c r="N13" s="16"/>
      <c r="O13" s="103"/>
      <c r="P13" s="103"/>
      <c r="Q13" s="103"/>
      <c r="R13" s="103"/>
      <c r="S13" s="103"/>
      <c r="T13" s="103"/>
    </row>
    <row r="14" spans="1:26" x14ac:dyDescent="0.2">
      <c r="A14" s="103"/>
      <c r="B14" s="103"/>
      <c r="C14" s="102"/>
      <c r="D14" s="102"/>
      <c r="E14" s="16"/>
      <c r="F14" s="103"/>
      <c r="G14" s="103"/>
      <c r="H14" s="16"/>
      <c r="I14" s="16"/>
      <c r="J14" s="16"/>
      <c r="K14" s="16"/>
      <c r="L14" s="103"/>
      <c r="M14" s="103"/>
      <c r="N14" s="16"/>
      <c r="O14" s="103"/>
      <c r="P14" s="103"/>
      <c r="Q14" s="103"/>
      <c r="R14" s="103"/>
      <c r="S14" s="103"/>
      <c r="T14" s="103"/>
    </row>
    <row r="15" spans="1:26" x14ac:dyDescent="0.2">
      <c r="A15" s="103"/>
      <c r="B15" s="103"/>
      <c r="C15" s="102"/>
      <c r="D15" s="102"/>
      <c r="E15" s="16"/>
      <c r="F15" s="103"/>
      <c r="G15" s="103"/>
      <c r="H15" s="16"/>
      <c r="I15" s="16"/>
      <c r="J15" s="16"/>
      <c r="K15" s="16"/>
      <c r="L15" s="103"/>
      <c r="M15" s="103"/>
      <c r="N15" s="16"/>
      <c r="O15" s="103"/>
      <c r="P15" s="103"/>
      <c r="Q15" s="103"/>
      <c r="R15" s="103"/>
      <c r="S15" s="103"/>
      <c r="T15" s="103"/>
    </row>
    <row r="16" spans="1:26" x14ac:dyDescent="0.2">
      <c r="A16" s="103"/>
      <c r="B16" s="103"/>
      <c r="C16" s="102"/>
      <c r="D16" s="102"/>
      <c r="E16" s="16"/>
      <c r="F16" s="103"/>
      <c r="G16" s="103"/>
      <c r="H16" s="16"/>
      <c r="I16" s="16"/>
      <c r="J16" s="16"/>
      <c r="K16" s="16"/>
      <c r="L16" s="103"/>
      <c r="M16" s="103"/>
      <c r="N16" s="16"/>
      <c r="O16" s="103"/>
      <c r="P16" s="103"/>
      <c r="Q16" s="103"/>
      <c r="R16" s="103"/>
      <c r="S16" s="103"/>
      <c r="T16" s="103"/>
    </row>
    <row r="17" spans="1:20" x14ac:dyDescent="0.2">
      <c r="A17" s="103"/>
      <c r="B17" s="103"/>
      <c r="C17" s="102"/>
      <c r="D17" s="102"/>
      <c r="E17" s="16"/>
      <c r="F17" s="103"/>
      <c r="G17" s="103"/>
      <c r="H17" s="16"/>
      <c r="I17" s="16"/>
      <c r="J17" s="16"/>
      <c r="K17" s="16"/>
      <c r="L17" s="103"/>
      <c r="M17" s="103"/>
      <c r="N17" s="16"/>
      <c r="O17" s="103"/>
      <c r="P17" s="103"/>
      <c r="Q17" s="103"/>
      <c r="R17" s="103"/>
      <c r="S17" s="103"/>
      <c r="T17" s="103"/>
    </row>
    <row r="18" spans="1:20" x14ac:dyDescent="0.2">
      <c r="A18" s="103"/>
      <c r="B18" s="103"/>
      <c r="C18" s="102"/>
      <c r="D18" s="102"/>
      <c r="E18" s="16"/>
      <c r="F18" s="103"/>
      <c r="G18" s="103"/>
      <c r="H18" s="16"/>
      <c r="I18" s="16"/>
      <c r="J18" s="16"/>
      <c r="K18" s="16"/>
      <c r="L18" s="103"/>
      <c r="M18" s="103"/>
      <c r="N18" s="16"/>
      <c r="O18" s="103"/>
      <c r="P18" s="103"/>
      <c r="Q18" s="103"/>
      <c r="R18" s="103"/>
      <c r="S18" s="103"/>
      <c r="T18" s="103"/>
    </row>
    <row r="19" spans="1:20" x14ac:dyDescent="0.2">
      <c r="A19" s="103"/>
      <c r="B19" s="103"/>
      <c r="C19" s="102"/>
      <c r="D19" s="102"/>
      <c r="E19" s="16"/>
      <c r="F19" s="103"/>
      <c r="G19" s="103"/>
      <c r="H19" s="16"/>
      <c r="I19" s="16"/>
      <c r="J19" s="16"/>
      <c r="K19" s="16"/>
      <c r="L19" s="103"/>
      <c r="M19" s="103"/>
      <c r="N19" s="16"/>
      <c r="O19" s="103"/>
      <c r="P19" s="103"/>
      <c r="Q19" s="103"/>
      <c r="R19" s="103"/>
      <c r="S19" s="103"/>
      <c r="T19" s="103"/>
    </row>
    <row r="20" spans="1:20" x14ac:dyDescent="0.2">
      <c r="A20" s="102"/>
      <c r="B20" s="102"/>
      <c r="C20" s="102"/>
      <c r="D20" s="102"/>
      <c r="E20" s="16"/>
      <c r="F20" s="102"/>
      <c r="G20" s="102"/>
      <c r="H20" s="16"/>
      <c r="I20" s="102"/>
      <c r="J20" s="16"/>
      <c r="K20" s="16"/>
      <c r="L20" s="103"/>
      <c r="M20" s="103"/>
      <c r="N20" s="102"/>
      <c r="O20" s="102"/>
      <c r="P20" s="102"/>
      <c r="Q20" s="102"/>
      <c r="R20" s="102"/>
      <c r="S20" s="102"/>
      <c r="T20" s="102"/>
    </row>
    <row r="21" spans="1:20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4"/>
      <c r="L21" s="102"/>
      <c r="M21" s="102"/>
      <c r="N21" s="102"/>
      <c r="O21" s="102"/>
      <c r="P21" s="102"/>
      <c r="Q21" s="102"/>
      <c r="R21" s="102"/>
      <c r="S21" s="102"/>
      <c r="T21" s="102"/>
    </row>
    <row r="22" spans="1:20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4"/>
      <c r="L22" s="102"/>
      <c r="M22" s="102"/>
      <c r="N22" s="102"/>
      <c r="O22" s="102"/>
      <c r="P22" s="102"/>
      <c r="Q22" s="102"/>
      <c r="R22" s="102"/>
      <c r="S22" s="102"/>
      <c r="T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7">
    <dataValidation type="list" allowBlank="1" showInputMessage="1" showErrorMessage="1" sqref="I3:I19" xr:uid="{00000000-0002-0000-0B00-000000000000}">
      <formula1>israel_abroad</formula1>
    </dataValidation>
    <dataValidation type="list" allowBlank="1" showInputMessage="1" showErrorMessage="1" sqref="M3:M20" xr:uid="{00000000-0002-0000-0B00-000001000000}">
      <formula1>Holding_interest</formula1>
    </dataValidation>
    <dataValidation type="list" allowBlank="1" showInputMessage="1" showErrorMessage="1" sqref="L3:L20" xr:uid="{00000000-0002-0000-0B00-000002000000}">
      <formula1>Underlying_Asset</formula1>
    </dataValidation>
    <dataValidation type="list" allowBlank="1" showInputMessage="1" showErrorMessage="1" sqref="J3:J20" xr:uid="{00000000-0002-0000-0B00-000003000000}">
      <formula1>Country_list</formula1>
    </dataValidation>
    <dataValidation type="list" allowBlank="1" showInputMessage="1" showErrorMessage="1" sqref="E3:E20" xr:uid="{00000000-0002-0000-0B00-000004000000}">
      <formula1>Issuer_Type_TFunds</formula1>
    </dataValidation>
    <dataValidation type="list" allowBlank="1" showInputMessage="1" showErrorMessage="1" sqref="H3:H20" xr:uid="{00000000-0002-0000-0B00-000005000000}">
      <formula1>Security_ID_Number_Type</formula1>
    </dataValidation>
    <dataValidation type="list" allowBlank="1" showInputMessage="1" showErrorMessage="1" sqref="K3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3"/>
      <c r="AB2" s="103"/>
    </row>
    <row r="3" spans="1:28" x14ac:dyDescent="0.2">
      <c r="A3" s="103"/>
      <c r="B3" s="103"/>
      <c r="C3" s="103"/>
      <c r="D3" s="103"/>
      <c r="E3" s="16"/>
      <c r="F3" s="103"/>
      <c r="G3" s="103"/>
      <c r="H3" s="16"/>
      <c r="I3" s="103"/>
      <c r="J3" s="16"/>
      <c r="K3" s="16"/>
      <c r="L3" s="103"/>
      <c r="M3" s="16"/>
      <c r="N3" s="103"/>
      <c r="O3" s="103"/>
      <c r="P3" s="103"/>
      <c r="Q3" s="103"/>
      <c r="R3" s="103"/>
      <c r="S3" s="103"/>
      <c r="T3" s="103"/>
      <c r="U3" s="103"/>
      <c r="V3" s="16"/>
      <c r="W3" s="103"/>
      <c r="X3" s="103"/>
      <c r="Y3" s="103"/>
      <c r="Z3" s="103"/>
      <c r="AA3" s="103"/>
      <c r="AB3" s="103"/>
    </row>
    <row r="4" spans="1:28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6"/>
      <c r="N4" s="103"/>
      <c r="O4" s="103"/>
      <c r="P4" s="103"/>
      <c r="Q4" s="103"/>
      <c r="R4" s="103"/>
      <c r="S4" s="103"/>
      <c r="T4" s="103"/>
      <c r="U4" s="103"/>
      <c r="V4" s="16"/>
      <c r="W4" s="103"/>
      <c r="X4" s="103"/>
      <c r="Y4" s="103"/>
      <c r="Z4" s="103"/>
      <c r="AA4" s="103"/>
      <c r="AB4" s="103"/>
    </row>
    <row r="5" spans="1:28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6"/>
      <c r="N5" s="103"/>
      <c r="O5" s="103"/>
      <c r="P5" s="103"/>
      <c r="Q5" s="103"/>
      <c r="R5" s="103"/>
      <c r="S5" s="103"/>
      <c r="T5" s="103"/>
      <c r="U5" s="103"/>
      <c r="V5" s="16"/>
      <c r="W5" s="103"/>
      <c r="X5" s="103"/>
      <c r="Y5" s="103"/>
      <c r="Z5" s="103"/>
      <c r="AA5" s="103"/>
      <c r="AB5" s="103"/>
    </row>
    <row r="6" spans="1:28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6"/>
      <c r="N6" s="103"/>
      <c r="O6" s="103"/>
      <c r="P6" s="103"/>
      <c r="Q6" s="103"/>
      <c r="R6" s="103"/>
      <c r="S6" s="103"/>
      <c r="T6" s="103"/>
      <c r="U6" s="103"/>
      <c r="V6" s="16"/>
      <c r="W6" s="103"/>
      <c r="X6" s="103"/>
      <c r="Y6" s="103"/>
      <c r="Z6" s="103"/>
      <c r="AA6" s="103"/>
      <c r="AB6" s="103"/>
    </row>
    <row r="7" spans="1:28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6"/>
      <c r="N7" s="103"/>
      <c r="O7" s="103"/>
      <c r="P7" s="103"/>
      <c r="Q7" s="103"/>
      <c r="R7" s="103"/>
      <c r="S7" s="103"/>
      <c r="T7" s="103"/>
      <c r="U7" s="103"/>
      <c r="V7" s="16"/>
      <c r="W7" s="103"/>
      <c r="X7" s="103"/>
      <c r="Y7" s="103"/>
      <c r="Z7" s="103"/>
      <c r="AA7" s="103"/>
      <c r="AB7" s="103"/>
    </row>
    <row r="8" spans="1:28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6"/>
      <c r="N8" s="103"/>
      <c r="O8" s="103"/>
      <c r="P8" s="103"/>
      <c r="Q8" s="103"/>
      <c r="R8" s="103"/>
      <c r="S8" s="103"/>
      <c r="T8" s="103"/>
      <c r="U8" s="103"/>
      <c r="V8" s="16"/>
      <c r="W8" s="103"/>
      <c r="X8" s="103"/>
      <c r="Y8" s="103"/>
      <c r="Z8" s="103"/>
      <c r="AA8" s="103"/>
      <c r="AB8" s="103"/>
    </row>
    <row r="9" spans="1:28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6"/>
      <c r="N9" s="103"/>
      <c r="O9" s="103"/>
      <c r="P9" s="103"/>
      <c r="Q9" s="103"/>
      <c r="R9" s="103"/>
      <c r="S9" s="103"/>
      <c r="T9" s="103"/>
      <c r="U9" s="103"/>
      <c r="V9" s="16"/>
      <c r="W9" s="103"/>
      <c r="X9" s="103"/>
      <c r="Y9" s="103"/>
      <c r="Z9" s="103"/>
      <c r="AA9" s="103"/>
      <c r="AB9" s="103"/>
    </row>
    <row r="10" spans="1:28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6"/>
      <c r="N10" s="103"/>
      <c r="O10" s="103"/>
      <c r="P10" s="103"/>
      <c r="Q10" s="103"/>
      <c r="R10" s="103"/>
      <c r="S10" s="103"/>
      <c r="T10" s="103"/>
      <c r="U10" s="103"/>
      <c r="V10" s="16"/>
      <c r="W10" s="103"/>
      <c r="X10" s="103"/>
      <c r="Y10" s="103"/>
      <c r="Z10" s="103"/>
      <c r="AA10" s="103"/>
      <c r="AB10" s="103"/>
    </row>
    <row r="11" spans="1:28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6"/>
      <c r="N11" s="103"/>
      <c r="O11" s="103"/>
      <c r="P11" s="103"/>
      <c r="Q11" s="103"/>
      <c r="R11" s="103"/>
      <c r="S11" s="103"/>
      <c r="T11" s="103"/>
      <c r="U11" s="103"/>
      <c r="V11" s="16"/>
      <c r="W11" s="103"/>
      <c r="X11" s="103"/>
      <c r="Y11" s="103"/>
      <c r="Z11" s="103"/>
      <c r="AA11" s="103"/>
      <c r="AB11" s="103"/>
    </row>
    <row r="12" spans="1:28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6"/>
      <c r="N12" s="103"/>
      <c r="O12" s="103"/>
      <c r="P12" s="103"/>
      <c r="Q12" s="103"/>
      <c r="R12" s="103"/>
      <c r="S12" s="103"/>
      <c r="T12" s="103"/>
      <c r="U12" s="103"/>
      <c r="V12" s="16"/>
      <c r="W12" s="103"/>
      <c r="X12" s="103"/>
      <c r="Y12" s="103"/>
      <c r="Z12" s="103"/>
      <c r="AA12" s="103"/>
      <c r="AB12" s="103"/>
    </row>
    <row r="13" spans="1:28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6"/>
      <c r="N13" s="103"/>
      <c r="O13" s="103"/>
      <c r="P13" s="103"/>
      <c r="Q13" s="103"/>
      <c r="R13" s="103"/>
      <c r="S13" s="103"/>
      <c r="T13" s="103"/>
      <c r="U13" s="103"/>
      <c r="V13" s="16"/>
      <c r="W13" s="103"/>
      <c r="X13" s="103"/>
      <c r="Y13" s="103"/>
      <c r="Z13" s="103"/>
      <c r="AA13" s="103"/>
      <c r="AB13" s="103"/>
    </row>
    <row r="14" spans="1:28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6"/>
      <c r="N14" s="103"/>
      <c r="O14" s="103"/>
      <c r="P14" s="103"/>
      <c r="Q14" s="103"/>
      <c r="R14" s="103"/>
      <c r="S14" s="103"/>
      <c r="T14" s="103"/>
      <c r="U14" s="103"/>
      <c r="V14" s="16"/>
      <c r="W14" s="103"/>
      <c r="X14" s="103"/>
      <c r="Y14" s="103"/>
      <c r="Z14" s="103"/>
      <c r="AA14" s="103"/>
      <c r="AB14" s="103"/>
    </row>
    <row r="15" spans="1:28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6"/>
      <c r="N15" s="103"/>
      <c r="O15" s="103"/>
      <c r="P15" s="103"/>
      <c r="Q15" s="103"/>
      <c r="R15" s="103"/>
      <c r="S15" s="103"/>
      <c r="T15" s="103"/>
      <c r="U15" s="103"/>
      <c r="V15" s="16"/>
      <c r="W15" s="103"/>
      <c r="X15" s="103"/>
      <c r="Y15" s="103"/>
      <c r="Z15" s="103"/>
      <c r="AA15" s="103"/>
      <c r="AB15" s="103"/>
    </row>
    <row r="16" spans="1:28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6"/>
      <c r="N16" s="103"/>
      <c r="O16" s="103"/>
      <c r="P16" s="103"/>
      <c r="Q16" s="103"/>
      <c r="R16" s="103"/>
      <c r="S16" s="103"/>
      <c r="T16" s="103"/>
      <c r="U16" s="103"/>
      <c r="V16" s="16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6"/>
      <c r="N17" s="103"/>
      <c r="O17" s="103"/>
      <c r="P17" s="103"/>
      <c r="Q17" s="103"/>
      <c r="R17" s="103"/>
      <c r="S17" s="103"/>
      <c r="T17" s="103"/>
      <c r="U17" s="103"/>
      <c r="V17" s="16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6"/>
      <c r="N18" s="103"/>
      <c r="O18" s="103"/>
      <c r="P18" s="103"/>
      <c r="Q18" s="103"/>
      <c r="R18" s="103"/>
      <c r="S18" s="103"/>
      <c r="T18" s="103"/>
      <c r="U18" s="103"/>
      <c r="V18" s="16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6"/>
      <c r="N19" s="103"/>
      <c r="O19" s="103"/>
      <c r="P19" s="103"/>
      <c r="Q19" s="103"/>
      <c r="R19" s="103"/>
      <c r="S19" s="103"/>
      <c r="T19" s="103"/>
      <c r="U19" s="103"/>
      <c r="V19" s="16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6"/>
      <c r="I20" s="103"/>
      <c r="J20" s="16"/>
      <c r="K20" s="16"/>
      <c r="L20" s="103"/>
      <c r="M20" s="16"/>
      <c r="N20" s="103"/>
      <c r="O20" s="103"/>
      <c r="P20" s="102"/>
      <c r="Q20" s="102"/>
      <c r="R20" s="102"/>
      <c r="S20" s="102"/>
      <c r="T20" s="103"/>
      <c r="U20" s="103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 s="4"/>
      <c r="I21" s="102"/>
      <c r="J21" s="102"/>
      <c r="K21" s="102"/>
      <c r="L21" s="102"/>
      <c r="M21" s="4"/>
      <c r="N21" s="103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2" spans="1:28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4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10">
    <dataValidation type="list" allowBlank="1" showInputMessage="1" showErrorMessage="1" sqref="J3:J20" xr:uid="{00000000-0002-0000-0C00-000000000000}">
      <formula1>israel_abroad</formula1>
    </dataValidation>
    <dataValidation type="list" allowBlank="1" showInputMessage="1" showErrorMessage="1" sqref="O3:O20" xr:uid="{00000000-0002-0000-0C00-000001000000}">
      <formula1>Holding_interest</formula1>
    </dataValidation>
    <dataValidation type="list" allowBlank="1" showInputMessage="1" showErrorMessage="1" sqref="U3:U20" xr:uid="{00000000-0002-0000-0C00-000002000000}">
      <formula1>What_is_rated</formula1>
    </dataValidation>
    <dataValidation type="list" allowBlank="1" showInputMessage="1" showErrorMessage="1" sqref="T3:T20" xr:uid="{00000000-0002-0000-0C00-000003000000}">
      <formula1>Rating_Agency</formula1>
    </dataValidation>
    <dataValidation type="list" allowBlank="1" showInputMessage="1" showErrorMessage="1" sqref="K3:K20" xr:uid="{00000000-0002-0000-0C00-000004000000}">
      <formula1>Country_list</formula1>
    </dataValidation>
    <dataValidation type="list" allowBlank="1" showInputMessage="1" showErrorMessage="1" sqref="E3:E20" xr:uid="{00000000-0002-0000-0C00-000005000000}">
      <formula1>Issuer_Type_TFunds</formula1>
    </dataValidation>
    <dataValidation type="list" allowBlank="1" showInputMessage="1" showErrorMessage="1" sqref="N3:N21" xr:uid="{00000000-0002-0000-0C00-000006000000}">
      <formula1>Underlying_Asset_Structured</formula1>
    </dataValidation>
    <dataValidation type="list" allowBlank="1" showInputMessage="1" showErrorMessage="1" sqref="H3:H20" xr:uid="{00000000-0002-0000-0C00-000007000000}">
      <formula1>Security_ID_Number_Type</formula1>
    </dataValidation>
    <dataValidation type="list" allowBlank="1" showInputMessage="1" showErrorMessage="1" sqref="L3:L20" xr:uid="{00000000-0002-0000-0C00-000008000000}">
      <formula1>Tradeable_Status</formula1>
    </dataValidation>
    <dataValidation type="list" allowBlank="1" showInputMessage="1" showErrorMessage="1" sqref="M3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I3:I20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1"/>
  <sheetViews>
    <sheetView rightToLeft="1" workbookViewId="0"/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 x14ac:dyDescent="0.2">
      <c r="A1" s="17" t="s">
        <v>2685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7" x14ac:dyDescent="0.2">
      <c r="A3" s="103"/>
      <c r="B3" s="103"/>
      <c r="C3" s="103"/>
      <c r="D3" s="103"/>
      <c r="E3" s="103"/>
      <c r="F3" s="103"/>
      <c r="G3" s="103"/>
      <c r="H3" s="16"/>
      <c r="I3" s="16"/>
      <c r="J3" s="103"/>
      <c r="K3" s="103"/>
      <c r="L3" s="103"/>
      <c r="M3" s="16"/>
      <c r="N3" s="103"/>
      <c r="O3" s="103"/>
      <c r="P3" s="103"/>
      <c r="Q3" s="103"/>
      <c r="R3" s="103"/>
      <c r="S3" s="103"/>
      <c r="T3" s="103"/>
      <c r="U3" s="103"/>
      <c r="V3" s="103"/>
      <c r="W3" s="16"/>
      <c r="X3" s="103"/>
      <c r="Y3" s="103"/>
    </row>
    <row r="4" spans="1:27" x14ac:dyDescent="0.2">
      <c r="A4" s="103"/>
      <c r="B4" s="103"/>
      <c r="C4" s="103"/>
      <c r="D4" s="103"/>
      <c r="E4" s="103"/>
      <c r="F4" s="103"/>
      <c r="G4" s="103"/>
      <c r="H4" s="16"/>
      <c r="I4" s="16"/>
      <c r="J4" s="103"/>
      <c r="K4" s="103"/>
      <c r="L4" s="103"/>
      <c r="M4" s="16"/>
      <c r="N4" s="103"/>
      <c r="O4" s="103"/>
      <c r="P4" s="103"/>
      <c r="Q4" s="103"/>
      <c r="R4" s="103"/>
      <c r="S4" s="103"/>
      <c r="T4" s="103"/>
      <c r="U4" s="103"/>
      <c r="V4" s="103"/>
      <c r="W4" s="16"/>
      <c r="X4" s="103"/>
      <c r="Y4" s="103"/>
    </row>
    <row r="5" spans="1:27" x14ac:dyDescent="0.2">
      <c r="A5" s="103"/>
      <c r="B5" s="103"/>
      <c r="C5" s="103"/>
      <c r="D5" s="103"/>
      <c r="E5" s="103"/>
      <c r="F5" s="103"/>
      <c r="G5" s="103"/>
      <c r="H5" s="16"/>
      <c r="I5" s="16"/>
      <c r="J5" s="103"/>
      <c r="K5" s="16"/>
      <c r="L5" s="103"/>
      <c r="N5" s="103"/>
      <c r="O5" s="103"/>
      <c r="P5" s="16"/>
      <c r="Q5" s="16"/>
      <c r="R5" s="103"/>
      <c r="T5" s="103"/>
      <c r="U5" s="103"/>
      <c r="V5" s="103"/>
      <c r="W5" s="103"/>
      <c r="X5" s="103"/>
      <c r="Y5" s="103"/>
      <c r="Z5" s="103"/>
      <c r="AA5" s="103"/>
    </row>
    <row r="6" spans="1:27" x14ac:dyDescent="0.2">
      <c r="A6" s="103"/>
      <c r="B6" s="103"/>
      <c r="C6" s="103"/>
      <c r="D6" s="103"/>
      <c r="E6" s="103"/>
      <c r="F6" s="103"/>
      <c r="G6" s="103"/>
      <c r="H6" s="16"/>
      <c r="I6" s="16"/>
      <c r="J6" s="103"/>
      <c r="K6" s="103"/>
      <c r="L6" s="103"/>
      <c r="M6" s="16"/>
      <c r="N6" s="103"/>
      <c r="O6" s="103"/>
      <c r="P6" s="103"/>
      <c r="Q6" s="103"/>
      <c r="R6" s="103"/>
      <c r="S6" s="103"/>
      <c r="T6" s="103"/>
      <c r="U6" s="103"/>
      <c r="V6" s="103"/>
      <c r="W6" s="16"/>
      <c r="X6" s="103"/>
      <c r="Y6" s="103"/>
    </row>
    <row r="7" spans="1:27" x14ac:dyDescent="0.2">
      <c r="A7" s="103"/>
      <c r="B7" s="103"/>
      <c r="C7" s="103"/>
      <c r="D7" s="103"/>
      <c r="E7" s="103"/>
      <c r="F7" s="103"/>
      <c r="G7" s="103"/>
      <c r="H7" s="16"/>
      <c r="I7" s="16"/>
      <c r="J7" s="103"/>
      <c r="K7" s="103"/>
      <c r="L7" s="103"/>
      <c r="M7" s="16"/>
      <c r="N7" s="103"/>
      <c r="O7" s="103"/>
      <c r="P7" s="103"/>
      <c r="Q7" s="103"/>
      <c r="R7" s="103"/>
      <c r="S7" s="103"/>
      <c r="T7" s="103"/>
      <c r="U7" s="103"/>
      <c r="V7" s="103"/>
      <c r="W7" s="16"/>
      <c r="X7" s="103"/>
      <c r="Y7" s="103"/>
    </row>
    <row r="8" spans="1:27" x14ac:dyDescent="0.2">
      <c r="A8" s="103"/>
      <c r="B8" s="103"/>
      <c r="C8" s="103"/>
      <c r="D8" s="103"/>
      <c r="E8" s="103"/>
      <c r="F8" s="103"/>
      <c r="G8" s="103"/>
      <c r="H8" s="16"/>
      <c r="I8" s="16"/>
      <c r="J8" s="103"/>
      <c r="K8" s="103"/>
      <c r="L8" s="103"/>
      <c r="M8" s="16"/>
      <c r="N8" s="103"/>
      <c r="O8" s="103"/>
      <c r="P8" s="103"/>
      <c r="Q8" s="103"/>
      <c r="R8" s="103"/>
      <c r="S8" s="103"/>
      <c r="T8" s="103"/>
      <c r="U8" s="103"/>
      <c r="V8" s="103"/>
      <c r="W8" s="16"/>
      <c r="X8" s="103"/>
      <c r="Y8" s="103"/>
    </row>
    <row r="9" spans="1:27" x14ac:dyDescent="0.2">
      <c r="A9" s="103"/>
      <c r="B9" s="103"/>
      <c r="C9" s="103"/>
      <c r="D9" s="103"/>
      <c r="E9" s="103"/>
      <c r="F9" s="103"/>
      <c r="G9" s="103"/>
      <c r="H9" s="16"/>
      <c r="I9" s="16"/>
      <c r="J9" s="103"/>
      <c r="K9" s="103"/>
      <c r="L9" s="103"/>
      <c r="M9" s="16"/>
      <c r="N9" s="103"/>
      <c r="O9" s="103"/>
      <c r="P9" s="103"/>
      <c r="Q9" s="103"/>
      <c r="R9" s="103"/>
      <c r="S9" s="103"/>
      <c r="T9" s="103"/>
      <c r="U9" s="103"/>
      <c r="V9" s="103"/>
      <c r="W9" s="16"/>
      <c r="X9" s="103"/>
      <c r="Y9" s="103"/>
    </row>
    <row r="10" spans="1:27" x14ac:dyDescent="0.2">
      <c r="A10" s="103"/>
      <c r="B10" s="103"/>
      <c r="C10" s="103"/>
      <c r="D10" s="103"/>
      <c r="E10" s="103"/>
      <c r="F10" s="103"/>
      <c r="G10" s="103"/>
      <c r="H10" s="16"/>
      <c r="I10" s="16"/>
      <c r="J10" s="103"/>
      <c r="K10" s="103"/>
      <c r="L10" s="103"/>
      <c r="M10" s="16"/>
      <c r="N10" s="103"/>
      <c r="O10" s="103"/>
      <c r="P10" s="103"/>
      <c r="Q10" s="103"/>
      <c r="R10" s="103"/>
      <c r="S10" s="103"/>
      <c r="T10" s="103"/>
      <c r="U10" s="103"/>
      <c r="V10" s="103"/>
      <c r="W10" s="16"/>
      <c r="X10" s="103"/>
      <c r="Y10" s="103"/>
    </row>
    <row r="11" spans="1:27" x14ac:dyDescent="0.2">
      <c r="A11" s="103"/>
      <c r="B11" s="103"/>
      <c r="C11" s="103"/>
      <c r="D11" s="103"/>
      <c r="E11" s="103"/>
      <c r="F11" s="103"/>
      <c r="G11" s="103"/>
      <c r="H11" s="16"/>
      <c r="I11" s="16"/>
      <c r="J11" s="103"/>
      <c r="K11" s="103"/>
      <c r="L11" s="103"/>
      <c r="M11" s="16"/>
      <c r="N11" s="103"/>
      <c r="O11" s="103"/>
      <c r="P11" s="103"/>
      <c r="Q11" s="103"/>
      <c r="R11" s="103"/>
      <c r="S11" s="103"/>
      <c r="T11" s="103"/>
      <c r="U11" s="103"/>
      <c r="V11" s="103"/>
      <c r="W11" s="16"/>
      <c r="X11" s="103"/>
      <c r="Y11" s="103"/>
    </row>
    <row r="12" spans="1:27" x14ac:dyDescent="0.2">
      <c r="A12" s="103"/>
      <c r="B12" s="103"/>
      <c r="C12" s="103"/>
      <c r="D12" s="103"/>
      <c r="E12" s="103"/>
      <c r="F12" s="103"/>
      <c r="G12" s="103"/>
      <c r="H12" s="16"/>
      <c r="I12" s="16"/>
      <c r="J12" s="103"/>
      <c r="K12" s="103"/>
      <c r="L12" s="103"/>
      <c r="M12" s="16"/>
      <c r="N12" s="103"/>
      <c r="O12" s="103"/>
      <c r="P12" s="103"/>
      <c r="Q12" s="103"/>
      <c r="R12" s="103"/>
      <c r="S12" s="103"/>
      <c r="T12" s="103"/>
      <c r="U12" s="103"/>
      <c r="V12" s="103"/>
      <c r="W12" s="16"/>
      <c r="X12" s="103"/>
      <c r="Y12" s="103"/>
    </row>
    <row r="13" spans="1:27" x14ac:dyDescent="0.2">
      <c r="A13" s="103"/>
      <c r="B13" s="103"/>
      <c r="C13" s="103"/>
      <c r="D13" s="103"/>
      <c r="E13" s="103"/>
      <c r="F13" s="103"/>
      <c r="G13" s="103"/>
      <c r="H13" s="16"/>
      <c r="I13" s="16"/>
      <c r="J13" s="103"/>
      <c r="K13" s="103"/>
      <c r="L13" s="103"/>
      <c r="M13" s="16"/>
      <c r="N13" s="103"/>
      <c r="O13" s="103"/>
      <c r="P13" s="103"/>
      <c r="Q13" s="103"/>
      <c r="R13" s="103"/>
      <c r="S13" s="103"/>
      <c r="T13" s="103"/>
      <c r="U13" s="103"/>
      <c r="V13" s="103"/>
      <c r="W13" s="16"/>
      <c r="X13" s="103"/>
      <c r="Y13" s="103"/>
    </row>
    <row r="14" spans="1:27" x14ac:dyDescent="0.2">
      <c r="A14" s="103"/>
      <c r="B14" s="103"/>
      <c r="C14" s="103"/>
      <c r="D14" s="103"/>
      <c r="E14" s="103"/>
      <c r="F14" s="103"/>
      <c r="G14" s="103"/>
      <c r="H14" s="16"/>
      <c r="I14" s="16"/>
      <c r="J14" s="103"/>
      <c r="K14" s="103"/>
      <c r="L14" s="103"/>
      <c r="M14" s="16"/>
      <c r="N14" s="103"/>
      <c r="O14" s="103"/>
      <c r="P14" s="103"/>
      <c r="Q14" s="103"/>
      <c r="R14" s="103"/>
      <c r="S14" s="103"/>
      <c r="T14" s="103"/>
      <c r="U14" s="103"/>
      <c r="V14" s="103"/>
      <c r="W14" s="16"/>
      <c r="X14" s="103"/>
      <c r="Y14" s="103"/>
    </row>
    <row r="15" spans="1:27" x14ac:dyDescent="0.2">
      <c r="A15" s="103"/>
      <c r="B15" s="103"/>
      <c r="C15" s="103"/>
      <c r="D15" s="103"/>
      <c r="E15" s="103"/>
      <c r="F15" s="103"/>
      <c r="G15" s="103"/>
      <c r="H15" s="16"/>
      <c r="I15" s="16"/>
      <c r="J15" s="103"/>
      <c r="K15" s="103"/>
      <c r="L15" s="103"/>
      <c r="M15" s="16"/>
      <c r="N15" s="103"/>
      <c r="O15" s="103"/>
      <c r="P15" s="103"/>
      <c r="Q15" s="103"/>
      <c r="R15" s="103"/>
      <c r="S15" s="103"/>
      <c r="T15" s="103"/>
      <c r="U15" s="103"/>
      <c r="V15" s="103"/>
      <c r="W15" s="16"/>
      <c r="X15" s="103"/>
      <c r="Y15" s="103"/>
    </row>
    <row r="16" spans="1:27" x14ac:dyDescent="0.2">
      <c r="A16" s="103"/>
      <c r="B16" s="103"/>
      <c r="C16" s="103"/>
      <c r="D16" s="103"/>
      <c r="E16" s="103"/>
      <c r="F16" s="103"/>
      <c r="G16" s="103"/>
      <c r="H16" s="16"/>
      <c r="I16" s="16"/>
      <c r="J16" s="103"/>
      <c r="K16" s="103"/>
      <c r="L16" s="103"/>
      <c r="M16" s="16"/>
      <c r="N16" s="103"/>
      <c r="O16" s="103"/>
      <c r="P16" s="103"/>
      <c r="Q16" s="103"/>
      <c r="R16" s="103"/>
      <c r="S16" s="103"/>
      <c r="T16" s="103"/>
      <c r="U16" s="103"/>
      <c r="V16" s="103"/>
      <c r="W16" s="16"/>
      <c r="X16" s="103"/>
      <c r="Y16" s="103"/>
    </row>
    <row r="17" spans="1:25" x14ac:dyDescent="0.2">
      <c r="A17" s="103"/>
      <c r="B17" s="103"/>
      <c r="C17" s="103"/>
      <c r="D17" s="103"/>
      <c r="E17" s="103"/>
      <c r="F17" s="103"/>
      <c r="G17" s="103"/>
      <c r="H17" s="16"/>
      <c r="I17" s="16"/>
      <c r="J17" s="103"/>
      <c r="K17" s="103"/>
      <c r="L17" s="103"/>
      <c r="M17" s="16"/>
      <c r="N17" s="103"/>
      <c r="O17" s="103"/>
      <c r="P17" s="103"/>
      <c r="Q17" s="103"/>
      <c r="R17" s="103"/>
      <c r="S17" s="103"/>
      <c r="T17" s="103"/>
      <c r="U17" s="103"/>
      <c r="V17" s="103"/>
      <c r="W17" s="16"/>
      <c r="X17" s="103"/>
      <c r="Y17" s="103"/>
    </row>
    <row r="18" spans="1:25" x14ac:dyDescent="0.2">
      <c r="A18" s="103"/>
      <c r="B18" s="103"/>
      <c r="C18" s="103"/>
      <c r="D18" s="103"/>
      <c r="E18" s="103"/>
      <c r="F18" s="103"/>
      <c r="G18" s="103"/>
      <c r="H18" s="16"/>
      <c r="I18" s="16"/>
      <c r="J18" s="103"/>
      <c r="K18" s="103"/>
      <c r="L18" s="103"/>
      <c r="M18" s="16"/>
      <c r="N18" s="103"/>
      <c r="O18" s="103"/>
      <c r="P18" s="103"/>
      <c r="Q18" s="103"/>
      <c r="R18" s="103"/>
      <c r="S18" s="103"/>
      <c r="T18" s="103"/>
      <c r="U18" s="103"/>
      <c r="V18" s="103"/>
      <c r="W18" s="16"/>
      <c r="X18" s="103"/>
      <c r="Y18" s="103"/>
    </row>
    <row r="19" spans="1:25" x14ac:dyDescent="0.2">
      <c r="A19" s="103"/>
      <c r="B19" s="103"/>
      <c r="C19" s="103"/>
      <c r="D19" s="103"/>
      <c r="E19" s="103"/>
      <c r="F19" s="103"/>
      <c r="G19" s="103"/>
      <c r="H19" s="16"/>
      <c r="I19" s="16"/>
      <c r="J19" s="103"/>
      <c r="K19" s="103"/>
      <c r="L19" s="103"/>
      <c r="M19" s="16"/>
      <c r="N19" s="103"/>
      <c r="O19" s="103"/>
      <c r="P19" s="103"/>
      <c r="Q19" s="103"/>
      <c r="R19" s="103"/>
      <c r="S19" s="103"/>
      <c r="T19" s="103"/>
      <c r="U19" s="103"/>
      <c r="V19" s="103"/>
      <c r="W19" s="16"/>
      <c r="X19" s="103"/>
      <c r="Y19" s="103"/>
    </row>
    <row r="20" spans="1:25" x14ac:dyDescent="0.2">
      <c r="F20" s="103"/>
      <c r="G20" s="103"/>
      <c r="H20" s="16"/>
      <c r="I20" s="16"/>
      <c r="L20" s="103"/>
      <c r="W20" s="16"/>
      <c r="X20" s="102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9">
    <dataValidation type="list" allowBlank="1" showInputMessage="1" showErrorMessage="1" sqref="W6:W20 W3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K5 H3:H20" xr:uid="{00000000-0002-0000-0D00-000002000000}">
      <formula1>israel_abroad</formula1>
    </dataValidation>
    <dataValidation type="list" allowBlank="1" showInputMessage="1" showErrorMessage="1" sqref="O5 L3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3:I20" xr:uid="{00000000-0002-0000-0D00-000007000000}">
      <formula1>Country_list</formula1>
    </dataValidation>
    <dataValidation type="list" allowBlank="1" showInputMessage="1" showErrorMessage="1" sqref="F3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G3:G20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Z89"/>
  <sheetViews>
    <sheetView rightToLeft="1" workbookViewId="0">
      <selection activeCell="I10" sqref="I10"/>
    </sheetView>
  </sheetViews>
  <sheetFormatPr defaultColWidth="9" defaultRowHeight="14.25" x14ac:dyDescent="0.2"/>
  <cols>
    <col min="1" max="1" width="10.625" style="2" customWidth="1"/>
    <col min="2" max="2" width="11.625" style="2" customWidth="1"/>
    <col min="3" max="3" width="18.75" style="2" customWidth="1"/>
    <col min="4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20.625" bestFit="1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ht="66.75" customHeight="1" x14ac:dyDescent="0.2">
      <c r="A1" s="169" t="s">
        <v>49</v>
      </c>
      <c r="B1" s="169" t="s">
        <v>50</v>
      </c>
      <c r="C1" s="169" t="s">
        <v>54</v>
      </c>
      <c r="D1" s="169" t="s">
        <v>67</v>
      </c>
      <c r="E1" s="169" t="s">
        <v>68</v>
      </c>
      <c r="F1" s="169" t="s">
        <v>97</v>
      </c>
      <c r="G1" s="169" t="s">
        <v>72</v>
      </c>
      <c r="H1" s="169" t="s">
        <v>98</v>
      </c>
      <c r="I1" s="169" t="s">
        <v>73</v>
      </c>
      <c r="J1" s="169" t="s">
        <v>62</v>
      </c>
      <c r="K1" s="169" t="s">
        <v>74</v>
      </c>
      <c r="L1" s="169" t="s">
        <v>76</v>
      </c>
      <c r="M1" s="169" t="s">
        <v>77</v>
      </c>
      <c r="N1" s="169" t="s">
        <v>63</v>
      </c>
      <c r="O1" s="169" t="s">
        <v>78</v>
      </c>
      <c r="P1" s="169" t="s">
        <v>17</v>
      </c>
      <c r="Q1" s="169" t="s">
        <v>64</v>
      </c>
      <c r="R1" s="169" t="s">
        <v>65</v>
      </c>
      <c r="S1" s="102"/>
    </row>
    <row r="2" spans="1:19" x14ac:dyDescent="0.2">
      <c r="A2" t="s">
        <v>1204</v>
      </c>
      <c r="B2" t="s">
        <v>1204</v>
      </c>
      <c r="C2" t="s">
        <v>1984</v>
      </c>
      <c r="D2" t="s">
        <v>1985</v>
      </c>
      <c r="E2" t="s">
        <v>1986</v>
      </c>
      <c r="F2" t="s">
        <v>1987</v>
      </c>
      <c r="G2" s="125">
        <v>2955</v>
      </c>
      <c r="H2" t="s">
        <v>754</v>
      </c>
      <c r="I2" t="s">
        <v>1989</v>
      </c>
      <c r="J2" s="126">
        <v>4.8000000000000001E-2</v>
      </c>
      <c r="K2" s="129">
        <v>1.6951457365750901E-2</v>
      </c>
      <c r="L2" s="125">
        <v>110922000000</v>
      </c>
      <c r="M2" s="127">
        <v>128.6662</v>
      </c>
      <c r="N2" s="124">
        <v>142719.13250000001</v>
      </c>
      <c r="O2" s="103"/>
      <c r="P2" s="16"/>
      <c r="Q2" s="129">
        <v>3.5853468080646204E-2</v>
      </c>
      <c r="R2" s="129">
        <v>1.2642785026147766E-2</v>
      </c>
      <c r="S2" s="102"/>
    </row>
    <row r="3" spans="1:19" x14ac:dyDescent="0.2">
      <c r="A3" t="s">
        <v>1204</v>
      </c>
      <c r="B3" t="s">
        <v>1204</v>
      </c>
      <c r="C3" t="s">
        <v>1984</v>
      </c>
      <c r="D3" t="s">
        <v>1990</v>
      </c>
      <c r="E3" t="s">
        <v>1991</v>
      </c>
      <c r="F3" t="s">
        <v>1992</v>
      </c>
      <c r="G3" s="125">
        <v>8239.2999999999993</v>
      </c>
      <c r="H3" t="s">
        <v>754</v>
      </c>
      <c r="I3" t="s">
        <v>1993</v>
      </c>
      <c r="J3" s="126">
        <v>4.8000000000000001E-2</v>
      </c>
      <c r="K3" s="129">
        <v>2.1756064203977198E-2</v>
      </c>
      <c r="L3" s="125">
        <v>82298000000</v>
      </c>
      <c r="M3" s="127">
        <v>140.7475</v>
      </c>
      <c r="N3" s="124">
        <v>115832.3567</v>
      </c>
      <c r="O3" s="103"/>
      <c r="P3" s="16"/>
      <c r="Q3" s="129">
        <v>2.9099053718043985E-2</v>
      </c>
      <c r="R3" s="129">
        <v>1.0261017980019223E-2</v>
      </c>
      <c r="S3" s="102"/>
    </row>
    <row r="4" spans="1:19" x14ac:dyDescent="0.2">
      <c r="A4" t="s">
        <v>1204</v>
      </c>
      <c r="B4" t="s">
        <v>1204</v>
      </c>
      <c r="C4" t="s">
        <v>1984</v>
      </c>
      <c r="D4" t="s">
        <v>1994</v>
      </c>
      <c r="E4" t="s">
        <v>1995</v>
      </c>
      <c r="F4" t="s">
        <v>1996</v>
      </c>
      <c r="G4" s="125">
        <v>5015.3</v>
      </c>
      <c r="H4" t="s">
        <v>754</v>
      </c>
      <c r="I4" t="s">
        <v>1997</v>
      </c>
      <c r="J4" s="126">
        <v>4.8000000000000001E-2</v>
      </c>
      <c r="K4" s="129">
        <v>2.0321500917672802E-2</v>
      </c>
      <c r="L4" s="125">
        <v>86388000000</v>
      </c>
      <c r="M4" s="127">
        <v>133.3244</v>
      </c>
      <c r="N4" s="124">
        <v>115176.2568</v>
      </c>
      <c r="O4" s="103"/>
      <c r="P4" s="16"/>
      <c r="Q4" s="129">
        <v>2.8934230303084889E-2</v>
      </c>
      <c r="R4" s="129">
        <v>1.0202897326309622E-2</v>
      </c>
      <c r="S4" s="102"/>
    </row>
    <row r="5" spans="1:19" x14ac:dyDescent="0.2">
      <c r="A5" t="s">
        <v>1204</v>
      </c>
      <c r="B5" t="s">
        <v>1204</v>
      </c>
      <c r="C5" t="s">
        <v>1984</v>
      </c>
      <c r="D5" t="s">
        <v>1998</v>
      </c>
      <c r="E5" t="s">
        <v>1999</v>
      </c>
      <c r="F5" t="s">
        <v>2000</v>
      </c>
      <c r="G5" s="125">
        <v>4463.8</v>
      </c>
      <c r="H5" t="s">
        <v>754</v>
      </c>
      <c r="I5" t="s">
        <v>2001</v>
      </c>
      <c r="J5" s="126">
        <v>4.8000000000000001E-2</v>
      </c>
      <c r="K5" s="129">
        <v>1.9623888789415001E-2</v>
      </c>
      <c r="L5" s="125">
        <v>84041000000</v>
      </c>
      <c r="M5" s="127">
        <v>129.2928</v>
      </c>
      <c r="N5" s="124">
        <v>108658.9201</v>
      </c>
      <c r="O5" s="103"/>
      <c r="P5" s="103"/>
      <c r="Q5" s="129">
        <v>2.7296964712331312E-2</v>
      </c>
      <c r="R5" s="129">
        <v>9.6255585637651988E-3</v>
      </c>
      <c r="S5" s="102"/>
    </row>
    <row r="6" spans="1:19" x14ac:dyDescent="0.2">
      <c r="A6" t="s">
        <v>1204</v>
      </c>
      <c r="B6" t="s">
        <v>1204</v>
      </c>
      <c r="C6" t="s">
        <v>1984</v>
      </c>
      <c r="D6" t="s">
        <v>2002</v>
      </c>
      <c r="E6" t="s">
        <v>2003</v>
      </c>
      <c r="F6" t="s">
        <v>2004</v>
      </c>
      <c r="G6" s="125">
        <v>8979</v>
      </c>
      <c r="H6" t="s">
        <v>754</v>
      </c>
      <c r="I6" t="s">
        <v>2005</v>
      </c>
      <c r="J6" s="126">
        <v>4.8000000000000001E-2</v>
      </c>
      <c r="K6" s="129">
        <v>2.04368954050538E-2</v>
      </c>
      <c r="L6" s="125">
        <v>75448000000</v>
      </c>
      <c r="M6" s="127">
        <v>143.61179999999999</v>
      </c>
      <c r="N6" s="124">
        <v>108352.25079999999</v>
      </c>
      <c r="O6" s="103"/>
      <c r="P6" s="16"/>
      <c r="Q6" s="129">
        <v>2.721992419518196E-2</v>
      </c>
      <c r="R6" s="129">
        <v>9.5983922462856263E-3</v>
      </c>
      <c r="S6" s="102"/>
    </row>
    <row r="7" spans="1:19" x14ac:dyDescent="0.2">
      <c r="A7" t="s">
        <v>1204</v>
      </c>
      <c r="B7" t="s">
        <v>1204</v>
      </c>
      <c r="C7" t="s">
        <v>1984</v>
      </c>
      <c r="D7" t="s">
        <v>2006</v>
      </c>
      <c r="E7" t="s">
        <v>2007</v>
      </c>
      <c r="F7" t="s">
        <v>2008</v>
      </c>
      <c r="G7" s="125">
        <v>6840</v>
      </c>
      <c r="H7" t="s">
        <v>754</v>
      </c>
      <c r="I7" t="s">
        <v>2009</v>
      </c>
      <c r="J7" s="126">
        <v>4.8000000000000001E-2</v>
      </c>
      <c r="K7" s="129">
        <v>2.09902644240853E-2</v>
      </c>
      <c r="L7" s="125">
        <v>75728000000</v>
      </c>
      <c r="M7" s="127">
        <v>139.5985</v>
      </c>
      <c r="N7" s="124">
        <v>105715.1594</v>
      </c>
      <c r="O7" s="103"/>
      <c r="P7" s="16"/>
      <c r="Q7" s="129">
        <v>2.6557442081650364E-2</v>
      </c>
      <c r="R7" s="129">
        <v>9.3647853068897381E-3</v>
      </c>
      <c r="S7" s="102"/>
    </row>
    <row r="8" spans="1:19" x14ac:dyDescent="0.2">
      <c r="A8" t="s">
        <v>1204</v>
      </c>
      <c r="B8" t="s">
        <v>1204</v>
      </c>
      <c r="C8" t="s">
        <v>1984</v>
      </c>
      <c r="D8" t="s">
        <v>2010</v>
      </c>
      <c r="E8" t="s">
        <v>2011</v>
      </c>
      <c r="F8" t="s">
        <v>2012</v>
      </c>
      <c r="G8" s="125">
        <v>4790.7</v>
      </c>
      <c r="H8" t="s">
        <v>754</v>
      </c>
      <c r="I8" t="s">
        <v>2013</v>
      </c>
      <c r="J8" s="126">
        <v>4.8000000000000001E-2</v>
      </c>
      <c r="K8" s="129">
        <v>1.98573003661629E-2</v>
      </c>
      <c r="L8" s="125">
        <v>77619000000</v>
      </c>
      <c r="M8" s="127">
        <v>130.6788</v>
      </c>
      <c r="N8" s="124">
        <v>101431.5482</v>
      </c>
      <c r="O8" s="103"/>
      <c r="P8" s="16"/>
      <c r="Q8" s="129">
        <v>2.5481326246548107E-2</v>
      </c>
      <c r="R8" s="129">
        <v>8.9853212858408121E-3</v>
      </c>
      <c r="S8" s="102"/>
    </row>
    <row r="9" spans="1:19" x14ac:dyDescent="0.2">
      <c r="A9" t="s">
        <v>1204</v>
      </c>
      <c r="B9" t="s">
        <v>1204</v>
      </c>
      <c r="C9" t="s">
        <v>1984</v>
      </c>
      <c r="D9" t="s">
        <v>2014</v>
      </c>
      <c r="E9" t="s">
        <v>2015</v>
      </c>
      <c r="F9" t="s">
        <v>2016</v>
      </c>
      <c r="G9" s="125">
        <v>6098.6</v>
      </c>
      <c r="H9" t="s">
        <v>754</v>
      </c>
      <c r="I9" t="s">
        <v>2017</v>
      </c>
      <c r="J9" s="126">
        <v>4.8000000000000001E-2</v>
      </c>
      <c r="K9" s="129">
        <v>2.0476234434842699E-2</v>
      </c>
      <c r="L9" s="125">
        <v>66006000000</v>
      </c>
      <c r="M9" s="127">
        <v>137.17959999999999</v>
      </c>
      <c r="N9" s="124">
        <v>90546.755600000004</v>
      </c>
      <c r="O9" s="103"/>
      <c r="P9" s="16"/>
      <c r="Q9" s="129">
        <v>2.2746881619482684E-2</v>
      </c>
      <c r="R9" s="129">
        <v>8.0210911168615822E-3</v>
      </c>
      <c r="S9" s="102"/>
    </row>
    <row r="10" spans="1:19" x14ac:dyDescent="0.2">
      <c r="A10" t="s">
        <v>1204</v>
      </c>
      <c r="B10" t="s">
        <v>1204</v>
      </c>
      <c r="C10" t="s">
        <v>1984</v>
      </c>
      <c r="D10" t="s">
        <v>2018</v>
      </c>
      <c r="E10" t="s">
        <v>2019</v>
      </c>
      <c r="F10" t="s">
        <v>2020</v>
      </c>
      <c r="G10" s="125">
        <v>3116.2</v>
      </c>
      <c r="H10" t="s">
        <v>754</v>
      </c>
      <c r="I10" t="s">
        <v>2021</v>
      </c>
      <c r="J10" s="126">
        <v>4.8000000000000001E-2</v>
      </c>
      <c r="K10" s="129">
        <v>1.7664805105924299E-2</v>
      </c>
      <c r="L10" s="125">
        <v>69132000000</v>
      </c>
      <c r="M10" s="127">
        <v>126.9734</v>
      </c>
      <c r="N10" s="124">
        <v>87779.259399999995</v>
      </c>
      <c r="O10" s="103"/>
      <c r="P10" s="16"/>
      <c r="Q10" s="129">
        <v>2.2051639608678342E-2</v>
      </c>
      <c r="R10" s="129">
        <v>7.7759322590357531E-3</v>
      </c>
      <c r="S10" s="102"/>
    </row>
    <row r="11" spans="1:19" x14ac:dyDescent="0.2">
      <c r="A11" t="s">
        <v>1204</v>
      </c>
      <c r="B11" t="s">
        <v>1204</v>
      </c>
      <c r="C11" t="s">
        <v>1984</v>
      </c>
      <c r="D11" t="s">
        <v>2022</v>
      </c>
      <c r="E11" t="s">
        <v>2023</v>
      </c>
      <c r="F11" t="s">
        <v>2024</v>
      </c>
      <c r="G11" s="125">
        <v>4537.1000000000004</v>
      </c>
      <c r="H11" t="s">
        <v>754</v>
      </c>
      <c r="I11" t="s">
        <v>2025</v>
      </c>
      <c r="J11" s="126">
        <v>4.8000000000000001E-2</v>
      </c>
      <c r="K11" s="129">
        <v>1.9605530575513501E-2</v>
      </c>
      <c r="L11" s="125">
        <v>57209000000</v>
      </c>
      <c r="M11" s="127">
        <v>131.0949</v>
      </c>
      <c r="N11" s="124">
        <v>74998.055900000007</v>
      </c>
      <c r="O11" s="103"/>
      <c r="P11" s="16"/>
      <c r="Q11" s="129">
        <v>1.8840784400786896E-2</v>
      </c>
      <c r="R11" s="129">
        <v>6.6437083957221962E-3</v>
      </c>
      <c r="S11" s="102"/>
    </row>
    <row r="12" spans="1:19" x14ac:dyDescent="0.2">
      <c r="A12" t="s">
        <v>1204</v>
      </c>
      <c r="B12" t="s">
        <v>1204</v>
      </c>
      <c r="C12" t="s">
        <v>1984</v>
      </c>
      <c r="D12" t="s">
        <v>2026</v>
      </c>
      <c r="E12" t="s">
        <v>2027</v>
      </c>
      <c r="F12" t="s">
        <v>2028</v>
      </c>
      <c r="G12" s="125">
        <v>4619.3</v>
      </c>
      <c r="H12" t="s">
        <v>754</v>
      </c>
      <c r="I12" t="s">
        <v>2029</v>
      </c>
      <c r="J12" s="126">
        <v>4.8000000000000001E-2</v>
      </c>
      <c r="K12" s="129">
        <v>1.5718834432363198E-2</v>
      </c>
      <c r="L12" s="125">
        <v>56827000000</v>
      </c>
      <c r="M12" s="127">
        <v>130.58680000000001</v>
      </c>
      <c r="N12" s="124">
        <v>74208.578200000004</v>
      </c>
      <c r="O12" s="103"/>
      <c r="P12" s="16"/>
      <c r="Q12" s="129">
        <v>1.8642454206182244E-2</v>
      </c>
      <c r="R12" s="129">
        <v>6.5737724551057797E-3</v>
      </c>
      <c r="S12" s="102"/>
    </row>
    <row r="13" spans="1:19" x14ac:dyDescent="0.2">
      <c r="A13" t="s">
        <v>1204</v>
      </c>
      <c r="B13" t="s">
        <v>1204</v>
      </c>
      <c r="C13" t="s">
        <v>1984</v>
      </c>
      <c r="D13" t="s">
        <v>2030</v>
      </c>
      <c r="E13" t="s">
        <v>2031</v>
      </c>
      <c r="F13" t="s">
        <v>2032</v>
      </c>
      <c r="G13" s="125">
        <v>4938</v>
      </c>
      <c r="H13" t="s">
        <v>754</v>
      </c>
      <c r="I13" t="s">
        <v>2033</v>
      </c>
      <c r="J13" s="126">
        <v>4.8000000000000001E-2</v>
      </c>
      <c r="K13" s="129">
        <v>2.0088089340924899E-2</v>
      </c>
      <c r="L13" s="125">
        <v>55042000000</v>
      </c>
      <c r="M13" s="127">
        <v>132.4836</v>
      </c>
      <c r="N13" s="124">
        <v>72921.599000000002</v>
      </c>
      <c r="O13" s="103"/>
      <c r="P13" s="16"/>
      <c r="Q13" s="129">
        <v>1.8319143184470491E-2</v>
      </c>
      <c r="R13" s="129">
        <v>6.4597653042524324E-3</v>
      </c>
      <c r="S13" s="102"/>
    </row>
    <row r="14" spans="1:19" x14ac:dyDescent="0.2">
      <c r="A14" t="s">
        <v>1204</v>
      </c>
      <c r="B14" t="s">
        <v>1204</v>
      </c>
      <c r="C14" t="s">
        <v>1984</v>
      </c>
      <c r="D14" t="s">
        <v>2034</v>
      </c>
      <c r="E14" t="s">
        <v>2035</v>
      </c>
      <c r="F14" t="s">
        <v>2036</v>
      </c>
      <c r="G14" s="125">
        <v>3213.8</v>
      </c>
      <c r="H14" t="s">
        <v>754</v>
      </c>
      <c r="I14" t="s">
        <v>2037</v>
      </c>
      <c r="J14" s="126">
        <v>4.8000000000000001E-2</v>
      </c>
      <c r="K14" s="129">
        <v>1.16065945184227E-2</v>
      </c>
      <c r="L14" s="125">
        <v>55904000000</v>
      </c>
      <c r="M14" s="127">
        <v>130.08680000000001</v>
      </c>
      <c r="N14" s="124">
        <v>72723.706600000005</v>
      </c>
      <c r="O14" s="103"/>
      <c r="P14" s="16"/>
      <c r="Q14" s="129">
        <v>1.8269429245705269E-2</v>
      </c>
      <c r="R14" s="129">
        <v>6.4422349878211736E-3</v>
      </c>
      <c r="S14" s="102"/>
    </row>
    <row r="15" spans="1:19" x14ac:dyDescent="0.2">
      <c r="A15" t="s">
        <v>1204</v>
      </c>
      <c r="B15" t="s">
        <v>1204</v>
      </c>
      <c r="C15" t="s">
        <v>1984</v>
      </c>
      <c r="D15" t="s">
        <v>2038</v>
      </c>
      <c r="E15" t="s">
        <v>2039</v>
      </c>
      <c r="F15" t="s">
        <v>2040</v>
      </c>
      <c r="G15" s="125">
        <v>9557.5</v>
      </c>
      <c r="H15" t="s">
        <v>754</v>
      </c>
      <c r="I15" t="s">
        <v>2041</v>
      </c>
      <c r="J15" s="126">
        <v>4.8000000000000001E-2</v>
      </c>
      <c r="K15" s="129">
        <v>2.22202647554871E-2</v>
      </c>
      <c r="L15" s="125">
        <v>50270000000</v>
      </c>
      <c r="M15" s="127">
        <v>143.77799999999999</v>
      </c>
      <c r="N15" s="124">
        <v>72277.193899999998</v>
      </c>
      <c r="O15" s="103"/>
      <c r="P15" s="16"/>
      <c r="Q15" s="129">
        <v>1.8157257695741419E-2</v>
      </c>
      <c r="R15" s="129">
        <v>6.4026806331614564E-3</v>
      </c>
      <c r="S15" s="102"/>
    </row>
    <row r="16" spans="1:19" x14ac:dyDescent="0.2">
      <c r="A16" t="s">
        <v>1204</v>
      </c>
      <c r="B16" t="s">
        <v>1204</v>
      </c>
      <c r="C16" t="s">
        <v>1984</v>
      </c>
      <c r="D16" t="s">
        <v>2042</v>
      </c>
      <c r="E16" t="s">
        <v>2043</v>
      </c>
      <c r="F16" t="s">
        <v>2044</v>
      </c>
      <c r="G16" s="125">
        <v>5099.8999999999996</v>
      </c>
      <c r="H16" t="s">
        <v>754</v>
      </c>
      <c r="I16" t="s">
        <v>2045</v>
      </c>
      <c r="J16" s="126">
        <v>4.8000000000000001E-2</v>
      </c>
      <c r="K16" s="129">
        <v>2.0311010509728999E-2</v>
      </c>
      <c r="L16" s="125">
        <v>53789000000</v>
      </c>
      <c r="M16" s="127">
        <v>134.05029999999999</v>
      </c>
      <c r="N16" s="124">
        <v>72104.300099999993</v>
      </c>
      <c r="O16" s="103"/>
      <c r="P16" s="16"/>
      <c r="Q16" s="129">
        <v>1.8113823818282138E-2</v>
      </c>
      <c r="R16" s="129">
        <v>6.3873648156139162E-3</v>
      </c>
      <c r="S16" s="102"/>
    </row>
    <row r="17" spans="1:18" x14ac:dyDescent="0.2">
      <c r="A17" t="s">
        <v>1204</v>
      </c>
      <c r="B17" t="s">
        <v>1204</v>
      </c>
      <c r="C17" t="s">
        <v>1984</v>
      </c>
      <c r="D17" t="s">
        <v>2046</v>
      </c>
      <c r="E17" t="s">
        <v>2047</v>
      </c>
      <c r="F17" t="s">
        <v>2048</v>
      </c>
      <c r="G17" s="125">
        <v>7549.9</v>
      </c>
      <c r="H17" t="s">
        <v>754</v>
      </c>
      <c r="I17" t="s">
        <v>2049</v>
      </c>
      <c r="J17" s="126">
        <v>4.8000000000000001E-2</v>
      </c>
      <c r="K17" s="129">
        <v>2.1404635537862399E-2</v>
      </c>
      <c r="L17" s="125">
        <v>51157000000</v>
      </c>
      <c r="M17" s="127">
        <v>139.8766</v>
      </c>
      <c r="N17" s="124">
        <v>71556.661099999998</v>
      </c>
      <c r="O17" s="103"/>
      <c r="P17" s="16"/>
      <c r="Q17" s="129">
        <v>1.7976247604323162E-2</v>
      </c>
      <c r="R17" s="129">
        <v>6.3388521726003514E-3</v>
      </c>
    </row>
    <row r="18" spans="1:18" x14ac:dyDescent="0.2">
      <c r="A18" t="s">
        <v>1204</v>
      </c>
      <c r="B18" t="s">
        <v>1204</v>
      </c>
      <c r="C18" t="s">
        <v>1984</v>
      </c>
      <c r="D18" t="s">
        <v>2050</v>
      </c>
      <c r="E18" t="s">
        <v>2051</v>
      </c>
      <c r="F18" t="s">
        <v>2052</v>
      </c>
      <c r="G18" s="125">
        <v>4215.1000000000004</v>
      </c>
      <c r="H18" t="s">
        <v>754</v>
      </c>
      <c r="I18" t="s">
        <v>2053</v>
      </c>
      <c r="J18" s="126">
        <v>4.8000000000000001E-2</v>
      </c>
      <c r="K18" s="129">
        <v>1.9356383386850001E-2</v>
      </c>
      <c r="L18" s="125">
        <v>54828000000</v>
      </c>
      <c r="M18" s="127">
        <v>130.31950000000001</v>
      </c>
      <c r="N18" s="124">
        <v>71451.562900000004</v>
      </c>
      <c r="O18" s="103"/>
      <c r="P18" s="16"/>
      <c r="Q18" s="129">
        <v>1.7949845173828857E-2</v>
      </c>
      <c r="R18" s="129">
        <v>6.3295420480635424E-3</v>
      </c>
    </row>
    <row r="19" spans="1:18" x14ac:dyDescent="0.2">
      <c r="A19" t="s">
        <v>1204</v>
      </c>
      <c r="B19" t="s">
        <v>1204</v>
      </c>
      <c r="C19" t="s">
        <v>1984</v>
      </c>
      <c r="D19" t="s">
        <v>2054</v>
      </c>
      <c r="E19" t="s">
        <v>2055</v>
      </c>
      <c r="F19" t="s">
        <v>2056</v>
      </c>
      <c r="G19" s="125">
        <v>3201.2</v>
      </c>
      <c r="H19" t="s">
        <v>754</v>
      </c>
      <c r="I19" t="s">
        <v>2057</v>
      </c>
      <c r="J19" s="126">
        <v>4.8000000000000001E-2</v>
      </c>
      <c r="K19" s="129">
        <v>1.7974272140264199E-2</v>
      </c>
      <c r="L19" s="125">
        <v>54836000000</v>
      </c>
      <c r="M19" s="127">
        <v>126.90009999999999</v>
      </c>
      <c r="N19" s="124">
        <v>69586.913499999995</v>
      </c>
      <c r="O19" s="103"/>
      <c r="P19" s="16"/>
      <c r="Q19" s="129">
        <v>1.7481413595532281E-2</v>
      </c>
      <c r="R19" s="129">
        <v>6.1643619396695212E-3</v>
      </c>
    </row>
    <row r="20" spans="1:18" x14ac:dyDescent="0.2">
      <c r="A20" t="s">
        <v>1204</v>
      </c>
      <c r="B20" t="s">
        <v>1204</v>
      </c>
      <c r="C20" t="s">
        <v>1984</v>
      </c>
      <c r="D20" t="s">
        <v>2058</v>
      </c>
      <c r="E20" t="s">
        <v>2059</v>
      </c>
      <c r="F20" t="s">
        <v>2060</v>
      </c>
      <c r="G20" s="125">
        <v>3884.9</v>
      </c>
      <c r="H20" t="s">
        <v>754</v>
      </c>
      <c r="I20" t="s">
        <v>2061</v>
      </c>
      <c r="J20" s="126">
        <v>4.8000000000000001E-2</v>
      </c>
      <c r="K20" s="129">
        <v>1.8808259571790401E-2</v>
      </c>
      <c r="L20" s="125">
        <v>53450000000</v>
      </c>
      <c r="M20" s="127">
        <v>128.1317</v>
      </c>
      <c r="N20" s="124">
        <v>68486.378200000006</v>
      </c>
      <c r="O20" s="102"/>
      <c r="P20" s="16"/>
      <c r="Q20" s="129">
        <v>1.7204940454682321E-2</v>
      </c>
      <c r="R20" s="129">
        <v>6.0668709388712831E-3</v>
      </c>
    </row>
    <row r="21" spans="1:18" x14ac:dyDescent="0.2">
      <c r="A21" t="s">
        <v>1204</v>
      </c>
      <c r="B21" t="s">
        <v>1204</v>
      </c>
      <c r="C21" t="s">
        <v>1984</v>
      </c>
      <c r="D21" t="s">
        <v>2062</v>
      </c>
      <c r="E21" t="s">
        <v>2063</v>
      </c>
      <c r="F21" t="s">
        <v>2064</v>
      </c>
      <c r="G21" s="125">
        <v>5967.8</v>
      </c>
      <c r="H21" t="s">
        <v>754</v>
      </c>
      <c r="I21" t="s">
        <v>2065</v>
      </c>
      <c r="J21" s="126">
        <v>4.8000000000000001E-2</v>
      </c>
      <c r="K21" s="129">
        <v>2.0352972141503899E-2</v>
      </c>
      <c r="L21" s="125">
        <v>49987000000</v>
      </c>
      <c r="M21" s="127">
        <v>136.63900000000001</v>
      </c>
      <c r="N21" s="124">
        <v>68301.721000000005</v>
      </c>
      <c r="O21" s="102"/>
      <c r="Q21" s="129">
        <v>1.7158551422007812E-2</v>
      </c>
      <c r="R21" s="129">
        <v>6.0505130633554307E-3</v>
      </c>
    </row>
    <row r="22" spans="1:18" x14ac:dyDescent="0.2">
      <c r="A22" t="s">
        <v>1204</v>
      </c>
      <c r="B22" t="s">
        <v>1204</v>
      </c>
      <c r="C22" t="s">
        <v>1984</v>
      </c>
      <c r="D22" t="s">
        <v>2066</v>
      </c>
      <c r="E22" t="s">
        <v>2067</v>
      </c>
      <c r="F22" t="s">
        <v>2068</v>
      </c>
      <c r="G22" s="125">
        <v>5182.5</v>
      </c>
      <c r="H22" t="s">
        <v>754</v>
      </c>
      <c r="I22" t="s">
        <v>2069</v>
      </c>
      <c r="J22" s="126">
        <v>4.8000000000000001E-2</v>
      </c>
      <c r="K22" s="129">
        <v>2.0300520101785301E-2</v>
      </c>
      <c r="L22" s="125">
        <v>51014000000</v>
      </c>
      <c r="M22" s="127">
        <v>133.42840000000001</v>
      </c>
      <c r="N22" s="124">
        <v>68067.174100000004</v>
      </c>
      <c r="O22" s="102"/>
      <c r="Q22" s="129">
        <v>1.7099629255309973E-2</v>
      </c>
      <c r="R22" s="129">
        <v>6.029735706889942E-3</v>
      </c>
    </row>
    <row r="23" spans="1:18" x14ac:dyDescent="0.2">
      <c r="A23" t="s">
        <v>1204</v>
      </c>
      <c r="B23" t="s">
        <v>1204</v>
      </c>
      <c r="C23" t="s">
        <v>1984</v>
      </c>
      <c r="D23" t="s">
        <v>2070</v>
      </c>
      <c r="E23" t="s">
        <v>2071</v>
      </c>
      <c r="F23" t="s">
        <v>2072</v>
      </c>
      <c r="G23" s="125">
        <v>3969.7</v>
      </c>
      <c r="H23" t="s">
        <v>754</v>
      </c>
      <c r="I23" t="s">
        <v>2073</v>
      </c>
      <c r="J23" s="126">
        <v>4.8000000000000001E-2</v>
      </c>
      <c r="K23" s="129">
        <v>1.8797769163846598E-2</v>
      </c>
      <c r="L23" s="125">
        <v>53085000000</v>
      </c>
      <c r="M23" s="127">
        <v>127.93389999999999</v>
      </c>
      <c r="N23" s="124">
        <v>67913.722099999999</v>
      </c>
      <c r="O23" s="102"/>
      <c r="Q23" s="129">
        <v>1.7061079511492199E-2</v>
      </c>
      <c r="R23" s="129">
        <v>6.0161421509526223E-3</v>
      </c>
    </row>
    <row r="24" spans="1:18" x14ac:dyDescent="0.2">
      <c r="A24" t="s">
        <v>1204</v>
      </c>
      <c r="B24" t="s">
        <v>1204</v>
      </c>
      <c r="C24" t="s">
        <v>1984</v>
      </c>
      <c r="D24" t="s">
        <v>2074</v>
      </c>
      <c r="E24" t="s">
        <v>2075</v>
      </c>
      <c r="F24" t="s">
        <v>2076</v>
      </c>
      <c r="G24" s="125">
        <v>3632.1</v>
      </c>
      <c r="H24" t="s">
        <v>754</v>
      </c>
      <c r="I24" t="s">
        <v>2077</v>
      </c>
      <c r="J24" s="126">
        <v>4.8000000000000001E-2</v>
      </c>
      <c r="K24" s="129">
        <v>1.8540754169225401E-2</v>
      </c>
      <c r="L24" s="125">
        <v>52682000000</v>
      </c>
      <c r="M24" s="127">
        <v>128.07490000000001</v>
      </c>
      <c r="N24" s="124">
        <v>67472.445000000007</v>
      </c>
      <c r="O24" s="102"/>
      <c r="Q24" s="129">
        <v>1.6950223210904704E-2</v>
      </c>
      <c r="R24" s="129">
        <v>5.9770515844844285E-3</v>
      </c>
    </row>
    <row r="25" spans="1:18" x14ac:dyDescent="0.2">
      <c r="A25" t="s">
        <v>1204</v>
      </c>
      <c r="B25" t="s">
        <v>1204</v>
      </c>
      <c r="C25" t="s">
        <v>1984</v>
      </c>
      <c r="D25" t="s">
        <v>2078</v>
      </c>
      <c r="E25" t="s">
        <v>2079</v>
      </c>
      <c r="F25" t="s">
        <v>2080</v>
      </c>
      <c r="G25" s="125">
        <v>3547.3</v>
      </c>
      <c r="H25" t="s">
        <v>754</v>
      </c>
      <c r="I25" t="s">
        <v>2081</v>
      </c>
      <c r="J25" s="126">
        <v>4.8000000000000001E-2</v>
      </c>
      <c r="K25" s="129">
        <v>1.25113922035691E-2</v>
      </c>
      <c r="L25" s="125">
        <v>51856000000</v>
      </c>
      <c r="M25" s="127">
        <v>128.9151</v>
      </c>
      <c r="N25" s="124">
        <v>66850.2166</v>
      </c>
      <c r="O25" s="102"/>
      <c r="Q25" s="129">
        <v>1.6793908876587767E-2</v>
      </c>
      <c r="R25" s="129">
        <v>5.921931434856806E-3</v>
      </c>
    </row>
    <row r="26" spans="1:18" x14ac:dyDescent="0.2">
      <c r="A26" t="s">
        <v>1204</v>
      </c>
      <c r="B26" t="s">
        <v>1204</v>
      </c>
      <c r="C26" t="s">
        <v>1984</v>
      </c>
      <c r="D26" t="s">
        <v>2082</v>
      </c>
      <c r="E26" t="s">
        <v>2083</v>
      </c>
      <c r="F26" t="s">
        <v>2084</v>
      </c>
      <c r="G26" s="125">
        <v>7635.2</v>
      </c>
      <c r="H26" t="s">
        <v>754</v>
      </c>
      <c r="I26" t="s">
        <v>2085</v>
      </c>
      <c r="J26" s="126">
        <v>4.8000000000000001E-2</v>
      </c>
      <c r="K26" s="129">
        <v>2.1525275229215299E-2</v>
      </c>
      <c r="L26" s="125">
        <v>45249000000</v>
      </c>
      <c r="M26" s="127">
        <v>139.49799999999999</v>
      </c>
      <c r="N26" s="124">
        <v>63121.443700000003</v>
      </c>
      <c r="O26" s="102"/>
      <c r="Q26" s="129">
        <v>1.5857177858184916E-2</v>
      </c>
      <c r="R26" s="129">
        <v>5.5916178131353812E-3</v>
      </c>
    </row>
    <row r="27" spans="1:18" x14ac:dyDescent="0.2">
      <c r="A27" t="s">
        <v>1204</v>
      </c>
      <c r="B27" t="s">
        <v>1204</v>
      </c>
      <c r="C27" t="s">
        <v>1984</v>
      </c>
      <c r="D27" t="s">
        <v>2086</v>
      </c>
      <c r="E27" t="s">
        <v>2087</v>
      </c>
      <c r="F27" t="s">
        <v>2088</v>
      </c>
      <c r="G27" s="125">
        <v>3718.3</v>
      </c>
      <c r="H27" t="s">
        <v>754</v>
      </c>
      <c r="I27" t="s">
        <v>2089</v>
      </c>
      <c r="J27" s="126">
        <v>4.8000000000000001E-2</v>
      </c>
      <c r="K27" s="129">
        <v>1.31381940782067E-2</v>
      </c>
      <c r="L27" s="125">
        <v>47753000000</v>
      </c>
      <c r="M27" s="127">
        <v>129.29079999999999</v>
      </c>
      <c r="N27" s="124">
        <v>61740.244899999998</v>
      </c>
      <c r="O27" s="102"/>
      <c r="Q27" s="129">
        <v>1.5510197277184138E-2</v>
      </c>
      <c r="R27" s="129">
        <v>5.4692642130882872E-3</v>
      </c>
    </row>
    <row r="28" spans="1:18" x14ac:dyDescent="0.2">
      <c r="A28" t="s">
        <v>1204</v>
      </c>
      <c r="B28" t="s">
        <v>1204</v>
      </c>
      <c r="C28" t="s">
        <v>1984</v>
      </c>
      <c r="D28" t="s">
        <v>2090</v>
      </c>
      <c r="E28" t="s">
        <v>2091</v>
      </c>
      <c r="F28" t="s">
        <v>2092</v>
      </c>
      <c r="G28" s="125">
        <v>8053.2</v>
      </c>
      <c r="H28" t="s">
        <v>754</v>
      </c>
      <c r="I28" t="s">
        <v>2093</v>
      </c>
      <c r="J28" s="126">
        <v>4.8000000000000001E-2</v>
      </c>
      <c r="K28" s="129">
        <v>1.9720925062894499E-2</v>
      </c>
      <c r="L28" s="125">
        <v>40720000000</v>
      </c>
      <c r="M28" s="127">
        <v>140.3998</v>
      </c>
      <c r="N28" s="124">
        <v>57170.778899999998</v>
      </c>
      <c r="Q28" s="129">
        <v>1.4362269863749125E-2</v>
      </c>
      <c r="R28" s="129">
        <v>5.0644777226702261E-3</v>
      </c>
    </row>
    <row r="29" spans="1:18" x14ac:dyDescent="0.2">
      <c r="A29" t="s">
        <v>1204</v>
      </c>
      <c r="B29" t="s">
        <v>1204</v>
      </c>
      <c r="C29" t="s">
        <v>1984</v>
      </c>
      <c r="D29" t="s">
        <v>2094</v>
      </c>
      <c r="E29" t="s">
        <v>2095</v>
      </c>
      <c r="F29" t="s">
        <v>2096</v>
      </c>
      <c r="G29" s="125">
        <v>8321.7999999999993</v>
      </c>
      <c r="H29" t="s">
        <v>754</v>
      </c>
      <c r="I29" t="s">
        <v>2097</v>
      </c>
      <c r="J29" s="126">
        <v>4.8000000000000001E-2</v>
      </c>
      <c r="K29" s="129">
        <v>2.1858345681428599E-2</v>
      </c>
      <c r="L29" s="125">
        <v>40253000000</v>
      </c>
      <c r="M29" s="127">
        <v>140.79669999999999</v>
      </c>
      <c r="N29" s="124">
        <v>56674.896399999998</v>
      </c>
      <c r="Q29" s="129">
        <v>1.4237695763935297E-2</v>
      </c>
      <c r="R29" s="129">
        <v>5.020549934144177E-3</v>
      </c>
    </row>
    <row r="30" spans="1:18" x14ac:dyDescent="0.2">
      <c r="A30" t="s">
        <v>1204</v>
      </c>
      <c r="B30" t="s">
        <v>1204</v>
      </c>
      <c r="C30" t="s">
        <v>1984</v>
      </c>
      <c r="D30" t="s">
        <v>2098</v>
      </c>
      <c r="E30" t="s">
        <v>2099</v>
      </c>
      <c r="F30" t="s">
        <v>2100</v>
      </c>
      <c r="G30" s="125">
        <v>4297</v>
      </c>
      <c r="H30" t="s">
        <v>754</v>
      </c>
      <c r="I30" t="s">
        <v>2101</v>
      </c>
      <c r="J30" s="126">
        <v>4.8000000000000001E-2</v>
      </c>
      <c r="K30" s="129">
        <v>1.9348515580892199E-2</v>
      </c>
      <c r="L30" s="125">
        <v>42155000000</v>
      </c>
      <c r="M30" s="127">
        <v>130.37629999999999</v>
      </c>
      <c r="N30" s="124">
        <v>54960.150099999999</v>
      </c>
      <c r="Q30" s="129">
        <v>1.3806922409583779E-2</v>
      </c>
      <c r="R30" s="129">
        <v>4.8686490105903221E-3</v>
      </c>
    </row>
    <row r="31" spans="1:18" x14ac:dyDescent="0.2">
      <c r="A31" t="s">
        <v>1204</v>
      </c>
      <c r="B31" t="s">
        <v>1204</v>
      </c>
      <c r="C31" t="s">
        <v>1984</v>
      </c>
      <c r="D31" t="s">
        <v>2102</v>
      </c>
      <c r="E31" t="s">
        <v>2103</v>
      </c>
      <c r="F31" t="s">
        <v>2104</v>
      </c>
      <c r="G31" s="125">
        <v>4051.8</v>
      </c>
      <c r="H31" t="s">
        <v>754</v>
      </c>
      <c r="I31" t="s">
        <v>2105</v>
      </c>
      <c r="J31" s="126">
        <v>4.8000000000000001E-2</v>
      </c>
      <c r="K31" s="129">
        <v>1.9088877984285001E-2</v>
      </c>
      <c r="L31" s="125">
        <v>42806000000</v>
      </c>
      <c r="M31" s="127">
        <v>127.21680000000001</v>
      </c>
      <c r="N31" s="124">
        <v>54456.4372</v>
      </c>
      <c r="Q31" s="129">
        <v>1.3680381180657848E-2</v>
      </c>
      <c r="R31" s="129">
        <v>4.8240275655837593E-3</v>
      </c>
    </row>
    <row r="32" spans="1:18" x14ac:dyDescent="0.2">
      <c r="A32" t="s">
        <v>1204</v>
      </c>
      <c r="B32" t="s">
        <v>1204</v>
      </c>
      <c r="C32" t="s">
        <v>1984</v>
      </c>
      <c r="D32" t="s">
        <v>2106</v>
      </c>
      <c r="E32" t="s">
        <v>2107</v>
      </c>
      <c r="F32" t="s">
        <v>2108</v>
      </c>
      <c r="G32" s="125">
        <v>5797.2</v>
      </c>
      <c r="H32" t="s">
        <v>754</v>
      </c>
      <c r="I32" t="s">
        <v>2109</v>
      </c>
      <c r="J32" s="126">
        <v>4.8000000000000001E-2</v>
      </c>
      <c r="K32" s="129">
        <v>1.7266169604062701E-2</v>
      </c>
      <c r="L32" s="125">
        <v>36903000000</v>
      </c>
      <c r="M32" s="127">
        <v>136.39750000000001</v>
      </c>
      <c r="N32" s="124">
        <v>50334.764000000003</v>
      </c>
      <c r="Q32" s="129">
        <v>1.2644946907941951E-2</v>
      </c>
      <c r="R32" s="129">
        <v>4.4589088303694339E-3</v>
      </c>
    </row>
    <row r="33" spans="1:18" x14ac:dyDescent="0.2">
      <c r="A33" t="s">
        <v>1204</v>
      </c>
      <c r="B33" t="s">
        <v>1204</v>
      </c>
      <c r="C33" t="s">
        <v>1984</v>
      </c>
      <c r="D33" t="s">
        <v>2110</v>
      </c>
      <c r="E33" t="s">
        <v>2111</v>
      </c>
      <c r="F33" t="s">
        <v>2112</v>
      </c>
      <c r="G33" s="125">
        <v>6803.2</v>
      </c>
      <c r="H33" t="s">
        <v>754</v>
      </c>
      <c r="I33" t="s">
        <v>2113</v>
      </c>
      <c r="J33" s="126">
        <v>4.8000000000000001E-2</v>
      </c>
      <c r="K33" s="129">
        <v>2.1042716463803901E-2</v>
      </c>
      <c r="L33" s="125">
        <v>35626000000</v>
      </c>
      <c r="M33" s="127">
        <v>136.916</v>
      </c>
      <c r="N33" s="124">
        <v>48777.686999999998</v>
      </c>
      <c r="Q33" s="129">
        <v>1.2253782758907896E-2</v>
      </c>
      <c r="R33" s="129">
        <v>4.3209750540594335E-3</v>
      </c>
    </row>
    <row r="34" spans="1:18" x14ac:dyDescent="0.2">
      <c r="A34" t="s">
        <v>1204</v>
      </c>
      <c r="B34" t="s">
        <v>1204</v>
      </c>
      <c r="C34" t="s">
        <v>1984</v>
      </c>
      <c r="D34" t="s">
        <v>2114</v>
      </c>
      <c r="E34" t="s">
        <v>2115</v>
      </c>
      <c r="F34" t="s">
        <v>2116</v>
      </c>
      <c r="G34" s="125">
        <v>8407.4</v>
      </c>
      <c r="H34" t="s">
        <v>754</v>
      </c>
      <c r="I34" t="s">
        <v>2117</v>
      </c>
      <c r="J34" s="126">
        <v>4.8000000000000001E-2</v>
      </c>
      <c r="K34" s="129">
        <v>2.1853100477456699E-2</v>
      </c>
      <c r="L34" s="125">
        <v>34486000000</v>
      </c>
      <c r="M34" s="127">
        <v>140.26349999999999</v>
      </c>
      <c r="N34" s="124">
        <v>48371.258699999998</v>
      </c>
      <c r="Q34" s="129">
        <v>1.2151681056582039E-2</v>
      </c>
      <c r="R34" s="129">
        <v>4.2849715670214153E-3</v>
      </c>
    </row>
    <row r="35" spans="1:18" x14ac:dyDescent="0.2">
      <c r="A35" t="s">
        <v>1204</v>
      </c>
      <c r="B35" t="s">
        <v>1204</v>
      </c>
      <c r="C35" t="s">
        <v>1984</v>
      </c>
      <c r="D35" t="s">
        <v>2118</v>
      </c>
      <c r="E35" t="s">
        <v>2119</v>
      </c>
      <c r="F35" t="s">
        <v>2120</v>
      </c>
      <c r="G35" s="125">
        <v>8144.4</v>
      </c>
      <c r="H35" t="s">
        <v>754</v>
      </c>
      <c r="I35" t="s">
        <v>2121</v>
      </c>
      <c r="J35" s="126">
        <v>4.8000000000000001E-2</v>
      </c>
      <c r="K35" s="129">
        <v>2.1693121756314899E-2</v>
      </c>
      <c r="L35" s="125">
        <v>33469000000</v>
      </c>
      <c r="M35" s="127">
        <v>139.46459999999999</v>
      </c>
      <c r="N35" s="124">
        <v>46677.411599999999</v>
      </c>
      <c r="Q35" s="129">
        <v>1.1726157929185728E-2</v>
      </c>
      <c r="R35" s="129">
        <v>4.1349219982816576E-3</v>
      </c>
    </row>
    <row r="36" spans="1:18" x14ac:dyDescent="0.2">
      <c r="A36" t="s">
        <v>1204</v>
      </c>
      <c r="B36" t="s">
        <v>1204</v>
      </c>
      <c r="C36" t="s">
        <v>1984</v>
      </c>
      <c r="D36" t="s">
        <v>2122</v>
      </c>
      <c r="E36" t="s">
        <v>2123</v>
      </c>
      <c r="F36" t="s">
        <v>2124</v>
      </c>
      <c r="G36" s="125">
        <v>7199.3</v>
      </c>
      <c r="H36" t="s">
        <v>754</v>
      </c>
      <c r="I36" t="s">
        <v>2125</v>
      </c>
      <c r="J36" s="126">
        <v>4.8000000000000001E-2</v>
      </c>
      <c r="K36" s="129">
        <v>2.1205317786931601E-2</v>
      </c>
      <c r="L36" s="125">
        <v>33259000000</v>
      </c>
      <c r="M36" s="127">
        <v>140.0898</v>
      </c>
      <c r="N36" s="124">
        <v>46592.466099999998</v>
      </c>
      <c r="Q36" s="129">
        <v>1.1704818189766786E-2</v>
      </c>
      <c r="R36" s="129">
        <v>4.1273970989502773E-3</v>
      </c>
    </row>
    <row r="37" spans="1:18" x14ac:dyDescent="0.2">
      <c r="A37" t="s">
        <v>1204</v>
      </c>
      <c r="B37" t="s">
        <v>1204</v>
      </c>
      <c r="C37" t="s">
        <v>1984</v>
      </c>
      <c r="D37" t="s">
        <v>2126</v>
      </c>
      <c r="E37" t="s">
        <v>2127</v>
      </c>
      <c r="F37" t="s">
        <v>2128</v>
      </c>
      <c r="G37" s="125">
        <v>6920.3</v>
      </c>
      <c r="H37" t="s">
        <v>754</v>
      </c>
      <c r="I37" t="s">
        <v>2129</v>
      </c>
      <c r="J37" s="126">
        <v>4.8000000000000001E-2</v>
      </c>
      <c r="K37" s="129">
        <v>2.11292623293396E-2</v>
      </c>
      <c r="L37" s="125">
        <v>33414000000</v>
      </c>
      <c r="M37" s="127">
        <v>139.37219999999999</v>
      </c>
      <c r="N37" s="124">
        <v>46569.8393</v>
      </c>
      <c r="Q37" s="129">
        <v>1.1699133930875716E-2</v>
      </c>
      <c r="R37" s="129">
        <v>4.1253926941593345E-3</v>
      </c>
    </row>
    <row r="38" spans="1:18" x14ac:dyDescent="0.2">
      <c r="A38" t="s">
        <v>1204</v>
      </c>
      <c r="B38" t="s">
        <v>1204</v>
      </c>
      <c r="C38" t="s">
        <v>1984</v>
      </c>
      <c r="D38" t="s">
        <v>2130</v>
      </c>
      <c r="E38" t="s">
        <v>2131</v>
      </c>
      <c r="F38" t="s">
        <v>2132</v>
      </c>
      <c r="G38" s="125">
        <v>8489</v>
      </c>
      <c r="H38" t="s">
        <v>754</v>
      </c>
      <c r="I38" t="s">
        <v>2133</v>
      </c>
      <c r="J38" s="126">
        <v>4.8000000000000001E-2</v>
      </c>
      <c r="K38" s="129">
        <v>2.18504778754708E-2</v>
      </c>
      <c r="L38" s="125">
        <v>31553000000</v>
      </c>
      <c r="M38" s="127">
        <v>140.298</v>
      </c>
      <c r="N38" s="124">
        <v>44268.215400000001</v>
      </c>
      <c r="Q38" s="129">
        <v>1.1120926970997886E-2</v>
      </c>
      <c r="R38" s="129">
        <v>3.9215031770304777E-3</v>
      </c>
    </row>
    <row r="39" spans="1:18" x14ac:dyDescent="0.2">
      <c r="A39" t="s">
        <v>1204</v>
      </c>
      <c r="B39" t="s">
        <v>1204</v>
      </c>
      <c r="C39" t="s">
        <v>1984</v>
      </c>
      <c r="D39" t="s">
        <v>2134</v>
      </c>
      <c r="E39" t="s">
        <v>2135</v>
      </c>
      <c r="F39" t="s">
        <v>2136</v>
      </c>
      <c r="G39" s="125">
        <v>9227.4</v>
      </c>
      <c r="H39" t="s">
        <v>754</v>
      </c>
      <c r="I39" t="s">
        <v>2137</v>
      </c>
      <c r="J39" s="126">
        <v>4.8000000000000001E-2</v>
      </c>
      <c r="K39" s="129">
        <v>2.0549667290448801E-2</v>
      </c>
      <c r="L39" s="125">
        <v>30965000000</v>
      </c>
      <c r="M39" s="127">
        <v>142.46039999999999</v>
      </c>
      <c r="N39" s="124">
        <v>44112.863700000002</v>
      </c>
      <c r="Q39" s="129">
        <v>1.1081899986038757E-2</v>
      </c>
      <c r="R39" s="129">
        <v>3.9077413345234395E-3</v>
      </c>
    </row>
    <row r="40" spans="1:18" x14ac:dyDescent="0.2">
      <c r="A40" t="s">
        <v>1204</v>
      </c>
      <c r="B40" t="s">
        <v>1204</v>
      </c>
      <c r="C40" t="s">
        <v>1984</v>
      </c>
      <c r="D40" t="s">
        <v>2138</v>
      </c>
      <c r="E40" t="s">
        <v>2139</v>
      </c>
      <c r="F40" t="s">
        <v>2140</v>
      </c>
      <c r="G40" s="125">
        <v>6636.2</v>
      </c>
      <c r="H40" t="s">
        <v>754</v>
      </c>
      <c r="I40" t="s">
        <v>2141</v>
      </c>
      <c r="J40" s="126">
        <v>4.8000000000000001E-2</v>
      </c>
      <c r="K40" s="129">
        <v>1.8328323408364901E-2</v>
      </c>
      <c r="L40" s="125">
        <v>31498000000</v>
      </c>
      <c r="M40" s="127">
        <v>138.19049999999999</v>
      </c>
      <c r="N40" s="124">
        <v>43527.2382</v>
      </c>
      <c r="Q40" s="129">
        <v>1.093478090708685E-2</v>
      </c>
      <c r="R40" s="129">
        <v>3.8558636504943777E-3</v>
      </c>
    </row>
    <row r="41" spans="1:18" x14ac:dyDescent="0.2">
      <c r="A41" t="s">
        <v>1204</v>
      </c>
      <c r="B41" t="s">
        <v>1204</v>
      </c>
      <c r="C41" t="s">
        <v>1984</v>
      </c>
      <c r="D41" t="s">
        <v>2142</v>
      </c>
      <c r="E41" t="s">
        <v>2143</v>
      </c>
      <c r="F41" t="s">
        <v>2144</v>
      </c>
      <c r="G41" s="125">
        <v>9807.1</v>
      </c>
      <c r="H41" t="s">
        <v>754</v>
      </c>
      <c r="I41" t="s">
        <v>2145</v>
      </c>
      <c r="J41" s="126">
        <v>4.8000000000000001E-2</v>
      </c>
      <c r="K41" s="129">
        <v>2.2272716795205701E-2</v>
      </c>
      <c r="L41" s="125">
        <v>30640000000</v>
      </c>
      <c r="M41" s="127">
        <v>141.65889999999999</v>
      </c>
      <c r="N41" s="124">
        <v>43404.275300000001</v>
      </c>
      <c r="Q41" s="129">
        <v>1.0903890551950842E-2</v>
      </c>
      <c r="R41" s="129">
        <v>3.8449709770579485E-3</v>
      </c>
    </row>
    <row r="42" spans="1:18" x14ac:dyDescent="0.2">
      <c r="A42" t="s">
        <v>1204</v>
      </c>
      <c r="B42" t="s">
        <v>1204</v>
      </c>
      <c r="C42" t="s">
        <v>1984</v>
      </c>
      <c r="D42" t="s">
        <v>2146</v>
      </c>
      <c r="E42" t="s">
        <v>2147</v>
      </c>
      <c r="F42" t="s">
        <v>2148</v>
      </c>
      <c r="G42" s="125">
        <v>3037.3</v>
      </c>
      <c r="H42" t="s">
        <v>754</v>
      </c>
      <c r="I42" t="s">
        <v>2149</v>
      </c>
      <c r="J42" s="126">
        <v>4.8000000000000001E-2</v>
      </c>
      <c r="K42" s="129">
        <v>1.08381721365448E-2</v>
      </c>
      <c r="L42" s="125">
        <v>33844000000</v>
      </c>
      <c r="M42" s="127">
        <v>127.14279999999999</v>
      </c>
      <c r="N42" s="124">
        <v>43030.214099999997</v>
      </c>
      <c r="Q42" s="129">
        <v>1.0809920034417542E-2</v>
      </c>
      <c r="R42" s="129">
        <v>3.8118347390433426E-3</v>
      </c>
    </row>
    <row r="43" spans="1:18" x14ac:dyDescent="0.2">
      <c r="A43" t="s">
        <v>1204</v>
      </c>
      <c r="B43" t="s">
        <v>1204</v>
      </c>
      <c r="C43" t="s">
        <v>1984</v>
      </c>
      <c r="D43" t="s">
        <v>2150</v>
      </c>
      <c r="E43" t="s">
        <v>2151</v>
      </c>
      <c r="F43" t="s">
        <v>2152</v>
      </c>
      <c r="G43" s="125">
        <v>6013.7</v>
      </c>
      <c r="H43" t="s">
        <v>754</v>
      </c>
      <c r="I43" t="s">
        <v>2153</v>
      </c>
      <c r="J43" s="126">
        <v>4.8000000000000001E-2</v>
      </c>
      <c r="K43" s="129">
        <v>2.0476234434842699E-2</v>
      </c>
      <c r="L43" s="125">
        <v>30527000000</v>
      </c>
      <c r="M43" s="127">
        <v>137.8314</v>
      </c>
      <c r="N43" s="124">
        <v>42075.783900000002</v>
      </c>
      <c r="Q43" s="129">
        <v>1.0570150958931815E-2</v>
      </c>
      <c r="R43" s="129">
        <v>3.7272864640908124E-3</v>
      </c>
    </row>
    <row r="44" spans="1:18" x14ac:dyDescent="0.2">
      <c r="A44" t="s">
        <v>1204</v>
      </c>
      <c r="B44" t="s">
        <v>1204</v>
      </c>
      <c r="C44" t="s">
        <v>1984</v>
      </c>
      <c r="D44" t="s">
        <v>2154</v>
      </c>
      <c r="E44" t="s">
        <v>2155</v>
      </c>
      <c r="F44" t="s">
        <v>2156</v>
      </c>
      <c r="G44" s="125">
        <v>5885.3</v>
      </c>
      <c r="H44" t="s">
        <v>754</v>
      </c>
      <c r="I44" t="s">
        <v>2157</v>
      </c>
      <c r="J44" s="126">
        <v>4.8000000000000001E-2</v>
      </c>
      <c r="K44" s="129">
        <v>2.0352972141503899E-2</v>
      </c>
      <c r="L44" s="125">
        <v>30101000000</v>
      </c>
      <c r="M44" s="127">
        <v>136.58709999999999</v>
      </c>
      <c r="N44" s="124">
        <v>41114.085299999999</v>
      </c>
      <c r="Q44" s="129">
        <v>1.0328555958782133E-2</v>
      </c>
      <c r="R44" s="129">
        <v>3.6420943247023958E-3</v>
      </c>
    </row>
    <row r="45" spans="1:18" x14ac:dyDescent="0.2">
      <c r="A45" t="s">
        <v>1204</v>
      </c>
      <c r="B45" t="s">
        <v>1204</v>
      </c>
      <c r="C45" t="s">
        <v>1984</v>
      </c>
      <c r="D45" t="s">
        <v>2158</v>
      </c>
      <c r="E45" t="s">
        <v>2159</v>
      </c>
      <c r="F45" t="s">
        <v>2160</v>
      </c>
      <c r="G45" s="125">
        <v>3465.2</v>
      </c>
      <c r="H45" t="s">
        <v>754</v>
      </c>
      <c r="I45" t="s">
        <v>2161</v>
      </c>
      <c r="J45" s="126">
        <v>4.8000000000000001E-2</v>
      </c>
      <c r="K45" s="129">
        <v>1.8249645348787001E-2</v>
      </c>
      <c r="L45" s="125">
        <v>30128000000</v>
      </c>
      <c r="M45" s="127">
        <v>129.36510000000001</v>
      </c>
      <c r="N45" s="124">
        <v>38975.111400000002</v>
      </c>
      <c r="Q45" s="129">
        <v>9.7912094046537241E-3</v>
      </c>
      <c r="R45" s="129">
        <v>3.4526131578287806E-3</v>
      </c>
    </row>
    <row r="46" spans="1:18" x14ac:dyDescent="0.2">
      <c r="A46" t="s">
        <v>1204</v>
      </c>
      <c r="B46" t="s">
        <v>1204</v>
      </c>
      <c r="C46" t="s">
        <v>1984</v>
      </c>
      <c r="D46" t="s">
        <v>2162</v>
      </c>
      <c r="E46" t="s">
        <v>2163</v>
      </c>
      <c r="F46" t="s">
        <v>2164</v>
      </c>
      <c r="G46" s="125">
        <v>6051.8</v>
      </c>
      <c r="H46" t="s">
        <v>754</v>
      </c>
      <c r="I46" t="s">
        <v>2165</v>
      </c>
      <c r="J46" s="126">
        <v>4.8000000000000001E-2</v>
      </c>
      <c r="K46" s="129">
        <v>2.0531309076547301E-2</v>
      </c>
      <c r="L46" s="125">
        <v>28618000000</v>
      </c>
      <c r="M46" s="127">
        <v>135.70949999999999</v>
      </c>
      <c r="N46" s="124">
        <v>38837.351499999997</v>
      </c>
      <c r="Q46" s="129">
        <v>9.7566017933883708E-3</v>
      </c>
      <c r="R46" s="129">
        <v>3.4404096915277749E-3</v>
      </c>
    </row>
    <row r="47" spans="1:18" x14ac:dyDescent="0.2">
      <c r="A47" t="s">
        <v>1204</v>
      </c>
      <c r="B47" t="s">
        <v>1204</v>
      </c>
      <c r="C47" t="s">
        <v>1984</v>
      </c>
      <c r="D47" t="s">
        <v>2166</v>
      </c>
      <c r="E47" t="s">
        <v>2167</v>
      </c>
      <c r="F47" t="s">
        <v>2168</v>
      </c>
      <c r="G47" s="125">
        <v>7977.4</v>
      </c>
      <c r="H47" t="s">
        <v>754</v>
      </c>
      <c r="I47" t="s">
        <v>2169</v>
      </c>
      <c r="J47" s="126">
        <v>4.8000000000000001E-2</v>
      </c>
      <c r="K47" s="129">
        <v>2.1698366960286701E-2</v>
      </c>
      <c r="L47" s="125">
        <v>27481000000</v>
      </c>
      <c r="M47" s="127">
        <v>140.79660000000001</v>
      </c>
      <c r="N47" s="124">
        <v>38692.315600000002</v>
      </c>
      <c r="Q47" s="129">
        <v>9.7201662971208216E-3</v>
      </c>
      <c r="R47" s="129">
        <v>3.4275616695290246E-3</v>
      </c>
    </row>
    <row r="48" spans="1:18" x14ac:dyDescent="0.2">
      <c r="A48" t="s">
        <v>1204</v>
      </c>
      <c r="B48" t="s">
        <v>1204</v>
      </c>
      <c r="C48" t="s">
        <v>1984</v>
      </c>
      <c r="D48" t="s">
        <v>2170</v>
      </c>
      <c r="E48" t="s">
        <v>2171</v>
      </c>
      <c r="F48" t="s">
        <v>2172</v>
      </c>
      <c r="G48" s="125">
        <v>4379.5</v>
      </c>
      <c r="H48" t="s">
        <v>754</v>
      </c>
      <c r="I48" t="s">
        <v>1474</v>
      </c>
      <c r="J48" s="126">
        <v>4.8000000000000001E-2</v>
      </c>
      <c r="K48" s="129">
        <v>1.9338025172948501E-2</v>
      </c>
      <c r="L48" s="125">
        <v>29193000000</v>
      </c>
      <c r="M48" s="127">
        <v>129.792</v>
      </c>
      <c r="N48" s="124">
        <v>37890.177000000003</v>
      </c>
      <c r="Q48" s="129">
        <v>9.5186554807252365E-3</v>
      </c>
      <c r="R48" s="129">
        <v>3.3565041660707151E-3</v>
      </c>
    </row>
    <row r="49" spans="1:18" x14ac:dyDescent="0.2">
      <c r="A49" t="s">
        <v>1204</v>
      </c>
      <c r="B49" t="s">
        <v>1204</v>
      </c>
      <c r="C49" t="s">
        <v>1984</v>
      </c>
      <c r="D49" t="s">
        <v>2173</v>
      </c>
      <c r="E49" t="s">
        <v>2174</v>
      </c>
      <c r="F49" t="s">
        <v>2175</v>
      </c>
      <c r="G49" s="125">
        <v>4701.6000000000004</v>
      </c>
      <c r="H49" t="s">
        <v>754</v>
      </c>
      <c r="I49" t="s">
        <v>2176</v>
      </c>
      <c r="J49" s="126">
        <v>4.8000000000000001E-2</v>
      </c>
      <c r="K49" s="129">
        <v>1.5781776880025501E-2</v>
      </c>
      <c r="L49" s="125">
        <v>28938000000</v>
      </c>
      <c r="M49" s="127">
        <v>130.5085</v>
      </c>
      <c r="N49" s="124">
        <v>37766.5412</v>
      </c>
      <c r="Q49" s="129">
        <v>9.4875960630354233E-3</v>
      </c>
      <c r="R49" s="129">
        <v>3.3455518771594614E-3</v>
      </c>
    </row>
    <row r="50" spans="1:18" x14ac:dyDescent="0.2">
      <c r="A50" t="s">
        <v>1204</v>
      </c>
      <c r="B50" t="s">
        <v>1204</v>
      </c>
      <c r="C50" t="s">
        <v>1984</v>
      </c>
      <c r="D50" t="s">
        <v>2177</v>
      </c>
      <c r="E50" t="s">
        <v>2178</v>
      </c>
      <c r="F50" t="s">
        <v>2179</v>
      </c>
      <c r="G50" s="125">
        <v>7107.9</v>
      </c>
      <c r="H50" t="s">
        <v>754</v>
      </c>
      <c r="I50" t="s">
        <v>2180</v>
      </c>
      <c r="J50" s="126">
        <v>4.8000000000000001E-2</v>
      </c>
      <c r="K50" s="129">
        <v>1.88895602333542E-2</v>
      </c>
      <c r="L50" s="125">
        <v>26248000000</v>
      </c>
      <c r="M50" s="127">
        <v>140.47030000000001</v>
      </c>
      <c r="N50" s="124">
        <v>36870.649100000002</v>
      </c>
      <c r="Q50" s="129">
        <v>9.2625327651535035E-3</v>
      </c>
      <c r="R50" s="129">
        <v>3.2661892089233882E-3</v>
      </c>
    </row>
    <row r="51" spans="1:18" x14ac:dyDescent="0.2">
      <c r="A51" t="s">
        <v>1204</v>
      </c>
      <c r="B51" t="s">
        <v>1204</v>
      </c>
      <c r="C51" t="s">
        <v>1984</v>
      </c>
      <c r="D51" t="s">
        <v>2181</v>
      </c>
      <c r="E51" t="s">
        <v>2182</v>
      </c>
      <c r="F51" t="s">
        <v>2183</v>
      </c>
      <c r="G51" s="125">
        <v>6713.9</v>
      </c>
      <c r="H51" t="s">
        <v>754</v>
      </c>
      <c r="I51" t="s">
        <v>2184</v>
      </c>
      <c r="J51" s="126">
        <v>4.8000000000000001E-2</v>
      </c>
      <c r="K51" s="129">
        <v>1.8344059020280499E-2</v>
      </c>
      <c r="L51" s="125">
        <v>25635000000</v>
      </c>
      <c r="M51" s="127">
        <v>137.55680000000001</v>
      </c>
      <c r="N51" s="124">
        <v>35262.688000000002</v>
      </c>
      <c r="Q51" s="129">
        <v>8.8585856369628405E-3</v>
      </c>
      <c r="R51" s="129">
        <v>3.1237478503313284E-3</v>
      </c>
    </row>
    <row r="52" spans="1:18" x14ac:dyDescent="0.2">
      <c r="A52" t="s">
        <v>1204</v>
      </c>
      <c r="B52" t="s">
        <v>1204</v>
      </c>
      <c r="C52" t="s">
        <v>1984</v>
      </c>
      <c r="D52" t="s">
        <v>2185</v>
      </c>
      <c r="E52" t="s">
        <v>2186</v>
      </c>
      <c r="F52" t="s">
        <v>2187</v>
      </c>
      <c r="G52" s="125">
        <v>9400.2000000000007</v>
      </c>
      <c r="H52" t="s">
        <v>754</v>
      </c>
      <c r="I52" t="s">
        <v>2188</v>
      </c>
      <c r="J52" s="126">
        <v>4.8000000000000001E-2</v>
      </c>
      <c r="K52" s="129">
        <v>2.21992839395996E-2</v>
      </c>
      <c r="L52" s="125">
        <v>23980000000</v>
      </c>
      <c r="M52" s="127">
        <v>144.2011</v>
      </c>
      <c r="N52" s="124">
        <v>34579.419600000001</v>
      </c>
      <c r="Q52" s="129">
        <v>8.6869370319088961E-3</v>
      </c>
      <c r="R52" s="129">
        <v>3.0632204723701818E-3</v>
      </c>
    </row>
    <row r="53" spans="1:18" x14ac:dyDescent="0.2">
      <c r="A53" t="s">
        <v>1204</v>
      </c>
      <c r="B53" t="s">
        <v>1204</v>
      </c>
      <c r="C53" t="s">
        <v>1984</v>
      </c>
      <c r="D53" t="s">
        <v>2189</v>
      </c>
      <c r="E53" t="s">
        <v>2190</v>
      </c>
      <c r="F53" t="s">
        <v>2191</v>
      </c>
      <c r="G53" s="125">
        <v>9151.7000000000007</v>
      </c>
      <c r="H53" t="s">
        <v>754</v>
      </c>
      <c r="I53" t="s">
        <v>2192</v>
      </c>
      <c r="J53" s="126">
        <v>4.8000000000000001E-2</v>
      </c>
      <c r="K53" s="129">
        <v>2.21389640939232E-2</v>
      </c>
      <c r="L53" s="125">
        <v>23684000000</v>
      </c>
      <c r="M53" s="127">
        <v>145.21530000000001</v>
      </c>
      <c r="N53" s="124">
        <v>34392.796499999997</v>
      </c>
      <c r="Q53" s="129">
        <v>8.6400541392367986E-3</v>
      </c>
      <c r="R53" s="129">
        <v>3.0466884500809006E-3</v>
      </c>
    </row>
    <row r="54" spans="1:18" x14ac:dyDescent="0.2">
      <c r="A54" t="s">
        <v>1204</v>
      </c>
      <c r="B54" t="s">
        <v>1204</v>
      </c>
      <c r="C54" t="s">
        <v>1984</v>
      </c>
      <c r="D54" t="s">
        <v>2193</v>
      </c>
      <c r="E54" t="s">
        <v>2194</v>
      </c>
      <c r="F54" t="s">
        <v>2195</v>
      </c>
      <c r="G54" s="125">
        <v>8493.5</v>
      </c>
      <c r="H54" t="s">
        <v>754</v>
      </c>
      <c r="I54" t="s">
        <v>2196</v>
      </c>
      <c r="J54" s="126">
        <v>4.8000000000000001E-2</v>
      </c>
      <c r="K54" s="129">
        <v>2.1908175119161301E-2</v>
      </c>
      <c r="L54" s="125">
        <v>24152000000</v>
      </c>
      <c r="M54" s="127">
        <v>142.39179999999999</v>
      </c>
      <c r="N54" s="124">
        <v>34390.474300000002</v>
      </c>
      <c r="Q54" s="129">
        <v>8.6394707532922912E-3</v>
      </c>
      <c r="R54" s="129">
        <v>3.0464827343306949E-3</v>
      </c>
    </row>
    <row r="55" spans="1:18" x14ac:dyDescent="0.2">
      <c r="A55" t="s">
        <v>1204</v>
      </c>
      <c r="B55" t="s">
        <v>1204</v>
      </c>
      <c r="C55" t="s">
        <v>1984</v>
      </c>
      <c r="D55" t="s">
        <v>2197</v>
      </c>
      <c r="E55" t="s">
        <v>2198</v>
      </c>
      <c r="F55" t="s">
        <v>2199</v>
      </c>
      <c r="G55" s="125">
        <v>9236.7000000000007</v>
      </c>
      <c r="H55" t="s">
        <v>754</v>
      </c>
      <c r="I55" t="s">
        <v>2200</v>
      </c>
      <c r="J55" s="126">
        <v>4.8000000000000001E-2</v>
      </c>
      <c r="K55" s="129">
        <v>2.2133718889951401E-2</v>
      </c>
      <c r="L55" s="125">
        <v>23303000000</v>
      </c>
      <c r="M55" s="127">
        <v>145.09700000000001</v>
      </c>
      <c r="N55" s="124">
        <v>33811.964800000002</v>
      </c>
      <c r="Q55" s="129">
        <v>8.4941393554956481E-3</v>
      </c>
      <c r="R55" s="129">
        <v>2.9952354291673663E-3</v>
      </c>
    </row>
    <row r="56" spans="1:18" x14ac:dyDescent="0.2">
      <c r="A56" t="s">
        <v>1204</v>
      </c>
      <c r="B56" t="s">
        <v>1204</v>
      </c>
      <c r="C56" t="s">
        <v>1984</v>
      </c>
      <c r="D56" t="s">
        <v>2201</v>
      </c>
      <c r="E56" t="s">
        <v>2202</v>
      </c>
      <c r="F56" t="s">
        <v>2203</v>
      </c>
      <c r="G56" s="125">
        <v>4056.5</v>
      </c>
      <c r="H56" t="s">
        <v>754</v>
      </c>
      <c r="I56" t="s">
        <v>2204</v>
      </c>
      <c r="J56" s="126">
        <v>4.8000000000000001E-2</v>
      </c>
      <c r="K56" s="129">
        <v>1.83361912143227E-2</v>
      </c>
      <c r="L56" s="125">
        <v>24689000000</v>
      </c>
      <c r="M56" s="127">
        <v>130.23609999999999</v>
      </c>
      <c r="N56" s="124">
        <v>32153.988300000001</v>
      </c>
      <c r="Q56" s="129">
        <v>8.0776275183254125E-3</v>
      </c>
      <c r="R56" s="129">
        <v>2.8483634555456104E-3</v>
      </c>
    </row>
    <row r="57" spans="1:18" x14ac:dyDescent="0.2">
      <c r="A57" t="s">
        <v>1204</v>
      </c>
      <c r="B57" t="s">
        <v>1204</v>
      </c>
      <c r="C57" t="s">
        <v>1984</v>
      </c>
      <c r="D57" t="s">
        <v>2205</v>
      </c>
      <c r="E57" t="s">
        <v>2206</v>
      </c>
      <c r="F57" t="s">
        <v>2207</v>
      </c>
      <c r="G57" s="125">
        <v>7087.3</v>
      </c>
      <c r="H57" t="s">
        <v>754</v>
      </c>
      <c r="I57" t="s">
        <v>2208</v>
      </c>
      <c r="J57" s="126">
        <v>4.8000000000000001E-2</v>
      </c>
      <c r="K57" s="129">
        <v>2.1124017125367801E-2</v>
      </c>
      <c r="L57" s="125">
        <v>22393000000</v>
      </c>
      <c r="M57" s="127">
        <v>138.3372</v>
      </c>
      <c r="N57" s="124">
        <v>30977.852599999998</v>
      </c>
      <c r="Q57" s="129">
        <v>7.7821622781669361E-3</v>
      </c>
      <c r="R57" s="129">
        <v>2.744175389118665E-3</v>
      </c>
    </row>
    <row r="58" spans="1:18" x14ac:dyDescent="0.2">
      <c r="A58" t="s">
        <v>1204</v>
      </c>
      <c r="B58" t="s">
        <v>1204</v>
      </c>
      <c r="C58" t="s">
        <v>1984</v>
      </c>
      <c r="D58" t="s">
        <v>2209</v>
      </c>
      <c r="E58" t="s">
        <v>2210</v>
      </c>
      <c r="F58" t="s">
        <v>2211</v>
      </c>
      <c r="G58" s="125">
        <v>5720</v>
      </c>
      <c r="H58" t="s">
        <v>754</v>
      </c>
      <c r="I58" t="s">
        <v>2212</v>
      </c>
      <c r="J58" s="126">
        <v>4.8000000000000001E-2</v>
      </c>
      <c r="K58" s="129">
        <v>1.7038003231286701E-2</v>
      </c>
      <c r="L58" s="125">
        <v>21625000000</v>
      </c>
      <c r="M58" s="127">
        <v>136.06450000000001</v>
      </c>
      <c r="N58" s="124">
        <v>29423.957299999998</v>
      </c>
      <c r="Q58" s="129">
        <v>7.3917974219257247E-3</v>
      </c>
      <c r="R58" s="129">
        <v>2.6065234624453623E-3</v>
      </c>
    </row>
    <row r="59" spans="1:18" x14ac:dyDescent="0.2">
      <c r="A59" t="s">
        <v>1204</v>
      </c>
      <c r="B59" t="s">
        <v>1204</v>
      </c>
      <c r="C59" t="s">
        <v>1984</v>
      </c>
      <c r="D59" t="s">
        <v>2213</v>
      </c>
      <c r="E59" t="s">
        <v>2214</v>
      </c>
      <c r="F59" t="s">
        <v>2215</v>
      </c>
      <c r="G59" s="125">
        <v>4452.2</v>
      </c>
      <c r="H59" t="s">
        <v>754</v>
      </c>
      <c r="I59" t="s">
        <v>1410</v>
      </c>
      <c r="J59" s="126">
        <v>4.8000000000000001E-2</v>
      </c>
      <c r="K59" s="129">
        <v>1.9616020983457199E-2</v>
      </c>
      <c r="L59" s="125">
        <v>22242000000</v>
      </c>
      <c r="M59" s="127">
        <v>131.691</v>
      </c>
      <c r="N59" s="124">
        <v>29290.711899999998</v>
      </c>
      <c r="Q59" s="129">
        <v>7.3583239034122087E-3</v>
      </c>
      <c r="R59" s="129">
        <v>2.5947199042042667E-3</v>
      </c>
    </row>
    <row r="60" spans="1:18" x14ac:dyDescent="0.2">
      <c r="A60" t="s">
        <v>1204</v>
      </c>
      <c r="B60" t="s">
        <v>1204</v>
      </c>
      <c r="C60" t="s">
        <v>1984</v>
      </c>
      <c r="D60" t="s">
        <v>2216</v>
      </c>
      <c r="E60" t="s">
        <v>2217</v>
      </c>
      <c r="F60" t="s">
        <v>2218</v>
      </c>
      <c r="G60" s="125">
        <v>5586</v>
      </c>
      <c r="H60" t="s">
        <v>754</v>
      </c>
      <c r="I60" t="s">
        <v>2219</v>
      </c>
      <c r="J60" s="126">
        <v>4.8000000000000001E-2</v>
      </c>
      <c r="K60" s="129">
        <v>2.00225242912766E-2</v>
      </c>
      <c r="L60" s="125">
        <v>21560000000</v>
      </c>
      <c r="M60" s="127">
        <v>133.60290000000001</v>
      </c>
      <c r="N60" s="124">
        <v>28804.787199999999</v>
      </c>
      <c r="Q60" s="129">
        <v>7.2362513836004188E-3</v>
      </c>
      <c r="R60" s="129">
        <v>2.5516742322455833E-3</v>
      </c>
    </row>
    <row r="61" spans="1:18" x14ac:dyDescent="0.2">
      <c r="A61" t="s">
        <v>1204</v>
      </c>
      <c r="B61" t="s">
        <v>1204</v>
      </c>
      <c r="C61" t="s">
        <v>1984</v>
      </c>
      <c r="D61" t="s">
        <v>2220</v>
      </c>
      <c r="E61" t="s">
        <v>2221</v>
      </c>
      <c r="F61" t="s">
        <v>2222</v>
      </c>
      <c r="G61" s="125">
        <v>7527.3</v>
      </c>
      <c r="H61" t="s">
        <v>754</v>
      </c>
      <c r="I61" t="s">
        <v>2223</v>
      </c>
      <c r="J61" s="126">
        <v>4.8000000000000001E-2</v>
      </c>
      <c r="K61" s="129">
        <v>2.1454464975595101E-2</v>
      </c>
      <c r="L61" s="125">
        <v>20093000000</v>
      </c>
      <c r="M61" s="127">
        <v>138.46090000000001</v>
      </c>
      <c r="N61" s="124">
        <v>27820.946499999998</v>
      </c>
      <c r="Q61" s="129">
        <v>6.9890938848168674E-3</v>
      </c>
      <c r="R61" s="129">
        <v>2.4645206236269634E-3</v>
      </c>
    </row>
    <row r="62" spans="1:18" x14ac:dyDescent="0.2">
      <c r="A62" t="s">
        <v>1204</v>
      </c>
      <c r="B62" t="s">
        <v>1204</v>
      </c>
      <c r="C62" t="s">
        <v>1984</v>
      </c>
      <c r="D62" t="s">
        <v>2224</v>
      </c>
      <c r="E62" t="s">
        <v>2225</v>
      </c>
      <c r="F62" t="s">
        <v>2226</v>
      </c>
      <c r="G62" s="125">
        <v>9722.6</v>
      </c>
      <c r="H62" t="s">
        <v>754</v>
      </c>
      <c r="I62" t="s">
        <v>2227</v>
      </c>
      <c r="J62" s="126">
        <v>4.8000000000000001E-2</v>
      </c>
      <c r="K62" s="129">
        <v>2.2277961999177601E-2</v>
      </c>
      <c r="L62" s="125">
        <v>19368000000</v>
      </c>
      <c r="M62" s="127">
        <v>142.19470000000001</v>
      </c>
      <c r="N62" s="124">
        <v>27540.266599999999</v>
      </c>
      <c r="Q62" s="129">
        <v>6.9185823522407396E-3</v>
      </c>
      <c r="R62" s="129">
        <v>2.439656581291672E-3</v>
      </c>
    </row>
    <row r="63" spans="1:18" x14ac:dyDescent="0.2">
      <c r="A63" t="s">
        <v>1204</v>
      </c>
      <c r="B63" t="s">
        <v>1204</v>
      </c>
      <c r="C63" t="s">
        <v>1984</v>
      </c>
      <c r="D63" t="s">
        <v>2228</v>
      </c>
      <c r="E63" t="s">
        <v>2229</v>
      </c>
      <c r="F63" t="s">
        <v>2230</v>
      </c>
      <c r="G63" s="125">
        <v>4137.8</v>
      </c>
      <c r="H63" t="s">
        <v>754</v>
      </c>
      <c r="I63" t="s">
        <v>2231</v>
      </c>
      <c r="J63" s="126">
        <v>4.8000000000000001E-2</v>
      </c>
      <c r="K63" s="129">
        <v>1.9070519770383501E-2</v>
      </c>
      <c r="L63" s="125">
        <v>21042000000</v>
      </c>
      <c r="M63" s="127">
        <v>129.89920000000001</v>
      </c>
      <c r="N63" s="124">
        <v>27333.393499999998</v>
      </c>
      <c r="Q63" s="129">
        <v>6.8666123118711325E-3</v>
      </c>
      <c r="R63" s="129">
        <v>2.4213307098106974E-3</v>
      </c>
    </row>
    <row r="64" spans="1:18" x14ac:dyDescent="0.2">
      <c r="A64" t="s">
        <v>1204</v>
      </c>
      <c r="B64" t="s">
        <v>1204</v>
      </c>
      <c r="C64" t="s">
        <v>1984</v>
      </c>
      <c r="D64" t="s">
        <v>2232</v>
      </c>
      <c r="E64" t="s">
        <v>2233</v>
      </c>
      <c r="F64" t="s">
        <v>2234</v>
      </c>
      <c r="G64" s="125">
        <v>9303.7999999999993</v>
      </c>
      <c r="H64" t="s">
        <v>754</v>
      </c>
      <c r="I64" t="s">
        <v>2235</v>
      </c>
      <c r="J64" s="126">
        <v>4.8000000000000001E-2</v>
      </c>
      <c r="K64" s="129">
        <v>2.0623100146054899E-2</v>
      </c>
      <c r="L64" s="125">
        <v>18202000000</v>
      </c>
      <c r="M64" s="127">
        <v>144.8921</v>
      </c>
      <c r="N64" s="124">
        <v>26373.264599999999</v>
      </c>
      <c r="Q64" s="129">
        <v>6.6254116380667603E-3</v>
      </c>
      <c r="R64" s="129">
        <v>2.3362776192641576E-3</v>
      </c>
    </row>
    <row r="65" spans="1:18" x14ac:dyDescent="0.2">
      <c r="A65" t="s">
        <v>1204</v>
      </c>
      <c r="B65" t="s">
        <v>1204</v>
      </c>
      <c r="C65" t="s">
        <v>1984</v>
      </c>
      <c r="D65" t="s">
        <v>2236</v>
      </c>
      <c r="E65" t="s">
        <v>2237</v>
      </c>
      <c r="F65" t="s">
        <v>2238</v>
      </c>
      <c r="G65" s="125">
        <v>7443.8</v>
      </c>
      <c r="H65" t="s">
        <v>754</v>
      </c>
      <c r="I65" t="s">
        <v>2239</v>
      </c>
      <c r="J65" s="126">
        <v>4.8000000000000001E-2</v>
      </c>
      <c r="K65" s="129">
        <v>2.1328580080270401E-2</v>
      </c>
      <c r="L65" s="125">
        <v>17589000000</v>
      </c>
      <c r="M65" s="127">
        <v>139.38720000000001</v>
      </c>
      <c r="N65" s="124">
        <v>24516.81</v>
      </c>
      <c r="Q65" s="129">
        <v>6.159038738020808E-3</v>
      </c>
      <c r="R65" s="129">
        <v>2.1718234497528715E-3</v>
      </c>
    </row>
    <row r="66" spans="1:18" x14ac:dyDescent="0.2">
      <c r="A66" t="s">
        <v>1204</v>
      </c>
      <c r="B66" t="s">
        <v>1204</v>
      </c>
      <c r="C66" t="s">
        <v>1984</v>
      </c>
      <c r="D66" t="s">
        <v>2240</v>
      </c>
      <c r="E66" t="s">
        <v>2241</v>
      </c>
      <c r="F66" t="s">
        <v>2242</v>
      </c>
      <c r="G66" s="125">
        <v>9485.5</v>
      </c>
      <c r="H66" t="s">
        <v>754</v>
      </c>
      <c r="I66" t="s">
        <v>2243</v>
      </c>
      <c r="J66" s="126">
        <v>4.8000000000000001E-2</v>
      </c>
      <c r="K66" s="129">
        <v>2.21966613376137E-2</v>
      </c>
      <c r="L66" s="125">
        <v>16899000000</v>
      </c>
      <c r="M66" s="127">
        <v>143.07830000000001</v>
      </c>
      <c r="N66" s="124">
        <v>24178.8014</v>
      </c>
      <c r="Q66" s="129">
        <v>6.0741252389607718E-3</v>
      </c>
      <c r="R66" s="129">
        <v>2.1418809317231154E-3</v>
      </c>
    </row>
    <row r="67" spans="1:18" x14ac:dyDescent="0.2">
      <c r="A67" t="s">
        <v>1204</v>
      </c>
      <c r="B67" t="s">
        <v>1204</v>
      </c>
      <c r="C67" t="s">
        <v>1984</v>
      </c>
      <c r="D67" t="s">
        <v>2244</v>
      </c>
      <c r="E67" t="s">
        <v>2245</v>
      </c>
      <c r="F67" t="s">
        <v>2246</v>
      </c>
      <c r="G67" s="125">
        <v>7169.3</v>
      </c>
      <c r="H67" t="s">
        <v>754</v>
      </c>
      <c r="I67" t="s">
        <v>2247</v>
      </c>
      <c r="J67" s="126">
        <v>4.8000000000000001E-2</v>
      </c>
      <c r="K67" s="129">
        <v>2.12551472246643E-2</v>
      </c>
      <c r="L67" s="125">
        <v>17413000000</v>
      </c>
      <c r="M67" s="127">
        <v>137.55860000000001</v>
      </c>
      <c r="N67" s="124">
        <v>23953.073700000001</v>
      </c>
      <c r="Q67" s="129">
        <v>6.0174186087441316E-3</v>
      </c>
      <c r="R67" s="129">
        <v>2.1218848260807373E-3</v>
      </c>
    </row>
    <row r="68" spans="1:18" x14ac:dyDescent="0.2">
      <c r="A68" t="s">
        <v>1204</v>
      </c>
      <c r="B68" t="s">
        <v>1204</v>
      </c>
      <c r="C68" t="s">
        <v>1984</v>
      </c>
      <c r="D68" t="s">
        <v>2248</v>
      </c>
      <c r="E68" t="s">
        <v>2249</v>
      </c>
      <c r="F68" t="s">
        <v>2250</v>
      </c>
      <c r="G68" s="125">
        <v>3298.2</v>
      </c>
      <c r="H68" t="s">
        <v>754</v>
      </c>
      <c r="I68" t="s">
        <v>2251</v>
      </c>
      <c r="J68" s="126">
        <v>4.8000000000000001E-2</v>
      </c>
      <c r="K68" s="129">
        <v>1.7955913926362602E-2</v>
      </c>
      <c r="L68" s="125">
        <v>17042000000</v>
      </c>
      <c r="M68" s="127">
        <v>129.65360000000001</v>
      </c>
      <c r="N68" s="124">
        <v>22095.5746</v>
      </c>
      <c r="Q68" s="129">
        <v>5.5507833180878912E-3</v>
      </c>
      <c r="R68" s="129">
        <v>1.9573381314036487E-3</v>
      </c>
    </row>
    <row r="69" spans="1:18" x14ac:dyDescent="0.2">
      <c r="A69" t="s">
        <v>1204</v>
      </c>
      <c r="B69" t="s">
        <v>1204</v>
      </c>
      <c r="C69" t="s">
        <v>1984</v>
      </c>
      <c r="D69" t="s">
        <v>2252</v>
      </c>
      <c r="E69" t="s">
        <v>2253</v>
      </c>
      <c r="F69" t="s">
        <v>2254</v>
      </c>
      <c r="G69" s="125">
        <v>5638.6</v>
      </c>
      <c r="H69" t="s">
        <v>754</v>
      </c>
      <c r="I69" t="s">
        <v>2255</v>
      </c>
      <c r="J69" s="126">
        <v>4.8000000000000001E-2</v>
      </c>
      <c r="K69" s="129">
        <v>2.01641447985169E-2</v>
      </c>
      <c r="L69" s="125">
        <v>15985000000</v>
      </c>
      <c r="M69" s="127">
        <v>136.1626</v>
      </c>
      <c r="N69" s="124">
        <v>21765.5903</v>
      </c>
      <c r="Q69" s="129">
        <v>5.4678856587786718E-3</v>
      </c>
      <c r="R69" s="129">
        <v>1.9281064463833914E-3</v>
      </c>
    </row>
    <row r="70" spans="1:18" x14ac:dyDescent="0.2">
      <c r="A70" t="s">
        <v>1204</v>
      </c>
      <c r="B70" t="s">
        <v>1204</v>
      </c>
      <c r="C70" t="s">
        <v>1984</v>
      </c>
      <c r="D70" t="s">
        <v>2256</v>
      </c>
      <c r="E70" t="s">
        <v>2257</v>
      </c>
      <c r="F70" t="s">
        <v>2258</v>
      </c>
      <c r="G70" s="125">
        <v>7002.8</v>
      </c>
      <c r="H70" t="s">
        <v>754</v>
      </c>
      <c r="I70" t="s">
        <v>2259</v>
      </c>
      <c r="J70" s="126">
        <v>4.8000000000000001E-2</v>
      </c>
      <c r="K70" s="129">
        <v>2.1126639727353701E-2</v>
      </c>
      <c r="L70" s="125">
        <v>15612000000</v>
      </c>
      <c r="M70" s="127">
        <v>138.71780000000001</v>
      </c>
      <c r="N70" s="124">
        <v>21656.6289</v>
      </c>
      <c r="Q70" s="129">
        <v>5.4405127077471593E-3</v>
      </c>
      <c r="R70" s="129">
        <v>1.9184540932374067E-3</v>
      </c>
    </row>
    <row r="71" spans="1:18" x14ac:dyDescent="0.2">
      <c r="A71" t="s">
        <v>1204</v>
      </c>
      <c r="B71" t="s">
        <v>1204</v>
      </c>
      <c r="C71" t="s">
        <v>1984</v>
      </c>
      <c r="D71" t="s">
        <v>2260</v>
      </c>
      <c r="E71" t="s">
        <v>2261</v>
      </c>
      <c r="F71" t="s">
        <v>2262</v>
      </c>
      <c r="G71" s="125">
        <v>8145.5</v>
      </c>
      <c r="H71" t="s">
        <v>754</v>
      </c>
      <c r="I71" t="s">
        <v>2263</v>
      </c>
      <c r="J71" s="126">
        <v>4.8000000000000001E-2</v>
      </c>
      <c r="K71" s="129">
        <v>1.9844187356233299E-2</v>
      </c>
      <c r="L71" s="125">
        <v>15360000000</v>
      </c>
      <c r="M71" s="127">
        <v>140.16239999999999</v>
      </c>
      <c r="N71" s="124">
        <v>21528.946199999998</v>
      </c>
      <c r="Q71" s="129">
        <v>5.4084366296958475E-3</v>
      </c>
      <c r="R71" s="129">
        <v>1.9071433057182606E-3</v>
      </c>
    </row>
    <row r="72" spans="1:18" x14ac:dyDescent="0.2">
      <c r="A72" t="s">
        <v>1204</v>
      </c>
      <c r="B72" t="s">
        <v>1204</v>
      </c>
      <c r="C72" t="s">
        <v>1984</v>
      </c>
      <c r="D72" t="s">
        <v>2264</v>
      </c>
      <c r="E72" t="s">
        <v>2265</v>
      </c>
      <c r="F72" t="s">
        <v>2266</v>
      </c>
      <c r="G72" s="125">
        <v>4868.1000000000004</v>
      </c>
      <c r="H72" t="s">
        <v>754</v>
      </c>
      <c r="I72" t="s">
        <v>2267</v>
      </c>
      <c r="J72" s="126">
        <v>4.8000000000000001E-2</v>
      </c>
      <c r="K72" s="129">
        <v>1.61620541679856E-2</v>
      </c>
      <c r="L72" s="125">
        <v>15672000000</v>
      </c>
      <c r="M72" s="127">
        <v>129.9299</v>
      </c>
      <c r="N72" s="124">
        <v>20362.611499999999</v>
      </c>
      <c r="Q72" s="129">
        <v>5.1154335624329006E-3</v>
      </c>
      <c r="R72" s="129">
        <v>1.8038234599762812E-3</v>
      </c>
    </row>
    <row r="73" spans="1:18" x14ac:dyDescent="0.2">
      <c r="A73" t="s">
        <v>1204</v>
      </c>
      <c r="B73" t="s">
        <v>1204</v>
      </c>
      <c r="C73" t="s">
        <v>1984</v>
      </c>
      <c r="D73" t="s">
        <v>2268</v>
      </c>
      <c r="E73" t="s">
        <v>2269</v>
      </c>
      <c r="F73" t="s">
        <v>2270</v>
      </c>
      <c r="G73" s="125">
        <v>8230.7000000000007</v>
      </c>
      <c r="H73" t="s">
        <v>754</v>
      </c>
      <c r="I73" t="s">
        <v>2271</v>
      </c>
      <c r="J73" s="126">
        <v>4.8000000000000001E-2</v>
      </c>
      <c r="K73" s="129">
        <v>2.1800648437738102E-2</v>
      </c>
      <c r="L73" s="125">
        <v>14264000000</v>
      </c>
      <c r="M73" s="127">
        <v>138.67160000000001</v>
      </c>
      <c r="N73" s="124">
        <v>19780.1165</v>
      </c>
      <c r="Q73" s="129">
        <v>4.9691009482223042E-3</v>
      </c>
      <c r="R73" s="129">
        <v>1.7522231021080434E-3</v>
      </c>
    </row>
    <row r="74" spans="1:18" x14ac:dyDescent="0.2">
      <c r="A74" t="s">
        <v>1204</v>
      </c>
      <c r="B74" t="s">
        <v>1204</v>
      </c>
      <c r="C74" t="s">
        <v>1984</v>
      </c>
      <c r="D74" t="s">
        <v>2272</v>
      </c>
      <c r="E74" t="s">
        <v>2273</v>
      </c>
      <c r="F74" t="s">
        <v>2274</v>
      </c>
      <c r="G74" s="125">
        <v>8581.2999999999993</v>
      </c>
      <c r="H74" t="s">
        <v>754</v>
      </c>
      <c r="I74" t="s">
        <v>2275</v>
      </c>
      <c r="J74" s="126">
        <v>4.8000000000000001E-2</v>
      </c>
      <c r="K74" s="129">
        <v>2.1902929915189401E-2</v>
      </c>
      <c r="L74" s="125">
        <v>13643000000</v>
      </c>
      <c r="M74" s="127">
        <v>142.1276</v>
      </c>
      <c r="N74" s="124">
        <v>19390.4647</v>
      </c>
      <c r="Q74" s="129">
        <v>4.8712137858442188E-3</v>
      </c>
      <c r="R74" s="129">
        <v>1.7177057620286387E-3</v>
      </c>
    </row>
    <row r="75" spans="1:18" x14ac:dyDescent="0.2">
      <c r="A75" t="s">
        <v>1204</v>
      </c>
      <c r="B75" t="s">
        <v>1204</v>
      </c>
      <c r="C75" t="s">
        <v>1984</v>
      </c>
      <c r="D75" t="s">
        <v>2276</v>
      </c>
      <c r="E75" t="s">
        <v>2277</v>
      </c>
      <c r="F75" t="s">
        <v>2278</v>
      </c>
      <c r="G75" s="125">
        <v>6262.5</v>
      </c>
      <c r="H75" t="s">
        <v>754</v>
      </c>
      <c r="I75" t="s">
        <v>2279</v>
      </c>
      <c r="J75" s="126">
        <v>4.8000000000000001E-2</v>
      </c>
      <c r="K75" s="129">
        <v>1.78457646429535E-2</v>
      </c>
      <c r="L75" s="125">
        <v>11299000000</v>
      </c>
      <c r="M75" s="127">
        <v>136.42740000000001</v>
      </c>
      <c r="N75" s="124">
        <v>15414.9362</v>
      </c>
      <c r="Q75" s="129">
        <v>3.8724935726673136E-3</v>
      </c>
      <c r="R75" s="129">
        <v>1.3655332768435873E-3</v>
      </c>
    </row>
    <row r="76" spans="1:18" x14ac:dyDescent="0.2">
      <c r="A76" t="s">
        <v>1204</v>
      </c>
      <c r="B76" t="s">
        <v>1204</v>
      </c>
      <c r="C76" t="s">
        <v>1984</v>
      </c>
      <c r="D76" t="s">
        <v>2280</v>
      </c>
      <c r="E76" t="s">
        <v>2281</v>
      </c>
      <c r="F76" t="s">
        <v>2282</v>
      </c>
      <c r="G76" s="125">
        <v>9566.2000000000007</v>
      </c>
      <c r="H76" t="s">
        <v>754</v>
      </c>
      <c r="I76" t="s">
        <v>2283</v>
      </c>
      <c r="J76" s="126">
        <v>4.8000000000000001E-2</v>
      </c>
      <c r="K76" s="129">
        <v>2.2262226387262E-2</v>
      </c>
      <c r="L76" s="125">
        <v>10537000000</v>
      </c>
      <c r="M76" s="127">
        <v>142.30969999999999</v>
      </c>
      <c r="N76" s="124">
        <v>14995.173000000001</v>
      </c>
      <c r="Q76" s="129">
        <v>3.7670419419300613E-3</v>
      </c>
      <c r="R76" s="129">
        <v>1.3283485254251474E-3</v>
      </c>
    </row>
    <row r="77" spans="1:18" x14ac:dyDescent="0.2">
      <c r="A77" t="s">
        <v>1204</v>
      </c>
      <c r="B77" t="s">
        <v>1204</v>
      </c>
      <c r="C77" t="s">
        <v>1984</v>
      </c>
      <c r="D77" t="s">
        <v>2284</v>
      </c>
      <c r="E77" t="s">
        <v>2285</v>
      </c>
      <c r="F77" t="s">
        <v>2286</v>
      </c>
      <c r="G77" s="125">
        <v>9640</v>
      </c>
      <c r="H77" t="s">
        <v>754</v>
      </c>
      <c r="I77" t="s">
        <v>2287</v>
      </c>
      <c r="J77" s="126">
        <v>4.8000000000000001E-2</v>
      </c>
      <c r="K77" s="129">
        <v>2.22805846011635E-2</v>
      </c>
      <c r="L77" s="125">
        <v>10295000000</v>
      </c>
      <c r="M77" s="127">
        <v>142.86789999999999</v>
      </c>
      <c r="N77" s="124">
        <v>14708.2466</v>
      </c>
      <c r="Q77" s="129">
        <v>3.6949611424811446E-3</v>
      </c>
      <c r="R77" s="129">
        <v>1.3029311222914894E-3</v>
      </c>
    </row>
    <row r="78" spans="1:18" x14ac:dyDescent="0.2">
      <c r="A78" t="s">
        <v>1204</v>
      </c>
      <c r="B78" t="s">
        <v>1204</v>
      </c>
      <c r="C78" t="s">
        <v>1984</v>
      </c>
      <c r="D78" t="s">
        <v>2288</v>
      </c>
      <c r="E78" t="s">
        <v>2289</v>
      </c>
      <c r="F78" t="s">
        <v>2290</v>
      </c>
      <c r="G78" s="125">
        <v>3377.8</v>
      </c>
      <c r="H78" t="s">
        <v>754</v>
      </c>
      <c r="I78" t="s">
        <v>2291</v>
      </c>
      <c r="J78" s="126">
        <v>4.8000000000000001E-2</v>
      </c>
      <c r="K78" s="129">
        <v>1.82575131547448E-2</v>
      </c>
      <c r="L78" s="125">
        <v>11248000000</v>
      </c>
      <c r="M78" s="127">
        <v>129.566</v>
      </c>
      <c r="N78" s="124">
        <v>14573.5831</v>
      </c>
      <c r="Q78" s="129">
        <v>3.6611313915095481E-3</v>
      </c>
      <c r="R78" s="129">
        <v>1.2910019480185861E-3</v>
      </c>
    </row>
    <row r="79" spans="1:18" x14ac:dyDescent="0.2">
      <c r="A79" t="s">
        <v>1204</v>
      </c>
      <c r="B79" t="s">
        <v>1204</v>
      </c>
      <c r="C79" t="s">
        <v>1984</v>
      </c>
      <c r="D79" t="s">
        <v>2292</v>
      </c>
      <c r="E79" t="s">
        <v>2293</v>
      </c>
      <c r="F79" t="s">
        <v>2294</v>
      </c>
      <c r="G79" s="125">
        <v>6181.7</v>
      </c>
      <c r="H79" t="s">
        <v>754</v>
      </c>
      <c r="I79" t="s">
        <v>2295</v>
      </c>
      <c r="J79" s="126">
        <v>4.8000000000000001E-2</v>
      </c>
      <c r="K79" s="129">
        <v>2.0646703563928299E-2</v>
      </c>
      <c r="L79" s="125">
        <v>8906000000</v>
      </c>
      <c r="M79" s="127">
        <v>136.25749999999999</v>
      </c>
      <c r="N79" s="124">
        <v>12135.092000000001</v>
      </c>
      <c r="Q79" s="129">
        <v>3.0485410606291884E-3</v>
      </c>
      <c r="R79" s="129">
        <v>1.0749880370352354E-3</v>
      </c>
    </row>
    <row r="80" spans="1:18" x14ac:dyDescent="0.2">
      <c r="A80" t="s">
        <v>1204</v>
      </c>
      <c r="B80" t="s">
        <v>1204</v>
      </c>
      <c r="C80" t="s">
        <v>1984</v>
      </c>
      <c r="D80" t="s">
        <v>2296</v>
      </c>
      <c r="E80" t="s">
        <v>2297</v>
      </c>
      <c r="F80" t="s">
        <v>2298</v>
      </c>
      <c r="G80" s="125">
        <v>9157</v>
      </c>
      <c r="H80" t="s">
        <v>754</v>
      </c>
      <c r="I80" t="s">
        <v>2299</v>
      </c>
      <c r="J80" s="126">
        <v>4.8000000000000001E-2</v>
      </c>
      <c r="K80" s="129">
        <v>2.2102247666120199E-2</v>
      </c>
      <c r="L80" s="125">
        <v>8074000000</v>
      </c>
      <c r="M80" s="127">
        <v>143.24789999999999</v>
      </c>
      <c r="N80" s="124">
        <v>11565.835300000001</v>
      </c>
      <c r="Q80" s="129">
        <v>2.905534101163607E-3</v>
      </c>
      <c r="R80" s="129">
        <v>1.0245603840757064E-3</v>
      </c>
    </row>
    <row r="81" spans="1:26" x14ac:dyDescent="0.2">
      <c r="A81" t="s">
        <v>1204</v>
      </c>
      <c r="B81" t="s">
        <v>1204</v>
      </c>
      <c r="C81" t="s">
        <v>1984</v>
      </c>
      <c r="D81" t="s">
        <v>2300</v>
      </c>
      <c r="E81" t="s">
        <v>2301</v>
      </c>
      <c r="F81" t="s">
        <v>2302</v>
      </c>
      <c r="G81" s="125">
        <v>9472.6</v>
      </c>
      <c r="H81" t="s">
        <v>754</v>
      </c>
      <c r="I81" t="s">
        <v>2303</v>
      </c>
      <c r="J81" s="126">
        <v>4.8000000000000001E-2</v>
      </c>
      <c r="K81" s="129">
        <v>2.2225509959458999E-2</v>
      </c>
      <c r="L81" s="125">
        <v>7596000000</v>
      </c>
      <c r="M81" s="127">
        <v>144.18190000000001</v>
      </c>
      <c r="N81" s="124">
        <v>10952.0553</v>
      </c>
      <c r="Q81" s="129">
        <v>2.7513421510838246E-3</v>
      </c>
      <c r="R81" s="129">
        <v>9.7018863757586111E-4</v>
      </c>
    </row>
    <row r="82" spans="1:26" x14ac:dyDescent="0.2">
      <c r="A82" t="s">
        <v>1204</v>
      </c>
      <c r="B82" t="s">
        <v>1204</v>
      </c>
      <c r="C82" t="s">
        <v>1984</v>
      </c>
      <c r="D82" t="s">
        <v>2304</v>
      </c>
      <c r="E82" t="s">
        <v>2305</v>
      </c>
      <c r="F82" t="s">
        <v>2306</v>
      </c>
      <c r="G82" s="125">
        <v>5668</v>
      </c>
      <c r="H82" t="s">
        <v>754</v>
      </c>
      <c r="I82" t="s">
        <v>1597</v>
      </c>
      <c r="J82" s="126">
        <v>4.8000000000000001E-2</v>
      </c>
      <c r="K82" s="129">
        <v>2.0221842042207401E-2</v>
      </c>
      <c r="L82" s="125">
        <v>6078000000</v>
      </c>
      <c r="M82" s="127">
        <v>133.10329999999999</v>
      </c>
      <c r="N82" s="124">
        <v>8090.0213000000003</v>
      </c>
      <c r="Q82" s="129">
        <v>2.0323506464649259E-3</v>
      </c>
      <c r="R82" s="129">
        <v>7.1665514374266335E-4</v>
      </c>
    </row>
    <row r="83" spans="1:26" x14ac:dyDescent="0.2">
      <c r="A83" t="s">
        <v>1204</v>
      </c>
      <c r="B83" t="s">
        <v>1204</v>
      </c>
      <c r="C83" t="s">
        <v>1984</v>
      </c>
      <c r="D83" t="s">
        <v>2307</v>
      </c>
      <c r="E83" t="s">
        <v>2308</v>
      </c>
      <c r="F83" t="s">
        <v>2309</v>
      </c>
      <c r="G83" s="125">
        <v>3802.5</v>
      </c>
      <c r="H83" t="s">
        <v>754</v>
      </c>
      <c r="I83" t="s">
        <v>2310</v>
      </c>
      <c r="J83" s="126">
        <v>4.8000000000000001E-2</v>
      </c>
      <c r="K83" s="129">
        <v>1.8816127377748099E-2</v>
      </c>
      <c r="L83" s="125">
        <v>4559000000</v>
      </c>
      <c r="M83" s="127">
        <v>128.57560000000001</v>
      </c>
      <c r="N83" s="124">
        <v>5861.7609000000002</v>
      </c>
      <c r="Q83" s="129">
        <v>1.4725738230683878E-3</v>
      </c>
      <c r="R83" s="129">
        <v>5.1926453079265491E-4</v>
      </c>
    </row>
    <row r="84" spans="1:26" x14ac:dyDescent="0.2">
      <c r="A84" t="s">
        <v>1204</v>
      </c>
      <c r="B84" t="s">
        <v>1204</v>
      </c>
      <c r="C84" t="s">
        <v>1984</v>
      </c>
      <c r="D84" t="s">
        <v>2578</v>
      </c>
      <c r="E84" t="s">
        <v>2311</v>
      </c>
      <c r="F84" t="s">
        <v>2312</v>
      </c>
      <c r="G84" s="125">
        <v>9792.2999999999993</v>
      </c>
      <c r="H84" t="s">
        <v>754</v>
      </c>
      <c r="I84" t="s">
        <v>2313</v>
      </c>
      <c r="J84" s="126">
        <v>4.8000000000000001E-2</v>
      </c>
      <c r="K84" s="129">
        <v>2.2285829805135399E-2</v>
      </c>
      <c r="L84" s="125">
        <v>3926000000</v>
      </c>
      <c r="M84" s="127">
        <v>143.73840000000001</v>
      </c>
      <c r="N84" s="124">
        <v>5643.1696000000002</v>
      </c>
      <c r="Q84" s="129">
        <v>1.4176599666063864E-3</v>
      </c>
      <c r="R84" s="129">
        <v>4.9990059978759324E-4</v>
      </c>
    </row>
    <row r="85" spans="1:26" x14ac:dyDescent="0.2">
      <c r="A85" t="s">
        <v>1204</v>
      </c>
      <c r="B85" t="s">
        <v>1204</v>
      </c>
      <c r="C85" t="s">
        <v>1984</v>
      </c>
      <c r="D85" t="s">
        <v>2314</v>
      </c>
      <c r="E85" t="s">
        <v>2315</v>
      </c>
      <c r="F85" t="s">
        <v>2316</v>
      </c>
      <c r="G85" s="125">
        <v>6344.1</v>
      </c>
      <c r="H85" t="s">
        <v>754</v>
      </c>
      <c r="I85" t="s">
        <v>2317</v>
      </c>
      <c r="J85" s="126">
        <v>4.8000000000000001E-2</v>
      </c>
      <c r="K85" s="129">
        <v>1.7882481070756601E-2</v>
      </c>
      <c r="L85" s="125">
        <v>3648000000</v>
      </c>
      <c r="M85" s="127">
        <v>136.3381</v>
      </c>
      <c r="N85" s="124">
        <v>4973.6151</v>
      </c>
      <c r="Q85" s="129">
        <v>1.2494565280580696E-3</v>
      </c>
      <c r="R85" s="129">
        <v>4.4058806942255582E-4</v>
      </c>
    </row>
    <row r="86" spans="1:26" x14ac:dyDescent="0.2">
      <c r="A86" t="s">
        <v>1204</v>
      </c>
      <c r="B86" t="s">
        <v>1204</v>
      </c>
      <c r="C86" t="s">
        <v>1984</v>
      </c>
      <c r="D86" t="s">
        <v>2318</v>
      </c>
      <c r="E86" t="s">
        <v>2319</v>
      </c>
      <c r="F86" t="s">
        <v>2320</v>
      </c>
      <c r="G86" s="125">
        <v>7712</v>
      </c>
      <c r="H86" t="s">
        <v>754</v>
      </c>
      <c r="I86" t="s">
        <v>2321</v>
      </c>
      <c r="J86" s="126">
        <v>4.8000000000000001E-2</v>
      </c>
      <c r="K86" s="129">
        <v>1.9432438844441999E-2</v>
      </c>
      <c r="L86" s="125">
        <v>2884000000</v>
      </c>
      <c r="M86" s="127">
        <v>139.1078</v>
      </c>
      <c r="N86" s="124">
        <v>4011.8696</v>
      </c>
      <c r="Q86" s="129">
        <v>1.0078497365108526E-3</v>
      </c>
      <c r="R86" s="129">
        <v>3.5539177210710496E-4</v>
      </c>
    </row>
    <row r="87" spans="1:26" x14ac:dyDescent="0.2">
      <c r="A87" t="s">
        <v>1204</v>
      </c>
      <c r="B87" t="s">
        <v>1204</v>
      </c>
      <c r="C87" t="s">
        <v>1984</v>
      </c>
      <c r="D87" t="s">
        <v>2322</v>
      </c>
      <c r="E87" t="s">
        <v>2323</v>
      </c>
      <c r="F87" t="s">
        <v>2324</v>
      </c>
      <c r="G87" s="125">
        <v>8570.7000000000007</v>
      </c>
      <c r="H87" t="s">
        <v>754</v>
      </c>
      <c r="I87" t="s">
        <v>2325</v>
      </c>
      <c r="J87" s="126">
        <v>4.8000000000000001E-2</v>
      </c>
      <c r="K87" s="129">
        <v>2.1947514148950201E-2</v>
      </c>
      <c r="L87" s="125">
        <v>1874000000</v>
      </c>
      <c r="M87" s="127">
        <v>139.3828</v>
      </c>
      <c r="N87" s="124">
        <v>2612.0340000000001</v>
      </c>
      <c r="Q87" s="129">
        <v>6.5618727508945276E-4</v>
      </c>
      <c r="R87" s="129">
        <v>2.3138722974271658E-4</v>
      </c>
    </row>
    <row r="88" spans="1:26" x14ac:dyDescent="0.2">
      <c r="A88" t="s">
        <v>1204</v>
      </c>
      <c r="B88" t="s">
        <v>1204</v>
      </c>
      <c r="C88" t="s">
        <v>1984</v>
      </c>
      <c r="D88" t="s">
        <v>2326</v>
      </c>
      <c r="E88" t="s">
        <v>2327</v>
      </c>
      <c r="F88" t="s">
        <v>2328</v>
      </c>
      <c r="G88" s="125">
        <v>6388.1</v>
      </c>
      <c r="H88" t="s">
        <v>754</v>
      </c>
      <c r="I88" t="s">
        <v>1538</v>
      </c>
      <c r="J88" s="126">
        <v>4.8000000000000001E-2</v>
      </c>
      <c r="K88" s="129">
        <v>2.0754230245351401E-2</v>
      </c>
      <c r="L88" s="125">
        <v>1842000000</v>
      </c>
      <c r="M88" s="127">
        <v>138.77359999999999</v>
      </c>
      <c r="N88" s="124">
        <v>2556.21</v>
      </c>
      <c r="Q88" s="129">
        <v>6.4216333655634915E-4</v>
      </c>
      <c r="R88" s="129">
        <v>2.26442055688839E-4</v>
      </c>
    </row>
    <row r="89" spans="1:26" x14ac:dyDescent="0.2">
      <c r="A89" s="195" t="s">
        <v>2681</v>
      </c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1">
    <mergeCell ref="A89:Z89"/>
  </mergeCell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88" xr:uid="{00000000-0002-0000-0E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Z27"/>
  <sheetViews>
    <sheetView rightToLeft="1" workbookViewId="0">
      <selection activeCell="B7" sqref="B7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26" ht="66.75" customHeight="1" x14ac:dyDescent="0.2">
      <c r="A1" s="17" t="s">
        <v>2686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02"/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3"/>
      <c r="G3" s="103"/>
      <c r="H3" s="102"/>
    </row>
    <row r="4" spans="1:26" x14ac:dyDescent="0.2">
      <c r="A4" s="103"/>
      <c r="B4" s="103"/>
      <c r="C4" s="103"/>
      <c r="G4" s="103"/>
      <c r="H4" s="102"/>
    </row>
    <row r="5" spans="1:26" x14ac:dyDescent="0.2">
      <c r="A5" s="103"/>
      <c r="B5" s="103"/>
      <c r="C5" s="103"/>
      <c r="G5" s="103"/>
      <c r="H5" s="102"/>
    </row>
    <row r="6" spans="1:26" x14ac:dyDescent="0.2">
      <c r="A6" s="103"/>
      <c r="B6" s="103"/>
      <c r="C6" s="103"/>
      <c r="G6" s="103"/>
      <c r="H6" s="102"/>
    </row>
    <row r="7" spans="1:26" x14ac:dyDescent="0.2">
      <c r="A7" s="103"/>
      <c r="B7" s="103"/>
      <c r="C7" s="103"/>
      <c r="G7" s="103"/>
      <c r="H7" s="102"/>
    </row>
    <row r="8" spans="1:26" x14ac:dyDescent="0.2">
      <c r="A8" s="103"/>
      <c r="B8" s="103"/>
      <c r="C8" s="103"/>
      <c r="G8" s="103"/>
      <c r="H8" s="102"/>
    </row>
    <row r="9" spans="1:26" x14ac:dyDescent="0.2">
      <c r="A9" s="103"/>
      <c r="B9" s="103"/>
      <c r="C9" s="103"/>
      <c r="G9" s="103"/>
      <c r="H9" s="102"/>
    </row>
    <row r="10" spans="1:26" x14ac:dyDescent="0.2">
      <c r="A10" s="103"/>
      <c r="B10" s="103"/>
      <c r="C10" s="103"/>
      <c r="G10" s="103"/>
      <c r="H10" s="102"/>
    </row>
    <row r="11" spans="1:26" x14ac:dyDescent="0.2">
      <c r="A11" s="103"/>
      <c r="B11" s="103"/>
      <c r="C11" s="103"/>
      <c r="G11" s="103"/>
      <c r="H11" s="102"/>
    </row>
    <row r="12" spans="1:26" x14ac:dyDescent="0.2">
      <c r="A12" s="103"/>
      <c r="B12" s="103"/>
      <c r="C12" s="103"/>
      <c r="G12" s="103"/>
      <c r="H12" s="102"/>
    </row>
    <row r="13" spans="1:26" x14ac:dyDescent="0.2">
      <c r="A13" s="103"/>
      <c r="B13" s="103"/>
      <c r="C13" s="103"/>
      <c r="G13" s="103"/>
      <c r="H13" s="102"/>
    </row>
    <row r="14" spans="1:26" x14ac:dyDescent="0.2">
      <c r="A14" s="103"/>
      <c r="B14" s="103"/>
      <c r="C14" s="103"/>
      <c r="G14" s="103"/>
      <c r="H14" s="102"/>
    </row>
    <row r="15" spans="1:26" x14ac:dyDescent="0.2">
      <c r="A15" s="103"/>
      <c r="B15" s="103"/>
      <c r="C15" s="103"/>
      <c r="G15" s="103"/>
      <c r="H15" s="102"/>
    </row>
    <row r="16" spans="1:26" x14ac:dyDescent="0.2">
      <c r="A16" s="103"/>
      <c r="B16" s="103"/>
      <c r="C16" s="103"/>
      <c r="G16" s="103"/>
      <c r="H16" s="102"/>
    </row>
    <row r="17" spans="1:7" x14ac:dyDescent="0.2">
      <c r="A17" s="103"/>
      <c r="B17" s="103"/>
      <c r="C17" s="103"/>
      <c r="G17" s="103"/>
    </row>
    <row r="18" spans="1:7" x14ac:dyDescent="0.2">
      <c r="A18" s="103"/>
      <c r="B18" s="103"/>
      <c r="C18" s="103"/>
      <c r="G18" s="103"/>
    </row>
    <row r="19" spans="1:7" x14ac:dyDescent="0.2">
      <c r="A19" s="103"/>
      <c r="B19" s="103"/>
      <c r="C19" s="103"/>
      <c r="G19" s="103"/>
    </row>
    <row r="20" spans="1:7" x14ac:dyDescent="0.2">
      <c r="A20" s="102"/>
      <c r="B20" s="102"/>
      <c r="C20" s="103"/>
      <c r="G20" s="102"/>
    </row>
    <row r="21" spans="1:7" x14ac:dyDescent="0.2">
      <c r="A21" s="102"/>
      <c r="B21" s="102"/>
      <c r="C21"/>
      <c r="G21" s="102"/>
    </row>
    <row r="22" spans="1:7" x14ac:dyDescent="0.2">
      <c r="A22" s="102"/>
      <c r="B22" s="102"/>
      <c r="C22"/>
      <c r="G22" s="102"/>
    </row>
    <row r="23" spans="1:7" x14ac:dyDescent="0.2">
      <c r="A23" s="102"/>
      <c r="B23" s="102"/>
      <c r="C23"/>
      <c r="G23" s="102"/>
    </row>
    <row r="24" spans="1:7" x14ac:dyDescent="0.2">
      <c r="A24" s="102"/>
      <c r="B24" s="102"/>
      <c r="C24"/>
      <c r="G24" s="102"/>
    </row>
    <row r="25" spans="1:7" x14ac:dyDescent="0.2">
      <c r="A25" s="102"/>
      <c r="B25" s="102"/>
      <c r="C25"/>
      <c r="G25" s="102"/>
    </row>
    <row r="26" spans="1:7" x14ac:dyDescent="0.2">
      <c r="A26" s="102"/>
      <c r="B26" s="102"/>
      <c r="C26"/>
      <c r="G26" s="102"/>
    </row>
    <row r="27" spans="1:7" x14ac:dyDescent="0.2">
      <c r="A27" s="102"/>
      <c r="B27" s="102"/>
      <c r="C27"/>
      <c r="G27" s="102"/>
    </row>
  </sheetData>
  <sheetProtection formatColumns="0"/>
  <mergeCells count="1">
    <mergeCell ref="A2:Z2"/>
  </mergeCells>
  <dataValidations count="1">
    <dataValidation type="list" allowBlank="1" showInputMessage="1" showErrorMessage="1" sqref="C3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</row>
    <row r="2" spans="1:40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3"/>
      <c r="AB2" s="103"/>
      <c r="AC2" s="103"/>
      <c r="AD2" s="103"/>
      <c r="AE2" s="103"/>
      <c r="AF2" s="103"/>
      <c r="AG2" s="103"/>
      <c r="AH2" s="103"/>
      <c r="AI2" s="103"/>
      <c r="AK2" s="103"/>
      <c r="AL2" s="103"/>
    </row>
    <row r="3" spans="1:40" x14ac:dyDescent="0.2">
      <c r="A3" s="103"/>
      <c r="B3" s="103"/>
      <c r="C3" s="103"/>
      <c r="D3" s="103"/>
      <c r="E3" s="16"/>
      <c r="F3" s="103"/>
      <c r="G3" s="103"/>
      <c r="H3" s="16"/>
      <c r="I3" s="103"/>
      <c r="J3" s="16"/>
      <c r="K3" s="16"/>
      <c r="L3" s="103"/>
      <c r="M3" s="103"/>
      <c r="N3" s="103"/>
      <c r="O3" s="103"/>
      <c r="P3" s="103"/>
      <c r="Q3" s="103"/>
      <c r="R3" s="16"/>
      <c r="S3" s="103"/>
      <c r="T3" s="103"/>
      <c r="U3" s="103"/>
      <c r="V3" s="103"/>
      <c r="W3" s="103"/>
      <c r="X3" s="103"/>
      <c r="Y3" s="16"/>
      <c r="Z3" s="16"/>
      <c r="AA3" s="103"/>
      <c r="AB3" s="103"/>
      <c r="AF3" s="103"/>
      <c r="AG3" s="103"/>
      <c r="AH3" s="103"/>
      <c r="AI3" s="103"/>
      <c r="AK3" s="103"/>
      <c r="AL3" s="103"/>
    </row>
    <row r="4" spans="1:40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03"/>
      <c r="N4" s="103"/>
      <c r="O4" s="103"/>
      <c r="P4" s="103"/>
      <c r="Q4" s="103"/>
      <c r="R4" s="16"/>
      <c r="S4" s="103"/>
      <c r="T4" s="103"/>
      <c r="U4" s="103"/>
      <c r="V4" s="103"/>
      <c r="W4" s="103"/>
      <c r="X4" s="103"/>
      <c r="Y4" s="16"/>
      <c r="Z4" s="16"/>
      <c r="AA4" s="103"/>
      <c r="AB4" s="103"/>
      <c r="AD4" s="103"/>
      <c r="AE4" s="103"/>
      <c r="AF4" s="103"/>
      <c r="AG4" s="103"/>
      <c r="AH4" s="103"/>
      <c r="AI4" s="103"/>
      <c r="AK4" s="103"/>
      <c r="AL4" s="103"/>
    </row>
    <row r="5" spans="1:40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03"/>
      <c r="N5" s="103"/>
      <c r="O5" s="103"/>
      <c r="P5" s="103"/>
      <c r="Q5" s="103"/>
      <c r="R5" s="16"/>
      <c r="S5" s="103"/>
      <c r="T5" s="103"/>
      <c r="U5" s="103"/>
      <c r="V5" s="103"/>
      <c r="W5" s="103"/>
      <c r="X5" s="103"/>
      <c r="Y5" s="16"/>
      <c r="Z5" s="16"/>
      <c r="AA5" s="103"/>
      <c r="AB5" s="103"/>
      <c r="AD5" s="103"/>
      <c r="AE5" s="103"/>
      <c r="AF5" s="103"/>
      <c r="AG5" s="103"/>
      <c r="AH5" s="103"/>
      <c r="AI5" s="103"/>
      <c r="AK5" s="103"/>
      <c r="AL5" s="103"/>
    </row>
    <row r="6" spans="1:40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03"/>
      <c r="N6" s="103"/>
      <c r="O6" s="103"/>
      <c r="P6" s="103"/>
      <c r="Q6" s="103"/>
      <c r="R6" s="16"/>
      <c r="S6" s="103"/>
      <c r="T6" s="103"/>
      <c r="U6" s="103"/>
      <c r="V6" s="103"/>
      <c r="W6" s="103"/>
      <c r="X6" s="103"/>
      <c r="Y6" s="16"/>
      <c r="Z6" s="16"/>
      <c r="AA6" s="103"/>
      <c r="AB6" s="103"/>
      <c r="AD6" s="103"/>
      <c r="AE6" s="103"/>
      <c r="AF6" s="103"/>
      <c r="AG6" s="103"/>
      <c r="AH6" s="103"/>
      <c r="AI6" s="103"/>
      <c r="AK6" s="103"/>
      <c r="AL6" s="103"/>
    </row>
    <row r="7" spans="1:40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03"/>
      <c r="N7" s="103"/>
      <c r="O7" s="103"/>
      <c r="P7" s="103"/>
      <c r="Q7" s="103"/>
      <c r="R7" s="16"/>
      <c r="S7" s="103"/>
      <c r="T7" s="103"/>
      <c r="U7" s="103"/>
      <c r="V7" s="103"/>
      <c r="W7" s="103"/>
      <c r="X7" s="103"/>
      <c r="Y7" s="16"/>
      <c r="Z7" s="16"/>
      <c r="AA7" s="103"/>
      <c r="AB7" s="103"/>
      <c r="AD7" s="103"/>
      <c r="AE7" s="103"/>
      <c r="AF7" s="103"/>
      <c r="AG7" s="103"/>
      <c r="AH7" s="103"/>
      <c r="AI7" s="103"/>
      <c r="AK7" s="103"/>
      <c r="AL7" s="103"/>
    </row>
    <row r="8" spans="1:40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03"/>
      <c r="N8" s="103"/>
      <c r="O8" s="103"/>
      <c r="P8" s="103"/>
      <c r="Q8" s="103"/>
      <c r="R8" s="16"/>
      <c r="S8" s="103"/>
      <c r="T8" s="103"/>
      <c r="U8" s="103"/>
      <c r="V8" s="103"/>
      <c r="W8" s="103"/>
      <c r="X8" s="103"/>
      <c r="Y8" s="16"/>
      <c r="Z8" s="16"/>
      <c r="AA8" s="103"/>
      <c r="AB8" s="103"/>
      <c r="AD8" s="103"/>
      <c r="AE8" s="103"/>
      <c r="AF8" s="103"/>
      <c r="AG8" s="103"/>
      <c r="AH8" s="103"/>
      <c r="AI8" s="103"/>
      <c r="AK8" s="103"/>
      <c r="AL8" s="103"/>
    </row>
    <row r="9" spans="1:40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03"/>
      <c r="N9" s="103"/>
      <c r="O9" s="103"/>
      <c r="P9" s="103"/>
      <c r="Q9" s="103"/>
      <c r="R9" s="16"/>
      <c r="S9" s="103"/>
      <c r="T9" s="103"/>
      <c r="U9" s="103"/>
      <c r="V9" s="103"/>
      <c r="W9" s="103"/>
      <c r="X9" s="103"/>
      <c r="Y9" s="16"/>
      <c r="Z9" s="16"/>
      <c r="AA9" s="103"/>
      <c r="AB9" s="103"/>
      <c r="AD9" s="103"/>
      <c r="AE9" s="103"/>
      <c r="AF9" s="103"/>
      <c r="AG9" s="103"/>
      <c r="AH9" s="103"/>
      <c r="AL9" s="103"/>
    </row>
    <row r="10" spans="1:40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03"/>
      <c r="N10" s="103"/>
      <c r="O10" s="103"/>
      <c r="P10" s="103"/>
      <c r="Q10" s="103"/>
      <c r="R10" s="16"/>
      <c r="S10" s="103"/>
      <c r="T10" s="103"/>
      <c r="U10" s="103"/>
      <c r="V10" s="103"/>
      <c r="W10" s="103"/>
      <c r="X10" s="103"/>
      <c r="Y10" s="16"/>
      <c r="Z10" s="16"/>
      <c r="AA10" s="103"/>
      <c r="AB10" s="103"/>
      <c r="AD10" s="103"/>
      <c r="AE10" s="103"/>
      <c r="AF10" s="103"/>
      <c r="AG10" s="103"/>
      <c r="AH10" s="103"/>
      <c r="AL10" s="103"/>
    </row>
    <row r="11" spans="1:40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03"/>
      <c r="N11" s="103"/>
      <c r="O11" s="103"/>
      <c r="P11" s="103"/>
      <c r="Q11" s="103"/>
      <c r="R11" s="16"/>
      <c r="S11" s="103"/>
      <c r="T11" s="103"/>
      <c r="U11" s="103"/>
      <c r="V11" s="103"/>
      <c r="W11" s="103"/>
      <c r="X11" s="103"/>
      <c r="Y11" s="16"/>
      <c r="Z11" s="16"/>
      <c r="AA11" s="103"/>
      <c r="AB11" s="103"/>
      <c r="AD11" s="103"/>
      <c r="AE11" s="103"/>
      <c r="AF11" s="103"/>
      <c r="AG11" s="103"/>
      <c r="AH11" s="103"/>
      <c r="AI11" s="103"/>
      <c r="AK11" s="103"/>
      <c r="AL11" s="103"/>
    </row>
    <row r="12" spans="1:40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03"/>
      <c r="N12" s="103"/>
      <c r="O12" s="103"/>
      <c r="P12" s="103"/>
      <c r="Q12" s="103"/>
      <c r="R12" s="16"/>
      <c r="S12" s="103"/>
      <c r="T12" s="103"/>
      <c r="U12" s="103"/>
      <c r="V12" s="103"/>
      <c r="W12" s="103"/>
      <c r="X12" s="103"/>
      <c r="Y12" s="16"/>
      <c r="Z12" s="16"/>
      <c r="AA12" s="103"/>
      <c r="AB12" s="103"/>
      <c r="AD12" s="103"/>
      <c r="AE12" s="103"/>
      <c r="AF12" s="103"/>
      <c r="AG12" s="103"/>
      <c r="AH12" s="103"/>
      <c r="AI12" s="103"/>
      <c r="AK12" s="103"/>
      <c r="AL12" s="103"/>
    </row>
    <row r="13" spans="1:40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03"/>
      <c r="N13" s="103"/>
      <c r="O13" s="103"/>
      <c r="P13" s="103"/>
      <c r="Q13" s="103"/>
      <c r="R13" s="16"/>
      <c r="S13" s="103"/>
      <c r="T13" s="103"/>
      <c r="U13" s="103"/>
      <c r="V13" s="103"/>
      <c r="W13" s="103"/>
      <c r="X13" s="103"/>
      <c r="Y13" s="16"/>
      <c r="Z13" s="16"/>
      <c r="AA13" s="103"/>
      <c r="AB13" s="103"/>
      <c r="AD13" s="103"/>
      <c r="AE13" s="103"/>
      <c r="AF13" s="103"/>
      <c r="AG13" s="103"/>
      <c r="AH13" s="103"/>
      <c r="AI13" s="103"/>
      <c r="AK13" s="103"/>
      <c r="AL13" s="103"/>
    </row>
    <row r="14" spans="1:40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03"/>
      <c r="N14" s="103"/>
      <c r="O14" s="103"/>
      <c r="P14" s="103"/>
      <c r="Q14" s="103"/>
      <c r="R14" s="16"/>
      <c r="S14" s="103"/>
      <c r="T14" s="103"/>
      <c r="U14" s="103"/>
      <c r="V14" s="103"/>
      <c r="W14" s="103"/>
      <c r="X14" s="103"/>
      <c r="Y14" s="16"/>
      <c r="Z14" s="16"/>
      <c r="AA14" s="103"/>
      <c r="AB14" s="103"/>
      <c r="AD14" s="103"/>
      <c r="AE14" s="103"/>
      <c r="AF14" s="103"/>
      <c r="AG14" s="103"/>
      <c r="AH14" s="103"/>
      <c r="AI14" s="103"/>
      <c r="AK14" s="103"/>
      <c r="AL14" s="103"/>
    </row>
    <row r="15" spans="1:40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03"/>
      <c r="N15" s="103"/>
      <c r="O15" s="103"/>
      <c r="P15" s="103"/>
      <c r="Q15" s="103"/>
      <c r="R15" s="16"/>
      <c r="S15" s="103"/>
      <c r="T15" s="103"/>
      <c r="U15" s="103"/>
      <c r="V15" s="103"/>
      <c r="W15" s="103"/>
      <c r="X15" s="103"/>
      <c r="Y15" s="16"/>
      <c r="Z15" s="16"/>
      <c r="AA15" s="103"/>
      <c r="AB15" s="103"/>
      <c r="AD15" s="103"/>
      <c r="AE15" s="103"/>
      <c r="AF15" s="103"/>
      <c r="AG15" s="103"/>
      <c r="AH15" s="103"/>
      <c r="AI15" s="103"/>
      <c r="AK15" s="103"/>
      <c r="AL15" s="103"/>
    </row>
    <row r="16" spans="1:40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03"/>
      <c r="N16" s="103"/>
      <c r="O16" s="103"/>
      <c r="P16" s="103"/>
      <c r="Q16" s="103"/>
      <c r="R16" s="16"/>
      <c r="S16" s="103"/>
      <c r="T16" s="103"/>
      <c r="U16" s="103"/>
      <c r="V16" s="103"/>
      <c r="W16" s="103"/>
      <c r="X16" s="103"/>
      <c r="Y16" s="16"/>
      <c r="Z16" s="16"/>
      <c r="AA16" s="103"/>
      <c r="AB16" s="103"/>
      <c r="AD16" s="103"/>
      <c r="AE16" s="103"/>
      <c r="AF16" s="103"/>
      <c r="AG16" s="103"/>
      <c r="AH16" s="103"/>
      <c r="AI16" s="103"/>
      <c r="AK16" s="103"/>
      <c r="AL16" s="103"/>
    </row>
    <row r="17" spans="1:38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03"/>
      <c r="N17" s="103"/>
      <c r="O17" s="103"/>
      <c r="P17" s="103"/>
      <c r="Q17" s="103"/>
      <c r="R17" s="16"/>
      <c r="S17" s="103"/>
      <c r="T17" s="103"/>
      <c r="U17" s="103"/>
      <c r="V17" s="103"/>
      <c r="W17" s="103"/>
      <c r="X17" s="103"/>
      <c r="Y17" s="16"/>
      <c r="Z17" s="16"/>
      <c r="AA17" s="103"/>
      <c r="AB17" s="103"/>
      <c r="AD17" s="103"/>
      <c r="AE17" s="103"/>
      <c r="AF17" s="103"/>
      <c r="AG17" s="103"/>
      <c r="AH17" s="103"/>
      <c r="AI17" s="103"/>
      <c r="AK17" s="103"/>
      <c r="AL17" s="103"/>
    </row>
    <row r="18" spans="1:38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03"/>
      <c r="N18" s="103"/>
      <c r="O18" s="103"/>
      <c r="P18" s="103"/>
      <c r="Q18" s="103"/>
      <c r="R18" s="16"/>
      <c r="S18" s="103"/>
      <c r="T18" s="103"/>
      <c r="U18" s="103"/>
      <c r="V18" s="103"/>
      <c r="W18" s="103"/>
      <c r="X18" s="103"/>
      <c r="Y18" s="16"/>
      <c r="Z18" s="16"/>
      <c r="AA18" s="103"/>
      <c r="AB18" s="103"/>
      <c r="AD18" s="103"/>
      <c r="AE18" s="103"/>
      <c r="AF18" s="103"/>
      <c r="AG18" s="103"/>
      <c r="AH18" s="103"/>
      <c r="AI18" s="103"/>
      <c r="AK18" s="103"/>
      <c r="AL18" s="103"/>
    </row>
    <row r="19" spans="1:38" x14ac:dyDescent="0.2">
      <c r="A19" s="103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03"/>
      <c r="N19" s="103"/>
      <c r="O19" s="103"/>
      <c r="P19" s="103"/>
      <c r="Q19" s="103"/>
      <c r="R19" s="16"/>
      <c r="S19" s="103"/>
      <c r="T19" s="103"/>
      <c r="U19" s="103"/>
      <c r="V19" s="103"/>
      <c r="W19" s="103"/>
      <c r="X19" s="103"/>
      <c r="Y19" s="16"/>
      <c r="Z19" s="16"/>
      <c r="AA19" s="103"/>
      <c r="AB19" s="103"/>
      <c r="AD19" s="103"/>
      <c r="AE19" s="103"/>
      <c r="AF19" s="103"/>
      <c r="AG19" s="103"/>
      <c r="AH19" s="103"/>
      <c r="AI19" s="103"/>
      <c r="AK19" s="103"/>
      <c r="AL19" s="103"/>
    </row>
    <row r="20" spans="1:38" x14ac:dyDescent="0.2">
      <c r="E20" s="16"/>
      <c r="H20" s="16"/>
      <c r="I20" s="103"/>
      <c r="J20" s="16"/>
      <c r="K20" s="16"/>
      <c r="L20" s="103"/>
      <c r="M20" s="103"/>
      <c r="P20" s="103"/>
      <c r="Q20" s="103"/>
      <c r="T20" s="103"/>
      <c r="U20" s="103"/>
      <c r="Y20" s="16"/>
      <c r="Z20" s="16"/>
      <c r="AA20" s="103"/>
      <c r="AB20" s="103"/>
      <c r="AL20" s="103"/>
    </row>
    <row r="21" spans="1:38" x14ac:dyDescent="0.2">
      <c r="E21"/>
      <c r="L21"/>
      <c r="Z21"/>
      <c r="AL21" s="102"/>
    </row>
    <row r="22" spans="1:38" x14ac:dyDescent="0.2">
      <c r="L22" s="102"/>
      <c r="T22" s="102"/>
      <c r="U22" s="102"/>
      <c r="AL22" s="102"/>
    </row>
    <row r="23" spans="1:38" x14ac:dyDescent="0.2">
      <c r="L23" s="102"/>
      <c r="T23" s="102"/>
      <c r="U23" s="102"/>
    </row>
    <row r="24" spans="1:38" x14ac:dyDescent="0.2">
      <c r="L24" s="102"/>
      <c r="T24" s="102"/>
      <c r="U24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15">
    <dataValidation type="list" allowBlank="1" showInputMessage="1" showErrorMessage="1" sqref="J3:J20" xr:uid="{00000000-0002-0000-1000-000000000000}">
      <formula1>israel_abroad</formula1>
    </dataValidation>
    <dataValidation type="list" allowBlank="1" showInputMessage="1" showErrorMessage="1" sqref="Q3:Q20" xr:uid="{00000000-0002-0000-1000-000001000000}">
      <formula1>What_is_rated</formula1>
    </dataValidation>
    <dataValidation type="list" allowBlank="1" showInputMessage="1" showErrorMessage="1" sqref="P3:P20" xr:uid="{00000000-0002-0000-1000-000002000000}">
      <formula1>Rating_Agency</formula1>
    </dataValidation>
    <dataValidation type="list" allowBlank="1" showInputMessage="1" showErrorMessage="1" sqref="M3:M20" xr:uid="{00000000-0002-0000-1000-000003000000}">
      <formula1>Holding_interest</formula1>
    </dataValidation>
    <dataValidation type="list" allowBlank="1" showInputMessage="1" showErrorMessage="1" sqref="K3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3:U20" xr:uid="{00000000-0002-0000-1000-000007000000}">
      <formula1>Underlying_Interest_Rates</formula1>
    </dataValidation>
    <dataValidation type="list" allowBlank="1" showInputMessage="1" showErrorMessage="1" sqref="T3:T20" xr:uid="{00000000-0002-0000-1000-000008000000}">
      <formula1>Linked_Type</formula1>
    </dataValidation>
    <dataValidation type="list" allowBlank="1" showInputMessage="1" showErrorMessage="1" sqref="Z3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3:H20" xr:uid="{00000000-0002-0000-1000-00000B000000}">
      <formula1>Type_of_Security_ID_Fund</formula1>
    </dataValidation>
    <dataValidation type="list" allowBlank="1" showInputMessage="1" showErrorMessage="1" sqref="Y3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3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I3:I20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I4" sqref="I4"/>
    </sheetView>
  </sheetViews>
  <sheetFormatPr defaultColWidth="9" defaultRowHeight="14.25" x14ac:dyDescent="0.2"/>
  <cols>
    <col min="1" max="1" width="10.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24.625" style="2" bestFit="1" customWidth="1"/>
    <col min="10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8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67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89</v>
      </c>
      <c r="M1" s="169" t="s">
        <v>83</v>
      </c>
      <c r="N1" s="169" t="s">
        <v>56</v>
      </c>
      <c r="O1" s="169" t="s">
        <v>97</v>
      </c>
      <c r="P1" s="169" t="s">
        <v>71</v>
      </c>
      <c r="Q1" s="169" t="s">
        <v>58</v>
      </c>
      <c r="R1" s="169" t="s">
        <v>84</v>
      </c>
      <c r="S1" s="169" t="s">
        <v>59</v>
      </c>
      <c r="T1" s="169" t="s">
        <v>72</v>
      </c>
      <c r="U1" s="169" t="s">
        <v>73</v>
      </c>
      <c r="V1" s="169" t="s">
        <v>74</v>
      </c>
      <c r="W1" s="169" t="s">
        <v>62</v>
      </c>
      <c r="X1" s="169" t="s">
        <v>86</v>
      </c>
      <c r="Y1" s="169" t="s">
        <v>87</v>
      </c>
      <c r="Z1" s="169" t="s">
        <v>103</v>
      </c>
      <c r="AA1" s="169" t="s">
        <v>104</v>
      </c>
      <c r="AB1" s="169" t="s">
        <v>106</v>
      </c>
      <c r="AC1" s="169" t="s">
        <v>107</v>
      </c>
      <c r="AD1" s="169" t="s">
        <v>76</v>
      </c>
      <c r="AE1" s="169" t="s">
        <v>61</v>
      </c>
      <c r="AF1" s="169" t="s">
        <v>77</v>
      </c>
      <c r="AG1" s="169" t="s">
        <v>63</v>
      </c>
      <c r="AH1" s="169" t="s">
        <v>78</v>
      </c>
      <c r="AI1" s="169" t="s">
        <v>88</v>
      </c>
      <c r="AJ1" s="169" t="s">
        <v>17</v>
      </c>
      <c r="AK1" s="169" t="s">
        <v>64</v>
      </c>
      <c r="AL1" s="169" t="s">
        <v>65</v>
      </c>
    </row>
    <row r="2" spans="1:38" x14ac:dyDescent="0.2">
      <c r="A2" t="s">
        <v>1204</v>
      </c>
      <c r="B2" t="s">
        <v>1204</v>
      </c>
      <c r="C2" t="s">
        <v>2329</v>
      </c>
      <c r="D2" t="s">
        <v>2330</v>
      </c>
      <c r="E2" t="s">
        <v>80</v>
      </c>
      <c r="F2" t="s">
        <v>2331</v>
      </c>
      <c r="G2" t="s">
        <v>2332</v>
      </c>
      <c r="H2" t="s">
        <v>312</v>
      </c>
      <c r="I2" t="s">
        <v>951</v>
      </c>
      <c r="J2" t="s">
        <v>204</v>
      </c>
      <c r="K2" t="s">
        <v>204</v>
      </c>
      <c r="L2" t="s">
        <v>327</v>
      </c>
      <c r="M2" t="s">
        <v>478</v>
      </c>
      <c r="N2" t="s">
        <v>339</v>
      </c>
      <c r="O2" t="s">
        <v>2333</v>
      </c>
      <c r="P2" s="103"/>
      <c r="Q2" t="s">
        <v>410</v>
      </c>
      <c r="R2" t="s">
        <v>410</v>
      </c>
      <c r="S2" t="s">
        <v>1208</v>
      </c>
      <c r="T2" s="125">
        <v>660</v>
      </c>
      <c r="U2" t="s">
        <v>2334</v>
      </c>
      <c r="V2" s="129">
        <v>4.8118459366559597E-2</v>
      </c>
      <c r="W2" s="126">
        <v>1.7999999999999999E-2</v>
      </c>
      <c r="X2" t="s">
        <v>412</v>
      </c>
      <c r="Y2" t="s">
        <v>339</v>
      </c>
      <c r="Z2" t="s">
        <v>886</v>
      </c>
      <c r="AA2" t="s">
        <v>889</v>
      </c>
      <c r="AB2" s="134">
        <v>45473</v>
      </c>
      <c r="AC2" s="134">
        <v>45473</v>
      </c>
      <c r="AD2" s="125">
        <v>8000000000</v>
      </c>
      <c r="AE2" s="135">
        <v>1</v>
      </c>
      <c r="AF2" s="127">
        <v>98.44</v>
      </c>
      <c r="AG2" s="124">
        <v>7875.2</v>
      </c>
      <c r="AH2" s="103"/>
      <c r="AI2" s="103"/>
      <c r="AJ2" s="103"/>
      <c r="AK2" s="129">
        <v>4.476092173437668E-2</v>
      </c>
      <c r="AL2" s="129">
        <v>6.9762518117641849E-4</v>
      </c>
    </row>
    <row r="3" spans="1:38" x14ac:dyDescent="0.2">
      <c r="A3" t="s">
        <v>1204</v>
      </c>
      <c r="B3" t="s">
        <v>1204</v>
      </c>
      <c r="C3" t="s">
        <v>2335</v>
      </c>
      <c r="D3" t="s">
        <v>2336</v>
      </c>
      <c r="E3" t="s">
        <v>80</v>
      </c>
      <c r="F3" t="s">
        <v>2337</v>
      </c>
      <c r="G3" t="s">
        <v>2338</v>
      </c>
      <c r="H3" t="s">
        <v>312</v>
      </c>
      <c r="I3" t="s">
        <v>951</v>
      </c>
      <c r="J3" t="s">
        <v>204</v>
      </c>
      <c r="K3" t="s">
        <v>204</v>
      </c>
      <c r="L3" t="s">
        <v>327</v>
      </c>
      <c r="M3" t="s">
        <v>478</v>
      </c>
      <c r="N3" t="s">
        <v>339</v>
      </c>
      <c r="O3" t="s">
        <v>2339</v>
      </c>
      <c r="P3" t="s">
        <v>1328</v>
      </c>
      <c r="Q3" t="s">
        <v>415</v>
      </c>
      <c r="R3" t="s">
        <v>407</v>
      </c>
      <c r="S3" t="s">
        <v>1208</v>
      </c>
      <c r="T3" s="125">
        <v>898.2</v>
      </c>
      <c r="U3" t="s">
        <v>2340</v>
      </c>
      <c r="V3" s="129">
        <v>0.141561768125295</v>
      </c>
      <c r="W3" s="126">
        <v>6.5000000000000002E-2</v>
      </c>
      <c r="X3" t="s">
        <v>412</v>
      </c>
      <c r="Y3" t="s">
        <v>339</v>
      </c>
      <c r="Z3" t="s">
        <v>886</v>
      </c>
      <c r="AA3" t="s">
        <v>889</v>
      </c>
      <c r="AB3" s="134">
        <v>45473</v>
      </c>
      <c r="AC3" s="134">
        <v>45473</v>
      </c>
      <c r="AD3" s="125">
        <v>1313836600</v>
      </c>
      <c r="AE3" s="135">
        <v>1</v>
      </c>
      <c r="AF3" s="127">
        <v>99.88</v>
      </c>
      <c r="AG3" s="124">
        <v>1312.26</v>
      </c>
      <c r="AH3" s="103"/>
      <c r="AI3" s="103"/>
      <c r="AJ3" s="103"/>
      <c r="AK3" s="129">
        <v>7.4586000329757117E-3</v>
      </c>
      <c r="AL3" s="129">
        <v>1.1624664992836705E-4</v>
      </c>
    </row>
    <row r="4" spans="1:38" x14ac:dyDescent="0.2">
      <c r="A4" t="s">
        <v>1204</v>
      </c>
      <c r="B4" t="s">
        <v>1204</v>
      </c>
      <c r="C4" t="s">
        <v>2329</v>
      </c>
      <c r="D4" t="s">
        <v>2330</v>
      </c>
      <c r="E4" t="s">
        <v>80</v>
      </c>
      <c r="F4" t="s">
        <v>2341</v>
      </c>
      <c r="G4" t="s">
        <v>2342</v>
      </c>
      <c r="H4" t="s">
        <v>312</v>
      </c>
      <c r="I4" t="s">
        <v>951</v>
      </c>
      <c r="J4" t="s">
        <v>204</v>
      </c>
      <c r="K4" t="s">
        <v>204</v>
      </c>
      <c r="L4" t="s">
        <v>327</v>
      </c>
      <c r="M4" t="s">
        <v>478</v>
      </c>
      <c r="N4" t="s">
        <v>339</v>
      </c>
      <c r="O4" t="s">
        <v>2333</v>
      </c>
      <c r="P4" s="103"/>
      <c r="Q4" t="s">
        <v>410</v>
      </c>
      <c r="R4" t="s">
        <v>410</v>
      </c>
      <c r="S4" t="s">
        <v>1208</v>
      </c>
      <c r="T4" s="125">
        <v>1508.6</v>
      </c>
      <c r="U4" t="s">
        <v>2343</v>
      </c>
      <c r="V4" s="129">
        <v>5.4842810858487703E-2</v>
      </c>
      <c r="W4" s="126">
        <v>2.8000000000000001E-2</v>
      </c>
      <c r="X4" t="s">
        <v>412</v>
      </c>
      <c r="Y4" t="s">
        <v>339</v>
      </c>
      <c r="Z4" t="s">
        <v>886</v>
      </c>
      <c r="AA4" t="s">
        <v>889</v>
      </c>
      <c r="AB4" s="134">
        <v>45473</v>
      </c>
      <c r="AC4" s="134">
        <v>45473</v>
      </c>
      <c r="AD4" s="125">
        <v>900000000</v>
      </c>
      <c r="AE4" s="135">
        <v>1</v>
      </c>
      <c r="AF4" s="127">
        <v>96.71</v>
      </c>
      <c r="AG4" s="124">
        <v>870.39</v>
      </c>
      <c r="AH4" s="103"/>
      <c r="AI4" s="103"/>
      <c r="AJ4" s="103"/>
      <c r="AK4" s="129">
        <v>4.9471072059610061E-3</v>
      </c>
      <c r="AL4" s="129">
        <v>7.7103563267490711E-5</v>
      </c>
    </row>
    <row r="5" spans="1:38" x14ac:dyDescent="0.2">
      <c r="A5" t="s">
        <v>1204</v>
      </c>
      <c r="B5" t="s">
        <v>1204</v>
      </c>
      <c r="C5" t="s">
        <v>2329</v>
      </c>
      <c r="D5" t="s">
        <v>2330</v>
      </c>
      <c r="E5" t="s">
        <v>80</v>
      </c>
      <c r="F5" t="s">
        <v>2344</v>
      </c>
      <c r="G5" t="s">
        <v>2345</v>
      </c>
      <c r="H5" t="s">
        <v>312</v>
      </c>
      <c r="I5" t="s">
        <v>951</v>
      </c>
      <c r="J5" t="s">
        <v>204</v>
      </c>
      <c r="K5" t="s">
        <v>204</v>
      </c>
      <c r="L5" t="s">
        <v>327</v>
      </c>
      <c r="M5" t="s">
        <v>478</v>
      </c>
      <c r="N5" t="s">
        <v>339</v>
      </c>
      <c r="O5" t="s">
        <v>2333</v>
      </c>
      <c r="P5" s="103"/>
      <c r="Q5" t="s">
        <v>410</v>
      </c>
      <c r="R5" t="s">
        <v>410</v>
      </c>
      <c r="S5" t="s">
        <v>1208</v>
      </c>
      <c r="T5" s="125">
        <v>41.1</v>
      </c>
      <c r="U5" t="s">
        <v>2346</v>
      </c>
      <c r="V5" s="129">
        <v>4.5394887204169898E-2</v>
      </c>
      <c r="W5" s="126">
        <v>1.15E-2</v>
      </c>
      <c r="X5" t="s">
        <v>412</v>
      </c>
      <c r="Y5" t="s">
        <v>339</v>
      </c>
      <c r="Z5" t="s">
        <v>886</v>
      </c>
      <c r="AA5" t="s">
        <v>889</v>
      </c>
      <c r="AB5" s="134">
        <v>45473</v>
      </c>
      <c r="AC5" s="134">
        <v>45473</v>
      </c>
      <c r="AD5" s="125">
        <v>149638980</v>
      </c>
      <c r="AE5" s="135">
        <v>1</v>
      </c>
      <c r="AF5" s="127">
        <v>100.1</v>
      </c>
      <c r="AG5" s="124">
        <v>149.7886</v>
      </c>
      <c r="AH5"/>
      <c r="AI5"/>
      <c r="AJ5" s="103"/>
      <c r="AK5" s="129">
        <v>8.5136588923000677E-4</v>
      </c>
      <c r="AL5" s="129">
        <v>1.3269036018651972E-5</v>
      </c>
    </row>
    <row r="6" spans="1:38" x14ac:dyDescent="0.2">
      <c r="A6" t="s">
        <v>1204</v>
      </c>
      <c r="B6" t="s">
        <v>1204</v>
      </c>
      <c r="C6" t="s">
        <v>1423</v>
      </c>
      <c r="D6" t="s">
        <v>1424</v>
      </c>
      <c r="E6" t="s">
        <v>80</v>
      </c>
      <c r="F6" t="s">
        <v>2347</v>
      </c>
      <c r="G6" t="s">
        <v>2348</v>
      </c>
      <c r="H6" t="s">
        <v>312</v>
      </c>
      <c r="I6" t="s">
        <v>754</v>
      </c>
      <c r="J6" t="s">
        <v>204</v>
      </c>
      <c r="K6" t="s">
        <v>204</v>
      </c>
      <c r="L6" t="s">
        <v>327</v>
      </c>
      <c r="M6" t="s">
        <v>1427</v>
      </c>
      <c r="N6" t="s">
        <v>339</v>
      </c>
      <c r="O6" t="s">
        <v>2349</v>
      </c>
      <c r="P6" t="s">
        <v>1207</v>
      </c>
      <c r="Q6" t="s">
        <v>413</v>
      </c>
      <c r="R6" t="s">
        <v>407</v>
      </c>
      <c r="S6" t="s">
        <v>1208</v>
      </c>
      <c r="T6" s="125">
        <v>9034.7999999999993</v>
      </c>
      <c r="U6" t="s">
        <v>2350</v>
      </c>
      <c r="V6" s="129">
        <v>3.4108519557714101E-2</v>
      </c>
      <c r="W6" s="126">
        <v>4.1000000000000002E-2</v>
      </c>
      <c r="X6" t="s">
        <v>412</v>
      </c>
      <c r="Y6" t="s">
        <v>339</v>
      </c>
      <c r="Z6" t="s">
        <v>886</v>
      </c>
      <c r="AA6" t="s">
        <v>889</v>
      </c>
      <c r="AB6" s="134">
        <v>45473</v>
      </c>
      <c r="AC6" s="134">
        <v>45473</v>
      </c>
      <c r="AD6" s="125">
        <v>61937663490</v>
      </c>
      <c r="AE6" s="135">
        <v>1</v>
      </c>
      <c r="AF6" s="127">
        <v>129.74</v>
      </c>
      <c r="AG6" s="124">
        <v>80357.924599999998</v>
      </c>
      <c r="AH6"/>
      <c r="AI6"/>
      <c r="AJ6" s="103"/>
      <c r="AK6" s="129">
        <v>0.45673694309876084</v>
      </c>
      <c r="AL6" s="129">
        <v>7.1185127636575396E-3</v>
      </c>
    </row>
    <row r="7" spans="1:38" x14ac:dyDescent="0.2">
      <c r="A7" t="s">
        <v>1204</v>
      </c>
      <c r="B7" t="s">
        <v>1204</v>
      </c>
      <c r="C7" t="s">
        <v>2351</v>
      </c>
      <c r="D7" t="s">
        <v>2352</v>
      </c>
      <c r="E7" t="s">
        <v>80</v>
      </c>
      <c r="F7" t="s">
        <v>2353</v>
      </c>
      <c r="G7" t="s">
        <v>2354</v>
      </c>
      <c r="H7" t="s">
        <v>312</v>
      </c>
      <c r="I7" t="s">
        <v>754</v>
      </c>
      <c r="J7" t="s">
        <v>204</v>
      </c>
      <c r="K7" t="s">
        <v>204</v>
      </c>
      <c r="L7" t="s">
        <v>327</v>
      </c>
      <c r="M7" t="s">
        <v>446</v>
      </c>
      <c r="N7" t="s">
        <v>339</v>
      </c>
      <c r="O7" t="s">
        <v>2355</v>
      </c>
      <c r="P7" t="s">
        <v>1342</v>
      </c>
      <c r="Q7" t="s">
        <v>415</v>
      </c>
      <c r="R7" t="s">
        <v>407</v>
      </c>
      <c r="S7" t="s">
        <v>1208</v>
      </c>
      <c r="T7" s="125">
        <v>4793.5</v>
      </c>
      <c r="U7" t="s">
        <v>2356</v>
      </c>
      <c r="V7" s="129">
        <v>2.6741630579232799E-2</v>
      </c>
      <c r="W7" s="126">
        <v>2.1399999999999999E-2</v>
      </c>
      <c r="X7" t="s">
        <v>412</v>
      </c>
      <c r="Y7" t="s">
        <v>339</v>
      </c>
      <c r="Z7" t="s">
        <v>886</v>
      </c>
      <c r="AA7" t="s">
        <v>889</v>
      </c>
      <c r="AB7" s="134">
        <v>45473</v>
      </c>
      <c r="AC7" s="134">
        <v>45473</v>
      </c>
      <c r="AD7" s="125">
        <v>29344000040</v>
      </c>
      <c r="AE7" s="135">
        <v>1</v>
      </c>
      <c r="AF7" s="127">
        <v>112.84</v>
      </c>
      <c r="AG7" s="124">
        <v>33111.7696</v>
      </c>
      <c r="AH7" s="103"/>
      <c r="AI7" s="103"/>
      <c r="AJ7" s="103"/>
      <c r="AK7" s="129">
        <v>0.18820008756255613</v>
      </c>
      <c r="AL7" s="129">
        <v>2.933208591243376E-3</v>
      </c>
    </row>
    <row r="8" spans="1:38" x14ac:dyDescent="0.2">
      <c r="A8" t="s">
        <v>1204</v>
      </c>
      <c r="B8" t="s">
        <v>1204</v>
      </c>
      <c r="C8" t="s">
        <v>1423</v>
      </c>
      <c r="D8" t="s">
        <v>1424</v>
      </c>
      <c r="E8" t="s">
        <v>80</v>
      </c>
      <c r="F8" t="s">
        <v>2357</v>
      </c>
      <c r="G8" t="s">
        <v>2358</v>
      </c>
      <c r="H8" t="s">
        <v>312</v>
      </c>
      <c r="I8" t="s">
        <v>754</v>
      </c>
      <c r="J8" t="s">
        <v>204</v>
      </c>
      <c r="K8" t="s">
        <v>204</v>
      </c>
      <c r="L8" t="s">
        <v>327</v>
      </c>
      <c r="M8" t="s">
        <v>1427</v>
      </c>
      <c r="N8" t="s">
        <v>339</v>
      </c>
      <c r="O8" t="s">
        <v>2359</v>
      </c>
      <c r="P8" t="s">
        <v>1207</v>
      </c>
      <c r="Q8" t="s">
        <v>413</v>
      </c>
      <c r="R8" t="s">
        <v>407</v>
      </c>
      <c r="S8" t="s">
        <v>1208</v>
      </c>
      <c r="T8" s="125">
        <v>5555.7</v>
      </c>
      <c r="U8" t="s">
        <v>2360</v>
      </c>
      <c r="V8" s="129">
        <v>3.1693103128671303E-2</v>
      </c>
      <c r="W8" s="126">
        <v>4.9000000000000002E-2</v>
      </c>
      <c r="X8" t="s">
        <v>412</v>
      </c>
      <c r="Y8" t="s">
        <v>339</v>
      </c>
      <c r="Z8" t="s">
        <v>886</v>
      </c>
      <c r="AA8" t="s">
        <v>889</v>
      </c>
      <c r="AB8" s="134">
        <v>45473</v>
      </c>
      <c r="AC8" s="134">
        <v>45473</v>
      </c>
      <c r="AD8" s="125">
        <v>20592466250</v>
      </c>
      <c r="AE8" s="135">
        <v>1</v>
      </c>
      <c r="AF8" s="127">
        <v>153.87</v>
      </c>
      <c r="AG8" s="124">
        <v>31685.627799999998</v>
      </c>
      <c r="AH8" s="103"/>
      <c r="AI8" s="103"/>
      <c r="AJ8" s="103"/>
      <c r="AK8" s="129">
        <v>0.18009420800808262</v>
      </c>
      <c r="AL8" s="129">
        <v>2.8068737108684523E-3</v>
      </c>
    </row>
    <row r="9" spans="1:38" x14ac:dyDescent="0.2">
      <c r="A9" t="s">
        <v>1204</v>
      </c>
      <c r="B9" t="s">
        <v>1204</v>
      </c>
      <c r="C9" t="s">
        <v>2361</v>
      </c>
      <c r="D9" t="s">
        <v>2362</v>
      </c>
      <c r="E9" t="s">
        <v>80</v>
      </c>
      <c r="F9" t="s">
        <v>2363</v>
      </c>
      <c r="G9" t="s">
        <v>2364</v>
      </c>
      <c r="H9" t="s">
        <v>312</v>
      </c>
      <c r="I9" t="s">
        <v>754</v>
      </c>
      <c r="J9" t="s">
        <v>204</v>
      </c>
      <c r="K9" t="s">
        <v>204</v>
      </c>
      <c r="L9" t="s">
        <v>327</v>
      </c>
      <c r="M9" t="s">
        <v>1427</v>
      </c>
      <c r="N9" t="s">
        <v>339</v>
      </c>
      <c r="O9" t="s">
        <v>2365</v>
      </c>
      <c r="P9" t="s">
        <v>1306</v>
      </c>
      <c r="Q9" t="s">
        <v>413</v>
      </c>
      <c r="R9" t="s">
        <v>407</v>
      </c>
      <c r="S9" t="s">
        <v>1208</v>
      </c>
      <c r="T9" s="125">
        <v>3015</v>
      </c>
      <c r="U9" t="s">
        <v>1516</v>
      </c>
      <c r="V9" s="129">
        <v>3.3822655941247601E-2</v>
      </c>
      <c r="W9" s="126">
        <v>3.6400000000000002E-2</v>
      </c>
      <c r="X9" t="s">
        <v>412</v>
      </c>
      <c r="Y9" t="s">
        <v>339</v>
      </c>
      <c r="Z9" t="s">
        <v>886</v>
      </c>
      <c r="AA9" t="s">
        <v>889</v>
      </c>
      <c r="AB9" s="134">
        <v>45473</v>
      </c>
      <c r="AC9" s="134">
        <v>45473</v>
      </c>
      <c r="AD9" s="125">
        <v>10000000000</v>
      </c>
      <c r="AE9" s="135">
        <v>1</v>
      </c>
      <c r="AF9" s="127">
        <v>103.18</v>
      </c>
      <c r="AG9" s="124">
        <v>10318</v>
      </c>
      <c r="AH9" s="103"/>
      <c r="AI9" s="103"/>
      <c r="AJ9" s="103"/>
      <c r="AK9" s="129">
        <v>5.8645264939975947E-2</v>
      </c>
      <c r="AL9" s="129">
        <v>9.1402080193243168E-4</v>
      </c>
    </row>
    <row r="10" spans="1:38" x14ac:dyDescent="0.2">
      <c r="A10" t="s">
        <v>1204</v>
      </c>
      <c r="B10" t="s">
        <v>1204</v>
      </c>
      <c r="C10" t="s">
        <v>2366</v>
      </c>
      <c r="D10" t="s">
        <v>2367</v>
      </c>
      <c r="E10" t="s">
        <v>80</v>
      </c>
      <c r="F10" t="s">
        <v>2368</v>
      </c>
      <c r="G10" t="s">
        <v>2369</v>
      </c>
      <c r="H10" t="s">
        <v>312</v>
      </c>
      <c r="I10" t="s">
        <v>754</v>
      </c>
      <c r="J10" t="s">
        <v>204</v>
      </c>
      <c r="K10" t="s">
        <v>204</v>
      </c>
      <c r="L10" t="s">
        <v>327</v>
      </c>
      <c r="M10" t="s">
        <v>1427</v>
      </c>
      <c r="N10" t="s">
        <v>339</v>
      </c>
      <c r="O10" t="s">
        <v>2370</v>
      </c>
      <c r="P10" t="s">
        <v>1418</v>
      </c>
      <c r="Q10" t="s">
        <v>415</v>
      </c>
      <c r="R10" t="s">
        <v>407</v>
      </c>
      <c r="S10" t="s">
        <v>1208</v>
      </c>
      <c r="T10" s="125">
        <v>1376.8</v>
      </c>
      <c r="U10" t="s">
        <v>2371</v>
      </c>
      <c r="V10" s="129">
        <v>2.5210031019448902E-2</v>
      </c>
      <c r="W10" s="126">
        <v>5.6000000000000001E-2</v>
      </c>
      <c r="X10" t="s">
        <v>412</v>
      </c>
      <c r="Y10" t="s">
        <v>339</v>
      </c>
      <c r="Z10" t="s">
        <v>886</v>
      </c>
      <c r="AA10" t="s">
        <v>889</v>
      </c>
      <c r="AB10" s="134">
        <v>45473</v>
      </c>
      <c r="AC10" s="134">
        <v>45473</v>
      </c>
      <c r="AD10" s="125">
        <v>7173582030</v>
      </c>
      <c r="AE10" s="135">
        <v>1</v>
      </c>
      <c r="AF10" s="127">
        <v>143</v>
      </c>
      <c r="AG10" s="124">
        <v>10258.222299999999</v>
      </c>
      <c r="AH10" s="103"/>
      <c r="AI10" s="103"/>
      <c r="AJ10" s="103"/>
      <c r="AK10" s="129">
        <v>5.8305501528081088E-2</v>
      </c>
      <c r="AL10" s="129">
        <v>9.0872539016261032E-4</v>
      </c>
    </row>
    <row r="11" spans="1:38" x14ac:dyDescent="0.2">
      <c r="A11" s="195" t="s">
        <v>2681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03"/>
      <c r="AB11" s="102"/>
      <c r="AC11" s="103"/>
      <c r="AD11" s="103"/>
      <c r="AE11" s="103"/>
      <c r="AF11" s="103"/>
      <c r="AG11" s="103"/>
      <c r="AH11" s="103"/>
      <c r="AI11" s="103"/>
      <c r="AJ11" s="103"/>
      <c r="AK11" s="102"/>
      <c r="AL11" s="102"/>
    </row>
    <row r="12" spans="1:38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03"/>
      <c r="R12" s="103"/>
      <c r="S12" s="16"/>
      <c r="T12" s="103"/>
      <c r="U12" s="103"/>
      <c r="V12" s="103"/>
      <c r="W12"/>
      <c r="X12" s="16"/>
      <c r="Y12" s="16"/>
      <c r="Z12" s="103"/>
      <c r="AA12" s="103"/>
      <c r="AB12" s="102"/>
      <c r="AC12" s="103"/>
      <c r="AD12" s="103"/>
      <c r="AE12" s="103"/>
      <c r="AF12" s="103"/>
      <c r="AG12" s="103"/>
      <c r="AH12" s="103"/>
      <c r="AI12" s="103"/>
      <c r="AJ12" s="103"/>
      <c r="AK12" s="102"/>
      <c r="AL12" s="102"/>
    </row>
    <row r="13" spans="1:38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03"/>
      <c r="R13" s="103"/>
      <c r="S13" s="16"/>
      <c r="T13" s="103"/>
      <c r="U13" s="103"/>
      <c r="V13" s="103"/>
      <c r="W13"/>
      <c r="X13" s="16"/>
      <c r="Y13" s="16"/>
      <c r="Z13" s="103"/>
      <c r="AA13" s="103"/>
      <c r="AB13" s="102"/>
      <c r="AC13" s="103"/>
      <c r="AD13" s="103"/>
      <c r="AE13" s="103"/>
      <c r="AF13" s="103"/>
      <c r="AG13" s="103"/>
      <c r="AH13" s="103"/>
      <c r="AI13" s="103"/>
      <c r="AJ13" s="103"/>
      <c r="AK13" s="102"/>
      <c r="AL13" s="102"/>
    </row>
    <row r="14" spans="1:38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03"/>
      <c r="R14" s="103"/>
      <c r="S14" s="16"/>
      <c r="T14" s="103"/>
      <c r="U14" s="103"/>
      <c r="V14" s="103"/>
      <c r="W14"/>
      <c r="X14" s="16"/>
      <c r="Y14" s="16"/>
      <c r="Z14" s="103"/>
      <c r="AA14" s="103"/>
      <c r="AB14" s="102"/>
      <c r="AC14" s="103"/>
      <c r="AD14" s="103"/>
      <c r="AE14" s="103"/>
      <c r="AF14" s="103"/>
      <c r="AG14" s="103"/>
      <c r="AH14" s="103"/>
      <c r="AI14" s="103"/>
      <c r="AJ14" s="103"/>
      <c r="AK14" s="102"/>
      <c r="AL14" s="102"/>
    </row>
    <row r="15" spans="1:38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03"/>
      <c r="R15" s="103"/>
      <c r="S15" s="16"/>
      <c r="T15" s="103"/>
      <c r="U15" s="103"/>
      <c r="V15" s="103"/>
      <c r="W15"/>
      <c r="X15" s="16"/>
      <c r="Y15" s="16"/>
      <c r="Z15" s="103"/>
      <c r="AA15" s="103"/>
      <c r="AB15" s="102"/>
      <c r="AC15" s="103"/>
      <c r="AD15" s="103"/>
      <c r="AE15" s="103"/>
      <c r="AF15" s="103"/>
      <c r="AG15" s="103"/>
      <c r="AH15" s="103"/>
      <c r="AI15" s="103"/>
      <c r="AJ15" s="103"/>
      <c r="AK15" s="102"/>
      <c r="AL15" s="102"/>
    </row>
    <row r="16" spans="1:38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03"/>
      <c r="R16" s="103"/>
      <c r="S16" s="16"/>
      <c r="T16" s="103"/>
      <c r="U16" s="103"/>
      <c r="V16" s="103"/>
      <c r="W16"/>
      <c r="X16" s="16"/>
      <c r="Y16" s="16"/>
      <c r="Z16" s="103"/>
      <c r="AA16" s="103"/>
      <c r="AB16" s="102"/>
      <c r="AC16" s="103"/>
      <c r="AD16" s="103"/>
      <c r="AE16" s="103"/>
      <c r="AF16" s="103"/>
      <c r="AG16" s="103"/>
      <c r="AH16" s="103"/>
      <c r="AI16" s="103"/>
      <c r="AJ16" s="103"/>
      <c r="AK16" s="102"/>
      <c r="AL16" s="102"/>
    </row>
    <row r="17" spans="1:36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03"/>
      <c r="R17" s="103"/>
      <c r="S17" s="16"/>
      <c r="T17" s="103"/>
      <c r="U17" s="103"/>
      <c r="V17" s="103"/>
      <c r="W17"/>
      <c r="X17" s="16"/>
      <c r="Y17" s="16"/>
      <c r="Z17" s="103"/>
      <c r="AA17" s="103"/>
      <c r="AB17" s="102"/>
      <c r="AC17" s="103"/>
      <c r="AD17" s="103"/>
      <c r="AE17" s="103"/>
      <c r="AF17" s="103"/>
      <c r="AG17" s="103"/>
      <c r="AH17" s="103"/>
      <c r="AI17" s="103"/>
      <c r="AJ17" s="103"/>
    </row>
    <row r="18" spans="1:36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03"/>
      <c r="R18" s="103"/>
      <c r="S18" s="16"/>
      <c r="T18" s="103"/>
      <c r="U18" s="103"/>
      <c r="V18" s="103"/>
      <c r="W18"/>
      <c r="X18" s="16"/>
      <c r="Y18" s="16"/>
      <c r="Z18" s="103"/>
      <c r="AA18" s="103"/>
      <c r="AB18" s="102"/>
      <c r="AC18" s="103"/>
      <c r="AD18" s="103"/>
      <c r="AE18" s="103"/>
      <c r="AF18" s="103"/>
      <c r="AG18" s="103"/>
      <c r="AH18" s="103"/>
      <c r="AI18" s="103"/>
      <c r="AJ18" s="103"/>
    </row>
    <row r="19" spans="1:36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03"/>
      <c r="R19" s="103"/>
      <c r="S19" s="16"/>
      <c r="T19" s="103"/>
      <c r="U19" s="103"/>
      <c r="V19" s="103"/>
      <c r="W19"/>
      <c r="X19" s="16"/>
      <c r="Y19" s="16"/>
      <c r="Z19" s="103"/>
      <c r="AA19" s="103"/>
      <c r="AB19" s="102"/>
      <c r="AC19" s="103"/>
      <c r="AD19" s="103"/>
      <c r="AE19" s="103"/>
      <c r="AF19" s="103"/>
      <c r="AG19" s="103"/>
      <c r="AH19" s="103"/>
      <c r="AI19" s="103"/>
      <c r="AJ19" s="103"/>
    </row>
    <row r="20" spans="1:36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3"/>
      <c r="O20" s="102"/>
      <c r="P20" s="102"/>
      <c r="Q20" s="103"/>
      <c r="R20" s="103"/>
      <c r="S20" s="102"/>
      <c r="T20" s="102"/>
      <c r="U20" s="102"/>
      <c r="V20" s="102"/>
      <c r="W20"/>
      <c r="X20" s="16"/>
      <c r="Y20" s="16"/>
      <c r="Z20" s="102"/>
      <c r="AA20" s="103"/>
      <c r="AB20" s="102"/>
      <c r="AC20" s="102"/>
      <c r="AD20" s="102"/>
      <c r="AE20" s="102"/>
      <c r="AF20" s="102"/>
      <c r="AG20" s="102"/>
      <c r="AH20" s="102"/>
      <c r="AI20" s="102"/>
      <c r="AJ20" s="103"/>
    </row>
    <row r="21" spans="1:36" customFormat="1" x14ac:dyDescent="0.2">
      <c r="L21" s="102"/>
      <c r="X21" s="4"/>
    </row>
    <row r="22" spans="1:36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</row>
    <row r="23" spans="1:36" x14ac:dyDescent="0.2">
      <c r="A23" s="102"/>
      <c r="B23" s="102"/>
      <c r="C23" s="102"/>
      <c r="D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</row>
    <row r="24" spans="1:36" x14ac:dyDescent="0.2">
      <c r="A24" s="102"/>
      <c r="B24" s="102"/>
      <c r="C24" s="102"/>
      <c r="D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</row>
    <row r="25" spans="1:36" x14ac:dyDescent="0.2">
      <c r="A25" s="102"/>
      <c r="B25" s="102"/>
      <c r="C25" s="102"/>
      <c r="D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11:Z11"/>
  </mergeCells>
  <dataValidations count="15">
    <dataValidation type="list" allowBlank="1" showInputMessage="1" showErrorMessage="1" sqref="J2:J10 J12:J20" xr:uid="{00000000-0002-0000-1100-000000000000}">
      <formula1>israel_abroad</formula1>
    </dataValidation>
    <dataValidation type="list" allowBlank="1" showInputMessage="1" showErrorMessage="1" sqref="N2:N10 N12:N20" xr:uid="{00000000-0002-0000-1100-000001000000}">
      <formula1>Holding_interest</formula1>
    </dataValidation>
    <dataValidation type="list" allowBlank="1" showInputMessage="1" showErrorMessage="1" sqref="K2:K10 K12:K20" xr:uid="{00000000-0002-0000-1100-000002000000}">
      <formula1>Country_list</formula1>
    </dataValidation>
    <dataValidation type="list" allowBlank="1" showInputMessage="1" showErrorMessage="1" sqref="E3:E10 E12:E20" xr:uid="{00000000-0002-0000-1100-000003000000}">
      <formula1>Issuer_Number_Type_2</formula1>
    </dataValidation>
    <dataValidation type="list" allowBlank="1" showInputMessage="1" showErrorMessage="1" sqref="Q2:Q10 Q12:Q20" xr:uid="{00000000-0002-0000-1100-000004000000}">
      <formula1>Rating_Agency</formula1>
    </dataValidation>
    <dataValidation type="list" allowBlank="1" showInputMessage="1" showErrorMessage="1" sqref="P4 R2:R10 R12:R20" xr:uid="{00000000-0002-0000-1100-000005000000}">
      <formula1>What_is_rated</formula1>
    </dataValidation>
    <dataValidation type="list" allowBlank="1" showInputMessage="1" showErrorMessage="1" sqref="V4 X2:X10 X12:X20" xr:uid="{00000000-0002-0000-1100-000006000000}">
      <formula1>Subordination_Risk</formula1>
    </dataValidation>
    <dataValidation type="list" allowBlank="1" showInputMessage="1" showErrorMessage="1" sqref="Z2:Z10 Z1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Y2:Y10 Y12:Y20" xr:uid="{00000000-0002-0000-1100-00000A000000}">
      <formula1>Yes_No_Bad_Debt</formula1>
    </dataValidation>
    <dataValidation type="list" allowBlank="1" showInputMessage="1" showErrorMessage="1" sqref="H2:H10 H1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10 M12:M20" xr:uid="{00000000-0002-0000-1100-00000E000000}">
      <formula1>Industry_Sector</formula1>
    </dataValidation>
    <dataValidation type="list" allowBlank="1" showInputMessage="1" showErrorMessage="1" sqref="L2:L10 L12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I2:I10 I12:I20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H1" sqref="H1"/>
    </sheetView>
  </sheetViews>
  <sheetFormatPr defaultColWidth="9" defaultRowHeight="14.25" x14ac:dyDescent="0.2"/>
  <cols>
    <col min="1" max="1" width="11.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6" ht="66.75" customHeight="1" x14ac:dyDescent="0.2">
      <c r="A1" s="169" t="s">
        <v>49</v>
      </c>
      <c r="B1" s="169" t="s">
        <v>50</v>
      </c>
      <c r="C1" s="169" t="s">
        <v>66</v>
      </c>
      <c r="D1" s="169" t="s">
        <v>80</v>
      </c>
      <c r="E1" s="169" t="s">
        <v>81</v>
      </c>
      <c r="F1" s="169" t="s">
        <v>67</v>
      </c>
      <c r="G1" s="169" t="s">
        <v>68</v>
      </c>
      <c r="H1" s="169" t="s">
        <v>82</v>
      </c>
      <c r="I1" s="169" t="s">
        <v>54</v>
      </c>
      <c r="J1" s="169" t="s">
        <v>55</v>
      </c>
      <c r="K1" s="169" t="s">
        <v>69</v>
      </c>
      <c r="L1" s="169" t="s">
        <v>89</v>
      </c>
      <c r="M1" s="169" t="s">
        <v>83</v>
      </c>
      <c r="N1" s="169" t="s">
        <v>56</v>
      </c>
      <c r="O1" s="169" t="s">
        <v>97</v>
      </c>
      <c r="P1" s="169" t="s">
        <v>59</v>
      </c>
      <c r="Q1" s="169" t="s">
        <v>103</v>
      </c>
      <c r="R1" s="169" t="s">
        <v>104</v>
      </c>
      <c r="S1" s="169" t="s">
        <v>106</v>
      </c>
      <c r="T1" s="169" t="s">
        <v>107</v>
      </c>
      <c r="U1" s="169" t="s">
        <v>76</v>
      </c>
      <c r="V1" s="169" t="s">
        <v>61</v>
      </c>
      <c r="W1" s="169" t="s">
        <v>77</v>
      </c>
      <c r="X1" s="169" t="s">
        <v>63</v>
      </c>
      <c r="Y1" s="169" t="s">
        <v>64</v>
      </c>
      <c r="Z1" s="169" t="s">
        <v>65</v>
      </c>
    </row>
    <row r="2" spans="1:26" x14ac:dyDescent="0.2">
      <c r="A2" t="s">
        <v>1204</v>
      </c>
      <c r="B2" t="s">
        <v>1204</v>
      </c>
      <c r="C2" t="s">
        <v>2372</v>
      </c>
      <c r="D2" t="s">
        <v>2373</v>
      </c>
      <c r="E2" t="s">
        <v>80</v>
      </c>
      <c r="F2" t="s">
        <v>2374</v>
      </c>
      <c r="G2" t="s">
        <v>2375</v>
      </c>
      <c r="H2" t="s">
        <v>312</v>
      </c>
      <c r="I2" t="s">
        <v>765</v>
      </c>
      <c r="J2" t="s">
        <v>204</v>
      </c>
      <c r="K2" t="s">
        <v>204</v>
      </c>
      <c r="L2" t="s">
        <v>327</v>
      </c>
      <c r="M2" t="s">
        <v>451</v>
      </c>
      <c r="N2" t="s">
        <v>339</v>
      </c>
      <c r="O2" t="s">
        <v>2376</v>
      </c>
      <c r="P2" t="s">
        <v>1208</v>
      </c>
      <c r="Q2" t="s">
        <v>884</v>
      </c>
      <c r="R2" t="s">
        <v>889</v>
      </c>
      <c r="S2" t="s">
        <v>2376</v>
      </c>
      <c r="T2" t="s">
        <v>2376</v>
      </c>
      <c r="U2" s="125">
        <v>2521000</v>
      </c>
      <c r="V2" s="135">
        <v>1</v>
      </c>
      <c r="W2" t="s">
        <v>1503</v>
      </c>
      <c r="X2" s="125">
        <v>2521</v>
      </c>
      <c r="Y2" s="126">
        <v>1</v>
      </c>
      <c r="Z2" s="129">
        <v>2.2332297360647996E-7</v>
      </c>
    </row>
    <row r="3" spans="1:26" x14ac:dyDescent="0.2">
      <c r="A3" s="195" t="s">
        <v>2681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spans="1:26" x14ac:dyDescent="0.2">
      <c r="A4" s="103"/>
      <c r="B4" s="103"/>
      <c r="C4" s="103"/>
      <c r="D4" s="103"/>
      <c r="E4" s="16"/>
      <c r="F4" s="103"/>
      <c r="G4" s="103"/>
      <c r="H4" s="16"/>
      <c r="I4" s="103"/>
      <c r="J4" s="16"/>
      <c r="K4" s="16"/>
      <c r="L4" s="103"/>
      <c r="M4" s="103"/>
      <c r="N4" s="103"/>
      <c r="O4" s="102"/>
      <c r="P4" s="16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spans="1:26" x14ac:dyDescent="0.2">
      <c r="A5" s="103"/>
      <c r="B5" s="103"/>
      <c r="C5" s="103"/>
      <c r="D5" s="103"/>
      <c r="E5" s="16"/>
      <c r="F5" s="103"/>
      <c r="G5" s="103"/>
      <c r="H5" s="16"/>
      <c r="I5" s="103"/>
      <c r="J5" s="16"/>
      <c r="K5" s="16"/>
      <c r="L5" s="103"/>
      <c r="M5" s="103"/>
      <c r="N5" s="103"/>
      <c r="O5" s="103"/>
      <c r="P5" s="16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spans="1:26" x14ac:dyDescent="0.2">
      <c r="A6" s="103"/>
      <c r="B6" s="103"/>
      <c r="C6" s="103"/>
      <c r="D6" s="103"/>
      <c r="E6" s="16"/>
      <c r="F6" s="103"/>
      <c r="G6" s="103"/>
      <c r="H6" s="16"/>
      <c r="I6" s="103"/>
      <c r="J6" s="16"/>
      <c r="K6" s="16"/>
      <c r="L6" s="103"/>
      <c r="M6" s="103"/>
      <c r="N6" s="103"/>
      <c r="O6" s="103"/>
      <c r="P6" s="16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spans="1:26" x14ac:dyDescent="0.2">
      <c r="A7" s="103"/>
      <c r="B7" s="103"/>
      <c r="C7" s="103"/>
      <c r="D7" s="103"/>
      <c r="E7" s="16"/>
      <c r="F7" s="103"/>
      <c r="G7" s="103"/>
      <c r="H7" s="16"/>
      <c r="I7" s="103"/>
      <c r="J7" s="16"/>
      <c r="K7" s="16"/>
      <c r="L7" s="103"/>
      <c r="M7" s="103"/>
      <c r="N7" s="103"/>
      <c r="O7" s="103"/>
      <c r="P7" s="16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26" x14ac:dyDescent="0.2">
      <c r="A8" s="103"/>
      <c r="B8" s="103"/>
      <c r="C8" s="103"/>
      <c r="D8" s="103"/>
      <c r="E8" s="16"/>
      <c r="F8" s="103"/>
      <c r="G8" s="103"/>
      <c r="H8" s="16"/>
      <c r="I8" s="103"/>
      <c r="J8" s="16"/>
      <c r="K8" s="16"/>
      <c r="L8" s="103"/>
      <c r="M8" s="103"/>
      <c r="N8" s="103"/>
      <c r="O8" s="103"/>
      <c r="P8" s="16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spans="1:26" x14ac:dyDescent="0.2">
      <c r="A9" s="103"/>
      <c r="B9" s="103"/>
      <c r="C9" s="103"/>
      <c r="D9" s="103"/>
      <c r="E9" s="16"/>
      <c r="F9" s="103"/>
      <c r="G9" s="103"/>
      <c r="H9" s="16"/>
      <c r="I9" s="103"/>
      <c r="J9" s="16"/>
      <c r="K9" s="16"/>
      <c r="L9" s="103"/>
      <c r="M9" s="103"/>
      <c r="N9" s="103"/>
      <c r="O9" s="103"/>
      <c r="P9" s="16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26" x14ac:dyDescent="0.2">
      <c r="A10" s="103"/>
      <c r="B10" s="103"/>
      <c r="C10" s="103"/>
      <c r="D10" s="103"/>
      <c r="E10" s="16"/>
      <c r="F10" s="103"/>
      <c r="G10" s="103"/>
      <c r="H10" s="16"/>
      <c r="I10" s="103"/>
      <c r="J10" s="16"/>
      <c r="K10" s="16"/>
      <c r="L10" s="103"/>
      <c r="M10" s="103"/>
      <c r="N10" s="103"/>
      <c r="O10" s="103"/>
      <c r="P10" s="16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x14ac:dyDescent="0.2">
      <c r="A11" s="103"/>
      <c r="B11" s="103"/>
      <c r="C11" s="103"/>
      <c r="D11" s="103"/>
      <c r="E11" s="16"/>
      <c r="F11" s="103"/>
      <c r="G11" s="103"/>
      <c r="H11" s="16"/>
      <c r="I11" s="103"/>
      <c r="J11" s="16"/>
      <c r="K11" s="16"/>
      <c r="L11" s="103"/>
      <c r="M11" s="103"/>
      <c r="N11" s="103"/>
      <c r="O11" s="103"/>
      <c r="P11" s="16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26" x14ac:dyDescent="0.2">
      <c r="A12" s="103"/>
      <c r="B12" s="103"/>
      <c r="C12" s="103"/>
      <c r="D12" s="103"/>
      <c r="E12" s="16"/>
      <c r="F12" s="103"/>
      <c r="G12" s="103"/>
      <c r="H12" s="16"/>
      <c r="I12" s="103"/>
      <c r="J12" s="16"/>
      <c r="K12" s="16"/>
      <c r="L12" s="103"/>
      <c r="M12" s="103"/>
      <c r="N12" s="103"/>
      <c r="O12" s="103"/>
      <c r="P12" s="16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26" x14ac:dyDescent="0.2">
      <c r="A13" s="103"/>
      <c r="B13" s="103"/>
      <c r="C13" s="103"/>
      <c r="D13" s="103"/>
      <c r="E13" s="16"/>
      <c r="F13" s="103"/>
      <c r="G13" s="103"/>
      <c r="H13" s="16"/>
      <c r="I13" s="103"/>
      <c r="J13" s="16"/>
      <c r="K13" s="16"/>
      <c r="L13" s="103"/>
      <c r="M13" s="103"/>
      <c r="N13" s="103"/>
      <c r="O13" s="103"/>
      <c r="P13" s="16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x14ac:dyDescent="0.2">
      <c r="A14" s="103"/>
      <c r="B14" s="103"/>
      <c r="C14" s="103"/>
      <c r="D14" s="103"/>
      <c r="E14" s="16"/>
      <c r="F14" s="103"/>
      <c r="G14" s="103"/>
      <c r="H14" s="16"/>
      <c r="I14" s="103"/>
      <c r="J14" s="16"/>
      <c r="K14" s="16"/>
      <c r="L14" s="103"/>
      <c r="M14" s="103"/>
      <c r="N14" s="103"/>
      <c r="O14" s="103"/>
      <c r="P14" s="16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6" x14ac:dyDescent="0.2">
      <c r="A15" s="103"/>
      <c r="B15" s="103"/>
      <c r="C15" s="103"/>
      <c r="D15" s="103"/>
      <c r="E15" s="16"/>
      <c r="F15" s="103"/>
      <c r="G15" s="103"/>
      <c r="H15" s="16"/>
      <c r="I15" s="103"/>
      <c r="J15" s="16"/>
      <c r="K15" s="16"/>
      <c r="L15" s="103"/>
      <c r="M15" s="103"/>
      <c r="N15" s="103"/>
      <c r="O15" s="103"/>
      <c r="P15" s="16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spans="1:26" x14ac:dyDescent="0.2">
      <c r="A16" s="103"/>
      <c r="B16" s="103"/>
      <c r="C16" s="103"/>
      <c r="D16" s="103"/>
      <c r="E16" s="16"/>
      <c r="F16" s="103"/>
      <c r="G16" s="103"/>
      <c r="H16" s="16"/>
      <c r="I16" s="103"/>
      <c r="J16" s="16"/>
      <c r="K16" s="16"/>
      <c r="L16" s="103"/>
      <c r="M16" s="103"/>
      <c r="N16" s="103"/>
      <c r="O16" s="103"/>
      <c r="P16" s="16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spans="1:26" x14ac:dyDescent="0.2">
      <c r="A17" s="103"/>
      <c r="B17" s="103"/>
      <c r="C17" s="103"/>
      <c r="D17" s="103"/>
      <c r="E17" s="16"/>
      <c r="F17" s="103"/>
      <c r="G17" s="103"/>
      <c r="H17" s="16"/>
      <c r="I17" s="103"/>
      <c r="J17" s="16"/>
      <c r="K17" s="16"/>
      <c r="L17" s="103"/>
      <c r="M17" s="103"/>
      <c r="N17" s="103"/>
      <c r="O17" s="103"/>
      <c r="P17" s="16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x14ac:dyDescent="0.2">
      <c r="A18" s="103"/>
      <c r="B18" s="103"/>
      <c r="C18" s="103"/>
      <c r="D18" s="103"/>
      <c r="E18" s="16"/>
      <c r="F18" s="103"/>
      <c r="G18" s="103"/>
      <c r="H18" s="16"/>
      <c r="I18" s="103"/>
      <c r="J18" s="16"/>
      <c r="K18" s="16"/>
      <c r="L18" s="103"/>
      <c r="M18" s="103"/>
      <c r="N18" s="103"/>
      <c r="O18" s="103"/>
      <c r="P18" s="16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spans="1:26" x14ac:dyDescent="0.2">
      <c r="A19" s="4"/>
      <c r="B19" s="103"/>
      <c r="C19" s="103"/>
      <c r="D19" s="103"/>
      <c r="E19" s="16"/>
      <c r="F19" s="103"/>
      <c r="G19" s="103"/>
      <c r="H19" s="16"/>
      <c r="I19" s="103"/>
      <c r="J19" s="16"/>
      <c r="K19" s="16"/>
      <c r="L19" s="103"/>
      <c r="M19" s="103"/>
      <c r="N19" s="103"/>
      <c r="O19" s="103"/>
      <c r="P19" s="16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spans="1:26" x14ac:dyDescent="0.2">
      <c r="A20" s="102"/>
      <c r="B20" s="102"/>
      <c r="C20" s="102"/>
      <c r="D20" s="102"/>
      <c r="E20" s="16"/>
      <c r="F20" s="102"/>
      <c r="G20" s="102"/>
      <c r="H20" s="4"/>
      <c r="I20" s="103"/>
      <c r="J20" s="16"/>
      <c r="K20" s="16"/>
      <c r="L20" s="103"/>
      <c r="M20" s="103"/>
      <c r="N20" s="103"/>
      <c r="O20" s="102"/>
      <c r="P20" s="102"/>
      <c r="Q20" s="102"/>
      <c r="R20" s="103"/>
      <c r="S20" s="102"/>
      <c r="T20" s="102"/>
      <c r="U20" s="102"/>
      <c r="V20" s="102"/>
      <c r="W20" s="102"/>
      <c r="X20" s="102"/>
      <c r="Y20" s="102"/>
      <c r="Z20" s="102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3:Z3"/>
  </mergeCells>
  <dataValidations count="11">
    <dataValidation type="list" allowBlank="1" showInputMessage="1" showErrorMessage="1" sqref="J2 J4:J20" xr:uid="{00000000-0002-0000-1200-000000000000}">
      <formula1>israel_abroad</formula1>
    </dataValidation>
    <dataValidation type="list" allowBlank="1" showInputMessage="1" showErrorMessage="1" sqref="N2 N4:N20" xr:uid="{00000000-0002-0000-1200-000001000000}">
      <formula1>Holding_interest</formula1>
    </dataValidation>
    <dataValidation type="list" allowBlank="1" showInputMessage="1" showErrorMessage="1" sqref="Q2 Q4:Q19" xr:uid="{00000000-0002-0000-1200-000002000000}">
      <formula1>Valuation</formula1>
    </dataValidation>
    <dataValidation type="list" allowBlank="1" showInputMessage="1" showErrorMessage="1" sqref="R2 R4:R20" xr:uid="{00000000-0002-0000-1200-000003000000}">
      <formula1>Dependence_Independence</formula1>
    </dataValidation>
    <dataValidation type="list" allowBlank="1" showInputMessage="1" showErrorMessage="1" sqref="K2 K4:K20" xr:uid="{00000000-0002-0000-1200-000004000000}">
      <formula1>Country_list</formula1>
    </dataValidation>
    <dataValidation type="list" allowBlank="1" showInputMessage="1" showErrorMessage="1" sqref="E4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4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 M4:M20" xr:uid="{00000000-0002-0000-1200-000009000000}">
      <formula1>Industry_Sector</formula1>
    </dataValidation>
    <dataValidation type="list" allowBlank="1" showInputMessage="1" showErrorMessage="1" sqref="L2 L4:L20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 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workbookViewId="0">
      <selection sqref="A1:AA89"/>
    </sheetView>
  </sheetViews>
  <sheetFormatPr defaultColWidth="9" defaultRowHeight="14.25" x14ac:dyDescent="0.2"/>
  <cols>
    <col min="1" max="1" width="11.5" style="142" customWidth="1"/>
    <col min="2" max="2" width="12.125" style="142" customWidth="1"/>
    <col min="3" max="3" width="45.125" style="142" bestFit="1" customWidth="1"/>
    <col min="4" max="4" width="30.375" style="142" customWidth="1"/>
    <col min="5" max="5" width="33.375" style="142" customWidth="1"/>
    <col min="6" max="6" width="43.875" style="142" bestFit="1" customWidth="1"/>
    <col min="7" max="7" width="21.25" style="142" customWidth="1"/>
    <col min="8" max="8" width="24.875" style="142" customWidth="1"/>
    <col min="9" max="9" width="19.375" style="142" bestFit="1" customWidth="1"/>
    <col min="10" max="10" width="22" style="142" customWidth="1"/>
    <col min="11" max="11" width="11.625" style="142" customWidth="1"/>
    <col min="12" max="12" width="24.5" style="142" customWidth="1"/>
    <col min="13" max="13" width="23" style="142" customWidth="1"/>
    <col min="14" max="14" width="21.875" style="142" customWidth="1"/>
    <col min="15" max="15" width="16.625" style="142" customWidth="1"/>
    <col min="16" max="16" width="13.125" style="142" customWidth="1"/>
    <col min="17" max="17" width="12.875" style="142" customWidth="1"/>
    <col min="18" max="18" width="15.375" style="142" customWidth="1"/>
    <col min="19" max="19" width="20.5" style="142" customWidth="1"/>
    <col min="20" max="20" width="17.875" style="142" customWidth="1"/>
    <col min="21" max="21" width="11.625" style="142" customWidth="1"/>
    <col min="22" max="22" width="13.375" style="142" customWidth="1"/>
    <col min="23" max="23" width="20.75" style="163" customWidth="1"/>
    <col min="24" max="24" width="23.625" style="142" customWidth="1"/>
    <col min="25" max="25" width="24" style="142" customWidth="1"/>
    <col min="26" max="26" width="22.25" style="142" customWidth="1"/>
    <col min="27" max="27" width="13.5" style="142" bestFit="1" customWidth="1"/>
    <col min="28" max="16384" width="9" style="142"/>
  </cols>
  <sheetData>
    <row r="1" spans="1:27" ht="66.75" customHeight="1" x14ac:dyDescent="0.2">
      <c r="A1" s="157" t="s">
        <v>49</v>
      </c>
      <c r="B1" s="157" t="s">
        <v>50</v>
      </c>
      <c r="C1" s="157" t="s">
        <v>108</v>
      </c>
      <c r="D1" s="157" t="s">
        <v>109</v>
      </c>
      <c r="E1" s="157" t="s">
        <v>110</v>
      </c>
      <c r="F1" s="157" t="s">
        <v>111</v>
      </c>
      <c r="G1" s="157" t="s">
        <v>112</v>
      </c>
      <c r="H1" s="157" t="s">
        <v>113</v>
      </c>
      <c r="I1" s="157" t="s">
        <v>54</v>
      </c>
      <c r="J1" s="157" t="s">
        <v>114</v>
      </c>
      <c r="K1" s="157" t="s">
        <v>55</v>
      </c>
      <c r="L1" s="157" t="s">
        <v>115</v>
      </c>
      <c r="M1" s="157" t="s">
        <v>116</v>
      </c>
      <c r="N1" s="157" t="s">
        <v>69</v>
      </c>
      <c r="O1" s="157" t="s">
        <v>56</v>
      </c>
      <c r="P1" s="158" t="s">
        <v>97</v>
      </c>
      <c r="Q1" s="157" t="s">
        <v>59</v>
      </c>
      <c r="R1" s="157" t="s">
        <v>103</v>
      </c>
      <c r="S1" s="157" t="s">
        <v>104</v>
      </c>
      <c r="T1" s="157" t="s">
        <v>106</v>
      </c>
      <c r="U1" s="157" t="s">
        <v>61</v>
      </c>
      <c r="V1" s="159" t="s">
        <v>117</v>
      </c>
      <c r="W1" s="160" t="s">
        <v>63</v>
      </c>
      <c r="X1" s="157" t="s">
        <v>118</v>
      </c>
      <c r="Y1" s="157" t="s">
        <v>64</v>
      </c>
      <c r="Z1" s="157" t="s">
        <v>65</v>
      </c>
      <c r="AA1" s="142" t="s">
        <v>2687</v>
      </c>
    </row>
    <row r="2" spans="1:27" x14ac:dyDescent="0.2">
      <c r="A2" s="142" t="s">
        <v>1204</v>
      </c>
      <c r="B2" s="142" t="s">
        <v>1204</v>
      </c>
      <c r="C2" s="136" t="s">
        <v>2377</v>
      </c>
      <c r="D2" s="142">
        <v>1653982</v>
      </c>
      <c r="E2" s="142" t="s">
        <v>311</v>
      </c>
      <c r="F2" s="142" t="s">
        <v>2377</v>
      </c>
      <c r="G2" s="142">
        <v>62010434</v>
      </c>
      <c r="H2" s="142" t="s">
        <v>312</v>
      </c>
      <c r="I2" s="142" t="s">
        <v>1000</v>
      </c>
      <c r="J2" s="142" t="s">
        <v>826</v>
      </c>
      <c r="K2" s="142" t="s">
        <v>204</v>
      </c>
      <c r="L2" s="142" t="s">
        <v>204</v>
      </c>
      <c r="M2" s="142" t="s">
        <v>204</v>
      </c>
      <c r="N2" s="142" t="s">
        <v>204</v>
      </c>
      <c r="O2" s="142" t="s">
        <v>339</v>
      </c>
      <c r="P2" s="161">
        <v>43570</v>
      </c>
      <c r="Q2" s="142" t="s">
        <v>1209</v>
      </c>
      <c r="R2" s="142" t="s">
        <v>884</v>
      </c>
      <c r="S2" s="142" t="s">
        <v>889</v>
      </c>
      <c r="T2" s="161" t="s">
        <v>2581</v>
      </c>
      <c r="U2" s="162">
        <v>3.7589999999999999</v>
      </c>
      <c r="V2" s="163">
        <v>4910986.8750000009</v>
      </c>
      <c r="W2" s="164">
        <v>18460.399663125001</v>
      </c>
      <c r="X2" s="165">
        <v>6.5500000000000003E-2</v>
      </c>
      <c r="Y2" s="166">
        <v>1.1607236839092818E-2</v>
      </c>
      <c r="Z2" s="166">
        <v>1.6353158852570947E-3</v>
      </c>
      <c r="AA2" s="168">
        <f>V2*U2/1000-W2</f>
        <v>0</v>
      </c>
    </row>
    <row r="3" spans="1:27" x14ac:dyDescent="0.2">
      <c r="A3" s="142" t="s">
        <v>1204</v>
      </c>
      <c r="B3" s="142" t="s">
        <v>1204</v>
      </c>
      <c r="C3" s="136" t="s">
        <v>2629</v>
      </c>
      <c r="D3" s="142">
        <v>500460191</v>
      </c>
      <c r="E3" s="142" t="s">
        <v>310</v>
      </c>
      <c r="F3" s="142" t="s">
        <v>2378</v>
      </c>
      <c r="G3" s="142">
        <v>62013503</v>
      </c>
      <c r="H3" s="142" t="s">
        <v>312</v>
      </c>
      <c r="I3" s="142" t="s">
        <v>1000</v>
      </c>
      <c r="J3" s="142" t="s">
        <v>836</v>
      </c>
      <c r="K3" s="142" t="s">
        <v>204</v>
      </c>
      <c r="L3" s="142" t="s">
        <v>217</v>
      </c>
      <c r="M3" s="142" t="s">
        <v>204</v>
      </c>
      <c r="N3" s="142" t="s">
        <v>204</v>
      </c>
      <c r="O3" s="142" t="s">
        <v>339</v>
      </c>
      <c r="P3" s="161">
        <v>43658</v>
      </c>
      <c r="Q3" s="142" t="s">
        <v>1209</v>
      </c>
      <c r="R3" s="142" t="s">
        <v>884</v>
      </c>
      <c r="S3" s="142" t="s">
        <v>889</v>
      </c>
      <c r="T3" s="136" t="s">
        <v>2582</v>
      </c>
      <c r="U3" s="162">
        <v>3.7589999999999999</v>
      </c>
      <c r="V3" s="163">
        <v>4465225.0350119974</v>
      </c>
      <c r="W3" s="164">
        <v>16784.7809066101</v>
      </c>
      <c r="X3" s="165">
        <v>1.7270000000000001E-2</v>
      </c>
      <c r="Y3" s="166">
        <v>1.0553667896176322E-2</v>
      </c>
      <c r="Z3" s="166">
        <v>1.4868810723512242E-3</v>
      </c>
      <c r="AA3" s="168">
        <f t="shared" ref="AA3:AA66" si="0">V3*U3/1000-W3</f>
        <v>0</v>
      </c>
    </row>
    <row r="4" spans="1:27" x14ac:dyDescent="0.2">
      <c r="A4" s="142" t="s">
        <v>1204</v>
      </c>
      <c r="B4" s="142" t="s">
        <v>1204</v>
      </c>
      <c r="C4" s="136" t="s">
        <v>2630</v>
      </c>
      <c r="D4" s="142">
        <v>550263511</v>
      </c>
      <c r="E4" s="142" t="s">
        <v>310</v>
      </c>
      <c r="F4" s="142" t="s">
        <v>2379</v>
      </c>
      <c r="G4" s="142">
        <v>62001526</v>
      </c>
      <c r="H4" s="142" t="s">
        <v>312</v>
      </c>
      <c r="I4" s="142" t="s">
        <v>1000</v>
      </c>
      <c r="J4" s="142" t="s">
        <v>836</v>
      </c>
      <c r="K4" s="142" t="s">
        <v>204</v>
      </c>
      <c r="L4" s="142" t="s">
        <v>204</v>
      </c>
      <c r="M4" s="142" t="s">
        <v>204</v>
      </c>
      <c r="N4" s="142" t="s">
        <v>204</v>
      </c>
      <c r="O4" s="142" t="s">
        <v>339</v>
      </c>
      <c r="P4" s="161">
        <v>42856</v>
      </c>
      <c r="Q4" s="142" t="s">
        <v>1209</v>
      </c>
      <c r="R4" s="142" t="s">
        <v>884</v>
      </c>
      <c r="S4" s="142" t="s">
        <v>889</v>
      </c>
      <c r="T4" s="136" t="s">
        <v>2582</v>
      </c>
      <c r="U4" s="162">
        <v>3.7589999999999999</v>
      </c>
      <c r="V4" s="163">
        <v>3732001.7261189944</v>
      </c>
      <c r="W4" s="164">
        <v>14028.5944884813</v>
      </c>
      <c r="X4" s="165">
        <v>0.15892999999999999</v>
      </c>
      <c r="Y4" s="166">
        <v>8.8206767848399877E-3</v>
      </c>
      <c r="Z4" s="166">
        <v>1.2427240922995317E-3</v>
      </c>
      <c r="AA4" s="168">
        <f t="shared" si="0"/>
        <v>0</v>
      </c>
    </row>
    <row r="5" spans="1:27" x14ac:dyDescent="0.2">
      <c r="A5" s="142" t="s">
        <v>1204</v>
      </c>
      <c r="B5" s="142" t="s">
        <v>1204</v>
      </c>
      <c r="C5" s="136" t="s">
        <v>2631</v>
      </c>
      <c r="D5" s="142">
        <v>1926761</v>
      </c>
      <c r="E5" s="142" t="s">
        <v>311</v>
      </c>
      <c r="F5" s="142" t="s">
        <v>2380</v>
      </c>
      <c r="G5" s="142">
        <v>666108402</v>
      </c>
      <c r="H5" s="142" t="s">
        <v>312</v>
      </c>
      <c r="I5" s="142" t="s">
        <v>1000</v>
      </c>
      <c r="J5" s="142" t="s">
        <v>838</v>
      </c>
      <c r="K5" s="142" t="s">
        <v>204</v>
      </c>
      <c r="L5" s="142" t="s">
        <v>217</v>
      </c>
      <c r="M5" s="142" t="s">
        <v>204</v>
      </c>
      <c r="N5" s="142" t="s">
        <v>204</v>
      </c>
      <c r="O5" s="142" t="s">
        <v>339</v>
      </c>
      <c r="P5" s="161">
        <v>44238</v>
      </c>
      <c r="Q5" s="142" t="s">
        <v>1209</v>
      </c>
      <c r="R5" s="142" t="s">
        <v>884</v>
      </c>
      <c r="S5" s="142" t="s">
        <v>889</v>
      </c>
      <c r="T5" s="136" t="s">
        <v>2581</v>
      </c>
      <c r="U5" s="162">
        <v>3.7589999999999999</v>
      </c>
      <c r="V5" s="163">
        <v>2062544.4000000001</v>
      </c>
      <c r="W5" s="164">
        <v>7753.1043995999999</v>
      </c>
      <c r="X5" s="165">
        <v>8.7739999999999999E-2</v>
      </c>
      <c r="Y5" s="166">
        <v>4.8748738189092781E-3</v>
      </c>
      <c r="Z5" s="166">
        <v>6.8680933328050555E-4</v>
      </c>
      <c r="AA5" s="168">
        <f t="shared" si="0"/>
        <v>0</v>
      </c>
    </row>
    <row r="6" spans="1:27" x14ac:dyDescent="0.2">
      <c r="A6" s="142" t="s">
        <v>1204</v>
      </c>
      <c r="B6" s="142" t="s">
        <v>1204</v>
      </c>
      <c r="C6" s="136" t="s">
        <v>2630</v>
      </c>
      <c r="D6" s="142">
        <v>550263511</v>
      </c>
      <c r="E6" s="142" t="s">
        <v>310</v>
      </c>
      <c r="F6" s="142" t="s">
        <v>2381</v>
      </c>
      <c r="G6" s="142">
        <v>62013248</v>
      </c>
      <c r="H6" s="142" t="s">
        <v>312</v>
      </c>
      <c r="I6" s="142" t="s">
        <v>1000</v>
      </c>
      <c r="J6" s="142" t="s">
        <v>838</v>
      </c>
      <c r="K6" s="142" t="s">
        <v>204</v>
      </c>
      <c r="L6" s="142" t="s">
        <v>204</v>
      </c>
      <c r="M6" s="142" t="s">
        <v>204</v>
      </c>
      <c r="N6" s="142" t="s">
        <v>204</v>
      </c>
      <c r="O6" s="142" t="s">
        <v>339</v>
      </c>
      <c r="P6" s="161">
        <v>43642</v>
      </c>
      <c r="Q6" s="142" t="s">
        <v>1209</v>
      </c>
      <c r="R6" s="142" t="s">
        <v>884</v>
      </c>
      <c r="S6" s="142" t="s">
        <v>889</v>
      </c>
      <c r="T6" s="136" t="s">
        <v>2582</v>
      </c>
      <c r="U6" s="162">
        <v>3.7589999999999999</v>
      </c>
      <c r="V6" s="163">
        <v>1647240</v>
      </c>
      <c r="W6" s="164">
        <v>6191.97516</v>
      </c>
      <c r="X6" s="165">
        <v>0.44462000000000002</v>
      </c>
      <c r="Y6" s="166">
        <v>3.8932917756631662E-3</v>
      </c>
      <c r="Z6" s="166">
        <v>5.4851658279597758E-4</v>
      </c>
      <c r="AA6" s="168">
        <f t="shared" si="0"/>
        <v>0</v>
      </c>
    </row>
    <row r="7" spans="1:27" x14ac:dyDescent="0.2">
      <c r="A7" s="142" t="s">
        <v>1204</v>
      </c>
      <c r="B7" s="142" t="s">
        <v>1204</v>
      </c>
      <c r="C7" s="136" t="s">
        <v>2632</v>
      </c>
      <c r="D7" s="142">
        <v>540287315</v>
      </c>
      <c r="E7" s="142" t="s">
        <v>309</v>
      </c>
      <c r="F7" s="142" t="s">
        <v>2382</v>
      </c>
      <c r="G7" s="142">
        <v>62012265</v>
      </c>
      <c r="H7" s="142" t="s">
        <v>312</v>
      </c>
      <c r="I7" s="142" t="s">
        <v>1000</v>
      </c>
      <c r="J7" s="142" t="s">
        <v>838</v>
      </c>
      <c r="K7" s="142" t="s">
        <v>205</v>
      </c>
      <c r="L7" s="142" t="s">
        <v>204</v>
      </c>
      <c r="M7" s="142" t="s">
        <v>204</v>
      </c>
      <c r="N7" s="142" t="s">
        <v>293</v>
      </c>
      <c r="O7" s="142" t="s">
        <v>339</v>
      </c>
      <c r="P7" s="161">
        <v>43585</v>
      </c>
      <c r="Q7" s="142" t="s">
        <v>1209</v>
      </c>
      <c r="R7" s="142" t="s">
        <v>884</v>
      </c>
      <c r="S7" s="142" t="s">
        <v>889</v>
      </c>
      <c r="T7" s="136" t="s">
        <v>2582</v>
      </c>
      <c r="U7" s="162">
        <v>3.7589999999999999</v>
      </c>
      <c r="V7" s="163">
        <v>736631.28</v>
      </c>
      <c r="W7" s="164">
        <v>2768.9969815200002</v>
      </c>
      <c r="X7" s="165">
        <v>6.6730200000000003E-2</v>
      </c>
      <c r="Y7" s="166">
        <v>1.7410459338774136E-3</v>
      </c>
      <c r="Z7" s="166">
        <v>2.4529180476811328E-4</v>
      </c>
      <c r="AA7" s="168">
        <f t="shared" si="0"/>
        <v>0</v>
      </c>
    </row>
    <row r="8" spans="1:27" x14ac:dyDescent="0.2">
      <c r="A8" s="142" t="s">
        <v>1204</v>
      </c>
      <c r="B8" s="142" t="s">
        <v>1204</v>
      </c>
      <c r="C8" s="136" t="s">
        <v>2637</v>
      </c>
      <c r="D8" s="142" t="s">
        <v>2598</v>
      </c>
      <c r="E8" s="142" t="s">
        <v>311</v>
      </c>
      <c r="F8" s="142" t="s">
        <v>2391</v>
      </c>
      <c r="G8" s="142">
        <v>60415619</v>
      </c>
      <c r="H8" s="142" t="s">
        <v>312</v>
      </c>
      <c r="I8" s="142" t="s">
        <v>1004</v>
      </c>
      <c r="J8" s="142" t="s">
        <v>845</v>
      </c>
      <c r="K8" s="142" t="s">
        <v>205</v>
      </c>
      <c r="L8" s="142" t="s">
        <v>224</v>
      </c>
      <c r="M8" s="136" t="s">
        <v>224</v>
      </c>
      <c r="N8" s="142" t="s">
        <v>224</v>
      </c>
      <c r="O8" s="142" t="s">
        <v>339</v>
      </c>
      <c r="P8" s="161">
        <v>42650</v>
      </c>
      <c r="Q8" s="142" t="s">
        <v>1209</v>
      </c>
      <c r="R8" s="142" t="s">
        <v>884</v>
      </c>
      <c r="S8" s="142" t="s">
        <v>889</v>
      </c>
      <c r="T8" s="136" t="s">
        <v>2584</v>
      </c>
      <c r="U8" s="162">
        <v>3.7589999999999999</v>
      </c>
      <c r="V8" s="163">
        <v>9927769.6259760056</v>
      </c>
      <c r="W8" s="164">
        <v>37318.486024043799</v>
      </c>
      <c r="X8" s="165">
        <v>3.1199999999999999E-2</v>
      </c>
      <c r="Y8" s="166">
        <v>2.3464524802391251E-2</v>
      </c>
      <c r="Z8" s="166">
        <v>3.3058608763908469E-3</v>
      </c>
      <c r="AA8" s="168">
        <f t="shared" si="0"/>
        <v>0</v>
      </c>
    </row>
    <row r="9" spans="1:27" x14ac:dyDescent="0.2">
      <c r="A9" s="142" t="s">
        <v>1204</v>
      </c>
      <c r="B9" s="142" t="s">
        <v>1204</v>
      </c>
      <c r="C9" s="136" t="s">
        <v>2554</v>
      </c>
      <c r="D9" s="142" t="s">
        <v>2608</v>
      </c>
      <c r="E9" s="142" t="s">
        <v>311</v>
      </c>
      <c r="F9" s="142" t="s">
        <v>2392</v>
      </c>
      <c r="G9" s="142">
        <v>666108709</v>
      </c>
      <c r="H9" s="142" t="s">
        <v>312</v>
      </c>
      <c r="I9" s="142" t="s">
        <v>1004</v>
      </c>
      <c r="J9" s="142" t="s">
        <v>842</v>
      </c>
      <c r="K9" s="142" t="s">
        <v>205</v>
      </c>
      <c r="L9" s="142" t="s">
        <v>217</v>
      </c>
      <c r="M9" s="136" t="s">
        <v>217</v>
      </c>
      <c r="N9" s="142" t="s">
        <v>293</v>
      </c>
      <c r="O9" s="142" t="s">
        <v>339</v>
      </c>
      <c r="P9" s="161">
        <v>44298</v>
      </c>
      <c r="Q9" s="142" t="s">
        <v>1211</v>
      </c>
      <c r="R9" s="142" t="s">
        <v>884</v>
      </c>
      <c r="S9" s="142" t="s">
        <v>889</v>
      </c>
      <c r="T9" s="136" t="s">
        <v>2581</v>
      </c>
      <c r="U9" s="141">
        <v>4.0202</v>
      </c>
      <c r="V9" s="163">
        <v>9179107.0990703441</v>
      </c>
      <c r="W9" s="164">
        <v>36901.846359682597</v>
      </c>
      <c r="X9" s="165">
        <v>8.7200000000000003E-3</v>
      </c>
      <c r="Y9" s="166">
        <v>2.3202556732953371E-2</v>
      </c>
      <c r="Z9" s="166">
        <v>3.2689528205528664E-3</v>
      </c>
      <c r="AA9" s="168">
        <f t="shared" si="0"/>
        <v>0</v>
      </c>
    </row>
    <row r="10" spans="1:27" x14ac:dyDescent="0.2">
      <c r="A10" s="142" t="s">
        <v>1204</v>
      </c>
      <c r="B10" s="142" t="s">
        <v>1204</v>
      </c>
      <c r="C10" s="136" t="s">
        <v>2638</v>
      </c>
      <c r="D10" s="142" t="s">
        <v>2611</v>
      </c>
      <c r="E10" s="142" t="s">
        <v>311</v>
      </c>
      <c r="F10" s="142" t="s">
        <v>2393</v>
      </c>
      <c r="G10" s="142">
        <v>666108873</v>
      </c>
      <c r="H10" s="142" t="s">
        <v>312</v>
      </c>
      <c r="I10" s="142" t="s">
        <v>1004</v>
      </c>
      <c r="J10" s="142" t="s">
        <v>845</v>
      </c>
      <c r="K10" s="142" t="s">
        <v>205</v>
      </c>
      <c r="L10" s="142" t="s">
        <v>224</v>
      </c>
      <c r="M10" s="136" t="s">
        <v>224</v>
      </c>
      <c r="N10" s="142" t="s">
        <v>224</v>
      </c>
      <c r="O10" s="142" t="s">
        <v>339</v>
      </c>
      <c r="P10" s="161">
        <v>44347</v>
      </c>
      <c r="Q10" s="142" t="s">
        <v>1209</v>
      </c>
      <c r="R10" s="142" t="s">
        <v>884</v>
      </c>
      <c r="S10" s="142" t="s">
        <v>889</v>
      </c>
      <c r="T10" s="136" t="s">
        <v>2581</v>
      </c>
      <c r="U10" s="162">
        <v>3.7589999999999999</v>
      </c>
      <c r="V10" s="163">
        <v>8563645.6395840123</v>
      </c>
      <c r="W10" s="164">
        <v>32190.743959196301</v>
      </c>
      <c r="X10" s="165">
        <v>1.3299999999999999E-2</v>
      </c>
      <c r="Y10" s="166">
        <v>2.0240384605938522E-2</v>
      </c>
      <c r="Z10" s="166">
        <v>2.8516194619486509E-3</v>
      </c>
      <c r="AA10" s="168">
        <f t="shared" si="0"/>
        <v>0</v>
      </c>
    </row>
    <row r="11" spans="1:27" x14ac:dyDescent="0.2">
      <c r="A11" s="142" t="s">
        <v>1204</v>
      </c>
      <c r="B11" s="142" t="s">
        <v>1204</v>
      </c>
      <c r="C11" s="136" t="s">
        <v>2639</v>
      </c>
      <c r="D11" s="142">
        <v>540287240</v>
      </c>
      <c r="E11" s="142" t="s">
        <v>310</v>
      </c>
      <c r="F11" s="142" t="s">
        <v>2394</v>
      </c>
      <c r="G11" s="142">
        <v>50000652</v>
      </c>
      <c r="H11" s="142" t="s">
        <v>312</v>
      </c>
      <c r="I11" s="142" t="s">
        <v>1004</v>
      </c>
      <c r="J11" s="142" t="s">
        <v>569</v>
      </c>
      <c r="K11" s="142" t="s">
        <v>204</v>
      </c>
      <c r="L11" s="142" t="s">
        <v>204</v>
      </c>
      <c r="M11" s="142" t="s">
        <v>204</v>
      </c>
      <c r="N11" s="142" t="s">
        <v>204</v>
      </c>
      <c r="O11" s="142" t="s">
        <v>339</v>
      </c>
      <c r="P11" s="161">
        <v>43614</v>
      </c>
      <c r="Q11" s="142" t="s">
        <v>1208</v>
      </c>
      <c r="R11" s="142" t="s">
        <v>884</v>
      </c>
      <c r="S11" s="142" t="s">
        <v>889</v>
      </c>
      <c r="T11" s="136" t="s">
        <v>2584</v>
      </c>
      <c r="U11" s="141">
        <v>1</v>
      </c>
      <c r="V11" s="163">
        <v>28795917.600000001</v>
      </c>
      <c r="W11" s="164">
        <v>28795.917600000001</v>
      </c>
      <c r="X11" s="165">
        <v>2.69E-2</v>
      </c>
      <c r="Y11" s="166">
        <v>1.8105839617863426E-2</v>
      </c>
      <c r="Z11" s="166">
        <v>2.5508885149381879E-3</v>
      </c>
      <c r="AA11" s="168">
        <f t="shared" si="0"/>
        <v>0</v>
      </c>
    </row>
    <row r="12" spans="1:27" x14ac:dyDescent="0.2">
      <c r="A12" s="142" t="s">
        <v>1204</v>
      </c>
      <c r="B12" s="142" t="s">
        <v>1204</v>
      </c>
      <c r="C12" s="136" t="s">
        <v>2640</v>
      </c>
      <c r="D12" s="142" t="s">
        <v>2599</v>
      </c>
      <c r="E12" s="142" t="s">
        <v>310</v>
      </c>
      <c r="F12" s="142" t="s">
        <v>2395</v>
      </c>
      <c r="G12" s="142">
        <v>62002348</v>
      </c>
      <c r="H12" s="142" t="s">
        <v>312</v>
      </c>
      <c r="I12" s="142" t="s">
        <v>1004</v>
      </c>
      <c r="J12" s="142" t="s">
        <v>825</v>
      </c>
      <c r="K12" s="142" t="s">
        <v>205</v>
      </c>
      <c r="L12" s="142" t="s">
        <v>204</v>
      </c>
      <c r="M12" s="142" t="s">
        <v>204</v>
      </c>
      <c r="N12" s="142" t="s">
        <v>224</v>
      </c>
      <c r="O12" s="142" t="s">
        <v>339</v>
      </c>
      <c r="P12" s="161">
        <v>42926</v>
      </c>
      <c r="Q12" s="142" t="s">
        <v>1211</v>
      </c>
      <c r="R12" s="142" t="s">
        <v>884</v>
      </c>
      <c r="S12" s="142" t="s">
        <v>889</v>
      </c>
      <c r="T12" s="136" t="s">
        <v>2588</v>
      </c>
      <c r="U12" s="141">
        <v>4.0202</v>
      </c>
      <c r="V12" s="163">
        <v>5227672.0000000009</v>
      </c>
      <c r="W12" s="164">
        <v>21016.286974400002</v>
      </c>
      <c r="X12" s="165">
        <v>4.2000000000000003E-2</v>
      </c>
      <c r="Y12" s="166">
        <v>1.3214287059964311E-2</v>
      </c>
      <c r="Z12" s="166">
        <v>1.8617293539429352E-3</v>
      </c>
      <c r="AA12" s="168">
        <f t="shared" si="0"/>
        <v>0</v>
      </c>
    </row>
    <row r="13" spans="1:27" x14ac:dyDescent="0.2">
      <c r="A13" s="142" t="s">
        <v>1204</v>
      </c>
      <c r="B13" s="142" t="s">
        <v>1204</v>
      </c>
      <c r="C13" s="136" t="s">
        <v>2639</v>
      </c>
      <c r="D13" s="142">
        <v>550260061</v>
      </c>
      <c r="E13" s="142" t="s">
        <v>310</v>
      </c>
      <c r="F13" s="142" t="s">
        <v>2396</v>
      </c>
      <c r="G13" s="142">
        <v>37879</v>
      </c>
      <c r="H13" s="142" t="s">
        <v>312</v>
      </c>
      <c r="I13" s="142" t="s">
        <v>1004</v>
      </c>
      <c r="J13" s="142" t="s">
        <v>838</v>
      </c>
      <c r="K13" s="142" t="s">
        <v>204</v>
      </c>
      <c r="L13" s="142" t="s">
        <v>204</v>
      </c>
      <c r="M13" s="142" t="s">
        <v>204</v>
      </c>
      <c r="N13" s="142" t="s">
        <v>204</v>
      </c>
      <c r="O13" s="142" t="s">
        <v>339</v>
      </c>
      <c r="P13" s="161">
        <v>42185</v>
      </c>
      <c r="Q13" s="142" t="s">
        <v>1208</v>
      </c>
      <c r="R13" s="142" t="s">
        <v>884</v>
      </c>
      <c r="S13" s="142" t="s">
        <v>889</v>
      </c>
      <c r="T13" s="136" t="s">
        <v>2584</v>
      </c>
      <c r="U13" s="141">
        <v>1</v>
      </c>
      <c r="V13" s="163">
        <v>18020920.5</v>
      </c>
      <c r="W13" s="164">
        <v>18020.9205</v>
      </c>
      <c r="X13" s="165">
        <v>3.49E-2</v>
      </c>
      <c r="Y13" s="166">
        <v>1.1330908112449495E-2</v>
      </c>
      <c r="Z13" s="166">
        <v>1.5963845907124052E-3</v>
      </c>
      <c r="AA13" s="168">
        <f t="shared" si="0"/>
        <v>0</v>
      </c>
    </row>
    <row r="14" spans="1:27" x14ac:dyDescent="0.2">
      <c r="A14" s="142" t="s">
        <v>1204</v>
      </c>
      <c r="B14" s="142" t="s">
        <v>1204</v>
      </c>
      <c r="C14" s="136" t="s">
        <v>2534</v>
      </c>
      <c r="D14" s="142" t="s">
        <v>2600</v>
      </c>
      <c r="E14" s="142" t="s">
        <v>311</v>
      </c>
      <c r="F14" s="142" t="s">
        <v>2409</v>
      </c>
      <c r="G14" s="142">
        <v>62004408</v>
      </c>
      <c r="H14" s="142" t="s">
        <v>312</v>
      </c>
      <c r="I14" s="142" t="s">
        <v>1005</v>
      </c>
      <c r="J14" s="142" t="s">
        <v>826</v>
      </c>
      <c r="K14" s="142" t="s">
        <v>205</v>
      </c>
      <c r="L14" s="142" t="s">
        <v>224</v>
      </c>
      <c r="M14" s="136" t="s">
        <v>224</v>
      </c>
      <c r="N14" s="142" t="s">
        <v>224</v>
      </c>
      <c r="O14" s="142" t="s">
        <v>339</v>
      </c>
      <c r="P14" s="161">
        <v>43073</v>
      </c>
      <c r="Q14" s="142" t="s">
        <v>1209</v>
      </c>
      <c r="R14" s="142" t="s">
        <v>884</v>
      </c>
      <c r="S14" s="142" t="s">
        <v>889</v>
      </c>
      <c r="T14" s="136" t="s">
        <v>2581</v>
      </c>
      <c r="U14" s="162">
        <v>3.7589999999999999</v>
      </c>
      <c r="V14" s="163">
        <v>15685000.933808593</v>
      </c>
      <c r="W14" s="164">
        <v>58959.9185101865</v>
      </c>
      <c r="X14" s="165">
        <v>5.9987E-3</v>
      </c>
      <c r="Y14" s="166">
        <v>3.7071880926195379E-2</v>
      </c>
      <c r="Z14" s="166">
        <v>5.2229687922612407E-3</v>
      </c>
      <c r="AA14" s="168">
        <f t="shared" si="0"/>
        <v>0</v>
      </c>
    </row>
    <row r="15" spans="1:27" x14ac:dyDescent="0.2">
      <c r="A15" s="142" t="s">
        <v>1204</v>
      </c>
      <c r="B15" s="142" t="s">
        <v>1204</v>
      </c>
      <c r="C15" s="136" t="s">
        <v>2648</v>
      </c>
      <c r="D15" s="142" t="s">
        <v>2602</v>
      </c>
      <c r="E15" s="142" t="s">
        <v>311</v>
      </c>
      <c r="F15" s="142" t="s">
        <v>2410</v>
      </c>
      <c r="G15" s="142">
        <v>62010970</v>
      </c>
      <c r="H15" s="142" t="s">
        <v>312</v>
      </c>
      <c r="I15" s="142" t="s">
        <v>1005</v>
      </c>
      <c r="J15" s="142" t="s">
        <v>831</v>
      </c>
      <c r="K15" s="142" t="s">
        <v>205</v>
      </c>
      <c r="L15" s="142" t="s">
        <v>224</v>
      </c>
      <c r="M15" s="136" t="s">
        <v>224</v>
      </c>
      <c r="N15" s="142" t="s">
        <v>224</v>
      </c>
      <c r="O15" s="142" t="s">
        <v>339</v>
      </c>
      <c r="P15" s="161">
        <v>43509</v>
      </c>
      <c r="Q15" s="142" t="s">
        <v>1209</v>
      </c>
      <c r="R15" s="142" t="s">
        <v>884</v>
      </c>
      <c r="S15" s="142" t="s">
        <v>889</v>
      </c>
      <c r="T15" s="136" t="s">
        <v>2590</v>
      </c>
      <c r="U15" s="162">
        <v>3.7589999999999999</v>
      </c>
      <c r="V15" s="163">
        <v>15253985.846488189</v>
      </c>
      <c r="W15" s="164">
        <v>57339.732796949102</v>
      </c>
      <c r="X15" s="165">
        <v>2.3800000000000002E-3</v>
      </c>
      <c r="Y15" s="166">
        <v>3.6053166291624056E-2</v>
      </c>
      <c r="Z15" s="166">
        <v>5.0794445196412838E-3</v>
      </c>
      <c r="AA15" s="168">
        <f t="shared" si="0"/>
        <v>0</v>
      </c>
    </row>
    <row r="16" spans="1:27" x14ac:dyDescent="0.2">
      <c r="A16" s="142" t="s">
        <v>1204</v>
      </c>
      <c r="B16" s="142" t="s">
        <v>1204</v>
      </c>
      <c r="C16" s="136" t="s">
        <v>2649</v>
      </c>
      <c r="D16" s="142" t="s">
        <v>2604</v>
      </c>
      <c r="E16" s="142" t="s">
        <v>311</v>
      </c>
      <c r="F16" s="142" t="s">
        <v>2411</v>
      </c>
      <c r="G16" s="142">
        <v>62014956</v>
      </c>
      <c r="H16" s="142" t="s">
        <v>312</v>
      </c>
      <c r="I16" s="142" t="s">
        <v>1005</v>
      </c>
      <c r="J16" s="142" t="s">
        <v>846</v>
      </c>
      <c r="K16" s="142" t="s">
        <v>205</v>
      </c>
      <c r="L16" s="142" t="s">
        <v>224</v>
      </c>
      <c r="M16" s="136" t="s">
        <v>224</v>
      </c>
      <c r="N16" s="142" t="s">
        <v>224</v>
      </c>
      <c r="O16" s="142" t="s">
        <v>339</v>
      </c>
      <c r="P16" s="161">
        <v>43818</v>
      </c>
      <c r="Q16" s="142" t="s">
        <v>1209</v>
      </c>
      <c r="R16" s="142" t="s">
        <v>884</v>
      </c>
      <c r="S16" s="142" t="s">
        <v>889</v>
      </c>
      <c r="T16" s="136" t="s">
        <v>2581</v>
      </c>
      <c r="U16" s="162">
        <v>3.7589999999999999</v>
      </c>
      <c r="V16" s="163">
        <v>9954137.8424710035</v>
      </c>
      <c r="W16" s="164">
        <v>37417.604149848499</v>
      </c>
      <c r="X16" s="165">
        <v>1.5131000000000001E-3</v>
      </c>
      <c r="Y16" s="166">
        <v>2.3526846722948597E-2</v>
      </c>
      <c r="Z16" s="166">
        <v>3.3146412629806946E-3</v>
      </c>
      <c r="AA16" s="168">
        <f t="shared" si="0"/>
        <v>0</v>
      </c>
    </row>
    <row r="17" spans="1:27" x14ac:dyDescent="0.2">
      <c r="A17" s="142" t="s">
        <v>1204</v>
      </c>
      <c r="B17" s="142" t="s">
        <v>1204</v>
      </c>
      <c r="C17" s="136" t="s">
        <v>2650</v>
      </c>
      <c r="D17" s="142" t="s">
        <v>2603</v>
      </c>
      <c r="E17" s="142" t="s">
        <v>311</v>
      </c>
      <c r="F17" s="142" t="s">
        <v>2412</v>
      </c>
      <c r="G17" s="142">
        <v>62014790</v>
      </c>
      <c r="H17" s="142" t="s">
        <v>312</v>
      </c>
      <c r="I17" s="142" t="s">
        <v>1005</v>
      </c>
      <c r="J17" s="142" t="s">
        <v>846</v>
      </c>
      <c r="K17" s="142" t="s">
        <v>205</v>
      </c>
      <c r="L17" s="142" t="s">
        <v>217</v>
      </c>
      <c r="M17" s="136" t="s">
        <v>224</v>
      </c>
      <c r="N17" s="142" t="s">
        <v>224</v>
      </c>
      <c r="O17" s="142" t="s">
        <v>339</v>
      </c>
      <c r="P17" s="161">
        <v>43805</v>
      </c>
      <c r="Q17" s="142" t="s">
        <v>1209</v>
      </c>
      <c r="R17" s="142" t="s">
        <v>884</v>
      </c>
      <c r="S17" s="142" t="s">
        <v>889</v>
      </c>
      <c r="T17" s="136" t="s">
        <v>2581</v>
      </c>
      <c r="U17" s="162">
        <v>3.7589999999999999</v>
      </c>
      <c r="V17" s="163">
        <v>8233367.5782960104</v>
      </c>
      <c r="W17" s="164">
        <v>30949.228726814701</v>
      </c>
      <c r="X17" s="165">
        <v>9.3313000000000007E-3</v>
      </c>
      <c r="Y17" s="166">
        <v>1.945976438077731E-2</v>
      </c>
      <c r="Z17" s="166">
        <v>2.7416397422052163E-3</v>
      </c>
      <c r="AA17" s="168">
        <f>V17*U17/1000-W17</f>
        <v>0</v>
      </c>
    </row>
    <row r="18" spans="1:27" x14ac:dyDescent="0.2">
      <c r="A18" s="142" t="s">
        <v>1204</v>
      </c>
      <c r="B18" s="142" t="s">
        <v>1204</v>
      </c>
      <c r="C18" s="136" t="s">
        <v>2651</v>
      </c>
      <c r="D18" s="142" t="s">
        <v>2607</v>
      </c>
      <c r="E18" s="142" t="s">
        <v>313</v>
      </c>
      <c r="F18" s="142" t="s">
        <v>2413</v>
      </c>
      <c r="G18" s="142">
        <v>666108162</v>
      </c>
      <c r="H18" s="142" t="s">
        <v>312</v>
      </c>
      <c r="I18" s="142" t="s">
        <v>1005</v>
      </c>
      <c r="J18" s="142" t="s">
        <v>832</v>
      </c>
      <c r="K18" s="142" t="s">
        <v>205</v>
      </c>
      <c r="L18" s="142" t="s">
        <v>240</v>
      </c>
      <c r="M18" s="136" t="s">
        <v>224</v>
      </c>
      <c r="N18" s="142" t="s">
        <v>293</v>
      </c>
      <c r="O18" s="142" t="s">
        <v>339</v>
      </c>
      <c r="P18" s="161">
        <v>44195</v>
      </c>
      <c r="Q18" s="142" t="s">
        <v>1209</v>
      </c>
      <c r="R18" s="142" t="s">
        <v>884</v>
      </c>
      <c r="S18" s="142" t="s">
        <v>889</v>
      </c>
      <c r="T18" s="136" t="s">
        <v>2582</v>
      </c>
      <c r="U18" s="162">
        <v>3.7589999999999999</v>
      </c>
      <c r="V18" s="163">
        <v>8031898.603360788</v>
      </c>
      <c r="W18" s="164">
        <v>30191.9068500332</v>
      </c>
      <c r="X18" s="165">
        <v>5.0000000000000001E-3</v>
      </c>
      <c r="Y18" s="166">
        <v>1.8983587561876243E-2</v>
      </c>
      <c r="Z18" s="166">
        <v>2.6745523270921322E-3</v>
      </c>
      <c r="AA18" s="168">
        <f t="shared" si="0"/>
        <v>0</v>
      </c>
    </row>
    <row r="19" spans="1:27" x14ac:dyDescent="0.2">
      <c r="A19" s="142" t="s">
        <v>1204</v>
      </c>
      <c r="B19" s="142" t="s">
        <v>1204</v>
      </c>
      <c r="C19" s="136" t="s">
        <v>2652</v>
      </c>
      <c r="D19" s="142" t="s">
        <v>2606</v>
      </c>
      <c r="E19" s="142" t="s">
        <v>313</v>
      </c>
      <c r="F19" s="142" t="s">
        <v>2414</v>
      </c>
      <c r="G19" s="142">
        <v>666107909</v>
      </c>
      <c r="H19" s="142" t="s">
        <v>312</v>
      </c>
      <c r="I19" s="142" t="s">
        <v>1005</v>
      </c>
      <c r="J19" s="142" t="s">
        <v>844</v>
      </c>
      <c r="K19" s="142" t="s">
        <v>205</v>
      </c>
      <c r="L19" s="142" t="s">
        <v>217</v>
      </c>
      <c r="M19" s="136" t="s">
        <v>224</v>
      </c>
      <c r="N19" s="142" t="s">
        <v>224</v>
      </c>
      <c r="O19" s="142" t="s">
        <v>339</v>
      </c>
      <c r="P19" s="161">
        <v>44164</v>
      </c>
      <c r="Q19" s="142" t="s">
        <v>1209</v>
      </c>
      <c r="R19" s="142" t="s">
        <v>884</v>
      </c>
      <c r="S19" s="142" t="s">
        <v>889</v>
      </c>
      <c r="T19" s="136" t="s">
        <v>2581</v>
      </c>
      <c r="U19" s="162">
        <v>3.7589999999999999</v>
      </c>
      <c r="V19" s="163">
        <v>7949431.2786333868</v>
      </c>
      <c r="W19" s="164">
        <v>29881.912176382899</v>
      </c>
      <c r="X19" s="165">
        <v>2.5933999999999999E-2</v>
      </c>
      <c r="Y19" s="166">
        <v>1.8788674035539989E-2</v>
      </c>
      <c r="Z19" s="166">
        <v>2.6470914257348318E-3</v>
      </c>
      <c r="AA19" s="168">
        <f t="shared" si="0"/>
        <v>0</v>
      </c>
    </row>
    <row r="20" spans="1:27" x14ac:dyDescent="0.2">
      <c r="A20" s="142" t="s">
        <v>1204</v>
      </c>
      <c r="B20" s="142" t="s">
        <v>1204</v>
      </c>
      <c r="C20" s="136" t="s">
        <v>2653</v>
      </c>
      <c r="D20" s="142">
        <v>4012569534</v>
      </c>
      <c r="E20" s="142" t="s">
        <v>311</v>
      </c>
      <c r="F20" s="142" t="s">
        <v>2415</v>
      </c>
      <c r="G20" s="142">
        <v>666108469</v>
      </c>
      <c r="H20" s="142" t="s">
        <v>312</v>
      </c>
      <c r="I20" s="142" t="s">
        <v>1005</v>
      </c>
      <c r="J20" s="142" t="s">
        <v>569</v>
      </c>
      <c r="K20" s="142" t="s">
        <v>205</v>
      </c>
      <c r="L20" s="142" t="s">
        <v>217</v>
      </c>
      <c r="M20" s="136" t="s">
        <v>224</v>
      </c>
      <c r="N20" s="142" t="s">
        <v>224</v>
      </c>
      <c r="O20" s="142" t="s">
        <v>339</v>
      </c>
      <c r="P20" s="161">
        <v>44251</v>
      </c>
      <c r="Q20" s="142" t="s">
        <v>1209</v>
      </c>
      <c r="R20" s="142" t="s">
        <v>884</v>
      </c>
      <c r="S20" s="142" t="s">
        <v>889</v>
      </c>
      <c r="T20" s="136" t="s">
        <v>2581</v>
      </c>
      <c r="U20" s="162">
        <v>3.7589999999999999</v>
      </c>
      <c r="V20" s="163">
        <v>7710026.575593004</v>
      </c>
      <c r="W20" s="164">
        <v>28981.989897654101</v>
      </c>
      <c r="X20" s="165">
        <v>6.6E-3</v>
      </c>
      <c r="Y20" s="166">
        <v>1.8222835201246138E-2</v>
      </c>
      <c r="Z20" s="166">
        <v>2.5673717433467177E-3</v>
      </c>
      <c r="AA20" s="168">
        <f t="shared" si="0"/>
        <v>0</v>
      </c>
    </row>
    <row r="21" spans="1:27" x14ac:dyDescent="0.2">
      <c r="A21" s="142" t="s">
        <v>1204</v>
      </c>
      <c r="B21" s="142" t="s">
        <v>1204</v>
      </c>
      <c r="C21" s="136" t="s">
        <v>2654</v>
      </c>
      <c r="D21" s="142">
        <v>550257414</v>
      </c>
      <c r="E21" s="142" t="s">
        <v>310</v>
      </c>
      <c r="F21" s="142" t="s">
        <v>2416</v>
      </c>
      <c r="G21" s="142">
        <v>60419868</v>
      </c>
      <c r="H21" s="142" t="s">
        <v>312</v>
      </c>
      <c r="I21" s="142" t="s">
        <v>1005</v>
      </c>
      <c r="J21" s="142" t="s">
        <v>839</v>
      </c>
      <c r="K21" s="142" t="s">
        <v>205</v>
      </c>
      <c r="L21" s="142" t="s">
        <v>204</v>
      </c>
      <c r="M21" s="142" t="s">
        <v>204</v>
      </c>
      <c r="N21" s="142" t="s">
        <v>224</v>
      </c>
      <c r="O21" s="142" t="s">
        <v>339</v>
      </c>
      <c r="P21" s="161">
        <v>42724</v>
      </c>
      <c r="Q21" s="142" t="s">
        <v>1209</v>
      </c>
      <c r="R21" s="142" t="s">
        <v>884</v>
      </c>
      <c r="S21" s="142" t="s">
        <v>889</v>
      </c>
      <c r="T21" s="136" t="s">
        <v>2591</v>
      </c>
      <c r="U21" s="162">
        <v>3.7589999999999999</v>
      </c>
      <c r="V21" s="163">
        <v>7220530.4180778405</v>
      </c>
      <c r="W21" s="164">
        <v>27141.973841554602</v>
      </c>
      <c r="X21" s="165">
        <v>1.3469999999999999E-2</v>
      </c>
      <c r="Y21" s="166">
        <v>1.7065899135905015E-2</v>
      </c>
      <c r="Z21" s="166">
        <v>2.4043737833579007E-3</v>
      </c>
      <c r="AA21" s="168">
        <f t="shared" si="0"/>
        <v>0</v>
      </c>
    </row>
    <row r="22" spans="1:27" x14ac:dyDescent="0.2">
      <c r="A22" s="142" t="s">
        <v>1204</v>
      </c>
      <c r="B22" s="142" t="s">
        <v>1204</v>
      </c>
      <c r="C22" s="136" t="s">
        <v>2655</v>
      </c>
      <c r="D22" s="142">
        <v>550274542</v>
      </c>
      <c r="E22" s="142" t="s">
        <v>310</v>
      </c>
      <c r="F22" s="142" t="s">
        <v>2417</v>
      </c>
      <c r="G22" s="142">
        <v>18986</v>
      </c>
      <c r="H22" s="142" t="s">
        <v>312</v>
      </c>
      <c r="I22" s="142" t="s">
        <v>1005</v>
      </c>
      <c r="J22" s="142" t="s">
        <v>832</v>
      </c>
      <c r="K22" s="142" t="s">
        <v>204</v>
      </c>
      <c r="L22" s="142" t="s">
        <v>204</v>
      </c>
      <c r="M22" s="142" t="s">
        <v>204</v>
      </c>
      <c r="N22" s="142" t="s">
        <v>204</v>
      </c>
      <c r="O22" s="142" t="s">
        <v>339</v>
      </c>
      <c r="P22" s="161">
        <v>43090</v>
      </c>
      <c r="Q22" s="142" t="s">
        <v>1208</v>
      </c>
      <c r="R22" s="142" t="s">
        <v>884</v>
      </c>
      <c r="S22" s="142" t="s">
        <v>889</v>
      </c>
      <c r="T22" s="136" t="s">
        <v>2587</v>
      </c>
      <c r="U22" s="141">
        <v>1</v>
      </c>
      <c r="V22" s="163">
        <v>20888724.183940001</v>
      </c>
      <c r="W22" s="164">
        <v>20888.724183940001</v>
      </c>
      <c r="X22" s="165">
        <v>4.8768499999999999E-2</v>
      </c>
      <c r="Y22" s="166">
        <v>1.3134080155035682E-2</v>
      </c>
      <c r="Z22" s="166">
        <v>1.850429194606534E-3</v>
      </c>
      <c r="AA22" s="168">
        <f t="shared" si="0"/>
        <v>0</v>
      </c>
    </row>
    <row r="23" spans="1:27" x14ac:dyDescent="0.2">
      <c r="A23" s="142" t="s">
        <v>1204</v>
      </c>
      <c r="B23" s="142" t="s">
        <v>1204</v>
      </c>
      <c r="C23" s="136" t="s">
        <v>2656</v>
      </c>
      <c r="D23" s="142" t="s">
        <v>2608</v>
      </c>
      <c r="E23" s="142" t="s">
        <v>311</v>
      </c>
      <c r="F23" s="142" t="s">
        <v>2418</v>
      </c>
      <c r="G23" s="142">
        <v>666111125</v>
      </c>
      <c r="H23" s="142" t="s">
        <v>312</v>
      </c>
      <c r="I23" s="142" t="s">
        <v>1005</v>
      </c>
      <c r="J23" s="142" t="s">
        <v>836</v>
      </c>
      <c r="K23" s="142" t="s">
        <v>205</v>
      </c>
      <c r="L23" s="142" t="s">
        <v>253</v>
      </c>
      <c r="M23" s="136" t="s">
        <v>217</v>
      </c>
      <c r="N23" s="142" t="s">
        <v>293</v>
      </c>
      <c r="O23" s="142" t="s">
        <v>339</v>
      </c>
      <c r="P23" s="161">
        <v>44945</v>
      </c>
      <c r="Q23" s="142" t="s">
        <v>1211</v>
      </c>
      <c r="R23" s="142" t="s">
        <v>884</v>
      </c>
      <c r="S23" s="142" t="s">
        <v>889</v>
      </c>
      <c r="T23" s="136" t="s">
        <v>2581</v>
      </c>
      <c r="U23" s="141">
        <v>4.0202</v>
      </c>
      <c r="V23" s="163">
        <v>4867287.453155241</v>
      </c>
      <c r="W23" s="164">
        <v>19567.469019174699</v>
      </c>
      <c r="X23" s="165">
        <v>9.8399999999999998E-3</v>
      </c>
      <c r="Y23" s="166">
        <v>1.2303322321935262E-2</v>
      </c>
      <c r="Z23" s="166">
        <v>1.7333857069872136E-3</v>
      </c>
      <c r="AA23" s="168">
        <f t="shared" si="0"/>
        <v>0</v>
      </c>
    </row>
    <row r="24" spans="1:27" x14ac:dyDescent="0.2">
      <c r="A24" s="142" t="s">
        <v>1204</v>
      </c>
      <c r="B24" s="142" t="s">
        <v>1204</v>
      </c>
      <c r="C24" s="136" t="s">
        <v>2657</v>
      </c>
      <c r="D24" s="142">
        <v>540297884</v>
      </c>
      <c r="E24" s="142" t="s">
        <v>309</v>
      </c>
      <c r="F24" s="142" t="s">
        <v>2419</v>
      </c>
      <c r="G24" s="142">
        <v>666109459</v>
      </c>
      <c r="H24" s="142" t="s">
        <v>312</v>
      </c>
      <c r="I24" s="142" t="s">
        <v>1005</v>
      </c>
      <c r="J24" s="142" t="s">
        <v>844</v>
      </c>
      <c r="K24" s="142" t="s">
        <v>204</v>
      </c>
      <c r="L24" s="142" t="s">
        <v>204</v>
      </c>
      <c r="M24" s="142" t="s">
        <v>204</v>
      </c>
      <c r="N24" s="142" t="s">
        <v>204</v>
      </c>
      <c r="O24" s="142" t="s">
        <v>339</v>
      </c>
      <c r="P24" s="161">
        <v>44440</v>
      </c>
      <c r="Q24" s="142" t="s">
        <v>1208</v>
      </c>
      <c r="R24" s="142" t="s">
        <v>884</v>
      </c>
      <c r="S24" s="142" t="s">
        <v>889</v>
      </c>
      <c r="T24" s="136" t="s">
        <v>2581</v>
      </c>
      <c r="U24" s="141">
        <v>1</v>
      </c>
      <c r="V24" s="163">
        <v>19158963.865587</v>
      </c>
      <c r="W24" s="164">
        <v>19158.963865587</v>
      </c>
      <c r="X24" s="165">
        <v>8.2400000000000001E-2</v>
      </c>
      <c r="Y24" s="166">
        <v>1.2046468940957065E-2</v>
      </c>
      <c r="Z24" s="166">
        <v>1.6971982473946803E-3</v>
      </c>
      <c r="AA24" s="168">
        <f t="shared" si="0"/>
        <v>0</v>
      </c>
    </row>
    <row r="25" spans="1:27" x14ac:dyDescent="0.2">
      <c r="A25" s="142" t="s">
        <v>1204</v>
      </c>
      <c r="B25" s="142" t="s">
        <v>1204</v>
      </c>
      <c r="C25" s="136" t="s">
        <v>2553</v>
      </c>
      <c r="D25" s="142">
        <v>514601640</v>
      </c>
      <c r="E25" s="142" t="s">
        <v>309</v>
      </c>
      <c r="F25" s="142" t="s">
        <v>2420</v>
      </c>
      <c r="G25" s="142">
        <v>666109905</v>
      </c>
      <c r="H25" s="142" t="s">
        <v>312</v>
      </c>
      <c r="I25" s="142" t="s">
        <v>1005</v>
      </c>
      <c r="J25" s="142" t="s">
        <v>831</v>
      </c>
      <c r="K25" s="142" t="s">
        <v>205</v>
      </c>
      <c r="L25" s="142" t="s">
        <v>204</v>
      </c>
      <c r="M25" s="142" t="s">
        <v>204</v>
      </c>
      <c r="N25" s="142" t="s">
        <v>224</v>
      </c>
      <c r="O25" s="142" t="s">
        <v>339</v>
      </c>
      <c r="P25" s="161">
        <v>44587</v>
      </c>
      <c r="Q25" s="142" t="s">
        <v>1209</v>
      </c>
      <c r="R25" s="142" t="s">
        <v>884</v>
      </c>
      <c r="S25" s="142" t="s">
        <v>889</v>
      </c>
      <c r="T25" s="136" t="s">
        <v>2592</v>
      </c>
      <c r="U25" s="141">
        <v>3.7589999999999999</v>
      </c>
      <c r="V25" s="163">
        <v>4907463.8101579938</v>
      </c>
      <c r="W25" s="164">
        <v>18447.1564623839</v>
      </c>
      <c r="X25" s="165">
        <v>5.5E-2</v>
      </c>
      <c r="Y25" s="166">
        <v>1.1598909989711727E-2</v>
      </c>
      <c r="Z25" s="166">
        <v>1.6341427353286655E-3</v>
      </c>
      <c r="AA25" s="168">
        <f t="shared" si="0"/>
        <v>0</v>
      </c>
    </row>
    <row r="26" spans="1:27" x14ac:dyDescent="0.2">
      <c r="A26" s="142" t="s">
        <v>1204</v>
      </c>
      <c r="B26" s="142" t="s">
        <v>1204</v>
      </c>
      <c r="C26" s="136" t="s">
        <v>2658</v>
      </c>
      <c r="D26" s="142">
        <v>500471685</v>
      </c>
      <c r="E26" s="142" t="s">
        <v>310</v>
      </c>
      <c r="F26" s="142" t="s">
        <v>2421</v>
      </c>
      <c r="G26" s="142">
        <v>666109707</v>
      </c>
      <c r="H26" s="142" t="s">
        <v>312</v>
      </c>
      <c r="I26" s="142" t="s">
        <v>1005</v>
      </c>
      <c r="J26" s="142" t="s">
        <v>845</v>
      </c>
      <c r="K26" s="142" t="s">
        <v>204</v>
      </c>
      <c r="L26" s="142" t="s">
        <v>217</v>
      </c>
      <c r="M26" s="142" t="s">
        <v>204</v>
      </c>
      <c r="N26" s="142" t="s">
        <v>204</v>
      </c>
      <c r="O26" s="142" t="s">
        <v>339</v>
      </c>
      <c r="P26" s="161">
        <v>44530</v>
      </c>
      <c r="Q26" s="142" t="s">
        <v>1209</v>
      </c>
      <c r="R26" s="142" t="s">
        <v>884</v>
      </c>
      <c r="S26" s="142" t="s">
        <v>889</v>
      </c>
      <c r="T26" s="136" t="s">
        <v>2587</v>
      </c>
      <c r="U26" s="141">
        <v>3.7589999999999999</v>
      </c>
      <c r="V26" s="163">
        <v>4562693.8</v>
      </c>
      <c r="W26" s="164">
        <v>17151.165994200001</v>
      </c>
      <c r="X26" s="165">
        <v>0.16</v>
      </c>
      <c r="Y26" s="166">
        <v>1.0784037691173915E-2</v>
      </c>
      <c r="Z26" s="166">
        <v>1.5193373227461655E-3</v>
      </c>
      <c r="AA26" s="168">
        <f t="shared" si="0"/>
        <v>0</v>
      </c>
    </row>
    <row r="27" spans="1:27" x14ac:dyDescent="0.2">
      <c r="A27" s="142" t="s">
        <v>1204</v>
      </c>
      <c r="B27" s="142" t="s">
        <v>1204</v>
      </c>
      <c r="C27" s="136" t="s">
        <v>2536</v>
      </c>
      <c r="D27" s="142">
        <v>550262539</v>
      </c>
      <c r="E27" s="142" t="s">
        <v>309</v>
      </c>
      <c r="F27" s="142" t="s">
        <v>2422</v>
      </c>
      <c r="G27" s="142">
        <v>62005715</v>
      </c>
      <c r="H27" s="142" t="s">
        <v>312</v>
      </c>
      <c r="I27" s="142" t="s">
        <v>1005</v>
      </c>
      <c r="J27" s="142" t="s">
        <v>844</v>
      </c>
      <c r="K27" s="142" t="s">
        <v>204</v>
      </c>
      <c r="L27" s="142" t="s">
        <v>204</v>
      </c>
      <c r="M27" s="142" t="s">
        <v>204</v>
      </c>
      <c r="N27" s="142" t="s">
        <v>204</v>
      </c>
      <c r="O27" s="142" t="s">
        <v>339</v>
      </c>
      <c r="P27" s="161">
        <v>43152</v>
      </c>
      <c r="Q27" s="142" t="s">
        <v>1211</v>
      </c>
      <c r="R27" s="142" t="s">
        <v>884</v>
      </c>
      <c r="S27" s="142" t="s">
        <v>889</v>
      </c>
      <c r="T27" s="136" t="s">
        <v>2584</v>
      </c>
      <c r="U27" s="141">
        <v>4.0202</v>
      </c>
      <c r="V27" s="163">
        <v>3805080</v>
      </c>
      <c r="W27" s="164">
        <v>15297.182616</v>
      </c>
      <c r="X27" s="165">
        <v>0.1662632</v>
      </c>
      <c r="Y27" s="166">
        <v>9.6183194749266988E-3</v>
      </c>
      <c r="Z27" s="166">
        <v>1.3551020664841222E-3</v>
      </c>
      <c r="AA27" s="168">
        <f t="shared" si="0"/>
        <v>0</v>
      </c>
    </row>
    <row r="28" spans="1:27" x14ac:dyDescent="0.2">
      <c r="A28" s="142" t="s">
        <v>1204</v>
      </c>
      <c r="B28" s="142" t="s">
        <v>1204</v>
      </c>
      <c r="C28" s="136" t="s">
        <v>2522</v>
      </c>
      <c r="D28" s="142">
        <v>540310109</v>
      </c>
      <c r="E28" s="142" t="s">
        <v>310</v>
      </c>
      <c r="F28" s="142" t="s">
        <v>2423</v>
      </c>
      <c r="G28" s="142">
        <v>666109947</v>
      </c>
      <c r="H28" s="142" t="s">
        <v>312</v>
      </c>
      <c r="I28" s="142" t="s">
        <v>1005</v>
      </c>
      <c r="J28" s="142" t="s">
        <v>844</v>
      </c>
      <c r="K28" s="142" t="s">
        <v>204</v>
      </c>
      <c r="L28" s="142" t="s">
        <v>204</v>
      </c>
      <c r="M28" s="142" t="s">
        <v>204</v>
      </c>
      <c r="N28" s="142" t="s">
        <v>204</v>
      </c>
      <c r="O28" s="142" t="s">
        <v>339</v>
      </c>
      <c r="P28" s="161">
        <v>44595</v>
      </c>
      <c r="Q28" s="142" t="s">
        <v>1208</v>
      </c>
      <c r="R28" s="142" t="s">
        <v>884</v>
      </c>
      <c r="S28" s="142" t="s">
        <v>889</v>
      </c>
      <c r="T28" s="136" t="s">
        <v>2581</v>
      </c>
      <c r="U28" s="141">
        <v>1</v>
      </c>
      <c r="V28" s="163">
        <v>15220062.55744</v>
      </c>
      <c r="W28" s="164">
        <v>15220.06255744</v>
      </c>
      <c r="X28" s="165">
        <v>3.6799999999999999E-2</v>
      </c>
      <c r="Y28" s="166">
        <v>9.5698291496311566E-3</v>
      </c>
      <c r="Z28" s="166">
        <v>1.3482703803269127E-3</v>
      </c>
      <c r="AA28" s="168">
        <f t="shared" si="0"/>
        <v>0</v>
      </c>
    </row>
    <row r="29" spans="1:27" x14ac:dyDescent="0.2">
      <c r="A29" s="142" t="s">
        <v>1204</v>
      </c>
      <c r="B29" s="142" t="s">
        <v>1204</v>
      </c>
      <c r="C29" s="136" t="s">
        <v>2659</v>
      </c>
      <c r="D29" s="142" t="s">
        <v>2616</v>
      </c>
      <c r="E29" s="142" t="s">
        <v>311</v>
      </c>
      <c r="F29" s="142" t="s">
        <v>2424</v>
      </c>
      <c r="G29" s="142">
        <v>666111695</v>
      </c>
      <c r="H29" s="142" t="s">
        <v>312</v>
      </c>
      <c r="I29" s="142" t="s">
        <v>1005</v>
      </c>
      <c r="J29" s="142" t="s">
        <v>831</v>
      </c>
      <c r="K29" s="142" t="s">
        <v>205</v>
      </c>
      <c r="L29" s="142" t="s">
        <v>217</v>
      </c>
      <c r="M29" s="136" t="s">
        <v>224</v>
      </c>
      <c r="N29" s="142" t="s">
        <v>232</v>
      </c>
      <c r="O29" s="142" t="s">
        <v>339</v>
      </c>
      <c r="P29" s="161">
        <v>45197</v>
      </c>
      <c r="Q29" s="142" t="s">
        <v>1209</v>
      </c>
      <c r="R29" s="142" t="s">
        <v>884</v>
      </c>
      <c r="S29" s="142" t="s">
        <v>889</v>
      </c>
      <c r="T29" s="136" t="s">
        <v>2587</v>
      </c>
      <c r="U29" s="141">
        <v>3.7589999999999999</v>
      </c>
      <c r="V29" s="163">
        <v>3501395.8192511308</v>
      </c>
      <c r="W29" s="164">
        <v>13161.746884565</v>
      </c>
      <c r="X29" s="165">
        <v>1.2302E-2</v>
      </c>
      <c r="Y29" s="166">
        <v>8.2756341191519266E-3</v>
      </c>
      <c r="Z29" s="166">
        <v>1.1659343324541369E-3</v>
      </c>
      <c r="AA29" s="168">
        <f t="shared" si="0"/>
        <v>0</v>
      </c>
    </row>
    <row r="30" spans="1:27" x14ac:dyDescent="0.2">
      <c r="A30" s="142" t="s">
        <v>1204</v>
      </c>
      <c r="B30" s="142" t="s">
        <v>1204</v>
      </c>
      <c r="C30" s="136" t="s">
        <v>2660</v>
      </c>
      <c r="D30" s="142">
        <v>514607670</v>
      </c>
      <c r="E30" s="142" t="s">
        <v>309</v>
      </c>
      <c r="F30" s="142" t="s">
        <v>2425</v>
      </c>
      <c r="G30" s="142">
        <v>32698</v>
      </c>
      <c r="H30" s="142" t="s">
        <v>312</v>
      </c>
      <c r="I30" s="142" t="s">
        <v>1005</v>
      </c>
      <c r="J30" s="142" t="s">
        <v>569</v>
      </c>
      <c r="K30" s="142" t="s">
        <v>204</v>
      </c>
      <c r="L30" s="142" t="s">
        <v>204</v>
      </c>
      <c r="M30" s="142" t="s">
        <v>204</v>
      </c>
      <c r="N30" s="142" t="s">
        <v>204</v>
      </c>
      <c r="O30" s="142" t="s">
        <v>339</v>
      </c>
      <c r="P30" s="161">
        <v>40707</v>
      </c>
      <c r="Q30" s="142" t="s">
        <v>1208</v>
      </c>
      <c r="R30" s="142" t="s">
        <v>884</v>
      </c>
      <c r="S30" s="142" t="s">
        <v>889</v>
      </c>
      <c r="T30" s="136" t="s">
        <v>2584</v>
      </c>
      <c r="U30" s="141">
        <v>1</v>
      </c>
      <c r="V30" s="163">
        <v>8806170.8448840007</v>
      </c>
      <c r="W30" s="164">
        <v>8806.170844884</v>
      </c>
      <c r="X30" s="165">
        <v>8.4839999999999999E-2</v>
      </c>
      <c r="Y30" s="166">
        <v>5.5370042094083005E-3</v>
      </c>
      <c r="Z30" s="166">
        <v>7.800953031202629E-4</v>
      </c>
      <c r="AA30" s="168">
        <f t="shared" si="0"/>
        <v>0</v>
      </c>
    </row>
    <row r="31" spans="1:27" x14ac:dyDescent="0.2">
      <c r="A31" s="142" t="s">
        <v>1204</v>
      </c>
      <c r="B31" s="142" t="s">
        <v>1204</v>
      </c>
      <c r="C31" s="136" t="s">
        <v>2661</v>
      </c>
      <c r="D31" s="142">
        <v>530278654</v>
      </c>
      <c r="E31" s="142" t="s">
        <v>310</v>
      </c>
      <c r="F31" s="142" t="s">
        <v>2426</v>
      </c>
      <c r="G31" s="142">
        <v>666111752</v>
      </c>
      <c r="H31" s="142" t="s">
        <v>312</v>
      </c>
      <c r="I31" s="142" t="s">
        <v>1005</v>
      </c>
      <c r="J31" s="142" t="s">
        <v>840</v>
      </c>
      <c r="K31" s="142" t="s">
        <v>205</v>
      </c>
      <c r="L31" s="142" t="s">
        <v>217</v>
      </c>
      <c r="M31" s="142" t="s">
        <v>204</v>
      </c>
      <c r="N31" s="142" t="s">
        <v>224</v>
      </c>
      <c r="O31" s="142" t="s">
        <v>339</v>
      </c>
      <c r="P31" s="161">
        <v>45221</v>
      </c>
      <c r="Q31" s="142" t="s">
        <v>1209</v>
      </c>
      <c r="R31" s="142" t="s">
        <v>884</v>
      </c>
      <c r="S31" s="142" t="s">
        <v>889</v>
      </c>
      <c r="T31" s="136" t="s">
        <v>2584</v>
      </c>
      <c r="U31" s="162">
        <v>3.7589999999999999</v>
      </c>
      <c r="V31" s="163">
        <v>2274853.4999999995</v>
      </c>
      <c r="W31" s="164">
        <v>8551.1743064999991</v>
      </c>
      <c r="X31" s="165">
        <v>1.9699999999999999E-2</v>
      </c>
      <c r="Y31" s="166">
        <v>5.3766715368668613E-3</v>
      </c>
      <c r="Z31" s="166">
        <v>7.5750641569016623E-4</v>
      </c>
      <c r="AA31" s="168">
        <f t="shared" si="0"/>
        <v>0</v>
      </c>
    </row>
    <row r="32" spans="1:27" x14ac:dyDescent="0.2">
      <c r="A32" s="142" t="s">
        <v>1204</v>
      </c>
      <c r="B32" s="142" t="s">
        <v>1204</v>
      </c>
      <c r="C32" s="136" t="s">
        <v>2662</v>
      </c>
      <c r="D32" s="142" t="s">
        <v>2612</v>
      </c>
      <c r="E32" s="142" t="s">
        <v>2621</v>
      </c>
      <c r="F32" s="142" t="s">
        <v>2427</v>
      </c>
      <c r="G32" s="142">
        <v>666109889</v>
      </c>
      <c r="H32" s="142" t="s">
        <v>312</v>
      </c>
      <c r="I32" s="142" t="s">
        <v>1005</v>
      </c>
      <c r="J32" s="142" t="s">
        <v>844</v>
      </c>
      <c r="K32" s="142" t="s">
        <v>205</v>
      </c>
      <c r="L32" s="142" t="s">
        <v>217</v>
      </c>
      <c r="M32" s="136" t="s">
        <v>224</v>
      </c>
      <c r="N32" s="142" t="s">
        <v>224</v>
      </c>
      <c r="O32" s="142" t="s">
        <v>339</v>
      </c>
      <c r="P32" s="161">
        <v>44581</v>
      </c>
      <c r="Q32" s="142" t="s">
        <v>1209</v>
      </c>
      <c r="R32" s="142" t="s">
        <v>884</v>
      </c>
      <c r="S32" s="142" t="s">
        <v>889</v>
      </c>
      <c r="T32" s="136" t="s">
        <v>2581</v>
      </c>
      <c r="U32" s="162">
        <v>3.7589999999999999</v>
      </c>
      <c r="V32" s="163">
        <v>2274374.4526819503</v>
      </c>
      <c r="W32" s="164">
        <v>8549.37356763145</v>
      </c>
      <c r="X32" s="165">
        <v>3.2300000000000002E-2</v>
      </c>
      <c r="Y32" s="166">
        <v>5.3755392968875522E-3</v>
      </c>
      <c r="Z32" s="166">
        <v>7.5734689710277498E-4</v>
      </c>
      <c r="AA32" s="168">
        <f t="shared" si="0"/>
        <v>0</v>
      </c>
    </row>
    <row r="33" spans="1:27" x14ac:dyDescent="0.2">
      <c r="A33" s="142" t="s">
        <v>1204</v>
      </c>
      <c r="B33" s="142" t="s">
        <v>1204</v>
      </c>
      <c r="C33" s="136" t="s">
        <v>2663</v>
      </c>
      <c r="D33" s="142" t="s">
        <v>2615</v>
      </c>
      <c r="E33" s="142" t="s">
        <v>311</v>
      </c>
      <c r="F33" s="142" t="s">
        <v>2428</v>
      </c>
      <c r="G33" s="142">
        <v>666111430</v>
      </c>
      <c r="H33" s="142" t="s">
        <v>312</v>
      </c>
      <c r="I33" s="142" t="s">
        <v>1005</v>
      </c>
      <c r="J33" s="142" t="s">
        <v>836</v>
      </c>
      <c r="K33" s="142" t="s">
        <v>205</v>
      </c>
      <c r="L33" s="142" t="s">
        <v>224</v>
      </c>
      <c r="M33" s="136" t="s">
        <v>224</v>
      </c>
      <c r="N33" s="142" t="s">
        <v>224</v>
      </c>
      <c r="O33" s="142" t="s">
        <v>339</v>
      </c>
      <c r="P33" s="161">
        <v>45139</v>
      </c>
      <c r="Q33" s="142" t="s">
        <v>1209</v>
      </c>
      <c r="R33" s="142" t="s">
        <v>884</v>
      </c>
      <c r="S33" s="142" t="s">
        <v>889</v>
      </c>
      <c r="T33" s="136" t="s">
        <v>2584</v>
      </c>
      <c r="U33" s="162">
        <v>3.7589999999999999</v>
      </c>
      <c r="V33" s="163">
        <v>2255118.3260159991</v>
      </c>
      <c r="W33" s="164">
        <v>8476.9897874941398</v>
      </c>
      <c r="X33" s="165">
        <v>3.3E-4</v>
      </c>
      <c r="Y33" s="166">
        <v>5.3300269734983217E-3</v>
      </c>
      <c r="Z33" s="166">
        <v>7.5093477452398019E-4</v>
      </c>
      <c r="AA33" s="168">
        <f t="shared" si="0"/>
        <v>0</v>
      </c>
    </row>
    <row r="34" spans="1:27" x14ac:dyDescent="0.2">
      <c r="A34" s="142" t="s">
        <v>1204</v>
      </c>
      <c r="B34" s="142" t="s">
        <v>1204</v>
      </c>
      <c r="C34" s="136" t="s">
        <v>2664</v>
      </c>
      <c r="D34" s="142" t="s">
        <v>2429</v>
      </c>
      <c r="E34" s="142" t="s">
        <v>309</v>
      </c>
      <c r="F34" s="142" t="s">
        <v>2430</v>
      </c>
      <c r="G34" s="142">
        <v>603054487</v>
      </c>
      <c r="H34" s="142" t="s">
        <v>312</v>
      </c>
      <c r="I34" s="142" t="s">
        <v>1005</v>
      </c>
      <c r="J34" s="142" t="s">
        <v>832</v>
      </c>
      <c r="K34" s="142" t="s">
        <v>204</v>
      </c>
      <c r="L34" s="142" t="s">
        <v>204</v>
      </c>
      <c r="M34" s="142" t="s">
        <v>204</v>
      </c>
      <c r="N34" s="142" t="s">
        <v>204</v>
      </c>
      <c r="O34" s="142" t="s">
        <v>339</v>
      </c>
      <c r="P34" s="161">
        <v>41148</v>
      </c>
      <c r="Q34" s="142" t="s">
        <v>1209</v>
      </c>
      <c r="R34" s="142" t="s">
        <v>884</v>
      </c>
      <c r="S34" s="142" t="s">
        <v>889</v>
      </c>
      <c r="T34" s="136" t="s">
        <v>2587</v>
      </c>
      <c r="U34" s="162">
        <v>3.7589999999999999</v>
      </c>
      <c r="V34" s="163">
        <v>1943000.4329440009</v>
      </c>
      <c r="W34" s="164">
        <v>7303.7386274364999</v>
      </c>
      <c r="X34" s="165">
        <v>1.15E-2</v>
      </c>
      <c r="Y34" s="166">
        <v>4.5923287472929572E-3</v>
      </c>
      <c r="Z34" s="166">
        <v>6.4700223273448222E-4</v>
      </c>
      <c r="AA34" s="168">
        <f t="shared" si="0"/>
        <v>0</v>
      </c>
    </row>
    <row r="35" spans="1:27" x14ac:dyDescent="0.2">
      <c r="A35" s="142" t="s">
        <v>1204</v>
      </c>
      <c r="B35" s="142" t="s">
        <v>1204</v>
      </c>
      <c r="C35" s="136" t="s">
        <v>2665</v>
      </c>
      <c r="D35" s="142" t="s">
        <v>2614</v>
      </c>
      <c r="E35" s="142" t="s">
        <v>313</v>
      </c>
      <c r="F35" s="142" t="s">
        <v>2431</v>
      </c>
      <c r="G35" s="142">
        <v>666111323</v>
      </c>
      <c r="H35" s="142" t="s">
        <v>312</v>
      </c>
      <c r="I35" s="142" t="s">
        <v>1005</v>
      </c>
      <c r="J35" s="142" t="s">
        <v>845</v>
      </c>
      <c r="K35" s="142" t="s">
        <v>204</v>
      </c>
      <c r="L35" s="142" t="s">
        <v>217</v>
      </c>
      <c r="M35" s="136" t="s">
        <v>224</v>
      </c>
      <c r="N35" s="142" t="s">
        <v>204</v>
      </c>
      <c r="O35" s="142" t="s">
        <v>339</v>
      </c>
      <c r="P35" s="161">
        <v>45036</v>
      </c>
      <c r="Q35" s="142" t="s">
        <v>1208</v>
      </c>
      <c r="R35" s="142" t="s">
        <v>884</v>
      </c>
      <c r="S35" s="142" t="s">
        <v>889</v>
      </c>
      <c r="T35" s="136" t="s">
        <v>2582</v>
      </c>
      <c r="U35" s="141">
        <v>1</v>
      </c>
      <c r="V35" s="163">
        <v>6749814</v>
      </c>
      <c r="W35" s="164">
        <v>6749.8140000000003</v>
      </c>
      <c r="X35" s="165">
        <v>6.2899999999999996E-3</v>
      </c>
      <c r="Y35" s="166">
        <v>4.2440408196753971E-3</v>
      </c>
      <c r="Z35" s="166">
        <v>5.9793277817161798E-4</v>
      </c>
      <c r="AA35" s="168">
        <f t="shared" si="0"/>
        <v>0</v>
      </c>
    </row>
    <row r="36" spans="1:27" x14ac:dyDescent="0.2">
      <c r="A36" s="142" t="s">
        <v>1204</v>
      </c>
      <c r="B36" s="142" t="s">
        <v>1204</v>
      </c>
      <c r="C36" s="136" t="s">
        <v>2666</v>
      </c>
      <c r="D36" s="142">
        <v>540311511</v>
      </c>
      <c r="E36" s="142" t="s">
        <v>309</v>
      </c>
      <c r="F36" s="142" t="s">
        <v>2432</v>
      </c>
      <c r="G36" s="142">
        <v>666109996</v>
      </c>
      <c r="H36" s="142" t="s">
        <v>312</v>
      </c>
      <c r="I36" s="142" t="s">
        <v>1005</v>
      </c>
      <c r="J36" s="142" t="s">
        <v>832</v>
      </c>
      <c r="K36" s="142" t="s">
        <v>204</v>
      </c>
      <c r="L36" s="142" t="s">
        <v>204</v>
      </c>
      <c r="M36" s="142" t="s">
        <v>204</v>
      </c>
      <c r="N36" s="142" t="s">
        <v>204</v>
      </c>
      <c r="O36" s="142" t="s">
        <v>339</v>
      </c>
      <c r="P36" s="161">
        <v>44627</v>
      </c>
      <c r="Q36" s="142" t="s">
        <v>1209</v>
      </c>
      <c r="R36" s="142" t="s">
        <v>884</v>
      </c>
      <c r="S36" s="142" t="s">
        <v>889</v>
      </c>
      <c r="T36" s="136" t="s">
        <v>2582</v>
      </c>
      <c r="U36" s="162">
        <v>3.7589999999999999</v>
      </c>
      <c r="V36" s="163">
        <v>1763321.9904969991</v>
      </c>
      <c r="W36" s="164">
        <v>6628.3273622782199</v>
      </c>
      <c r="X36" s="165">
        <v>7.0699999999999999E-2</v>
      </c>
      <c r="Y36" s="166">
        <v>4.1676543815400129E-3</v>
      </c>
      <c r="Z36" s="166">
        <v>5.8717087528011415E-4</v>
      </c>
      <c r="AA36" s="168">
        <f t="shared" si="0"/>
        <v>0</v>
      </c>
    </row>
    <row r="37" spans="1:27" x14ac:dyDescent="0.2">
      <c r="A37" s="142" t="s">
        <v>1204</v>
      </c>
      <c r="B37" s="142" t="s">
        <v>1204</v>
      </c>
      <c r="C37" s="136" t="s">
        <v>2667</v>
      </c>
      <c r="D37" s="142">
        <v>540312105</v>
      </c>
      <c r="E37" s="142" t="s">
        <v>309</v>
      </c>
      <c r="F37" s="142" t="s">
        <v>2433</v>
      </c>
      <c r="G37" s="142">
        <v>666111174</v>
      </c>
      <c r="H37" s="142" t="s">
        <v>312</v>
      </c>
      <c r="I37" s="142" t="s">
        <v>1005</v>
      </c>
      <c r="J37" s="142" t="s">
        <v>832</v>
      </c>
      <c r="K37" s="142" t="s">
        <v>204</v>
      </c>
      <c r="L37" s="142" t="s">
        <v>204</v>
      </c>
      <c r="M37" s="142" t="s">
        <v>204</v>
      </c>
      <c r="N37" s="142" t="s">
        <v>204</v>
      </c>
      <c r="O37" s="142" t="s">
        <v>339</v>
      </c>
      <c r="P37" s="161">
        <v>44970</v>
      </c>
      <c r="Q37" s="142" t="s">
        <v>1208</v>
      </c>
      <c r="R37" s="142" t="s">
        <v>884</v>
      </c>
      <c r="S37" s="142" t="s">
        <v>889</v>
      </c>
      <c r="T37" s="136" t="s">
        <v>2582</v>
      </c>
      <c r="U37" s="141">
        <v>1</v>
      </c>
      <c r="V37" s="163">
        <v>6277603.8866298003</v>
      </c>
      <c r="W37" s="164">
        <v>6277.6038866298004</v>
      </c>
      <c r="X37" s="165">
        <v>0.04</v>
      </c>
      <c r="Y37" s="166">
        <v>3.9471320460993144E-3</v>
      </c>
      <c r="Z37" s="166">
        <v>5.5610200995071912E-4</v>
      </c>
      <c r="AA37" s="168">
        <f t="shared" si="0"/>
        <v>0</v>
      </c>
    </row>
    <row r="38" spans="1:27" x14ac:dyDescent="0.2">
      <c r="A38" s="142" t="s">
        <v>1204</v>
      </c>
      <c r="B38" s="142" t="s">
        <v>1204</v>
      </c>
      <c r="C38" s="136" t="s">
        <v>2653</v>
      </c>
      <c r="D38" s="142">
        <v>5291135631</v>
      </c>
      <c r="E38" s="142" t="s">
        <v>311</v>
      </c>
      <c r="F38" s="142" t="s">
        <v>2434</v>
      </c>
      <c r="G38" s="142">
        <v>62002339</v>
      </c>
      <c r="H38" s="142" t="s">
        <v>312</v>
      </c>
      <c r="I38" s="142" t="s">
        <v>1005</v>
      </c>
      <c r="J38" s="142" t="s">
        <v>840</v>
      </c>
      <c r="K38" s="142" t="s">
        <v>205</v>
      </c>
      <c r="L38" s="142" t="s">
        <v>217</v>
      </c>
      <c r="M38" s="136" t="s">
        <v>224</v>
      </c>
      <c r="N38" s="142" t="s">
        <v>224</v>
      </c>
      <c r="O38" s="142" t="s">
        <v>339</v>
      </c>
      <c r="P38" s="161">
        <v>42926</v>
      </c>
      <c r="Q38" s="142" t="s">
        <v>1209</v>
      </c>
      <c r="R38" s="142" t="s">
        <v>884</v>
      </c>
      <c r="S38" s="142" t="s">
        <v>889</v>
      </c>
      <c r="T38" s="136" t="s">
        <v>2582</v>
      </c>
      <c r="U38" s="162">
        <v>3.7589999999999999</v>
      </c>
      <c r="V38" s="163">
        <v>1587767.8755320006</v>
      </c>
      <c r="W38" s="164">
        <v>5968.4194441247901</v>
      </c>
      <c r="X38" s="165">
        <v>2.5807799999999999E-2</v>
      </c>
      <c r="Y38" s="166">
        <v>3.7527279640312979E-3</v>
      </c>
      <c r="Z38" s="166">
        <v>5.2871288298004051E-4</v>
      </c>
      <c r="AA38" s="168">
        <f t="shared" si="0"/>
        <v>0</v>
      </c>
    </row>
    <row r="39" spans="1:27" x14ac:dyDescent="0.2">
      <c r="A39" s="142" t="s">
        <v>1204</v>
      </c>
      <c r="B39" s="142" t="s">
        <v>1204</v>
      </c>
      <c r="C39" s="136" t="s">
        <v>2522</v>
      </c>
      <c r="D39" s="142">
        <v>515366425</v>
      </c>
      <c r="E39" s="142" t="s">
        <v>310</v>
      </c>
      <c r="F39" s="142" t="s">
        <v>2435</v>
      </c>
      <c r="G39" s="142">
        <v>47803</v>
      </c>
      <c r="H39" s="142" t="s">
        <v>312</v>
      </c>
      <c r="I39" s="142" t="s">
        <v>1005</v>
      </c>
      <c r="J39" s="142" t="s">
        <v>844</v>
      </c>
      <c r="K39" s="142" t="s">
        <v>204</v>
      </c>
      <c r="L39" s="142" t="s">
        <v>204</v>
      </c>
      <c r="M39" s="142" t="s">
        <v>204</v>
      </c>
      <c r="N39" s="142" t="s">
        <v>204</v>
      </c>
      <c r="O39" s="142" t="s">
        <v>339</v>
      </c>
      <c r="P39" s="161">
        <v>42884</v>
      </c>
      <c r="Q39" s="142" t="s">
        <v>1208</v>
      </c>
      <c r="R39" s="142" t="s">
        <v>884</v>
      </c>
      <c r="S39" s="142" t="s">
        <v>889</v>
      </c>
      <c r="T39" s="136" t="s">
        <v>2584</v>
      </c>
      <c r="U39" s="141">
        <v>1</v>
      </c>
      <c r="V39" s="163">
        <v>5357091.9007959999</v>
      </c>
      <c r="W39" s="164">
        <v>5357.0919007960001</v>
      </c>
      <c r="X39" s="165">
        <v>4.2599999999999999E-2</v>
      </c>
      <c r="Y39" s="166">
        <v>3.3683471428591497E-3</v>
      </c>
      <c r="Z39" s="166">
        <v>4.7455838681830729E-4</v>
      </c>
      <c r="AA39" s="168">
        <f t="shared" si="0"/>
        <v>0</v>
      </c>
    </row>
    <row r="40" spans="1:27" x14ac:dyDescent="0.2">
      <c r="A40" s="142" t="s">
        <v>1204</v>
      </c>
      <c r="B40" s="142" t="s">
        <v>1204</v>
      </c>
      <c r="C40" s="136" t="s">
        <v>2436</v>
      </c>
      <c r="D40" s="142" t="s">
        <v>2618</v>
      </c>
      <c r="E40" s="142" t="s">
        <v>311</v>
      </c>
      <c r="F40" s="142" t="s">
        <v>2436</v>
      </c>
      <c r="G40" s="142">
        <v>666111992</v>
      </c>
      <c r="H40" s="142" t="s">
        <v>312</v>
      </c>
      <c r="I40" s="142" t="s">
        <v>1005</v>
      </c>
      <c r="J40" s="142" t="s">
        <v>836</v>
      </c>
      <c r="K40" s="142" t="s">
        <v>205</v>
      </c>
      <c r="L40" s="142" t="s">
        <v>217</v>
      </c>
      <c r="M40" s="136" t="s">
        <v>224</v>
      </c>
      <c r="N40" s="142" t="s">
        <v>224</v>
      </c>
      <c r="O40" s="142" t="s">
        <v>339</v>
      </c>
      <c r="P40" s="161">
        <v>45330</v>
      </c>
      <c r="Q40" s="142" t="s">
        <v>1209</v>
      </c>
      <c r="R40" s="142" t="s">
        <v>884</v>
      </c>
      <c r="S40" s="142" t="s">
        <v>889</v>
      </c>
      <c r="T40" s="136" t="s">
        <v>2587</v>
      </c>
      <c r="U40" s="162">
        <v>3.7589999999999999</v>
      </c>
      <c r="V40" s="163">
        <v>1416816.9863279995</v>
      </c>
      <c r="W40" s="164">
        <v>5325.81505160695</v>
      </c>
      <c r="X40" s="165">
        <v>1E-4</v>
      </c>
      <c r="Y40" s="166">
        <v>3.3486813824886918E-3</v>
      </c>
      <c r="Z40" s="166">
        <v>4.7178772479294429E-4</v>
      </c>
      <c r="AA40" s="168">
        <f t="shared" si="0"/>
        <v>0</v>
      </c>
    </row>
    <row r="41" spans="1:27" x14ac:dyDescent="0.2">
      <c r="A41" s="142" t="s">
        <v>1204</v>
      </c>
      <c r="B41" s="142" t="s">
        <v>1204</v>
      </c>
      <c r="C41" s="136" t="s">
        <v>2561</v>
      </c>
      <c r="D41" s="142">
        <v>540301728</v>
      </c>
      <c r="E41" s="142" t="s">
        <v>309</v>
      </c>
      <c r="F41" s="142" t="s">
        <v>2437</v>
      </c>
      <c r="G41" s="142">
        <v>666109939</v>
      </c>
      <c r="H41" s="142" t="s">
        <v>312</v>
      </c>
      <c r="I41" s="142" t="s">
        <v>1005</v>
      </c>
      <c r="J41" s="142" t="s">
        <v>844</v>
      </c>
      <c r="K41" s="142" t="s">
        <v>204</v>
      </c>
      <c r="L41" s="142" t="s">
        <v>204</v>
      </c>
      <c r="M41" s="142" t="s">
        <v>204</v>
      </c>
      <c r="N41" s="142" t="s">
        <v>204</v>
      </c>
      <c r="O41" s="142" t="s">
        <v>339</v>
      </c>
      <c r="P41" s="161">
        <v>44594</v>
      </c>
      <c r="Q41" s="142" t="s">
        <v>1208</v>
      </c>
      <c r="R41" s="142" t="s">
        <v>884</v>
      </c>
      <c r="S41" s="142" t="s">
        <v>889</v>
      </c>
      <c r="T41" s="136" t="s">
        <v>2593</v>
      </c>
      <c r="U41" s="141">
        <v>1</v>
      </c>
      <c r="V41" s="163">
        <v>5173324.8862410001</v>
      </c>
      <c r="W41" s="164">
        <v>5173.3248862410001</v>
      </c>
      <c r="X41" s="165">
        <v>0.06</v>
      </c>
      <c r="Y41" s="166">
        <v>3.2528010387618657E-3</v>
      </c>
      <c r="Z41" s="166">
        <v>4.5827937208557906E-4</v>
      </c>
      <c r="AA41" s="168">
        <f t="shared" si="0"/>
        <v>0</v>
      </c>
    </row>
    <row r="42" spans="1:27" x14ac:dyDescent="0.2">
      <c r="A42" s="142" t="s">
        <v>1204</v>
      </c>
      <c r="B42" s="142" t="s">
        <v>1204</v>
      </c>
      <c r="C42" s="136" t="s">
        <v>2580</v>
      </c>
      <c r="D42" s="142">
        <v>500468459</v>
      </c>
      <c r="E42" s="142" t="s">
        <v>309</v>
      </c>
      <c r="F42" s="142" t="s">
        <v>2438</v>
      </c>
      <c r="G42" s="142">
        <v>666110028</v>
      </c>
      <c r="H42" s="142" t="s">
        <v>312</v>
      </c>
      <c r="I42" s="142" t="s">
        <v>1005</v>
      </c>
      <c r="J42" s="142" t="s">
        <v>840</v>
      </c>
      <c r="K42" s="142" t="s">
        <v>204</v>
      </c>
      <c r="L42" s="142" t="s">
        <v>217</v>
      </c>
      <c r="M42" s="136" t="s">
        <v>217</v>
      </c>
      <c r="N42" s="142" t="s">
        <v>204</v>
      </c>
      <c r="O42" s="142" t="s">
        <v>339</v>
      </c>
      <c r="P42" s="161">
        <v>44635</v>
      </c>
      <c r="Q42" s="142" t="s">
        <v>1209</v>
      </c>
      <c r="R42" s="142" t="s">
        <v>884</v>
      </c>
      <c r="S42" s="142" t="s">
        <v>889</v>
      </c>
      <c r="T42" s="136" t="s">
        <v>2587</v>
      </c>
      <c r="U42" s="162">
        <v>3.7589999999999999</v>
      </c>
      <c r="V42" s="163">
        <v>1276415.6331759992</v>
      </c>
      <c r="W42" s="164">
        <v>4798.0463651085802</v>
      </c>
      <c r="X42" s="165">
        <v>5.9299999999999999E-2</v>
      </c>
      <c r="Y42" s="166">
        <v>3.0168393719020967E-3</v>
      </c>
      <c r="Z42" s="166">
        <v>4.250352962149189E-4</v>
      </c>
      <c r="AA42" s="168">
        <f t="shared" si="0"/>
        <v>0</v>
      </c>
    </row>
    <row r="43" spans="1:27" x14ac:dyDescent="0.2">
      <c r="A43" s="142" t="s">
        <v>1204</v>
      </c>
      <c r="B43" s="142" t="s">
        <v>1204</v>
      </c>
      <c r="C43" s="136" t="s">
        <v>2668</v>
      </c>
      <c r="D43" s="142">
        <v>500469614</v>
      </c>
      <c r="E43" s="142" t="s">
        <v>310</v>
      </c>
      <c r="F43" s="142" t="s">
        <v>2439</v>
      </c>
      <c r="G43" s="142">
        <v>666109962</v>
      </c>
      <c r="H43" s="142" t="s">
        <v>312</v>
      </c>
      <c r="I43" s="142" t="s">
        <v>1005</v>
      </c>
      <c r="J43" s="142" t="s">
        <v>832</v>
      </c>
      <c r="K43" s="142" t="s">
        <v>204</v>
      </c>
      <c r="L43" s="142" t="s">
        <v>217</v>
      </c>
      <c r="M43" s="142" t="s">
        <v>204</v>
      </c>
      <c r="N43" s="142" t="s">
        <v>204</v>
      </c>
      <c r="O43" s="142" t="s">
        <v>339</v>
      </c>
      <c r="P43" s="161">
        <v>44600</v>
      </c>
      <c r="Q43" s="142" t="s">
        <v>1209</v>
      </c>
      <c r="R43" s="142" t="s">
        <v>884</v>
      </c>
      <c r="S43" s="142" t="s">
        <v>889</v>
      </c>
      <c r="T43" s="136" t="s">
        <v>2581</v>
      </c>
      <c r="U43" s="162">
        <v>3.7589999999999999</v>
      </c>
      <c r="V43" s="163">
        <v>1260187.2500000002</v>
      </c>
      <c r="W43" s="164">
        <v>4737.0438727500004</v>
      </c>
      <c r="X43" s="165">
        <v>4.0800000000000003E-2</v>
      </c>
      <c r="Y43" s="166">
        <v>2.9784831938397456E-3</v>
      </c>
      <c r="Z43" s="166">
        <v>4.1963138586548427E-4</v>
      </c>
      <c r="AA43" s="168">
        <f t="shared" si="0"/>
        <v>0</v>
      </c>
    </row>
    <row r="44" spans="1:27" x14ac:dyDescent="0.2">
      <c r="A44" s="142" t="s">
        <v>1204</v>
      </c>
      <c r="B44" s="142" t="s">
        <v>1204</v>
      </c>
      <c r="C44" s="136" t="s">
        <v>2653</v>
      </c>
      <c r="D44" s="142" t="s">
        <v>2620</v>
      </c>
      <c r="E44" s="142" t="s">
        <v>311</v>
      </c>
      <c r="F44" s="142" t="s">
        <v>2440</v>
      </c>
      <c r="G44" s="142">
        <v>666112131</v>
      </c>
      <c r="H44" s="142" t="s">
        <v>312</v>
      </c>
      <c r="I44" s="142" t="s">
        <v>1005</v>
      </c>
      <c r="J44" s="142" t="s">
        <v>836</v>
      </c>
      <c r="K44" s="142" t="s">
        <v>205</v>
      </c>
      <c r="L44" s="142" t="s">
        <v>217</v>
      </c>
      <c r="M44" s="136" t="s">
        <v>224</v>
      </c>
      <c r="N44" s="142" t="s">
        <v>224</v>
      </c>
      <c r="O44" s="142" t="s">
        <v>339</v>
      </c>
      <c r="P44" s="161">
        <v>45365</v>
      </c>
      <c r="Q44" s="142" t="s">
        <v>1209</v>
      </c>
      <c r="R44" s="142" t="s">
        <v>884</v>
      </c>
      <c r="S44" s="142" t="s">
        <v>889</v>
      </c>
      <c r="T44" s="136" t="s">
        <v>2582</v>
      </c>
      <c r="U44" s="162">
        <v>3.7589999999999999</v>
      </c>
      <c r="V44" s="163">
        <v>1218354.5322</v>
      </c>
      <c r="W44" s="164">
        <v>4579.7946865397998</v>
      </c>
      <c r="X44" s="165">
        <v>7.1999999999999998E-3</v>
      </c>
      <c r="Y44" s="166">
        <v>2.8796105485880651E-3</v>
      </c>
      <c r="Z44" s="166">
        <v>4.0570145494058901E-4</v>
      </c>
      <c r="AA44" s="168">
        <f t="shared" si="0"/>
        <v>0</v>
      </c>
    </row>
    <row r="45" spans="1:27" x14ac:dyDescent="0.2">
      <c r="A45" s="142" t="s">
        <v>1204</v>
      </c>
      <c r="B45" s="142" t="s">
        <v>1204</v>
      </c>
      <c r="C45" s="136" t="s">
        <v>2522</v>
      </c>
      <c r="D45" s="142">
        <v>515366425</v>
      </c>
      <c r="E45" s="142" t="s">
        <v>310</v>
      </c>
      <c r="F45" s="142" t="s">
        <v>2441</v>
      </c>
      <c r="G45" s="142">
        <v>45963</v>
      </c>
      <c r="H45" s="142" t="s">
        <v>312</v>
      </c>
      <c r="I45" s="142" t="s">
        <v>1005</v>
      </c>
      <c r="J45" s="142" t="s">
        <v>844</v>
      </c>
      <c r="K45" s="142" t="s">
        <v>204</v>
      </c>
      <c r="L45" s="142" t="s">
        <v>204</v>
      </c>
      <c r="M45" s="142" t="s">
        <v>204</v>
      </c>
      <c r="N45" s="142" t="s">
        <v>204</v>
      </c>
      <c r="O45" s="142" t="s">
        <v>339</v>
      </c>
      <c r="P45" s="161">
        <v>42983</v>
      </c>
      <c r="Q45" s="142" t="s">
        <v>1208</v>
      </c>
      <c r="R45" s="142" t="s">
        <v>884</v>
      </c>
      <c r="S45" s="142" t="s">
        <v>889</v>
      </c>
      <c r="T45" s="136" t="s">
        <v>2584</v>
      </c>
      <c r="U45" s="141">
        <v>1</v>
      </c>
      <c r="V45" s="163">
        <v>4296618.3271279996</v>
      </c>
      <c r="W45" s="164">
        <v>4296.6183271279997</v>
      </c>
      <c r="X45" s="165">
        <v>2.7014099999999999E-2</v>
      </c>
      <c r="Y45" s="166">
        <v>2.7015594158441478E-3</v>
      </c>
      <c r="Z45" s="166">
        <v>3.8061625595649522E-4</v>
      </c>
      <c r="AA45" s="168">
        <f t="shared" si="0"/>
        <v>0</v>
      </c>
    </row>
    <row r="46" spans="1:27" x14ac:dyDescent="0.2">
      <c r="A46" s="142" t="s">
        <v>1204</v>
      </c>
      <c r="B46" s="142" t="s">
        <v>1204</v>
      </c>
      <c r="C46" s="136" t="s">
        <v>2669</v>
      </c>
      <c r="D46" s="142">
        <v>515459063</v>
      </c>
      <c r="E46" s="142" t="s">
        <v>310</v>
      </c>
      <c r="F46" s="142" t="s">
        <v>2442</v>
      </c>
      <c r="G46" s="142">
        <v>666111802</v>
      </c>
      <c r="H46" s="142" t="s">
        <v>312</v>
      </c>
      <c r="I46" s="142" t="s">
        <v>1005</v>
      </c>
      <c r="J46" s="142" t="s">
        <v>840</v>
      </c>
      <c r="K46" s="142" t="s">
        <v>204</v>
      </c>
      <c r="L46" s="142" t="s">
        <v>217</v>
      </c>
      <c r="M46" s="142" t="s">
        <v>204</v>
      </c>
      <c r="N46" s="142" t="s">
        <v>204</v>
      </c>
      <c r="O46" s="142" t="s">
        <v>339</v>
      </c>
      <c r="P46" s="161">
        <v>45222</v>
      </c>
      <c r="Q46" s="142" t="s">
        <v>1208</v>
      </c>
      <c r="R46" s="142" t="s">
        <v>884</v>
      </c>
      <c r="S46" s="142" t="s">
        <v>889</v>
      </c>
      <c r="T46" s="136" t="s">
        <v>2594</v>
      </c>
      <c r="U46" s="141">
        <v>1</v>
      </c>
      <c r="V46" s="163">
        <v>3676203.0903360001</v>
      </c>
      <c r="W46" s="164">
        <v>3676.2030903360001</v>
      </c>
      <c r="X46" s="165">
        <v>2.2919999999999999E-2</v>
      </c>
      <c r="Y46" s="166">
        <v>2.3114645791428956E-3</v>
      </c>
      <c r="Z46" s="166">
        <v>3.256567257894354E-4</v>
      </c>
      <c r="AA46" s="168">
        <f t="shared" si="0"/>
        <v>0</v>
      </c>
    </row>
    <row r="47" spans="1:27" x14ac:dyDescent="0.2">
      <c r="A47" s="142" t="s">
        <v>1204</v>
      </c>
      <c r="B47" s="142" t="s">
        <v>1204</v>
      </c>
      <c r="C47" s="136" t="s">
        <v>2573</v>
      </c>
      <c r="D47" s="142" t="s">
        <v>2619</v>
      </c>
      <c r="E47" s="142" t="s">
        <v>311</v>
      </c>
      <c r="F47" s="142" t="s">
        <v>2443</v>
      </c>
      <c r="G47" s="142">
        <v>666112065</v>
      </c>
      <c r="H47" s="142" t="s">
        <v>312</v>
      </c>
      <c r="I47" s="142" t="s">
        <v>1005</v>
      </c>
      <c r="J47" s="142" t="s">
        <v>844</v>
      </c>
      <c r="K47" s="142" t="s">
        <v>205</v>
      </c>
      <c r="L47" s="142" t="s">
        <v>217</v>
      </c>
      <c r="M47" s="136" t="s">
        <v>224</v>
      </c>
      <c r="N47" s="142" t="s">
        <v>224</v>
      </c>
      <c r="O47" s="142" t="s">
        <v>339</v>
      </c>
      <c r="P47" s="161">
        <v>45330</v>
      </c>
      <c r="Q47" s="142" t="s">
        <v>1209</v>
      </c>
      <c r="R47" s="142" t="s">
        <v>884</v>
      </c>
      <c r="S47" s="142" t="s">
        <v>889</v>
      </c>
      <c r="T47" s="136" t="s">
        <v>2581</v>
      </c>
      <c r="U47" s="162">
        <v>3.7589999999999999</v>
      </c>
      <c r="V47" s="163">
        <v>765369.97804799944</v>
      </c>
      <c r="W47" s="164">
        <v>2877.0257474824298</v>
      </c>
      <c r="X47" s="165">
        <v>2.5669999999999998E-2</v>
      </c>
      <c r="Y47" s="166">
        <v>1.8089705451991055E-3</v>
      </c>
      <c r="Z47" s="166">
        <v>2.5486154108297579E-4</v>
      </c>
      <c r="AA47" s="168">
        <f t="shared" si="0"/>
        <v>0</v>
      </c>
    </row>
    <row r="48" spans="1:27" x14ac:dyDescent="0.2">
      <c r="A48" s="142" t="s">
        <v>1204</v>
      </c>
      <c r="B48" s="142" t="s">
        <v>1204</v>
      </c>
      <c r="C48" s="136" t="s">
        <v>2580</v>
      </c>
      <c r="D48" s="142">
        <v>500468459</v>
      </c>
      <c r="E48" s="142" t="s">
        <v>309</v>
      </c>
      <c r="F48" s="142" t="s">
        <v>2444</v>
      </c>
      <c r="G48" s="142">
        <v>666112214</v>
      </c>
      <c r="H48" s="142" t="s">
        <v>312</v>
      </c>
      <c r="I48" s="142" t="s">
        <v>1005</v>
      </c>
      <c r="J48" s="142" t="s">
        <v>840</v>
      </c>
      <c r="K48" s="142" t="s">
        <v>204</v>
      </c>
      <c r="L48" s="142" t="s">
        <v>217</v>
      </c>
      <c r="M48" s="142" t="s">
        <v>204</v>
      </c>
      <c r="N48" s="142" t="s">
        <v>204</v>
      </c>
      <c r="O48" s="142" t="s">
        <v>339</v>
      </c>
      <c r="P48" s="161">
        <v>45383</v>
      </c>
      <c r="Q48" s="142" t="s">
        <v>1209</v>
      </c>
      <c r="R48" s="142" t="s">
        <v>884</v>
      </c>
      <c r="S48" s="142" t="s">
        <v>889</v>
      </c>
      <c r="T48" s="136" t="s">
        <v>2581</v>
      </c>
      <c r="U48" s="162">
        <v>3.7589999999999999</v>
      </c>
      <c r="V48" s="163">
        <v>251573</v>
      </c>
      <c r="W48" s="164">
        <v>945.66290700000002</v>
      </c>
      <c r="X48" s="165">
        <v>3.2469999999999999E-2</v>
      </c>
      <c r="Y48" s="166">
        <v>5.9459889990463421E-4</v>
      </c>
      <c r="Z48" s="166">
        <v>8.37716193655645E-5</v>
      </c>
      <c r="AA48" s="168">
        <f t="shared" si="0"/>
        <v>0</v>
      </c>
    </row>
    <row r="49" spans="1:27" x14ac:dyDescent="0.2">
      <c r="A49" s="142" t="s">
        <v>1204</v>
      </c>
      <c r="B49" s="142" t="s">
        <v>1204</v>
      </c>
      <c r="C49" s="136" t="s">
        <v>2518</v>
      </c>
      <c r="D49" s="142" t="s">
        <v>2445</v>
      </c>
      <c r="E49" s="142" t="s">
        <v>309</v>
      </c>
      <c r="F49" s="142" t="s">
        <v>2446</v>
      </c>
      <c r="G49" s="142">
        <v>26435</v>
      </c>
      <c r="H49" s="142" t="s">
        <v>312</v>
      </c>
      <c r="I49" s="142" t="s">
        <v>1005</v>
      </c>
      <c r="J49" s="142" t="s">
        <v>836</v>
      </c>
      <c r="K49" s="142" t="s">
        <v>204</v>
      </c>
      <c r="L49" s="142" t="s">
        <v>204</v>
      </c>
      <c r="M49" s="142" t="s">
        <v>204</v>
      </c>
      <c r="N49" s="142" t="s">
        <v>204</v>
      </c>
      <c r="O49" s="142" t="s">
        <v>339</v>
      </c>
      <c r="P49" s="161">
        <v>40112</v>
      </c>
      <c r="Q49" s="142" t="s">
        <v>1208</v>
      </c>
      <c r="R49" s="142" t="s">
        <v>884</v>
      </c>
      <c r="S49" s="142" t="s">
        <v>889</v>
      </c>
      <c r="T49" s="136" t="s">
        <v>2595</v>
      </c>
      <c r="U49" s="141">
        <v>1</v>
      </c>
      <c r="V49" s="163">
        <v>258477.82999499998</v>
      </c>
      <c r="W49" s="164">
        <v>258.47782999499998</v>
      </c>
      <c r="X49" s="165">
        <v>9.5699999999999993E-2</v>
      </c>
      <c r="Y49" s="166">
        <v>1.6252158377696004E-4</v>
      </c>
      <c r="Z49" s="166">
        <v>2.2897277907907019E-5</v>
      </c>
      <c r="AA49" s="168">
        <f t="shared" si="0"/>
        <v>0</v>
      </c>
    </row>
    <row r="50" spans="1:27" x14ac:dyDescent="0.2">
      <c r="A50" s="142" t="s">
        <v>1204</v>
      </c>
      <c r="B50" s="142" t="s">
        <v>1204</v>
      </c>
      <c r="C50" s="136" t="s">
        <v>2639</v>
      </c>
      <c r="D50" s="142">
        <v>540324886</v>
      </c>
      <c r="E50" s="142" t="s">
        <v>310</v>
      </c>
      <c r="F50" s="142" t="s">
        <v>2447</v>
      </c>
      <c r="G50" s="142">
        <v>666111885</v>
      </c>
      <c r="H50" s="142" t="s">
        <v>312</v>
      </c>
      <c r="I50" s="142" t="s">
        <v>1005</v>
      </c>
      <c r="J50" s="142" t="s">
        <v>836</v>
      </c>
      <c r="K50" s="142" t="s">
        <v>204</v>
      </c>
      <c r="L50" s="142" t="s">
        <v>204</v>
      </c>
      <c r="M50" s="142" t="s">
        <v>204</v>
      </c>
      <c r="N50" s="142" t="s">
        <v>204</v>
      </c>
      <c r="O50" s="142" t="s">
        <v>339</v>
      </c>
      <c r="P50" s="161">
        <v>45257</v>
      </c>
      <c r="Q50" s="142" t="s">
        <v>1208</v>
      </c>
      <c r="R50" s="142" t="s">
        <v>884</v>
      </c>
      <c r="S50" s="142" t="s">
        <v>889</v>
      </c>
      <c r="T50" s="136" t="s">
        <v>2596</v>
      </c>
      <c r="U50" s="141">
        <v>1</v>
      </c>
      <c r="V50" s="163">
        <v>200000</v>
      </c>
      <c r="W50" s="164">
        <v>200</v>
      </c>
      <c r="X50" s="165">
        <v>1.24E-2</v>
      </c>
      <c r="Y50" s="166">
        <v>1.2575282280890694E-4</v>
      </c>
      <c r="Z50" s="166">
        <v>1.771701496283062E-5</v>
      </c>
      <c r="AA50" s="168">
        <f t="shared" si="0"/>
        <v>0</v>
      </c>
    </row>
    <row r="51" spans="1:27" x14ac:dyDescent="0.2">
      <c r="A51" s="142" t="s">
        <v>1204</v>
      </c>
      <c r="B51" s="142" t="s">
        <v>1204</v>
      </c>
      <c r="C51" s="136" t="s">
        <v>2670</v>
      </c>
      <c r="D51" s="142" t="s">
        <v>2448</v>
      </c>
      <c r="E51" s="142" t="s">
        <v>309</v>
      </c>
      <c r="F51" s="142" t="s">
        <v>2449</v>
      </c>
      <c r="G51" s="142">
        <v>33000</v>
      </c>
      <c r="H51" s="142" t="s">
        <v>312</v>
      </c>
      <c r="I51" s="142" t="s">
        <v>1005</v>
      </c>
      <c r="J51" s="142" t="s">
        <v>569</v>
      </c>
      <c r="K51" s="142" t="s">
        <v>204</v>
      </c>
      <c r="L51" s="142" t="s">
        <v>204</v>
      </c>
      <c r="M51" s="142" t="s">
        <v>204</v>
      </c>
      <c r="N51" s="142" t="s">
        <v>204</v>
      </c>
      <c r="O51" s="142" t="s">
        <v>339</v>
      </c>
      <c r="P51" s="161">
        <v>40906</v>
      </c>
      <c r="Q51" s="142" t="s">
        <v>1208</v>
      </c>
      <c r="R51" s="142" t="s">
        <v>884</v>
      </c>
      <c r="S51" s="142" t="s">
        <v>889</v>
      </c>
      <c r="T51" s="136" t="s">
        <v>2581</v>
      </c>
      <c r="U51" s="141">
        <v>1</v>
      </c>
      <c r="V51" s="163">
        <v>157939.34578</v>
      </c>
      <c r="W51" s="164">
        <v>157.93934578</v>
      </c>
      <c r="X51" s="165">
        <v>2.564E-2</v>
      </c>
      <c r="Y51" s="166">
        <v>9.9306592822135132E-5</v>
      </c>
      <c r="Z51" s="166">
        <v>1.3991068762019696E-5</v>
      </c>
      <c r="AA51" s="168">
        <f t="shared" si="0"/>
        <v>0</v>
      </c>
    </row>
    <row r="52" spans="1:27" x14ac:dyDescent="0.2">
      <c r="A52" s="142" t="s">
        <v>1204</v>
      </c>
      <c r="B52" s="142" t="s">
        <v>1204</v>
      </c>
      <c r="C52" s="136" t="s">
        <v>2633</v>
      </c>
      <c r="D52" s="142">
        <v>500457403</v>
      </c>
      <c r="E52" s="142" t="s">
        <v>310</v>
      </c>
      <c r="F52" s="142" t="s">
        <v>2383</v>
      </c>
      <c r="G52" s="142">
        <v>62008024</v>
      </c>
      <c r="H52" s="142" t="s">
        <v>312</v>
      </c>
      <c r="I52" s="142" t="s">
        <v>1000</v>
      </c>
      <c r="J52" s="142" t="s">
        <v>844</v>
      </c>
      <c r="K52" s="142" t="s">
        <v>204</v>
      </c>
      <c r="L52" s="142" t="s">
        <v>217</v>
      </c>
      <c r="M52" s="142" t="s">
        <v>204</v>
      </c>
      <c r="N52" s="142" t="s">
        <v>204</v>
      </c>
      <c r="O52" s="142" t="s">
        <v>339</v>
      </c>
      <c r="P52" s="161">
        <v>43291</v>
      </c>
      <c r="Q52" s="142" t="s">
        <v>1209</v>
      </c>
      <c r="R52" s="142" t="s">
        <v>884</v>
      </c>
      <c r="S52" s="142" t="s">
        <v>889</v>
      </c>
      <c r="T52" s="136" t="s">
        <v>2583</v>
      </c>
      <c r="U52" s="162">
        <v>3.7589999999999999</v>
      </c>
      <c r="V52" s="163">
        <v>8618026.9000000004</v>
      </c>
      <c r="W52" s="164">
        <v>32395.163117100001</v>
      </c>
      <c r="X52" s="165">
        <v>2.86E-2</v>
      </c>
      <c r="Y52" s="166">
        <v>2.0368916036651571E-2</v>
      </c>
      <c r="Z52" s="166">
        <v>2.8697279483449966E-3</v>
      </c>
      <c r="AA52" s="168">
        <f t="shared" si="0"/>
        <v>0</v>
      </c>
    </row>
    <row r="53" spans="1:27" x14ac:dyDescent="0.2">
      <c r="A53" s="142" t="s">
        <v>1204</v>
      </c>
      <c r="B53" s="142" t="s">
        <v>1204</v>
      </c>
      <c r="C53" s="136" t="s">
        <v>2634</v>
      </c>
      <c r="D53" s="142">
        <v>103012</v>
      </c>
      <c r="E53" s="142" t="s">
        <v>311</v>
      </c>
      <c r="F53" s="142" t="s">
        <v>2384</v>
      </c>
      <c r="G53" s="142">
        <v>62016720</v>
      </c>
      <c r="H53" s="142" t="s">
        <v>312</v>
      </c>
      <c r="I53" s="142" t="s">
        <v>1000</v>
      </c>
      <c r="J53" s="142" t="s">
        <v>832</v>
      </c>
      <c r="K53" s="142" t="s">
        <v>205</v>
      </c>
      <c r="L53" s="142" t="s">
        <v>217</v>
      </c>
      <c r="M53" s="136" t="s">
        <v>224</v>
      </c>
      <c r="N53" s="142" t="s">
        <v>224</v>
      </c>
      <c r="O53" s="142" t="s">
        <v>339</v>
      </c>
      <c r="P53" s="161">
        <v>43872</v>
      </c>
      <c r="Q53" s="142" t="s">
        <v>1209</v>
      </c>
      <c r="R53" s="142" t="s">
        <v>884</v>
      </c>
      <c r="S53" s="142" t="s">
        <v>889</v>
      </c>
      <c r="T53" s="136" t="s">
        <v>2582</v>
      </c>
      <c r="U53" s="162">
        <v>3.7589999999999999</v>
      </c>
      <c r="V53" s="163">
        <v>8084122.7085899981</v>
      </c>
      <c r="W53" s="164">
        <v>30388.217261589802</v>
      </c>
      <c r="X53" s="165">
        <v>2.5000000000000001E-2</v>
      </c>
      <c r="Y53" s="166">
        <v>1.9107020503876349E-2</v>
      </c>
      <c r="Z53" s="166">
        <v>2.6919424995866712E-3</v>
      </c>
      <c r="AA53" s="168">
        <f t="shared" si="0"/>
        <v>0</v>
      </c>
    </row>
    <row r="54" spans="1:27" x14ac:dyDescent="0.2">
      <c r="A54" s="142" t="s">
        <v>1204</v>
      </c>
      <c r="B54" s="142" t="s">
        <v>1204</v>
      </c>
      <c r="C54" s="136" t="s">
        <v>2633</v>
      </c>
      <c r="D54" s="142" t="s">
        <v>2609</v>
      </c>
      <c r="E54" s="142" t="s">
        <v>311</v>
      </c>
      <c r="F54" s="142" t="s">
        <v>2385</v>
      </c>
      <c r="G54" s="142">
        <v>666108790</v>
      </c>
      <c r="H54" s="142" t="s">
        <v>312</v>
      </c>
      <c r="I54" s="142" t="s">
        <v>1000</v>
      </c>
      <c r="J54" s="142" t="s">
        <v>832</v>
      </c>
      <c r="K54" s="142" t="s">
        <v>204</v>
      </c>
      <c r="L54" s="142" t="s">
        <v>217</v>
      </c>
      <c r="M54" s="142" t="s">
        <v>204</v>
      </c>
      <c r="N54" s="142" t="s">
        <v>204</v>
      </c>
      <c r="O54" s="142" t="s">
        <v>339</v>
      </c>
      <c r="P54" s="161">
        <v>44322</v>
      </c>
      <c r="Q54" s="142" t="s">
        <v>1209</v>
      </c>
      <c r="R54" s="142" t="s">
        <v>884</v>
      </c>
      <c r="S54" s="142" t="s">
        <v>889</v>
      </c>
      <c r="T54" s="136" t="s">
        <v>2584</v>
      </c>
      <c r="U54" s="162">
        <v>3.7589999999999999</v>
      </c>
      <c r="V54" s="163">
        <v>7666617.6000000006</v>
      </c>
      <c r="W54" s="164">
        <v>28818.815558400001</v>
      </c>
      <c r="X54" s="165">
        <v>1.21E-2</v>
      </c>
      <c r="Y54" s="166">
        <v>1.812023703239023E-2</v>
      </c>
      <c r="Z54" s="166">
        <v>2.5529169322961432E-3</v>
      </c>
      <c r="AA54" s="168">
        <f t="shared" si="0"/>
        <v>0</v>
      </c>
    </row>
    <row r="55" spans="1:27" x14ac:dyDescent="0.2">
      <c r="A55" s="142" t="s">
        <v>1204</v>
      </c>
      <c r="B55" s="142" t="s">
        <v>1204</v>
      </c>
      <c r="C55" s="136" t="s">
        <v>2624</v>
      </c>
      <c r="D55" s="142" t="s">
        <v>2610</v>
      </c>
      <c r="E55" s="142" t="s">
        <v>311</v>
      </c>
      <c r="F55" s="142" t="s">
        <v>2386</v>
      </c>
      <c r="G55" s="142">
        <v>666108824</v>
      </c>
      <c r="H55" s="142" t="s">
        <v>312</v>
      </c>
      <c r="I55" s="142" t="s">
        <v>1000</v>
      </c>
      <c r="J55" s="142" t="s">
        <v>842</v>
      </c>
      <c r="K55" s="142" t="s">
        <v>204</v>
      </c>
      <c r="L55" s="142" t="s">
        <v>217</v>
      </c>
      <c r="M55" s="142" t="s">
        <v>204</v>
      </c>
      <c r="N55" s="142" t="s">
        <v>204</v>
      </c>
      <c r="O55" s="142" t="s">
        <v>339</v>
      </c>
      <c r="P55" s="161">
        <v>44341</v>
      </c>
      <c r="Q55" s="142" t="s">
        <v>1209</v>
      </c>
      <c r="R55" s="142" t="s">
        <v>884</v>
      </c>
      <c r="S55" s="142" t="s">
        <v>889</v>
      </c>
      <c r="T55" s="136" t="s">
        <v>2581</v>
      </c>
      <c r="U55" s="162">
        <v>3.7589999999999999</v>
      </c>
      <c r="V55" s="163">
        <v>5267933.8</v>
      </c>
      <c r="W55" s="164">
        <v>19802.1631542</v>
      </c>
      <c r="X55" s="165">
        <v>1.2699999999999999E-2</v>
      </c>
      <c r="Y55" s="166">
        <v>1.2450889571815893E-2</v>
      </c>
      <c r="Z55" s="166">
        <v>1.7541761044968728E-3</v>
      </c>
      <c r="AA55" s="168">
        <f t="shared" si="0"/>
        <v>0</v>
      </c>
    </row>
    <row r="56" spans="1:27" x14ac:dyDescent="0.2">
      <c r="A56" s="142" t="s">
        <v>1204</v>
      </c>
      <c r="B56" s="142" t="s">
        <v>1204</v>
      </c>
      <c r="C56" s="136" t="s">
        <v>2553</v>
      </c>
      <c r="D56" s="142">
        <v>540290988</v>
      </c>
      <c r="E56" s="142" t="s">
        <v>309</v>
      </c>
      <c r="F56" s="142" t="s">
        <v>2387</v>
      </c>
      <c r="G56" s="142">
        <v>666108543</v>
      </c>
      <c r="H56" s="142" t="s">
        <v>312</v>
      </c>
      <c r="I56" s="142" t="s">
        <v>1000</v>
      </c>
      <c r="J56" s="142" t="s">
        <v>826</v>
      </c>
      <c r="K56" s="142" t="s">
        <v>204</v>
      </c>
      <c r="L56" s="142" t="s">
        <v>204</v>
      </c>
      <c r="M56" s="142" t="s">
        <v>204</v>
      </c>
      <c r="N56" s="142" t="s">
        <v>204</v>
      </c>
      <c r="O56" s="142" t="s">
        <v>339</v>
      </c>
      <c r="P56" s="161">
        <v>44279</v>
      </c>
      <c r="Q56" s="142" t="s">
        <v>1209</v>
      </c>
      <c r="R56" s="142" t="s">
        <v>884</v>
      </c>
      <c r="S56" s="142" t="s">
        <v>889</v>
      </c>
      <c r="T56" s="136" t="s">
        <v>2583</v>
      </c>
      <c r="U56" s="162">
        <v>3.7589999999999999</v>
      </c>
      <c r="V56" s="163">
        <v>4275869.0514320033</v>
      </c>
      <c r="W56" s="164">
        <v>16072.991764332901</v>
      </c>
      <c r="X56" s="165">
        <v>4.8099999999999997E-2</v>
      </c>
      <c r="Y56" s="166">
        <v>1.010612042674588E-2</v>
      </c>
      <c r="Z56" s="166">
        <v>1.4238271779306966E-3</v>
      </c>
      <c r="AA56" s="168">
        <f t="shared" si="0"/>
        <v>0</v>
      </c>
    </row>
    <row r="57" spans="1:27" x14ac:dyDescent="0.2">
      <c r="A57" s="142" t="s">
        <v>1204</v>
      </c>
      <c r="B57" s="142" t="s">
        <v>1204</v>
      </c>
      <c r="C57" s="136" t="s">
        <v>2635</v>
      </c>
      <c r="D57" s="142">
        <v>500454707</v>
      </c>
      <c r="E57" s="142" t="s">
        <v>310</v>
      </c>
      <c r="F57" s="142" t="s">
        <v>2388</v>
      </c>
      <c r="G57" s="142">
        <v>62004783</v>
      </c>
      <c r="H57" s="142" t="s">
        <v>312</v>
      </c>
      <c r="I57" s="142" t="s">
        <v>1000</v>
      </c>
      <c r="J57" s="142" t="s">
        <v>836</v>
      </c>
      <c r="K57" s="142" t="s">
        <v>204</v>
      </c>
      <c r="L57" s="142" t="s">
        <v>217</v>
      </c>
      <c r="M57" s="142" t="s">
        <v>204</v>
      </c>
      <c r="N57" s="142" t="s">
        <v>204</v>
      </c>
      <c r="O57" s="142" t="s">
        <v>339</v>
      </c>
      <c r="P57" s="161">
        <v>43102</v>
      </c>
      <c r="Q57" s="142" t="s">
        <v>1209</v>
      </c>
      <c r="R57" s="142" t="s">
        <v>884</v>
      </c>
      <c r="S57" s="142" t="s">
        <v>889</v>
      </c>
      <c r="T57" s="136" t="s">
        <v>2585</v>
      </c>
      <c r="U57" s="162">
        <v>3.7589999999999999</v>
      </c>
      <c r="V57" s="163">
        <v>3440032.6625000001</v>
      </c>
      <c r="W57" s="164">
        <v>12931.082778337501</v>
      </c>
      <c r="X57" s="165">
        <v>0.1015022</v>
      </c>
      <c r="Y57" s="166">
        <v>8.1306008067579191E-3</v>
      </c>
      <c r="Z57" s="166">
        <v>1.145500935347034E-3</v>
      </c>
      <c r="AA57" s="168">
        <f t="shared" si="0"/>
        <v>0</v>
      </c>
    </row>
    <row r="58" spans="1:27" x14ac:dyDescent="0.2">
      <c r="A58" s="142" t="s">
        <v>1204</v>
      </c>
      <c r="B58" s="142" t="s">
        <v>1204</v>
      </c>
      <c r="C58" s="136" t="s">
        <v>2633</v>
      </c>
      <c r="D58" s="142">
        <v>540301223</v>
      </c>
      <c r="E58" s="142" t="s">
        <v>310</v>
      </c>
      <c r="F58" s="142" t="s">
        <v>2389</v>
      </c>
      <c r="G58" s="142">
        <v>666108170</v>
      </c>
      <c r="H58" s="142" t="s">
        <v>312</v>
      </c>
      <c r="I58" s="142" t="s">
        <v>1000</v>
      </c>
      <c r="J58" s="142" t="s">
        <v>836</v>
      </c>
      <c r="K58" s="142" t="s">
        <v>204</v>
      </c>
      <c r="L58" s="142" t="s">
        <v>217</v>
      </c>
      <c r="M58" s="142" t="s">
        <v>204</v>
      </c>
      <c r="N58" s="142" t="s">
        <v>204</v>
      </c>
      <c r="O58" s="142" t="s">
        <v>339</v>
      </c>
      <c r="P58" s="161">
        <v>44195</v>
      </c>
      <c r="Q58" s="142" t="s">
        <v>1209</v>
      </c>
      <c r="R58" s="142" t="s">
        <v>884</v>
      </c>
      <c r="S58" s="142" t="s">
        <v>889</v>
      </c>
      <c r="T58" s="136" t="s">
        <v>2586</v>
      </c>
      <c r="U58" s="162">
        <v>3.7589999999999999</v>
      </c>
      <c r="V58" s="163">
        <v>2548600.0000000005</v>
      </c>
      <c r="W58" s="164">
        <v>9580.1874000000007</v>
      </c>
      <c r="X58" s="165">
        <v>6.7000000000000002E-3</v>
      </c>
      <c r="Y58" s="166">
        <v>6.0236780429416149E-3</v>
      </c>
      <c r="Z58" s="166">
        <v>8.4866161756260686E-4</v>
      </c>
      <c r="AA58" s="168">
        <f t="shared" si="0"/>
        <v>0</v>
      </c>
    </row>
    <row r="59" spans="1:27" x14ac:dyDescent="0.2">
      <c r="A59" s="142" t="s">
        <v>1204</v>
      </c>
      <c r="B59" s="142" t="s">
        <v>1204</v>
      </c>
      <c r="C59" s="136" t="s">
        <v>2636</v>
      </c>
      <c r="D59" s="142">
        <v>550254650</v>
      </c>
      <c r="E59" s="142" t="s">
        <v>309</v>
      </c>
      <c r="F59" s="142" t="s">
        <v>2390</v>
      </c>
      <c r="G59" s="142">
        <v>40022</v>
      </c>
      <c r="H59" s="142" t="s">
        <v>312</v>
      </c>
      <c r="I59" s="142" t="s">
        <v>1002</v>
      </c>
      <c r="J59" s="142" t="s">
        <v>846</v>
      </c>
      <c r="K59" s="142" t="s">
        <v>204</v>
      </c>
      <c r="L59" s="142" t="s">
        <v>204</v>
      </c>
      <c r="M59" s="142" t="s">
        <v>204</v>
      </c>
      <c r="N59" s="142" t="s">
        <v>204</v>
      </c>
      <c r="O59" s="142" t="s">
        <v>339</v>
      </c>
      <c r="P59" s="161">
        <v>43089</v>
      </c>
      <c r="Q59" s="142" t="s">
        <v>1208</v>
      </c>
      <c r="R59" s="142" t="s">
        <v>884</v>
      </c>
      <c r="S59" s="142" t="s">
        <v>889</v>
      </c>
      <c r="T59" s="136" t="s">
        <v>2587</v>
      </c>
      <c r="U59" s="141">
        <v>1</v>
      </c>
      <c r="V59" s="163">
        <v>54998382.482784003</v>
      </c>
      <c r="W59" s="164">
        <v>54998.382482784</v>
      </c>
      <c r="X59" s="165">
        <v>0.26</v>
      </c>
      <c r="Y59" s="166">
        <v>3.4581009235670139E-2</v>
      </c>
      <c r="Z59" s="166">
        <v>4.872035826894828E-3</v>
      </c>
      <c r="AA59" s="168">
        <f t="shared" si="0"/>
        <v>0</v>
      </c>
    </row>
    <row r="60" spans="1:27" x14ac:dyDescent="0.2">
      <c r="A60" s="142" t="s">
        <v>1204</v>
      </c>
      <c r="B60" s="142" t="s">
        <v>1204</v>
      </c>
      <c r="C60" s="136" t="s">
        <v>2641</v>
      </c>
      <c r="D60" s="142">
        <v>744439084</v>
      </c>
      <c r="E60" s="142" t="s">
        <v>311</v>
      </c>
      <c r="F60" s="142" t="s">
        <v>2397</v>
      </c>
      <c r="G60" s="142">
        <v>620120758</v>
      </c>
      <c r="H60" s="142" t="s">
        <v>312</v>
      </c>
      <c r="I60" s="142" t="s">
        <v>1004</v>
      </c>
      <c r="J60" s="142" t="s">
        <v>832</v>
      </c>
      <c r="K60" s="142" t="s">
        <v>205</v>
      </c>
      <c r="L60" s="142" t="s">
        <v>282</v>
      </c>
      <c r="M60" s="142" t="s">
        <v>282</v>
      </c>
      <c r="N60" s="142" t="s">
        <v>282</v>
      </c>
      <c r="O60" s="142" t="s">
        <v>339</v>
      </c>
      <c r="P60" s="161">
        <v>43579</v>
      </c>
      <c r="Q60" s="142" t="s">
        <v>1213</v>
      </c>
      <c r="R60" s="142" t="s">
        <v>884</v>
      </c>
      <c r="S60" s="142" t="s">
        <v>889</v>
      </c>
      <c r="T60" s="136" t="s">
        <v>2587</v>
      </c>
      <c r="U60" s="141">
        <v>2.7412999999999998</v>
      </c>
      <c r="V60" s="163">
        <v>17205110</v>
      </c>
      <c r="W60" s="164">
        <v>47164.368043000002</v>
      </c>
      <c r="X60" s="165">
        <v>2.4199999999999999E-2</v>
      </c>
      <c r="Y60" s="166">
        <v>2.9655262087027262E-2</v>
      </c>
      <c r="Z60" s="166">
        <v>4.1780590716514066E-3</v>
      </c>
      <c r="AA60" s="168">
        <f t="shared" si="0"/>
        <v>0</v>
      </c>
    </row>
    <row r="61" spans="1:27" x14ac:dyDescent="0.2">
      <c r="A61" s="142" t="s">
        <v>1204</v>
      </c>
      <c r="B61" s="142" t="s">
        <v>1204</v>
      </c>
      <c r="C61" s="136" t="s">
        <v>2642</v>
      </c>
      <c r="D61" s="142">
        <v>513846808</v>
      </c>
      <c r="E61" s="142" t="s">
        <v>309</v>
      </c>
      <c r="F61" s="142" t="s">
        <v>2398</v>
      </c>
      <c r="G61" s="142">
        <v>62007869</v>
      </c>
      <c r="H61" s="142" t="s">
        <v>312</v>
      </c>
      <c r="I61" s="142" t="s">
        <v>1004</v>
      </c>
      <c r="J61" s="142" t="s">
        <v>832</v>
      </c>
      <c r="K61" s="142" t="s">
        <v>205</v>
      </c>
      <c r="L61" s="142" t="s">
        <v>224</v>
      </c>
      <c r="M61" s="142" t="s">
        <v>204</v>
      </c>
      <c r="N61" s="142" t="s">
        <v>224</v>
      </c>
      <c r="O61" s="142" t="s">
        <v>339</v>
      </c>
      <c r="P61" s="161">
        <v>43325</v>
      </c>
      <c r="Q61" s="142" t="s">
        <v>1209</v>
      </c>
      <c r="R61" s="142" t="s">
        <v>884</v>
      </c>
      <c r="S61" s="142" t="s">
        <v>889</v>
      </c>
      <c r="T61" s="136" t="s">
        <v>2587</v>
      </c>
      <c r="U61" s="141">
        <v>3.7589999999999999</v>
      </c>
      <c r="V61" s="163">
        <v>12292994</v>
      </c>
      <c r="W61" s="164">
        <v>46209.364446</v>
      </c>
      <c r="X61" s="165">
        <v>3.0311299999999999E-2</v>
      </c>
      <c r="Y61" s="166">
        <v>2.9054790096450213E-2</v>
      </c>
      <c r="Z61" s="166">
        <v>4.0934600065633759E-3</v>
      </c>
      <c r="AA61" s="168">
        <f t="shared" si="0"/>
        <v>0</v>
      </c>
    </row>
    <row r="62" spans="1:27" x14ac:dyDescent="0.2">
      <c r="A62" s="142" t="s">
        <v>1204</v>
      </c>
      <c r="B62" s="142" t="s">
        <v>1204</v>
      </c>
      <c r="C62" s="136" t="s">
        <v>2642</v>
      </c>
      <c r="D62" s="142">
        <v>510607328</v>
      </c>
      <c r="E62" s="142" t="s">
        <v>309</v>
      </c>
      <c r="F62" s="142" t="s">
        <v>2399</v>
      </c>
      <c r="G62" s="142">
        <v>666108451</v>
      </c>
      <c r="H62" s="142" t="s">
        <v>312</v>
      </c>
      <c r="I62" s="142" t="s">
        <v>1004</v>
      </c>
      <c r="J62" s="142" t="s">
        <v>832</v>
      </c>
      <c r="K62" s="142" t="s">
        <v>205</v>
      </c>
      <c r="L62" s="142" t="s">
        <v>224</v>
      </c>
      <c r="M62" s="142" t="s">
        <v>204</v>
      </c>
      <c r="N62" s="142" t="s">
        <v>224</v>
      </c>
      <c r="O62" s="142" t="s">
        <v>339</v>
      </c>
      <c r="P62" s="161">
        <v>44245</v>
      </c>
      <c r="Q62" s="142" t="s">
        <v>1209</v>
      </c>
      <c r="R62" s="142" t="s">
        <v>884</v>
      </c>
      <c r="S62" s="142" t="s">
        <v>889</v>
      </c>
      <c r="T62" s="136" t="s">
        <v>2587</v>
      </c>
      <c r="U62" s="141">
        <v>3.7589999999999999</v>
      </c>
      <c r="V62" s="163">
        <v>11994010.000000002</v>
      </c>
      <c r="W62" s="164">
        <v>45085.483590000003</v>
      </c>
      <c r="X62" s="165">
        <v>1.6792999999999999E-2</v>
      </c>
      <c r="Y62" s="166">
        <v>2.8348134145735761E-2</v>
      </c>
      <c r="Z62" s="166">
        <v>3.9939009368524219E-3</v>
      </c>
      <c r="AA62" s="168">
        <f t="shared" si="0"/>
        <v>0</v>
      </c>
    </row>
    <row r="63" spans="1:27" x14ac:dyDescent="0.2">
      <c r="A63" s="142" t="s">
        <v>1204</v>
      </c>
      <c r="B63" s="142" t="s">
        <v>1204</v>
      </c>
      <c r="C63" s="136" t="s">
        <v>2643</v>
      </c>
      <c r="D63" s="142">
        <v>62000073</v>
      </c>
      <c r="E63" s="142" t="s">
        <v>311</v>
      </c>
      <c r="F63" s="142" t="s">
        <v>2400</v>
      </c>
      <c r="G63" s="142">
        <v>62000073</v>
      </c>
      <c r="H63" s="142" t="s">
        <v>312</v>
      </c>
      <c r="I63" s="142" t="s">
        <v>1004</v>
      </c>
      <c r="J63" s="142" t="s">
        <v>832</v>
      </c>
      <c r="K63" s="142" t="s">
        <v>205</v>
      </c>
      <c r="L63" s="142" t="s">
        <v>224</v>
      </c>
      <c r="M63" s="142" t="s">
        <v>204</v>
      </c>
      <c r="N63" s="142" t="s">
        <v>224</v>
      </c>
      <c r="O63" s="142" t="s">
        <v>339</v>
      </c>
      <c r="P63" s="161">
        <v>42758</v>
      </c>
      <c r="Q63" s="142" t="s">
        <v>1209</v>
      </c>
      <c r="R63" s="142" t="s">
        <v>884</v>
      </c>
      <c r="S63" s="142" t="s">
        <v>889</v>
      </c>
      <c r="T63" s="136" t="s">
        <v>2581</v>
      </c>
      <c r="U63" s="141">
        <v>3.7589999999999999</v>
      </c>
      <c r="V63" s="163">
        <v>11758524.475100001</v>
      </c>
      <c r="W63" s="164">
        <v>44200.293501900902</v>
      </c>
      <c r="X63" s="165">
        <v>9.8400000000000001E-2</v>
      </c>
      <c r="Y63" s="166">
        <v>2.7791558384231124E-2</v>
      </c>
      <c r="Z63" s="166">
        <v>3.915486306673416E-3</v>
      </c>
      <c r="AA63" s="168">
        <f t="shared" si="0"/>
        <v>0</v>
      </c>
    </row>
    <row r="64" spans="1:27" x14ac:dyDescent="0.2">
      <c r="A64" s="142" t="s">
        <v>1204</v>
      </c>
      <c r="B64" s="142" t="s">
        <v>1204</v>
      </c>
      <c r="C64" s="136" t="s">
        <v>2644</v>
      </c>
      <c r="D64" s="142" t="s">
        <v>2601</v>
      </c>
      <c r="E64" s="142" t="s">
        <v>311</v>
      </c>
      <c r="F64" s="142" t="s">
        <v>2401</v>
      </c>
      <c r="G64" s="142">
        <v>62008008</v>
      </c>
      <c r="H64" s="142" t="s">
        <v>312</v>
      </c>
      <c r="I64" s="142" t="s">
        <v>1004</v>
      </c>
      <c r="J64" s="142" t="s">
        <v>832</v>
      </c>
      <c r="K64" s="142" t="s">
        <v>205</v>
      </c>
      <c r="L64" s="142" t="s">
        <v>224</v>
      </c>
      <c r="M64" s="136" t="s">
        <v>224</v>
      </c>
      <c r="N64" s="142" t="s">
        <v>224</v>
      </c>
      <c r="O64" s="142" t="s">
        <v>339</v>
      </c>
      <c r="P64" s="161">
        <v>43290</v>
      </c>
      <c r="Q64" s="142" t="s">
        <v>1209</v>
      </c>
      <c r="R64" s="142" t="s">
        <v>884</v>
      </c>
      <c r="S64" s="142" t="s">
        <v>889</v>
      </c>
      <c r="T64" s="136" t="s">
        <v>2587</v>
      </c>
      <c r="U64" s="141">
        <v>3.7589999999999999</v>
      </c>
      <c r="V64" s="163">
        <v>8679478.7594280131</v>
      </c>
      <c r="W64" s="164">
        <v>32626.160656689899</v>
      </c>
      <c r="X64" s="165">
        <v>1.0630000000000001E-2</v>
      </c>
      <c r="Y64" s="166">
        <v>2.0514158999978282E-2</v>
      </c>
      <c r="Z64" s="166">
        <v>2.8901908826714532E-3</v>
      </c>
      <c r="AA64" s="168">
        <f t="shared" si="0"/>
        <v>0</v>
      </c>
    </row>
    <row r="65" spans="1:27" x14ac:dyDescent="0.2">
      <c r="A65" s="142" t="s">
        <v>1204</v>
      </c>
      <c r="B65" s="142" t="s">
        <v>1204</v>
      </c>
      <c r="C65" s="136" t="s">
        <v>2645</v>
      </c>
      <c r="D65" s="142">
        <v>540290103</v>
      </c>
      <c r="E65" s="142" t="s">
        <v>310</v>
      </c>
      <c r="F65" s="142" t="s">
        <v>2402</v>
      </c>
      <c r="G65" s="142">
        <v>50000892</v>
      </c>
      <c r="H65" s="142" t="s">
        <v>312</v>
      </c>
      <c r="I65" s="142" t="s">
        <v>1004</v>
      </c>
      <c r="J65" s="142" t="s">
        <v>846</v>
      </c>
      <c r="K65" s="142" t="s">
        <v>204</v>
      </c>
      <c r="L65" s="142" t="s">
        <v>204</v>
      </c>
      <c r="M65" s="142" t="s">
        <v>204</v>
      </c>
      <c r="N65" s="142" t="s">
        <v>204</v>
      </c>
      <c r="O65" s="142" t="s">
        <v>339</v>
      </c>
      <c r="P65" s="161">
        <v>43803</v>
      </c>
      <c r="Q65" s="142" t="s">
        <v>1208</v>
      </c>
      <c r="R65" s="142" t="s">
        <v>884</v>
      </c>
      <c r="S65" s="142" t="s">
        <v>889</v>
      </c>
      <c r="T65" s="136" t="s">
        <v>2584</v>
      </c>
      <c r="U65" s="141">
        <v>1</v>
      </c>
      <c r="V65" s="163">
        <v>28043552.993882</v>
      </c>
      <c r="W65" s="164">
        <v>28043.552993882</v>
      </c>
      <c r="X65" s="165">
        <v>1.83E-2</v>
      </c>
      <c r="Y65" s="166">
        <v>1.7632779752859176E-2</v>
      </c>
      <c r="Z65" s="166">
        <v>2.484240240017704E-3</v>
      </c>
      <c r="AA65" s="168">
        <f t="shared" si="0"/>
        <v>0</v>
      </c>
    </row>
    <row r="66" spans="1:27" x14ac:dyDescent="0.2">
      <c r="A66" s="142" t="s">
        <v>1204</v>
      </c>
      <c r="B66" s="142" t="s">
        <v>1204</v>
      </c>
      <c r="C66" s="136" t="s">
        <v>2645</v>
      </c>
      <c r="D66" s="142">
        <v>550274807</v>
      </c>
      <c r="E66" s="142" t="s">
        <v>310</v>
      </c>
      <c r="F66" s="142" t="s">
        <v>2403</v>
      </c>
      <c r="G66" s="142">
        <v>79012</v>
      </c>
      <c r="H66" s="142" t="s">
        <v>312</v>
      </c>
      <c r="I66" s="142" t="s">
        <v>1004</v>
      </c>
      <c r="J66" s="142" t="s">
        <v>825</v>
      </c>
      <c r="K66" s="142" t="s">
        <v>204</v>
      </c>
      <c r="L66" s="142" t="s">
        <v>204</v>
      </c>
      <c r="M66" s="142" t="s">
        <v>204</v>
      </c>
      <c r="N66" s="142" t="s">
        <v>204</v>
      </c>
      <c r="O66" s="142" t="s">
        <v>339</v>
      </c>
      <c r="P66" s="161">
        <v>43132</v>
      </c>
      <c r="Q66" s="142" t="s">
        <v>1208</v>
      </c>
      <c r="R66" s="142" t="s">
        <v>884</v>
      </c>
      <c r="S66" s="142" t="s">
        <v>889</v>
      </c>
      <c r="T66" s="136" t="s">
        <v>2584</v>
      </c>
      <c r="U66" s="141">
        <v>1</v>
      </c>
      <c r="V66" s="163">
        <v>25602761.664546002</v>
      </c>
      <c r="W66" s="164">
        <v>25602.761664546</v>
      </c>
      <c r="X66" s="165">
        <v>3.9931000000000001E-2</v>
      </c>
      <c r="Y66" s="166">
        <v>1.6098097755101643E-2</v>
      </c>
      <c r="Z66" s="166">
        <v>2.2680225575027382E-3</v>
      </c>
      <c r="AA66" s="168">
        <f t="shared" si="0"/>
        <v>0</v>
      </c>
    </row>
    <row r="67" spans="1:27" x14ac:dyDescent="0.2">
      <c r="A67" s="142" t="s">
        <v>1204</v>
      </c>
      <c r="B67" s="142" t="s">
        <v>1204</v>
      </c>
      <c r="C67" s="136" t="s">
        <v>2646</v>
      </c>
      <c r="D67" s="142">
        <v>60388022</v>
      </c>
      <c r="E67" s="142" t="s">
        <v>311</v>
      </c>
      <c r="F67" s="142" t="s">
        <v>2404</v>
      </c>
      <c r="G67" s="142">
        <v>60388022</v>
      </c>
      <c r="H67" s="142" t="s">
        <v>312</v>
      </c>
      <c r="I67" s="142" t="s">
        <v>1004</v>
      </c>
      <c r="J67" s="142" t="s">
        <v>836</v>
      </c>
      <c r="K67" s="142" t="s">
        <v>205</v>
      </c>
      <c r="L67" s="142" t="s">
        <v>224</v>
      </c>
      <c r="M67" s="142" t="s">
        <v>204</v>
      </c>
      <c r="N67" s="142" t="s">
        <v>224</v>
      </c>
      <c r="O67" s="142" t="s">
        <v>339</v>
      </c>
      <c r="P67" s="161">
        <v>42157</v>
      </c>
      <c r="Q67" s="142" t="s">
        <v>1209</v>
      </c>
      <c r="R67" s="142" t="s">
        <v>884</v>
      </c>
      <c r="S67" s="142" t="s">
        <v>889</v>
      </c>
      <c r="T67" s="136" t="s">
        <v>2584</v>
      </c>
      <c r="U67" s="141">
        <v>3.7589999999999999</v>
      </c>
      <c r="V67" s="163">
        <v>2924245.0000000005</v>
      </c>
      <c r="W67" s="164">
        <v>10992.236955</v>
      </c>
      <c r="X67" s="165">
        <v>4.1300000000000003E-2</v>
      </c>
      <c r="Y67" s="166">
        <v>6.9115241303781697E-3</v>
      </c>
      <c r="Z67" s="166">
        <v>9.7374813303357339E-4</v>
      </c>
      <c r="AA67" s="168">
        <f t="shared" ref="AA67:AA89" si="1">V67*U67/1000-W67</f>
        <v>0</v>
      </c>
    </row>
    <row r="68" spans="1:27" x14ac:dyDescent="0.2">
      <c r="A68" s="142" t="s">
        <v>1204</v>
      </c>
      <c r="B68" s="142" t="s">
        <v>1204</v>
      </c>
      <c r="C68" s="136" t="s">
        <v>2647</v>
      </c>
      <c r="D68" s="142">
        <v>513373993</v>
      </c>
      <c r="E68" s="142" t="s">
        <v>309</v>
      </c>
      <c r="F68" s="142" t="s">
        <v>2405</v>
      </c>
      <c r="G68" s="142">
        <v>62012224</v>
      </c>
      <c r="H68" s="142" t="s">
        <v>312</v>
      </c>
      <c r="I68" s="142" t="s">
        <v>1004</v>
      </c>
      <c r="J68" s="142" t="s">
        <v>838</v>
      </c>
      <c r="K68" s="142" t="s">
        <v>205</v>
      </c>
      <c r="L68" s="142" t="s">
        <v>224</v>
      </c>
      <c r="M68" s="136" t="s">
        <v>224</v>
      </c>
      <c r="N68" s="142" t="s">
        <v>224</v>
      </c>
      <c r="O68" s="142" t="s">
        <v>339</v>
      </c>
      <c r="P68" s="161">
        <v>43573</v>
      </c>
      <c r="Q68" s="142" t="s">
        <v>1209</v>
      </c>
      <c r="R68" s="142" t="s">
        <v>884</v>
      </c>
      <c r="S68" s="142" t="s">
        <v>889</v>
      </c>
      <c r="T68" s="136" t="s">
        <v>2581</v>
      </c>
      <c r="U68" s="141">
        <v>3.7589999999999999</v>
      </c>
      <c r="V68" s="163">
        <v>1478281.7767946795</v>
      </c>
      <c r="W68" s="164">
        <v>5556.8611989711999</v>
      </c>
      <c r="X68" s="165">
        <v>0.14893000000000001</v>
      </c>
      <c r="Y68" s="166">
        <v>3.4939549086395777E-3</v>
      </c>
      <c r="Z68" s="166">
        <v>4.9225496504272826E-4</v>
      </c>
      <c r="AA68" s="168">
        <f t="shared" si="1"/>
        <v>0</v>
      </c>
    </row>
    <row r="69" spans="1:27" x14ac:dyDescent="0.2">
      <c r="A69" s="142" t="s">
        <v>1204</v>
      </c>
      <c r="B69" s="142" t="s">
        <v>1204</v>
      </c>
      <c r="C69" s="136" t="s">
        <v>2554</v>
      </c>
      <c r="D69" s="142" t="s">
        <v>2608</v>
      </c>
      <c r="E69" s="142" t="s">
        <v>311</v>
      </c>
      <c r="F69" s="142" t="s">
        <v>2406</v>
      </c>
      <c r="G69" s="142">
        <v>666108691</v>
      </c>
      <c r="H69" s="142" t="s">
        <v>312</v>
      </c>
      <c r="I69" s="142" t="s">
        <v>1004</v>
      </c>
      <c r="J69" s="142" t="s">
        <v>838</v>
      </c>
      <c r="K69" s="142" t="s">
        <v>205</v>
      </c>
      <c r="L69" s="142" t="s">
        <v>217</v>
      </c>
      <c r="M69" s="136" t="s">
        <v>217</v>
      </c>
      <c r="N69" s="142" t="s">
        <v>293</v>
      </c>
      <c r="O69" s="142" t="s">
        <v>339</v>
      </c>
      <c r="P69" s="161">
        <v>44298</v>
      </c>
      <c r="Q69" s="142" t="s">
        <v>1211</v>
      </c>
      <c r="R69" s="142" t="s">
        <v>884</v>
      </c>
      <c r="S69" s="142" t="s">
        <v>889</v>
      </c>
      <c r="T69" s="136" t="s">
        <v>2589</v>
      </c>
      <c r="U69" s="141">
        <v>4.0202</v>
      </c>
      <c r="V69" s="163">
        <v>619361.97710247</v>
      </c>
      <c r="W69" s="164">
        <v>2489.9590203473499</v>
      </c>
      <c r="X69" s="165">
        <v>5.7400000000000003E-3</v>
      </c>
      <c r="Y69" s="166">
        <v>1.5655968774358992E-3</v>
      </c>
      <c r="Z69" s="166">
        <v>2.2057320610164536E-4</v>
      </c>
      <c r="AA69" s="168">
        <f t="shared" si="1"/>
        <v>0</v>
      </c>
    </row>
    <row r="70" spans="1:27" x14ac:dyDescent="0.2">
      <c r="A70" s="142" t="s">
        <v>1204</v>
      </c>
      <c r="B70" s="142" t="s">
        <v>1204</v>
      </c>
      <c r="C70" s="136" t="s">
        <v>2645</v>
      </c>
      <c r="D70" s="142">
        <v>550257117</v>
      </c>
      <c r="E70" s="142" t="s">
        <v>310</v>
      </c>
      <c r="F70" s="142" t="s">
        <v>2407</v>
      </c>
      <c r="G70" s="142">
        <v>78964</v>
      </c>
      <c r="H70" s="142" t="s">
        <v>312</v>
      </c>
      <c r="I70" s="142" t="s">
        <v>1004</v>
      </c>
      <c r="J70" s="142" t="s">
        <v>846</v>
      </c>
      <c r="K70" s="142" t="s">
        <v>204</v>
      </c>
      <c r="L70" s="142" t="s">
        <v>204</v>
      </c>
      <c r="M70" s="142" t="s">
        <v>204</v>
      </c>
      <c r="N70" s="142" t="s">
        <v>204</v>
      </c>
      <c r="O70" s="142" t="s">
        <v>339</v>
      </c>
      <c r="P70" s="161">
        <v>42690</v>
      </c>
      <c r="Q70" s="142" t="s">
        <v>1208</v>
      </c>
      <c r="R70" s="142" t="s">
        <v>884</v>
      </c>
      <c r="S70" s="142" t="s">
        <v>889</v>
      </c>
      <c r="T70" s="136" t="s">
        <v>2584</v>
      </c>
      <c r="U70" s="141">
        <v>1</v>
      </c>
      <c r="V70" s="163">
        <v>542932.54077299999</v>
      </c>
      <c r="W70" s="164">
        <v>542.93254077300003</v>
      </c>
      <c r="X70" s="165">
        <v>0.1105589</v>
      </c>
      <c r="Y70" s="166">
        <v>3.4137649798508357E-4</v>
      </c>
      <c r="Z70" s="166">
        <v>4.8095719743414431E-5</v>
      </c>
      <c r="AA70" s="168">
        <f t="shared" si="1"/>
        <v>0</v>
      </c>
    </row>
    <row r="71" spans="1:27" x14ac:dyDescent="0.2">
      <c r="A71" s="142" t="s">
        <v>1204</v>
      </c>
      <c r="B71" s="142" t="s">
        <v>1204</v>
      </c>
      <c r="C71" s="136" t="s">
        <v>2645</v>
      </c>
      <c r="D71" s="142">
        <v>550257117</v>
      </c>
      <c r="E71" s="142" t="s">
        <v>310</v>
      </c>
      <c r="F71" s="142" t="s">
        <v>2408</v>
      </c>
      <c r="G71" s="142">
        <v>78949</v>
      </c>
      <c r="H71" s="142" t="s">
        <v>312</v>
      </c>
      <c r="I71" s="142" t="s">
        <v>1004</v>
      </c>
      <c r="J71" s="142" t="s">
        <v>846</v>
      </c>
      <c r="K71" s="142" t="s">
        <v>204</v>
      </c>
      <c r="L71" s="142" t="s">
        <v>204</v>
      </c>
      <c r="M71" s="142" t="s">
        <v>204</v>
      </c>
      <c r="N71" s="142" t="s">
        <v>204</v>
      </c>
      <c r="O71" s="142" t="s">
        <v>339</v>
      </c>
      <c r="P71" s="161">
        <v>42019</v>
      </c>
      <c r="Q71" s="142" t="s">
        <v>1208</v>
      </c>
      <c r="R71" s="142" t="s">
        <v>884</v>
      </c>
      <c r="S71" s="142" t="s">
        <v>889</v>
      </c>
      <c r="T71" s="136" t="s">
        <v>2584</v>
      </c>
      <c r="U71" s="141">
        <v>1</v>
      </c>
      <c r="V71" s="163">
        <v>204156.036631</v>
      </c>
      <c r="W71" s="164">
        <v>204.15603663100001</v>
      </c>
      <c r="X71" s="165">
        <v>8.3482200000000006E-2</v>
      </c>
      <c r="Y71" s="166">
        <v>1.2836598949913429E-4</v>
      </c>
      <c r="Z71" s="166">
        <v>1.8085177778718115E-5</v>
      </c>
      <c r="AA71" s="168">
        <f t="shared" si="1"/>
        <v>0</v>
      </c>
    </row>
    <row r="72" spans="1:27" x14ac:dyDescent="0.2">
      <c r="A72" s="142" t="s">
        <v>1204</v>
      </c>
      <c r="B72" s="142" t="s">
        <v>1204</v>
      </c>
      <c r="C72" s="136" t="s">
        <v>2671</v>
      </c>
      <c r="D72" s="142">
        <v>540316908</v>
      </c>
      <c r="E72" s="142" t="s">
        <v>309</v>
      </c>
      <c r="F72" s="142" t="s">
        <v>2450</v>
      </c>
      <c r="G72" s="142">
        <v>666110374</v>
      </c>
      <c r="H72" s="142" t="s">
        <v>312</v>
      </c>
      <c r="I72" s="142" t="s">
        <v>1005</v>
      </c>
      <c r="J72" s="142" t="s">
        <v>833</v>
      </c>
      <c r="K72" s="142" t="s">
        <v>204</v>
      </c>
      <c r="L72" s="142" t="s">
        <v>204</v>
      </c>
      <c r="M72" s="142" t="s">
        <v>204</v>
      </c>
      <c r="N72" s="142" t="s">
        <v>204</v>
      </c>
      <c r="O72" s="142" t="s">
        <v>339</v>
      </c>
      <c r="P72" s="161">
        <v>44724</v>
      </c>
      <c r="Q72" s="142" t="s">
        <v>1208</v>
      </c>
      <c r="R72" s="142" t="s">
        <v>884</v>
      </c>
      <c r="S72" s="142" t="s">
        <v>889</v>
      </c>
      <c r="T72" s="136" t="s">
        <v>2584</v>
      </c>
      <c r="U72" s="141">
        <v>1</v>
      </c>
      <c r="V72" s="163">
        <v>33193992.054299995</v>
      </c>
      <c r="W72" s="164">
        <v>33193.992054299997</v>
      </c>
      <c r="X72" s="165">
        <v>2.3599999999999999E-2</v>
      </c>
      <c r="Y72" s="166">
        <v>2.0871191005623266E-2</v>
      </c>
      <c r="Z72" s="166">
        <v>2.9404922695105691E-3</v>
      </c>
      <c r="AA72" s="168">
        <f t="shared" si="1"/>
        <v>0</v>
      </c>
    </row>
    <row r="73" spans="1:27" x14ac:dyDescent="0.2">
      <c r="A73" s="142" t="s">
        <v>1204</v>
      </c>
      <c r="B73" s="142" t="s">
        <v>1204</v>
      </c>
      <c r="C73" s="136" t="s">
        <v>2662</v>
      </c>
      <c r="D73" s="142" t="s">
        <v>2605</v>
      </c>
      <c r="E73" s="142" t="s">
        <v>2621</v>
      </c>
      <c r="F73" s="142" t="s">
        <v>2451</v>
      </c>
      <c r="G73" s="142">
        <v>604157677</v>
      </c>
      <c r="H73" s="142" t="s">
        <v>312</v>
      </c>
      <c r="I73" s="142" t="s">
        <v>1005</v>
      </c>
      <c r="J73" s="142" t="s">
        <v>836</v>
      </c>
      <c r="K73" s="142" t="s">
        <v>205</v>
      </c>
      <c r="L73" s="142" t="s">
        <v>217</v>
      </c>
      <c r="M73" s="136" t="s">
        <v>224</v>
      </c>
      <c r="N73" s="142" t="s">
        <v>224</v>
      </c>
      <c r="O73" s="142" t="s">
        <v>339</v>
      </c>
      <c r="P73" s="161">
        <v>42800</v>
      </c>
      <c r="Q73" s="142" t="s">
        <v>1209</v>
      </c>
      <c r="R73" s="142" t="s">
        <v>884</v>
      </c>
      <c r="S73" s="142" t="s">
        <v>889</v>
      </c>
      <c r="T73" s="136" t="s">
        <v>2581</v>
      </c>
      <c r="U73" s="162">
        <v>3.7589999999999999</v>
      </c>
      <c r="V73" s="163">
        <v>7224240.5795920994</v>
      </c>
      <c r="W73" s="164">
        <v>27155.920338686701</v>
      </c>
      <c r="X73" s="165">
        <v>5.2749999999999998E-2</v>
      </c>
      <c r="Y73" s="166">
        <v>1.7074668192818304E-2</v>
      </c>
      <c r="Z73" s="166">
        <v>2.4056092348497429E-3</v>
      </c>
      <c r="AA73" s="168">
        <f t="shared" si="1"/>
        <v>0</v>
      </c>
    </row>
    <row r="74" spans="1:27" x14ac:dyDescent="0.2">
      <c r="A74" s="142" t="s">
        <v>1204</v>
      </c>
      <c r="B74" s="142" t="s">
        <v>1204</v>
      </c>
      <c r="C74" s="136" t="s">
        <v>2672</v>
      </c>
      <c r="D74" s="142">
        <v>515697605</v>
      </c>
      <c r="E74" s="142" t="s">
        <v>309</v>
      </c>
      <c r="F74" s="142" t="s">
        <v>2452</v>
      </c>
      <c r="G74" s="142">
        <v>66611187</v>
      </c>
      <c r="H74" s="142" t="s">
        <v>312</v>
      </c>
      <c r="I74" s="142" t="s">
        <v>1005</v>
      </c>
      <c r="J74" s="142" t="s">
        <v>846</v>
      </c>
      <c r="K74" s="142" t="s">
        <v>204</v>
      </c>
      <c r="L74" s="142" t="s">
        <v>217</v>
      </c>
      <c r="M74" s="142" t="s">
        <v>204</v>
      </c>
      <c r="N74" s="142" t="s">
        <v>204</v>
      </c>
      <c r="O74" s="142" t="s">
        <v>339</v>
      </c>
      <c r="P74" s="161">
        <v>45046</v>
      </c>
      <c r="Q74" s="142" t="s">
        <v>1208</v>
      </c>
      <c r="R74" s="142" t="s">
        <v>884</v>
      </c>
      <c r="S74" s="142" t="s">
        <v>889</v>
      </c>
      <c r="T74" s="136" t="s">
        <v>2593</v>
      </c>
      <c r="U74" s="141">
        <v>1</v>
      </c>
      <c r="V74" s="163">
        <v>26887315.441805001</v>
      </c>
      <c r="W74" s="164">
        <v>26887.315441805</v>
      </c>
      <c r="X74" s="165">
        <v>0.28289999999999998</v>
      </c>
      <c r="Y74" s="166">
        <v>1.6905779072802458E-2</v>
      </c>
      <c r="Z74" s="166">
        <v>2.3818148499640296E-3</v>
      </c>
      <c r="AA74" s="168">
        <f t="shared" si="1"/>
        <v>0</v>
      </c>
    </row>
    <row r="75" spans="1:27" x14ac:dyDescent="0.2">
      <c r="A75" s="142" t="s">
        <v>1204</v>
      </c>
      <c r="B75" s="142" t="s">
        <v>1204</v>
      </c>
      <c r="C75" s="136" t="s">
        <v>2564</v>
      </c>
      <c r="D75" s="142">
        <v>540311354</v>
      </c>
      <c r="E75" s="142" t="s">
        <v>309</v>
      </c>
      <c r="F75" s="142" t="s">
        <v>2453</v>
      </c>
      <c r="G75" s="142">
        <v>666109970</v>
      </c>
      <c r="H75" s="142" t="s">
        <v>312</v>
      </c>
      <c r="I75" s="142" t="s">
        <v>1005</v>
      </c>
      <c r="J75" s="142" t="s">
        <v>827</v>
      </c>
      <c r="K75" s="142" t="s">
        <v>204</v>
      </c>
      <c r="L75" s="142" t="s">
        <v>204</v>
      </c>
      <c r="M75" s="142" t="s">
        <v>204</v>
      </c>
      <c r="N75" s="142" t="s">
        <v>204</v>
      </c>
      <c r="O75" s="142" t="s">
        <v>339</v>
      </c>
      <c r="P75" s="161">
        <v>44607</v>
      </c>
      <c r="Q75" s="142" t="s">
        <v>1208</v>
      </c>
      <c r="R75" s="142" t="s">
        <v>884</v>
      </c>
      <c r="S75" s="142" t="s">
        <v>889</v>
      </c>
      <c r="T75" s="136" t="s">
        <v>2582</v>
      </c>
      <c r="U75" s="141">
        <v>1</v>
      </c>
      <c r="V75" s="163">
        <v>26812731.596159998</v>
      </c>
      <c r="W75" s="164">
        <v>26812.73159616</v>
      </c>
      <c r="X75" s="165">
        <v>4.0800000000000003E-2</v>
      </c>
      <c r="Y75" s="166">
        <v>1.6858883427173448E-2</v>
      </c>
      <c r="Z75" s="166">
        <v>2.3752078344176403E-3</v>
      </c>
      <c r="AA75" s="168">
        <f t="shared" si="1"/>
        <v>0</v>
      </c>
    </row>
    <row r="76" spans="1:27" x14ac:dyDescent="0.2">
      <c r="A76" s="142" t="s">
        <v>1204</v>
      </c>
      <c r="B76" s="142" t="s">
        <v>1204</v>
      </c>
      <c r="C76" s="136" t="s">
        <v>2642</v>
      </c>
      <c r="D76" s="142">
        <v>510607328</v>
      </c>
      <c r="E76" s="142" t="s">
        <v>309</v>
      </c>
      <c r="F76" s="142" t="s">
        <v>1947</v>
      </c>
      <c r="G76" s="142">
        <v>666110523</v>
      </c>
      <c r="H76" s="142" t="s">
        <v>312</v>
      </c>
      <c r="I76" s="142" t="s">
        <v>1005</v>
      </c>
      <c r="J76" s="142" t="s">
        <v>842</v>
      </c>
      <c r="K76" s="142" t="s">
        <v>205</v>
      </c>
      <c r="L76" s="142" t="s">
        <v>224</v>
      </c>
      <c r="M76" s="142" t="s">
        <v>204</v>
      </c>
      <c r="N76" s="142" t="s">
        <v>224</v>
      </c>
      <c r="O76" s="142" t="s">
        <v>339</v>
      </c>
      <c r="P76" s="161">
        <v>44753</v>
      </c>
      <c r="Q76" s="142" t="s">
        <v>1209</v>
      </c>
      <c r="R76" s="142" t="s">
        <v>884</v>
      </c>
      <c r="S76" s="142" t="s">
        <v>889</v>
      </c>
      <c r="T76" s="136" t="s">
        <v>2587</v>
      </c>
      <c r="U76" s="162">
        <v>3.7589999999999999</v>
      </c>
      <c r="V76" s="163">
        <v>5998665.0000000009</v>
      </c>
      <c r="W76" s="164">
        <v>22548.981735000001</v>
      </c>
      <c r="X76" s="165">
        <v>1.9446700000000001E-2</v>
      </c>
      <c r="Y76" s="166">
        <v>1.417799052321367E-2</v>
      </c>
      <c r="Z76" s="166">
        <v>1.9975032339779467E-3</v>
      </c>
      <c r="AA76" s="168">
        <f t="shared" si="1"/>
        <v>0</v>
      </c>
    </row>
    <row r="77" spans="1:27" x14ac:dyDescent="0.2">
      <c r="A77" s="142" t="s">
        <v>1204</v>
      </c>
      <c r="B77" s="142" t="s">
        <v>1204</v>
      </c>
      <c r="C77" s="136" t="s">
        <v>2655</v>
      </c>
      <c r="D77" s="142">
        <v>540306594</v>
      </c>
      <c r="E77" s="142" t="s">
        <v>310</v>
      </c>
      <c r="F77" s="142" t="s">
        <v>2454</v>
      </c>
      <c r="G77" s="142">
        <v>18987</v>
      </c>
      <c r="H77" s="142" t="s">
        <v>312</v>
      </c>
      <c r="I77" s="142" t="s">
        <v>1005</v>
      </c>
      <c r="J77" s="142" t="s">
        <v>846</v>
      </c>
      <c r="K77" s="142" t="s">
        <v>204</v>
      </c>
      <c r="L77" s="142" t="s">
        <v>204</v>
      </c>
      <c r="M77" s="142" t="s">
        <v>204</v>
      </c>
      <c r="N77" s="142" t="s">
        <v>204</v>
      </c>
      <c r="O77" s="142" t="s">
        <v>339</v>
      </c>
      <c r="P77" s="161">
        <v>44468</v>
      </c>
      <c r="Q77" s="142" t="s">
        <v>1208</v>
      </c>
      <c r="R77" s="142" t="s">
        <v>884</v>
      </c>
      <c r="S77" s="142" t="s">
        <v>889</v>
      </c>
      <c r="T77" s="136" t="s">
        <v>2584</v>
      </c>
      <c r="U77" s="141">
        <v>1</v>
      </c>
      <c r="V77" s="163">
        <v>21572039.993349001</v>
      </c>
      <c r="W77" s="164">
        <v>21572.039993349001</v>
      </c>
      <c r="X77" s="165">
        <v>2.3300000000000001E-2</v>
      </c>
      <c r="Y77" s="166">
        <v>1.3563724614551355E-2</v>
      </c>
      <c r="Z77" s="166">
        <v>1.9109607767047239E-3</v>
      </c>
      <c r="AA77" s="168">
        <f t="shared" si="1"/>
        <v>0</v>
      </c>
    </row>
    <row r="78" spans="1:27" x14ac:dyDescent="0.2">
      <c r="A78" s="142" t="s">
        <v>1204</v>
      </c>
      <c r="B78" s="142" t="s">
        <v>1204</v>
      </c>
      <c r="C78" s="136" t="s">
        <v>2673</v>
      </c>
      <c r="D78" s="142" t="s">
        <v>2448</v>
      </c>
      <c r="E78" s="142" t="s">
        <v>309</v>
      </c>
      <c r="F78" s="142" t="s">
        <v>2455</v>
      </c>
      <c r="G78" s="142">
        <v>36764</v>
      </c>
      <c r="H78" s="142" t="s">
        <v>312</v>
      </c>
      <c r="I78" s="142" t="s">
        <v>1005</v>
      </c>
      <c r="J78" s="142" t="s">
        <v>832</v>
      </c>
      <c r="K78" s="142" t="s">
        <v>204</v>
      </c>
      <c r="L78" s="142" t="s">
        <v>204</v>
      </c>
      <c r="M78" s="142" t="s">
        <v>204</v>
      </c>
      <c r="N78" s="142" t="s">
        <v>204</v>
      </c>
      <c r="O78" s="142" t="s">
        <v>339</v>
      </c>
      <c r="P78" s="161">
        <v>42187</v>
      </c>
      <c r="Q78" s="142" t="s">
        <v>1208</v>
      </c>
      <c r="R78" s="142" t="s">
        <v>884</v>
      </c>
      <c r="S78" s="142" t="s">
        <v>889</v>
      </c>
      <c r="T78" s="136" t="s">
        <v>2581</v>
      </c>
      <c r="U78" s="141">
        <v>1</v>
      </c>
      <c r="V78" s="163">
        <v>20164256.752289999</v>
      </c>
      <c r="W78" s="164">
        <v>20164.256752289999</v>
      </c>
      <c r="X78" s="165">
        <v>2.7890000000000002E-2</v>
      </c>
      <c r="Y78" s="166">
        <v>1.267856103222015E-2</v>
      </c>
      <c r="Z78" s="166">
        <v>1.7862521929734015E-3</v>
      </c>
      <c r="AA78" s="168">
        <f t="shared" si="1"/>
        <v>0</v>
      </c>
    </row>
    <row r="79" spans="1:27" x14ac:dyDescent="0.2">
      <c r="A79" s="142" t="s">
        <v>1204</v>
      </c>
      <c r="B79" s="142" t="s">
        <v>1204</v>
      </c>
      <c r="C79" s="136" t="s">
        <v>2674</v>
      </c>
      <c r="D79" s="142" t="s">
        <v>2613</v>
      </c>
      <c r="E79" s="142" t="s">
        <v>311</v>
      </c>
      <c r="F79" s="142" t="s">
        <v>2456</v>
      </c>
      <c r="G79" s="142">
        <v>666110796</v>
      </c>
      <c r="H79" s="142" t="s">
        <v>312</v>
      </c>
      <c r="I79" s="142" t="s">
        <v>1005</v>
      </c>
      <c r="J79" s="142" t="s">
        <v>828</v>
      </c>
      <c r="K79" s="142" t="s">
        <v>205</v>
      </c>
      <c r="L79" s="142" t="s">
        <v>224</v>
      </c>
      <c r="M79" s="142" t="s">
        <v>204</v>
      </c>
      <c r="N79" s="142" t="s">
        <v>224</v>
      </c>
      <c r="O79" s="142" t="s">
        <v>339</v>
      </c>
      <c r="P79" s="161">
        <v>44853</v>
      </c>
      <c r="Q79" s="142" t="s">
        <v>1209</v>
      </c>
      <c r="R79" s="142" t="s">
        <v>884</v>
      </c>
      <c r="S79" s="142" t="s">
        <v>889</v>
      </c>
      <c r="T79" s="136" t="s">
        <v>2582</v>
      </c>
      <c r="U79" s="162">
        <v>3.7589999999999999</v>
      </c>
      <c r="V79" s="163">
        <v>4894012.9090999998</v>
      </c>
      <c r="W79" s="164">
        <v>18396.5945253069</v>
      </c>
      <c r="X79" s="165">
        <v>4.6481000000000001E-2</v>
      </c>
      <c r="Y79" s="166">
        <v>1.156711845814113E-2</v>
      </c>
      <c r="Z79" s="166">
        <v>1.6296637023499509E-3</v>
      </c>
      <c r="AA79" s="168">
        <f t="shared" si="1"/>
        <v>0</v>
      </c>
    </row>
    <row r="80" spans="1:27" x14ac:dyDescent="0.2">
      <c r="A80" s="142" t="s">
        <v>1204</v>
      </c>
      <c r="B80" s="142" t="s">
        <v>1204</v>
      </c>
      <c r="C80" s="136" t="s">
        <v>2457</v>
      </c>
      <c r="D80" s="142">
        <v>540300266</v>
      </c>
      <c r="E80" s="142" t="s">
        <v>309</v>
      </c>
      <c r="F80" s="142" t="s">
        <v>2457</v>
      </c>
      <c r="G80" s="142">
        <v>666109079</v>
      </c>
      <c r="H80" s="142" t="s">
        <v>312</v>
      </c>
      <c r="I80" s="142" t="s">
        <v>1005</v>
      </c>
      <c r="J80" s="142" t="s">
        <v>832</v>
      </c>
      <c r="K80" s="142" t="s">
        <v>204</v>
      </c>
      <c r="L80" s="142" t="s">
        <v>204</v>
      </c>
      <c r="M80" s="142" t="s">
        <v>204</v>
      </c>
      <c r="N80" s="142" t="s">
        <v>204</v>
      </c>
      <c r="O80" s="142" t="s">
        <v>339</v>
      </c>
      <c r="P80" s="161">
        <v>44375</v>
      </c>
      <c r="Q80" s="142" t="s">
        <v>1208</v>
      </c>
      <c r="R80" s="142" t="s">
        <v>884</v>
      </c>
      <c r="S80" s="142" t="s">
        <v>889</v>
      </c>
      <c r="T80" s="136" t="s">
        <v>2587</v>
      </c>
      <c r="U80" s="141">
        <v>1</v>
      </c>
      <c r="V80" s="163">
        <v>17152241.763843998</v>
      </c>
      <c r="W80" s="164">
        <v>17152.241763843998</v>
      </c>
      <c r="X80" s="165">
        <v>0.11020000000000001</v>
      </c>
      <c r="Y80" s="166">
        <v>1.078471409652104E-2</v>
      </c>
      <c r="Z80" s="166">
        <v>1.5194326198805621E-3</v>
      </c>
      <c r="AA80" s="168">
        <f t="shared" si="1"/>
        <v>0</v>
      </c>
    </row>
    <row r="81" spans="1:27" x14ac:dyDescent="0.2">
      <c r="A81" s="142" t="s">
        <v>1204</v>
      </c>
      <c r="B81" s="142" t="s">
        <v>1204</v>
      </c>
      <c r="C81" s="136" t="s">
        <v>2668</v>
      </c>
      <c r="D81" s="142">
        <v>500451760</v>
      </c>
      <c r="E81" s="142" t="s">
        <v>310</v>
      </c>
      <c r="F81" s="142" t="s">
        <v>2458</v>
      </c>
      <c r="G81" s="142">
        <v>60401700</v>
      </c>
      <c r="H81" s="142" t="s">
        <v>312</v>
      </c>
      <c r="I81" s="142" t="s">
        <v>1005</v>
      </c>
      <c r="J81" s="142" t="s">
        <v>839</v>
      </c>
      <c r="K81" s="142" t="s">
        <v>204</v>
      </c>
      <c r="L81" s="142" t="s">
        <v>217</v>
      </c>
      <c r="M81" s="142" t="s">
        <v>204</v>
      </c>
      <c r="N81" s="142" t="s">
        <v>204</v>
      </c>
      <c r="O81" s="142" t="s">
        <v>339</v>
      </c>
      <c r="P81" s="161">
        <v>42425</v>
      </c>
      <c r="Q81" s="142" t="s">
        <v>1209</v>
      </c>
      <c r="R81" s="142" t="s">
        <v>884</v>
      </c>
      <c r="S81" s="142" t="s">
        <v>889</v>
      </c>
      <c r="T81" s="136" t="s">
        <v>2581</v>
      </c>
      <c r="U81" s="162">
        <v>3.7589999999999999</v>
      </c>
      <c r="V81" s="163">
        <v>4054407.7749999999</v>
      </c>
      <c r="W81" s="164">
        <v>15240.518826224999</v>
      </c>
      <c r="X81" s="165">
        <v>7.1099999999999997E-2</v>
      </c>
      <c r="Y81" s="166">
        <v>9.5826913173504141E-3</v>
      </c>
      <c r="Z81" s="166">
        <v>1.3500825004276503E-3</v>
      </c>
      <c r="AA81" s="168">
        <f t="shared" si="1"/>
        <v>0</v>
      </c>
    </row>
    <row r="82" spans="1:27" x14ac:dyDescent="0.2">
      <c r="A82" s="142" t="s">
        <v>1204</v>
      </c>
      <c r="B82" s="142" t="s">
        <v>1204</v>
      </c>
      <c r="C82" s="136" t="s">
        <v>2675</v>
      </c>
      <c r="D82" s="142">
        <v>500446794</v>
      </c>
      <c r="E82" s="142" t="s">
        <v>310</v>
      </c>
      <c r="F82" s="142" t="s">
        <v>2459</v>
      </c>
      <c r="G82" s="142">
        <v>60397874</v>
      </c>
      <c r="H82" s="142" t="s">
        <v>312</v>
      </c>
      <c r="I82" s="142" t="s">
        <v>1005</v>
      </c>
      <c r="J82" s="142" t="s">
        <v>836</v>
      </c>
      <c r="K82" s="142" t="s">
        <v>204</v>
      </c>
      <c r="L82" s="142" t="s">
        <v>240</v>
      </c>
      <c r="M82" s="136" t="s">
        <v>224</v>
      </c>
      <c r="N82" s="142" t="s">
        <v>204</v>
      </c>
      <c r="O82" s="142" t="s">
        <v>339</v>
      </c>
      <c r="P82" s="161">
        <v>42355</v>
      </c>
      <c r="Q82" s="142" t="s">
        <v>1209</v>
      </c>
      <c r="R82" s="142" t="s">
        <v>884</v>
      </c>
      <c r="S82" s="142" t="s">
        <v>889</v>
      </c>
      <c r="T82" s="136" t="s">
        <v>2597</v>
      </c>
      <c r="U82" s="162">
        <v>3.7589999999999999</v>
      </c>
      <c r="V82" s="163">
        <v>3837191.4664135943</v>
      </c>
      <c r="W82" s="164">
        <v>14424.002722248701</v>
      </c>
      <c r="X82" s="165">
        <v>1.4200000000000001E-2</v>
      </c>
      <c r="Y82" s="166">
        <v>9.0692952926306608E-3</v>
      </c>
      <c r="Z82" s="166">
        <v>1.277751360269949E-3</v>
      </c>
      <c r="AA82" s="168">
        <f t="shared" si="1"/>
        <v>0</v>
      </c>
    </row>
    <row r="83" spans="1:27" x14ac:dyDescent="0.2">
      <c r="A83" s="142" t="s">
        <v>1204</v>
      </c>
      <c r="B83" s="142" t="s">
        <v>1204</v>
      </c>
      <c r="C83" s="136" t="s">
        <v>2653</v>
      </c>
      <c r="D83" s="142">
        <v>6751887600</v>
      </c>
      <c r="E83" s="142" t="s">
        <v>311</v>
      </c>
      <c r="F83" s="142" t="s">
        <v>2460</v>
      </c>
      <c r="G83" s="142">
        <v>62014618</v>
      </c>
      <c r="H83" s="142" t="s">
        <v>312</v>
      </c>
      <c r="I83" s="142" t="s">
        <v>1005</v>
      </c>
      <c r="J83" s="142" t="s">
        <v>839</v>
      </c>
      <c r="K83" s="142" t="s">
        <v>205</v>
      </c>
      <c r="L83" s="142" t="s">
        <v>217</v>
      </c>
      <c r="M83" s="136" t="s">
        <v>224</v>
      </c>
      <c r="N83" s="142" t="s">
        <v>224</v>
      </c>
      <c r="O83" s="142" t="s">
        <v>339</v>
      </c>
      <c r="P83" s="161">
        <v>43788</v>
      </c>
      <c r="Q83" s="142" t="s">
        <v>1209</v>
      </c>
      <c r="R83" s="142" t="s">
        <v>884</v>
      </c>
      <c r="S83" s="142" t="s">
        <v>889</v>
      </c>
      <c r="T83" s="136" t="s">
        <v>2581</v>
      </c>
      <c r="U83" s="162">
        <v>3.7589999999999999</v>
      </c>
      <c r="V83" s="163">
        <v>3542341.8398499866</v>
      </c>
      <c r="W83" s="164">
        <v>13315.6629759961</v>
      </c>
      <c r="X83" s="165">
        <v>1.49E-2</v>
      </c>
      <c r="Y83" s="166">
        <v>8.3724110340178005E-3</v>
      </c>
      <c r="Z83" s="166">
        <v>1.1795690009286631E-3</v>
      </c>
      <c r="AA83" s="168">
        <f t="shared" si="1"/>
        <v>0</v>
      </c>
    </row>
    <row r="84" spans="1:27" x14ac:dyDescent="0.2">
      <c r="A84" s="142" t="s">
        <v>1204</v>
      </c>
      <c r="B84" s="142" t="s">
        <v>1204</v>
      </c>
      <c r="C84" s="136" t="s">
        <v>2676</v>
      </c>
      <c r="D84" s="142" t="s">
        <v>2617</v>
      </c>
      <c r="E84" s="142" t="s">
        <v>313</v>
      </c>
      <c r="F84" s="142" t="s">
        <v>2461</v>
      </c>
      <c r="G84" s="142">
        <v>666111844</v>
      </c>
      <c r="H84" s="142" t="s">
        <v>312</v>
      </c>
      <c r="I84" s="142" t="s">
        <v>1005</v>
      </c>
      <c r="J84" s="142" t="s">
        <v>836</v>
      </c>
      <c r="K84" s="142" t="s">
        <v>205</v>
      </c>
      <c r="L84" s="142" t="s">
        <v>233</v>
      </c>
      <c r="M84" s="142" t="s">
        <v>233</v>
      </c>
      <c r="N84" s="142" t="s">
        <v>224</v>
      </c>
      <c r="O84" s="142" t="s">
        <v>339</v>
      </c>
      <c r="P84" s="161">
        <v>45236</v>
      </c>
      <c r="Q84" s="142" t="s">
        <v>1209</v>
      </c>
      <c r="R84" s="142" t="s">
        <v>884</v>
      </c>
      <c r="S84" s="142" t="s">
        <v>889</v>
      </c>
      <c r="T84" s="136" t="s">
        <v>2581</v>
      </c>
      <c r="U84" s="162">
        <v>3.7589999999999999</v>
      </c>
      <c r="V84" s="163">
        <v>3469255.8380220006</v>
      </c>
      <c r="W84" s="164">
        <v>13040.9326951247</v>
      </c>
      <c r="X84" s="165">
        <v>2E-3</v>
      </c>
      <c r="Y84" s="166">
        <v>8.1996704923644886E-3</v>
      </c>
      <c r="Z84" s="166">
        <v>1.1552319984439567E-3</v>
      </c>
      <c r="AA84" s="168">
        <f t="shared" si="1"/>
        <v>0</v>
      </c>
    </row>
    <row r="85" spans="1:27" x14ac:dyDescent="0.2">
      <c r="A85" s="142" t="s">
        <v>1204</v>
      </c>
      <c r="B85" s="142" t="s">
        <v>1204</v>
      </c>
      <c r="C85" s="136" t="s">
        <v>2652</v>
      </c>
      <c r="D85" s="142" t="s">
        <v>2606</v>
      </c>
      <c r="E85" s="142" t="s">
        <v>313</v>
      </c>
      <c r="F85" s="142" t="s">
        <v>2462</v>
      </c>
      <c r="G85" s="142">
        <v>666111232</v>
      </c>
      <c r="H85" s="142" t="s">
        <v>312</v>
      </c>
      <c r="I85" s="142" t="s">
        <v>1005</v>
      </c>
      <c r="J85" s="142" t="s">
        <v>835</v>
      </c>
      <c r="K85" s="142" t="s">
        <v>205</v>
      </c>
      <c r="L85" s="142" t="s">
        <v>217</v>
      </c>
      <c r="M85" s="136" t="s">
        <v>224</v>
      </c>
      <c r="N85" s="142" t="s">
        <v>224</v>
      </c>
      <c r="O85" s="142" t="s">
        <v>339</v>
      </c>
      <c r="P85" s="161">
        <v>45006</v>
      </c>
      <c r="Q85" s="142" t="s">
        <v>1209</v>
      </c>
      <c r="R85" s="142" t="s">
        <v>884</v>
      </c>
      <c r="S85" s="142" t="s">
        <v>889</v>
      </c>
      <c r="T85" s="136" t="s">
        <v>2593</v>
      </c>
      <c r="U85" s="162">
        <v>3.7589999999999999</v>
      </c>
      <c r="V85" s="163">
        <v>3159147.75</v>
      </c>
      <c r="W85" s="164">
        <v>11875.236392250001</v>
      </c>
      <c r="X85" s="165">
        <v>1.0840000000000001E-2</v>
      </c>
      <c r="Y85" s="166">
        <v>7.466722489242488E-3</v>
      </c>
      <c r="Z85" s="166">
        <v>1.0519687042432199E-3</v>
      </c>
      <c r="AA85" s="168">
        <f t="shared" si="1"/>
        <v>0</v>
      </c>
    </row>
    <row r="86" spans="1:27" x14ac:dyDescent="0.2">
      <c r="A86" s="142" t="s">
        <v>1204</v>
      </c>
      <c r="B86" s="142" t="s">
        <v>1204</v>
      </c>
      <c r="C86" s="136" t="s">
        <v>2677</v>
      </c>
      <c r="D86" s="142">
        <v>513373993</v>
      </c>
      <c r="E86" s="142" t="s">
        <v>309</v>
      </c>
      <c r="F86" s="142" t="s">
        <v>2463</v>
      </c>
      <c r="G86" s="142">
        <v>666111299</v>
      </c>
      <c r="H86" s="142" t="s">
        <v>312</v>
      </c>
      <c r="I86" s="142" t="s">
        <v>1005</v>
      </c>
      <c r="J86" s="142" t="s">
        <v>842</v>
      </c>
      <c r="K86" s="142" t="s">
        <v>205</v>
      </c>
      <c r="L86" s="142" t="s">
        <v>224</v>
      </c>
      <c r="M86" s="136" t="s">
        <v>224</v>
      </c>
      <c r="N86" s="142" t="s">
        <v>224</v>
      </c>
      <c r="O86" s="142" t="s">
        <v>339</v>
      </c>
      <c r="P86" s="161">
        <v>45026</v>
      </c>
      <c r="Q86" s="142" t="s">
        <v>1209</v>
      </c>
      <c r="R86" s="142" t="s">
        <v>884</v>
      </c>
      <c r="S86" s="142" t="s">
        <v>889</v>
      </c>
      <c r="T86" s="136" t="s">
        <v>2584</v>
      </c>
      <c r="U86" s="162">
        <v>3.7589999999999999</v>
      </c>
      <c r="V86" s="163">
        <v>2375258.5963409604</v>
      </c>
      <c r="W86" s="164">
        <v>8928.5970636456696</v>
      </c>
      <c r="X86" s="165">
        <v>4.6219999999999997E-2</v>
      </c>
      <c r="Y86" s="166">
        <v>5.6139814223838038E-3</v>
      </c>
      <c r="Z86" s="166">
        <v>7.9094043886847939E-4</v>
      </c>
      <c r="AA86" s="168">
        <f t="shared" si="1"/>
        <v>0</v>
      </c>
    </row>
    <row r="87" spans="1:27" x14ac:dyDescent="0.2">
      <c r="A87" s="142" t="s">
        <v>1204</v>
      </c>
      <c r="B87" s="142" t="s">
        <v>1204</v>
      </c>
      <c r="C87" s="136" t="s">
        <v>2678</v>
      </c>
      <c r="D87" s="142">
        <v>540303864</v>
      </c>
      <c r="E87" s="142" t="s">
        <v>309</v>
      </c>
      <c r="F87" s="142" t="s">
        <v>2464</v>
      </c>
      <c r="G87" s="142">
        <v>666109871</v>
      </c>
      <c r="H87" s="142" t="s">
        <v>312</v>
      </c>
      <c r="I87" s="142" t="s">
        <v>1005</v>
      </c>
      <c r="J87" s="142" t="s">
        <v>832</v>
      </c>
      <c r="K87" s="142" t="s">
        <v>205</v>
      </c>
      <c r="L87" s="142" t="s">
        <v>204</v>
      </c>
      <c r="M87" s="142" t="s">
        <v>204</v>
      </c>
      <c r="N87" s="142" t="s">
        <v>224</v>
      </c>
      <c r="O87" s="142" t="s">
        <v>339</v>
      </c>
      <c r="P87" s="161">
        <v>44581</v>
      </c>
      <c r="Q87" s="142" t="s">
        <v>1209</v>
      </c>
      <c r="R87" s="142" t="s">
        <v>884</v>
      </c>
      <c r="S87" s="142" t="s">
        <v>889</v>
      </c>
      <c r="T87" s="136" t="s">
        <v>2582</v>
      </c>
      <c r="U87" s="162">
        <v>3.7589999999999999</v>
      </c>
      <c r="V87" s="163">
        <v>1684533.0445840012</v>
      </c>
      <c r="W87" s="164">
        <v>6332.1597145912601</v>
      </c>
      <c r="X87" s="165">
        <v>3.6999999999999998E-2</v>
      </c>
      <c r="Y87" s="166">
        <v>3.9814347929334679E-3</v>
      </c>
      <c r="Z87" s="166">
        <v>5.6093484205223308E-4</v>
      </c>
      <c r="AA87" s="168">
        <f t="shared" si="1"/>
        <v>0</v>
      </c>
    </row>
    <row r="88" spans="1:27" x14ac:dyDescent="0.2">
      <c r="A88" s="142" t="s">
        <v>1204</v>
      </c>
      <c r="B88" s="142" t="s">
        <v>1204</v>
      </c>
      <c r="C88" s="136" t="s">
        <v>2630</v>
      </c>
      <c r="D88" s="142">
        <v>540316940</v>
      </c>
      <c r="E88" s="142" t="s">
        <v>310</v>
      </c>
      <c r="F88" s="142" t="s">
        <v>2465</v>
      </c>
      <c r="G88" s="142">
        <v>666110812</v>
      </c>
      <c r="H88" s="142" t="s">
        <v>312</v>
      </c>
      <c r="I88" s="142" t="s">
        <v>1005</v>
      </c>
      <c r="J88" s="142" t="s">
        <v>832</v>
      </c>
      <c r="K88" s="142" t="s">
        <v>204</v>
      </c>
      <c r="L88" s="142" t="s">
        <v>204</v>
      </c>
      <c r="M88" s="142" t="s">
        <v>204</v>
      </c>
      <c r="N88" s="142" t="s">
        <v>204</v>
      </c>
      <c r="O88" s="142" t="s">
        <v>339</v>
      </c>
      <c r="P88" s="161">
        <v>44853</v>
      </c>
      <c r="Q88" s="142" t="s">
        <v>1209</v>
      </c>
      <c r="R88" s="142" t="s">
        <v>884</v>
      </c>
      <c r="S88" s="142" t="s">
        <v>889</v>
      </c>
      <c r="T88" s="136" t="s">
        <v>2582</v>
      </c>
      <c r="U88" s="162">
        <v>3.7589999999999999</v>
      </c>
      <c r="V88" s="163">
        <v>1566016</v>
      </c>
      <c r="W88" s="164">
        <v>5886.6541440000001</v>
      </c>
      <c r="X88" s="165">
        <v>4.8090000000000001E-2</v>
      </c>
      <c r="Y88" s="166">
        <v>3.7013168775387492E-3</v>
      </c>
      <c r="Z88" s="166">
        <v>5.2146969775128437E-4</v>
      </c>
      <c r="AA88" s="168">
        <f t="shared" si="1"/>
        <v>0</v>
      </c>
    </row>
    <row r="89" spans="1:27" x14ac:dyDescent="0.2">
      <c r="A89" s="142" t="s">
        <v>1204</v>
      </c>
      <c r="B89" s="142" t="s">
        <v>1204</v>
      </c>
      <c r="C89" s="136" t="s">
        <v>2377</v>
      </c>
      <c r="D89" s="142">
        <v>1999686</v>
      </c>
      <c r="E89" s="142" t="s">
        <v>311</v>
      </c>
      <c r="F89" s="142" t="s">
        <v>2466</v>
      </c>
      <c r="G89" s="142">
        <v>666110911</v>
      </c>
      <c r="H89" s="142" t="s">
        <v>312</v>
      </c>
      <c r="I89" s="142" t="s">
        <v>1005</v>
      </c>
      <c r="J89" s="142" t="s">
        <v>842</v>
      </c>
      <c r="K89" s="142" t="s">
        <v>204</v>
      </c>
      <c r="L89" s="142" t="s">
        <v>204</v>
      </c>
      <c r="M89" s="142" t="s">
        <v>204</v>
      </c>
      <c r="N89" s="142" t="s">
        <v>204</v>
      </c>
      <c r="O89" s="142" t="s">
        <v>339</v>
      </c>
      <c r="P89" s="161">
        <v>44882</v>
      </c>
      <c r="Q89" s="142" t="s">
        <v>1209</v>
      </c>
      <c r="R89" s="142" t="s">
        <v>884</v>
      </c>
      <c r="S89" s="142" t="s">
        <v>889</v>
      </c>
      <c r="T89" s="136" t="s">
        <v>2581</v>
      </c>
      <c r="U89" s="162">
        <v>3.7589999999999999</v>
      </c>
      <c r="V89" s="163">
        <v>1092081.6000000001</v>
      </c>
      <c r="W89" s="164">
        <v>4105.1347343999996</v>
      </c>
      <c r="X89" s="165">
        <v>4.5900000000000003E-2</v>
      </c>
      <c r="Y89" s="166">
        <v>2.5811614043084624E-3</v>
      </c>
      <c r="Z89" s="166">
        <v>3.6365366756900249E-4</v>
      </c>
      <c r="AA89" s="168">
        <f t="shared" si="1"/>
        <v>0</v>
      </c>
    </row>
    <row r="90" spans="1:27" x14ac:dyDescent="0.2">
      <c r="A90" s="195" t="s">
        <v>2681</v>
      </c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1048574" spans="12:12" x14ac:dyDescent="0.2">
      <c r="L1048574" s="13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1">
    <mergeCell ref="A90:Z90"/>
  </mergeCells>
  <dataValidations disablePrompts="1"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88:K89 K22 K24 K26:K28 K30 K34:K37 K39 K41:K43 K45:K46 K48:K52 K54:K59 K65:K66 K70:K72 K74:K75 K77:K78 K80:K82 K2:K6 K11 K13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L20 M2:M83 M85:M89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89" xr:uid="{00000000-0002-0000-1300-000007000000}">
      <formula1>Issuer_Number_Fund</formula1>
    </dataValidation>
    <dataValidation type="list" allowBlank="1" showInputMessage="1" showErrorMessage="1" sqref="H2:H89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</row>
    <row r="2" spans="1:28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3"/>
      <c r="AB2" s="103"/>
    </row>
    <row r="3" spans="1:28" x14ac:dyDescent="0.2">
      <c r="A3" s="103"/>
      <c r="B3" s="103"/>
      <c r="C3" s="103"/>
      <c r="D3" s="103"/>
      <c r="E3" s="16"/>
      <c r="F3" s="103"/>
      <c r="G3" s="103"/>
      <c r="H3" s="103"/>
      <c r="I3" s="16"/>
      <c r="J3" s="16"/>
      <c r="K3" s="103"/>
      <c r="L3" s="103"/>
      <c r="M3" s="103"/>
      <c r="N3" s="103"/>
      <c r="O3" s="103"/>
      <c r="P3" s="103"/>
      <c r="Q3" s="16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x14ac:dyDescent="0.2">
      <c r="A4" s="103"/>
      <c r="B4" s="103"/>
      <c r="C4" s="103"/>
      <c r="D4" s="103"/>
      <c r="E4" s="16"/>
      <c r="F4" s="103"/>
      <c r="G4" s="103"/>
      <c r="H4" s="103"/>
      <c r="I4" s="16"/>
      <c r="J4" s="16"/>
      <c r="K4" s="103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x14ac:dyDescent="0.2">
      <c r="A5" s="103"/>
      <c r="B5" s="103"/>
      <c r="C5" s="103"/>
      <c r="D5" s="103"/>
      <c r="E5" s="16"/>
      <c r="F5" s="103"/>
      <c r="G5" s="103"/>
      <c r="H5" s="103"/>
      <c r="I5" s="16"/>
      <c r="J5" s="16"/>
      <c r="K5" s="103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x14ac:dyDescent="0.2">
      <c r="A6" s="103"/>
      <c r="B6" s="103"/>
      <c r="C6" s="103"/>
      <c r="D6" s="103"/>
      <c r="E6" s="16"/>
      <c r="F6" s="103"/>
      <c r="G6" s="103"/>
      <c r="H6" s="103"/>
      <c r="I6" s="16"/>
      <c r="J6" s="16"/>
      <c r="K6" s="103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x14ac:dyDescent="0.2">
      <c r="A7" s="103"/>
      <c r="B7" s="103"/>
      <c r="C7" s="103"/>
      <c r="D7" s="103"/>
      <c r="E7" s="16"/>
      <c r="F7" s="103"/>
      <c r="G7" s="103"/>
      <c r="H7" s="103"/>
      <c r="I7" s="16"/>
      <c r="J7" s="16"/>
      <c r="K7" s="103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x14ac:dyDescent="0.2">
      <c r="A8" s="103"/>
      <c r="B8" s="103"/>
      <c r="C8" s="103"/>
      <c r="D8" s="103"/>
      <c r="E8" s="16"/>
      <c r="F8" s="103"/>
      <c r="G8" s="103"/>
      <c r="H8" s="103"/>
      <c r="I8" s="16"/>
      <c r="J8" s="16"/>
      <c r="K8" s="103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x14ac:dyDescent="0.2">
      <c r="A9" s="103"/>
      <c r="B9" s="103"/>
      <c r="C9" s="103"/>
      <c r="D9" s="103"/>
      <c r="E9" s="16"/>
      <c r="F9" s="103"/>
      <c r="G9" s="103"/>
      <c r="H9" s="103"/>
      <c r="I9" s="16"/>
      <c r="J9" s="16"/>
      <c r="K9" s="103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x14ac:dyDescent="0.2">
      <c r="A10" s="103"/>
      <c r="B10" s="103"/>
      <c r="C10" s="103"/>
      <c r="D10" s="103"/>
      <c r="E10" s="16"/>
      <c r="F10" s="103"/>
      <c r="G10" s="103"/>
      <c r="H10" s="103"/>
      <c r="I10" s="16"/>
      <c r="J10" s="16"/>
      <c r="K10" s="103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x14ac:dyDescent="0.2">
      <c r="A11" s="103"/>
      <c r="B11" s="103"/>
      <c r="C11" s="103"/>
      <c r="D11" s="103"/>
      <c r="E11" s="16"/>
      <c r="F11" s="103"/>
      <c r="G11" s="103"/>
      <c r="H11" s="103"/>
      <c r="I11" s="16"/>
      <c r="J11" s="16"/>
      <c r="K11" s="103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x14ac:dyDescent="0.2">
      <c r="A12" s="103"/>
      <c r="B12" s="103"/>
      <c r="C12" s="103"/>
      <c r="D12" s="103"/>
      <c r="E12" s="16"/>
      <c r="F12" s="103"/>
      <c r="G12" s="103"/>
      <c r="H12" s="103"/>
      <c r="I12" s="16"/>
      <c r="J12" s="16"/>
      <c r="K12" s="103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x14ac:dyDescent="0.2">
      <c r="A13" s="103"/>
      <c r="B13" s="103"/>
      <c r="C13" s="103"/>
      <c r="D13" s="103"/>
      <c r="E13" s="16"/>
      <c r="F13" s="103"/>
      <c r="G13" s="103"/>
      <c r="H13" s="103"/>
      <c r="I13" s="16"/>
      <c r="J13" s="16"/>
      <c r="K13" s="103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x14ac:dyDescent="0.2">
      <c r="A14" s="103"/>
      <c r="B14" s="103"/>
      <c r="C14" s="103"/>
      <c r="D14" s="103"/>
      <c r="E14" s="16"/>
      <c r="F14" s="103"/>
      <c r="G14" s="103"/>
      <c r="H14" s="103"/>
      <c r="I14" s="16"/>
      <c r="J14" s="16"/>
      <c r="K14" s="103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x14ac:dyDescent="0.2">
      <c r="A15" s="103"/>
      <c r="B15" s="103"/>
      <c r="C15" s="103"/>
      <c r="D15" s="103"/>
      <c r="E15" s="16"/>
      <c r="F15" s="103"/>
      <c r="G15" s="103"/>
      <c r="H15" s="103"/>
      <c r="I15" s="16"/>
      <c r="J15" s="16"/>
      <c r="K15" s="103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x14ac:dyDescent="0.2">
      <c r="A16" s="103"/>
      <c r="B16" s="103"/>
      <c r="C16" s="103"/>
      <c r="D16" s="103"/>
      <c r="E16" s="16"/>
      <c r="F16" s="103"/>
      <c r="G16" s="103"/>
      <c r="H16" s="103"/>
      <c r="I16" s="16"/>
      <c r="J16" s="16"/>
      <c r="K16" s="103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03"/>
      <c r="I17" s="16"/>
      <c r="J17" s="16"/>
      <c r="K17" s="103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03"/>
      <c r="I18" s="16"/>
      <c r="J18" s="16"/>
      <c r="K18" s="103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03"/>
      <c r="I19" s="16"/>
      <c r="J19" s="16"/>
      <c r="K19" s="103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03"/>
      <c r="I20" s="16"/>
      <c r="J20" s="16"/>
      <c r="K20" s="103"/>
      <c r="L20" s="102"/>
      <c r="M20" s="103"/>
      <c r="N20" s="102"/>
      <c r="O20" s="103"/>
      <c r="P20" s="102"/>
      <c r="Q20" s="102"/>
      <c r="R20" s="102"/>
      <c r="S20" s="103"/>
      <c r="T20" s="102"/>
      <c r="U20" s="102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/>
      <c r="I21" s="102"/>
      <c r="J21" s="102"/>
      <c r="K21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4" spans="1:28" x14ac:dyDescent="0.2">
      <c r="A24" s="102"/>
      <c r="B24" s="102"/>
      <c r="C24" s="102"/>
      <c r="D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9">
    <dataValidation type="list" allowBlank="1" showInputMessage="1" showErrorMessage="1" sqref="I3:I20" xr:uid="{00000000-0002-0000-1400-000000000000}">
      <formula1>israel_abroad</formula1>
    </dataValidation>
    <dataValidation type="list" allowBlank="1" showInputMessage="1" showErrorMessage="1" sqref="O3:O20" xr:uid="{00000000-0002-0000-1400-000001000000}">
      <formula1>Holding_interest</formula1>
    </dataValidation>
    <dataValidation type="list" allowBlank="1" showInputMessage="1" showErrorMessage="1" sqref="R3:R19" xr:uid="{00000000-0002-0000-1400-000002000000}">
      <formula1>Valuation</formula1>
    </dataValidation>
    <dataValidation type="list" allowBlank="1" showInputMessage="1" showErrorMessage="1" sqref="S3:S20" xr:uid="{00000000-0002-0000-1400-000003000000}">
      <formula1>Dependence_Independence</formula1>
    </dataValidation>
    <dataValidation type="list" allowBlank="1" showInputMessage="1" showErrorMessage="1" sqref="J3:J20" xr:uid="{00000000-0002-0000-1400-000004000000}">
      <formula1>Country_list</formula1>
    </dataValidation>
    <dataValidation type="list" allowBlank="1" showInputMessage="1" showErrorMessage="1" sqref="H3:H20" xr:uid="{00000000-0002-0000-1400-000005000000}">
      <formula1>Type_of_Security_ID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3:M20" xr:uid="{00000000-0002-0000-1400-000008000000}">
      <formula1>Industry_Sector</formula1>
    </dataValidation>
    <dataValidation type="list" allowBlank="1" showInputMessage="1" showErrorMessage="1" sqref="K3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1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3"/>
      <c r="AB2" s="103"/>
    </row>
    <row r="3" spans="1:28" x14ac:dyDescent="0.2">
      <c r="A3" s="103"/>
      <c r="B3" s="103"/>
      <c r="C3" s="103"/>
      <c r="D3" s="103"/>
      <c r="E3" s="16"/>
      <c r="F3" s="103"/>
      <c r="G3" s="103"/>
      <c r="H3" s="103"/>
      <c r="I3" s="103"/>
      <c r="J3" s="16"/>
      <c r="K3" s="16"/>
      <c r="L3" s="103"/>
      <c r="M3" s="103"/>
      <c r="N3" s="103"/>
      <c r="O3" s="103"/>
      <c r="P3" s="103"/>
      <c r="Q3" s="16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3"/>
      <c r="P20" s="102"/>
      <c r="Q20" s="102"/>
      <c r="R20" s="103"/>
      <c r="S20" s="103"/>
      <c r="T20" s="102"/>
      <c r="U20" s="102"/>
      <c r="V20" s="102"/>
      <c r="W20" s="102"/>
      <c r="X20" s="102"/>
      <c r="Y20" s="102"/>
      <c r="Z20" s="102"/>
      <c r="AA20" s="102"/>
      <c r="AB20" s="102"/>
    </row>
    <row r="21" spans="1:28" x14ac:dyDescent="0.2">
      <c r="A21" s="102"/>
      <c r="B21" s="102"/>
      <c r="C21" s="102"/>
      <c r="D21" s="102"/>
      <c r="E21"/>
      <c r="F21" s="102"/>
      <c r="G21" s="102"/>
      <c r="H21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9">
    <dataValidation type="list" allowBlank="1" showInputMessage="1" showErrorMessage="1" sqref="J3:J20" xr:uid="{00000000-0002-0000-1500-000000000000}">
      <formula1>israel_abroad</formula1>
    </dataValidation>
    <dataValidation type="list" allowBlank="1" showInputMessage="1" showErrorMessage="1" sqref="O3:O20" xr:uid="{00000000-0002-0000-1500-000001000000}">
      <formula1>Holding_interest</formula1>
    </dataValidation>
    <dataValidation type="list" allowBlank="1" showInputMessage="1" showErrorMessage="1" sqref="M3:M20" xr:uid="{00000000-0002-0000-1500-000002000000}">
      <formula1>Underlying_Asset</formula1>
    </dataValidation>
    <dataValidation type="list" allowBlank="1" showInputMessage="1" showErrorMessage="1" sqref="R3:R20" xr:uid="{00000000-0002-0000-1500-000003000000}">
      <formula1>Valuation</formula1>
    </dataValidation>
    <dataValidation type="list" allowBlank="1" showInputMessage="1" showErrorMessage="1" sqref="S3:S20" xr:uid="{00000000-0002-0000-1500-000004000000}">
      <formula1>Dependence_Independence</formula1>
    </dataValidation>
    <dataValidation type="list" allowBlank="1" showInputMessage="1" showErrorMessage="1" sqref="K3:K20" xr:uid="{00000000-0002-0000-1500-000005000000}">
      <formula1>Country_list</formula1>
    </dataValidation>
    <dataValidation type="list" allowBlank="1" showInputMessage="1" showErrorMessage="1" sqref="H3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L3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I3:I20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workbookViewId="0">
      <selection activeCell="G2" sqref="G2"/>
    </sheetView>
  </sheetViews>
  <sheetFormatPr defaultColWidth="9" defaultRowHeight="14.25" x14ac:dyDescent="0.2"/>
  <cols>
    <col min="1" max="1" width="12.125" style="10" customWidth="1"/>
    <col min="2" max="3" width="11.625" style="10" customWidth="1"/>
    <col min="4" max="4" width="16.25" style="10" customWidth="1"/>
    <col min="5" max="5" width="17" style="10" customWidth="1"/>
    <col min="6" max="6" width="11.625" style="10" customWidth="1"/>
    <col min="7" max="7" width="15.7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625" style="10" customWidth="1"/>
    <col min="14" max="14" width="15.75" style="10" bestFit="1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1.625" style="10" customWidth="1"/>
    <col min="20" max="20" width="19.875" style="10" customWidth="1"/>
    <col min="21" max="24" width="11.625" style="10" customWidth="1"/>
    <col min="25" max="25" width="15.125" style="10" customWidth="1"/>
    <col min="26" max="26" width="19.625" style="10" customWidth="1"/>
    <col min="27" max="28" width="12.625" style="10" customWidth="1"/>
    <col min="29" max="29" width="11.625" style="10" customWidth="1"/>
    <col min="30" max="30" width="25.375" style="10" customWidth="1"/>
    <col min="31" max="32" width="11.62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1" ht="66.75" customHeight="1" x14ac:dyDescent="0.2">
      <c r="A1" s="169" t="s">
        <v>49</v>
      </c>
      <c r="B1" s="169" t="s">
        <v>50</v>
      </c>
      <c r="C1" s="169" t="s">
        <v>54</v>
      </c>
      <c r="D1" s="169" t="s">
        <v>120</v>
      </c>
      <c r="E1" s="169" t="s">
        <v>121</v>
      </c>
      <c r="F1" s="169" t="s">
        <v>61</v>
      </c>
      <c r="G1" s="169" t="s">
        <v>122</v>
      </c>
      <c r="H1" s="169" t="s">
        <v>123</v>
      </c>
      <c r="I1" s="169" t="s">
        <v>124</v>
      </c>
      <c r="J1" s="169" t="s">
        <v>125</v>
      </c>
      <c r="K1" s="169" t="s">
        <v>126</v>
      </c>
      <c r="L1" s="169" t="s">
        <v>127</v>
      </c>
      <c r="M1" s="169" t="s">
        <v>2688</v>
      </c>
      <c r="N1" s="169" t="s">
        <v>128</v>
      </c>
      <c r="O1" s="169" t="s">
        <v>129</v>
      </c>
      <c r="P1" s="169" t="s">
        <v>130</v>
      </c>
      <c r="Q1" s="169" t="s">
        <v>131</v>
      </c>
      <c r="R1" s="169" t="s">
        <v>132</v>
      </c>
      <c r="S1" s="169" t="s">
        <v>55</v>
      </c>
      <c r="T1" s="169" t="s">
        <v>69</v>
      </c>
      <c r="U1" s="169" t="s">
        <v>133</v>
      </c>
      <c r="V1" s="169" t="s">
        <v>134</v>
      </c>
      <c r="W1" s="169" t="s">
        <v>135</v>
      </c>
      <c r="X1" s="169" t="s">
        <v>136</v>
      </c>
      <c r="Y1" s="169" t="s">
        <v>56</v>
      </c>
      <c r="Z1" s="169" t="s">
        <v>137</v>
      </c>
      <c r="AA1" s="169" t="s">
        <v>138</v>
      </c>
      <c r="AB1" s="169" t="s">
        <v>139</v>
      </c>
      <c r="AC1" s="169" t="s">
        <v>140</v>
      </c>
      <c r="AD1" s="169" t="s">
        <v>141</v>
      </c>
      <c r="AE1" s="169" t="s">
        <v>142</v>
      </c>
      <c r="AF1" s="169" t="s">
        <v>85</v>
      </c>
      <c r="AG1" s="169" t="s">
        <v>143</v>
      </c>
      <c r="AH1" s="169" t="s">
        <v>144</v>
      </c>
      <c r="AI1" s="169" t="s">
        <v>145</v>
      </c>
      <c r="AJ1" s="169" t="s">
        <v>146</v>
      </c>
      <c r="AK1" s="169" t="s">
        <v>147</v>
      </c>
      <c r="AL1" s="169" t="s">
        <v>148</v>
      </c>
      <c r="AM1" s="169" t="s">
        <v>149</v>
      </c>
      <c r="AN1" s="169" t="s">
        <v>64</v>
      </c>
      <c r="AO1" s="169" t="s">
        <v>65</v>
      </c>
    </row>
    <row r="2" spans="1:41" x14ac:dyDescent="0.2">
      <c r="A2" t="s">
        <v>1204</v>
      </c>
      <c r="B2" t="s">
        <v>1204</v>
      </c>
      <c r="C2" t="s">
        <v>1017</v>
      </c>
      <c r="D2">
        <v>7629587</v>
      </c>
      <c r="E2" s="152" t="s">
        <v>1209</v>
      </c>
      <c r="F2" s="105">
        <v>3.7589999999999999</v>
      </c>
      <c r="G2" s="132">
        <v>240774625</v>
      </c>
      <c r="H2" s="132">
        <v>65000000</v>
      </c>
      <c r="I2" s="139">
        <v>-8.0000000000000004E-4</v>
      </c>
      <c r="J2" s="139">
        <v>-2.9999999999999997E-4</v>
      </c>
      <c r="K2"/>
      <c r="L2" s="152" t="s">
        <v>1209</v>
      </c>
      <c r="M2" s="153">
        <v>3.72</v>
      </c>
      <c r="N2" s="132">
        <v>240774625</v>
      </c>
      <c r="O2" s="132">
        <v>-64558000</v>
      </c>
      <c r="P2" t="s">
        <v>2467</v>
      </c>
      <c r="Q2" t="s">
        <v>2467</v>
      </c>
      <c r="R2" s="125">
        <v>-230865</v>
      </c>
      <c r="S2" t="s">
        <v>205</v>
      </c>
      <c r="T2" s="16" t="s">
        <v>204</v>
      </c>
      <c r="U2" s="152" t="s">
        <v>746</v>
      </c>
      <c r="V2" t="s">
        <v>314</v>
      </c>
      <c r="W2" t="s">
        <v>1599</v>
      </c>
      <c r="X2" s="105"/>
      <c r="Y2" t="s">
        <v>339</v>
      </c>
      <c r="Z2" s="154">
        <v>45425</v>
      </c>
      <c r="AA2" s="107">
        <v>45518</v>
      </c>
      <c r="AB2" t="s">
        <v>890</v>
      </c>
      <c r="AC2" s="105" t="s">
        <v>897</v>
      </c>
      <c r="AD2" s="105" t="s">
        <v>339</v>
      </c>
      <c r="AE2" s="105" t="s">
        <v>912</v>
      </c>
      <c r="AF2" s="105" t="s">
        <v>896</v>
      </c>
      <c r="AG2" t="s">
        <v>896</v>
      </c>
      <c r="AH2" s="102"/>
      <c r="AI2">
        <v>3.7589999999999999</v>
      </c>
      <c r="AJ2" s="127">
        <v>3.72</v>
      </c>
      <c r="AK2" s="105" t="s">
        <v>338</v>
      </c>
      <c r="AL2" s="102"/>
      <c r="AM2"/>
      <c r="AN2" s="129">
        <v>6.8945281877841741E-2</v>
      </c>
      <c r="AO2" s="129">
        <v>-2.0451193296969456E-5</v>
      </c>
    </row>
    <row r="3" spans="1:41" x14ac:dyDescent="0.2">
      <c r="A3" t="s">
        <v>1204</v>
      </c>
      <c r="B3" t="s">
        <v>1204</v>
      </c>
      <c r="C3" t="s">
        <v>1017</v>
      </c>
      <c r="D3">
        <v>7629591</v>
      </c>
      <c r="E3" s="152" t="s">
        <v>1209</v>
      </c>
      <c r="F3" s="105">
        <v>3.7589999999999999</v>
      </c>
      <c r="G3" s="132">
        <v>18530125</v>
      </c>
      <c r="H3" s="132">
        <v>5000000</v>
      </c>
      <c r="I3" s="139">
        <v>-1E-4</v>
      </c>
      <c r="J3" s="139">
        <v>0</v>
      </c>
      <c r="K3"/>
      <c r="L3" s="152" t="s">
        <v>1209</v>
      </c>
      <c r="M3" s="153">
        <v>3.7214999999999998</v>
      </c>
      <c r="N3" s="132">
        <v>18530125</v>
      </c>
      <c r="O3" s="132">
        <v>-4966500</v>
      </c>
      <c r="P3" t="s">
        <v>2467</v>
      </c>
      <c r="Q3" t="s">
        <v>2467</v>
      </c>
      <c r="R3" s="125">
        <v>-3117660</v>
      </c>
      <c r="S3" t="s">
        <v>205</v>
      </c>
      <c r="T3" s="16" t="s">
        <v>204</v>
      </c>
      <c r="U3" s="152" t="s">
        <v>746</v>
      </c>
      <c r="V3" t="s">
        <v>314</v>
      </c>
      <c r="W3" t="s">
        <v>1599</v>
      </c>
      <c r="X3" s="105"/>
      <c r="Y3" t="s">
        <v>339</v>
      </c>
      <c r="Z3" s="154">
        <v>45425</v>
      </c>
      <c r="AA3" s="107">
        <v>45518</v>
      </c>
      <c r="AB3" t="s">
        <v>890</v>
      </c>
      <c r="AC3" s="105" t="s">
        <v>897</v>
      </c>
      <c r="AD3" s="105" t="s">
        <v>339</v>
      </c>
      <c r="AE3" s="105" t="s">
        <v>912</v>
      </c>
      <c r="AF3" s="105" t="s">
        <v>896</v>
      </c>
      <c r="AG3" t="s">
        <v>896</v>
      </c>
      <c r="AI3">
        <v>3.7589999999999999</v>
      </c>
      <c r="AJ3" s="127">
        <v>3.7214999999999998</v>
      </c>
      <c r="AK3" s="105" t="s">
        <v>338</v>
      </c>
      <c r="AL3" s="102"/>
      <c r="AM3"/>
      <c r="AN3" s="129">
        <v>0.93105471812215823</v>
      </c>
      <c r="AO3" s="129">
        <v>-2.7617814434509254E-4</v>
      </c>
    </row>
    <row r="4" spans="1:41" x14ac:dyDescent="0.2">
      <c r="A4" s="195" t="s">
        <v>2681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07"/>
      <c r="AB4" s="105"/>
      <c r="AC4" s="105"/>
      <c r="AD4" s="105"/>
      <c r="AE4" s="105"/>
      <c r="AF4" s="105"/>
      <c r="AG4" s="105"/>
      <c r="AI4" s="105"/>
      <c r="AJ4" s="105"/>
      <c r="AK4" s="105"/>
      <c r="AL4" s="102"/>
      <c r="AM4"/>
      <c r="AN4" s="103"/>
      <c r="AO4" s="103"/>
    </row>
    <row r="5" spans="1:41" x14ac:dyDescent="0.2">
      <c r="A5" s="105"/>
      <c r="B5" s="105"/>
      <c r="C5" s="105"/>
      <c r="D5" s="1"/>
      <c r="E5" s="105"/>
      <c r="F5" s="105"/>
      <c r="G5" s="105"/>
      <c r="H5" s="12"/>
      <c r="I5"/>
      <c r="J5" s="11"/>
      <c r="K5"/>
      <c r="L5" s="105"/>
      <c r="M5"/>
      <c r="N5"/>
      <c r="O5"/>
      <c r="P5"/>
      <c r="Q5"/>
      <c r="R5" s="106"/>
      <c r="S5"/>
      <c r="T5" s="16"/>
      <c r="U5" s="105"/>
      <c r="V5" s="105"/>
      <c r="W5" s="102"/>
      <c r="X5" s="105"/>
      <c r="Y5" s="105"/>
      <c r="Z5" s="1"/>
      <c r="AA5" s="107"/>
      <c r="AB5" s="105"/>
      <c r="AC5" s="105"/>
      <c r="AD5" s="105"/>
      <c r="AE5" s="105"/>
      <c r="AF5" s="105"/>
      <c r="AG5" s="105"/>
      <c r="AI5" s="105"/>
      <c r="AJ5" s="105"/>
      <c r="AK5" s="105"/>
      <c r="AL5" s="102"/>
      <c r="AM5"/>
      <c r="AN5" s="103"/>
      <c r="AO5" s="103"/>
    </row>
    <row r="6" spans="1:41" x14ac:dyDescent="0.2">
      <c r="A6" s="105"/>
      <c r="B6" s="105"/>
      <c r="C6" s="105"/>
      <c r="D6" s="1"/>
      <c r="E6" s="105"/>
      <c r="F6" s="105"/>
      <c r="G6" s="105"/>
      <c r="H6" s="12"/>
      <c r="I6"/>
      <c r="J6" s="11"/>
      <c r="K6"/>
      <c r="L6" s="105"/>
      <c r="M6"/>
      <c r="N6"/>
      <c r="O6"/>
      <c r="P6"/>
      <c r="Q6"/>
      <c r="R6" s="106"/>
      <c r="S6"/>
      <c r="T6" s="16"/>
      <c r="U6" s="105"/>
      <c r="V6" s="105"/>
      <c r="W6" s="102"/>
      <c r="X6" s="105"/>
      <c r="Y6" s="105"/>
      <c r="Z6" s="1"/>
      <c r="AA6" s="107"/>
      <c r="AB6" s="105"/>
      <c r="AC6" s="105"/>
      <c r="AD6" s="105"/>
      <c r="AE6" s="105"/>
      <c r="AF6" s="105"/>
      <c r="AG6" s="105"/>
      <c r="AI6" s="105"/>
      <c r="AJ6" s="105"/>
      <c r="AK6" s="105"/>
      <c r="AL6" s="102"/>
      <c r="AM6"/>
      <c r="AN6" s="103"/>
      <c r="AO6" s="103"/>
    </row>
    <row r="7" spans="1:41" x14ac:dyDescent="0.2">
      <c r="A7" s="105"/>
      <c r="B7" s="105"/>
      <c r="C7" s="105"/>
      <c r="D7" s="1"/>
      <c r="E7" s="105"/>
      <c r="F7" s="105"/>
      <c r="G7" s="105"/>
      <c r="H7" s="12"/>
      <c r="I7"/>
      <c r="J7" s="11"/>
      <c r="K7"/>
      <c r="L7" s="105"/>
      <c r="M7"/>
      <c r="N7"/>
      <c r="O7"/>
      <c r="P7"/>
      <c r="Q7"/>
      <c r="R7" s="106"/>
      <c r="S7"/>
      <c r="T7" s="16"/>
      <c r="U7" s="105"/>
      <c r="V7" s="105"/>
      <c r="W7" s="102"/>
      <c r="X7" s="105"/>
      <c r="Y7" s="105"/>
      <c r="Z7" s="1"/>
      <c r="AA7" s="107"/>
      <c r="AB7" s="105"/>
      <c r="AC7" s="105"/>
      <c r="AD7" s="105"/>
      <c r="AE7" s="105"/>
      <c r="AF7" s="105"/>
      <c r="AG7" s="105"/>
      <c r="AI7" s="105"/>
      <c r="AJ7" s="105"/>
      <c r="AK7" s="105"/>
      <c r="AL7" s="102"/>
      <c r="AM7"/>
      <c r="AN7" s="103"/>
      <c r="AO7" s="103"/>
    </row>
    <row r="8" spans="1:41" x14ac:dyDescent="0.2">
      <c r="A8" s="105"/>
      <c r="B8" s="105"/>
      <c r="C8" s="105"/>
      <c r="D8" s="1"/>
      <c r="E8" s="105"/>
      <c r="F8" s="105"/>
      <c r="G8" s="105"/>
      <c r="H8" s="12"/>
      <c r="I8"/>
      <c r="J8" s="11"/>
      <c r="K8"/>
      <c r="L8" s="105"/>
      <c r="M8"/>
      <c r="N8"/>
      <c r="O8"/>
      <c r="P8"/>
      <c r="Q8"/>
      <c r="R8" s="106"/>
      <c r="S8"/>
      <c r="T8" s="16"/>
      <c r="U8" s="105"/>
      <c r="V8" s="105"/>
      <c r="W8" s="102"/>
      <c r="X8" s="105"/>
      <c r="Y8" s="105"/>
      <c r="Z8" s="1"/>
      <c r="AA8" s="107"/>
      <c r="AB8" s="105"/>
      <c r="AC8" s="105"/>
      <c r="AD8" s="105"/>
      <c r="AE8" s="105"/>
      <c r="AF8" s="105"/>
      <c r="AG8" s="105"/>
      <c r="AI8" s="105"/>
      <c r="AJ8" s="105"/>
      <c r="AK8" s="105"/>
      <c r="AL8" s="102"/>
      <c r="AM8"/>
      <c r="AN8" s="103"/>
      <c r="AO8" s="103"/>
    </row>
    <row r="9" spans="1:41" x14ac:dyDescent="0.2">
      <c r="A9" s="105"/>
      <c r="B9" s="105"/>
      <c r="C9" s="105"/>
      <c r="D9" s="1"/>
      <c r="E9" s="105"/>
      <c r="F9" s="105"/>
      <c r="G9" s="105"/>
      <c r="H9" s="12"/>
      <c r="I9"/>
      <c r="J9" s="11"/>
      <c r="K9"/>
      <c r="L9" s="105"/>
      <c r="M9"/>
      <c r="N9"/>
      <c r="O9"/>
      <c r="P9"/>
      <c r="Q9"/>
      <c r="R9" s="106"/>
      <c r="S9"/>
      <c r="T9" s="16"/>
      <c r="U9" s="105"/>
      <c r="V9" s="105"/>
      <c r="W9" s="102"/>
      <c r="X9" s="105"/>
      <c r="Y9" s="105"/>
      <c r="Z9" s="1"/>
      <c r="AA9" s="107"/>
      <c r="AB9" s="105"/>
      <c r="AC9" s="105"/>
      <c r="AD9" s="105"/>
      <c r="AE9" s="105"/>
      <c r="AF9" s="105"/>
      <c r="AG9" s="105"/>
      <c r="AI9" s="105"/>
      <c r="AJ9" s="105"/>
      <c r="AK9" s="105"/>
      <c r="AL9" s="102"/>
      <c r="AM9"/>
      <c r="AN9" s="103"/>
      <c r="AO9" s="103"/>
    </row>
    <row r="10" spans="1:41" x14ac:dyDescent="0.2">
      <c r="A10" s="105"/>
      <c r="B10" s="105"/>
      <c r="C10" s="105"/>
      <c r="D10" s="1"/>
      <c r="E10" s="105"/>
      <c r="F10" s="105"/>
      <c r="G10" s="105"/>
      <c r="H10" s="12"/>
      <c r="I10"/>
      <c r="J10" s="11"/>
      <c r="K10"/>
      <c r="L10" s="105"/>
      <c r="M10"/>
      <c r="N10"/>
      <c r="O10"/>
      <c r="P10"/>
      <c r="Q10"/>
      <c r="R10" s="106"/>
      <c r="S10"/>
      <c r="T10" s="16"/>
      <c r="U10" s="105"/>
      <c r="V10" s="105"/>
      <c r="W10" s="102"/>
      <c r="X10" s="105"/>
      <c r="Y10" s="105"/>
      <c r="Z10" s="1"/>
      <c r="AA10" s="107"/>
      <c r="AB10" s="105"/>
      <c r="AC10" s="105"/>
      <c r="AD10" s="105"/>
      <c r="AE10" s="105"/>
      <c r="AF10" s="105"/>
      <c r="AG10" s="105"/>
      <c r="AI10" s="105"/>
      <c r="AJ10" s="105"/>
      <c r="AK10" s="105"/>
      <c r="AL10" s="102"/>
      <c r="AM10"/>
      <c r="AN10" s="103"/>
      <c r="AO10" s="103"/>
    </row>
    <row r="11" spans="1:41" x14ac:dyDescent="0.2">
      <c r="A11" s="105"/>
      <c r="B11" s="105"/>
      <c r="C11" s="105"/>
      <c r="D11" s="1"/>
      <c r="E11" s="105"/>
      <c r="F11" s="105"/>
      <c r="G11" s="105"/>
      <c r="H11" s="12"/>
      <c r="I11"/>
      <c r="J11" s="11"/>
      <c r="K11"/>
      <c r="L11" s="105"/>
      <c r="M11"/>
      <c r="N11"/>
      <c r="O11"/>
      <c r="P11"/>
      <c r="Q11"/>
      <c r="R11" s="106"/>
      <c r="S11"/>
      <c r="T11" s="16"/>
      <c r="U11" s="105"/>
      <c r="V11" s="105"/>
      <c r="W11" s="102"/>
      <c r="X11" s="105"/>
      <c r="Y11" s="105"/>
      <c r="Z11" s="1"/>
      <c r="AA11" s="107"/>
      <c r="AB11" s="105"/>
      <c r="AC11" s="105"/>
      <c r="AD11" s="105"/>
      <c r="AE11" s="105"/>
      <c r="AF11" s="105"/>
      <c r="AG11" s="105"/>
      <c r="AI11" s="105"/>
      <c r="AJ11" s="105"/>
      <c r="AK11" s="105"/>
      <c r="AL11" s="102"/>
      <c r="AM11"/>
      <c r="AN11" s="103"/>
      <c r="AO11" s="103"/>
    </row>
    <row r="12" spans="1:41" x14ac:dyDescent="0.2">
      <c r="A12" s="105"/>
      <c r="B12" s="105"/>
      <c r="C12" s="105"/>
      <c r="D12" s="1"/>
      <c r="E12" s="105"/>
      <c r="F12" s="105"/>
      <c r="G12" s="105"/>
      <c r="H12" s="12"/>
      <c r="I12"/>
      <c r="J12" s="11"/>
      <c r="K12"/>
      <c r="L12" s="105"/>
      <c r="M12"/>
      <c r="N12"/>
      <c r="O12"/>
      <c r="P12"/>
      <c r="Q12"/>
      <c r="R12" s="106"/>
      <c r="S12"/>
      <c r="T12" s="16"/>
      <c r="U12" s="105"/>
      <c r="V12" s="105"/>
      <c r="W12" s="102"/>
      <c r="X12" s="105"/>
      <c r="Y12" s="105"/>
      <c r="Z12" s="1"/>
      <c r="AA12" s="107"/>
      <c r="AB12" s="105"/>
      <c r="AC12" s="105"/>
      <c r="AD12" s="105"/>
      <c r="AE12" s="105"/>
      <c r="AF12" s="105"/>
      <c r="AG12" s="105"/>
      <c r="AI12" s="105"/>
      <c r="AJ12" s="105"/>
      <c r="AK12" s="105"/>
      <c r="AL12" s="102"/>
      <c r="AM12"/>
      <c r="AN12" s="103"/>
      <c r="AO12" s="103"/>
    </row>
    <row r="13" spans="1:41" x14ac:dyDescent="0.2">
      <c r="A13" s="105"/>
      <c r="B13" s="105"/>
      <c r="C13" s="105"/>
      <c r="D13" s="1"/>
      <c r="E13" s="105"/>
      <c r="F13" s="105"/>
      <c r="G13" s="105"/>
      <c r="H13" s="12"/>
      <c r="I13"/>
      <c r="J13" s="11"/>
      <c r="K13"/>
      <c r="L13" s="105"/>
      <c r="M13"/>
      <c r="N13"/>
      <c r="O13"/>
      <c r="P13"/>
      <c r="Q13"/>
      <c r="R13" s="106"/>
      <c r="S13"/>
      <c r="T13" s="16"/>
      <c r="U13" s="105"/>
      <c r="V13" s="105"/>
      <c r="W13" s="102"/>
      <c r="X13" s="105"/>
      <c r="Y13" s="105"/>
      <c r="Z13" s="1"/>
      <c r="AA13" s="107"/>
      <c r="AB13" s="105"/>
      <c r="AC13" s="105"/>
      <c r="AD13" s="105"/>
      <c r="AE13" s="105"/>
      <c r="AF13" s="105"/>
      <c r="AG13" s="105"/>
      <c r="AI13" s="105"/>
      <c r="AJ13" s="105"/>
      <c r="AK13" s="105"/>
      <c r="AL13" s="102"/>
      <c r="AM13"/>
      <c r="AN13" s="103"/>
      <c r="AO13" s="103"/>
    </row>
    <row r="14" spans="1:41" x14ac:dyDescent="0.2">
      <c r="A14" s="105"/>
      <c r="B14" s="105"/>
      <c r="C14" s="105"/>
      <c r="D14" s="1"/>
      <c r="E14" s="105"/>
      <c r="F14" s="105"/>
      <c r="G14" s="105"/>
      <c r="H14" s="12"/>
      <c r="I14"/>
      <c r="J14" s="11"/>
      <c r="K14"/>
      <c r="L14" s="105"/>
      <c r="M14"/>
      <c r="N14"/>
      <c r="O14"/>
      <c r="P14"/>
      <c r="Q14"/>
      <c r="R14" s="106"/>
      <c r="S14"/>
      <c r="T14" s="16"/>
      <c r="U14" s="105"/>
      <c r="V14" s="105"/>
      <c r="W14" s="102"/>
      <c r="X14" s="105"/>
      <c r="Y14" s="105"/>
      <c r="Z14" s="1"/>
      <c r="AA14" s="107"/>
      <c r="AB14" s="105"/>
      <c r="AC14" s="105"/>
      <c r="AD14" s="105"/>
      <c r="AE14" s="105"/>
      <c r="AF14" s="105"/>
      <c r="AG14" s="105"/>
      <c r="AI14" s="105"/>
      <c r="AJ14" s="105"/>
      <c r="AK14" s="105"/>
      <c r="AL14" s="102"/>
      <c r="AM14"/>
      <c r="AN14" s="103"/>
      <c r="AO14" s="103"/>
    </row>
    <row r="15" spans="1:41" x14ac:dyDescent="0.2">
      <c r="A15" s="105"/>
      <c r="B15" s="105"/>
      <c r="C15" s="105"/>
      <c r="D15" s="1"/>
      <c r="E15" s="105"/>
      <c r="F15" s="105"/>
      <c r="G15" s="105"/>
      <c r="H15" s="12"/>
      <c r="I15"/>
      <c r="J15" s="11"/>
      <c r="K15"/>
      <c r="L15" s="105"/>
      <c r="M15"/>
      <c r="N15"/>
      <c r="O15"/>
      <c r="P15"/>
      <c r="Q15"/>
      <c r="R15" s="106"/>
      <c r="S15"/>
      <c r="T15" s="16"/>
      <c r="U15" s="105"/>
      <c r="V15" s="105"/>
      <c r="W15" s="102"/>
      <c r="X15" s="105"/>
      <c r="Y15" s="105"/>
      <c r="Z15" s="1"/>
      <c r="AA15" s="107"/>
      <c r="AB15" s="105"/>
      <c r="AC15" s="105"/>
      <c r="AD15" s="105"/>
      <c r="AE15" s="105"/>
      <c r="AF15" s="105"/>
      <c r="AG15" s="105"/>
      <c r="AI15" s="105"/>
      <c r="AJ15" s="105"/>
      <c r="AK15" s="105"/>
      <c r="AL15" s="102"/>
      <c r="AM15"/>
      <c r="AN15" s="103"/>
      <c r="AO15" s="103"/>
    </row>
    <row r="16" spans="1:41" x14ac:dyDescent="0.2">
      <c r="A16" s="105"/>
      <c r="B16" s="105"/>
      <c r="C16" s="105"/>
      <c r="D16" s="1"/>
      <c r="E16" s="105"/>
      <c r="F16" s="105"/>
      <c r="G16" s="105"/>
      <c r="H16" s="12"/>
      <c r="I16"/>
      <c r="J16" s="11"/>
      <c r="K16"/>
      <c r="L16" s="105"/>
      <c r="M16"/>
      <c r="N16"/>
      <c r="O16"/>
      <c r="P16"/>
      <c r="Q16"/>
      <c r="R16" s="106"/>
      <c r="S16"/>
      <c r="T16" s="16"/>
      <c r="U16" s="105"/>
      <c r="V16" s="105"/>
      <c r="W16" s="102"/>
      <c r="X16" s="105"/>
      <c r="Y16" s="105"/>
      <c r="Z16" s="1"/>
      <c r="AA16" s="107"/>
      <c r="AB16" s="105"/>
      <c r="AC16" s="105"/>
      <c r="AD16" s="105"/>
      <c r="AE16" s="105"/>
      <c r="AF16" s="105"/>
      <c r="AG16" s="105"/>
      <c r="AI16" s="105"/>
      <c r="AJ16" s="105"/>
      <c r="AK16" s="105"/>
      <c r="AL16" s="102"/>
      <c r="AM16"/>
      <c r="AN16" s="103"/>
      <c r="AO16" s="103"/>
    </row>
    <row r="17" spans="1:41" x14ac:dyDescent="0.2">
      <c r="A17" s="105"/>
      <c r="B17" s="105"/>
      <c r="C17" s="105"/>
      <c r="D17" s="1"/>
      <c r="E17" s="105"/>
      <c r="F17" s="105"/>
      <c r="G17" s="105"/>
      <c r="H17" s="12"/>
      <c r="I17"/>
      <c r="J17" s="11"/>
      <c r="K17"/>
      <c r="L17" s="105"/>
      <c r="M17"/>
      <c r="N17"/>
      <c r="O17"/>
      <c r="P17"/>
      <c r="Q17"/>
      <c r="R17" s="106"/>
      <c r="S17"/>
      <c r="T17" s="16"/>
      <c r="U17" s="105"/>
      <c r="V17" s="105"/>
      <c r="W17" s="102"/>
      <c r="X17" s="105"/>
      <c r="Y17" s="105"/>
      <c r="Z17" s="1"/>
      <c r="AA17" s="107"/>
      <c r="AB17" s="105"/>
      <c r="AC17" s="105"/>
      <c r="AD17" s="105"/>
      <c r="AE17" s="105"/>
      <c r="AF17" s="105"/>
      <c r="AG17" s="105"/>
      <c r="AI17" s="105"/>
      <c r="AJ17" s="105"/>
      <c r="AK17" s="105"/>
      <c r="AL17" s="102"/>
      <c r="AM17"/>
      <c r="AN17" s="103"/>
      <c r="AO17" s="103"/>
    </row>
    <row r="18" spans="1:41" x14ac:dyDescent="0.2">
      <c r="A18" s="105"/>
      <c r="B18" s="105"/>
      <c r="C18" s="105"/>
      <c r="D18" s="1"/>
      <c r="E18" s="105"/>
      <c r="F18" s="105"/>
      <c r="G18" s="105"/>
      <c r="H18" s="12"/>
      <c r="I18"/>
      <c r="J18" s="11"/>
      <c r="K18"/>
      <c r="L18" s="105"/>
      <c r="M18"/>
      <c r="N18"/>
      <c r="O18"/>
      <c r="P18"/>
      <c r="Q18"/>
      <c r="R18" s="106"/>
      <c r="S18"/>
      <c r="T18" s="16"/>
      <c r="U18" s="105"/>
      <c r="V18" s="105"/>
      <c r="W18" s="102"/>
      <c r="X18" s="105"/>
      <c r="Y18" s="105"/>
      <c r="Z18" s="1"/>
      <c r="AA18" s="107"/>
      <c r="AB18" s="105"/>
      <c r="AC18" s="105"/>
      <c r="AD18" s="105"/>
      <c r="AE18" s="105"/>
      <c r="AF18" s="105"/>
      <c r="AG18" s="105"/>
      <c r="AI18" s="105"/>
      <c r="AJ18" s="105"/>
      <c r="AK18" s="105"/>
      <c r="AL18" s="102"/>
      <c r="AM18"/>
      <c r="AN18" s="103"/>
      <c r="AO18" s="103"/>
    </row>
    <row r="19" spans="1:41" x14ac:dyDescent="0.2">
      <c r="A19" s="105"/>
      <c r="B19" s="105"/>
      <c r="C19" s="105"/>
      <c r="D19" s="1"/>
      <c r="E19" s="105"/>
      <c r="F19" s="105"/>
      <c r="G19" s="105"/>
      <c r="H19" s="12"/>
      <c r="I19"/>
      <c r="J19" s="11"/>
      <c r="K19"/>
      <c r="L19" s="105"/>
      <c r="M19"/>
      <c r="N19"/>
      <c r="O19"/>
      <c r="P19"/>
      <c r="Q19"/>
      <c r="R19" s="106"/>
      <c r="S19"/>
      <c r="T19" s="16"/>
      <c r="U19" s="105"/>
      <c r="V19" s="105"/>
      <c r="W19" s="102"/>
      <c r="X19" s="105"/>
      <c r="Y19" s="105"/>
      <c r="Z19" s="1"/>
      <c r="AA19" s="107"/>
      <c r="AB19" s="105"/>
      <c r="AC19" s="105"/>
      <c r="AD19" s="105"/>
      <c r="AE19" s="105"/>
      <c r="AF19" s="105"/>
      <c r="AG19" s="105"/>
      <c r="AI19" s="105"/>
      <c r="AJ19" s="105"/>
      <c r="AK19" s="105"/>
      <c r="AL19" s="102"/>
      <c r="AM19"/>
      <c r="AN19" s="103"/>
      <c r="AO19" s="103"/>
    </row>
    <row r="20" spans="1:41" x14ac:dyDescent="0.2">
      <c r="A20" s="102"/>
      <c r="B20" s="102"/>
      <c r="C20" s="105"/>
      <c r="D20" s="102"/>
      <c r="E20" s="105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/>
      <c r="T20" s="16"/>
      <c r="U20" s="105"/>
      <c r="V20" s="105"/>
      <c r="W20" s="102"/>
      <c r="X20" s="102"/>
      <c r="Y20" s="105"/>
      <c r="Z20" s="102"/>
      <c r="AA20" s="102"/>
      <c r="AB20" s="105"/>
      <c r="AC20" s="105"/>
      <c r="AD20" s="105"/>
      <c r="AE20" s="105"/>
      <c r="AF20" s="105"/>
      <c r="AG20" s="105"/>
      <c r="AI20" s="102"/>
      <c r="AJ20" s="102"/>
      <c r="AK20" s="105"/>
      <c r="AL20" s="102"/>
      <c r="AM20" s="102"/>
      <c r="AN20" s="102"/>
      <c r="AO20" s="102"/>
    </row>
    <row r="21" spans="1:41" customFormat="1" x14ac:dyDescent="0.2"/>
    <row r="22" spans="1:41" x14ac:dyDescent="0.2">
      <c r="A22" s="102"/>
      <c r="B22" s="102"/>
      <c r="C22" s="105"/>
      <c r="D22" s="102"/>
      <c r="E22" s="105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/>
      <c r="T22" s="1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5"/>
      <c r="AF22" s="105"/>
      <c r="AG22" s="102"/>
      <c r="AI22" s="102"/>
      <c r="AJ22" s="102"/>
      <c r="AK22" s="102"/>
      <c r="AL22" s="102"/>
      <c r="AM22" s="102"/>
      <c r="AN22" s="102"/>
      <c r="AO22" s="102"/>
    </row>
    <row r="23" spans="1:41" x14ac:dyDescent="0.2">
      <c r="A23" s="102"/>
      <c r="B23" s="102"/>
      <c r="C23" s="105"/>
      <c r="D23" s="102"/>
      <c r="E23" s="105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/>
      <c r="T23" s="16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5"/>
      <c r="AF23" s="105"/>
      <c r="AG23" s="102"/>
      <c r="AI23" s="102"/>
      <c r="AJ23" s="102"/>
      <c r="AK23" s="102"/>
      <c r="AL23" s="102"/>
      <c r="AM23" s="102"/>
      <c r="AN23" s="102"/>
      <c r="AO23" s="102"/>
    </row>
    <row r="24" spans="1:41" x14ac:dyDescent="0.2">
      <c r="A24" s="102"/>
      <c r="B24" s="102"/>
      <c r="C24" s="105"/>
      <c r="D24" s="102"/>
      <c r="E24" s="105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/>
      <c r="T24" s="16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5"/>
      <c r="AF24" s="105"/>
      <c r="AG24" s="102"/>
      <c r="AI24" s="102"/>
      <c r="AJ24" s="102"/>
      <c r="AK24" s="102"/>
      <c r="AL24" s="102"/>
      <c r="AM24" s="102"/>
      <c r="AN24" s="102"/>
      <c r="AO24" s="102"/>
    </row>
    <row r="25" spans="1:41" x14ac:dyDescent="0.2">
      <c r="A25" s="102"/>
      <c r="B25" s="102"/>
      <c r="C25" s="105"/>
      <c r="D25" s="102"/>
      <c r="E25" s="105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/>
      <c r="T25" s="16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5"/>
      <c r="AF25" s="105"/>
      <c r="AG25" s="102"/>
      <c r="AI25" s="102"/>
      <c r="AJ25" s="102"/>
      <c r="AK25" s="102"/>
      <c r="AL25" s="102"/>
      <c r="AM25" s="102"/>
      <c r="AN25" s="102"/>
      <c r="AO25" s="102"/>
    </row>
    <row r="26" spans="1:41" x14ac:dyDescent="0.2">
      <c r="A26" s="102"/>
      <c r="B26" s="102"/>
      <c r="C26" s="105"/>
      <c r="D26" s="102"/>
      <c r="E26" s="105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5"/>
      <c r="AF26" s="105"/>
      <c r="AG26" s="102"/>
      <c r="AI26" s="102"/>
      <c r="AJ26" s="102"/>
      <c r="AK26" s="102"/>
      <c r="AL26" s="102"/>
      <c r="AM26" s="102"/>
      <c r="AN26" s="102"/>
      <c r="AO26" s="102"/>
    </row>
    <row r="27" spans="1:41" x14ac:dyDescent="0.2">
      <c r="A27" s="102"/>
      <c r="B27" s="102"/>
      <c r="C27" s="105"/>
      <c r="D27" s="102"/>
      <c r="E27" s="105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6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I27" s="102"/>
      <c r="AJ27" s="102"/>
      <c r="AK27" s="102"/>
      <c r="AL27" s="102"/>
      <c r="AM27" s="102"/>
      <c r="AN27" s="102"/>
      <c r="AO27" s="102"/>
    </row>
    <row r="28" spans="1:41" x14ac:dyDescent="0.2">
      <c r="A28" s="102"/>
      <c r="B28" s="102"/>
      <c r="C28" s="105"/>
      <c r="D28" s="102"/>
      <c r="E28" s="105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I28" s="102"/>
      <c r="AJ28" s="102"/>
      <c r="AK28" s="102"/>
      <c r="AL28" s="102"/>
      <c r="AM28" s="102"/>
      <c r="AN28" s="102"/>
      <c r="AO28" s="102"/>
    </row>
    <row r="29" spans="1:41" x14ac:dyDescent="0.2">
      <c r="A29" s="102"/>
      <c r="B29" s="102"/>
      <c r="C29" s="105"/>
      <c r="D29" s="102"/>
      <c r="E29" s="105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6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I29" s="102"/>
      <c r="AJ29" s="102"/>
      <c r="AK29" s="102"/>
      <c r="AL29" s="102"/>
      <c r="AM29" s="102"/>
      <c r="AN29" s="102"/>
      <c r="AO29" s="102"/>
    </row>
    <row r="30" spans="1:41" x14ac:dyDescent="0.2">
      <c r="A30" s="102"/>
      <c r="B30" s="102"/>
      <c r="C30" s="105"/>
      <c r="D30" s="102"/>
      <c r="E30" s="105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I30" s="102"/>
      <c r="AJ30" s="102"/>
      <c r="AK30" s="102"/>
      <c r="AL30" s="102"/>
      <c r="AM30" s="102"/>
      <c r="AN30" s="102"/>
      <c r="AO30" s="102"/>
    </row>
    <row r="31" spans="1:41" x14ac:dyDescent="0.2">
      <c r="A31" s="102"/>
      <c r="B31" s="102"/>
      <c r="C31" s="105"/>
      <c r="D31" s="102"/>
      <c r="E31" s="105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I31" s="102"/>
      <c r="AJ31" s="102"/>
      <c r="AK31" s="102"/>
      <c r="AL31" s="102"/>
      <c r="AM31" s="102"/>
      <c r="AN31" s="102"/>
      <c r="AO31" s="102"/>
    </row>
    <row r="32" spans="1:41" x14ac:dyDescent="0.2">
      <c r="A32" s="102"/>
      <c r="B32" s="102"/>
      <c r="C32" s="105"/>
      <c r="D32" s="102"/>
      <c r="E32" s="105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I32" s="102"/>
      <c r="AJ32" s="102"/>
      <c r="AK32" s="102"/>
      <c r="AL32" s="102"/>
      <c r="AM32" s="102"/>
      <c r="AN32" s="102"/>
      <c r="AO32" s="102"/>
    </row>
    <row r="33" spans="3:20" x14ac:dyDescent="0.2">
      <c r="C33" s="105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6"/>
    </row>
    <row r="34" spans="3:20" x14ac:dyDescent="0.2">
      <c r="C34" s="105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6"/>
    </row>
    <row r="35" spans="3:20" x14ac:dyDescent="0.2">
      <c r="C35" s="105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</row>
    <row r="36" spans="3:20" x14ac:dyDescent="0.2">
      <c r="C36" s="105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</row>
    <row r="37" spans="3:20" x14ac:dyDescent="0.2">
      <c r="C37" s="105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</row>
    <row r="38" spans="3:20" x14ac:dyDescent="0.2">
      <c r="C38" s="105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</row>
    <row r="39" spans="3:20" x14ac:dyDescent="0.2">
      <c r="C39" s="105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</row>
    <row r="40" spans="3:20" x14ac:dyDescent="0.2">
      <c r="C40" s="105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</row>
    <row r="41" spans="3:20" x14ac:dyDescent="0.2">
      <c r="C41" s="105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</row>
    <row r="42" spans="3:20" x14ac:dyDescent="0.2">
      <c r="C42" s="105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</row>
    <row r="43" spans="3:20" x14ac:dyDescent="0.2">
      <c r="C43" s="105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</row>
    <row r="44" spans="3:20" x14ac:dyDescent="0.2">
      <c r="C44" s="105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</row>
    <row r="45" spans="3:20" x14ac:dyDescent="0.2">
      <c r="C45" s="105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</row>
    <row r="46" spans="3:20" x14ac:dyDescent="0.2">
      <c r="C46" s="105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</row>
    <row r="47" spans="3:20" x14ac:dyDescent="0.2">
      <c r="C47" s="105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</row>
    <row r="48" spans="3:20" x14ac:dyDescent="0.2">
      <c r="C48" s="105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</row>
    <row r="49" spans="3:3" x14ac:dyDescent="0.2">
      <c r="C49" s="105"/>
    </row>
    <row r="50" spans="3:3" x14ac:dyDescent="0.2">
      <c r="C50" s="105"/>
    </row>
    <row r="51" spans="3:3" x14ac:dyDescent="0.2">
      <c r="C51" s="105"/>
    </row>
    <row r="52" spans="3:3" x14ac:dyDescent="0.2">
      <c r="C52" s="105"/>
    </row>
    <row r="53" spans="3:3" x14ac:dyDescent="0.2">
      <c r="C53" s="105"/>
    </row>
    <row r="54" spans="3:3" x14ac:dyDescent="0.2">
      <c r="C54" s="105"/>
    </row>
    <row r="55" spans="3:3" x14ac:dyDescent="0.2">
      <c r="C55" s="105"/>
    </row>
    <row r="56" spans="3:3" x14ac:dyDescent="0.2">
      <c r="C56" s="105"/>
    </row>
    <row r="57" spans="3:3" x14ac:dyDescent="0.2">
      <c r="C57" s="105"/>
    </row>
    <row r="58" spans="3:3" x14ac:dyDescent="0.2">
      <c r="C58" s="105"/>
    </row>
    <row r="59" spans="3:3" x14ac:dyDescent="0.2">
      <c r="C59" s="105"/>
    </row>
    <row r="60" spans="3:3" x14ac:dyDescent="0.2">
      <c r="C60" s="105"/>
    </row>
    <row r="61" spans="3:3" x14ac:dyDescent="0.2">
      <c r="C61" s="105"/>
    </row>
    <row r="62" spans="3:3" x14ac:dyDescent="0.2">
      <c r="C62" s="105"/>
    </row>
    <row r="63" spans="3:3" x14ac:dyDescent="0.2">
      <c r="C63" s="105"/>
    </row>
    <row r="64" spans="3:3" x14ac:dyDescent="0.2">
      <c r="C64" s="105"/>
    </row>
    <row r="65" spans="3:3" x14ac:dyDescent="0.2">
      <c r="C65" s="105"/>
    </row>
    <row r="66" spans="3:3" x14ac:dyDescent="0.2">
      <c r="C66" s="105"/>
    </row>
    <row r="67" spans="3:3" x14ac:dyDescent="0.2">
      <c r="C67" s="105"/>
    </row>
    <row r="68" spans="3:3" x14ac:dyDescent="0.2">
      <c r="C68" s="105"/>
    </row>
    <row r="69" spans="3:3" x14ac:dyDescent="0.2">
      <c r="C69" s="105"/>
    </row>
    <row r="70" spans="3:3" x14ac:dyDescent="0.2">
      <c r="C70" s="105"/>
    </row>
    <row r="71" spans="3:3" x14ac:dyDescent="0.2">
      <c r="C71" s="105"/>
    </row>
    <row r="72" spans="3:3" x14ac:dyDescent="0.2">
      <c r="C72" s="105"/>
    </row>
    <row r="73" spans="3:3" x14ac:dyDescent="0.2">
      <c r="C73" s="105"/>
    </row>
    <row r="74" spans="3:3" x14ac:dyDescent="0.2">
      <c r="C74" s="105"/>
    </row>
    <row r="75" spans="3:3" x14ac:dyDescent="0.2">
      <c r="C75" s="105"/>
    </row>
    <row r="76" spans="3:3" x14ac:dyDescent="0.2">
      <c r="C76" s="105"/>
    </row>
  </sheetData>
  <mergeCells count="1">
    <mergeCell ref="A4:Z4"/>
  </mergeCells>
  <dataValidations count="15">
    <dataValidation type="list" allowBlank="1" showInputMessage="1" showErrorMessage="1" sqref="U22:U38 U2:U3 U5:U20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2:S25 S2:S3 S5:S20" xr:uid="{00000000-0002-0000-1600-000002000000}">
      <formula1>israel_abroad</formula1>
    </dataValidation>
    <dataValidation type="list" allowBlank="1" showInputMessage="1" showErrorMessage="1" sqref="Y22:Y215 AD22:AD1048576 AD2:AD20 AL22:AL1048576 AL20 Y2:Y3 Y5:Y20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3 V5:V20" xr:uid="{00000000-0002-0000-1600-000006000000}">
      <formula1>Leading_factor</formula1>
    </dataValidation>
    <dataValidation type="list" allowBlank="1" showInputMessage="1" showErrorMessage="1" sqref="T22:T34 T2:T3 T5:T20" xr:uid="{00000000-0002-0000-1600-000007000000}">
      <formula1>Country_list</formula1>
    </dataValidation>
    <dataValidation type="list" allowBlank="1" showInputMessage="1" showErrorMessage="1" sqref="W2:W3 W5:W20" xr:uid="{00000000-0002-0000-1600-000008000000}">
      <formula1>Additional_Factor</formula1>
    </dataValidation>
    <dataValidation allowBlank="1" showInputMessage="1" showErrorMessage="1" sqref="I5:K19 P5:R19 D5:D19 Z5:Z19 Z2:Z3 D2:D3 P2:R3 I2:K3 M5:N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4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AE2:AE3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C2:C3 C5:C20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sqref="A1:BA15"/>
    </sheetView>
  </sheetViews>
  <sheetFormatPr defaultColWidth="9" defaultRowHeight="14.25" x14ac:dyDescent="0.2"/>
  <cols>
    <col min="1" max="1" width="10.8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3" width="11.625" style="2" customWidth="1"/>
    <col min="24" max="24" width="14" style="2" bestFit="1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2.625" style="2" bestFit="1" customWidth="1"/>
    <col min="44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3" ht="66.75" customHeight="1" x14ac:dyDescent="0.2">
      <c r="A1" s="169" t="s">
        <v>49</v>
      </c>
      <c r="B1" s="169" t="s">
        <v>50</v>
      </c>
      <c r="C1" s="169" t="s">
        <v>150</v>
      </c>
      <c r="D1" s="169" t="s">
        <v>151</v>
      </c>
      <c r="E1" s="169" t="s">
        <v>152</v>
      </c>
      <c r="F1" s="169" t="s">
        <v>153</v>
      </c>
      <c r="G1" s="169" t="s">
        <v>54</v>
      </c>
      <c r="H1" s="169" t="s">
        <v>154</v>
      </c>
      <c r="I1" s="169" t="s">
        <v>55</v>
      </c>
      <c r="J1" s="169" t="s">
        <v>69</v>
      </c>
      <c r="K1" s="169" t="s">
        <v>83</v>
      </c>
      <c r="L1" s="169" t="s">
        <v>56</v>
      </c>
      <c r="M1" s="169" t="s">
        <v>155</v>
      </c>
      <c r="N1" s="169" t="s">
        <v>156</v>
      </c>
      <c r="O1" s="169" t="s">
        <v>157</v>
      </c>
      <c r="P1" s="169" t="s">
        <v>71</v>
      </c>
      <c r="Q1" s="169" t="s">
        <v>58</v>
      </c>
      <c r="R1" s="169" t="s">
        <v>158</v>
      </c>
      <c r="S1" s="169" t="s">
        <v>59</v>
      </c>
      <c r="T1" s="169" t="s">
        <v>72</v>
      </c>
      <c r="U1" s="169" t="s">
        <v>159</v>
      </c>
      <c r="V1" s="169" t="s">
        <v>62</v>
      </c>
      <c r="W1" s="169" t="s">
        <v>98</v>
      </c>
      <c r="X1" s="169" t="s">
        <v>85</v>
      </c>
      <c r="Y1" s="169" t="s">
        <v>160</v>
      </c>
      <c r="Z1" s="169" t="s">
        <v>74</v>
      </c>
      <c r="AA1" s="169" t="s">
        <v>73</v>
      </c>
      <c r="AB1" s="169" t="s">
        <v>86</v>
      </c>
      <c r="AC1" s="169" t="s">
        <v>161</v>
      </c>
      <c r="AD1" s="169" t="s">
        <v>162</v>
      </c>
      <c r="AE1" s="169" t="s">
        <v>163</v>
      </c>
      <c r="AF1" s="169" t="s">
        <v>164</v>
      </c>
      <c r="AG1" s="169" t="s">
        <v>165</v>
      </c>
      <c r="AH1" s="169" t="s">
        <v>166</v>
      </c>
      <c r="AI1" s="169" t="s">
        <v>167</v>
      </c>
      <c r="AJ1" s="169" t="s">
        <v>168</v>
      </c>
      <c r="AK1" s="169" t="s">
        <v>103</v>
      </c>
      <c r="AL1" s="169" t="s">
        <v>105</v>
      </c>
      <c r="AM1" s="169" t="s">
        <v>104</v>
      </c>
      <c r="AN1" s="169" t="s">
        <v>106</v>
      </c>
      <c r="AO1" s="169" t="s">
        <v>107</v>
      </c>
      <c r="AP1" s="169" t="s">
        <v>169</v>
      </c>
      <c r="AQ1" s="169" t="s">
        <v>170</v>
      </c>
      <c r="AR1" s="169" t="s">
        <v>171</v>
      </c>
      <c r="AS1" s="169" t="s">
        <v>61</v>
      </c>
      <c r="AT1" s="169" t="s">
        <v>63</v>
      </c>
      <c r="AU1" s="169" t="s">
        <v>172</v>
      </c>
      <c r="AV1" s="169" t="s">
        <v>78</v>
      </c>
      <c r="AW1" s="169" t="s">
        <v>88</v>
      </c>
      <c r="AX1" s="169" t="s">
        <v>87</v>
      </c>
      <c r="AY1" s="169" t="s">
        <v>17</v>
      </c>
      <c r="AZ1" s="169" t="s">
        <v>64</v>
      </c>
      <c r="BA1" s="169" t="s">
        <v>65</v>
      </c>
    </row>
    <row r="2" spans="1:53" x14ac:dyDescent="0.2">
      <c r="A2" t="s">
        <v>1204</v>
      </c>
      <c r="B2" t="s">
        <v>1204</v>
      </c>
      <c r="C2" t="s">
        <v>2468</v>
      </c>
      <c r="D2" t="s">
        <v>80</v>
      </c>
      <c r="E2" t="s">
        <v>2469</v>
      </c>
      <c r="F2" t="s">
        <v>2470</v>
      </c>
      <c r="G2" t="s">
        <v>314</v>
      </c>
      <c r="H2" t="s">
        <v>2471</v>
      </c>
      <c r="I2" t="s">
        <v>204</v>
      </c>
      <c r="J2" t="s">
        <v>204</v>
      </c>
      <c r="K2" t="s">
        <v>478</v>
      </c>
      <c r="L2" t="s">
        <v>339</v>
      </c>
      <c r="M2" t="s">
        <v>339</v>
      </c>
      <c r="N2" s="103"/>
      <c r="O2" t="s">
        <v>2472</v>
      </c>
      <c r="P2" s="103"/>
      <c r="Q2" t="s">
        <v>410</v>
      </c>
      <c r="R2" t="s">
        <v>410</v>
      </c>
      <c r="S2" t="s">
        <v>1208</v>
      </c>
      <c r="T2" s="125">
        <v>7020</v>
      </c>
      <c r="U2" s="136" t="s">
        <v>823</v>
      </c>
      <c r="V2" s="126">
        <v>5.21E-2</v>
      </c>
      <c r="W2" t="s">
        <v>753</v>
      </c>
      <c r="X2" t="s">
        <v>900</v>
      </c>
      <c r="Y2" s="125"/>
      <c r="Z2" s="126">
        <v>6.4299999999999996E-2</v>
      </c>
      <c r="AA2" t="s">
        <v>2473</v>
      </c>
      <c r="AB2" t="s">
        <v>412</v>
      </c>
      <c r="AC2" s="136" t="s">
        <v>748</v>
      </c>
      <c r="AD2"/>
      <c r="AE2" s="126"/>
      <c r="AF2"/>
      <c r="AG2" t="s">
        <v>339</v>
      </c>
      <c r="AH2" t="s">
        <v>781</v>
      </c>
      <c r="AI2" t="s">
        <v>2474</v>
      </c>
      <c r="AJ2" t="s">
        <v>338</v>
      </c>
      <c r="AK2" t="s">
        <v>886</v>
      </c>
      <c r="AL2" t="s">
        <v>2475</v>
      </c>
      <c r="AM2" t="s">
        <v>889</v>
      </c>
      <c r="AN2" s="137">
        <v>45473</v>
      </c>
      <c r="AO2" s="137">
        <v>45473</v>
      </c>
      <c r="AP2" s="102"/>
      <c r="AQ2" s="125">
        <v>70239978620</v>
      </c>
      <c r="AR2" s="127">
        <v>99.03</v>
      </c>
      <c r="AS2" s="135">
        <v>1</v>
      </c>
      <c r="AT2" s="124">
        <v>69558.650800000003</v>
      </c>
      <c r="AU2" s="130">
        <v>69558650827.399994</v>
      </c>
      <c r="AV2" s="103"/>
      <c r="AW2" s="103"/>
      <c r="AX2" t="s">
        <v>339</v>
      </c>
      <c r="AY2" s="103"/>
      <c r="AZ2" s="129">
        <v>0.15830281658062467</v>
      </c>
      <c r="BA2" s="129">
        <v>6.161858287515541E-3</v>
      </c>
    </row>
    <row r="3" spans="1:53" x14ac:dyDescent="0.2">
      <c r="A3" t="s">
        <v>1204</v>
      </c>
      <c r="B3" t="s">
        <v>1204</v>
      </c>
      <c r="C3" t="s">
        <v>2476</v>
      </c>
      <c r="D3" t="s">
        <v>80</v>
      </c>
      <c r="E3" t="s">
        <v>2477</v>
      </c>
      <c r="F3" t="s">
        <v>2478</v>
      </c>
      <c r="G3" t="s">
        <v>314</v>
      </c>
      <c r="H3" t="s">
        <v>2471</v>
      </c>
      <c r="I3" t="s">
        <v>204</v>
      </c>
      <c r="J3" t="s">
        <v>204</v>
      </c>
      <c r="K3" t="s">
        <v>478</v>
      </c>
      <c r="L3" t="s">
        <v>339</v>
      </c>
      <c r="M3" t="s">
        <v>339</v>
      </c>
      <c r="N3" s="103"/>
      <c r="O3" t="s">
        <v>2479</v>
      </c>
      <c r="P3" s="103"/>
      <c r="Q3" t="s">
        <v>410</v>
      </c>
      <c r="R3" t="s">
        <v>410</v>
      </c>
      <c r="S3" t="s">
        <v>1208</v>
      </c>
      <c r="T3" s="125">
        <v>8010</v>
      </c>
      <c r="U3" s="136" t="s">
        <v>823</v>
      </c>
      <c r="V3" s="126">
        <v>0.06</v>
      </c>
      <c r="W3" t="s">
        <v>753</v>
      </c>
      <c r="X3" t="s">
        <v>900</v>
      </c>
      <c r="Y3" s="125"/>
      <c r="Z3" s="126">
        <v>7.4899999999999994E-2</v>
      </c>
      <c r="AA3" t="s">
        <v>2192</v>
      </c>
      <c r="AB3" t="s">
        <v>412</v>
      </c>
      <c r="AC3" s="136" t="s">
        <v>748</v>
      </c>
      <c r="AD3" s="103"/>
      <c r="AE3" s="103"/>
      <c r="AF3" s="103"/>
      <c r="AG3" t="s">
        <v>339</v>
      </c>
      <c r="AH3" t="s">
        <v>781</v>
      </c>
      <c r="AI3" t="s">
        <v>2474</v>
      </c>
      <c r="AJ3" t="s">
        <v>338</v>
      </c>
      <c r="AK3" t="s">
        <v>886</v>
      </c>
      <c r="AL3" t="s">
        <v>2475</v>
      </c>
      <c r="AM3" t="s">
        <v>889</v>
      </c>
      <c r="AN3" s="137">
        <v>45473</v>
      </c>
      <c r="AO3" s="137">
        <v>45473</v>
      </c>
      <c r="AP3" s="102"/>
      <c r="AQ3" s="125">
        <v>58791828340</v>
      </c>
      <c r="AR3" s="127">
        <v>106.97</v>
      </c>
      <c r="AS3" s="135">
        <v>1</v>
      </c>
      <c r="AT3" s="124">
        <v>62889.618799999997</v>
      </c>
      <c r="AU3" s="130">
        <v>62889618775.300003</v>
      </c>
      <c r="AV3" s="103"/>
      <c r="AW3" s="103"/>
      <c r="AX3" t="s">
        <v>339</v>
      </c>
      <c r="AY3" s="103"/>
      <c r="AZ3" s="129">
        <v>0.14312531464298872</v>
      </c>
      <c r="BA3" s="129">
        <v>5.5710815842433406E-3</v>
      </c>
    </row>
    <row r="4" spans="1:53" x14ac:dyDescent="0.2">
      <c r="A4" t="s">
        <v>1204</v>
      </c>
      <c r="B4" t="s">
        <v>1204</v>
      </c>
      <c r="C4" t="s">
        <v>2468</v>
      </c>
      <c r="D4" t="s">
        <v>80</v>
      </c>
      <c r="E4" t="s">
        <v>2480</v>
      </c>
      <c r="F4" t="s">
        <v>2481</v>
      </c>
      <c r="G4" t="s">
        <v>314</v>
      </c>
      <c r="H4" t="s">
        <v>2471</v>
      </c>
      <c r="I4" t="s">
        <v>204</v>
      </c>
      <c r="J4" t="s">
        <v>204</v>
      </c>
      <c r="K4" t="s">
        <v>478</v>
      </c>
      <c r="L4" t="s">
        <v>339</v>
      </c>
      <c r="M4" t="s">
        <v>339</v>
      </c>
      <c r="N4" s="103"/>
      <c r="O4" t="s">
        <v>2472</v>
      </c>
      <c r="P4" s="103"/>
      <c r="Q4" t="s">
        <v>410</v>
      </c>
      <c r="R4" t="s">
        <v>410</v>
      </c>
      <c r="S4" t="s">
        <v>1208</v>
      </c>
      <c r="T4" s="125">
        <v>4840</v>
      </c>
      <c r="U4" s="136" t="s">
        <v>824</v>
      </c>
      <c r="V4" s="126">
        <v>3.5400000000000001E-2</v>
      </c>
      <c r="W4" t="s">
        <v>753</v>
      </c>
      <c r="X4" t="s">
        <v>899</v>
      </c>
      <c r="Y4" s="103"/>
      <c r="Z4" s="126">
        <v>5.0599999999999999E-2</v>
      </c>
      <c r="AA4" t="s">
        <v>2473</v>
      </c>
      <c r="AB4" t="s">
        <v>412</v>
      </c>
      <c r="AC4" s="136" t="s">
        <v>748</v>
      </c>
      <c r="AD4" s="103"/>
      <c r="AE4" s="103"/>
      <c r="AF4" s="103"/>
      <c r="AG4" t="s">
        <v>339</v>
      </c>
      <c r="AH4" t="s">
        <v>781</v>
      </c>
      <c r="AI4" t="s">
        <v>2474</v>
      </c>
      <c r="AJ4" t="s">
        <v>338</v>
      </c>
      <c r="AK4" t="s">
        <v>886</v>
      </c>
      <c r="AL4" t="s">
        <v>2475</v>
      </c>
      <c r="AM4" t="s">
        <v>889</v>
      </c>
      <c r="AN4" s="137">
        <v>45473</v>
      </c>
      <c r="AO4" s="137">
        <v>45473</v>
      </c>
      <c r="AP4" s="102"/>
      <c r="AQ4" s="125">
        <v>62897463080</v>
      </c>
      <c r="AR4" s="127">
        <v>94.01</v>
      </c>
      <c r="AS4" s="135">
        <v>1</v>
      </c>
      <c r="AT4" s="124">
        <v>59129.904999999999</v>
      </c>
      <c r="AU4" s="130">
        <v>59129905041.5</v>
      </c>
      <c r="AV4" s="103"/>
      <c r="AW4" s="103"/>
      <c r="AX4" t="s">
        <v>339</v>
      </c>
      <c r="AY4" s="103"/>
      <c r="AZ4" s="129">
        <v>0.13456889115696147</v>
      </c>
      <c r="BA4" s="129">
        <v>5.2380270618557542E-3</v>
      </c>
    </row>
    <row r="5" spans="1:53" x14ac:dyDescent="0.2">
      <c r="A5" t="s">
        <v>1204</v>
      </c>
      <c r="B5" t="s">
        <v>1204</v>
      </c>
      <c r="C5" t="s">
        <v>2476</v>
      </c>
      <c r="D5" t="s">
        <v>80</v>
      </c>
      <c r="E5" t="s">
        <v>2482</v>
      </c>
      <c r="F5" t="s">
        <v>2483</v>
      </c>
      <c r="G5" t="s">
        <v>314</v>
      </c>
      <c r="H5" t="s">
        <v>2471</v>
      </c>
      <c r="I5" t="s">
        <v>204</v>
      </c>
      <c r="J5" t="s">
        <v>204</v>
      </c>
      <c r="K5" t="s">
        <v>478</v>
      </c>
      <c r="L5" t="s">
        <v>339</v>
      </c>
      <c r="M5" t="s">
        <v>339</v>
      </c>
      <c r="N5" s="103"/>
      <c r="O5" t="s">
        <v>2479</v>
      </c>
      <c r="P5" s="103"/>
      <c r="Q5" t="s">
        <v>410</v>
      </c>
      <c r="R5" t="s">
        <v>410</v>
      </c>
      <c r="S5" t="s">
        <v>1208</v>
      </c>
      <c r="T5" s="125">
        <v>7270</v>
      </c>
      <c r="U5" s="136" t="s">
        <v>824</v>
      </c>
      <c r="V5" s="126">
        <v>5.3900000000000003E-2</v>
      </c>
      <c r="W5" t="s">
        <v>753</v>
      </c>
      <c r="X5" t="s">
        <v>899</v>
      </c>
      <c r="Y5" s="103"/>
      <c r="Z5" s="126">
        <v>7.2400000000000006E-2</v>
      </c>
      <c r="AA5" t="s">
        <v>2473</v>
      </c>
      <c r="AB5" t="s">
        <v>412</v>
      </c>
      <c r="AC5" s="136" t="s">
        <v>748</v>
      </c>
      <c r="AD5" s="103"/>
      <c r="AE5" s="103"/>
      <c r="AF5" s="103"/>
      <c r="AG5" t="s">
        <v>339</v>
      </c>
      <c r="AH5" t="s">
        <v>781</v>
      </c>
      <c r="AI5" t="s">
        <v>2474</v>
      </c>
      <c r="AJ5" t="s">
        <v>338</v>
      </c>
      <c r="AK5" t="s">
        <v>886</v>
      </c>
      <c r="AL5" t="s">
        <v>2475</v>
      </c>
      <c r="AM5" t="s">
        <v>889</v>
      </c>
      <c r="AN5" s="137">
        <v>45473</v>
      </c>
      <c r="AO5" s="137">
        <v>45473</v>
      </c>
      <c r="AP5" s="102"/>
      <c r="AQ5" s="125">
        <v>57180386550</v>
      </c>
      <c r="AR5" s="127">
        <v>80.11</v>
      </c>
      <c r="AS5" s="135">
        <v>1</v>
      </c>
      <c r="AT5" s="124">
        <v>45807.207699999999</v>
      </c>
      <c r="AU5" s="130">
        <v>45807207665.199997</v>
      </c>
      <c r="AV5" s="103"/>
      <c r="AW5" s="103"/>
      <c r="AX5" t="s">
        <v>339</v>
      </c>
      <c r="AY5" s="103"/>
      <c r="AZ5" s="129">
        <v>0.10424885915470591</v>
      </c>
      <c r="BA5" s="129">
        <v>4.0578349180496317E-3</v>
      </c>
    </row>
    <row r="6" spans="1:53" x14ac:dyDescent="0.2">
      <c r="A6" t="s">
        <v>1204</v>
      </c>
      <c r="B6" t="s">
        <v>1204</v>
      </c>
      <c r="C6" t="s">
        <v>2476</v>
      </c>
      <c r="D6" t="s">
        <v>80</v>
      </c>
      <c r="E6" t="s">
        <v>2484</v>
      </c>
      <c r="F6" t="s">
        <v>2485</v>
      </c>
      <c r="G6" t="s">
        <v>314</v>
      </c>
      <c r="H6" t="s">
        <v>2471</v>
      </c>
      <c r="I6" t="s">
        <v>204</v>
      </c>
      <c r="J6" t="s">
        <v>204</v>
      </c>
      <c r="K6" t="s">
        <v>478</v>
      </c>
      <c r="L6" t="s">
        <v>339</v>
      </c>
      <c r="M6" t="s">
        <v>339</v>
      </c>
      <c r="N6" s="103"/>
      <c r="O6" t="s">
        <v>2479</v>
      </c>
      <c r="P6" s="103"/>
      <c r="Q6" t="s">
        <v>410</v>
      </c>
      <c r="R6" t="s">
        <v>410</v>
      </c>
      <c r="S6" t="s">
        <v>1208</v>
      </c>
      <c r="T6" s="125">
        <v>8110</v>
      </c>
      <c r="U6" s="136" t="s">
        <v>823</v>
      </c>
      <c r="V6" s="126">
        <v>3.5299999999999998E-2</v>
      </c>
      <c r="W6" t="s">
        <v>753</v>
      </c>
      <c r="X6" t="s">
        <v>899</v>
      </c>
      <c r="Y6" s="103"/>
      <c r="Z6" s="126">
        <v>5.9900000000000002E-2</v>
      </c>
      <c r="AA6" t="s">
        <v>2192</v>
      </c>
      <c r="AB6" t="s">
        <v>412</v>
      </c>
      <c r="AC6" s="136" t="s">
        <v>748</v>
      </c>
      <c r="AD6" s="103"/>
      <c r="AE6" s="103"/>
      <c r="AF6" s="103"/>
      <c r="AG6" t="s">
        <v>339</v>
      </c>
      <c r="AH6" t="s">
        <v>781</v>
      </c>
      <c r="AI6" t="s">
        <v>2474</v>
      </c>
      <c r="AJ6" t="s">
        <v>338</v>
      </c>
      <c r="AK6" t="s">
        <v>886</v>
      </c>
      <c r="AL6" t="s">
        <v>2475</v>
      </c>
      <c r="AM6" t="s">
        <v>889</v>
      </c>
      <c r="AN6" s="137">
        <v>45473</v>
      </c>
      <c r="AO6" s="137">
        <v>45473</v>
      </c>
      <c r="AP6" s="102"/>
      <c r="AQ6" s="125">
        <v>32720597300</v>
      </c>
      <c r="AR6" s="127">
        <v>117.87</v>
      </c>
      <c r="AS6" s="135">
        <v>1</v>
      </c>
      <c r="AT6" s="124">
        <v>38567.767999999996</v>
      </c>
      <c r="AU6" s="130">
        <v>38567768037.5</v>
      </c>
      <c r="AV6" s="103"/>
      <c r="AW6" s="103"/>
      <c r="AX6" t="s">
        <v>339</v>
      </c>
      <c r="AY6" s="103"/>
      <c r="AZ6" s="129">
        <v>8.7773213496002242E-2</v>
      </c>
      <c r="BA6" s="129">
        <v>3.4165286170177258E-3</v>
      </c>
    </row>
    <row r="7" spans="1:53" x14ac:dyDescent="0.2">
      <c r="A7" t="s">
        <v>1204</v>
      </c>
      <c r="B7" t="s">
        <v>1204</v>
      </c>
      <c r="C7" t="s">
        <v>2468</v>
      </c>
      <c r="D7" t="s">
        <v>80</v>
      </c>
      <c r="E7" t="s">
        <v>2486</v>
      </c>
      <c r="F7" t="s">
        <v>2487</v>
      </c>
      <c r="G7" t="s">
        <v>314</v>
      </c>
      <c r="H7" t="s">
        <v>2471</v>
      </c>
      <c r="I7" t="s">
        <v>204</v>
      </c>
      <c r="J7" t="s">
        <v>204</v>
      </c>
      <c r="K7" t="s">
        <v>478</v>
      </c>
      <c r="L7" t="s">
        <v>339</v>
      </c>
      <c r="M7" t="s">
        <v>339</v>
      </c>
      <c r="N7" s="103"/>
      <c r="O7" t="s">
        <v>2472</v>
      </c>
      <c r="P7" s="103"/>
      <c r="Q7" t="s">
        <v>410</v>
      </c>
      <c r="R7" t="s">
        <v>410</v>
      </c>
      <c r="S7" t="s">
        <v>1208</v>
      </c>
      <c r="T7" s="125">
        <v>7560</v>
      </c>
      <c r="U7" s="136" t="s">
        <v>823</v>
      </c>
      <c r="V7" s="126">
        <v>1.7899999999999999E-2</v>
      </c>
      <c r="W7" t="s">
        <v>1988</v>
      </c>
      <c r="X7" t="s">
        <v>899</v>
      </c>
      <c r="Y7" s="103"/>
      <c r="Z7" s="126">
        <v>2.87E-2</v>
      </c>
      <c r="AA7" t="s">
        <v>2473</v>
      </c>
      <c r="AB7" t="s">
        <v>412</v>
      </c>
      <c r="AC7" s="136" t="s">
        <v>748</v>
      </c>
      <c r="AD7" s="103"/>
      <c r="AE7" s="103"/>
      <c r="AF7" s="103"/>
      <c r="AG7" t="s">
        <v>339</v>
      </c>
      <c r="AH7" t="s">
        <v>781</v>
      </c>
      <c r="AI7" t="s">
        <v>2474</v>
      </c>
      <c r="AJ7" t="s">
        <v>338</v>
      </c>
      <c r="AK7" t="s">
        <v>886</v>
      </c>
      <c r="AL7" t="s">
        <v>2475</v>
      </c>
      <c r="AM7" t="s">
        <v>889</v>
      </c>
      <c r="AN7" s="137">
        <v>45473</v>
      </c>
      <c r="AO7" s="137">
        <v>45473</v>
      </c>
      <c r="AP7" s="102"/>
      <c r="AQ7" s="125">
        <v>29403507340</v>
      </c>
      <c r="AR7" s="127">
        <v>121.35</v>
      </c>
      <c r="AS7" s="135">
        <v>1</v>
      </c>
      <c r="AT7" s="124">
        <v>35681.156199999998</v>
      </c>
      <c r="AU7" s="130">
        <v>35681156157.099998</v>
      </c>
      <c r="AV7" s="103"/>
      <c r="AW7" s="103"/>
      <c r="AX7" t="s">
        <v>339</v>
      </c>
      <c r="AY7" s="103"/>
      <c r="AZ7" s="129">
        <v>8.1203810760179337E-2</v>
      </c>
      <c r="BA7" s="129">
        <v>3.1608178876312973E-3</v>
      </c>
    </row>
    <row r="8" spans="1:53" x14ac:dyDescent="0.2">
      <c r="A8" t="s">
        <v>1204</v>
      </c>
      <c r="B8" t="s">
        <v>1204</v>
      </c>
      <c r="C8" t="s">
        <v>2476</v>
      </c>
      <c r="D8" t="s">
        <v>80</v>
      </c>
      <c r="E8" t="s">
        <v>2488</v>
      </c>
      <c r="F8" t="s">
        <v>2489</v>
      </c>
      <c r="G8" t="s">
        <v>314</v>
      </c>
      <c r="H8" t="s">
        <v>2471</v>
      </c>
      <c r="I8" t="s">
        <v>204</v>
      </c>
      <c r="J8" t="s">
        <v>204</v>
      </c>
      <c r="K8" t="s">
        <v>478</v>
      </c>
      <c r="L8" t="s">
        <v>339</v>
      </c>
      <c r="M8" t="s">
        <v>339</v>
      </c>
      <c r="N8" s="103"/>
      <c r="O8" t="s">
        <v>2479</v>
      </c>
      <c r="P8" s="103"/>
      <c r="Q8" t="s">
        <v>410</v>
      </c>
      <c r="R8" t="s">
        <v>410</v>
      </c>
      <c r="S8" t="s">
        <v>1208</v>
      </c>
      <c r="T8" s="125">
        <v>9550</v>
      </c>
      <c r="U8" s="136" t="s">
        <v>823</v>
      </c>
      <c r="V8" s="126">
        <v>2.9399999999999999E-2</v>
      </c>
      <c r="W8" t="s">
        <v>1988</v>
      </c>
      <c r="X8" t="s">
        <v>899</v>
      </c>
      <c r="Y8" s="103"/>
      <c r="Z8" s="126">
        <v>2.87E-2</v>
      </c>
      <c r="AA8" t="s">
        <v>2490</v>
      </c>
      <c r="AB8" t="s">
        <v>412</v>
      </c>
      <c r="AC8" s="136" t="s">
        <v>748</v>
      </c>
      <c r="AD8" s="103"/>
      <c r="AE8" s="103"/>
      <c r="AF8" s="103"/>
      <c r="AG8" t="s">
        <v>339</v>
      </c>
      <c r="AH8" t="s">
        <v>781</v>
      </c>
      <c r="AI8" t="s">
        <v>2474</v>
      </c>
      <c r="AJ8" t="s">
        <v>338</v>
      </c>
      <c r="AK8" t="s">
        <v>886</v>
      </c>
      <c r="AL8" t="s">
        <v>2475</v>
      </c>
      <c r="AM8" t="s">
        <v>889</v>
      </c>
      <c r="AN8" s="137">
        <v>45473</v>
      </c>
      <c r="AO8" s="137">
        <v>45473</v>
      </c>
      <c r="AP8" s="102"/>
      <c r="AQ8" s="125">
        <v>23956635170</v>
      </c>
      <c r="AR8" s="127">
        <v>146.53</v>
      </c>
      <c r="AS8" s="135">
        <v>1</v>
      </c>
      <c r="AT8" s="124">
        <v>35103.657500000001</v>
      </c>
      <c r="AU8" s="130">
        <v>35103657514.599998</v>
      </c>
      <c r="AV8" s="103"/>
      <c r="AW8" s="103"/>
      <c r="AX8" t="s">
        <v>339</v>
      </c>
      <c r="AY8" s="103"/>
      <c r="AZ8" s="129">
        <v>7.9889529062790482E-2</v>
      </c>
      <c r="BA8" s="129">
        <v>3.1096601271813373E-3</v>
      </c>
    </row>
    <row r="9" spans="1:53" x14ac:dyDescent="0.2">
      <c r="A9" t="s">
        <v>1204</v>
      </c>
      <c r="B9" t="s">
        <v>1204</v>
      </c>
      <c r="C9" t="s">
        <v>2476</v>
      </c>
      <c r="D9" t="s">
        <v>80</v>
      </c>
      <c r="E9" t="s">
        <v>2491</v>
      </c>
      <c r="F9" t="s">
        <v>2492</v>
      </c>
      <c r="G9" t="s">
        <v>314</v>
      </c>
      <c r="H9" t="s">
        <v>2471</v>
      </c>
      <c r="I9" t="s">
        <v>204</v>
      </c>
      <c r="J9" t="s">
        <v>204</v>
      </c>
      <c r="K9" t="s">
        <v>478</v>
      </c>
      <c r="L9" t="s">
        <v>339</v>
      </c>
      <c r="M9" t="s">
        <v>339</v>
      </c>
      <c r="N9" s="103"/>
      <c r="O9" t="s">
        <v>2479</v>
      </c>
      <c r="P9" s="103"/>
      <c r="Q9" t="s">
        <v>410</v>
      </c>
      <c r="R9" t="s">
        <v>410</v>
      </c>
      <c r="S9" t="s">
        <v>1208</v>
      </c>
      <c r="T9" s="125">
        <v>8960</v>
      </c>
      <c r="U9" s="136" t="s">
        <v>824</v>
      </c>
      <c r="V9" s="126">
        <v>2.4899999999999999E-2</v>
      </c>
      <c r="W9" t="s">
        <v>1988</v>
      </c>
      <c r="X9" t="s">
        <v>899</v>
      </c>
      <c r="Y9" s="103"/>
      <c r="Z9" s="126">
        <v>3.1199999999999999E-2</v>
      </c>
      <c r="AA9" t="s">
        <v>2493</v>
      </c>
      <c r="AB9" t="s">
        <v>412</v>
      </c>
      <c r="AC9" s="136" t="s">
        <v>748</v>
      </c>
      <c r="AD9" s="103"/>
      <c r="AE9" s="103"/>
      <c r="AF9" s="103"/>
      <c r="AG9" t="s">
        <v>339</v>
      </c>
      <c r="AH9" t="s">
        <v>781</v>
      </c>
      <c r="AI9" t="s">
        <v>2474</v>
      </c>
      <c r="AJ9" t="s">
        <v>338</v>
      </c>
      <c r="AK9" t="s">
        <v>886</v>
      </c>
      <c r="AL9" t="s">
        <v>2475</v>
      </c>
      <c r="AM9" t="s">
        <v>889</v>
      </c>
      <c r="AN9" s="137">
        <v>45473</v>
      </c>
      <c r="AO9" s="137">
        <v>45473</v>
      </c>
      <c r="AP9" s="102"/>
      <c r="AQ9" s="125">
        <v>25940131590</v>
      </c>
      <c r="AR9" s="127">
        <v>118.82</v>
      </c>
      <c r="AS9" s="135">
        <v>1</v>
      </c>
      <c r="AT9" s="124">
        <v>30822.064399999999</v>
      </c>
      <c r="AU9" s="130">
        <v>30822064355.200001</v>
      </c>
      <c r="AV9" s="103"/>
      <c r="AW9" s="103"/>
      <c r="AX9" t="s">
        <v>339</v>
      </c>
      <c r="AY9" s="103"/>
      <c r="AZ9" s="129">
        <v>7.0145403083960459E-2</v>
      </c>
      <c r="BA9" s="129">
        <v>2.7303748768353997E-3</v>
      </c>
    </row>
    <row r="10" spans="1:53" x14ac:dyDescent="0.2">
      <c r="A10" t="s">
        <v>1204</v>
      </c>
      <c r="B10" t="s">
        <v>1204</v>
      </c>
      <c r="C10" t="s">
        <v>2468</v>
      </c>
      <c r="D10" t="s">
        <v>80</v>
      </c>
      <c r="E10" t="s">
        <v>2494</v>
      </c>
      <c r="F10" t="s">
        <v>2495</v>
      </c>
      <c r="G10" t="s">
        <v>314</v>
      </c>
      <c r="H10" t="s">
        <v>2471</v>
      </c>
      <c r="I10" t="s">
        <v>204</v>
      </c>
      <c r="J10" t="s">
        <v>204</v>
      </c>
      <c r="K10" t="s">
        <v>478</v>
      </c>
      <c r="L10" t="s">
        <v>339</v>
      </c>
      <c r="M10" t="s">
        <v>339</v>
      </c>
      <c r="N10" s="103"/>
      <c r="O10" t="s">
        <v>2472</v>
      </c>
      <c r="P10" s="103"/>
      <c r="Q10" t="s">
        <v>410</v>
      </c>
      <c r="R10" t="s">
        <v>410</v>
      </c>
      <c r="S10" t="s">
        <v>1208</v>
      </c>
      <c r="T10" s="125">
        <v>6320</v>
      </c>
      <c r="U10" s="136" t="s">
        <v>824</v>
      </c>
      <c r="V10" s="126">
        <v>2.5000000000000001E-2</v>
      </c>
      <c r="W10" t="s">
        <v>1988</v>
      </c>
      <c r="X10" t="s">
        <v>899</v>
      </c>
      <c r="Y10" s="103"/>
      <c r="Z10" s="126">
        <v>2.3300000000000001E-2</v>
      </c>
      <c r="AA10" t="s">
        <v>2473</v>
      </c>
      <c r="AB10" t="s">
        <v>412</v>
      </c>
      <c r="AC10" s="136" t="s">
        <v>748</v>
      </c>
      <c r="AD10" s="103"/>
      <c r="AE10" s="103"/>
      <c r="AF10" s="103"/>
      <c r="AG10" t="s">
        <v>339</v>
      </c>
      <c r="AH10" t="s">
        <v>781</v>
      </c>
      <c r="AI10" t="s">
        <v>2474</v>
      </c>
      <c r="AJ10" t="s">
        <v>338</v>
      </c>
      <c r="AK10" t="s">
        <v>886</v>
      </c>
      <c r="AL10" t="s">
        <v>2475</v>
      </c>
      <c r="AM10" t="s">
        <v>889</v>
      </c>
      <c r="AN10" s="137">
        <v>45473</v>
      </c>
      <c r="AO10" s="137">
        <v>45473</v>
      </c>
      <c r="AP10" s="102"/>
      <c r="AQ10" s="125">
        <v>18620802990</v>
      </c>
      <c r="AR10" s="127">
        <v>115.43</v>
      </c>
      <c r="AS10" s="135">
        <v>1</v>
      </c>
      <c r="AT10" s="124">
        <v>21493.992900000001</v>
      </c>
      <c r="AU10" s="130">
        <v>21493992891.400002</v>
      </c>
      <c r="AV10" s="103"/>
      <c r="AW10" s="103"/>
      <c r="AX10" t="s">
        <v>339</v>
      </c>
      <c r="AY10" s="103"/>
      <c r="AZ10" s="129">
        <v>4.891641188828396E-2</v>
      </c>
      <c r="BA10" s="129">
        <v>1.9040469683357347E-3</v>
      </c>
    </row>
    <row r="11" spans="1:53" x14ac:dyDescent="0.2">
      <c r="A11" t="s">
        <v>1204</v>
      </c>
      <c r="B11" t="s">
        <v>1204</v>
      </c>
      <c r="C11" t="s">
        <v>2496</v>
      </c>
      <c r="D11" t="s">
        <v>310</v>
      </c>
      <c r="E11" t="s">
        <v>2497</v>
      </c>
      <c r="F11" t="s">
        <v>2498</v>
      </c>
      <c r="G11" t="s">
        <v>314</v>
      </c>
      <c r="H11" t="s">
        <v>798</v>
      </c>
      <c r="I11" t="s">
        <v>204</v>
      </c>
      <c r="J11" t="s">
        <v>204</v>
      </c>
      <c r="K11" t="s">
        <v>485</v>
      </c>
      <c r="L11" t="s">
        <v>339</v>
      </c>
      <c r="M11" t="s">
        <v>338</v>
      </c>
      <c r="N11" t="s">
        <v>2498</v>
      </c>
      <c r="O11" t="s">
        <v>2499</v>
      </c>
      <c r="P11" t="s">
        <v>1418</v>
      </c>
      <c r="Q11" t="s">
        <v>415</v>
      </c>
      <c r="R11" t="s">
        <v>407</v>
      </c>
      <c r="S11" t="s">
        <v>1208</v>
      </c>
      <c r="T11" s="125">
        <v>1710.3</v>
      </c>
      <c r="U11" s="136" t="s">
        <v>314</v>
      </c>
      <c r="V11" s="129">
        <v>3.8450999999999999E-2</v>
      </c>
      <c r="W11" t="s">
        <v>753</v>
      </c>
      <c r="X11" t="s">
        <v>899</v>
      </c>
      <c r="Y11" s="103"/>
      <c r="Z11" s="129">
        <v>2.1758686805963202E-2</v>
      </c>
      <c r="AA11" t="s">
        <v>1491</v>
      </c>
      <c r="AB11" t="s">
        <v>412</v>
      </c>
      <c r="AC11" s="136" t="s">
        <v>763</v>
      </c>
      <c r="AD11" s="103"/>
      <c r="AE11" s="103"/>
      <c r="AF11" s="103"/>
      <c r="AG11" t="s">
        <v>339</v>
      </c>
      <c r="AH11" t="s">
        <v>780</v>
      </c>
      <c r="AI11" t="s">
        <v>485</v>
      </c>
      <c r="AJ11" t="s">
        <v>339</v>
      </c>
      <c r="AK11" t="s">
        <v>886</v>
      </c>
      <c r="AL11" t="s">
        <v>2475</v>
      </c>
      <c r="AM11" t="s">
        <v>889</v>
      </c>
      <c r="AN11" s="137">
        <v>45473</v>
      </c>
      <c r="AO11" s="137">
        <v>45473</v>
      </c>
      <c r="AP11" s="102"/>
      <c r="AQ11" s="125">
        <v>10865554210</v>
      </c>
      <c r="AR11" s="127">
        <v>149.6</v>
      </c>
      <c r="AS11" s="135">
        <v>1</v>
      </c>
      <c r="AT11" s="124">
        <v>16254.8691</v>
      </c>
      <c r="AU11" s="130">
        <v>16254869098.200001</v>
      </c>
      <c r="AV11" s="103"/>
      <c r="AW11" s="103"/>
      <c r="AX11" t="s">
        <v>339</v>
      </c>
      <c r="AY11" s="103"/>
      <c r="AZ11" s="129">
        <v>3.6993120636764749E-2</v>
      </c>
      <c r="BA11" s="129">
        <v>1.4399387951547688E-3</v>
      </c>
    </row>
    <row r="12" spans="1:53" x14ac:dyDescent="0.2">
      <c r="A12" t="s">
        <v>1204</v>
      </c>
      <c r="B12" t="s">
        <v>1204</v>
      </c>
      <c r="C12" t="s">
        <v>2468</v>
      </c>
      <c r="D12" t="s">
        <v>80</v>
      </c>
      <c r="E12" t="s">
        <v>2500</v>
      </c>
      <c r="F12" t="s">
        <v>2501</v>
      </c>
      <c r="G12" t="s">
        <v>314</v>
      </c>
      <c r="H12" t="s">
        <v>2471</v>
      </c>
      <c r="I12" t="s">
        <v>204</v>
      </c>
      <c r="J12" t="s">
        <v>204</v>
      </c>
      <c r="K12" t="s">
        <v>478</v>
      </c>
      <c r="L12" t="s">
        <v>339</v>
      </c>
      <c r="M12" t="s">
        <v>339</v>
      </c>
      <c r="N12" s="103"/>
      <c r="O12" t="s">
        <v>2472</v>
      </c>
      <c r="P12" s="103"/>
      <c r="Q12" t="s">
        <v>410</v>
      </c>
      <c r="R12" t="s">
        <v>410</v>
      </c>
      <c r="S12" t="s">
        <v>1208</v>
      </c>
      <c r="T12" s="125">
        <v>6100</v>
      </c>
      <c r="U12" s="136" t="s">
        <v>823</v>
      </c>
      <c r="V12" s="126">
        <v>2.3400000000000001E-2</v>
      </c>
      <c r="W12" t="s">
        <v>753</v>
      </c>
      <c r="X12" t="s">
        <v>899</v>
      </c>
      <c r="Y12" s="103"/>
      <c r="Z12" s="129">
        <v>8.3099999999999993E-2</v>
      </c>
      <c r="AA12" t="s">
        <v>2473</v>
      </c>
      <c r="AB12" t="s">
        <v>412</v>
      </c>
      <c r="AC12" s="136" t="s">
        <v>748</v>
      </c>
      <c r="AD12" s="103"/>
      <c r="AE12" s="103"/>
      <c r="AF12" s="103"/>
      <c r="AG12" t="s">
        <v>339</v>
      </c>
      <c r="AH12" t="s">
        <v>781</v>
      </c>
      <c r="AI12" t="s">
        <v>2474</v>
      </c>
      <c r="AJ12" t="s">
        <v>338</v>
      </c>
      <c r="AK12" t="s">
        <v>886</v>
      </c>
      <c r="AL12" t="s">
        <v>2475</v>
      </c>
      <c r="AM12" t="s">
        <v>889</v>
      </c>
      <c r="AN12" s="137">
        <v>45473</v>
      </c>
      <c r="AO12" s="137">
        <v>45473</v>
      </c>
      <c r="AP12" s="102"/>
      <c r="AQ12" s="125">
        <v>14418373050</v>
      </c>
      <c r="AR12" s="127">
        <v>112</v>
      </c>
      <c r="AS12" s="135">
        <v>1</v>
      </c>
      <c r="AT12" s="124">
        <v>16148.577799999999</v>
      </c>
      <c r="AU12" s="130">
        <v>16148577816</v>
      </c>
      <c r="AV12" s="103"/>
      <c r="AW12" s="103"/>
      <c r="AX12" t="s">
        <v>339</v>
      </c>
      <c r="AY12" s="103"/>
      <c r="AZ12" s="129">
        <v>3.6751221043489872E-2</v>
      </c>
      <c r="BA12" s="129">
        <v>1.4305229739725331E-3</v>
      </c>
    </row>
    <row r="13" spans="1:53" x14ac:dyDescent="0.2">
      <c r="A13" t="s">
        <v>1204</v>
      </c>
      <c r="B13" t="s">
        <v>1204</v>
      </c>
      <c r="C13" t="s">
        <v>2476</v>
      </c>
      <c r="D13" t="s">
        <v>80</v>
      </c>
      <c r="E13" t="s">
        <v>2502</v>
      </c>
      <c r="F13" t="s">
        <v>2503</v>
      </c>
      <c r="G13" t="s">
        <v>314</v>
      </c>
      <c r="H13" t="s">
        <v>2471</v>
      </c>
      <c r="I13" t="s">
        <v>204</v>
      </c>
      <c r="J13" t="s">
        <v>204</v>
      </c>
      <c r="K13" t="s">
        <v>478</v>
      </c>
      <c r="L13" t="s">
        <v>339</v>
      </c>
      <c r="M13" t="s">
        <v>339</v>
      </c>
      <c r="N13" s="103"/>
      <c r="O13" t="s">
        <v>2479</v>
      </c>
      <c r="P13" s="103"/>
      <c r="Q13" t="s">
        <v>410</v>
      </c>
      <c r="R13" t="s">
        <v>410</v>
      </c>
      <c r="S13" t="s">
        <v>1208</v>
      </c>
      <c r="T13" s="125">
        <v>7400</v>
      </c>
      <c r="U13" s="136" t="s">
        <v>823</v>
      </c>
      <c r="V13" s="126">
        <v>7.6799999999999993E-2</v>
      </c>
      <c r="W13" t="s">
        <v>753</v>
      </c>
      <c r="X13" t="s">
        <v>899</v>
      </c>
      <c r="Y13" s="103"/>
      <c r="Z13" s="129">
        <v>7.8299999999999995E-2</v>
      </c>
      <c r="AA13" t="s">
        <v>2255</v>
      </c>
      <c r="AB13" t="s">
        <v>412</v>
      </c>
      <c r="AC13" s="136" t="s">
        <v>748</v>
      </c>
      <c r="AD13" s="103"/>
      <c r="AE13" s="103"/>
      <c r="AF13" s="103"/>
      <c r="AG13" t="s">
        <v>339</v>
      </c>
      <c r="AH13" t="s">
        <v>781</v>
      </c>
      <c r="AI13" t="s">
        <v>2474</v>
      </c>
      <c r="AJ13" t="s">
        <v>338</v>
      </c>
      <c r="AK13" t="s">
        <v>886</v>
      </c>
      <c r="AL13" t="s">
        <v>2475</v>
      </c>
      <c r="AM13" t="s">
        <v>889</v>
      </c>
      <c r="AN13" s="137">
        <v>45473</v>
      </c>
      <c r="AO13" s="137">
        <v>45473</v>
      </c>
      <c r="AP13" s="102"/>
      <c r="AQ13" s="125">
        <v>6692578150</v>
      </c>
      <c r="AR13" s="127">
        <v>102.67</v>
      </c>
      <c r="AS13" s="135">
        <v>1</v>
      </c>
      <c r="AT13" s="124">
        <v>6871.27</v>
      </c>
      <c r="AU13" s="130">
        <v>6871269986.6000004</v>
      </c>
      <c r="AV13" s="103"/>
      <c r="AW13" s="103"/>
      <c r="AX13" t="s">
        <v>339</v>
      </c>
      <c r="AY13" s="103"/>
      <c r="AZ13" s="129">
        <v>1.5637758631414211E-2</v>
      </c>
      <c r="BA13" s="129">
        <v>6.0869196583164867E-4</v>
      </c>
    </row>
    <row r="14" spans="1:53" x14ac:dyDescent="0.2">
      <c r="A14" t="s">
        <v>1204</v>
      </c>
      <c r="B14" t="s">
        <v>1204</v>
      </c>
      <c r="C14" t="s">
        <v>2504</v>
      </c>
      <c r="D14" t="s">
        <v>310</v>
      </c>
      <c r="E14" t="s">
        <v>2505</v>
      </c>
      <c r="F14" t="s">
        <v>2506</v>
      </c>
      <c r="G14" t="s">
        <v>314</v>
      </c>
      <c r="H14" t="s">
        <v>798</v>
      </c>
      <c r="I14" t="s">
        <v>204</v>
      </c>
      <c r="J14" t="s">
        <v>204</v>
      </c>
      <c r="K14" t="s">
        <v>485</v>
      </c>
      <c r="L14" t="s">
        <v>339</v>
      </c>
      <c r="M14" t="s">
        <v>338</v>
      </c>
      <c r="N14" t="s">
        <v>2506</v>
      </c>
      <c r="O14" t="s">
        <v>2507</v>
      </c>
      <c r="P14" t="s">
        <v>1515</v>
      </c>
      <c r="Q14" t="s">
        <v>415</v>
      </c>
      <c r="R14" t="s">
        <v>407</v>
      </c>
      <c r="S14" t="s">
        <v>1208</v>
      </c>
      <c r="T14" s="125">
        <v>1703.8</v>
      </c>
      <c r="U14" s="136" t="s">
        <v>314</v>
      </c>
      <c r="V14" s="126">
        <v>4.7039999999999998E-2</v>
      </c>
      <c r="W14" t="s">
        <v>1988</v>
      </c>
      <c r="X14" t="s">
        <v>899</v>
      </c>
      <c r="Y14" s="103"/>
      <c r="Z14" s="129">
        <v>3.9133424962758699E-2</v>
      </c>
      <c r="AA14" t="s">
        <v>1491</v>
      </c>
      <c r="AB14" t="s">
        <v>412</v>
      </c>
      <c r="AC14" s="136" t="s">
        <v>763</v>
      </c>
      <c r="AD14" s="103"/>
      <c r="AE14" s="103"/>
      <c r="AF14" s="103"/>
      <c r="AG14" t="s">
        <v>339</v>
      </c>
      <c r="AH14" t="s">
        <v>780</v>
      </c>
      <c r="AI14" t="s">
        <v>485</v>
      </c>
      <c r="AJ14" t="s">
        <v>339</v>
      </c>
      <c r="AK14" t="s">
        <v>886</v>
      </c>
      <c r="AL14" t="s">
        <v>2475</v>
      </c>
      <c r="AM14" t="s">
        <v>889</v>
      </c>
      <c r="AN14" s="137">
        <v>45473</v>
      </c>
      <c r="AO14" s="137">
        <v>45473</v>
      </c>
      <c r="AP14" s="102"/>
      <c r="AQ14" s="125">
        <v>2151204600</v>
      </c>
      <c r="AR14" s="127">
        <v>138.68</v>
      </c>
      <c r="AS14" s="135">
        <v>1</v>
      </c>
      <c r="AT14" s="124">
        <v>2983.2905000000001</v>
      </c>
      <c r="AU14" s="130">
        <v>2983290539.3000002</v>
      </c>
      <c r="AV14" s="103"/>
      <c r="AW14" s="103"/>
      <c r="AX14" t="s">
        <v>339</v>
      </c>
      <c r="AY14" s="103"/>
      <c r="AZ14" s="129">
        <v>6.7894257497648223E-3</v>
      </c>
      <c r="BA14" s="129">
        <v>2.6427501561447392E-4</v>
      </c>
    </row>
    <row r="15" spans="1:53" x14ac:dyDescent="0.2">
      <c r="A15" t="s">
        <v>1204</v>
      </c>
      <c r="B15" t="s">
        <v>1204</v>
      </c>
      <c r="C15" t="s">
        <v>2468</v>
      </c>
      <c r="D15" t="s">
        <v>80</v>
      </c>
      <c r="E15" t="s">
        <v>2508</v>
      </c>
      <c r="F15" t="s">
        <v>2509</v>
      </c>
      <c r="G15" t="s">
        <v>314</v>
      </c>
      <c r="H15" t="s">
        <v>2471</v>
      </c>
      <c r="I15" t="s">
        <v>204</v>
      </c>
      <c r="J15" t="s">
        <v>204</v>
      </c>
      <c r="K15" t="s">
        <v>478</v>
      </c>
      <c r="L15" t="s">
        <v>339</v>
      </c>
      <c r="M15" t="s">
        <v>339</v>
      </c>
      <c r="N15" s="103"/>
      <c r="O15" t="s">
        <v>2510</v>
      </c>
      <c r="P15" s="103"/>
      <c r="Q15" t="s">
        <v>410</v>
      </c>
      <c r="R15" t="s">
        <v>410</v>
      </c>
      <c r="S15" t="s">
        <v>1208</v>
      </c>
      <c r="T15" s="125">
        <v>30</v>
      </c>
      <c r="U15" s="136" t="s">
        <v>314</v>
      </c>
      <c r="V15" s="13" t="s">
        <v>2467</v>
      </c>
      <c r="W15" t="s">
        <v>753</v>
      </c>
      <c r="X15" t="s">
        <v>899</v>
      </c>
      <c r="Y15" s="103"/>
      <c r="Z15" s="126">
        <v>0</v>
      </c>
      <c r="AA15" t="s">
        <v>2511</v>
      </c>
      <c r="AB15" t="s">
        <v>412</v>
      </c>
      <c r="AC15" s="136" t="s">
        <v>748</v>
      </c>
      <c r="AD15" s="103"/>
      <c r="AE15" s="103"/>
      <c r="AF15" s="103"/>
      <c r="AG15" t="s">
        <v>339</v>
      </c>
      <c r="AH15" t="s">
        <v>781</v>
      </c>
      <c r="AI15" t="s">
        <v>2474</v>
      </c>
      <c r="AJ15" t="s">
        <v>338</v>
      </c>
      <c r="AK15" t="s">
        <v>886</v>
      </c>
      <c r="AL15" t="s">
        <v>2475</v>
      </c>
      <c r="AM15" t="s">
        <v>889</v>
      </c>
      <c r="AN15" s="137">
        <v>45473</v>
      </c>
      <c r="AO15" s="137">
        <v>45473</v>
      </c>
      <c r="AP15" s="102"/>
      <c r="AQ15" s="125">
        <v>-1909544720</v>
      </c>
      <c r="AR15" s="127">
        <v>100</v>
      </c>
      <c r="AS15" s="135">
        <v>1</v>
      </c>
      <c r="AT15" s="124">
        <v>-1909.5446999999999</v>
      </c>
      <c r="AU15" s="130">
        <v>-1909544720</v>
      </c>
      <c r="AV15" s="103"/>
      <c r="AW15" s="103"/>
      <c r="AX15" t="s">
        <v>339</v>
      </c>
      <c r="AY15" s="103"/>
      <c r="AZ15" s="129">
        <v>-4.3457758879309211E-3</v>
      </c>
      <c r="BA15" s="129">
        <v>-1.6915716188217102E-4</v>
      </c>
    </row>
    <row r="16" spans="1:53" x14ac:dyDescent="0.2">
      <c r="A16" s="195" t="s">
        <v>2681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03"/>
      <c r="AB16" s="16"/>
      <c r="AC16" s="103"/>
      <c r="AD16" s="103"/>
      <c r="AE16" s="103"/>
      <c r="AF16" s="103"/>
      <c r="AG16" s="103"/>
      <c r="AH16" s="103"/>
      <c r="AI16" s="102"/>
      <c r="AJ16" s="102"/>
      <c r="AK16" s="103"/>
      <c r="AL16" s="103"/>
      <c r="AM16" s="103"/>
      <c r="AN16" s="102"/>
      <c r="AO16" s="102"/>
      <c r="AP16" s="102"/>
      <c r="AQ16"/>
      <c r="AR16" s="138"/>
      <c r="AS16" s="103"/>
      <c r="AT16" s="103"/>
      <c r="AU16" s="103"/>
      <c r="AV16" s="103"/>
      <c r="AW16" s="103"/>
      <c r="AX16" s="16"/>
      <c r="AY16" s="103"/>
      <c r="AZ16" s="103"/>
      <c r="BA16" s="103"/>
    </row>
    <row r="17" spans="1:53" x14ac:dyDescent="0.2">
      <c r="A17"/>
      <c r="B17"/>
      <c r="C17" s="103"/>
      <c r="D17" s="103"/>
      <c r="E17" s="103"/>
      <c r="F17" s="103"/>
      <c r="G17" s="103"/>
      <c r="H17" s="102"/>
      <c r="I17" s="16"/>
      <c r="J17" s="16"/>
      <c r="K17" s="103"/>
      <c r="L17" s="103"/>
      <c r="M17" s="103"/>
      <c r="N17" s="103"/>
      <c r="O17" s="103"/>
      <c r="P17" s="103"/>
      <c r="Q17" s="103"/>
      <c r="R17" s="103"/>
      <c r="S17" s="16"/>
      <c r="T17" s="103"/>
      <c r="U17" s="103"/>
      <c r="V17" s="103"/>
      <c r="W17" s="103"/>
      <c r="X17" s="103"/>
      <c r="Y17" s="103"/>
      <c r="Z17" s="103"/>
      <c r="AA17" s="103"/>
      <c r="AB17" s="16"/>
      <c r="AC17" s="103"/>
      <c r="AD17" s="103"/>
      <c r="AE17" s="103"/>
      <c r="AF17" s="103"/>
      <c r="AG17" s="103"/>
      <c r="AH17" s="103"/>
      <c r="AI17" s="102"/>
      <c r="AJ17" s="102"/>
      <c r="AK17" s="103"/>
      <c r="AL17" s="103"/>
      <c r="AM17" s="103"/>
      <c r="AN17" s="102"/>
      <c r="AO17" s="102"/>
      <c r="AP17" s="102"/>
      <c r="AQ17"/>
      <c r="AR17" s="103"/>
      <c r="AS17" s="103"/>
      <c r="AT17" s="103"/>
      <c r="AU17" s="103"/>
      <c r="AV17" s="103"/>
      <c r="AW17" s="103"/>
      <c r="AX17" s="16"/>
      <c r="AY17" s="103"/>
      <c r="AZ17" s="103"/>
      <c r="BA17" s="103"/>
    </row>
    <row r="18" spans="1:53" x14ac:dyDescent="0.2">
      <c r="A18"/>
      <c r="B18"/>
      <c r="C18" s="103"/>
      <c r="D18" s="103"/>
      <c r="E18" s="103"/>
      <c r="F18" s="103"/>
      <c r="G18" s="103"/>
      <c r="H18" s="102"/>
      <c r="I18" s="16"/>
      <c r="J18" s="16"/>
      <c r="K18" s="103"/>
      <c r="L18" s="103"/>
      <c r="M18" s="103"/>
      <c r="N18" s="103"/>
      <c r="O18" s="103"/>
      <c r="P18" s="103"/>
      <c r="Q18" s="103"/>
      <c r="R18" s="103"/>
      <c r="S18" s="16"/>
      <c r="T18" s="103"/>
      <c r="U18" s="103"/>
      <c r="V18" s="103"/>
      <c r="W18" s="103"/>
      <c r="X18" s="103"/>
      <c r="Y18" s="103"/>
      <c r="Z18" s="103"/>
      <c r="AA18" s="103"/>
      <c r="AB18" s="16"/>
      <c r="AC18" s="103"/>
      <c r="AD18" s="103"/>
      <c r="AE18" s="103"/>
      <c r="AF18" s="103"/>
      <c r="AG18" s="103"/>
      <c r="AH18" s="103"/>
      <c r="AI18" s="102"/>
      <c r="AJ18" s="102"/>
      <c r="AK18" s="103"/>
      <c r="AL18" s="103"/>
      <c r="AM18" s="103"/>
      <c r="AN18" s="102"/>
      <c r="AO18" s="102"/>
      <c r="AP18" s="102"/>
      <c r="AQ18"/>
      <c r="AR18" s="103"/>
      <c r="AS18" s="103"/>
      <c r="AT18" s="103"/>
      <c r="AU18" s="103"/>
      <c r="AV18" s="103"/>
      <c r="AW18" s="103"/>
      <c r="AX18" s="16"/>
      <c r="AY18" s="103"/>
      <c r="AZ18" s="103"/>
      <c r="BA18" s="103"/>
    </row>
    <row r="19" spans="1:53" x14ac:dyDescent="0.2">
      <c r="A19"/>
      <c r="B19"/>
      <c r="C19" s="103"/>
      <c r="D19" s="103"/>
      <c r="E19" s="103"/>
      <c r="F19" s="103"/>
      <c r="G19" s="103"/>
      <c r="H19" s="102"/>
      <c r="I19" s="16"/>
      <c r="J19" s="16"/>
      <c r="K19" s="103"/>
      <c r="L19" s="103"/>
      <c r="M19" s="103"/>
      <c r="N19" s="103"/>
      <c r="O19" s="103"/>
      <c r="P19" s="103"/>
      <c r="Q19" s="103"/>
      <c r="R19" s="103"/>
      <c r="S19" s="16"/>
      <c r="T19" s="103"/>
      <c r="U19" s="103"/>
      <c r="V19" s="103"/>
      <c r="W19" s="103"/>
      <c r="X19" s="103"/>
      <c r="Y19" s="103"/>
      <c r="Z19" s="103"/>
      <c r="AA19" s="103"/>
      <c r="AB19" s="16"/>
      <c r="AC19" s="103"/>
      <c r="AD19" s="103"/>
      <c r="AE19" s="103"/>
      <c r="AF19" s="103"/>
      <c r="AG19" s="103"/>
      <c r="AH19" s="103"/>
      <c r="AI19" s="102"/>
      <c r="AJ19" s="102"/>
      <c r="AK19" s="103"/>
      <c r="AL19" s="103"/>
      <c r="AM19" s="103"/>
      <c r="AN19" s="102"/>
      <c r="AO19" s="102"/>
      <c r="AP19" s="102"/>
      <c r="AQ19"/>
      <c r="AR19" s="103"/>
      <c r="AS19" s="103"/>
      <c r="AT19" s="103"/>
      <c r="AU19" s="103"/>
      <c r="AV19" s="103"/>
      <c r="AW19" s="103"/>
      <c r="AX19" s="16"/>
      <c r="AY19" s="103"/>
      <c r="AZ19" s="103"/>
      <c r="BA19" s="103"/>
    </row>
    <row r="20" spans="1:53" x14ac:dyDescent="0.2">
      <c r="A20"/>
      <c r="B20"/>
      <c r="C20" s="102"/>
      <c r="D20" s="103"/>
      <c r="E20" s="102"/>
      <c r="F20" s="102"/>
      <c r="G20" s="103"/>
      <c r="H20" s="102"/>
      <c r="I20" s="16"/>
      <c r="J20" s="16"/>
      <c r="K20" s="103"/>
      <c r="L20" s="103"/>
      <c r="M20" s="103"/>
      <c r="N20" s="102"/>
      <c r="O20" s="102"/>
      <c r="P20" s="102"/>
      <c r="Q20" s="103"/>
      <c r="R20" s="103"/>
      <c r="S20" s="16"/>
      <c r="T20" s="102"/>
      <c r="U20" s="103"/>
      <c r="V20" s="102"/>
      <c r="W20" s="103"/>
      <c r="X20" s="103"/>
      <c r="Y20" s="102"/>
      <c r="Z20" s="102"/>
      <c r="AA20" s="102"/>
      <c r="AB20" s="16"/>
      <c r="AC20" s="103"/>
      <c r="AD20" s="102"/>
      <c r="AE20" s="102"/>
      <c r="AF20" s="102"/>
      <c r="AG20" s="103"/>
      <c r="AH20" s="103"/>
      <c r="AI20" s="102"/>
      <c r="AJ20" s="102"/>
      <c r="AK20" s="103"/>
      <c r="AL20" s="102"/>
      <c r="AM20" s="103"/>
      <c r="AN20" s="102"/>
      <c r="AO20" s="102"/>
      <c r="AP20" s="102"/>
      <c r="AQ20"/>
      <c r="AR20" s="102"/>
      <c r="AS20" s="102"/>
      <c r="AT20" s="102"/>
      <c r="AU20" s="102"/>
      <c r="AV20" s="102"/>
      <c r="AW20" s="102"/>
      <c r="AX20" s="16"/>
      <c r="AY20" s="103"/>
      <c r="AZ20" s="102"/>
      <c r="BA20" s="102"/>
    </row>
    <row r="21" spans="1:53" x14ac:dyDescent="0.2">
      <c r="A21" s="102"/>
      <c r="B21" s="102"/>
      <c r="C21" s="102"/>
      <c r="D21" s="4"/>
      <c r="E21" s="102"/>
      <c r="F21" s="102"/>
      <c r="G21" s="102"/>
      <c r="H21" s="102"/>
      <c r="I21"/>
      <c r="J21" s="102"/>
      <c r="K21" s="102"/>
      <c r="L21" s="102"/>
      <c r="M21" s="102"/>
      <c r="N21" s="102"/>
      <c r="O21" s="102"/>
      <c r="P21" s="102"/>
      <c r="Q21" s="102"/>
      <c r="R21" s="102"/>
      <c r="S21" s="16"/>
      <c r="T21" s="102"/>
      <c r="U21" s="102"/>
      <c r="V21" s="102"/>
      <c r="W21" s="102"/>
      <c r="X21" s="102"/>
      <c r="Y21" s="102"/>
      <c r="Z21" s="102"/>
      <c r="AA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/>
      <c r="AR21" s="102"/>
      <c r="AS21" s="102"/>
      <c r="AT21" s="102"/>
      <c r="AU21" s="102"/>
      <c r="AV21" s="102"/>
      <c r="AW21" s="102"/>
      <c r="AY21" s="102"/>
      <c r="AZ21" s="102"/>
      <c r="BA21" s="102"/>
    </row>
    <row r="22" spans="1:53" x14ac:dyDescent="0.2">
      <c r="A22" s="102"/>
      <c r="B22" s="102"/>
      <c r="C22" s="102"/>
      <c r="D22" s="4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6"/>
      <c r="T22" s="102"/>
      <c r="U22" s="102"/>
      <c r="V22" s="102"/>
      <c r="W22" s="102"/>
      <c r="X22" s="102"/>
      <c r="Y22" s="102"/>
      <c r="Z22" s="102"/>
      <c r="AA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/>
      <c r="AR22" s="102"/>
      <c r="AS22" s="102"/>
      <c r="AT22" s="102"/>
      <c r="AU22" s="102"/>
      <c r="AV22" s="102"/>
      <c r="AW22" s="102"/>
      <c r="AY22" s="102"/>
      <c r="AZ22" s="102"/>
      <c r="BA22" s="102"/>
    </row>
    <row r="23" spans="1:53" x14ac:dyDescent="0.2">
      <c r="A23" s="102"/>
      <c r="B23" s="102"/>
      <c r="C23" s="102"/>
      <c r="D23" s="4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/>
      <c r="AR23" s="102"/>
      <c r="AS23" s="102"/>
      <c r="AT23" s="102"/>
      <c r="AU23" s="102"/>
      <c r="AV23" s="102"/>
      <c r="AW23" s="102"/>
      <c r="AY23" s="102"/>
      <c r="AZ23" s="102"/>
      <c r="BA23" s="102"/>
    </row>
    <row r="24" spans="1:53" x14ac:dyDescent="0.2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/>
      <c r="AR24" s="102"/>
      <c r="AS24" s="102"/>
      <c r="AT24" s="102"/>
      <c r="AU24" s="102"/>
      <c r="AV24" s="102"/>
      <c r="AW24" s="102"/>
      <c r="AY24" s="102"/>
      <c r="AZ24" s="102"/>
      <c r="BA24" s="102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1">
    <mergeCell ref="A16:Z16"/>
  </mergeCells>
  <dataValidations count="21">
    <dataValidation type="list" allowBlank="1" showInputMessage="1" showErrorMessage="1" sqref="K2:K15 K17:K20" xr:uid="{00000000-0002-0000-1700-000000000000}">
      <formula1>Industry_sectors</formula1>
    </dataValidation>
    <dataValidation type="list" allowBlank="1" showInputMessage="1" showErrorMessage="1" sqref="L2:L15 L17:L20" xr:uid="{00000000-0002-0000-1700-000001000000}">
      <formula1>Holding_interest</formula1>
    </dataValidation>
    <dataValidation type="list" allowBlank="1" showInputMessage="1" showErrorMessage="1" sqref="Q2:Q15 Q17:Q20" xr:uid="{00000000-0002-0000-1700-000002000000}">
      <formula1>Rating_Agency</formula1>
    </dataValidation>
    <dataValidation type="list" allowBlank="1" showInputMessage="1" showErrorMessage="1" sqref="M2:M15 M17:M20" xr:uid="{00000000-0002-0000-1700-000003000000}">
      <formula1>Consortium</formula1>
    </dataValidation>
    <dataValidation type="list" allowBlank="1" showInputMessage="1" showErrorMessage="1" sqref="W2:W15 W17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15 J17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15 U17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15 X17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15 D17:D20" xr:uid="{00000000-0002-0000-1700-000010000000}">
      <formula1>issuer_number_loan</formula1>
    </dataValidation>
    <dataValidation type="list" allowBlank="1" showInputMessage="1" showErrorMessage="1" sqref="H2:H15 H17:H20" xr:uid="{00000000-0002-0000-1700-000011000000}">
      <formula1>real_estate_loans</formula1>
    </dataValidation>
    <dataValidation type="list" allowBlank="1" showInputMessage="1" showErrorMessage="1" sqref="I2:I15 I17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15 R17:R20" xr:uid="{00000000-0002-0000-1700-000014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G2:G15 G17:G20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3"/>
      <c r="AB2" s="103"/>
      <c r="AC2" s="103"/>
      <c r="AD2" s="103"/>
    </row>
    <row r="3" spans="1:30" x14ac:dyDescent="0.2">
      <c r="A3" s="103"/>
      <c r="B3" s="103"/>
      <c r="C3" s="103"/>
      <c r="D3" s="103"/>
      <c r="E3" s="16"/>
      <c r="F3" s="103"/>
      <c r="G3" s="103"/>
      <c r="H3" s="103"/>
      <c r="I3" s="103"/>
      <c r="J3" s="16"/>
      <c r="K3" s="16"/>
      <c r="L3" s="103"/>
      <c r="M3" s="103"/>
      <c r="N3" s="103"/>
      <c r="O3" s="103"/>
      <c r="P3" s="103"/>
      <c r="Q3" s="103"/>
      <c r="R3" s="16"/>
      <c r="S3" s="103"/>
      <c r="T3" s="103"/>
      <c r="U3" s="103"/>
      <c r="V3" s="103"/>
      <c r="W3" s="103"/>
      <c r="X3" s="102"/>
      <c r="Y3" s="103"/>
      <c r="Z3" s="103"/>
      <c r="AA3" s="103"/>
      <c r="AB3" s="103"/>
      <c r="AC3" s="103"/>
      <c r="AD3" s="103"/>
    </row>
    <row r="4" spans="1:30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03"/>
      <c r="O4" s="103"/>
      <c r="P4" s="103"/>
      <c r="Q4" s="103"/>
      <c r="R4" s="16"/>
      <c r="S4" s="103"/>
      <c r="T4" s="103"/>
      <c r="U4" s="103"/>
      <c r="V4" s="103"/>
      <c r="W4" s="103"/>
      <c r="X4" s="102"/>
      <c r="Y4" s="103"/>
      <c r="Z4" s="103"/>
      <c r="AA4" s="103"/>
      <c r="AB4" s="103"/>
      <c r="AC4" s="103"/>
      <c r="AD4" s="103"/>
    </row>
    <row r="5" spans="1:30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03"/>
      <c r="O5" s="103"/>
      <c r="P5" s="103"/>
      <c r="Q5" s="103"/>
      <c r="R5" s="16"/>
      <c r="S5" s="103"/>
      <c r="T5" s="103"/>
      <c r="U5" s="103"/>
      <c r="V5" s="103"/>
      <c r="W5" s="103"/>
      <c r="X5" s="102"/>
      <c r="Y5" s="103"/>
      <c r="Z5" s="103"/>
      <c r="AA5" s="103"/>
      <c r="AB5" s="103"/>
      <c r="AC5" s="103"/>
      <c r="AD5" s="103"/>
    </row>
    <row r="6" spans="1:30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03"/>
      <c r="O6" s="103"/>
      <c r="P6" s="103"/>
      <c r="Q6" s="103"/>
      <c r="R6" s="16"/>
      <c r="S6" s="103"/>
      <c r="T6" s="103"/>
      <c r="U6" s="103"/>
      <c r="V6" s="103"/>
      <c r="W6" s="103"/>
      <c r="X6" s="102"/>
      <c r="Y6" s="103"/>
      <c r="Z6" s="103"/>
      <c r="AA6" s="103"/>
      <c r="AB6" s="103"/>
      <c r="AC6" s="103"/>
      <c r="AD6" s="103"/>
    </row>
    <row r="7" spans="1:30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03"/>
      <c r="O7" s="103"/>
      <c r="P7" s="103"/>
      <c r="Q7" s="103"/>
      <c r="R7" s="16"/>
      <c r="S7" s="103"/>
      <c r="T7" s="103"/>
      <c r="U7" s="103"/>
      <c r="V7" s="103"/>
      <c r="W7" s="103"/>
      <c r="X7" s="102"/>
      <c r="Y7" s="103"/>
      <c r="Z7" s="103"/>
      <c r="AA7" s="103"/>
      <c r="AB7" s="103"/>
      <c r="AC7" s="103"/>
      <c r="AD7" s="103"/>
    </row>
    <row r="8" spans="1:30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03"/>
      <c r="O8" s="103"/>
      <c r="P8" s="103"/>
      <c r="Q8" s="103"/>
      <c r="R8" s="16"/>
      <c r="S8" s="103"/>
      <c r="T8" s="103"/>
      <c r="U8" s="103"/>
      <c r="V8" s="103"/>
      <c r="W8" s="103"/>
      <c r="X8" s="102"/>
      <c r="Y8" s="103"/>
      <c r="Z8" s="103"/>
      <c r="AA8" s="103"/>
      <c r="AB8" s="103"/>
      <c r="AC8" s="103"/>
      <c r="AD8" s="103"/>
    </row>
    <row r="9" spans="1:30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03"/>
      <c r="O9" s="103"/>
      <c r="P9" s="103"/>
      <c r="Q9" s="103"/>
      <c r="R9" s="16"/>
      <c r="S9" s="103"/>
      <c r="T9" s="103"/>
      <c r="U9" s="103"/>
      <c r="V9" s="103"/>
      <c r="W9" s="103"/>
      <c r="X9" s="102"/>
      <c r="Y9" s="103"/>
      <c r="Z9" s="103"/>
      <c r="AA9" s="103"/>
      <c r="AB9" s="103"/>
      <c r="AC9" s="103"/>
      <c r="AD9" s="103"/>
    </row>
    <row r="10" spans="1:30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03"/>
      <c r="O10" s="103"/>
      <c r="P10" s="103"/>
      <c r="Q10" s="103"/>
      <c r="R10" s="16"/>
      <c r="S10" s="103"/>
      <c r="T10" s="103"/>
      <c r="U10" s="103"/>
      <c r="V10" s="103"/>
      <c r="W10" s="103"/>
      <c r="X10" s="102"/>
      <c r="Y10" s="103"/>
      <c r="Z10" s="103"/>
      <c r="AA10" s="103"/>
      <c r="AB10" s="103"/>
      <c r="AC10" s="103"/>
      <c r="AD10" s="103"/>
    </row>
    <row r="11" spans="1:30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03"/>
      <c r="O11" s="103"/>
      <c r="P11" s="103"/>
      <c r="Q11" s="103"/>
      <c r="R11" s="16"/>
      <c r="S11" s="103"/>
      <c r="T11" s="103"/>
      <c r="U11" s="103"/>
      <c r="V11" s="103"/>
      <c r="W11" s="103"/>
      <c r="X11" s="102"/>
      <c r="Y11" s="103"/>
      <c r="Z11" s="103"/>
      <c r="AA11" s="103"/>
      <c r="AB11" s="103"/>
      <c r="AC11" s="103"/>
      <c r="AD11" s="103"/>
    </row>
    <row r="12" spans="1:30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03"/>
      <c r="O12" s="103"/>
      <c r="P12" s="103"/>
      <c r="Q12" s="103"/>
      <c r="R12" s="16"/>
      <c r="S12" s="103"/>
      <c r="T12" s="103"/>
      <c r="U12" s="103"/>
      <c r="V12" s="103"/>
      <c r="W12" s="103"/>
      <c r="X12" s="102"/>
      <c r="Y12" s="103"/>
      <c r="Z12" s="103"/>
      <c r="AA12" s="103"/>
      <c r="AB12" s="103"/>
      <c r="AC12" s="103"/>
      <c r="AD12" s="103"/>
    </row>
    <row r="13" spans="1:30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03"/>
      <c r="O13" s="103"/>
      <c r="P13" s="103"/>
      <c r="Q13" s="103"/>
      <c r="R13" s="16"/>
      <c r="S13" s="103"/>
      <c r="T13" s="103"/>
      <c r="U13" s="103"/>
      <c r="V13" s="103"/>
      <c r="W13" s="103"/>
      <c r="X13" s="102"/>
      <c r="Y13" s="103"/>
      <c r="Z13" s="103"/>
      <c r="AA13" s="103"/>
      <c r="AB13" s="103"/>
      <c r="AC13" s="103"/>
      <c r="AD13" s="103"/>
    </row>
    <row r="14" spans="1:30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03"/>
      <c r="O14" s="103"/>
      <c r="P14" s="103"/>
      <c r="Q14" s="103"/>
      <c r="R14" s="16"/>
      <c r="S14" s="103"/>
      <c r="T14" s="103"/>
      <c r="U14" s="103"/>
      <c r="V14" s="103"/>
      <c r="W14" s="103"/>
      <c r="X14" s="102"/>
      <c r="Y14" s="103"/>
      <c r="Z14" s="103"/>
      <c r="AA14" s="103"/>
      <c r="AB14" s="103"/>
      <c r="AC14" s="103"/>
      <c r="AD14" s="103"/>
    </row>
    <row r="15" spans="1:30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03"/>
      <c r="O15" s="103"/>
      <c r="P15" s="103"/>
      <c r="Q15" s="103"/>
      <c r="R15" s="16"/>
      <c r="S15" s="103"/>
      <c r="T15" s="103"/>
      <c r="U15" s="103"/>
      <c r="V15" s="103"/>
      <c r="W15" s="103"/>
      <c r="X15" s="102"/>
      <c r="Y15" s="103"/>
      <c r="Z15" s="103"/>
      <c r="AA15" s="103"/>
      <c r="AB15" s="103"/>
      <c r="AC15" s="103"/>
      <c r="AD15" s="103"/>
    </row>
    <row r="16" spans="1:30" x14ac:dyDescent="0.2">
      <c r="A16" s="103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03"/>
      <c r="O16" s="103"/>
      <c r="P16" s="103"/>
      <c r="Q16" s="103"/>
      <c r="R16" s="16"/>
      <c r="S16" s="103"/>
      <c r="T16" s="103"/>
      <c r="U16" s="103"/>
      <c r="V16" s="103"/>
      <c r="W16" s="103"/>
      <c r="X16" s="102"/>
      <c r="Y16" s="103"/>
      <c r="Z16" s="103"/>
      <c r="AA16" s="103"/>
      <c r="AB16" s="103"/>
      <c r="AC16" s="103"/>
      <c r="AD16" s="103"/>
    </row>
    <row r="17" spans="1:30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03"/>
      <c r="O17" s="103"/>
      <c r="P17" s="103"/>
      <c r="Q17" s="103"/>
      <c r="R17" s="16"/>
      <c r="S17" s="103"/>
      <c r="T17" s="103"/>
      <c r="U17" s="103"/>
      <c r="V17" s="103"/>
      <c r="W17" s="103"/>
      <c r="X17" s="102"/>
      <c r="Y17" s="103"/>
      <c r="Z17" s="103"/>
      <c r="AA17" s="103"/>
      <c r="AB17" s="103"/>
      <c r="AC17" s="103"/>
      <c r="AD17" s="103"/>
    </row>
    <row r="18" spans="1:30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03"/>
      <c r="O18" s="103"/>
      <c r="P18" s="103"/>
      <c r="Q18" s="103"/>
      <c r="R18" s="16"/>
      <c r="S18" s="103"/>
      <c r="T18" s="103"/>
      <c r="U18" s="103"/>
      <c r="V18" s="103"/>
      <c r="W18" s="103"/>
      <c r="X18" s="102"/>
      <c r="Y18" s="103"/>
      <c r="Z18" s="103"/>
      <c r="AA18" s="103"/>
      <c r="AB18" s="103"/>
      <c r="AC18" s="103"/>
      <c r="AD18" s="103"/>
    </row>
    <row r="19" spans="1:30" x14ac:dyDescent="0.2">
      <c r="A19" s="103"/>
      <c r="B19" s="103"/>
      <c r="C19" s="103"/>
      <c r="D19" s="103"/>
      <c r="E19" s="16"/>
      <c r="F19" s="103"/>
      <c r="G19" s="103"/>
      <c r="H19" s="103"/>
      <c r="I19" s="103"/>
      <c r="J19" s="16"/>
      <c r="K19" s="16"/>
      <c r="L19" s="103"/>
      <c r="M19" s="103"/>
      <c r="N19" s="103"/>
      <c r="O19" s="103"/>
      <c r="P19" s="103"/>
      <c r="Q19" s="103"/>
      <c r="R19" s="16"/>
      <c r="S19" s="103"/>
      <c r="T19" s="103"/>
      <c r="U19" s="103"/>
      <c r="V19" s="103"/>
      <c r="W19" s="103"/>
      <c r="X19" s="102"/>
      <c r="Y19" s="103"/>
      <c r="Z19" s="103"/>
      <c r="AA19" s="103"/>
      <c r="AB19" s="103"/>
      <c r="AC19" s="103"/>
      <c r="AD19" s="103"/>
    </row>
    <row r="20" spans="1:30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2"/>
      <c r="P20" s="103"/>
      <c r="Q20" s="103"/>
      <c r="R20" s="102"/>
      <c r="S20" s="102"/>
      <c r="T20" s="102"/>
      <c r="U20" s="102"/>
      <c r="V20" s="103"/>
      <c r="W20" s="103"/>
      <c r="X20" s="102"/>
      <c r="Y20" s="102"/>
      <c r="Z20" s="102"/>
      <c r="AA20" s="102"/>
      <c r="AB20" s="102"/>
      <c r="AC20" s="102"/>
      <c r="AD20" s="102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10">
    <dataValidation type="list" allowBlank="1" showInputMessage="1" showErrorMessage="1" sqref="J3:J20" xr:uid="{00000000-0002-0000-1800-000000000000}">
      <formula1>israel_abroad</formula1>
    </dataValidation>
    <dataValidation type="list" allowBlank="1" showInputMessage="1" showErrorMessage="1" sqref="L3:L20" xr:uid="{00000000-0002-0000-1800-000001000000}">
      <formula1>Holding_interest</formula1>
    </dataValidation>
    <dataValidation type="list" allowBlank="1" showInputMessage="1" showErrorMessage="1" sqref="P3:P20" xr:uid="{00000000-0002-0000-1800-000002000000}">
      <formula1>Rating_Agency</formula1>
    </dataValidation>
    <dataValidation type="list" allowBlank="1" showInputMessage="1" showErrorMessage="1" sqref="Q3:Q20" xr:uid="{00000000-0002-0000-1800-000003000000}">
      <formula1>What_is_rated</formula1>
    </dataValidation>
    <dataValidation type="list" allowBlank="1" showInputMessage="1" showErrorMessage="1" sqref="V3:V20" xr:uid="{00000000-0002-0000-1800-000004000000}">
      <formula1>Valuation</formula1>
    </dataValidation>
    <dataValidation type="list" allowBlank="1" showInputMessage="1" showErrorMessage="1" sqref="W3:W20" xr:uid="{00000000-0002-0000-1800-000005000000}">
      <formula1>Dependence_Independence</formula1>
    </dataValidation>
    <dataValidation type="list" allowBlank="1" showInputMessage="1" showErrorMessage="1" sqref="K3:K20" xr:uid="{00000000-0002-0000-1800-000006000000}">
      <formula1>Country_list</formula1>
    </dataValidation>
    <dataValidation type="list" allowBlank="1" showInputMessage="1" showErrorMessage="1" sqref="H3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3:E20" xr:uid="{00000000-0002-0000-1800-00000A000000}">
      <formula1>Issuer_Number_Type_2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I3:I20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21"/>
  <sheetViews>
    <sheetView rightToLeft="1" workbookViewId="0">
      <selection activeCell="H3" sqref="H3"/>
    </sheetView>
  </sheetViews>
  <sheetFormatPr defaultColWidth="9" defaultRowHeight="14.25" x14ac:dyDescent="0.2"/>
  <cols>
    <col min="1" max="1" width="12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6" ht="66.75" customHeight="1" x14ac:dyDescent="0.2">
      <c r="A1" s="169" t="s">
        <v>49</v>
      </c>
      <c r="B1" s="169" t="s">
        <v>50</v>
      </c>
      <c r="C1" s="169" t="s">
        <v>51</v>
      </c>
      <c r="D1" s="169" t="s">
        <v>52</v>
      </c>
      <c r="E1" s="169" t="s">
        <v>53</v>
      </c>
      <c r="F1" s="169" t="s">
        <v>54</v>
      </c>
      <c r="G1" s="169" t="s">
        <v>173</v>
      </c>
      <c r="H1" s="169" t="s">
        <v>55</v>
      </c>
      <c r="I1" s="169" t="s">
        <v>69</v>
      </c>
      <c r="J1" s="169" t="s">
        <v>56</v>
      </c>
      <c r="K1" s="169" t="s">
        <v>57</v>
      </c>
      <c r="L1" s="169" t="s">
        <v>58</v>
      </c>
      <c r="M1" s="169" t="s">
        <v>59</v>
      </c>
      <c r="N1" s="169" t="s">
        <v>72</v>
      </c>
      <c r="O1" s="169" t="s">
        <v>62</v>
      </c>
      <c r="P1" s="169" t="s">
        <v>74</v>
      </c>
      <c r="Q1" s="169" t="s">
        <v>60</v>
      </c>
      <c r="R1" s="169" t="s">
        <v>61</v>
      </c>
      <c r="S1" s="169" t="s">
        <v>174</v>
      </c>
      <c r="T1" s="169" t="s">
        <v>63</v>
      </c>
      <c r="U1" s="169" t="s">
        <v>64</v>
      </c>
      <c r="V1" s="169" t="s">
        <v>65</v>
      </c>
    </row>
    <row r="2" spans="1:26" x14ac:dyDescent="0.2">
      <c r="A2" t="s">
        <v>1204</v>
      </c>
      <c r="B2" t="s">
        <v>1204</v>
      </c>
      <c r="C2" t="s">
        <v>1205</v>
      </c>
      <c r="D2" t="s">
        <v>1206</v>
      </c>
      <c r="E2" t="s">
        <v>315</v>
      </c>
      <c r="F2" t="s">
        <v>754</v>
      </c>
      <c r="G2" t="s">
        <v>2512</v>
      </c>
      <c r="H2" t="s">
        <v>204</v>
      </c>
      <c r="I2" t="s">
        <v>204</v>
      </c>
      <c r="J2" t="s">
        <v>339</v>
      </c>
      <c r="K2" t="s">
        <v>1207</v>
      </c>
      <c r="L2" t="s">
        <v>413</v>
      </c>
      <c r="M2" t="s">
        <v>1208</v>
      </c>
      <c r="N2" s="127">
        <v>0.57999999999999996</v>
      </c>
      <c r="O2" s="126">
        <v>6.3500000000000001E-2</v>
      </c>
      <c r="P2" s="139">
        <v>1.35E-2</v>
      </c>
      <c r="Q2" s="125">
        <v>454125078.19999999</v>
      </c>
      <c r="R2" s="135">
        <v>1</v>
      </c>
      <c r="S2" s="127">
        <v>153.94</v>
      </c>
      <c r="T2" s="124">
        <v>454.12509999999997</v>
      </c>
      <c r="U2" s="129">
        <v>0.66303092017257315</v>
      </c>
      <c r="V2" s="129">
        <v>4.0228704026444275E-5</v>
      </c>
    </row>
    <row r="3" spans="1:26" x14ac:dyDescent="0.2">
      <c r="A3" t="s">
        <v>1204</v>
      </c>
      <c r="B3" t="s">
        <v>1204</v>
      </c>
      <c r="C3" t="s">
        <v>1205</v>
      </c>
      <c r="D3" t="s">
        <v>1206</v>
      </c>
      <c r="E3" t="s">
        <v>315</v>
      </c>
      <c r="F3" t="s">
        <v>754</v>
      </c>
      <c r="G3" t="s">
        <v>2513</v>
      </c>
      <c r="H3" t="s">
        <v>204</v>
      </c>
      <c r="I3" t="s">
        <v>204</v>
      </c>
      <c r="J3" t="s">
        <v>339</v>
      </c>
      <c r="K3" t="s">
        <v>1207</v>
      </c>
      <c r="L3" t="s">
        <v>413</v>
      </c>
      <c r="M3" t="s">
        <v>1208</v>
      </c>
      <c r="N3" s="127">
        <v>0.62</v>
      </c>
      <c r="O3" s="126">
        <v>0.06</v>
      </c>
      <c r="P3" s="139">
        <v>1.4999999999999999E-2</v>
      </c>
      <c r="Q3" s="125">
        <v>230797848.30000001</v>
      </c>
      <c r="R3" s="135">
        <v>1</v>
      </c>
      <c r="S3" s="127">
        <v>154.56</v>
      </c>
      <c r="T3" s="124">
        <v>230.7978</v>
      </c>
      <c r="U3" s="129">
        <v>0.33696907982742685</v>
      </c>
      <c r="V3" s="129">
        <v>2.0445244657538035E-5</v>
      </c>
    </row>
    <row r="4" spans="1:26" x14ac:dyDescent="0.2">
      <c r="A4" s="195" t="s">
        <v>2681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spans="1:26" x14ac:dyDescent="0.2">
      <c r="A5" s="103"/>
      <c r="B5" s="103"/>
      <c r="C5" s="103"/>
      <c r="D5" s="102"/>
      <c r="E5" s="16"/>
      <c r="F5" s="103"/>
      <c r="G5" s="103"/>
      <c r="H5" s="16"/>
      <c r="I5" s="16"/>
      <c r="J5" s="103"/>
      <c r="K5" s="103"/>
      <c r="L5" s="102"/>
      <c r="M5" s="16"/>
      <c r="N5" s="103"/>
      <c r="O5" s="103"/>
      <c r="P5" s="103"/>
      <c r="Q5" s="102"/>
      <c r="R5" s="103"/>
      <c r="S5"/>
      <c r="T5" s="103"/>
      <c r="U5" s="103"/>
      <c r="V5" s="103"/>
    </row>
    <row r="6" spans="1:26" x14ac:dyDescent="0.2">
      <c r="A6" s="103"/>
      <c r="B6" s="103"/>
      <c r="C6" s="103"/>
      <c r="D6" s="102"/>
      <c r="E6" s="16"/>
      <c r="F6" s="103"/>
      <c r="G6" s="103"/>
      <c r="H6" s="16"/>
      <c r="I6" s="16"/>
      <c r="J6" s="103"/>
      <c r="K6" s="103"/>
      <c r="L6" s="102"/>
      <c r="M6" s="16"/>
      <c r="N6" s="103"/>
      <c r="O6" s="103"/>
      <c r="P6" s="103"/>
      <c r="Q6" s="102"/>
      <c r="R6" s="103"/>
      <c r="S6"/>
      <c r="T6" s="103"/>
      <c r="U6" s="103"/>
      <c r="V6" s="103"/>
    </row>
    <row r="7" spans="1:26" x14ac:dyDescent="0.2">
      <c r="A7" s="103"/>
      <c r="B7" s="103"/>
      <c r="C7" s="103"/>
      <c r="D7" s="102"/>
      <c r="E7" s="16"/>
      <c r="F7" s="103"/>
      <c r="G7" s="103"/>
      <c r="H7" s="16"/>
      <c r="I7" s="16"/>
      <c r="J7" s="103"/>
      <c r="K7" s="103"/>
      <c r="L7" s="102"/>
      <c r="M7" s="16"/>
      <c r="N7" s="103"/>
      <c r="O7" s="103"/>
      <c r="P7" s="103"/>
      <c r="Q7" s="102"/>
      <c r="R7" s="103"/>
      <c r="S7" s="103"/>
      <c r="T7" s="103"/>
      <c r="U7" s="103"/>
      <c r="V7" s="103"/>
    </row>
    <row r="8" spans="1:26" x14ac:dyDescent="0.2">
      <c r="A8" s="103"/>
      <c r="B8" s="103"/>
      <c r="C8" s="103"/>
      <c r="D8" s="102"/>
      <c r="E8" s="16"/>
      <c r="F8" s="103"/>
      <c r="G8" s="103"/>
      <c r="H8" s="16"/>
      <c r="I8" s="16"/>
      <c r="J8" s="103"/>
      <c r="K8" s="103"/>
      <c r="L8" s="102"/>
      <c r="M8" s="16"/>
      <c r="N8" s="103"/>
      <c r="O8" s="103"/>
      <c r="P8" s="103"/>
      <c r="Q8" s="102"/>
      <c r="R8" s="103"/>
      <c r="S8" s="103"/>
      <c r="T8" s="103"/>
      <c r="U8" s="103"/>
      <c r="V8" s="103"/>
    </row>
    <row r="9" spans="1:26" x14ac:dyDescent="0.2">
      <c r="A9" s="103"/>
      <c r="B9" s="103"/>
      <c r="C9" s="103"/>
      <c r="D9" s="102"/>
      <c r="E9" s="16"/>
      <c r="F9" s="103"/>
      <c r="G9" s="103"/>
      <c r="H9" s="16"/>
      <c r="I9" s="16"/>
      <c r="J9" s="103"/>
      <c r="K9" s="103"/>
      <c r="L9" s="102"/>
      <c r="M9" s="16"/>
      <c r="N9" s="103"/>
      <c r="O9" s="103"/>
      <c r="P9" s="103"/>
      <c r="Q9" s="102"/>
      <c r="R9" s="103"/>
      <c r="S9" s="103"/>
      <c r="T9" s="103"/>
      <c r="U9" s="103"/>
      <c r="V9" s="103"/>
    </row>
    <row r="10" spans="1:26" x14ac:dyDescent="0.2">
      <c r="A10" s="103"/>
      <c r="B10" s="103"/>
      <c r="C10" s="103"/>
      <c r="D10" s="102"/>
      <c r="E10" s="16"/>
      <c r="F10" s="103"/>
      <c r="G10" s="103"/>
      <c r="H10" s="16"/>
      <c r="I10" s="16"/>
      <c r="J10" s="103"/>
      <c r="K10" s="103"/>
      <c r="L10" s="102"/>
      <c r="M10" s="16"/>
      <c r="N10" s="103"/>
      <c r="O10" s="103"/>
      <c r="P10" s="103"/>
      <c r="Q10" s="102"/>
      <c r="R10" s="103"/>
      <c r="S10" s="103"/>
      <c r="T10" s="103"/>
      <c r="U10" s="103"/>
      <c r="V10" s="103"/>
    </row>
    <row r="11" spans="1:26" x14ac:dyDescent="0.2">
      <c r="A11" s="103"/>
      <c r="B11" s="103"/>
      <c r="C11" s="103"/>
      <c r="D11" s="102"/>
      <c r="E11" s="16"/>
      <c r="F11" s="103"/>
      <c r="G11" s="103"/>
      <c r="H11" s="16"/>
      <c r="I11" s="16"/>
      <c r="J11" s="103"/>
      <c r="K11" s="103"/>
      <c r="L11" s="102"/>
      <c r="M11" s="16"/>
      <c r="N11" s="103"/>
      <c r="O11" s="103"/>
      <c r="P11" s="103"/>
      <c r="Q11" s="102"/>
      <c r="R11" s="103"/>
      <c r="S11" s="103"/>
      <c r="T11" s="103"/>
      <c r="U11" s="103"/>
      <c r="V11" s="103"/>
    </row>
    <row r="12" spans="1:26" x14ac:dyDescent="0.2">
      <c r="A12" s="103"/>
      <c r="B12" s="103"/>
      <c r="C12" s="103"/>
      <c r="D12" s="102"/>
      <c r="E12" s="16"/>
      <c r="F12" s="103"/>
      <c r="G12" s="103"/>
      <c r="H12" s="16"/>
      <c r="I12" s="16"/>
      <c r="J12" s="103"/>
      <c r="K12" s="103"/>
      <c r="L12" s="102"/>
      <c r="M12" s="16"/>
      <c r="N12" s="103"/>
      <c r="O12" s="103"/>
      <c r="P12" s="103"/>
      <c r="Q12" s="102"/>
      <c r="R12" s="103"/>
      <c r="S12" s="103"/>
      <c r="T12" s="103"/>
      <c r="U12" s="103"/>
      <c r="V12" s="103"/>
    </row>
    <row r="13" spans="1:26" x14ac:dyDescent="0.2">
      <c r="A13" s="103"/>
      <c r="B13" s="103"/>
      <c r="C13" s="103"/>
      <c r="D13" s="102"/>
      <c r="E13" s="16"/>
      <c r="F13" s="103"/>
      <c r="G13" s="103"/>
      <c r="H13" s="16"/>
      <c r="I13" s="16"/>
      <c r="J13" s="103"/>
      <c r="K13" s="103"/>
      <c r="L13" s="102"/>
      <c r="M13" s="16"/>
      <c r="N13" s="103"/>
      <c r="O13" s="103"/>
      <c r="P13" s="103"/>
      <c r="Q13" s="102"/>
      <c r="R13" s="103"/>
      <c r="S13" s="103"/>
      <c r="T13" s="103"/>
      <c r="U13" s="103"/>
      <c r="V13" s="103"/>
    </row>
    <row r="14" spans="1:26" x14ac:dyDescent="0.2">
      <c r="A14" s="103"/>
      <c r="B14" s="103"/>
      <c r="C14" s="103"/>
      <c r="D14" s="102"/>
      <c r="E14" s="16"/>
      <c r="F14" s="103"/>
      <c r="G14" s="103"/>
      <c r="H14" s="16"/>
      <c r="I14" s="16"/>
      <c r="J14" s="103"/>
      <c r="K14" s="103"/>
      <c r="L14" s="102"/>
      <c r="M14" s="16"/>
      <c r="N14" s="103"/>
      <c r="O14" s="103"/>
      <c r="P14" s="103"/>
      <c r="Q14" s="102"/>
      <c r="R14" s="103"/>
      <c r="S14" s="103"/>
      <c r="T14" s="103"/>
      <c r="U14" s="103"/>
      <c r="V14" s="103"/>
    </row>
    <row r="15" spans="1:26" x14ac:dyDescent="0.2">
      <c r="A15" s="103"/>
      <c r="B15" s="103"/>
      <c r="C15" s="103"/>
      <c r="D15" s="102"/>
      <c r="E15" s="16"/>
      <c r="F15" s="103"/>
      <c r="G15" s="103"/>
      <c r="H15" s="16"/>
      <c r="I15" s="16"/>
      <c r="J15" s="103"/>
      <c r="K15" s="103"/>
      <c r="L15" s="102"/>
      <c r="M15" s="16"/>
      <c r="N15" s="103"/>
      <c r="O15" s="103"/>
      <c r="P15" s="103"/>
      <c r="Q15" s="102"/>
      <c r="R15" s="103"/>
      <c r="S15" s="103"/>
      <c r="T15" s="103"/>
      <c r="U15" s="103"/>
      <c r="V15" s="103"/>
    </row>
    <row r="16" spans="1:26" x14ac:dyDescent="0.2">
      <c r="A16" s="103"/>
      <c r="B16" s="103"/>
      <c r="C16" s="103"/>
      <c r="D16" s="102"/>
      <c r="E16" s="16"/>
      <c r="F16" s="103"/>
      <c r="G16" s="103"/>
      <c r="H16" s="16"/>
      <c r="I16" s="16"/>
      <c r="J16" s="103"/>
      <c r="K16" s="103"/>
      <c r="L16" s="102"/>
      <c r="M16" s="16"/>
      <c r="N16" s="103"/>
      <c r="O16" s="103"/>
      <c r="P16" s="103"/>
      <c r="Q16" s="102"/>
      <c r="R16" s="103"/>
      <c r="S16" s="103"/>
      <c r="T16" s="103"/>
      <c r="U16" s="103"/>
      <c r="V16" s="103"/>
    </row>
    <row r="17" spans="1:22" x14ac:dyDescent="0.2">
      <c r="A17" s="103"/>
      <c r="B17" s="103"/>
      <c r="C17" s="103"/>
      <c r="D17" s="102"/>
      <c r="E17" s="16"/>
      <c r="F17" s="103"/>
      <c r="G17" s="103"/>
      <c r="H17" s="16"/>
      <c r="I17" s="16"/>
      <c r="J17" s="103"/>
      <c r="K17" s="103"/>
      <c r="L17" s="102"/>
      <c r="M17" s="16"/>
      <c r="N17" s="103"/>
      <c r="O17" s="103"/>
      <c r="P17" s="103"/>
      <c r="Q17" s="102"/>
      <c r="R17" s="103"/>
      <c r="S17" s="103"/>
      <c r="T17" s="103"/>
      <c r="U17" s="103"/>
      <c r="V17" s="103"/>
    </row>
    <row r="18" spans="1:22" x14ac:dyDescent="0.2">
      <c r="A18" s="103"/>
      <c r="B18" s="103"/>
      <c r="C18" s="103"/>
      <c r="D18" s="102"/>
      <c r="E18" s="16"/>
      <c r="F18" s="103"/>
      <c r="G18" s="103"/>
      <c r="H18" s="16"/>
      <c r="I18" s="16"/>
      <c r="J18" s="103"/>
      <c r="K18" s="103"/>
      <c r="L18" s="102"/>
      <c r="M18" s="16"/>
      <c r="N18" s="103"/>
      <c r="O18" s="103"/>
      <c r="P18" s="103"/>
      <c r="Q18" s="102"/>
      <c r="R18" s="103"/>
      <c r="S18" s="103"/>
      <c r="T18" s="103"/>
      <c r="U18" s="103"/>
      <c r="V18" s="103"/>
    </row>
    <row r="19" spans="1:22" x14ac:dyDescent="0.2">
      <c r="A19" s="103"/>
      <c r="B19" s="103"/>
      <c r="C19" s="103"/>
      <c r="D19" s="102"/>
      <c r="E19" s="16"/>
      <c r="F19" s="103"/>
      <c r="G19" s="103"/>
      <c r="H19" s="16"/>
      <c r="I19" s="16"/>
      <c r="J19" s="103"/>
      <c r="K19" s="103"/>
      <c r="L19" s="102"/>
      <c r="M19" s="16"/>
      <c r="N19" s="103"/>
      <c r="O19" s="103"/>
      <c r="P19" s="103"/>
      <c r="Q19" s="102"/>
      <c r="R19" s="103"/>
      <c r="S19" s="103"/>
      <c r="T19" s="103"/>
      <c r="U19" s="103"/>
      <c r="V19" s="103"/>
    </row>
    <row r="20" spans="1:22" x14ac:dyDescent="0.2">
      <c r="A20" s="102"/>
      <c r="B20" s="102"/>
      <c r="C20" s="102"/>
      <c r="D20" s="102"/>
      <c r="E20" s="16"/>
      <c r="F20" s="103"/>
      <c r="G20" s="102"/>
      <c r="H20" s="16"/>
      <c r="I20" s="16"/>
      <c r="J20" s="103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</row>
    <row r="21" spans="1:22" x14ac:dyDescent="0.2">
      <c r="A21" s="102"/>
      <c r="B21" s="102"/>
      <c r="C21" s="102"/>
      <c r="D21" s="102"/>
      <c r="F21" s="102"/>
      <c r="G21" s="102"/>
      <c r="H21" s="102"/>
      <c r="I21" s="102"/>
      <c r="J21" s="102"/>
      <c r="K21" s="102"/>
      <c r="L21"/>
      <c r="M21" s="102"/>
      <c r="N21" s="102"/>
      <c r="O21" s="102"/>
      <c r="P21" s="102"/>
      <c r="Q21" s="102"/>
      <c r="R21" s="102"/>
      <c r="S21" s="102"/>
      <c r="T21" s="102"/>
      <c r="U21" s="102"/>
      <c r="V21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1">
    <mergeCell ref="A4:Z4"/>
  </mergeCells>
  <dataValidations count="5">
    <dataValidation type="list" allowBlank="1" showInputMessage="1" showErrorMessage="1" sqref="H2:H3 H5:H20" xr:uid="{00000000-0002-0000-1900-000000000000}">
      <formula1>israel_abroad</formula1>
    </dataValidation>
    <dataValidation type="list" allowBlank="1" showInputMessage="1" showErrorMessage="1" sqref="J2:J3 J5:J20" xr:uid="{00000000-0002-0000-1900-000001000000}">
      <formula1>Holding_interest</formula1>
    </dataValidation>
    <dataValidation type="list" allowBlank="1" showInputMessage="1" showErrorMessage="1" sqref="I2:I3 I5:I20" xr:uid="{00000000-0002-0000-1900-000002000000}">
      <formula1>Country_list</formula1>
    </dataValidation>
    <dataValidation type="list" allowBlank="1" showInputMessage="1" showErrorMessage="1" sqref="E2:E3 E5:E20" xr:uid="{00000000-0002-0000-1900-000003000000}">
      <formula1>Issuer_Number_Banks</formula1>
    </dataValidation>
    <dataValidation type="list" allowBlank="1" showInputMessage="1" showErrorMessage="1" sqref="L2:L3 L5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F2:F3 F5:F20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2"/>
  <sheetViews>
    <sheetView rightToLeft="1" workbookViewId="0">
      <selection sqref="A1:X2"/>
    </sheetView>
  </sheetViews>
  <sheetFormatPr defaultColWidth="9" defaultRowHeight="14.25" x14ac:dyDescent="0.2"/>
  <cols>
    <col min="1" max="1" width="12.12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6.25" style="2" bestFit="1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6" ht="66.75" customHeight="1" x14ac:dyDescent="0.2">
      <c r="A1" s="169" t="s">
        <v>49</v>
      </c>
      <c r="B1" s="169" t="s">
        <v>50</v>
      </c>
      <c r="C1" s="169" t="s">
        <v>175</v>
      </c>
      <c r="D1" s="169" t="s">
        <v>54</v>
      </c>
      <c r="E1" s="169" t="s">
        <v>176</v>
      </c>
      <c r="F1" s="169" t="s">
        <v>56</v>
      </c>
      <c r="G1" s="169" t="s">
        <v>97</v>
      </c>
      <c r="H1" s="169" t="s">
        <v>177</v>
      </c>
      <c r="I1" s="169" t="s">
        <v>178</v>
      </c>
      <c r="J1" s="169" t="s">
        <v>179</v>
      </c>
      <c r="K1" s="169" t="s">
        <v>180</v>
      </c>
      <c r="L1" s="169" t="s">
        <v>181</v>
      </c>
      <c r="M1" s="169" t="s">
        <v>103</v>
      </c>
      <c r="N1" s="169" t="s">
        <v>105</v>
      </c>
      <c r="O1" s="169" t="s">
        <v>104</v>
      </c>
      <c r="P1" s="169" t="s">
        <v>106</v>
      </c>
      <c r="Q1" s="169" t="s">
        <v>59</v>
      </c>
      <c r="R1" s="169" t="s">
        <v>172</v>
      </c>
      <c r="S1" s="169" t="s">
        <v>63</v>
      </c>
      <c r="T1" s="169" t="s">
        <v>78</v>
      </c>
      <c r="U1" s="169" t="s">
        <v>88</v>
      </c>
      <c r="V1" s="169" t="s">
        <v>17</v>
      </c>
      <c r="W1" s="169" t="s">
        <v>64</v>
      </c>
      <c r="X1" s="169" t="s">
        <v>65</v>
      </c>
    </row>
    <row r="2" spans="1:26" x14ac:dyDescent="0.2">
      <c r="A2" t="s">
        <v>1204</v>
      </c>
      <c r="B2" t="s">
        <v>1204</v>
      </c>
      <c r="C2" t="s">
        <v>2628</v>
      </c>
      <c r="D2" t="s">
        <v>1030</v>
      </c>
      <c r="E2" t="s">
        <v>204</v>
      </c>
      <c r="F2" t="s">
        <v>339</v>
      </c>
      <c r="G2" t="s">
        <v>2514</v>
      </c>
      <c r="H2" t="s">
        <v>856</v>
      </c>
      <c r="I2" t="s">
        <v>867</v>
      </c>
      <c r="J2" t="s">
        <v>2579</v>
      </c>
      <c r="K2" s="140">
        <v>2.98E-2</v>
      </c>
      <c r="L2" t="s">
        <v>314</v>
      </c>
      <c r="M2" t="s">
        <v>887</v>
      </c>
      <c r="N2" t="s">
        <v>2515</v>
      </c>
      <c r="O2" t="s">
        <v>889</v>
      </c>
      <c r="P2" s="134">
        <v>45462</v>
      </c>
      <c r="Q2" t="s">
        <v>1208</v>
      </c>
      <c r="R2" s="124">
        <v>10100116.674900001</v>
      </c>
      <c r="S2" s="124">
        <v>10100.1167</v>
      </c>
      <c r="T2" s="103"/>
      <c r="U2" s="103"/>
      <c r="V2" s="103"/>
      <c r="W2" s="126">
        <v>1</v>
      </c>
      <c r="X2" s="129">
        <v>8.9471959127769172E-4</v>
      </c>
    </row>
    <row r="3" spans="1:26" x14ac:dyDescent="0.2">
      <c r="A3" s="195" t="s">
        <v>2681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spans="1:26" x14ac:dyDescent="0.2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6"/>
      <c r="R4" s="103"/>
      <c r="S4" s="103"/>
      <c r="T4" s="103"/>
      <c r="U4" s="103"/>
      <c r="V4" s="103"/>
      <c r="W4" s="103"/>
      <c r="X4" s="103"/>
    </row>
    <row r="5" spans="1:26" x14ac:dyDescent="0.2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6"/>
      <c r="R5" s="103"/>
      <c r="S5" s="103"/>
      <c r="T5" s="103"/>
      <c r="U5" s="103"/>
      <c r="V5" s="103"/>
      <c r="W5" s="103"/>
      <c r="X5" s="103"/>
    </row>
    <row r="6" spans="1:26" x14ac:dyDescent="0.2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6"/>
      <c r="R6" s="103"/>
      <c r="S6" s="103"/>
      <c r="T6" s="103"/>
      <c r="U6" s="103"/>
      <c r="V6" s="103"/>
      <c r="W6" s="103"/>
      <c r="X6" s="103"/>
    </row>
    <row r="7" spans="1:26" x14ac:dyDescent="0.2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6"/>
      <c r="R7" s="103"/>
      <c r="S7" s="103"/>
      <c r="T7" s="103"/>
      <c r="U7" s="103"/>
      <c r="V7" s="103"/>
      <c r="W7" s="103"/>
      <c r="X7" s="103"/>
    </row>
    <row r="8" spans="1:26" x14ac:dyDescent="0.2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6"/>
      <c r="R8" s="103"/>
      <c r="S8" s="103"/>
      <c r="T8" s="103"/>
      <c r="U8" s="103"/>
      <c r="V8" s="103"/>
      <c r="W8" s="103"/>
      <c r="X8" s="103"/>
    </row>
    <row r="9" spans="1:26" x14ac:dyDescent="0.2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6"/>
      <c r="R9" s="103"/>
      <c r="S9" s="103"/>
      <c r="T9" s="103"/>
      <c r="U9" s="103"/>
      <c r="V9" s="103"/>
      <c r="W9" s="103"/>
      <c r="X9" s="103"/>
    </row>
    <row r="10" spans="1:26" x14ac:dyDescent="0.2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6"/>
      <c r="R10" s="103"/>
      <c r="S10" s="103"/>
      <c r="T10" s="103"/>
      <c r="U10" s="103"/>
      <c r="V10" s="103"/>
      <c r="W10" s="103"/>
      <c r="X10" s="103"/>
    </row>
    <row r="11" spans="1:26" x14ac:dyDescent="0.2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6"/>
      <c r="R11" s="103"/>
      <c r="S11" s="103"/>
      <c r="T11" s="103"/>
      <c r="U11" s="103"/>
      <c r="V11" s="103"/>
      <c r="W11" s="103"/>
      <c r="X11" s="103"/>
    </row>
    <row r="12" spans="1:26" x14ac:dyDescent="0.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6"/>
      <c r="R12" s="103"/>
      <c r="S12" s="103"/>
      <c r="T12" s="103"/>
      <c r="U12" s="103"/>
      <c r="V12" s="103"/>
      <c r="W12" s="103"/>
      <c r="X12" s="103"/>
    </row>
    <row r="13" spans="1:26" x14ac:dyDescent="0.2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6"/>
      <c r="R13" s="103"/>
      <c r="S13" s="103"/>
      <c r="T13" s="103"/>
      <c r="U13" s="103"/>
      <c r="V13" s="103"/>
      <c r="W13" s="103"/>
      <c r="X13" s="103"/>
    </row>
    <row r="14" spans="1:26" x14ac:dyDescent="0.2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6"/>
      <c r="R14" s="103"/>
      <c r="S14" s="103"/>
      <c r="T14" s="103"/>
      <c r="U14" s="103"/>
      <c r="V14" s="103"/>
      <c r="W14" s="103"/>
      <c r="X14" s="103"/>
    </row>
    <row r="15" spans="1:26" x14ac:dyDescent="0.2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6"/>
      <c r="R15" s="103"/>
      <c r="S15" s="103"/>
      <c r="T15" s="103"/>
      <c r="U15" s="103"/>
      <c r="V15" s="103"/>
      <c r="W15" s="103"/>
      <c r="X15" s="103"/>
    </row>
    <row r="16" spans="1:26" x14ac:dyDescent="0.2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6"/>
      <c r="R16" s="103"/>
      <c r="S16" s="103"/>
      <c r="T16" s="103"/>
      <c r="U16" s="103"/>
      <c r="V16" s="103"/>
      <c r="W16" s="103"/>
      <c r="X16" s="103"/>
    </row>
    <row r="17" spans="1:24" x14ac:dyDescent="0.2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6"/>
      <c r="R17" s="103"/>
      <c r="S17" s="103"/>
      <c r="T17" s="103"/>
      <c r="U17" s="103"/>
      <c r="V17" s="103"/>
      <c r="W17" s="103"/>
      <c r="X17" s="103"/>
    </row>
    <row r="18" spans="1:24" x14ac:dyDescent="0.2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6"/>
      <c r="R18" s="103"/>
      <c r="S18" s="103"/>
      <c r="T18" s="103"/>
      <c r="U18" s="103"/>
      <c r="V18" s="103"/>
      <c r="W18" s="103"/>
      <c r="X18" s="103"/>
    </row>
    <row r="19" spans="1:24" x14ac:dyDescent="0.2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6"/>
      <c r="R19" s="103"/>
      <c r="S19" s="103"/>
      <c r="T19" s="103"/>
      <c r="U19" s="103"/>
      <c r="V19" s="103"/>
      <c r="W19" s="103"/>
      <c r="X19" s="103"/>
    </row>
    <row r="20" spans="1:24" x14ac:dyDescent="0.2">
      <c r="A20" s="102"/>
      <c r="B20" s="102"/>
      <c r="C20" s="102"/>
      <c r="D20" s="103"/>
      <c r="E20" s="103"/>
      <c r="F20" s="103"/>
      <c r="G20" s="102"/>
      <c r="H20" s="103"/>
      <c r="I20" s="103"/>
      <c r="J20" s="102"/>
      <c r="K20" s="102"/>
      <c r="L20" s="103"/>
      <c r="M20" s="103"/>
      <c r="N20" s="102"/>
      <c r="O20" s="103"/>
      <c r="P20" s="102"/>
      <c r="Q20" s="102"/>
      <c r="R20" s="102"/>
      <c r="S20" s="102"/>
      <c r="T20" s="102"/>
      <c r="U20" s="102"/>
      <c r="V20" s="103"/>
      <c r="W20" s="102"/>
      <c r="X20" s="102"/>
    </row>
    <row r="21" spans="1:24" x14ac:dyDescent="0.2">
      <c r="A21" s="102"/>
      <c r="B21" s="102"/>
      <c r="C21" s="102"/>
      <c r="D21" s="103"/>
      <c r="E21" s="103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x14ac:dyDescent="0.2">
      <c r="A22" s="102"/>
      <c r="B22" s="102"/>
      <c r="C22" s="102"/>
      <c r="D2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1">
    <mergeCell ref="A3:Z3"/>
  </mergeCells>
  <dataValidations count="8">
    <dataValidation type="list" allowBlank="1" showInputMessage="1" showErrorMessage="1" sqref="F2 F4:F20" xr:uid="{00000000-0002-0000-1A00-000000000000}">
      <formula1>Holding_interest</formula1>
    </dataValidation>
    <dataValidation type="list" allowBlank="1" showInputMessage="1" showErrorMessage="1" sqref="V2 V4:V20" xr:uid="{00000000-0002-0000-1A00-000001000000}">
      <formula1>In_the_books</formula1>
    </dataValidation>
    <dataValidation type="list" allowBlank="1" showInputMessage="1" showErrorMessage="1" sqref="L2 L4:L20" xr:uid="{00000000-0002-0000-1A00-000002000000}">
      <formula1>Valuation_Method</formula1>
    </dataValidation>
    <dataValidation type="list" allowBlank="1" showInputMessage="1" showErrorMessage="1" sqref="O2 O4:O20" xr:uid="{00000000-0002-0000-1A00-000003000000}">
      <formula1>Dependence_Independence</formula1>
    </dataValidation>
    <dataValidation type="list" allowBlank="1" showInputMessage="1" showErrorMessage="1" sqref="E2 E4:E21" xr:uid="{00000000-0002-0000-1A00-000004000000}">
      <formula1>Country_list</formula1>
    </dataValidation>
    <dataValidation type="list" allowBlank="1" showInputMessage="1" showErrorMessage="1" sqref="I2 I4:I20" xr:uid="{00000000-0002-0000-1A00-000005000000}">
      <formula1>real_estate_lifestage</formula1>
    </dataValidation>
    <dataValidation type="list" allowBlank="1" showInputMessage="1" showErrorMessage="1" sqref="M2 M4:M20" xr:uid="{00000000-0002-0000-1A00-000006000000}">
      <formula1>Valuation_Realestate</formula1>
    </dataValidation>
    <dataValidation type="list" allowBlank="1" showInputMessage="1" showErrorMessage="1" sqref="H2 H4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 D4:D21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22"/>
  <sheetViews>
    <sheetView rightToLeft="1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6" ht="66.75" customHeight="1" x14ac:dyDescent="0.2">
      <c r="A1" s="17" t="s">
        <v>2685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182</v>
      </c>
      <c r="T1" s="17" t="s">
        <v>183</v>
      </c>
      <c r="U1" s="17" t="s">
        <v>63</v>
      </c>
      <c r="V1" s="17" t="s">
        <v>64</v>
      </c>
      <c r="W1" s="17" t="s">
        <v>65</v>
      </c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3"/>
      <c r="D3" s="103"/>
      <c r="E3" s="16"/>
      <c r="F3" s="103"/>
      <c r="G3" s="103"/>
      <c r="H3" s="103"/>
      <c r="I3" s="103"/>
      <c r="J3" s="16"/>
      <c r="K3" s="16"/>
      <c r="L3" s="103"/>
      <c r="M3" s="103"/>
      <c r="N3" s="16"/>
      <c r="O3" s="103"/>
      <c r="P3" s="103"/>
      <c r="Q3" s="103"/>
      <c r="R3" s="103"/>
      <c r="S3" s="103"/>
      <c r="T3" s="103"/>
      <c r="U3" s="103"/>
      <c r="V3" s="103"/>
      <c r="W3" s="103"/>
    </row>
    <row r="4" spans="1:26" x14ac:dyDescent="0.2">
      <c r="A4" s="103"/>
      <c r="B4" s="103"/>
      <c r="C4" s="103"/>
      <c r="D4" s="103"/>
      <c r="E4" s="16"/>
      <c r="F4" s="103"/>
      <c r="G4" s="103"/>
      <c r="H4" s="103"/>
      <c r="I4" s="103"/>
      <c r="J4" s="16"/>
      <c r="K4" s="16"/>
      <c r="L4" s="103"/>
      <c r="M4" s="103"/>
      <c r="N4" s="16"/>
      <c r="O4" s="103"/>
      <c r="P4" s="103"/>
      <c r="Q4" s="103"/>
      <c r="R4" s="103"/>
      <c r="S4" s="103"/>
      <c r="T4" s="103"/>
      <c r="U4" s="103"/>
      <c r="V4" s="103"/>
      <c r="W4" s="103"/>
    </row>
    <row r="5" spans="1:26" x14ac:dyDescent="0.2">
      <c r="A5" s="103"/>
      <c r="B5" s="103"/>
      <c r="C5" s="103"/>
      <c r="D5" s="103"/>
      <c r="E5" s="16"/>
      <c r="F5" s="103"/>
      <c r="G5" s="103"/>
      <c r="H5" s="103"/>
      <c r="I5" s="103"/>
      <c r="J5" s="16"/>
      <c r="K5" s="16"/>
      <c r="L5" s="103"/>
      <c r="M5" s="103"/>
      <c r="N5" s="16"/>
      <c r="O5" s="103"/>
      <c r="P5" s="103"/>
      <c r="Q5" s="103"/>
      <c r="R5" s="103"/>
      <c r="S5" s="103"/>
      <c r="T5" s="103"/>
      <c r="U5" s="103"/>
      <c r="V5" s="103"/>
      <c r="W5" s="103"/>
    </row>
    <row r="6" spans="1:26" x14ac:dyDescent="0.2">
      <c r="A6" s="103"/>
      <c r="B6" s="103"/>
      <c r="C6" s="103"/>
      <c r="D6" s="103"/>
      <c r="E6" s="16"/>
      <c r="F6" s="103"/>
      <c r="G6" s="103"/>
      <c r="H6" s="103"/>
      <c r="I6" s="103"/>
      <c r="J6" s="16"/>
      <c r="K6" s="16"/>
      <c r="L6" s="103"/>
      <c r="M6" s="103"/>
      <c r="N6" s="16"/>
      <c r="O6" s="103"/>
      <c r="P6" s="103"/>
      <c r="Q6" s="103"/>
      <c r="R6" s="103"/>
      <c r="S6" s="103"/>
      <c r="T6" s="103"/>
      <c r="U6" s="103"/>
      <c r="V6" s="103"/>
      <c r="W6" s="103"/>
    </row>
    <row r="7" spans="1:26" x14ac:dyDescent="0.2">
      <c r="A7" s="103"/>
      <c r="B7" s="103"/>
      <c r="C7" s="103"/>
      <c r="D7" s="103"/>
      <c r="E7" s="16"/>
      <c r="F7" s="103"/>
      <c r="G7" s="103"/>
      <c r="H7" s="103"/>
      <c r="I7" s="103"/>
      <c r="J7" s="16"/>
      <c r="K7" s="16"/>
      <c r="L7" s="103"/>
      <c r="M7" s="103"/>
      <c r="N7" s="16"/>
      <c r="O7" s="103"/>
      <c r="P7" s="103"/>
      <c r="Q7" s="103"/>
      <c r="R7" s="103"/>
      <c r="S7" s="103"/>
      <c r="T7" s="103"/>
      <c r="U7" s="103"/>
      <c r="V7" s="103"/>
      <c r="W7" s="103"/>
    </row>
    <row r="8" spans="1:26" x14ac:dyDescent="0.2">
      <c r="A8" s="103"/>
      <c r="B8" s="103"/>
      <c r="C8" s="103"/>
      <c r="D8" s="103"/>
      <c r="E8" s="16"/>
      <c r="F8" s="103"/>
      <c r="G8" s="103"/>
      <c r="H8" s="103"/>
      <c r="I8" s="103"/>
      <c r="J8" s="16"/>
      <c r="K8" s="16"/>
      <c r="L8" s="103"/>
      <c r="M8" s="103"/>
      <c r="N8" s="16"/>
      <c r="O8" s="103"/>
      <c r="P8" s="103"/>
      <c r="Q8" s="103"/>
      <c r="R8" s="103"/>
      <c r="S8" s="103"/>
      <c r="T8" s="103"/>
      <c r="U8" s="103"/>
      <c r="V8" s="103"/>
      <c r="W8" s="103"/>
    </row>
    <row r="9" spans="1:26" x14ac:dyDescent="0.2">
      <c r="A9" s="103"/>
      <c r="B9" s="103"/>
      <c r="C9" s="103"/>
      <c r="D9" s="103"/>
      <c r="E9" s="16"/>
      <c r="F9" s="103"/>
      <c r="G9" s="103"/>
      <c r="H9" s="103"/>
      <c r="I9" s="103"/>
      <c r="J9" s="16"/>
      <c r="K9" s="16"/>
      <c r="L9" s="103"/>
      <c r="M9" s="103"/>
      <c r="N9" s="16"/>
      <c r="O9" s="103"/>
      <c r="P9" s="103"/>
      <c r="Q9" s="103"/>
      <c r="R9" s="103"/>
      <c r="S9" s="103"/>
      <c r="T9" s="103"/>
      <c r="U9" s="103"/>
      <c r="V9" s="103"/>
      <c r="W9" s="103"/>
    </row>
    <row r="10" spans="1:26" x14ac:dyDescent="0.2">
      <c r="A10" s="103"/>
      <c r="B10" s="103"/>
      <c r="C10" s="103"/>
      <c r="D10" s="103"/>
      <c r="E10" s="16"/>
      <c r="F10" s="103"/>
      <c r="G10" s="103"/>
      <c r="H10" s="103"/>
      <c r="I10" s="103"/>
      <c r="J10" s="16"/>
      <c r="K10" s="16"/>
      <c r="L10" s="103"/>
      <c r="M10" s="103"/>
      <c r="N10" s="16"/>
      <c r="O10" s="103"/>
      <c r="P10" s="103"/>
      <c r="Q10" s="103"/>
      <c r="R10" s="103"/>
      <c r="S10" s="103"/>
      <c r="T10" s="103"/>
      <c r="U10" s="103"/>
      <c r="V10" s="103"/>
      <c r="W10" s="103"/>
    </row>
    <row r="11" spans="1:26" x14ac:dyDescent="0.2">
      <c r="A11" s="103"/>
      <c r="B11" s="103"/>
      <c r="C11" s="103"/>
      <c r="D11" s="103"/>
      <c r="E11" s="16"/>
      <c r="F11" s="103"/>
      <c r="G11" s="103"/>
      <c r="H11" s="103"/>
      <c r="I11" s="103"/>
      <c r="J11" s="16"/>
      <c r="K11" s="16"/>
      <c r="L11" s="103"/>
      <c r="M11" s="103"/>
      <c r="N11" s="16"/>
      <c r="O11" s="103"/>
      <c r="P11" s="103"/>
      <c r="Q11" s="103"/>
      <c r="R11" s="103"/>
      <c r="S11" s="103"/>
      <c r="T11" s="103"/>
      <c r="U11" s="103"/>
      <c r="V11" s="103"/>
      <c r="W11" s="103"/>
    </row>
    <row r="12" spans="1:26" x14ac:dyDescent="0.2">
      <c r="A12" s="103"/>
      <c r="B12" s="103"/>
      <c r="C12" s="103"/>
      <c r="D12" s="103"/>
      <c r="E12" s="16"/>
      <c r="F12" s="103"/>
      <c r="G12" s="103"/>
      <c r="H12" s="103"/>
      <c r="I12" s="103"/>
      <c r="J12" s="16"/>
      <c r="K12" s="16"/>
      <c r="L12" s="103"/>
      <c r="M12" s="103"/>
      <c r="N12" s="16"/>
      <c r="O12" s="103"/>
      <c r="P12" s="103"/>
      <c r="Q12" s="103"/>
      <c r="R12" s="103"/>
      <c r="S12" s="103"/>
      <c r="T12" s="103"/>
      <c r="U12" s="103"/>
      <c r="V12" s="103"/>
      <c r="W12" s="103"/>
    </row>
    <row r="13" spans="1:26" x14ac:dyDescent="0.2">
      <c r="A13" s="103"/>
      <c r="B13" s="103"/>
      <c r="C13" s="103"/>
      <c r="D13" s="103"/>
      <c r="E13" s="16"/>
      <c r="F13" s="103"/>
      <c r="G13" s="103"/>
      <c r="H13" s="103"/>
      <c r="I13" s="103"/>
      <c r="J13" s="16"/>
      <c r="K13" s="16"/>
      <c r="L13" s="103"/>
      <c r="M13" s="103"/>
      <c r="N13" s="16"/>
      <c r="O13" s="103"/>
      <c r="P13" s="103"/>
      <c r="Q13" s="103"/>
      <c r="R13" s="103"/>
      <c r="S13" s="103"/>
      <c r="T13" s="103"/>
      <c r="U13" s="103"/>
      <c r="V13" s="103"/>
      <c r="W13" s="103"/>
    </row>
    <row r="14" spans="1:26" x14ac:dyDescent="0.2">
      <c r="A14" s="103"/>
      <c r="B14" s="103"/>
      <c r="C14" s="103"/>
      <c r="D14" s="103"/>
      <c r="E14" s="16"/>
      <c r="F14" s="103"/>
      <c r="G14" s="103"/>
      <c r="H14" s="103"/>
      <c r="I14" s="103"/>
      <c r="J14" s="16"/>
      <c r="K14" s="16"/>
      <c r="L14" s="103"/>
      <c r="M14" s="103"/>
      <c r="N14" s="16"/>
      <c r="O14" s="103"/>
      <c r="P14" s="103"/>
      <c r="Q14" s="103"/>
      <c r="R14" s="103"/>
      <c r="S14" s="103"/>
      <c r="T14" s="103"/>
      <c r="U14" s="103"/>
      <c r="V14" s="103"/>
      <c r="W14" s="103"/>
    </row>
    <row r="15" spans="1:26" x14ac:dyDescent="0.2">
      <c r="A15" s="103"/>
      <c r="B15" s="103"/>
      <c r="C15" s="103"/>
      <c r="D15" s="103"/>
      <c r="E15" s="16"/>
      <c r="F15" s="103"/>
      <c r="G15" s="103"/>
      <c r="H15" s="103"/>
      <c r="I15" s="103"/>
      <c r="J15" s="16"/>
      <c r="K15" s="16"/>
      <c r="L15" s="103"/>
      <c r="M15" s="103"/>
      <c r="N15" s="16"/>
      <c r="O15" s="103"/>
      <c r="P15" s="103"/>
      <c r="Q15" s="103"/>
      <c r="R15" s="103"/>
      <c r="S15" s="103"/>
      <c r="T15" s="103"/>
      <c r="U15" s="103"/>
      <c r="V15" s="103"/>
      <c r="W15" s="103"/>
    </row>
    <row r="16" spans="1:26" ht="15" x14ac:dyDescent="0.25">
      <c r="A16" s="24"/>
      <c r="B16" s="103"/>
      <c r="C16" s="103"/>
      <c r="D16" s="103"/>
      <c r="E16" s="16"/>
      <c r="F16" s="103"/>
      <c r="G16" s="103"/>
      <c r="H16" s="103"/>
      <c r="I16" s="103"/>
      <c r="J16" s="16"/>
      <c r="K16" s="16"/>
      <c r="L16" s="103"/>
      <c r="M16" s="103"/>
      <c r="N16" s="16"/>
      <c r="O16" s="103"/>
      <c r="P16" s="103"/>
      <c r="Q16" s="103"/>
      <c r="R16" s="103"/>
      <c r="S16" s="103"/>
      <c r="T16" s="103"/>
      <c r="U16" s="103"/>
      <c r="V16" s="103"/>
      <c r="W16" s="103"/>
    </row>
    <row r="17" spans="1:23" x14ac:dyDescent="0.2">
      <c r="A17" s="103"/>
      <c r="B17" s="103"/>
      <c r="C17" s="103"/>
      <c r="D17" s="103"/>
      <c r="E17" s="16"/>
      <c r="F17" s="103"/>
      <c r="G17" s="103"/>
      <c r="H17" s="103"/>
      <c r="I17" s="103"/>
      <c r="J17" s="16"/>
      <c r="K17" s="16"/>
      <c r="L17" s="103"/>
      <c r="M17" s="103"/>
      <c r="N17" s="16"/>
      <c r="O17" s="103"/>
      <c r="P17" s="103"/>
      <c r="Q17" s="103"/>
      <c r="R17" s="103"/>
      <c r="S17" s="103"/>
      <c r="T17" s="103"/>
      <c r="U17" s="103"/>
      <c r="V17" s="103"/>
      <c r="W17" s="103"/>
    </row>
    <row r="18" spans="1:23" x14ac:dyDescent="0.2">
      <c r="A18" s="103"/>
      <c r="B18" s="103"/>
      <c r="C18" s="103"/>
      <c r="D18" s="103"/>
      <c r="E18" s="16"/>
      <c r="F18" s="103"/>
      <c r="G18" s="103"/>
      <c r="H18" s="103"/>
      <c r="I18" s="103"/>
      <c r="J18" s="16"/>
      <c r="K18" s="16"/>
      <c r="L18" s="103"/>
      <c r="M18" s="103"/>
      <c r="N18" s="16"/>
      <c r="O18" s="103"/>
      <c r="P18" s="103"/>
      <c r="Q18" s="103"/>
      <c r="R18" s="103"/>
      <c r="S18" s="103"/>
      <c r="T18" s="103"/>
      <c r="U18" s="103"/>
      <c r="V18" s="103"/>
      <c r="W18" s="103"/>
    </row>
    <row r="19" spans="1:23" x14ac:dyDescent="0.2">
      <c r="A19" s="103"/>
      <c r="B19" s="103"/>
      <c r="C19" s="103"/>
      <c r="D19" s="103"/>
      <c r="E19" s="16"/>
      <c r="F19" s="103"/>
      <c r="G19" s="103"/>
      <c r="H19" s="103"/>
      <c r="I19" s="102"/>
      <c r="J19" s="16"/>
      <c r="K19" s="16"/>
      <c r="L19" s="103"/>
      <c r="M19" s="103"/>
      <c r="N19" s="16"/>
      <c r="O19" s="103"/>
      <c r="P19" s="103"/>
      <c r="Q19" s="103"/>
      <c r="R19" s="103"/>
      <c r="S19" s="103"/>
      <c r="T19" s="103"/>
      <c r="U19" s="103"/>
      <c r="V19" s="103"/>
      <c r="W19" s="103"/>
    </row>
    <row r="20" spans="1:23" x14ac:dyDescent="0.2">
      <c r="A20" s="102"/>
      <c r="B20" s="102"/>
      <c r="C20" s="102"/>
      <c r="D20" s="102"/>
      <c r="E20" s="16"/>
      <c r="F20" s="102"/>
      <c r="G20" s="102"/>
      <c r="H20" s="103"/>
      <c r="I20" s="103"/>
      <c r="J20" s="16"/>
      <c r="K20" s="16"/>
      <c r="L20" s="103"/>
      <c r="M20" s="103"/>
      <c r="N20" s="102"/>
      <c r="O20" s="103"/>
      <c r="P20" s="103"/>
      <c r="Q20" s="102"/>
      <c r="R20" s="102"/>
      <c r="S20" s="102"/>
      <c r="T20" s="102"/>
      <c r="U20" s="102"/>
      <c r="V20" s="102"/>
      <c r="W20" s="102"/>
    </row>
    <row r="21" spans="1:23" customFormat="1" x14ac:dyDescent="0.2"/>
    <row r="22" spans="1:23" x14ac:dyDescent="0.2">
      <c r="A22" s="102"/>
      <c r="B22" s="102"/>
      <c r="C22" s="102"/>
      <c r="D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1">
    <mergeCell ref="A2:Z2"/>
  </mergeCells>
  <dataValidations count="9">
    <dataValidation type="list" allowBlank="1" showInputMessage="1" showErrorMessage="1" sqref="J3:J20" xr:uid="{00000000-0002-0000-1B00-000000000000}">
      <formula1>israel_abroad</formula1>
    </dataValidation>
    <dataValidation type="list" allowBlank="1" showInputMessage="1" showErrorMessage="1" sqref="M3:M20" xr:uid="{00000000-0002-0000-1B00-000001000000}">
      <formula1>Holding_interest</formula1>
    </dataValidation>
    <dataValidation type="list" allowBlank="1" showInputMessage="1" showErrorMessage="1" sqref="O3:O20" xr:uid="{00000000-0002-0000-1B00-000002000000}">
      <formula1>Valuation</formula1>
    </dataValidation>
    <dataValidation type="list" allowBlank="1" showInputMessage="1" showErrorMessage="1" sqref="P3:P20" xr:uid="{00000000-0002-0000-1B00-000003000000}">
      <formula1>Dependence_Independence</formula1>
    </dataValidation>
    <dataValidation type="list" allowBlank="1" showInputMessage="1" showErrorMessage="1" sqref="K3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H3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3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I3:I18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20"/>
  <sheetViews>
    <sheetView rightToLeft="1" workbookViewId="0"/>
  </sheetViews>
  <sheetFormatPr defaultColWidth="9" defaultRowHeight="14.25" x14ac:dyDescent="0.2"/>
  <cols>
    <col min="1" max="18" width="11.625" style="2" customWidth="1"/>
    <col min="19" max="16384" width="9" style="2"/>
  </cols>
  <sheetData>
    <row r="1" spans="1:26" ht="66.75" customHeight="1" x14ac:dyDescent="0.2">
      <c r="A1" s="17" t="s">
        <v>2685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26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03"/>
      <c r="B3" s="103"/>
      <c r="C3" s="103"/>
      <c r="D3" s="103"/>
      <c r="E3" s="103"/>
      <c r="F3" s="16"/>
      <c r="G3" s="16"/>
      <c r="H3" s="103"/>
      <c r="I3" s="103"/>
      <c r="J3" s="16"/>
      <c r="K3" s="103"/>
      <c r="L3" s="102"/>
      <c r="M3" s="103"/>
      <c r="N3" s="103"/>
      <c r="O3" s="103"/>
      <c r="P3" s="16"/>
      <c r="Q3" s="103"/>
      <c r="R3" s="103"/>
    </row>
    <row r="4" spans="1:26" x14ac:dyDescent="0.2">
      <c r="A4" s="103"/>
      <c r="B4" s="103"/>
      <c r="C4" s="103"/>
      <c r="D4" s="103"/>
      <c r="E4" s="103"/>
      <c r="F4" s="16"/>
      <c r="G4" s="16"/>
      <c r="H4" s="103"/>
      <c r="I4" s="103"/>
      <c r="J4" s="16"/>
      <c r="K4" s="103"/>
      <c r="L4" s="102"/>
      <c r="M4" s="103"/>
      <c r="N4" s="103"/>
      <c r="O4" s="103"/>
      <c r="P4" s="16"/>
      <c r="Q4" s="103"/>
      <c r="R4" s="103"/>
    </row>
    <row r="5" spans="1:26" x14ac:dyDescent="0.2">
      <c r="A5" s="103"/>
      <c r="B5" s="103"/>
      <c r="C5" s="103"/>
      <c r="D5" s="103"/>
      <c r="E5" s="103"/>
      <c r="F5" s="16"/>
      <c r="G5" s="16"/>
      <c r="H5" s="103"/>
      <c r="I5" s="103"/>
      <c r="J5" s="16"/>
      <c r="K5" s="103"/>
      <c r="L5" s="102"/>
      <c r="M5" s="103"/>
      <c r="N5" s="103"/>
      <c r="O5" s="103"/>
      <c r="P5" s="16"/>
      <c r="Q5" s="103"/>
      <c r="R5" s="103"/>
    </row>
    <row r="6" spans="1:26" x14ac:dyDescent="0.2">
      <c r="A6" s="103"/>
      <c r="B6" s="103"/>
      <c r="C6" s="103"/>
      <c r="D6" s="103"/>
      <c r="E6" s="103"/>
      <c r="F6" s="16"/>
      <c r="G6" s="16"/>
      <c r="H6" s="103"/>
      <c r="I6" s="103"/>
      <c r="J6" s="16"/>
      <c r="K6" s="103"/>
      <c r="L6" s="102"/>
      <c r="M6" s="103"/>
      <c r="N6" s="103"/>
      <c r="O6" s="103"/>
      <c r="P6" s="16"/>
      <c r="Q6" s="103"/>
      <c r="R6" s="103"/>
    </row>
    <row r="7" spans="1:26" x14ac:dyDescent="0.2">
      <c r="A7" s="103"/>
      <c r="B7" s="103"/>
      <c r="C7" s="103"/>
      <c r="D7" s="103"/>
      <c r="E7" s="103"/>
      <c r="F7" s="16"/>
      <c r="G7" s="16"/>
      <c r="H7" s="103"/>
      <c r="I7" s="103"/>
      <c r="J7" s="16"/>
      <c r="K7" s="103"/>
      <c r="L7" s="102"/>
      <c r="M7" s="103"/>
      <c r="N7" s="103"/>
      <c r="O7" s="103"/>
      <c r="P7" s="16"/>
      <c r="Q7" s="103"/>
      <c r="R7" s="103"/>
    </row>
    <row r="8" spans="1:26" x14ac:dyDescent="0.2">
      <c r="A8" s="103"/>
      <c r="B8" s="103"/>
      <c r="C8" s="103"/>
      <c r="D8" s="103"/>
      <c r="E8" s="103"/>
      <c r="F8" s="16"/>
      <c r="G8" s="16"/>
      <c r="H8" s="103"/>
      <c r="I8" s="103"/>
      <c r="J8" s="16"/>
      <c r="K8" s="103"/>
      <c r="L8" s="102"/>
      <c r="M8" s="103"/>
      <c r="N8" s="103"/>
      <c r="O8" s="103"/>
      <c r="P8" s="16"/>
      <c r="Q8" s="103"/>
      <c r="R8" s="103"/>
    </row>
    <row r="9" spans="1:26" x14ac:dyDescent="0.2">
      <c r="A9" s="103"/>
      <c r="B9" s="103"/>
      <c r="C9" s="103"/>
      <c r="D9" s="103"/>
      <c r="E9" s="103"/>
      <c r="F9" s="16"/>
      <c r="G9" s="16"/>
      <c r="H9" s="103"/>
      <c r="I9" s="103"/>
      <c r="J9" s="16"/>
      <c r="K9" s="103"/>
      <c r="L9" s="102"/>
      <c r="M9" s="103"/>
      <c r="N9" s="103"/>
      <c r="O9" s="103"/>
      <c r="P9" s="16"/>
      <c r="Q9" s="103"/>
      <c r="R9" s="103"/>
    </row>
    <row r="10" spans="1:26" x14ac:dyDescent="0.2">
      <c r="A10" s="103"/>
      <c r="B10" s="103"/>
      <c r="C10" s="103"/>
      <c r="D10" s="103"/>
      <c r="E10" s="103"/>
      <c r="F10" s="16"/>
      <c r="G10" s="16"/>
      <c r="H10" s="103"/>
      <c r="I10" s="103"/>
      <c r="J10" s="16"/>
      <c r="K10" s="103"/>
      <c r="L10" s="102"/>
      <c r="M10" s="103"/>
      <c r="N10" s="103"/>
      <c r="O10" s="103"/>
      <c r="P10" s="16"/>
      <c r="Q10" s="103"/>
      <c r="R10" s="103"/>
    </row>
    <row r="11" spans="1:26" x14ac:dyDescent="0.2">
      <c r="A11" s="103"/>
      <c r="B11" s="103"/>
      <c r="C11" s="103"/>
      <c r="D11" s="103"/>
      <c r="E11" s="103"/>
      <c r="F11" s="16"/>
      <c r="G11" s="16"/>
      <c r="H11" s="103"/>
      <c r="I11" s="103"/>
      <c r="J11" s="16"/>
      <c r="K11" s="103"/>
      <c r="L11" s="102"/>
      <c r="M11" s="103"/>
      <c r="N11" s="103"/>
      <c r="O11" s="103"/>
      <c r="P11" s="16"/>
      <c r="Q11" s="103"/>
      <c r="R11" s="103"/>
    </row>
    <row r="12" spans="1:26" x14ac:dyDescent="0.2">
      <c r="A12" s="103"/>
      <c r="B12" s="103"/>
      <c r="C12" s="103"/>
      <c r="D12" s="103"/>
      <c r="E12" s="103"/>
      <c r="F12" s="16"/>
      <c r="G12" s="16"/>
      <c r="H12" s="103"/>
      <c r="I12" s="103"/>
      <c r="J12" s="16"/>
      <c r="K12" s="103"/>
      <c r="L12" s="102"/>
      <c r="M12" s="103"/>
      <c r="N12" s="103"/>
      <c r="O12" s="103"/>
      <c r="P12" s="16"/>
      <c r="Q12" s="103"/>
      <c r="R12" s="103"/>
    </row>
    <row r="13" spans="1:26" x14ac:dyDescent="0.2">
      <c r="A13" s="103"/>
      <c r="B13" s="103"/>
      <c r="C13" s="103"/>
      <c r="D13" s="103"/>
      <c r="E13" s="103"/>
      <c r="F13" s="16"/>
      <c r="G13" s="16"/>
      <c r="H13" s="103"/>
      <c r="I13" s="103"/>
      <c r="J13" s="16"/>
      <c r="K13" s="103"/>
      <c r="L13" s="102"/>
      <c r="M13" s="103"/>
      <c r="N13" s="103"/>
      <c r="O13" s="103"/>
      <c r="P13" s="16"/>
      <c r="Q13" s="103"/>
      <c r="R13" s="103"/>
    </row>
    <row r="14" spans="1:26" x14ac:dyDescent="0.2">
      <c r="A14" s="103"/>
      <c r="B14" s="103"/>
      <c r="C14" s="103"/>
      <c r="D14" s="103"/>
      <c r="E14" s="103"/>
      <c r="F14" s="16"/>
      <c r="G14" s="16"/>
      <c r="H14" s="103"/>
      <c r="I14" s="103"/>
      <c r="J14" s="16"/>
      <c r="K14" s="103"/>
      <c r="L14" s="102"/>
      <c r="M14" s="103"/>
      <c r="N14" s="103"/>
      <c r="O14" s="103"/>
      <c r="P14" s="16"/>
      <c r="Q14" s="103"/>
      <c r="R14" s="103"/>
    </row>
    <row r="15" spans="1:26" x14ac:dyDescent="0.2">
      <c r="A15" s="103"/>
      <c r="B15" s="103"/>
      <c r="C15" s="103"/>
      <c r="D15" s="103"/>
      <c r="E15" s="103"/>
      <c r="F15" s="16"/>
      <c r="G15" s="16"/>
      <c r="H15" s="103"/>
      <c r="I15" s="103"/>
      <c r="J15" s="16"/>
      <c r="K15" s="103"/>
      <c r="L15" s="102"/>
      <c r="M15" s="103"/>
      <c r="N15" s="103"/>
      <c r="O15" s="103"/>
      <c r="P15" s="16"/>
      <c r="Q15" s="103"/>
      <c r="R15" s="103"/>
    </row>
    <row r="16" spans="1:26" x14ac:dyDescent="0.2">
      <c r="A16" s="103"/>
      <c r="B16" s="103"/>
      <c r="C16" s="103"/>
      <c r="D16" s="103"/>
      <c r="E16" s="103"/>
      <c r="F16" s="16"/>
      <c r="G16" s="16"/>
      <c r="H16" s="103"/>
      <c r="I16" s="103"/>
      <c r="J16" s="16"/>
      <c r="K16" s="103"/>
      <c r="L16" s="102"/>
      <c r="M16" s="103"/>
      <c r="N16" s="103"/>
      <c r="O16" s="103"/>
      <c r="P16" s="16"/>
      <c r="Q16" s="103"/>
      <c r="R16" s="103"/>
    </row>
    <row r="17" spans="1:18" x14ac:dyDescent="0.2">
      <c r="A17" s="103"/>
      <c r="B17" s="103"/>
      <c r="C17" s="103"/>
      <c r="D17" s="103"/>
      <c r="E17" s="103"/>
      <c r="F17" s="16"/>
      <c r="G17" s="16"/>
      <c r="H17" s="103"/>
      <c r="I17" s="103"/>
      <c r="J17" s="16"/>
      <c r="K17" s="103"/>
      <c r="L17" s="102"/>
      <c r="M17" s="103"/>
      <c r="N17" s="103"/>
      <c r="O17" s="103"/>
      <c r="P17" s="16"/>
      <c r="Q17" s="103"/>
      <c r="R17" s="103"/>
    </row>
    <row r="18" spans="1:18" x14ac:dyDescent="0.2">
      <c r="A18" s="103"/>
      <c r="B18" s="103"/>
      <c r="C18" s="103"/>
      <c r="D18" s="103"/>
      <c r="E18" s="103"/>
      <c r="F18" s="16"/>
      <c r="G18" s="16"/>
      <c r="H18" s="103"/>
      <c r="I18" s="103"/>
      <c r="J18" s="16"/>
      <c r="K18" s="103"/>
      <c r="L18" s="102"/>
      <c r="M18" s="103"/>
      <c r="N18" s="103"/>
      <c r="O18" s="103"/>
      <c r="P18" s="16"/>
      <c r="Q18" s="103"/>
      <c r="R18" s="103"/>
    </row>
    <row r="19" spans="1:18" x14ac:dyDescent="0.2">
      <c r="A19" s="103"/>
      <c r="B19" s="103"/>
      <c r="C19" s="103"/>
      <c r="D19" s="103"/>
      <c r="E19" s="103"/>
      <c r="F19" s="16"/>
      <c r="G19" s="16"/>
      <c r="H19" s="103"/>
      <c r="I19" s="103"/>
      <c r="J19" s="16"/>
      <c r="K19" s="103"/>
      <c r="L19" s="102"/>
      <c r="M19" s="103"/>
      <c r="N19" s="103"/>
      <c r="O19" s="103"/>
      <c r="P19" s="16"/>
      <c r="Q19" s="103"/>
      <c r="R19" s="103"/>
    </row>
    <row r="20" spans="1:18" x14ac:dyDescent="0.2">
      <c r="A20" s="102"/>
      <c r="B20" s="102"/>
      <c r="C20" s="102"/>
      <c r="D20" s="102"/>
      <c r="E20" s="103"/>
      <c r="F20" s="16"/>
      <c r="G20" s="16"/>
      <c r="H20" s="103"/>
      <c r="I20" s="102"/>
      <c r="J20" s="102"/>
      <c r="K20" s="102"/>
      <c r="L20" s="102"/>
      <c r="M20" s="102"/>
      <c r="N20" s="102"/>
      <c r="O20" s="102"/>
      <c r="P20" s="16"/>
      <c r="Q20" s="102"/>
      <c r="R20" s="102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1">
    <mergeCell ref="A2:Z2"/>
  </mergeCells>
  <dataValidations count="5">
    <dataValidation type="list" allowBlank="1" showInputMessage="1" showErrorMessage="1" sqref="F3:F20" xr:uid="{00000000-0002-0000-1C00-000000000000}">
      <formula1>israel_abroad</formula1>
    </dataValidation>
    <dataValidation type="list" allowBlank="1" showInputMessage="1" showErrorMessage="1" sqref="H3:H20" xr:uid="{00000000-0002-0000-1C00-000001000000}">
      <formula1>Holding_interest</formula1>
    </dataValidation>
    <dataValidation type="list" allowBlank="1" showInputMessage="1" showErrorMessage="1" sqref="P3:P20" xr:uid="{00000000-0002-0000-1C00-000002000000}">
      <formula1>In_the_books</formula1>
    </dataValidation>
    <dataValidation type="list" allowBlank="1" showInputMessage="1" showErrorMessage="1" sqref="G3:G20" xr:uid="{00000000-0002-0000-1C00-000003000000}">
      <formula1>Country_list</formula1>
    </dataValidation>
    <dataValidation type="list" allowBlank="1" showInputMessage="1" showErrorMessage="1" sqref="E3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22"/>
  <sheetViews>
    <sheetView rightToLeft="1" workbookViewId="0"/>
  </sheetViews>
  <sheetFormatPr defaultColWidth="11.625" defaultRowHeight="14.1" customHeight="1" x14ac:dyDescent="0.2"/>
  <cols>
    <col min="1" max="19" width="11.625" style="2" customWidth="1"/>
    <col min="20" max="16384" width="11.625" style="2"/>
  </cols>
  <sheetData>
    <row r="1" spans="1:26" ht="66.75" customHeight="1" x14ac:dyDescent="0.2">
      <c r="A1" s="17" t="s">
        <v>2685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102"/>
      <c r="V1" s="102"/>
    </row>
    <row r="2" spans="1:26" ht="14.1" customHeight="1" x14ac:dyDescent="0.2">
      <c r="A2" s="195" t="s">
        <v>2681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4.1" customHeight="1" x14ac:dyDescent="0.2">
      <c r="A3" s="102"/>
      <c r="B3" s="102"/>
      <c r="C3" s="102"/>
      <c r="D3" s="103"/>
      <c r="E3" s="102"/>
      <c r="F3" s="102"/>
      <c r="G3"/>
      <c r="H3" s="16"/>
      <c r="I3" s="16"/>
      <c r="J3" s="103"/>
      <c r="K3" s="103"/>
      <c r="L3" s="103"/>
      <c r="M3" s="103"/>
      <c r="N3" s="102"/>
      <c r="O3" s="102"/>
      <c r="P3" s="102"/>
      <c r="Q3" s="103"/>
      <c r="R3" s="102"/>
      <c r="S3" s="102"/>
      <c r="T3" s="102"/>
      <c r="U3" s="102"/>
      <c r="V3" s="102"/>
    </row>
    <row r="4" spans="1:26" ht="14.1" customHeight="1" x14ac:dyDescent="0.2">
      <c r="A4" s="102"/>
      <c r="B4" s="102"/>
      <c r="C4" s="102"/>
      <c r="D4" s="103"/>
      <c r="E4" s="102"/>
      <c r="F4" s="102"/>
      <c r="G4"/>
      <c r="H4" s="16"/>
      <c r="I4" s="16"/>
      <c r="J4" s="103"/>
      <c r="K4" s="103"/>
      <c r="L4" s="103"/>
      <c r="M4" s="103"/>
      <c r="N4" s="102"/>
      <c r="O4" s="102"/>
      <c r="P4" s="102"/>
      <c r="Q4" s="103"/>
      <c r="R4" s="102"/>
      <c r="S4" s="102"/>
      <c r="T4" s="102"/>
      <c r="U4" s="102"/>
      <c r="V4" s="102"/>
    </row>
    <row r="5" spans="1:26" ht="14.1" customHeight="1" x14ac:dyDescent="0.2">
      <c r="A5" s="102"/>
      <c r="B5" s="102"/>
      <c r="C5" s="102"/>
      <c r="D5" s="103"/>
      <c r="E5" s="102"/>
      <c r="F5" s="102"/>
      <c r="G5"/>
      <c r="H5" s="16"/>
      <c r="I5" s="16"/>
      <c r="J5" s="103"/>
      <c r="K5" s="103"/>
      <c r="L5" s="103"/>
      <c r="M5" s="103"/>
      <c r="N5" s="102"/>
      <c r="O5" s="102"/>
      <c r="P5" s="102"/>
      <c r="Q5" s="103"/>
      <c r="R5" s="102"/>
      <c r="S5" s="102"/>
      <c r="T5" s="102"/>
      <c r="U5" s="102"/>
      <c r="V5" s="102"/>
    </row>
    <row r="6" spans="1:26" ht="14.1" customHeight="1" x14ac:dyDescent="0.2">
      <c r="A6" s="102"/>
      <c r="B6" s="102"/>
      <c r="C6" s="102"/>
      <c r="D6" s="103"/>
      <c r="E6" s="102"/>
      <c r="F6" s="102"/>
      <c r="G6"/>
      <c r="H6" s="16"/>
      <c r="I6" s="16"/>
      <c r="J6" s="103"/>
      <c r="K6" s="103"/>
      <c r="L6" s="103"/>
      <c r="M6" s="103"/>
      <c r="N6" s="102"/>
      <c r="O6" s="102"/>
      <c r="P6" s="102"/>
      <c r="Q6" s="103"/>
      <c r="R6" s="102"/>
      <c r="S6" s="102"/>
      <c r="T6" s="102"/>
      <c r="U6" s="102"/>
      <c r="V6" s="102"/>
    </row>
    <row r="7" spans="1:26" ht="14.1" customHeight="1" x14ac:dyDescent="0.2">
      <c r="A7" s="102"/>
      <c r="B7" s="102"/>
      <c r="C7" s="102"/>
      <c r="D7" s="103"/>
      <c r="E7" s="102"/>
      <c r="F7" s="102"/>
      <c r="G7"/>
      <c r="H7" s="16"/>
      <c r="I7" s="16"/>
      <c r="J7" s="103"/>
      <c r="K7" s="103"/>
      <c r="L7" s="103"/>
      <c r="M7" s="103"/>
      <c r="N7" s="102"/>
      <c r="O7" s="102"/>
      <c r="P7" s="102"/>
      <c r="Q7" s="103"/>
      <c r="R7" s="102"/>
      <c r="S7" s="102"/>
      <c r="T7" s="102"/>
      <c r="U7" s="102"/>
      <c r="V7" s="102"/>
    </row>
    <row r="8" spans="1:26" ht="14.1" customHeight="1" x14ac:dyDescent="0.2">
      <c r="A8" s="102"/>
      <c r="B8" s="102"/>
      <c r="C8" s="102"/>
      <c r="D8" s="103"/>
      <c r="E8" s="102"/>
      <c r="F8" s="102"/>
      <c r="G8"/>
      <c r="H8" s="16"/>
      <c r="I8" s="16"/>
      <c r="J8" s="103"/>
      <c r="K8" s="103"/>
      <c r="L8" s="103"/>
      <c r="M8" s="103"/>
      <c r="N8" s="102"/>
      <c r="O8" s="102"/>
      <c r="P8" s="102"/>
      <c r="Q8" s="103"/>
      <c r="R8" s="102"/>
      <c r="S8" s="102"/>
      <c r="T8" s="102"/>
      <c r="U8" s="102"/>
      <c r="V8" s="102"/>
    </row>
    <row r="9" spans="1:26" ht="14.1" customHeight="1" x14ac:dyDescent="0.2">
      <c r="A9" s="102"/>
      <c r="B9" s="102"/>
      <c r="C9" s="102"/>
      <c r="D9" s="103"/>
      <c r="E9" s="102"/>
      <c r="F9" s="102"/>
      <c r="G9"/>
      <c r="H9" s="16"/>
      <c r="I9" s="16"/>
      <c r="J9" s="103"/>
      <c r="K9" s="103"/>
      <c r="L9" s="103"/>
      <c r="M9" s="103"/>
      <c r="N9" s="102"/>
      <c r="O9" s="102"/>
      <c r="P9" s="102"/>
      <c r="Q9" s="103"/>
      <c r="R9" s="102"/>
      <c r="S9" s="102"/>
      <c r="T9" s="102"/>
      <c r="U9" s="102"/>
      <c r="V9" s="102"/>
    </row>
    <row r="10" spans="1:26" ht="13.5" customHeight="1" x14ac:dyDescent="0.2">
      <c r="A10" s="102"/>
      <c r="B10" s="102"/>
      <c r="C10" s="102"/>
      <c r="D10" s="103"/>
      <c r="E10" s="102"/>
      <c r="F10" s="102"/>
      <c r="G10"/>
      <c r="H10" s="16"/>
      <c r="I10" s="16"/>
      <c r="J10" s="103"/>
      <c r="K10" s="103"/>
      <c r="L10" s="103"/>
      <c r="M10" s="103"/>
      <c r="N10" s="102"/>
      <c r="O10" s="102"/>
      <c r="P10" s="102"/>
      <c r="Q10" s="103"/>
      <c r="R10" s="102"/>
      <c r="S10" s="102"/>
      <c r="T10" s="102"/>
      <c r="U10" s="102"/>
      <c r="V10" s="102"/>
    </row>
    <row r="11" spans="1:26" ht="13.5" customHeight="1" x14ac:dyDescent="0.2">
      <c r="A11" s="102"/>
      <c r="B11" s="102"/>
      <c r="C11" s="102"/>
      <c r="D11" s="103"/>
      <c r="E11" s="102"/>
      <c r="F11" s="102"/>
      <c r="G11"/>
      <c r="H11" s="16"/>
      <c r="I11" s="16"/>
      <c r="J11" s="103"/>
      <c r="K11" s="103"/>
      <c r="L11" s="103"/>
      <c r="M11" s="103"/>
      <c r="N11" s="102"/>
      <c r="O11" s="102"/>
      <c r="P11" s="102"/>
      <c r="Q11" s="103"/>
      <c r="R11" s="102"/>
      <c r="S11" s="102"/>
      <c r="T11" s="102"/>
      <c r="U11" s="102"/>
      <c r="V11" s="102"/>
    </row>
    <row r="12" spans="1:26" ht="14.1" customHeight="1" x14ac:dyDescent="0.2">
      <c r="A12" s="102"/>
      <c r="B12" s="102"/>
      <c r="C12" s="102"/>
      <c r="D12" s="103"/>
      <c r="E12" s="102"/>
      <c r="F12" s="102"/>
      <c r="G12"/>
      <c r="H12" s="16"/>
      <c r="I12" s="16"/>
      <c r="J12" s="103"/>
      <c r="K12" s="103"/>
      <c r="L12" s="103"/>
      <c r="M12" s="103"/>
      <c r="N12" s="102"/>
      <c r="O12" s="102"/>
      <c r="P12" s="102"/>
      <c r="Q12" s="103"/>
      <c r="R12" s="102"/>
      <c r="S12" s="102"/>
      <c r="T12" s="102"/>
      <c r="U12" s="102"/>
      <c r="V12" s="102"/>
    </row>
    <row r="13" spans="1:26" ht="14.1" customHeight="1" x14ac:dyDescent="0.2">
      <c r="A13" s="102"/>
      <c r="B13" s="102"/>
      <c r="C13" s="102"/>
      <c r="D13" s="103"/>
      <c r="E13" s="102"/>
      <c r="F13" s="102"/>
      <c r="G13"/>
      <c r="H13" s="16"/>
      <c r="I13" s="16"/>
      <c r="J13" s="103"/>
      <c r="K13" s="103"/>
      <c r="L13" s="103"/>
      <c r="M13" s="103"/>
      <c r="N13" s="102"/>
      <c r="O13" s="102"/>
      <c r="P13" s="102"/>
      <c r="Q13" s="103"/>
      <c r="R13" s="102"/>
      <c r="S13" s="102"/>
      <c r="T13" s="102"/>
      <c r="U13" s="102"/>
      <c r="V13" s="102"/>
    </row>
    <row r="14" spans="1:26" ht="14.1" customHeight="1" x14ac:dyDescent="0.2">
      <c r="A14" s="102"/>
      <c r="B14" s="102"/>
      <c r="C14" s="102"/>
      <c r="D14" s="103"/>
      <c r="E14" s="102"/>
      <c r="F14" s="102"/>
      <c r="G14"/>
      <c r="H14" s="16"/>
      <c r="I14" s="16"/>
      <c r="J14" s="103"/>
      <c r="K14" s="103"/>
      <c r="L14" s="103"/>
      <c r="M14" s="103"/>
      <c r="N14" s="102"/>
      <c r="O14" s="102"/>
      <c r="P14" s="102"/>
      <c r="Q14" s="103"/>
      <c r="R14" s="102"/>
      <c r="S14" s="102"/>
      <c r="T14" s="102"/>
      <c r="U14" s="102"/>
      <c r="V14" s="102"/>
    </row>
    <row r="15" spans="1:26" ht="14.1" customHeight="1" x14ac:dyDescent="0.2">
      <c r="A15" s="102"/>
      <c r="B15" s="102"/>
      <c r="C15" s="102"/>
      <c r="D15" s="103"/>
      <c r="E15" s="102"/>
      <c r="F15" s="102"/>
      <c r="G15"/>
      <c r="H15" s="16"/>
      <c r="I15" s="16"/>
      <c r="J15" s="103"/>
      <c r="K15" s="103"/>
      <c r="L15" s="103"/>
      <c r="M15" s="103"/>
      <c r="N15" s="102"/>
      <c r="O15" s="102"/>
      <c r="P15" s="102"/>
      <c r="Q15" s="103"/>
      <c r="R15" s="102"/>
      <c r="S15" s="102"/>
      <c r="T15" s="102"/>
      <c r="U15" s="102"/>
      <c r="V15" s="102"/>
    </row>
    <row r="16" spans="1:26" ht="14.1" customHeight="1" x14ac:dyDescent="0.2">
      <c r="A16" s="102"/>
      <c r="B16" s="102"/>
      <c r="C16" s="102"/>
      <c r="D16" s="103"/>
      <c r="E16" s="102"/>
      <c r="F16" s="102"/>
      <c r="G16"/>
      <c r="H16" s="16"/>
      <c r="I16" s="16"/>
      <c r="J16" s="103"/>
      <c r="K16" s="103"/>
      <c r="L16" s="103"/>
      <c r="M16" s="103"/>
      <c r="N16" s="102"/>
      <c r="O16" s="102"/>
      <c r="P16" s="102"/>
      <c r="Q16" s="103"/>
      <c r="R16" s="102"/>
      <c r="S16" s="102"/>
      <c r="T16" s="102"/>
      <c r="U16" s="102"/>
      <c r="V16" s="102"/>
    </row>
    <row r="17" spans="4:17" ht="14.1" customHeight="1" x14ac:dyDescent="0.2">
      <c r="D17" s="103"/>
      <c r="E17" s="102"/>
      <c r="F17" s="102"/>
      <c r="G17"/>
      <c r="H17" s="16"/>
      <c r="I17" s="16"/>
      <c r="J17" s="103"/>
      <c r="K17" s="103"/>
      <c r="L17" s="103"/>
      <c r="M17" s="103"/>
      <c r="N17" s="102"/>
      <c r="O17" s="102"/>
      <c r="P17" s="102"/>
      <c r="Q17" s="103"/>
    </row>
    <row r="18" spans="4:17" ht="14.1" customHeight="1" x14ac:dyDescent="0.2">
      <c r="D18" s="103"/>
      <c r="E18" s="102"/>
      <c r="F18" s="102"/>
      <c r="G18"/>
      <c r="H18" s="16"/>
      <c r="I18" s="16"/>
      <c r="J18" s="103"/>
      <c r="K18" s="103"/>
      <c r="L18" s="103"/>
      <c r="M18" s="103"/>
      <c r="N18" s="102"/>
      <c r="O18" s="102"/>
      <c r="P18" s="102"/>
      <c r="Q18" s="103"/>
    </row>
    <row r="19" spans="4:17" ht="14.1" customHeight="1" x14ac:dyDescent="0.2">
      <c r="D19" s="103"/>
      <c r="E19" s="102"/>
      <c r="F19" s="102"/>
      <c r="G19"/>
      <c r="H19" s="16"/>
      <c r="I19" s="16"/>
      <c r="J19" s="103"/>
      <c r="K19" s="103"/>
      <c r="L19" s="103"/>
      <c r="M19" s="103"/>
      <c r="N19" s="102"/>
      <c r="O19" s="102"/>
      <c r="P19" s="102"/>
      <c r="Q19" s="103"/>
    </row>
    <row r="20" spans="4:17" ht="14.1" customHeight="1" x14ac:dyDescent="0.2">
      <c r="D20" s="103"/>
      <c r="E20" s="102"/>
      <c r="F20" s="102"/>
      <c r="G20"/>
      <c r="H20" s="16"/>
      <c r="I20" s="16"/>
      <c r="J20" s="103"/>
      <c r="K20" s="102"/>
      <c r="L20" s="103"/>
      <c r="M20" s="103"/>
      <c r="N20" s="102"/>
      <c r="O20" s="102"/>
      <c r="P20" s="102"/>
      <c r="Q20" s="103"/>
    </row>
    <row r="21" spans="4:17" ht="14.1" customHeight="1" x14ac:dyDescent="0.2">
      <c r="D21" s="4"/>
      <c r="E21" s="102"/>
      <c r="F21" s="102"/>
      <c r="G21" s="102"/>
      <c r="H21" s="102"/>
      <c r="I21" s="102"/>
      <c r="J21"/>
      <c r="K21" s="102"/>
      <c r="L21" s="102"/>
      <c r="M21" s="102"/>
      <c r="N21" s="102"/>
      <c r="O21" s="102"/>
      <c r="P21" s="102"/>
      <c r="Q21" s="102"/>
    </row>
    <row r="22" spans="4:17" ht="14.1" customHeight="1" x14ac:dyDescent="0.2">
      <c r="D22" s="4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1">
    <mergeCell ref="A2:Z2"/>
  </mergeCells>
  <dataValidations count="8">
    <dataValidation type="list" allowBlank="1" showInputMessage="1" showErrorMessage="1" sqref="H3:H20" xr:uid="{00000000-0002-0000-1D00-000000000000}">
      <formula1>israel_abroad</formula1>
    </dataValidation>
    <dataValidation type="list" allowBlank="1" showInputMessage="1" showErrorMessage="1" sqref="I3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3:D20" xr:uid="{00000000-0002-0000-1D00-000003000000}">
      <formula1>issuer_number_loan</formula1>
    </dataValidation>
    <dataValidation type="list" allowBlank="1" showInputMessage="1" showErrorMessage="1" sqref="L3:L20" xr:uid="{00000000-0002-0000-1D00-000004000000}">
      <formula1>Rating_Agency</formula1>
    </dataValidation>
    <dataValidation type="list" allowBlank="1" showInputMessage="1" showErrorMessage="1" sqref="Q3:Q20" xr:uid="{00000000-0002-0000-1D00-000005000000}">
      <formula1>Type_of_Interest_Rate</formula1>
    </dataValidation>
    <dataValidation type="list" allowBlank="1" showInputMessage="1" showErrorMessage="1" sqref="J3:J20" xr:uid="{00000000-0002-0000-1D00-000006000000}">
      <formula1>Holding_interest</formula1>
    </dataValidation>
    <dataValidation type="list" allowBlank="1" showInputMessage="1" showErrorMessage="1" sqref="M3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Z92"/>
  <sheetViews>
    <sheetView rightToLeft="1" workbookViewId="0">
      <selection sqref="A1:Q91"/>
    </sheetView>
  </sheetViews>
  <sheetFormatPr defaultColWidth="11.625" defaultRowHeight="14.1" customHeight="1" x14ac:dyDescent="0.2"/>
  <cols>
    <col min="1" max="1" width="10.75" style="2" customWidth="1"/>
    <col min="2" max="2" width="11.125" style="2" customWidth="1"/>
    <col min="3" max="3" width="20.375" style="2" bestFit="1" customWidth="1"/>
    <col min="4" max="4" width="42.125" style="2" bestFit="1" customWidth="1"/>
    <col min="5" max="5" width="27.5" style="2" customWidth="1"/>
    <col min="6" max="6" width="30.25" style="142" customWidth="1"/>
    <col min="7" max="7" width="43.87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51" x14ac:dyDescent="0.2">
      <c r="A1" s="169" t="s">
        <v>49</v>
      </c>
      <c r="B1" s="169" t="s">
        <v>50</v>
      </c>
      <c r="C1" s="169" t="s">
        <v>54</v>
      </c>
      <c r="D1" s="169" t="s">
        <v>108</v>
      </c>
      <c r="E1" s="169" t="s">
        <v>109</v>
      </c>
      <c r="F1" s="169" t="s">
        <v>110</v>
      </c>
      <c r="G1" s="169" t="s">
        <v>111</v>
      </c>
      <c r="H1" s="169" t="s">
        <v>112</v>
      </c>
      <c r="I1" s="169" t="s">
        <v>113</v>
      </c>
      <c r="J1" s="169" t="s">
        <v>59</v>
      </c>
      <c r="K1" s="169" t="s">
        <v>191</v>
      </c>
      <c r="L1" s="169" t="s">
        <v>192</v>
      </c>
      <c r="M1" s="169" t="s">
        <v>193</v>
      </c>
      <c r="N1" s="169" t="s">
        <v>194</v>
      </c>
      <c r="O1" s="169" t="s">
        <v>195</v>
      </c>
      <c r="P1" s="169" t="s">
        <v>196</v>
      </c>
      <c r="Q1" s="169" t="s">
        <v>197</v>
      </c>
      <c r="R1" s="102"/>
      <c r="S1" s="102"/>
      <c r="T1" s="102"/>
      <c r="U1" s="102"/>
      <c r="V1" s="102"/>
    </row>
    <row r="2" spans="1:22" ht="14.1" customHeight="1" x14ac:dyDescent="0.2">
      <c r="A2" t="s">
        <v>1204</v>
      </c>
      <c r="B2" t="s">
        <v>1204</v>
      </c>
      <c r="C2" s="102" t="s">
        <v>1005</v>
      </c>
      <c r="D2" t="s">
        <v>2516</v>
      </c>
      <c r="E2">
        <v>550274542</v>
      </c>
      <c r="F2" t="s">
        <v>310</v>
      </c>
      <c r="G2" t="s">
        <v>2417</v>
      </c>
      <c r="H2">
        <v>18986</v>
      </c>
      <c r="I2" t="s">
        <v>312</v>
      </c>
      <c r="J2" t="s">
        <v>1208</v>
      </c>
      <c r="K2" s="143">
        <v>43090</v>
      </c>
      <c r="L2" s="132">
        <v>50000000</v>
      </c>
      <c r="M2" s="132">
        <v>50000</v>
      </c>
      <c r="N2" s="132">
        <v>7218031</v>
      </c>
      <c r="O2" s="132">
        <v>7218.0309999999999</v>
      </c>
      <c r="P2" s="147">
        <v>0.14436062</v>
      </c>
      <c r="Q2" s="134">
        <v>46752</v>
      </c>
      <c r="R2" s="102"/>
      <c r="S2" s="102"/>
      <c r="T2" s="102"/>
      <c r="U2" s="102"/>
      <c r="V2" s="16"/>
    </row>
    <row r="3" spans="1:22" ht="14.1" customHeight="1" x14ac:dyDescent="0.2">
      <c r="A3" t="s">
        <v>1204</v>
      </c>
      <c r="B3" t="s">
        <v>1204</v>
      </c>
      <c r="C3" s="102" t="s">
        <v>1005</v>
      </c>
      <c r="D3" t="s">
        <v>2517</v>
      </c>
      <c r="E3">
        <v>540306594</v>
      </c>
      <c r="F3" t="s">
        <v>310</v>
      </c>
      <c r="G3" t="s">
        <v>2454</v>
      </c>
      <c r="H3">
        <v>18987</v>
      </c>
      <c r="I3" t="s">
        <v>312</v>
      </c>
      <c r="J3" t="s">
        <v>1208</v>
      </c>
      <c r="K3" s="143">
        <v>44468</v>
      </c>
      <c r="L3" s="132">
        <v>35000000</v>
      </c>
      <c r="M3" s="132">
        <v>35000</v>
      </c>
      <c r="N3" s="132">
        <v>12667979</v>
      </c>
      <c r="O3" s="132">
        <v>12667.978999999999</v>
      </c>
      <c r="P3" s="147">
        <v>0.3619422571428571</v>
      </c>
      <c r="Q3" s="134">
        <v>48030</v>
      </c>
      <c r="R3" s="102"/>
      <c r="S3" s="102"/>
      <c r="T3" s="102"/>
      <c r="U3" s="102"/>
      <c r="V3" s="16"/>
    </row>
    <row r="4" spans="1:22" ht="13.5" customHeight="1" x14ac:dyDescent="0.2">
      <c r="A4" t="s">
        <v>1204</v>
      </c>
      <c r="B4" t="s">
        <v>1204</v>
      </c>
      <c r="C4" s="102" t="s">
        <v>1005</v>
      </c>
      <c r="D4" t="s">
        <v>2518</v>
      </c>
      <c r="E4" t="s">
        <v>2445</v>
      </c>
      <c r="F4" t="s">
        <v>309</v>
      </c>
      <c r="G4" t="s">
        <v>2446</v>
      </c>
      <c r="H4">
        <v>26435</v>
      </c>
      <c r="I4" t="s">
        <v>312</v>
      </c>
      <c r="J4" t="s">
        <v>1208</v>
      </c>
      <c r="K4" s="143">
        <v>40112</v>
      </c>
      <c r="L4" s="132">
        <v>96388659</v>
      </c>
      <c r="M4" s="132">
        <v>96388.659</v>
      </c>
      <c r="N4" s="132">
        <v>478518</v>
      </c>
      <c r="O4" s="132">
        <v>478.51799999999997</v>
      </c>
      <c r="P4" s="147">
        <v>4.9644637135163377E-3</v>
      </c>
      <c r="Q4" s="134">
        <v>43976</v>
      </c>
      <c r="R4" s="102"/>
      <c r="S4" s="102"/>
      <c r="T4" s="102"/>
      <c r="U4" s="102"/>
      <c r="V4" s="16"/>
    </row>
    <row r="5" spans="1:22" ht="13.5" customHeight="1" x14ac:dyDescent="0.2">
      <c r="A5" t="s">
        <v>1204</v>
      </c>
      <c r="B5" t="s">
        <v>1204</v>
      </c>
      <c r="C5" s="102" t="s">
        <v>1005</v>
      </c>
      <c r="D5" t="s">
        <v>2519</v>
      </c>
      <c r="E5">
        <v>514607670</v>
      </c>
      <c r="F5" t="s">
        <v>309</v>
      </c>
      <c r="G5" t="s">
        <v>2425</v>
      </c>
      <c r="H5">
        <v>32698</v>
      </c>
      <c r="I5" t="s">
        <v>312</v>
      </c>
      <c r="J5" t="s">
        <v>1208</v>
      </c>
      <c r="K5" s="143">
        <v>40707</v>
      </c>
      <c r="L5" s="132">
        <v>18750417</v>
      </c>
      <c r="M5" s="132">
        <v>18750.417000000001</v>
      </c>
      <c r="N5" s="132">
        <v>0</v>
      </c>
      <c r="O5" s="132">
        <v>0</v>
      </c>
      <c r="P5" s="147">
        <v>0</v>
      </c>
      <c r="Q5" s="134">
        <v>40705</v>
      </c>
      <c r="R5" s="102"/>
      <c r="S5" s="102"/>
      <c r="T5" s="102"/>
      <c r="U5" s="102"/>
      <c r="V5" s="16"/>
    </row>
    <row r="6" spans="1:22" ht="14.1" customHeight="1" x14ac:dyDescent="0.2">
      <c r="A6" t="s">
        <v>1204</v>
      </c>
      <c r="B6" t="s">
        <v>1204</v>
      </c>
      <c r="C6" s="102" t="s">
        <v>1005</v>
      </c>
      <c r="D6" t="s">
        <v>2520</v>
      </c>
      <c r="E6" t="s">
        <v>2448</v>
      </c>
      <c r="F6" t="s">
        <v>309</v>
      </c>
      <c r="G6" t="s">
        <v>2449</v>
      </c>
      <c r="H6">
        <v>33000</v>
      </c>
      <c r="I6" t="s">
        <v>312</v>
      </c>
      <c r="J6" t="s">
        <v>1208</v>
      </c>
      <c r="K6" s="143">
        <v>40906</v>
      </c>
      <c r="L6" s="132">
        <v>20000000</v>
      </c>
      <c r="M6" s="132">
        <v>20000</v>
      </c>
      <c r="N6" s="132">
        <v>809314</v>
      </c>
      <c r="O6" s="132">
        <v>809.31399999999996</v>
      </c>
      <c r="P6" s="147">
        <v>4.04657E-2</v>
      </c>
      <c r="Q6" s="134">
        <v>44682</v>
      </c>
      <c r="R6" s="102"/>
      <c r="S6" s="102"/>
      <c r="T6" s="102"/>
      <c r="U6" s="102"/>
      <c r="V6" s="16"/>
    </row>
    <row r="7" spans="1:22" ht="14.1" customHeight="1" x14ac:dyDescent="0.2">
      <c r="A7" t="s">
        <v>1204</v>
      </c>
      <c r="B7" t="s">
        <v>1204</v>
      </c>
      <c r="C7" s="102" t="s">
        <v>1005</v>
      </c>
      <c r="D7" t="s">
        <v>2520</v>
      </c>
      <c r="E7" t="s">
        <v>2448</v>
      </c>
      <c r="F7" t="s">
        <v>309</v>
      </c>
      <c r="G7" t="s">
        <v>2455</v>
      </c>
      <c r="H7">
        <v>36764</v>
      </c>
      <c r="I7" t="s">
        <v>312</v>
      </c>
      <c r="J7" t="s">
        <v>1208</v>
      </c>
      <c r="K7" s="143">
        <v>42187</v>
      </c>
      <c r="L7" s="132">
        <v>34395318</v>
      </c>
      <c r="M7" s="132">
        <v>34395.317999999999</v>
      </c>
      <c r="N7" s="132">
        <v>3452313</v>
      </c>
      <c r="O7" s="132">
        <v>3452.3130000000001</v>
      </c>
      <c r="P7" s="147">
        <v>0.10037159708771991</v>
      </c>
      <c r="Q7" s="134">
        <v>46387</v>
      </c>
      <c r="R7" s="102"/>
      <c r="S7" s="102"/>
      <c r="T7" s="102"/>
      <c r="U7" s="102"/>
      <c r="V7" s="16"/>
    </row>
    <row r="8" spans="1:22" ht="14.1" customHeight="1" x14ac:dyDescent="0.2">
      <c r="A8" t="s">
        <v>1204</v>
      </c>
      <c r="B8" t="s">
        <v>1204</v>
      </c>
      <c r="C8" s="102" t="s">
        <v>1004</v>
      </c>
      <c r="D8" t="s">
        <v>2521</v>
      </c>
      <c r="E8">
        <v>550260061</v>
      </c>
      <c r="F8" t="s">
        <v>310</v>
      </c>
      <c r="G8" t="s">
        <v>2396</v>
      </c>
      <c r="H8">
        <v>37879</v>
      </c>
      <c r="I8" t="s">
        <v>312</v>
      </c>
      <c r="J8" t="s">
        <v>1208</v>
      </c>
      <c r="K8" s="143">
        <v>42185</v>
      </c>
      <c r="L8" s="132">
        <v>30000000</v>
      </c>
      <c r="M8" s="132">
        <v>30000</v>
      </c>
      <c r="N8" s="132">
        <v>5250000</v>
      </c>
      <c r="O8" s="132">
        <v>5250</v>
      </c>
      <c r="P8" s="147">
        <v>0.17499999999999999</v>
      </c>
      <c r="Q8" s="134">
        <v>45822</v>
      </c>
      <c r="R8" s="102"/>
      <c r="S8" s="102"/>
      <c r="T8" s="102"/>
      <c r="U8" s="102"/>
      <c r="V8" s="16"/>
    </row>
    <row r="9" spans="1:22" ht="14.1" customHeight="1" x14ac:dyDescent="0.2">
      <c r="A9" t="s">
        <v>1204</v>
      </c>
      <c r="B9" t="s">
        <v>1204</v>
      </c>
      <c r="C9" s="102" t="s">
        <v>1002</v>
      </c>
      <c r="D9" t="s">
        <v>1976</v>
      </c>
      <c r="E9">
        <v>550254650</v>
      </c>
      <c r="F9" t="s">
        <v>309</v>
      </c>
      <c r="G9" t="s">
        <v>2390</v>
      </c>
      <c r="H9">
        <v>40022</v>
      </c>
      <c r="I9" t="s">
        <v>312</v>
      </c>
      <c r="J9" t="s">
        <v>1208</v>
      </c>
      <c r="K9" s="143">
        <v>43089</v>
      </c>
      <c r="L9" s="132">
        <v>49999994.5</v>
      </c>
      <c r="M9" s="132">
        <v>49999.994500000001</v>
      </c>
      <c r="N9" s="132">
        <v>10579152.100000001</v>
      </c>
      <c r="O9" s="132">
        <v>10579.152100000001</v>
      </c>
      <c r="P9" s="147">
        <v>0.2115830652741372</v>
      </c>
      <c r="Q9" s="134">
        <v>43089</v>
      </c>
      <c r="R9" s="102"/>
      <c r="S9" s="102"/>
      <c r="T9" s="102"/>
      <c r="U9" s="102"/>
      <c r="V9" s="16"/>
    </row>
    <row r="10" spans="1:22" ht="14.1" customHeight="1" x14ac:dyDescent="0.2">
      <c r="A10" t="s">
        <v>1204</v>
      </c>
      <c r="B10" t="s">
        <v>1204</v>
      </c>
      <c r="C10" s="102" t="s">
        <v>1005</v>
      </c>
      <c r="D10" t="s">
        <v>2522</v>
      </c>
      <c r="E10">
        <v>515366425</v>
      </c>
      <c r="F10" t="s">
        <v>310</v>
      </c>
      <c r="G10" t="s">
        <v>2441</v>
      </c>
      <c r="H10">
        <v>45963</v>
      </c>
      <c r="I10" t="s">
        <v>312</v>
      </c>
      <c r="J10" t="s">
        <v>1208</v>
      </c>
      <c r="K10" s="143">
        <v>42983</v>
      </c>
      <c r="L10" s="132">
        <v>10000000</v>
      </c>
      <c r="M10" s="132">
        <v>10000</v>
      </c>
      <c r="N10" s="132">
        <v>8581358</v>
      </c>
      <c r="O10" s="132">
        <v>8581.3580000000002</v>
      </c>
      <c r="P10" s="147">
        <v>0.8581358</v>
      </c>
      <c r="Q10" s="134">
        <v>47391</v>
      </c>
      <c r="R10" s="102"/>
      <c r="S10" s="102"/>
      <c r="T10" s="102"/>
      <c r="U10" s="102"/>
      <c r="V10" s="16"/>
    </row>
    <row r="11" spans="1:22" ht="14.1" customHeight="1" x14ac:dyDescent="0.2">
      <c r="A11" t="s">
        <v>1204</v>
      </c>
      <c r="B11" t="s">
        <v>1204</v>
      </c>
      <c r="C11" s="102" t="s">
        <v>1005</v>
      </c>
      <c r="D11" t="s">
        <v>2522</v>
      </c>
      <c r="E11">
        <v>515366425</v>
      </c>
      <c r="F11" t="s">
        <v>310</v>
      </c>
      <c r="G11" t="s">
        <v>2435</v>
      </c>
      <c r="H11">
        <v>47803</v>
      </c>
      <c r="I11" t="s">
        <v>312</v>
      </c>
      <c r="J11" t="s">
        <v>1208</v>
      </c>
      <c r="K11" s="143">
        <v>42884</v>
      </c>
      <c r="L11" s="132">
        <v>20000000</v>
      </c>
      <c r="M11" s="132">
        <v>20000</v>
      </c>
      <c r="N11" s="132">
        <v>8843622</v>
      </c>
      <c r="O11" s="132">
        <v>8843.6219999999994</v>
      </c>
      <c r="P11" s="147">
        <v>0.44218109999999999</v>
      </c>
      <c r="Q11" s="134">
        <v>46843</v>
      </c>
      <c r="R11" s="102"/>
      <c r="S11" s="102"/>
      <c r="T11" s="102"/>
      <c r="U11" s="102"/>
      <c r="V11" s="102"/>
    </row>
    <row r="12" spans="1:22" ht="14.1" customHeight="1" x14ac:dyDescent="0.2">
      <c r="A12" t="s">
        <v>1204</v>
      </c>
      <c r="B12" t="s">
        <v>1204</v>
      </c>
      <c r="C12" s="102" t="s">
        <v>1004</v>
      </c>
      <c r="D12" t="s">
        <v>2523</v>
      </c>
      <c r="E12">
        <v>550257117</v>
      </c>
      <c r="F12" t="s">
        <v>310</v>
      </c>
      <c r="G12" t="s">
        <v>2408</v>
      </c>
      <c r="H12">
        <v>78949</v>
      </c>
      <c r="I12" t="s">
        <v>312</v>
      </c>
      <c r="J12" t="s">
        <v>1208</v>
      </c>
      <c r="K12" s="143">
        <v>42019</v>
      </c>
      <c r="L12" s="132">
        <v>25000000</v>
      </c>
      <c r="M12" s="132">
        <v>25000</v>
      </c>
      <c r="N12" s="132">
        <v>5457927</v>
      </c>
      <c r="O12" s="132">
        <v>5457.9269999999997</v>
      </c>
      <c r="P12" s="147">
        <v>0.21831708</v>
      </c>
      <c r="Q12" s="134">
        <v>45261</v>
      </c>
      <c r="R12" s="102"/>
      <c r="S12" s="102"/>
      <c r="T12" s="102"/>
      <c r="U12" s="102"/>
      <c r="V12" s="102"/>
    </row>
    <row r="13" spans="1:22" ht="14.1" customHeight="1" x14ac:dyDescent="0.2">
      <c r="A13" t="s">
        <v>1204</v>
      </c>
      <c r="B13" t="s">
        <v>1204</v>
      </c>
      <c r="C13" s="102" t="s">
        <v>1004</v>
      </c>
      <c r="D13" t="s">
        <v>2524</v>
      </c>
      <c r="E13">
        <v>550257117</v>
      </c>
      <c r="F13" t="s">
        <v>310</v>
      </c>
      <c r="G13" t="s">
        <v>2407</v>
      </c>
      <c r="H13">
        <v>78964</v>
      </c>
      <c r="I13" t="s">
        <v>312</v>
      </c>
      <c r="J13" t="s">
        <v>1208</v>
      </c>
      <c r="K13" s="143">
        <v>42690</v>
      </c>
      <c r="L13" s="132">
        <v>40000000</v>
      </c>
      <c r="M13" s="132">
        <v>40000</v>
      </c>
      <c r="N13" s="132">
        <v>15400637</v>
      </c>
      <c r="O13" s="132">
        <v>15400.637000000001</v>
      </c>
      <c r="P13" s="147">
        <v>0.38501592500000004</v>
      </c>
      <c r="Q13" s="134">
        <v>44845</v>
      </c>
      <c r="R13" s="102"/>
      <c r="S13" s="102"/>
      <c r="T13" s="102"/>
      <c r="U13" s="102"/>
      <c r="V13" s="102"/>
    </row>
    <row r="14" spans="1:22" ht="14.1" customHeight="1" x14ac:dyDescent="0.2">
      <c r="A14" t="s">
        <v>1204</v>
      </c>
      <c r="B14" t="s">
        <v>1204</v>
      </c>
      <c r="C14" s="102" t="s">
        <v>1004</v>
      </c>
      <c r="D14" t="s">
        <v>2525</v>
      </c>
      <c r="E14">
        <v>550274807</v>
      </c>
      <c r="F14" t="s">
        <v>310</v>
      </c>
      <c r="G14" t="s">
        <v>2403</v>
      </c>
      <c r="H14">
        <v>79012</v>
      </c>
      <c r="I14" t="s">
        <v>312</v>
      </c>
      <c r="J14" t="s">
        <v>1208</v>
      </c>
      <c r="K14" s="143">
        <v>43132</v>
      </c>
      <c r="L14" s="132">
        <v>40000000</v>
      </c>
      <c r="M14" s="132">
        <v>40000</v>
      </c>
      <c r="N14" s="132">
        <v>5191742</v>
      </c>
      <c r="O14" s="132">
        <v>5191.7420000000002</v>
      </c>
      <c r="P14" s="147">
        <v>0.12979355000000001</v>
      </c>
      <c r="Q14" s="134">
        <v>46023</v>
      </c>
      <c r="R14" s="102"/>
      <c r="S14" s="102"/>
      <c r="T14" s="102"/>
      <c r="U14" s="102"/>
      <c r="V14" s="102"/>
    </row>
    <row r="15" spans="1:22" ht="14.1" customHeight="1" x14ac:dyDescent="0.2">
      <c r="A15" t="s">
        <v>1204</v>
      </c>
      <c r="B15" t="s">
        <v>1204</v>
      </c>
      <c r="C15" s="102" t="s">
        <v>1004</v>
      </c>
      <c r="D15" t="s">
        <v>2521</v>
      </c>
      <c r="E15">
        <v>540287240</v>
      </c>
      <c r="F15" t="s">
        <v>310</v>
      </c>
      <c r="G15" t="s">
        <v>2394</v>
      </c>
      <c r="H15">
        <v>50000652</v>
      </c>
      <c r="I15" t="s">
        <v>312</v>
      </c>
      <c r="J15" t="s">
        <v>1208</v>
      </c>
      <c r="K15" s="143">
        <v>43614</v>
      </c>
      <c r="L15" s="132">
        <v>40000000</v>
      </c>
      <c r="M15" s="132">
        <v>40000</v>
      </c>
      <c r="N15" s="132">
        <v>4600000</v>
      </c>
      <c r="O15" s="132">
        <v>4600</v>
      </c>
      <c r="P15" s="147">
        <v>0.115</v>
      </c>
      <c r="Q15" s="134">
        <v>47573</v>
      </c>
      <c r="R15" s="102"/>
      <c r="S15" s="102"/>
      <c r="T15" s="102"/>
      <c r="U15" s="102"/>
      <c r="V15" s="102"/>
    </row>
    <row r="16" spans="1:22" ht="14.1" customHeight="1" x14ac:dyDescent="0.2">
      <c r="A16" t="s">
        <v>1204</v>
      </c>
      <c r="B16" t="s">
        <v>1204</v>
      </c>
      <c r="C16" s="102" t="s">
        <v>1004</v>
      </c>
      <c r="D16" t="s">
        <v>2526</v>
      </c>
      <c r="E16">
        <v>540290103</v>
      </c>
      <c r="F16" t="s">
        <v>310</v>
      </c>
      <c r="G16" t="s">
        <v>2402</v>
      </c>
      <c r="H16">
        <v>50000892</v>
      </c>
      <c r="I16" t="s">
        <v>312</v>
      </c>
      <c r="J16" t="s">
        <v>1208</v>
      </c>
      <c r="K16" s="143">
        <v>43803</v>
      </c>
      <c r="L16" s="132">
        <v>40000000</v>
      </c>
      <c r="M16" s="132">
        <v>40000</v>
      </c>
      <c r="N16" s="132">
        <v>13237386</v>
      </c>
      <c r="O16" s="132">
        <v>13237.386</v>
      </c>
      <c r="P16" s="147">
        <v>0.33093465</v>
      </c>
      <c r="Q16" s="134">
        <v>47057</v>
      </c>
      <c r="R16" s="102"/>
      <c r="S16" s="102"/>
      <c r="T16" s="102"/>
      <c r="U16" s="102"/>
      <c r="V16" s="102"/>
    </row>
    <row r="17" spans="1:17" ht="14.1" customHeight="1" x14ac:dyDescent="0.2">
      <c r="A17" t="s">
        <v>1204</v>
      </c>
      <c r="B17" t="s">
        <v>1204</v>
      </c>
      <c r="C17" s="2" t="s">
        <v>1004</v>
      </c>
      <c r="D17" t="s">
        <v>2527</v>
      </c>
      <c r="E17">
        <v>60388022</v>
      </c>
      <c r="F17" t="s">
        <v>311</v>
      </c>
      <c r="G17" t="s">
        <v>2404</v>
      </c>
      <c r="H17">
        <v>60388022</v>
      </c>
      <c r="I17" t="s">
        <v>312</v>
      </c>
      <c r="J17" t="s">
        <v>1209</v>
      </c>
      <c r="K17" s="143">
        <v>42157</v>
      </c>
      <c r="L17" s="132">
        <v>5000000</v>
      </c>
      <c r="M17" s="132">
        <v>18795</v>
      </c>
      <c r="N17" s="132">
        <v>0</v>
      </c>
      <c r="O17" s="132">
        <v>0</v>
      </c>
      <c r="P17" s="147">
        <v>0</v>
      </c>
      <c r="Q17" s="134">
        <v>42157</v>
      </c>
    </row>
    <row r="18" spans="1:17" ht="14.1" customHeight="1" x14ac:dyDescent="0.2">
      <c r="A18" t="s">
        <v>1204</v>
      </c>
      <c r="B18" t="s">
        <v>1204</v>
      </c>
      <c r="C18" s="2" t="s">
        <v>1005</v>
      </c>
      <c r="D18" t="s">
        <v>2528</v>
      </c>
      <c r="E18">
        <v>500446794</v>
      </c>
      <c r="F18" t="s">
        <v>310</v>
      </c>
      <c r="G18" t="s">
        <v>2459</v>
      </c>
      <c r="H18">
        <v>60397874</v>
      </c>
      <c r="I18" t="s">
        <v>312</v>
      </c>
      <c r="J18" t="s">
        <v>1209</v>
      </c>
      <c r="K18" s="143">
        <v>42355</v>
      </c>
      <c r="L18" s="132">
        <v>7000000</v>
      </c>
      <c r="M18" s="132">
        <v>26313</v>
      </c>
      <c r="N18" s="132">
        <v>1719361.9699999997</v>
      </c>
      <c r="O18" s="132">
        <v>6463.0816452299987</v>
      </c>
      <c r="P18" s="147">
        <v>0.24562313857142853</v>
      </c>
      <c r="Q18" s="134">
        <v>46898</v>
      </c>
    </row>
    <row r="19" spans="1:17" ht="14.1" customHeight="1" x14ac:dyDescent="0.2">
      <c r="A19" t="s">
        <v>1204</v>
      </c>
      <c r="B19" t="s">
        <v>1204</v>
      </c>
      <c r="C19" s="2" t="s">
        <v>1005</v>
      </c>
      <c r="D19" t="s">
        <v>2529</v>
      </c>
      <c r="E19">
        <v>500451760</v>
      </c>
      <c r="F19" t="s">
        <v>310</v>
      </c>
      <c r="G19" t="s">
        <v>2458</v>
      </c>
      <c r="H19">
        <v>60401700</v>
      </c>
      <c r="I19" t="s">
        <v>312</v>
      </c>
      <c r="J19" t="s">
        <v>1209</v>
      </c>
      <c r="K19" s="143">
        <v>42425</v>
      </c>
      <c r="L19" s="132">
        <v>5000000</v>
      </c>
      <c r="M19" s="132">
        <v>18795</v>
      </c>
      <c r="N19" s="132">
        <v>325000</v>
      </c>
      <c r="O19" s="132">
        <v>1221.675</v>
      </c>
      <c r="P19" s="147">
        <v>6.5000000000000002E-2</v>
      </c>
      <c r="Q19" s="134">
        <v>47211</v>
      </c>
    </row>
    <row r="20" spans="1:17" ht="14.1" customHeight="1" x14ac:dyDescent="0.2">
      <c r="A20" t="s">
        <v>1204</v>
      </c>
      <c r="B20" t="s">
        <v>1204</v>
      </c>
      <c r="C20" s="2" t="s">
        <v>1004</v>
      </c>
      <c r="D20" t="s">
        <v>2530</v>
      </c>
      <c r="E20" t="s">
        <v>2598</v>
      </c>
      <c r="F20" t="s">
        <v>311</v>
      </c>
      <c r="G20" t="s">
        <v>2391</v>
      </c>
      <c r="H20">
        <v>60415619</v>
      </c>
      <c r="I20" t="s">
        <v>312</v>
      </c>
      <c r="J20" t="s">
        <v>1209</v>
      </c>
      <c r="K20" s="137">
        <v>42650</v>
      </c>
      <c r="L20" s="132">
        <v>10000000</v>
      </c>
      <c r="M20" s="132">
        <v>37590</v>
      </c>
      <c r="N20" s="132">
        <v>219004</v>
      </c>
      <c r="O20" s="132">
        <v>823.23603600000001</v>
      </c>
      <c r="P20" s="147">
        <v>2.19004E-2</v>
      </c>
      <c r="Q20" s="134">
        <v>46387</v>
      </c>
    </row>
    <row r="21" spans="1:17" ht="14.1" customHeight="1" x14ac:dyDescent="0.2">
      <c r="A21" t="s">
        <v>1204</v>
      </c>
      <c r="B21" t="s">
        <v>1204</v>
      </c>
      <c r="C21" s="2" t="s">
        <v>1005</v>
      </c>
      <c r="D21" t="s">
        <v>1849</v>
      </c>
      <c r="E21">
        <v>550257414</v>
      </c>
      <c r="F21" t="s">
        <v>310</v>
      </c>
      <c r="G21" t="s">
        <v>2416</v>
      </c>
      <c r="H21">
        <v>60419868</v>
      </c>
      <c r="I21" t="s">
        <v>312</v>
      </c>
      <c r="J21" t="s">
        <v>1209</v>
      </c>
      <c r="K21" s="137">
        <v>42724</v>
      </c>
      <c r="L21" s="132">
        <v>10000000</v>
      </c>
      <c r="M21" s="132">
        <v>37590</v>
      </c>
      <c r="N21" s="132">
        <v>0</v>
      </c>
      <c r="O21" s="132">
        <v>0</v>
      </c>
      <c r="P21" s="147">
        <v>0</v>
      </c>
      <c r="Q21" s="134">
        <v>42724</v>
      </c>
    </row>
    <row r="22" spans="1:17" ht="14.1" customHeight="1" x14ac:dyDescent="0.2">
      <c r="A22" t="s">
        <v>1204</v>
      </c>
      <c r="B22" t="s">
        <v>1204</v>
      </c>
      <c r="C22" s="2" t="s">
        <v>1004</v>
      </c>
      <c r="D22" t="s">
        <v>2527</v>
      </c>
      <c r="E22">
        <v>62000073</v>
      </c>
      <c r="F22" t="s">
        <v>311</v>
      </c>
      <c r="G22" t="s">
        <v>2400</v>
      </c>
      <c r="H22">
        <v>62000073</v>
      </c>
      <c r="I22" t="s">
        <v>312</v>
      </c>
      <c r="J22" t="s">
        <v>1209</v>
      </c>
      <c r="K22" s="137">
        <v>42758</v>
      </c>
      <c r="L22" s="132">
        <v>12500000</v>
      </c>
      <c r="M22" s="132">
        <v>46987.5</v>
      </c>
      <c r="N22" s="132">
        <v>354646</v>
      </c>
      <c r="O22" s="132">
        <v>1333.1143139999999</v>
      </c>
      <c r="P22" s="147">
        <v>2.837168E-2</v>
      </c>
      <c r="Q22" s="134">
        <v>46919</v>
      </c>
    </row>
    <row r="23" spans="1:17" ht="14.1" customHeight="1" x14ac:dyDescent="0.2">
      <c r="A23" t="s">
        <v>1204</v>
      </c>
      <c r="B23" t="s">
        <v>1204</v>
      </c>
      <c r="C23" s="2" t="s">
        <v>1000</v>
      </c>
      <c r="D23" t="s">
        <v>2531</v>
      </c>
      <c r="E23">
        <v>550263511</v>
      </c>
      <c r="F23" t="s">
        <v>310</v>
      </c>
      <c r="G23" t="s">
        <v>2379</v>
      </c>
      <c r="H23">
        <v>62001526</v>
      </c>
      <c r="I23" t="s">
        <v>312</v>
      </c>
      <c r="J23" t="s">
        <v>1209</v>
      </c>
      <c r="K23" s="137">
        <v>42856</v>
      </c>
      <c r="L23" s="132">
        <v>8000000</v>
      </c>
      <c r="M23" s="132">
        <v>30072</v>
      </c>
      <c r="N23" s="132">
        <v>286081</v>
      </c>
      <c r="O23" s="132">
        <v>1075.378479</v>
      </c>
      <c r="P23" s="147">
        <v>3.5760124999999997E-2</v>
      </c>
      <c r="Q23" s="134">
        <v>46173</v>
      </c>
    </row>
    <row r="24" spans="1:17" ht="14.1" customHeight="1" x14ac:dyDescent="0.2">
      <c r="A24" t="s">
        <v>1204</v>
      </c>
      <c r="B24" t="s">
        <v>1204</v>
      </c>
      <c r="C24" s="2" t="s">
        <v>1005</v>
      </c>
      <c r="D24" t="s">
        <v>2532</v>
      </c>
      <c r="E24">
        <v>5291135631</v>
      </c>
      <c r="F24" t="s">
        <v>311</v>
      </c>
      <c r="G24" t="s">
        <v>2434</v>
      </c>
      <c r="H24">
        <v>62002339</v>
      </c>
      <c r="I24" t="s">
        <v>312</v>
      </c>
      <c r="J24" t="s">
        <v>1209</v>
      </c>
      <c r="K24" s="137">
        <v>42926</v>
      </c>
      <c r="L24" s="132">
        <v>10000000</v>
      </c>
      <c r="M24" s="132">
        <v>37590</v>
      </c>
      <c r="N24" s="132">
        <v>2034596</v>
      </c>
      <c r="O24" s="132">
        <v>7648.0463639999998</v>
      </c>
      <c r="P24" s="147">
        <v>0.20345959999999999</v>
      </c>
      <c r="Q24" s="134">
        <v>45443</v>
      </c>
    </row>
    <row r="25" spans="1:17" ht="14.1" customHeight="1" x14ac:dyDescent="0.2">
      <c r="A25" t="s">
        <v>1204</v>
      </c>
      <c r="B25" t="s">
        <v>1204</v>
      </c>
      <c r="C25" s="2" t="s">
        <v>1004</v>
      </c>
      <c r="D25" t="s">
        <v>2533</v>
      </c>
      <c r="E25" t="s">
        <v>2599</v>
      </c>
      <c r="F25" t="s">
        <v>310</v>
      </c>
      <c r="G25" t="s">
        <v>2395</v>
      </c>
      <c r="H25">
        <v>62002348</v>
      </c>
      <c r="I25" t="s">
        <v>312</v>
      </c>
      <c r="J25" t="s">
        <v>1211</v>
      </c>
      <c r="K25" s="137">
        <v>42926</v>
      </c>
      <c r="L25" s="132">
        <v>8000000</v>
      </c>
      <c r="M25" s="132">
        <v>32161.599999999999</v>
      </c>
      <c r="N25" s="132">
        <v>0</v>
      </c>
      <c r="O25" s="132">
        <v>0</v>
      </c>
      <c r="P25" s="147">
        <v>0</v>
      </c>
      <c r="Q25" s="134">
        <v>46752</v>
      </c>
    </row>
    <row r="26" spans="1:17" ht="14.1" customHeight="1" x14ac:dyDescent="0.2">
      <c r="A26" t="s">
        <v>1204</v>
      </c>
      <c r="B26" t="s">
        <v>1204</v>
      </c>
      <c r="C26" s="2" t="s">
        <v>1005</v>
      </c>
      <c r="D26" t="s">
        <v>2534</v>
      </c>
      <c r="E26" t="s">
        <v>2600</v>
      </c>
      <c r="F26" t="s">
        <v>311</v>
      </c>
      <c r="G26" t="s">
        <v>2409</v>
      </c>
      <c r="H26">
        <v>62004408</v>
      </c>
      <c r="I26" t="s">
        <v>312</v>
      </c>
      <c r="J26" t="s">
        <v>1209</v>
      </c>
      <c r="K26" s="137">
        <v>43073</v>
      </c>
      <c r="L26" s="132">
        <v>15000000</v>
      </c>
      <c r="M26" s="132">
        <v>56385</v>
      </c>
      <c r="N26" s="132">
        <v>1377511.8800000008</v>
      </c>
      <c r="O26" s="132">
        <v>5178.0671569200031</v>
      </c>
      <c r="P26" s="147">
        <v>9.1834125333333391E-2</v>
      </c>
      <c r="Q26" s="134">
        <v>47634</v>
      </c>
    </row>
    <row r="27" spans="1:17" ht="14.1" customHeight="1" x14ac:dyDescent="0.2">
      <c r="A27" t="s">
        <v>1204</v>
      </c>
      <c r="B27" t="s">
        <v>1204</v>
      </c>
      <c r="C27" s="2" t="s">
        <v>1000</v>
      </c>
      <c r="D27" t="s">
        <v>2535</v>
      </c>
      <c r="E27">
        <v>500454707</v>
      </c>
      <c r="F27" t="s">
        <v>310</v>
      </c>
      <c r="G27" t="s">
        <v>2388</v>
      </c>
      <c r="H27">
        <v>62004783</v>
      </c>
      <c r="I27" t="s">
        <v>312</v>
      </c>
      <c r="J27" t="s">
        <v>1209</v>
      </c>
      <c r="K27" s="137">
        <v>43102</v>
      </c>
      <c r="L27" s="132">
        <v>5000000</v>
      </c>
      <c r="M27" s="132">
        <v>18795</v>
      </c>
      <c r="N27" s="132">
        <v>112500</v>
      </c>
      <c r="O27" s="132">
        <v>422.88749999999999</v>
      </c>
      <c r="P27" s="147">
        <v>2.2499999999999999E-2</v>
      </c>
      <c r="Q27" s="134">
        <v>46752</v>
      </c>
    </row>
    <row r="28" spans="1:17" ht="14.1" customHeight="1" x14ac:dyDescent="0.2">
      <c r="A28" t="s">
        <v>1204</v>
      </c>
      <c r="B28" t="s">
        <v>1204</v>
      </c>
      <c r="C28" s="2" t="s">
        <v>1005</v>
      </c>
      <c r="D28" t="s">
        <v>2536</v>
      </c>
      <c r="E28">
        <v>550262539</v>
      </c>
      <c r="F28" t="s">
        <v>309</v>
      </c>
      <c r="G28" t="s">
        <v>2422</v>
      </c>
      <c r="H28">
        <v>62005715</v>
      </c>
      <c r="I28" t="s">
        <v>312</v>
      </c>
      <c r="J28" t="s">
        <v>1211</v>
      </c>
      <c r="K28" s="137">
        <v>43152</v>
      </c>
      <c r="L28" s="132">
        <v>8000000</v>
      </c>
      <c r="M28" s="132">
        <v>32161.599999999999</v>
      </c>
      <c r="N28" s="132">
        <v>0</v>
      </c>
      <c r="O28" s="132">
        <v>0</v>
      </c>
      <c r="P28" s="147">
        <v>0</v>
      </c>
      <c r="Q28" s="134">
        <v>47507</v>
      </c>
    </row>
    <row r="29" spans="1:17" ht="14.1" customHeight="1" x14ac:dyDescent="0.2">
      <c r="A29" t="s">
        <v>1204</v>
      </c>
      <c r="B29" t="s">
        <v>1204</v>
      </c>
      <c r="C29" s="2" t="s">
        <v>1004</v>
      </c>
      <c r="D29" t="s">
        <v>2537</v>
      </c>
      <c r="E29">
        <v>513846808</v>
      </c>
      <c r="F29" t="s">
        <v>309</v>
      </c>
      <c r="G29" t="s">
        <v>2398</v>
      </c>
      <c r="H29">
        <v>62007869</v>
      </c>
      <c r="I29" t="s">
        <v>312</v>
      </c>
      <c r="J29" t="s">
        <v>1209</v>
      </c>
      <c r="K29" s="137">
        <v>43325</v>
      </c>
      <c r="L29" s="132">
        <v>14000000</v>
      </c>
      <c r="M29" s="132">
        <v>52626</v>
      </c>
      <c r="N29" s="132">
        <v>0</v>
      </c>
      <c r="O29" s="132">
        <v>0</v>
      </c>
      <c r="P29" s="147">
        <v>0</v>
      </c>
      <c r="Q29" s="134">
        <v>46112</v>
      </c>
    </row>
    <row r="30" spans="1:17" ht="14.1" customHeight="1" x14ac:dyDescent="0.2">
      <c r="A30" t="s">
        <v>1204</v>
      </c>
      <c r="B30" t="s">
        <v>1204</v>
      </c>
      <c r="C30" s="2" t="s">
        <v>1004</v>
      </c>
      <c r="D30" t="s">
        <v>2538</v>
      </c>
      <c r="E30" t="s">
        <v>2601</v>
      </c>
      <c r="F30" t="s">
        <v>311</v>
      </c>
      <c r="G30" t="s">
        <v>2401</v>
      </c>
      <c r="H30">
        <v>62008008</v>
      </c>
      <c r="I30" t="s">
        <v>312</v>
      </c>
      <c r="J30" t="s">
        <v>1209</v>
      </c>
      <c r="K30" s="137">
        <v>43290</v>
      </c>
      <c r="L30" s="132">
        <v>9179382</v>
      </c>
      <c r="M30" s="132">
        <v>34505.296937999999</v>
      </c>
      <c r="N30" s="132">
        <v>1700000</v>
      </c>
      <c r="O30" s="132">
        <v>6390.3</v>
      </c>
      <c r="P30" s="147">
        <v>0.1851976527395853</v>
      </c>
      <c r="Q30" s="134">
        <v>47483</v>
      </c>
    </row>
    <row r="31" spans="1:17" ht="14.1" customHeight="1" x14ac:dyDescent="0.2">
      <c r="A31" t="s">
        <v>1204</v>
      </c>
      <c r="B31" t="s">
        <v>1204</v>
      </c>
      <c r="C31" s="2" t="s">
        <v>1000</v>
      </c>
      <c r="D31" t="s">
        <v>2539</v>
      </c>
      <c r="E31">
        <v>500457403</v>
      </c>
      <c r="F31" t="s">
        <v>310</v>
      </c>
      <c r="G31" t="s">
        <v>2383</v>
      </c>
      <c r="H31">
        <v>62008024</v>
      </c>
      <c r="I31" t="s">
        <v>312</v>
      </c>
      <c r="J31" t="s">
        <v>1209</v>
      </c>
      <c r="K31" s="137">
        <v>43291</v>
      </c>
      <c r="L31" s="132">
        <v>5000000</v>
      </c>
      <c r="M31" s="132">
        <v>18795</v>
      </c>
      <c r="N31" s="132">
        <v>100000</v>
      </c>
      <c r="O31" s="132">
        <v>375.9</v>
      </c>
      <c r="P31" s="147">
        <v>0.02</v>
      </c>
      <c r="Q31" s="134">
        <v>47149</v>
      </c>
    </row>
    <row r="32" spans="1:17" ht="14.1" customHeight="1" x14ac:dyDescent="0.2">
      <c r="A32" t="s">
        <v>1204</v>
      </c>
      <c r="B32" t="s">
        <v>1204</v>
      </c>
      <c r="C32" s="2" t="s">
        <v>1000</v>
      </c>
      <c r="D32" t="s">
        <v>2540</v>
      </c>
      <c r="E32">
        <v>1653982</v>
      </c>
      <c r="F32" t="s">
        <v>311</v>
      </c>
      <c r="G32" t="s">
        <v>2377</v>
      </c>
      <c r="H32">
        <v>62010434</v>
      </c>
      <c r="I32" t="s">
        <v>312</v>
      </c>
      <c r="J32" t="s">
        <v>1209</v>
      </c>
      <c r="K32" s="137">
        <v>43570</v>
      </c>
      <c r="L32" s="132">
        <v>5000000</v>
      </c>
      <c r="M32" s="132">
        <v>18795</v>
      </c>
      <c r="N32" s="132">
        <v>375000</v>
      </c>
      <c r="O32" s="132">
        <v>1409.625</v>
      </c>
      <c r="P32" s="147">
        <v>7.4999999999999997E-2</v>
      </c>
      <c r="Q32" s="134">
        <v>46387</v>
      </c>
    </row>
    <row r="33" spans="1:17" ht="14.25" x14ac:dyDescent="0.2">
      <c r="A33" t="s">
        <v>1204</v>
      </c>
      <c r="B33" t="s">
        <v>1204</v>
      </c>
      <c r="C33" s="2" t="s">
        <v>1005</v>
      </c>
      <c r="D33" t="s">
        <v>2541</v>
      </c>
      <c r="E33" t="s">
        <v>2602</v>
      </c>
      <c r="F33" t="s">
        <v>311</v>
      </c>
      <c r="G33" t="s">
        <v>2410</v>
      </c>
      <c r="H33">
        <v>62010970</v>
      </c>
      <c r="I33" t="s">
        <v>312</v>
      </c>
      <c r="J33" t="s">
        <v>1209</v>
      </c>
      <c r="K33" s="144">
        <v>43509</v>
      </c>
      <c r="L33" s="132">
        <v>12000000</v>
      </c>
      <c r="M33" s="132">
        <v>45108</v>
      </c>
      <c r="N33" s="132">
        <v>687393.97000000067</v>
      </c>
      <c r="O33" s="132">
        <v>2583.9139332300024</v>
      </c>
      <c r="P33" s="147">
        <v>5.7282830833333388E-2</v>
      </c>
      <c r="Q33" s="134">
        <v>48579</v>
      </c>
    </row>
    <row r="34" spans="1:17" ht="14.25" x14ac:dyDescent="0.2">
      <c r="A34" t="s">
        <v>1204</v>
      </c>
      <c r="B34" t="s">
        <v>1204</v>
      </c>
      <c r="C34" s="2" t="s">
        <v>1004</v>
      </c>
      <c r="D34" t="s">
        <v>2542</v>
      </c>
      <c r="E34">
        <v>513373993</v>
      </c>
      <c r="F34" t="s">
        <v>309</v>
      </c>
      <c r="G34" t="s">
        <v>2405</v>
      </c>
      <c r="H34">
        <v>62012224</v>
      </c>
      <c r="I34" t="s">
        <v>312</v>
      </c>
      <c r="J34" t="s">
        <v>1209</v>
      </c>
      <c r="K34" s="144">
        <v>43573</v>
      </c>
      <c r="L34" s="132">
        <v>10000000</v>
      </c>
      <c r="M34" s="132">
        <v>37590</v>
      </c>
      <c r="N34" s="132">
        <v>1602771.0299999993</v>
      </c>
      <c r="O34" s="132">
        <v>6024.8163017699972</v>
      </c>
      <c r="P34" s="147">
        <v>0.16027710299999992</v>
      </c>
      <c r="Q34" s="134">
        <v>47118</v>
      </c>
    </row>
    <row r="35" spans="1:17" ht="14.25" x14ac:dyDescent="0.2">
      <c r="A35" t="s">
        <v>1204</v>
      </c>
      <c r="B35" t="s">
        <v>1204</v>
      </c>
      <c r="C35" s="2" t="s">
        <v>1000</v>
      </c>
      <c r="D35" t="s">
        <v>2543</v>
      </c>
      <c r="E35">
        <v>540287315</v>
      </c>
      <c r="F35" t="s">
        <v>309</v>
      </c>
      <c r="G35" t="s">
        <v>2382</v>
      </c>
      <c r="H35">
        <v>62012265</v>
      </c>
      <c r="I35" t="s">
        <v>312</v>
      </c>
      <c r="J35" t="s">
        <v>1209</v>
      </c>
      <c r="K35" s="144">
        <v>43585</v>
      </c>
      <c r="L35" s="132">
        <v>7000000</v>
      </c>
      <c r="M35" s="132">
        <v>26313</v>
      </c>
      <c r="N35" s="132">
        <v>3220000</v>
      </c>
      <c r="O35" s="132">
        <v>12103.98</v>
      </c>
      <c r="P35" s="147">
        <v>0.45999999999999996</v>
      </c>
      <c r="Q35" s="134">
        <v>46843</v>
      </c>
    </row>
    <row r="36" spans="1:17" ht="14.25" x14ac:dyDescent="0.2">
      <c r="A36" t="s">
        <v>1204</v>
      </c>
      <c r="B36" t="s">
        <v>1204</v>
      </c>
      <c r="C36" s="2" t="s">
        <v>1000</v>
      </c>
      <c r="D36" t="s">
        <v>2531</v>
      </c>
      <c r="E36">
        <v>550263511</v>
      </c>
      <c r="F36" t="s">
        <v>310</v>
      </c>
      <c r="G36" t="s">
        <v>2381</v>
      </c>
      <c r="H36">
        <v>62013248</v>
      </c>
      <c r="I36" t="s">
        <v>312</v>
      </c>
      <c r="J36" t="s">
        <v>1209</v>
      </c>
      <c r="K36" s="144">
        <v>43642</v>
      </c>
      <c r="L36" s="132">
        <v>3000000</v>
      </c>
      <c r="M36" s="132">
        <v>11277</v>
      </c>
      <c r="N36" s="132">
        <v>0</v>
      </c>
      <c r="O36" s="132">
        <v>0</v>
      </c>
      <c r="P36" s="147">
        <v>0</v>
      </c>
      <c r="Q36" s="134">
        <v>46173</v>
      </c>
    </row>
    <row r="37" spans="1:17" ht="14.25" x14ac:dyDescent="0.2">
      <c r="A37" t="s">
        <v>1204</v>
      </c>
      <c r="B37" t="s">
        <v>1204</v>
      </c>
      <c r="C37" s="2" t="s">
        <v>1000</v>
      </c>
      <c r="D37" t="s">
        <v>2531</v>
      </c>
      <c r="E37">
        <v>500460191</v>
      </c>
      <c r="F37" t="s">
        <v>310</v>
      </c>
      <c r="G37" t="s">
        <v>2378</v>
      </c>
      <c r="H37">
        <v>62013503</v>
      </c>
      <c r="I37" t="s">
        <v>312</v>
      </c>
      <c r="J37" t="s">
        <v>1209</v>
      </c>
      <c r="K37" s="144">
        <v>43658</v>
      </c>
      <c r="L37" s="132">
        <v>5000000</v>
      </c>
      <c r="M37" s="132">
        <v>18795</v>
      </c>
      <c r="N37" s="132">
        <v>62356</v>
      </c>
      <c r="O37" s="132">
        <v>234.39620400000001</v>
      </c>
      <c r="P37" s="147">
        <v>1.24712E-2</v>
      </c>
      <c r="Q37" s="134">
        <v>48440</v>
      </c>
    </row>
    <row r="38" spans="1:17" ht="14.25" x14ac:dyDescent="0.2">
      <c r="A38" t="s">
        <v>1204</v>
      </c>
      <c r="B38" t="s">
        <v>1204</v>
      </c>
      <c r="C38" s="2" t="s">
        <v>1005</v>
      </c>
      <c r="D38" t="s">
        <v>2532</v>
      </c>
      <c r="E38">
        <v>6751887600</v>
      </c>
      <c r="F38" t="s">
        <v>311</v>
      </c>
      <c r="G38" t="s">
        <v>2460</v>
      </c>
      <c r="H38">
        <v>62014618</v>
      </c>
      <c r="I38" t="s">
        <v>312</v>
      </c>
      <c r="J38" t="s">
        <v>1209</v>
      </c>
      <c r="K38" s="144">
        <v>43788</v>
      </c>
      <c r="L38" s="132">
        <v>10000000</v>
      </c>
      <c r="M38" s="132">
        <v>37590</v>
      </c>
      <c r="N38" s="132">
        <v>2484689</v>
      </c>
      <c r="O38" s="132">
        <v>9339.9459509999997</v>
      </c>
      <c r="P38" s="147">
        <v>0.24846889999999999</v>
      </c>
      <c r="Q38" s="134">
        <v>45473</v>
      </c>
    </row>
    <row r="39" spans="1:17" ht="14.25" x14ac:dyDescent="0.2">
      <c r="A39" t="s">
        <v>1204</v>
      </c>
      <c r="B39" t="s">
        <v>1204</v>
      </c>
      <c r="C39" s="2" t="s">
        <v>1005</v>
      </c>
      <c r="D39" t="s">
        <v>2544</v>
      </c>
      <c r="E39" t="s">
        <v>2603</v>
      </c>
      <c r="F39" t="s">
        <v>311</v>
      </c>
      <c r="G39" t="s">
        <v>2412</v>
      </c>
      <c r="H39">
        <v>62014790</v>
      </c>
      <c r="I39" t="s">
        <v>312</v>
      </c>
      <c r="J39" t="s">
        <v>1209</v>
      </c>
      <c r="K39" s="144">
        <v>43805</v>
      </c>
      <c r="L39" s="132">
        <v>10000000</v>
      </c>
      <c r="M39" s="132">
        <v>37590</v>
      </c>
      <c r="N39" s="132">
        <v>2459733.7000000002</v>
      </c>
      <c r="O39" s="132">
        <v>9246.1389782999995</v>
      </c>
      <c r="P39" s="147">
        <v>0.24597337</v>
      </c>
      <c r="Q39" s="134">
        <v>47831</v>
      </c>
    </row>
    <row r="40" spans="1:17" ht="14.25" x14ac:dyDescent="0.2">
      <c r="A40" t="s">
        <v>1204</v>
      </c>
      <c r="B40" t="s">
        <v>1204</v>
      </c>
      <c r="C40" s="2" t="s">
        <v>1005</v>
      </c>
      <c r="D40" t="s">
        <v>2545</v>
      </c>
      <c r="E40" t="s">
        <v>2604</v>
      </c>
      <c r="F40" t="s">
        <v>311</v>
      </c>
      <c r="G40" t="s">
        <v>2411</v>
      </c>
      <c r="H40">
        <v>62014956</v>
      </c>
      <c r="I40" t="s">
        <v>312</v>
      </c>
      <c r="J40" t="s">
        <v>1209</v>
      </c>
      <c r="K40" s="144">
        <v>43818</v>
      </c>
      <c r="L40" s="132">
        <v>10000000</v>
      </c>
      <c r="M40" s="132">
        <v>37590</v>
      </c>
      <c r="N40" s="132">
        <v>2159213</v>
      </c>
      <c r="O40" s="132">
        <v>8116.4816669999991</v>
      </c>
      <c r="P40" s="147">
        <v>0.21592129999999998</v>
      </c>
      <c r="Q40" s="134">
        <v>48145</v>
      </c>
    </row>
    <row r="41" spans="1:17" ht="14.25" x14ac:dyDescent="0.2">
      <c r="A41" t="s">
        <v>1204</v>
      </c>
      <c r="B41" t="s">
        <v>1204</v>
      </c>
      <c r="C41" s="2" t="s">
        <v>1000</v>
      </c>
      <c r="D41" t="s">
        <v>2546</v>
      </c>
      <c r="E41">
        <v>103012</v>
      </c>
      <c r="F41" t="s">
        <v>311</v>
      </c>
      <c r="G41" t="s">
        <v>2384</v>
      </c>
      <c r="H41">
        <v>62016720</v>
      </c>
      <c r="I41" t="s">
        <v>312</v>
      </c>
      <c r="J41" t="s">
        <v>1209</v>
      </c>
      <c r="K41" s="144">
        <v>43872</v>
      </c>
      <c r="L41" s="132">
        <v>10000000</v>
      </c>
      <c r="M41" s="132">
        <v>37590</v>
      </c>
      <c r="N41" s="132">
        <v>3944305</v>
      </c>
      <c r="O41" s="132">
        <v>14826.642495</v>
      </c>
      <c r="P41" s="147">
        <v>0.39443050000000002</v>
      </c>
      <c r="Q41" s="134">
        <v>47938</v>
      </c>
    </row>
    <row r="42" spans="1:17" ht="14.25" x14ac:dyDescent="0.2">
      <c r="A42" t="s">
        <v>1204</v>
      </c>
      <c r="B42" t="s">
        <v>1204</v>
      </c>
      <c r="C42" s="2" t="s">
        <v>1005</v>
      </c>
      <c r="D42" t="s">
        <v>2547</v>
      </c>
      <c r="E42">
        <v>515697605</v>
      </c>
      <c r="F42" t="s">
        <v>309</v>
      </c>
      <c r="G42" t="s">
        <v>2452</v>
      </c>
      <c r="H42">
        <v>66611187</v>
      </c>
      <c r="I42" t="s">
        <v>312</v>
      </c>
      <c r="J42" t="s">
        <v>1208</v>
      </c>
      <c r="K42" s="144">
        <v>45046</v>
      </c>
      <c r="L42" s="132">
        <v>65000000</v>
      </c>
      <c r="M42" s="132">
        <v>65000</v>
      </c>
      <c r="N42" s="132">
        <v>38248981</v>
      </c>
      <c r="O42" s="132">
        <v>38248.981</v>
      </c>
      <c r="P42" s="147">
        <v>0.58844586153846157</v>
      </c>
      <c r="Q42" s="134">
        <v>47969</v>
      </c>
    </row>
    <row r="43" spans="1:17" ht="14.25" x14ac:dyDescent="0.2">
      <c r="A43" t="s">
        <v>1204</v>
      </c>
      <c r="B43" t="s">
        <v>1204</v>
      </c>
      <c r="C43" s="2" t="s">
        <v>1005</v>
      </c>
      <c r="D43" t="s">
        <v>2548</v>
      </c>
      <c r="E43" t="s">
        <v>2429</v>
      </c>
      <c r="F43" t="s">
        <v>309</v>
      </c>
      <c r="G43" t="s">
        <v>2430</v>
      </c>
      <c r="H43">
        <v>603054487</v>
      </c>
      <c r="I43" t="s">
        <v>312</v>
      </c>
      <c r="J43" t="s">
        <v>1209</v>
      </c>
      <c r="K43" s="144">
        <v>41148</v>
      </c>
      <c r="L43" s="132">
        <v>4548584</v>
      </c>
      <c r="M43" s="132">
        <v>17098.127256</v>
      </c>
      <c r="N43" s="132">
        <v>0</v>
      </c>
      <c r="O43" s="132">
        <v>0</v>
      </c>
      <c r="P43" s="147">
        <v>0</v>
      </c>
      <c r="Q43" s="134">
        <v>44788</v>
      </c>
    </row>
    <row r="44" spans="1:17" ht="14.25" x14ac:dyDescent="0.2">
      <c r="A44" t="s">
        <v>1204</v>
      </c>
      <c r="B44" t="s">
        <v>1204</v>
      </c>
      <c r="C44" s="2" t="s">
        <v>1005</v>
      </c>
      <c r="D44" t="s">
        <v>2549</v>
      </c>
      <c r="E44" t="s">
        <v>2605</v>
      </c>
      <c r="F44" t="s">
        <v>2621</v>
      </c>
      <c r="G44" t="s">
        <v>2451</v>
      </c>
      <c r="H44">
        <v>604157677</v>
      </c>
      <c r="I44" t="s">
        <v>312</v>
      </c>
      <c r="J44" t="s">
        <v>1209</v>
      </c>
      <c r="K44" s="144">
        <v>42800</v>
      </c>
      <c r="L44" s="132">
        <v>8000000</v>
      </c>
      <c r="M44" s="132">
        <v>30072</v>
      </c>
      <c r="N44" s="132">
        <v>2277058.63</v>
      </c>
      <c r="O44" s="132">
        <v>8559.4633901699981</v>
      </c>
      <c r="P44" s="147">
        <v>0.28463232874999994</v>
      </c>
      <c r="Q44" s="134">
        <v>47262</v>
      </c>
    </row>
    <row r="45" spans="1:17" ht="14.25" x14ac:dyDescent="0.2">
      <c r="A45" t="s">
        <v>1204</v>
      </c>
      <c r="B45" t="s">
        <v>1204</v>
      </c>
      <c r="C45" s="2" t="s">
        <v>1004</v>
      </c>
      <c r="D45" t="s">
        <v>2550</v>
      </c>
      <c r="E45">
        <v>744439084</v>
      </c>
      <c r="F45" t="s">
        <v>311</v>
      </c>
      <c r="G45" t="s">
        <v>2397</v>
      </c>
      <c r="H45">
        <v>620120758</v>
      </c>
      <c r="I45" t="s">
        <v>312</v>
      </c>
      <c r="J45" t="s">
        <v>1213</v>
      </c>
      <c r="K45" s="144">
        <v>43579</v>
      </c>
      <c r="L45" s="132">
        <v>13000000</v>
      </c>
      <c r="M45" s="132">
        <v>35636.9</v>
      </c>
      <c r="N45" s="132">
        <v>0</v>
      </c>
      <c r="O45" s="132">
        <v>0</v>
      </c>
      <c r="P45" s="147">
        <v>0</v>
      </c>
      <c r="Q45" s="134">
        <v>46142</v>
      </c>
    </row>
    <row r="46" spans="1:17" ht="14.25" x14ac:dyDescent="0.2">
      <c r="A46" t="s">
        <v>1204</v>
      </c>
      <c r="B46" t="s">
        <v>1204</v>
      </c>
      <c r="C46" s="2" t="s">
        <v>1005</v>
      </c>
      <c r="D46" t="s">
        <v>2551</v>
      </c>
      <c r="E46" t="s">
        <v>2606</v>
      </c>
      <c r="F46" t="s">
        <v>313</v>
      </c>
      <c r="G46" t="s">
        <v>2414</v>
      </c>
      <c r="H46">
        <v>666107909</v>
      </c>
      <c r="I46" t="s">
        <v>312</v>
      </c>
      <c r="J46" t="s">
        <v>1209</v>
      </c>
      <c r="K46" s="144">
        <v>44164</v>
      </c>
      <c r="L46" s="132">
        <v>8000000</v>
      </c>
      <c r="M46" s="132">
        <v>30072</v>
      </c>
      <c r="N46" s="132">
        <v>2464951.3899999997</v>
      </c>
      <c r="O46" s="132">
        <v>9265.7522750099997</v>
      </c>
      <c r="P46" s="147">
        <v>0.30811892375</v>
      </c>
      <c r="Q46" s="134">
        <v>47269</v>
      </c>
    </row>
    <row r="47" spans="1:17" ht="14.25" x14ac:dyDescent="0.2">
      <c r="A47" t="s">
        <v>1204</v>
      </c>
      <c r="B47" t="s">
        <v>1204</v>
      </c>
      <c r="C47" s="2" t="s">
        <v>1005</v>
      </c>
      <c r="D47" t="s">
        <v>1757</v>
      </c>
      <c r="E47" t="s">
        <v>2607</v>
      </c>
      <c r="F47" t="s">
        <v>313</v>
      </c>
      <c r="G47" t="s">
        <v>2413</v>
      </c>
      <c r="H47">
        <v>666108162</v>
      </c>
      <c r="I47" t="s">
        <v>312</v>
      </c>
      <c r="J47" t="s">
        <v>1209</v>
      </c>
      <c r="K47" s="144">
        <v>44195</v>
      </c>
      <c r="L47" s="132">
        <v>10000000</v>
      </c>
      <c r="M47" s="132">
        <v>37590</v>
      </c>
      <c r="N47" s="132">
        <v>4707304.3</v>
      </c>
      <c r="O47" s="132">
        <v>17694.7568637</v>
      </c>
      <c r="P47" s="147">
        <v>0.47073043000000003</v>
      </c>
      <c r="Q47" s="134">
        <v>47591</v>
      </c>
    </row>
    <row r="48" spans="1:17" ht="14.25" x14ac:dyDescent="0.2">
      <c r="A48" t="s">
        <v>1204</v>
      </c>
      <c r="B48" t="s">
        <v>1204</v>
      </c>
      <c r="C48" s="2" t="s">
        <v>1000</v>
      </c>
      <c r="D48" t="s">
        <v>2539</v>
      </c>
      <c r="E48">
        <v>540301223</v>
      </c>
      <c r="F48" t="s">
        <v>310</v>
      </c>
      <c r="G48" t="s">
        <v>2389</v>
      </c>
      <c r="H48">
        <v>666108170</v>
      </c>
      <c r="I48" t="s">
        <v>312</v>
      </c>
      <c r="J48" t="s">
        <v>1209</v>
      </c>
      <c r="K48" s="144">
        <v>44195</v>
      </c>
      <c r="L48" s="132">
        <v>2500000</v>
      </c>
      <c r="M48" s="132">
        <v>9397.5</v>
      </c>
      <c r="N48" s="132">
        <v>0</v>
      </c>
      <c r="O48" s="132">
        <v>0</v>
      </c>
      <c r="P48" s="147">
        <v>0</v>
      </c>
      <c r="Q48" s="134">
        <v>44195</v>
      </c>
    </row>
    <row r="49" spans="1:17" ht="14.25" x14ac:dyDescent="0.2">
      <c r="A49" t="s">
        <v>1204</v>
      </c>
      <c r="B49" t="s">
        <v>1204</v>
      </c>
      <c r="C49" s="2" t="s">
        <v>1000</v>
      </c>
      <c r="D49" t="s">
        <v>2540</v>
      </c>
      <c r="E49">
        <v>1926761</v>
      </c>
      <c r="F49" t="s">
        <v>311</v>
      </c>
      <c r="G49" t="s">
        <v>2380</v>
      </c>
      <c r="H49">
        <v>666108402</v>
      </c>
      <c r="I49" t="s">
        <v>312</v>
      </c>
      <c r="J49" t="s">
        <v>1209</v>
      </c>
      <c r="K49" s="144">
        <v>44238</v>
      </c>
      <c r="L49" s="132">
        <v>3000000</v>
      </c>
      <c r="M49" s="132">
        <v>11277</v>
      </c>
      <c r="N49" s="132">
        <v>1200000</v>
      </c>
      <c r="O49" s="132">
        <v>4510.8</v>
      </c>
      <c r="P49" s="147">
        <v>0.4</v>
      </c>
      <c r="Q49" s="134">
        <v>48152</v>
      </c>
    </row>
    <row r="50" spans="1:17" ht="14.25" x14ac:dyDescent="0.2">
      <c r="A50" t="s">
        <v>1204</v>
      </c>
      <c r="B50" t="s">
        <v>1204</v>
      </c>
      <c r="C50" s="2" t="s">
        <v>1004</v>
      </c>
      <c r="D50" t="s">
        <v>2552</v>
      </c>
      <c r="E50">
        <v>510607328</v>
      </c>
      <c r="F50" t="s">
        <v>309</v>
      </c>
      <c r="G50" t="s">
        <v>2399</v>
      </c>
      <c r="H50">
        <v>666108451</v>
      </c>
      <c r="I50" t="s">
        <v>312</v>
      </c>
      <c r="J50" t="s">
        <v>1209</v>
      </c>
      <c r="K50" s="144">
        <v>44245</v>
      </c>
      <c r="L50" s="132">
        <v>10000000</v>
      </c>
      <c r="M50" s="132">
        <v>37590</v>
      </c>
      <c r="N50" s="132">
        <v>0</v>
      </c>
      <c r="O50" s="132">
        <v>0</v>
      </c>
      <c r="P50" s="147">
        <v>0</v>
      </c>
      <c r="Q50" s="134">
        <v>46172</v>
      </c>
    </row>
    <row r="51" spans="1:17" ht="14.25" x14ac:dyDescent="0.2">
      <c r="A51" t="s">
        <v>1204</v>
      </c>
      <c r="B51" t="s">
        <v>1204</v>
      </c>
      <c r="C51" s="2" t="s">
        <v>1005</v>
      </c>
      <c r="D51" t="s">
        <v>2532</v>
      </c>
      <c r="E51">
        <v>4012569534</v>
      </c>
      <c r="F51" t="s">
        <v>311</v>
      </c>
      <c r="G51" t="s">
        <v>2415</v>
      </c>
      <c r="H51">
        <v>666108469</v>
      </c>
      <c r="I51" t="s">
        <v>312</v>
      </c>
      <c r="J51" t="s">
        <v>1209</v>
      </c>
      <c r="K51" s="144">
        <v>44251</v>
      </c>
      <c r="L51" s="132">
        <v>10000000</v>
      </c>
      <c r="M51" s="132">
        <v>37590</v>
      </c>
      <c r="N51" s="132">
        <v>5155987</v>
      </c>
      <c r="O51" s="132">
        <v>19381.355133000001</v>
      </c>
      <c r="P51" s="147">
        <v>0.51559870000000008</v>
      </c>
      <c r="Q51" s="134">
        <v>47879</v>
      </c>
    </row>
    <row r="52" spans="1:17" ht="14.25" x14ac:dyDescent="0.2">
      <c r="A52" t="s">
        <v>1204</v>
      </c>
      <c r="B52" t="s">
        <v>1204</v>
      </c>
      <c r="C52" s="2" t="s">
        <v>1000</v>
      </c>
      <c r="D52" t="s">
        <v>2553</v>
      </c>
      <c r="E52">
        <v>540290988</v>
      </c>
      <c r="F52" t="s">
        <v>309</v>
      </c>
      <c r="G52" t="s">
        <v>2387</v>
      </c>
      <c r="H52">
        <v>666108543</v>
      </c>
      <c r="I52" t="s">
        <v>312</v>
      </c>
      <c r="J52" t="s">
        <v>1209</v>
      </c>
      <c r="K52" s="144">
        <v>44279</v>
      </c>
      <c r="L52" s="132">
        <v>5000000</v>
      </c>
      <c r="M52" s="132">
        <v>18795</v>
      </c>
      <c r="N52" s="132">
        <v>1730847</v>
      </c>
      <c r="O52" s="132">
        <v>6506.2538729999997</v>
      </c>
      <c r="P52" s="147">
        <v>0.34616939999999996</v>
      </c>
      <c r="Q52" s="134">
        <v>47665</v>
      </c>
    </row>
    <row r="53" spans="1:17" ht="14.25" x14ac:dyDescent="0.2">
      <c r="A53" t="s">
        <v>1204</v>
      </c>
      <c r="B53" t="s">
        <v>1204</v>
      </c>
      <c r="C53" s="2" t="s">
        <v>1004</v>
      </c>
      <c r="D53" t="s">
        <v>2554</v>
      </c>
      <c r="E53" t="s">
        <v>2608</v>
      </c>
      <c r="F53" t="s">
        <v>311</v>
      </c>
      <c r="G53" t="s">
        <v>2406</v>
      </c>
      <c r="H53">
        <v>666108691</v>
      </c>
      <c r="I53" t="s">
        <v>312</v>
      </c>
      <c r="J53" t="s">
        <v>1211</v>
      </c>
      <c r="K53" s="144">
        <v>44298</v>
      </c>
      <c r="L53" s="132">
        <v>1000000</v>
      </c>
      <c r="M53" s="132">
        <v>4020.2</v>
      </c>
      <c r="N53" s="132">
        <v>38330.969999999972</v>
      </c>
      <c r="O53" s="132">
        <v>154.09816559399988</v>
      </c>
      <c r="P53" s="147">
        <v>3.8330969999999971E-2</v>
      </c>
      <c r="Q53" s="134">
        <v>47872</v>
      </c>
    </row>
    <row r="54" spans="1:17" ht="14.25" x14ac:dyDescent="0.2">
      <c r="A54" t="s">
        <v>1204</v>
      </c>
      <c r="B54" t="s">
        <v>1204</v>
      </c>
      <c r="C54" s="2" t="s">
        <v>1004</v>
      </c>
      <c r="D54" t="s">
        <v>2554</v>
      </c>
      <c r="E54" t="s">
        <v>2608</v>
      </c>
      <c r="F54" t="s">
        <v>311</v>
      </c>
      <c r="G54" t="s">
        <v>2392</v>
      </c>
      <c r="H54">
        <v>666108709</v>
      </c>
      <c r="I54" t="s">
        <v>312</v>
      </c>
      <c r="J54" t="s">
        <v>1211</v>
      </c>
      <c r="K54" s="144">
        <v>44298</v>
      </c>
      <c r="L54" s="132">
        <v>9000000</v>
      </c>
      <c r="M54" s="132">
        <v>36181.800000000003</v>
      </c>
      <c r="N54" s="132">
        <v>344996.63000000082</v>
      </c>
      <c r="O54" s="132">
        <v>1386.9554519260032</v>
      </c>
      <c r="P54" s="147">
        <v>3.8332958888888977E-2</v>
      </c>
      <c r="Q54" s="134">
        <v>47872</v>
      </c>
    </row>
    <row r="55" spans="1:17" ht="14.25" x14ac:dyDescent="0.2">
      <c r="A55" t="s">
        <v>1204</v>
      </c>
      <c r="B55" t="s">
        <v>1204</v>
      </c>
      <c r="C55" s="2" t="s">
        <v>1000</v>
      </c>
      <c r="D55" t="s">
        <v>2555</v>
      </c>
      <c r="E55" t="s">
        <v>2609</v>
      </c>
      <c r="F55" t="s">
        <v>311</v>
      </c>
      <c r="G55" t="s">
        <v>2385</v>
      </c>
      <c r="H55">
        <v>666108790</v>
      </c>
      <c r="I55" t="s">
        <v>312</v>
      </c>
      <c r="J55" t="s">
        <v>1209</v>
      </c>
      <c r="K55" s="144">
        <v>44322</v>
      </c>
      <c r="L55" s="132">
        <v>10000000</v>
      </c>
      <c r="M55" s="132">
        <v>37590</v>
      </c>
      <c r="N55" s="132">
        <v>2800000</v>
      </c>
      <c r="O55" s="132">
        <v>10525.2</v>
      </c>
      <c r="P55" s="147">
        <v>0.28000000000000003</v>
      </c>
      <c r="Q55" s="134">
        <v>47849</v>
      </c>
    </row>
    <row r="56" spans="1:17" ht="14.25" x14ac:dyDescent="0.2">
      <c r="A56" t="s">
        <v>1204</v>
      </c>
      <c r="B56" t="s">
        <v>1204</v>
      </c>
      <c r="C56" s="2" t="s">
        <v>1000</v>
      </c>
      <c r="D56" t="s">
        <v>2556</v>
      </c>
      <c r="E56" t="s">
        <v>2610</v>
      </c>
      <c r="F56" t="s">
        <v>311</v>
      </c>
      <c r="G56" t="s">
        <v>2386</v>
      </c>
      <c r="H56">
        <v>666108824</v>
      </c>
      <c r="I56" t="s">
        <v>312</v>
      </c>
      <c r="J56" t="s">
        <v>1209</v>
      </c>
      <c r="K56" s="144">
        <v>44341</v>
      </c>
      <c r="L56" s="132">
        <v>5000000</v>
      </c>
      <c r="M56" s="132">
        <v>18795</v>
      </c>
      <c r="N56" s="132">
        <v>400000</v>
      </c>
      <c r="O56" s="132">
        <v>1503.6</v>
      </c>
      <c r="P56" s="147">
        <v>0.08</v>
      </c>
      <c r="Q56" s="134">
        <v>47665</v>
      </c>
    </row>
    <row r="57" spans="1:17" ht="14.25" x14ac:dyDescent="0.2">
      <c r="A57" t="s">
        <v>1204</v>
      </c>
      <c r="B57" t="s">
        <v>1204</v>
      </c>
      <c r="C57" s="2" t="s">
        <v>1004</v>
      </c>
      <c r="D57" t="s">
        <v>2557</v>
      </c>
      <c r="E57" t="s">
        <v>2611</v>
      </c>
      <c r="F57" t="s">
        <v>311</v>
      </c>
      <c r="G57" t="s">
        <v>2393</v>
      </c>
      <c r="H57">
        <v>666108873</v>
      </c>
      <c r="I57" t="s">
        <v>312</v>
      </c>
      <c r="J57" t="s">
        <v>1209</v>
      </c>
      <c r="K57" s="144">
        <v>44347</v>
      </c>
      <c r="L57" s="132">
        <v>10000000</v>
      </c>
      <c r="M57" s="132">
        <v>37590</v>
      </c>
      <c r="N57" s="132">
        <v>1704916</v>
      </c>
      <c r="O57" s="132">
        <v>6408.7792440000003</v>
      </c>
      <c r="P57" s="147">
        <v>0.17049160000000002</v>
      </c>
      <c r="Q57" s="134">
        <v>47968</v>
      </c>
    </row>
    <row r="58" spans="1:17" ht="14.25" x14ac:dyDescent="0.2">
      <c r="A58" t="s">
        <v>1204</v>
      </c>
      <c r="B58" t="s">
        <v>1204</v>
      </c>
      <c r="C58" s="2" t="s">
        <v>1005</v>
      </c>
      <c r="D58" t="s">
        <v>2457</v>
      </c>
      <c r="E58">
        <v>540300266</v>
      </c>
      <c r="F58" t="s">
        <v>309</v>
      </c>
      <c r="G58" t="s">
        <v>2457</v>
      </c>
      <c r="H58">
        <v>666109079</v>
      </c>
      <c r="I58" t="s">
        <v>312</v>
      </c>
      <c r="J58" t="s">
        <v>1208</v>
      </c>
      <c r="K58" s="144">
        <v>44375</v>
      </c>
      <c r="L58" s="132">
        <v>35000000</v>
      </c>
      <c r="M58" s="132">
        <v>35000</v>
      </c>
      <c r="N58" s="132">
        <v>13110861</v>
      </c>
      <c r="O58" s="132">
        <v>13110.861000000001</v>
      </c>
      <c r="P58" s="147">
        <v>0.3745960285714286</v>
      </c>
      <c r="Q58" s="134">
        <v>47665</v>
      </c>
    </row>
    <row r="59" spans="1:17" ht="14.25" x14ac:dyDescent="0.2">
      <c r="A59" t="s">
        <v>1204</v>
      </c>
      <c r="B59" t="s">
        <v>1204</v>
      </c>
      <c r="C59" s="2" t="s">
        <v>1005</v>
      </c>
      <c r="D59" t="s">
        <v>2558</v>
      </c>
      <c r="E59">
        <v>540297884</v>
      </c>
      <c r="F59" t="s">
        <v>309</v>
      </c>
      <c r="G59" t="s">
        <v>2419</v>
      </c>
      <c r="H59">
        <v>666109459</v>
      </c>
      <c r="I59" t="s">
        <v>312</v>
      </c>
      <c r="J59" t="s">
        <v>1208</v>
      </c>
      <c r="K59" s="144">
        <v>44440</v>
      </c>
      <c r="L59" s="132">
        <v>35000000</v>
      </c>
      <c r="M59" s="132">
        <v>35000</v>
      </c>
      <c r="N59" s="132">
        <v>12266163</v>
      </c>
      <c r="O59" s="132">
        <v>12266.163</v>
      </c>
      <c r="P59" s="147">
        <v>0.35046179999999999</v>
      </c>
      <c r="Q59" s="134">
        <v>47329</v>
      </c>
    </row>
    <row r="60" spans="1:17" ht="14.25" x14ac:dyDescent="0.2">
      <c r="A60" t="s">
        <v>1204</v>
      </c>
      <c r="B60" t="s">
        <v>1204</v>
      </c>
      <c r="C60" s="2" t="s">
        <v>1005</v>
      </c>
      <c r="D60" t="s">
        <v>2559</v>
      </c>
      <c r="E60">
        <v>500471685</v>
      </c>
      <c r="F60" t="s">
        <v>310</v>
      </c>
      <c r="G60" t="s">
        <v>2421</v>
      </c>
      <c r="H60">
        <v>666109707</v>
      </c>
      <c r="I60" t="s">
        <v>312</v>
      </c>
      <c r="J60" t="s">
        <v>1209</v>
      </c>
      <c r="K60" s="144">
        <v>44530</v>
      </c>
      <c r="L60" s="132">
        <v>7000000</v>
      </c>
      <c r="M60" s="132">
        <v>26313</v>
      </c>
      <c r="N60" s="132">
        <v>2100000</v>
      </c>
      <c r="O60" s="132">
        <v>7893.9</v>
      </c>
      <c r="P60" s="147">
        <v>0.3</v>
      </c>
      <c r="Q60" s="134">
        <v>48162</v>
      </c>
    </row>
    <row r="61" spans="1:17" ht="14.25" x14ac:dyDescent="0.2">
      <c r="A61" t="s">
        <v>1204</v>
      </c>
      <c r="B61" t="s">
        <v>1204</v>
      </c>
      <c r="C61" s="2" t="s">
        <v>1005</v>
      </c>
      <c r="D61" t="s">
        <v>2464</v>
      </c>
      <c r="E61">
        <v>540303864</v>
      </c>
      <c r="F61" t="s">
        <v>309</v>
      </c>
      <c r="G61" t="s">
        <v>2464</v>
      </c>
      <c r="H61">
        <v>666109871</v>
      </c>
      <c r="I61" t="s">
        <v>312</v>
      </c>
      <c r="J61" t="s">
        <v>1209</v>
      </c>
      <c r="K61" s="144">
        <v>44581</v>
      </c>
      <c r="L61" s="132">
        <v>10000000</v>
      </c>
      <c r="M61" s="132">
        <v>37590</v>
      </c>
      <c r="N61" s="132">
        <v>7909028</v>
      </c>
      <c r="O61" s="132">
        <v>29730.036252000002</v>
      </c>
      <c r="P61" s="147">
        <v>0.79090280000000002</v>
      </c>
      <c r="Q61" s="134">
        <v>48128</v>
      </c>
    </row>
    <row r="62" spans="1:17" ht="14.25" x14ac:dyDescent="0.2">
      <c r="A62" t="s">
        <v>1204</v>
      </c>
      <c r="B62" t="s">
        <v>1204</v>
      </c>
      <c r="C62" s="2" t="s">
        <v>1005</v>
      </c>
      <c r="D62" t="s">
        <v>2560</v>
      </c>
      <c r="E62" t="s">
        <v>2612</v>
      </c>
      <c r="F62" t="s">
        <v>2621</v>
      </c>
      <c r="G62" t="s">
        <v>2427</v>
      </c>
      <c r="H62">
        <v>666109889</v>
      </c>
      <c r="I62" t="s">
        <v>312</v>
      </c>
      <c r="J62" t="s">
        <v>1209</v>
      </c>
      <c r="K62" s="144">
        <v>44581</v>
      </c>
      <c r="L62" s="132">
        <v>10000000</v>
      </c>
      <c r="M62" s="132">
        <v>37590</v>
      </c>
      <c r="N62" s="132">
        <v>7601212.4299999997</v>
      </c>
      <c r="O62" s="132">
        <v>28572.957524369998</v>
      </c>
      <c r="P62" s="147">
        <v>0.76012124299999995</v>
      </c>
      <c r="Q62" s="134">
        <v>48385</v>
      </c>
    </row>
    <row r="63" spans="1:17" ht="14.25" x14ac:dyDescent="0.2">
      <c r="A63" t="s">
        <v>1204</v>
      </c>
      <c r="B63" t="s">
        <v>1204</v>
      </c>
      <c r="C63" s="2" t="s">
        <v>1005</v>
      </c>
      <c r="D63" t="s">
        <v>2420</v>
      </c>
      <c r="E63">
        <v>514601640</v>
      </c>
      <c r="F63" t="s">
        <v>309</v>
      </c>
      <c r="G63" t="s">
        <v>2420</v>
      </c>
      <c r="H63">
        <v>666109905</v>
      </c>
      <c r="I63" t="s">
        <v>312</v>
      </c>
      <c r="J63" t="s">
        <v>1209</v>
      </c>
      <c r="K63" s="144">
        <v>44587</v>
      </c>
      <c r="L63" s="132">
        <v>2911961</v>
      </c>
      <c r="M63" s="132">
        <v>10946.061399</v>
      </c>
      <c r="N63" s="132">
        <v>0</v>
      </c>
      <c r="O63" s="132">
        <v>0</v>
      </c>
      <c r="P63" s="147">
        <v>0</v>
      </c>
      <c r="Q63" s="134">
        <v>46405</v>
      </c>
    </row>
    <row r="64" spans="1:17" ht="14.25" x14ac:dyDescent="0.2">
      <c r="A64" t="s">
        <v>1204</v>
      </c>
      <c r="B64" t="s">
        <v>1204</v>
      </c>
      <c r="C64" s="2" t="s">
        <v>1005</v>
      </c>
      <c r="D64" t="s">
        <v>2561</v>
      </c>
      <c r="E64">
        <v>540301728</v>
      </c>
      <c r="F64" t="s">
        <v>309</v>
      </c>
      <c r="G64" t="s">
        <v>2437</v>
      </c>
      <c r="H64">
        <v>666109939</v>
      </c>
      <c r="I64" t="s">
        <v>312</v>
      </c>
      <c r="J64" t="s">
        <v>1208</v>
      </c>
      <c r="K64" s="144">
        <v>44594</v>
      </c>
      <c r="L64" s="132">
        <v>15000000</v>
      </c>
      <c r="M64" s="132">
        <v>15000</v>
      </c>
      <c r="N64" s="132">
        <v>9320127</v>
      </c>
      <c r="O64" s="132">
        <v>9320.1270000000004</v>
      </c>
      <c r="P64" s="147">
        <v>0.62134180000000006</v>
      </c>
      <c r="Q64" s="134">
        <v>46386</v>
      </c>
    </row>
    <row r="65" spans="1:17" ht="14.25" x14ac:dyDescent="0.2">
      <c r="A65" t="s">
        <v>1204</v>
      </c>
      <c r="B65" t="s">
        <v>1204</v>
      </c>
      <c r="C65" s="2" t="s">
        <v>1005</v>
      </c>
      <c r="D65" t="s">
        <v>2562</v>
      </c>
      <c r="E65">
        <v>540310109</v>
      </c>
      <c r="F65" t="s">
        <v>310</v>
      </c>
      <c r="G65" t="s">
        <v>2423</v>
      </c>
      <c r="H65">
        <v>666109947</v>
      </c>
      <c r="I65" t="s">
        <v>312</v>
      </c>
      <c r="J65" t="s">
        <v>1208</v>
      </c>
      <c r="K65" s="144">
        <v>44595</v>
      </c>
      <c r="L65" s="132">
        <v>35000000</v>
      </c>
      <c r="M65" s="132">
        <v>35000</v>
      </c>
      <c r="N65" s="132">
        <v>21982944</v>
      </c>
      <c r="O65" s="132">
        <v>21982.944</v>
      </c>
      <c r="P65" s="147">
        <v>0.62808411428571431</v>
      </c>
      <c r="Q65" s="134">
        <v>48841</v>
      </c>
    </row>
    <row r="66" spans="1:17" ht="14.25" x14ac:dyDescent="0.2">
      <c r="A66" t="s">
        <v>1204</v>
      </c>
      <c r="B66" t="s">
        <v>1204</v>
      </c>
      <c r="C66" s="2" t="s">
        <v>1005</v>
      </c>
      <c r="D66" t="s">
        <v>2563</v>
      </c>
      <c r="E66">
        <v>500469614</v>
      </c>
      <c r="F66" t="s">
        <v>310</v>
      </c>
      <c r="G66" t="s">
        <v>2439</v>
      </c>
      <c r="H66">
        <v>666109962</v>
      </c>
      <c r="I66" t="s">
        <v>312</v>
      </c>
      <c r="J66" t="s">
        <v>1209</v>
      </c>
      <c r="K66" s="144">
        <v>44600</v>
      </c>
      <c r="L66" s="132">
        <v>10000000</v>
      </c>
      <c r="M66" s="132">
        <v>37590</v>
      </c>
      <c r="N66" s="132">
        <v>8250000</v>
      </c>
      <c r="O66" s="132">
        <v>31011.75</v>
      </c>
      <c r="P66" s="147">
        <v>0.82499999999999996</v>
      </c>
      <c r="Q66" s="134">
        <v>48231</v>
      </c>
    </row>
    <row r="67" spans="1:17" ht="14.25" x14ac:dyDescent="0.2">
      <c r="A67" t="s">
        <v>1204</v>
      </c>
      <c r="B67" t="s">
        <v>1204</v>
      </c>
      <c r="C67" s="2" t="s">
        <v>1005</v>
      </c>
      <c r="D67" t="s">
        <v>2564</v>
      </c>
      <c r="E67">
        <v>540311354</v>
      </c>
      <c r="F67" t="s">
        <v>309</v>
      </c>
      <c r="G67" t="s">
        <v>2453</v>
      </c>
      <c r="H67">
        <v>666109970</v>
      </c>
      <c r="I67" t="s">
        <v>312</v>
      </c>
      <c r="J67" t="s">
        <v>1208</v>
      </c>
      <c r="K67" s="144">
        <v>44607</v>
      </c>
      <c r="L67" s="132">
        <v>35000000</v>
      </c>
      <c r="M67" s="132">
        <v>35000</v>
      </c>
      <c r="N67" s="132">
        <v>8254720</v>
      </c>
      <c r="O67" s="132">
        <v>8254.7199999999993</v>
      </c>
      <c r="P67" s="147">
        <v>0.23584914285714284</v>
      </c>
      <c r="Q67" s="134">
        <v>48153</v>
      </c>
    </row>
    <row r="68" spans="1:17" ht="14.25" x14ac:dyDescent="0.2">
      <c r="A68" t="s">
        <v>1204</v>
      </c>
      <c r="B68" t="s">
        <v>1204</v>
      </c>
      <c r="C68" s="2" t="s">
        <v>1005</v>
      </c>
      <c r="D68" t="s">
        <v>2565</v>
      </c>
      <c r="E68">
        <v>540311511</v>
      </c>
      <c r="F68" t="s">
        <v>309</v>
      </c>
      <c r="G68" t="s">
        <v>2432</v>
      </c>
      <c r="H68">
        <v>666109996</v>
      </c>
      <c r="I68" t="s">
        <v>312</v>
      </c>
      <c r="J68" t="s">
        <v>1209</v>
      </c>
      <c r="K68" s="144">
        <v>44627</v>
      </c>
      <c r="L68" s="132">
        <v>5000000</v>
      </c>
      <c r="M68" s="132">
        <v>18795</v>
      </c>
      <c r="N68" s="132">
        <v>2969737</v>
      </c>
      <c r="O68" s="132">
        <v>11163.241382999999</v>
      </c>
      <c r="P68" s="147">
        <v>0.5939473999999999</v>
      </c>
      <c r="Q68" s="134">
        <v>48911</v>
      </c>
    </row>
    <row r="69" spans="1:17" ht="14.25" x14ac:dyDescent="0.2">
      <c r="A69" t="s">
        <v>1204</v>
      </c>
      <c r="B69" t="s">
        <v>1204</v>
      </c>
      <c r="C69" s="2" t="s">
        <v>1005</v>
      </c>
      <c r="D69" t="s">
        <v>2438</v>
      </c>
      <c r="E69">
        <v>500468459</v>
      </c>
      <c r="F69" t="s">
        <v>309</v>
      </c>
      <c r="G69" t="s">
        <v>2438</v>
      </c>
      <c r="H69">
        <v>666110028</v>
      </c>
      <c r="I69" t="s">
        <v>312</v>
      </c>
      <c r="J69" t="s">
        <v>1209</v>
      </c>
      <c r="K69" s="144">
        <v>44635</v>
      </c>
      <c r="L69" s="132">
        <v>5000000</v>
      </c>
      <c r="M69" s="132">
        <v>18795</v>
      </c>
      <c r="N69" s="132">
        <v>3338232</v>
      </c>
      <c r="O69" s="132">
        <v>12548.414088</v>
      </c>
      <c r="P69" s="147">
        <v>0.66764639999999997</v>
      </c>
      <c r="Q69" s="134">
        <v>48884</v>
      </c>
    </row>
    <row r="70" spans="1:17" ht="14.25" x14ac:dyDescent="0.2">
      <c r="A70" t="s">
        <v>1204</v>
      </c>
      <c r="B70" t="s">
        <v>1204</v>
      </c>
      <c r="C70" s="2" t="s">
        <v>1005</v>
      </c>
      <c r="D70" t="s">
        <v>2450</v>
      </c>
      <c r="E70">
        <v>540316908</v>
      </c>
      <c r="F70" t="s">
        <v>309</v>
      </c>
      <c r="G70" t="s">
        <v>2450</v>
      </c>
      <c r="H70">
        <v>666110374</v>
      </c>
      <c r="I70" t="s">
        <v>312</v>
      </c>
      <c r="J70" t="s">
        <v>1208</v>
      </c>
      <c r="K70" s="144">
        <v>44724</v>
      </c>
      <c r="L70" s="132">
        <v>50000000</v>
      </c>
      <c r="M70" s="132">
        <v>50000</v>
      </c>
      <c r="N70" s="132">
        <v>14951967</v>
      </c>
      <c r="O70" s="132">
        <v>14951.967000000001</v>
      </c>
      <c r="P70" s="147">
        <v>0.29903933999999999</v>
      </c>
      <c r="Q70" s="134">
        <v>48396</v>
      </c>
    </row>
    <row r="71" spans="1:17" ht="14.25" x14ac:dyDescent="0.2">
      <c r="A71" t="s">
        <v>1204</v>
      </c>
      <c r="B71" t="s">
        <v>1204</v>
      </c>
      <c r="C71" s="2" t="s">
        <v>1005</v>
      </c>
      <c r="D71" t="s">
        <v>1947</v>
      </c>
      <c r="E71">
        <v>510607328</v>
      </c>
      <c r="F71" t="s">
        <v>309</v>
      </c>
      <c r="G71" t="s">
        <v>1947</v>
      </c>
      <c r="H71">
        <v>666110523</v>
      </c>
      <c r="I71" t="s">
        <v>312</v>
      </c>
      <c r="J71" t="s">
        <v>1209</v>
      </c>
      <c r="K71" s="144">
        <v>44753</v>
      </c>
      <c r="L71" s="132">
        <v>10000000</v>
      </c>
      <c r="M71" s="132">
        <v>37590</v>
      </c>
      <c r="N71" s="132">
        <v>2500000</v>
      </c>
      <c r="O71" s="132">
        <v>9397.5</v>
      </c>
      <c r="P71" s="147">
        <v>0.25</v>
      </c>
      <c r="Q71" s="134">
        <v>48396</v>
      </c>
    </row>
    <row r="72" spans="1:17" ht="14.25" x14ac:dyDescent="0.2">
      <c r="A72" t="s">
        <v>1204</v>
      </c>
      <c r="B72" t="s">
        <v>1204</v>
      </c>
      <c r="C72" s="2" t="s">
        <v>1005</v>
      </c>
      <c r="D72" t="s">
        <v>2566</v>
      </c>
      <c r="E72" t="s">
        <v>2613</v>
      </c>
      <c r="F72" t="s">
        <v>311</v>
      </c>
      <c r="G72" t="s">
        <v>2456</v>
      </c>
      <c r="H72">
        <v>666110796</v>
      </c>
      <c r="I72" t="s">
        <v>312</v>
      </c>
      <c r="J72" t="s">
        <v>1209</v>
      </c>
      <c r="K72" s="144">
        <v>44853</v>
      </c>
      <c r="L72" s="132">
        <v>10000000</v>
      </c>
      <c r="M72" s="132">
        <v>37590</v>
      </c>
      <c r="N72" s="132">
        <v>5471756</v>
      </c>
      <c r="O72" s="132">
        <v>20568.330803999997</v>
      </c>
      <c r="P72" s="147">
        <v>0.54717559999999998</v>
      </c>
      <c r="Q72" s="134">
        <v>48092</v>
      </c>
    </row>
    <row r="73" spans="1:17" ht="14.25" x14ac:dyDescent="0.2">
      <c r="A73" t="s">
        <v>1204</v>
      </c>
      <c r="B73" t="s">
        <v>1204</v>
      </c>
      <c r="C73" s="2" t="s">
        <v>1005</v>
      </c>
      <c r="D73" t="s">
        <v>2531</v>
      </c>
      <c r="E73">
        <v>540316940</v>
      </c>
      <c r="F73" t="s">
        <v>310</v>
      </c>
      <c r="G73" t="s">
        <v>2465</v>
      </c>
      <c r="H73">
        <v>666110812</v>
      </c>
      <c r="I73" t="s">
        <v>312</v>
      </c>
      <c r="J73" t="s">
        <v>1209</v>
      </c>
      <c r="K73" s="144">
        <v>44853</v>
      </c>
      <c r="L73" s="132">
        <v>5000000</v>
      </c>
      <c r="M73" s="132">
        <v>18795</v>
      </c>
      <c r="N73" s="132">
        <v>3400000</v>
      </c>
      <c r="O73" s="132">
        <v>12780.6</v>
      </c>
      <c r="P73" s="147">
        <v>0.68</v>
      </c>
      <c r="Q73" s="134">
        <v>47727</v>
      </c>
    </row>
    <row r="74" spans="1:17" ht="14.25" x14ac:dyDescent="0.2">
      <c r="A74" t="s">
        <v>1204</v>
      </c>
      <c r="B74" t="s">
        <v>1204</v>
      </c>
      <c r="C74" s="2" t="s">
        <v>1005</v>
      </c>
      <c r="D74" t="s">
        <v>2540</v>
      </c>
      <c r="E74">
        <v>1999686</v>
      </c>
      <c r="F74" t="s">
        <v>311</v>
      </c>
      <c r="G74" t="s">
        <v>2466</v>
      </c>
      <c r="H74">
        <v>666110911</v>
      </c>
      <c r="I74" t="s">
        <v>312</v>
      </c>
      <c r="J74" t="s">
        <v>1209</v>
      </c>
      <c r="K74" s="144">
        <v>44882</v>
      </c>
      <c r="L74" s="132">
        <v>3000000</v>
      </c>
      <c r="M74" s="132">
        <v>11277</v>
      </c>
      <c r="N74" s="132">
        <v>2100000</v>
      </c>
      <c r="O74" s="132">
        <v>7893.9</v>
      </c>
      <c r="P74" s="147">
        <v>0.7</v>
      </c>
      <c r="Q74" s="134">
        <v>47331</v>
      </c>
    </row>
    <row r="75" spans="1:17" ht="14.25" x14ac:dyDescent="0.2">
      <c r="A75" t="s">
        <v>1204</v>
      </c>
      <c r="B75" t="s">
        <v>1204</v>
      </c>
      <c r="C75" s="2" t="s">
        <v>1005</v>
      </c>
      <c r="D75" t="s">
        <v>2554</v>
      </c>
      <c r="E75" t="s">
        <v>2608</v>
      </c>
      <c r="F75" t="s">
        <v>311</v>
      </c>
      <c r="G75" t="s">
        <v>2418</v>
      </c>
      <c r="H75">
        <v>666111125</v>
      </c>
      <c r="I75" t="s">
        <v>312</v>
      </c>
      <c r="J75" t="s">
        <v>1211</v>
      </c>
      <c r="K75" s="144">
        <v>44945</v>
      </c>
      <c r="L75" s="132">
        <v>10000000</v>
      </c>
      <c r="M75" s="132">
        <v>40202</v>
      </c>
      <c r="N75" s="132">
        <v>5422276.4500000002</v>
      </c>
      <c r="O75" s="132">
        <v>21798.63578429</v>
      </c>
      <c r="P75" s="147">
        <v>0.54222764499999998</v>
      </c>
      <c r="Q75" s="134">
        <v>48670</v>
      </c>
    </row>
    <row r="76" spans="1:17" ht="14.25" x14ac:dyDescent="0.2">
      <c r="A76" t="s">
        <v>1204</v>
      </c>
      <c r="B76" t="s">
        <v>1204</v>
      </c>
      <c r="C76" s="2" t="s">
        <v>1005</v>
      </c>
      <c r="D76" t="s">
        <v>2567</v>
      </c>
      <c r="E76">
        <v>540312105</v>
      </c>
      <c r="F76" t="s">
        <v>309</v>
      </c>
      <c r="G76" t="s">
        <v>2433</v>
      </c>
      <c r="H76">
        <v>666111174</v>
      </c>
      <c r="I76" t="s">
        <v>312</v>
      </c>
      <c r="J76" t="s">
        <v>1208</v>
      </c>
      <c r="K76" s="144">
        <v>44970</v>
      </c>
      <c r="L76" s="132">
        <v>20000000</v>
      </c>
      <c r="M76" s="132">
        <v>20000</v>
      </c>
      <c r="N76" s="132">
        <v>11248689.4</v>
      </c>
      <c r="O76" s="132">
        <v>11248.689400000001</v>
      </c>
      <c r="P76" s="147">
        <v>0.56243447000000002</v>
      </c>
      <c r="Q76" s="134">
        <v>47880</v>
      </c>
    </row>
    <row r="77" spans="1:17" ht="14.25" x14ac:dyDescent="0.2">
      <c r="A77" t="s">
        <v>1204</v>
      </c>
      <c r="B77" t="s">
        <v>1204</v>
      </c>
      <c r="C77" s="2" t="s">
        <v>1005</v>
      </c>
      <c r="D77" t="s">
        <v>1598</v>
      </c>
      <c r="E77" t="s">
        <v>2606</v>
      </c>
      <c r="F77" t="s">
        <v>313</v>
      </c>
      <c r="G77" t="s">
        <v>2462</v>
      </c>
      <c r="H77">
        <v>666111232</v>
      </c>
      <c r="I77" t="s">
        <v>312</v>
      </c>
      <c r="J77" t="s">
        <v>1209</v>
      </c>
      <c r="K77" s="144">
        <v>45006</v>
      </c>
      <c r="L77" s="132">
        <v>5000000</v>
      </c>
      <c r="M77" s="132">
        <v>18795</v>
      </c>
      <c r="N77" s="132">
        <v>2250000</v>
      </c>
      <c r="O77" s="132">
        <v>8457.75</v>
      </c>
      <c r="P77" s="147">
        <v>0.45</v>
      </c>
      <c r="Q77" s="134">
        <v>47208</v>
      </c>
    </row>
    <row r="78" spans="1:17" ht="14.25" x14ac:dyDescent="0.2">
      <c r="A78" t="s">
        <v>1204</v>
      </c>
      <c r="B78" t="s">
        <v>1204</v>
      </c>
      <c r="C78" s="2" t="s">
        <v>1005</v>
      </c>
      <c r="D78" t="s">
        <v>2568</v>
      </c>
      <c r="E78">
        <v>513373993</v>
      </c>
      <c r="F78" t="s">
        <v>309</v>
      </c>
      <c r="G78" t="s">
        <v>2463</v>
      </c>
      <c r="H78">
        <v>666111299</v>
      </c>
      <c r="I78" t="s">
        <v>312</v>
      </c>
      <c r="J78" t="s">
        <v>1209</v>
      </c>
      <c r="K78" s="144">
        <v>45026</v>
      </c>
      <c r="L78" s="132">
        <v>7000000</v>
      </c>
      <c r="M78" s="132">
        <v>26313</v>
      </c>
      <c r="N78" s="132">
        <v>3499343.28</v>
      </c>
      <c r="O78" s="132">
        <v>13154.031389519998</v>
      </c>
      <c r="P78" s="147">
        <v>0.49990618285714278</v>
      </c>
      <c r="Q78" s="134">
        <v>47939</v>
      </c>
    </row>
    <row r="79" spans="1:17" ht="14.25" x14ac:dyDescent="0.2">
      <c r="A79" t="s">
        <v>1204</v>
      </c>
      <c r="B79" t="s">
        <v>1204</v>
      </c>
      <c r="C79" s="2" t="s">
        <v>1005</v>
      </c>
      <c r="D79" t="s">
        <v>2569</v>
      </c>
      <c r="E79" t="s">
        <v>2614</v>
      </c>
      <c r="F79" t="s">
        <v>313</v>
      </c>
      <c r="G79" t="s">
        <v>2431</v>
      </c>
      <c r="H79">
        <v>666111323</v>
      </c>
      <c r="I79" t="s">
        <v>312</v>
      </c>
      <c r="J79" t="s">
        <v>1208</v>
      </c>
      <c r="K79" s="144">
        <v>45036</v>
      </c>
      <c r="L79" s="132">
        <v>20000000</v>
      </c>
      <c r="M79" s="132">
        <v>20000</v>
      </c>
      <c r="N79" s="132">
        <v>14000000</v>
      </c>
      <c r="O79" s="132">
        <v>14000</v>
      </c>
      <c r="P79" s="147">
        <v>0.7</v>
      </c>
      <c r="Q79" s="134">
        <v>47939</v>
      </c>
    </row>
    <row r="80" spans="1:17" ht="14.25" x14ac:dyDescent="0.2">
      <c r="A80" t="s">
        <v>1204</v>
      </c>
      <c r="B80" t="s">
        <v>1204</v>
      </c>
      <c r="C80" s="2" t="s">
        <v>1005</v>
      </c>
      <c r="D80" t="s">
        <v>2545</v>
      </c>
      <c r="E80" t="s">
        <v>2615</v>
      </c>
      <c r="F80" t="s">
        <v>311</v>
      </c>
      <c r="G80" t="s">
        <v>2428</v>
      </c>
      <c r="H80">
        <v>666111430</v>
      </c>
      <c r="I80" t="s">
        <v>312</v>
      </c>
      <c r="J80" t="s">
        <v>1209</v>
      </c>
      <c r="K80" s="144">
        <v>45139</v>
      </c>
      <c r="L80" s="132">
        <v>7000000</v>
      </c>
      <c r="M80" s="132">
        <v>26313</v>
      </c>
      <c r="N80" s="132">
        <v>5056683</v>
      </c>
      <c r="O80" s="132">
        <v>19008.071397</v>
      </c>
      <c r="P80" s="147">
        <v>0.72238328571428567</v>
      </c>
      <c r="Q80" s="134">
        <v>48227</v>
      </c>
    </row>
    <row r="81" spans="1:26" ht="14.25" x14ac:dyDescent="0.2">
      <c r="A81" t="s">
        <v>1204</v>
      </c>
      <c r="B81" t="s">
        <v>1204</v>
      </c>
      <c r="C81" s="2" t="s">
        <v>1005</v>
      </c>
      <c r="D81" t="s">
        <v>2424</v>
      </c>
      <c r="E81" t="s">
        <v>2616</v>
      </c>
      <c r="F81" t="s">
        <v>311</v>
      </c>
      <c r="G81" t="s">
        <v>2424</v>
      </c>
      <c r="H81">
        <v>666111695</v>
      </c>
      <c r="I81" t="s">
        <v>312</v>
      </c>
      <c r="J81" t="s">
        <v>1209</v>
      </c>
      <c r="K81" s="144">
        <v>45197</v>
      </c>
      <c r="L81" s="132">
        <v>10000000</v>
      </c>
      <c r="M81" s="132">
        <v>37590</v>
      </c>
      <c r="N81" s="132">
        <v>6301937.5199999996</v>
      </c>
      <c r="O81" s="132">
        <v>23688.983137679999</v>
      </c>
      <c r="P81" s="147">
        <v>0.63019375199999994</v>
      </c>
      <c r="Q81" s="134">
        <v>48670</v>
      </c>
    </row>
    <row r="82" spans="1:26" ht="14.25" x14ac:dyDescent="0.2">
      <c r="A82" t="s">
        <v>1204</v>
      </c>
      <c r="B82" t="s">
        <v>1204</v>
      </c>
      <c r="C82" s="2" t="s">
        <v>1005</v>
      </c>
      <c r="D82" t="s">
        <v>2570</v>
      </c>
      <c r="E82">
        <v>530278654</v>
      </c>
      <c r="F82" t="s">
        <v>310</v>
      </c>
      <c r="G82" t="s">
        <v>2426</v>
      </c>
      <c r="H82">
        <v>666111752</v>
      </c>
      <c r="I82" t="s">
        <v>312</v>
      </c>
      <c r="J82" t="s">
        <v>1209</v>
      </c>
      <c r="K82" s="144">
        <v>45221</v>
      </c>
      <c r="L82" s="132">
        <v>10000000</v>
      </c>
      <c r="M82" s="132">
        <v>37590</v>
      </c>
      <c r="N82" s="132">
        <v>7750000</v>
      </c>
      <c r="O82" s="132">
        <v>29132.25</v>
      </c>
      <c r="P82" s="147">
        <v>0.77500000000000002</v>
      </c>
      <c r="Q82" s="134">
        <v>48396</v>
      </c>
    </row>
    <row r="83" spans="1:26" ht="14.25" x14ac:dyDescent="0.2">
      <c r="A83" t="s">
        <v>1204</v>
      </c>
      <c r="B83" t="s">
        <v>1204</v>
      </c>
      <c r="C83" s="2" t="s">
        <v>1005</v>
      </c>
      <c r="D83" t="s">
        <v>1934</v>
      </c>
      <c r="E83">
        <v>515459063</v>
      </c>
      <c r="F83" t="s">
        <v>310</v>
      </c>
      <c r="G83" t="s">
        <v>2442</v>
      </c>
      <c r="H83">
        <v>666111802</v>
      </c>
      <c r="I83" t="s">
        <v>312</v>
      </c>
      <c r="J83" t="s">
        <v>1208</v>
      </c>
      <c r="K83" s="144">
        <v>45222</v>
      </c>
      <c r="L83" s="132">
        <v>20000000</v>
      </c>
      <c r="M83" s="132">
        <v>20000</v>
      </c>
      <c r="N83" s="132">
        <v>16238886</v>
      </c>
      <c r="O83" s="132">
        <v>16238.886</v>
      </c>
      <c r="P83" s="147">
        <v>0.81194430000000006</v>
      </c>
      <c r="Q83" s="134">
        <v>47639</v>
      </c>
    </row>
    <row r="84" spans="1:26" ht="14.25" x14ac:dyDescent="0.2">
      <c r="A84" t="s">
        <v>1204</v>
      </c>
      <c r="B84" t="s">
        <v>1204</v>
      </c>
      <c r="C84" s="2" t="s">
        <v>1005</v>
      </c>
      <c r="D84" t="s">
        <v>2571</v>
      </c>
      <c r="E84" t="s">
        <v>2617</v>
      </c>
      <c r="F84" t="s">
        <v>313</v>
      </c>
      <c r="G84" t="s">
        <v>2461</v>
      </c>
      <c r="H84">
        <v>666111844</v>
      </c>
      <c r="I84" t="s">
        <v>312</v>
      </c>
      <c r="J84" t="s">
        <v>1209</v>
      </c>
      <c r="K84" s="144">
        <v>45236</v>
      </c>
      <c r="L84" s="132">
        <v>6000000</v>
      </c>
      <c r="M84" s="132">
        <v>22554</v>
      </c>
      <c r="N84" s="132">
        <v>2820073</v>
      </c>
      <c r="O84" s="132">
        <v>10600.654407</v>
      </c>
      <c r="P84" s="147">
        <v>0.47001216666666668</v>
      </c>
      <c r="Q84" s="134">
        <v>48823</v>
      </c>
    </row>
    <row r="85" spans="1:26" ht="14.25" x14ac:dyDescent="0.2">
      <c r="A85" t="s">
        <v>1204</v>
      </c>
      <c r="B85" t="s">
        <v>1204</v>
      </c>
      <c r="C85" s="2" t="s">
        <v>1005</v>
      </c>
      <c r="D85" t="s">
        <v>2521</v>
      </c>
      <c r="E85">
        <v>540324886</v>
      </c>
      <c r="F85" t="s">
        <v>310</v>
      </c>
      <c r="G85" t="s">
        <v>2447</v>
      </c>
      <c r="H85">
        <v>666111885</v>
      </c>
      <c r="I85" t="s">
        <v>312</v>
      </c>
      <c r="J85" t="s">
        <v>1208</v>
      </c>
      <c r="K85" s="144">
        <v>45257</v>
      </c>
      <c r="L85" s="132">
        <v>20000000</v>
      </c>
      <c r="M85" s="132">
        <v>20000</v>
      </c>
      <c r="N85" s="132">
        <v>19800000</v>
      </c>
      <c r="O85" s="132">
        <v>19800</v>
      </c>
      <c r="P85" s="147">
        <v>0.99</v>
      </c>
      <c r="Q85" s="134">
        <v>47990</v>
      </c>
    </row>
    <row r="86" spans="1:26" ht="14.25" x14ac:dyDescent="0.2">
      <c r="A86" t="s">
        <v>1204</v>
      </c>
      <c r="B86" t="s">
        <v>1204</v>
      </c>
      <c r="C86" s="2" t="s">
        <v>1005</v>
      </c>
      <c r="D86" t="s">
        <v>2572</v>
      </c>
      <c r="E86" t="s">
        <v>2618</v>
      </c>
      <c r="F86" t="s">
        <v>311</v>
      </c>
      <c r="G86" t="s">
        <v>2436</v>
      </c>
      <c r="H86">
        <v>666111992</v>
      </c>
      <c r="I86" t="s">
        <v>312</v>
      </c>
      <c r="J86" t="s">
        <v>1209</v>
      </c>
      <c r="K86" s="144">
        <v>45330</v>
      </c>
      <c r="L86" s="132">
        <v>7000000</v>
      </c>
      <c r="M86" s="132">
        <v>26313</v>
      </c>
      <c r="N86" s="132">
        <v>5539132</v>
      </c>
      <c r="O86" s="132">
        <v>20821.597188</v>
      </c>
      <c r="P86" s="147">
        <v>0.79130457142857147</v>
      </c>
      <c r="Q86" s="134">
        <v>48731</v>
      </c>
    </row>
    <row r="87" spans="1:26" ht="14.25" x14ac:dyDescent="0.2">
      <c r="A87" t="s">
        <v>1204</v>
      </c>
      <c r="B87" t="s">
        <v>1204</v>
      </c>
      <c r="C87" s="2" t="s">
        <v>1005</v>
      </c>
      <c r="D87" t="s">
        <v>2573</v>
      </c>
      <c r="E87" t="s">
        <v>2619</v>
      </c>
      <c r="F87" t="s">
        <v>311</v>
      </c>
      <c r="G87" t="s">
        <v>2443</v>
      </c>
      <c r="H87">
        <v>666112065</v>
      </c>
      <c r="I87" t="s">
        <v>312</v>
      </c>
      <c r="J87" t="s">
        <v>1209</v>
      </c>
      <c r="K87" s="144">
        <v>45330</v>
      </c>
      <c r="L87" s="132">
        <v>6000000</v>
      </c>
      <c r="M87" s="132">
        <v>22554</v>
      </c>
      <c r="N87" s="132">
        <v>5390046.2400000002</v>
      </c>
      <c r="O87" s="132">
        <v>20261.183816160003</v>
      </c>
      <c r="P87" s="147">
        <v>0.89834104000000015</v>
      </c>
      <c r="Q87" s="134">
        <v>49034</v>
      </c>
    </row>
    <row r="88" spans="1:26" ht="14.25" x14ac:dyDescent="0.2">
      <c r="A88" t="s">
        <v>1204</v>
      </c>
      <c r="B88" t="s">
        <v>1204</v>
      </c>
      <c r="C88" s="2" t="s">
        <v>1005</v>
      </c>
      <c r="D88" t="s">
        <v>2574</v>
      </c>
      <c r="E88" t="s">
        <v>2620</v>
      </c>
      <c r="F88" t="s">
        <v>311</v>
      </c>
      <c r="G88" t="s">
        <v>2440</v>
      </c>
      <c r="H88">
        <v>666112131</v>
      </c>
      <c r="I88" t="s">
        <v>312</v>
      </c>
      <c r="J88" t="s">
        <v>1209</v>
      </c>
      <c r="K88" s="144">
        <v>45365</v>
      </c>
      <c r="L88" s="132">
        <v>6000000</v>
      </c>
      <c r="M88" s="132">
        <v>22554</v>
      </c>
      <c r="N88" s="132">
        <v>4763895</v>
      </c>
      <c r="O88" s="132">
        <v>17907.481305000001</v>
      </c>
      <c r="P88" s="147">
        <v>0.79398250000000004</v>
      </c>
      <c r="Q88" s="134">
        <v>47391</v>
      </c>
    </row>
    <row r="89" spans="1:26" ht="14.25" x14ac:dyDescent="0.2">
      <c r="A89" t="s">
        <v>1204</v>
      </c>
      <c r="B89" t="s">
        <v>1204</v>
      </c>
      <c r="C89" s="2" t="s">
        <v>1005</v>
      </c>
      <c r="D89" t="s">
        <v>2438</v>
      </c>
      <c r="E89">
        <v>500468459</v>
      </c>
      <c r="F89" t="s">
        <v>309</v>
      </c>
      <c r="G89" t="s">
        <v>2444</v>
      </c>
      <c r="H89">
        <v>666112214</v>
      </c>
      <c r="I89" t="s">
        <v>312</v>
      </c>
      <c r="J89" t="s">
        <v>1209</v>
      </c>
      <c r="K89" s="144">
        <v>45383</v>
      </c>
      <c r="L89" s="132">
        <v>5000000</v>
      </c>
      <c r="M89" s="132">
        <v>18795</v>
      </c>
      <c r="N89" s="132">
        <v>4748427</v>
      </c>
      <c r="O89" s="132">
        <v>17849.337092999998</v>
      </c>
      <c r="P89" s="147">
        <v>0.9496853999999999</v>
      </c>
      <c r="Q89" s="134">
        <v>48884</v>
      </c>
    </row>
    <row r="90" spans="1:26" ht="14.1" customHeight="1" x14ac:dyDescent="0.2">
      <c r="A90" t="s">
        <v>1204</v>
      </c>
      <c r="B90" t="s">
        <v>1204</v>
      </c>
      <c r="C90" s="2" t="s">
        <v>1005</v>
      </c>
      <c r="D90" s="145" t="s">
        <v>2622</v>
      </c>
      <c r="E90" t="s">
        <v>2602</v>
      </c>
      <c r="F90" t="s">
        <v>311</v>
      </c>
      <c r="G90" s="145" t="s">
        <v>2622</v>
      </c>
      <c r="H90">
        <v>666112552</v>
      </c>
      <c r="I90" t="s">
        <v>312</v>
      </c>
      <c r="J90" t="s">
        <v>1209</v>
      </c>
      <c r="K90" s="144">
        <v>45444</v>
      </c>
      <c r="L90" s="132">
        <v>6000000</v>
      </c>
      <c r="M90" s="132">
        <v>22554</v>
      </c>
      <c r="N90" s="132">
        <v>6000000</v>
      </c>
      <c r="O90" s="132">
        <v>22554</v>
      </c>
      <c r="P90" s="147">
        <v>1</v>
      </c>
      <c r="Q90" s="144">
        <v>49124</v>
      </c>
    </row>
    <row r="91" spans="1:26" ht="14.1" customHeight="1" x14ac:dyDescent="0.2">
      <c r="A91" t="s">
        <v>1204</v>
      </c>
      <c r="B91" t="s">
        <v>1204</v>
      </c>
      <c r="C91" s="2" t="s">
        <v>1005</v>
      </c>
      <c r="D91" t="s">
        <v>2624</v>
      </c>
      <c r="E91">
        <v>550276117</v>
      </c>
      <c r="F91" t="s">
        <v>310</v>
      </c>
      <c r="G91" s="146" t="s">
        <v>2623</v>
      </c>
      <c r="H91">
        <v>666112148</v>
      </c>
      <c r="I91" t="s">
        <v>312</v>
      </c>
      <c r="J91" t="s">
        <v>1209</v>
      </c>
      <c r="K91" s="144">
        <v>47284</v>
      </c>
      <c r="L91" s="132">
        <v>3000000</v>
      </c>
      <c r="M91" s="132">
        <v>11277</v>
      </c>
      <c r="N91" s="132">
        <v>3000000</v>
      </c>
      <c r="O91" s="132">
        <v>11277</v>
      </c>
      <c r="P91" s="147">
        <v>1</v>
      </c>
      <c r="Q91" s="144">
        <v>47284</v>
      </c>
    </row>
    <row r="92" spans="1:26" ht="14.1" customHeight="1" x14ac:dyDescent="0.2">
      <c r="A92" s="195" t="s">
        <v>2681</v>
      </c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</sheetData>
  <sheetProtection formatColumns="0"/>
  <dataConsolidate/>
  <mergeCells count="1">
    <mergeCell ref="A92:Z92"/>
  </mergeCells>
  <dataValidations count="2">
    <dataValidation type="list" allowBlank="1" showInputMessage="1" showErrorMessage="1" sqref="F2:F90" xr:uid="{0FE61BC2-02EE-4B11-991A-18D2BFB71F2B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Z1316"/>
  <sheetViews>
    <sheetView showGridLines="0" rightToLeft="1" zoomScale="85" zoomScaleNormal="85" workbookViewId="0">
      <pane ySplit="1" topLeftCell="A1114" activePane="bottomLeft" state="frozen"/>
      <selection pane="bottomLeft" activeCell="A1080" sqref="A1080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1" customFormat="1" ht="45" x14ac:dyDescent="0.2">
      <c r="A1" s="40" t="s">
        <v>198</v>
      </c>
      <c r="B1" s="40" t="s">
        <v>199</v>
      </c>
      <c r="C1" s="40" t="s">
        <v>200</v>
      </c>
      <c r="D1" s="40" t="s">
        <v>201</v>
      </c>
      <c r="E1" s="101" t="s">
        <v>202</v>
      </c>
      <c r="F1"/>
      <c r="G1"/>
      <c r="H1"/>
    </row>
    <row r="2" spans="1:8" x14ac:dyDescent="0.2">
      <c r="A2" s="67"/>
      <c r="B2" s="67" t="s">
        <v>203</v>
      </c>
      <c r="C2" s="18" t="s">
        <v>204</v>
      </c>
      <c r="D2" s="18"/>
    </row>
    <row r="3" spans="1:8" x14ac:dyDescent="0.2">
      <c r="A3" s="68"/>
      <c r="B3" s="68"/>
      <c r="C3" s="18" t="s">
        <v>205</v>
      </c>
      <c r="D3" s="18"/>
    </row>
    <row r="4" spans="1:8" ht="42.75" x14ac:dyDescent="0.2">
      <c r="A4" s="108"/>
      <c r="B4" s="77" t="s">
        <v>206</v>
      </c>
      <c r="C4" s="19" t="s">
        <v>204</v>
      </c>
      <c r="D4" s="19"/>
    </row>
    <row r="5" spans="1:8" x14ac:dyDescent="0.2">
      <c r="A5" s="109"/>
      <c r="B5" s="78"/>
      <c r="C5" s="19" t="s">
        <v>207</v>
      </c>
      <c r="D5" s="19"/>
    </row>
    <row r="6" spans="1:8" x14ac:dyDescent="0.2">
      <c r="A6" s="109"/>
      <c r="B6" s="78"/>
      <c r="C6" s="19" t="s">
        <v>208</v>
      </c>
      <c r="D6" s="19"/>
    </row>
    <row r="7" spans="1:8" x14ac:dyDescent="0.2">
      <c r="A7" s="109"/>
      <c r="B7" s="78"/>
      <c r="C7" s="19" t="s">
        <v>209</v>
      </c>
      <c r="D7" s="19"/>
    </row>
    <row r="8" spans="1:8" x14ac:dyDescent="0.2">
      <c r="A8" s="109"/>
      <c r="B8" s="78"/>
      <c r="C8" s="19" t="s">
        <v>210</v>
      </c>
      <c r="D8" s="19"/>
    </row>
    <row r="9" spans="1:8" x14ac:dyDescent="0.2">
      <c r="A9" s="109"/>
      <c r="B9" s="78"/>
      <c r="C9" s="19" t="s">
        <v>211</v>
      </c>
      <c r="D9" s="19"/>
    </row>
    <row r="10" spans="1:8" x14ac:dyDescent="0.2">
      <c r="A10" s="109"/>
      <c r="B10" s="78"/>
      <c r="C10" s="19" t="s">
        <v>212</v>
      </c>
      <c r="D10" s="19"/>
    </row>
    <row r="11" spans="1:8" x14ac:dyDescent="0.2">
      <c r="A11" s="109"/>
      <c r="B11" s="78"/>
      <c r="C11" s="19" t="s">
        <v>213</v>
      </c>
      <c r="D11" s="19"/>
      <c r="E11" t="s">
        <v>214</v>
      </c>
    </row>
    <row r="12" spans="1:8" x14ac:dyDescent="0.2">
      <c r="A12" s="109"/>
      <c r="B12" s="78"/>
      <c r="C12" s="19" t="s">
        <v>215</v>
      </c>
      <c r="D12" s="19"/>
      <c r="E12" t="s">
        <v>214</v>
      </c>
    </row>
    <row r="13" spans="1:8" x14ac:dyDescent="0.2">
      <c r="A13" s="109"/>
      <c r="B13" s="78"/>
      <c r="C13" s="19" t="s">
        <v>216</v>
      </c>
      <c r="D13" s="19"/>
    </row>
    <row r="14" spans="1:8" x14ac:dyDescent="0.2">
      <c r="A14" s="109"/>
      <c r="B14" s="78"/>
      <c r="C14" s="19" t="s">
        <v>217</v>
      </c>
      <c r="D14" s="19"/>
    </row>
    <row r="15" spans="1:8" x14ac:dyDescent="0.2">
      <c r="A15" s="109"/>
      <c r="B15" s="78"/>
      <c r="C15" s="19" t="s">
        <v>218</v>
      </c>
      <c r="D15" s="19"/>
    </row>
    <row r="16" spans="1:8" x14ac:dyDescent="0.2">
      <c r="A16" s="109"/>
      <c r="B16" s="78"/>
      <c r="C16" s="19" t="s">
        <v>219</v>
      </c>
      <c r="D16" s="19"/>
    </row>
    <row r="17" spans="1:4" x14ac:dyDescent="0.2">
      <c r="A17" s="109"/>
      <c r="B17" s="78"/>
      <c r="C17" s="19" t="s">
        <v>220</v>
      </c>
      <c r="D17" s="19"/>
    </row>
    <row r="18" spans="1:4" x14ac:dyDescent="0.2">
      <c r="A18" s="109"/>
      <c r="B18" s="78"/>
      <c r="C18" s="19" t="s">
        <v>221</v>
      </c>
      <c r="D18" s="19"/>
    </row>
    <row r="19" spans="1:4" x14ac:dyDescent="0.2">
      <c r="A19" s="109"/>
      <c r="B19" s="78"/>
      <c r="C19" s="19" t="s">
        <v>222</v>
      </c>
      <c r="D19" s="19"/>
    </row>
    <row r="20" spans="1:4" x14ac:dyDescent="0.2">
      <c r="A20" s="109"/>
      <c r="B20" s="78"/>
      <c r="C20" s="19" t="s">
        <v>223</v>
      </c>
      <c r="D20" s="19"/>
    </row>
    <row r="21" spans="1:4" x14ac:dyDescent="0.2">
      <c r="A21" s="109"/>
      <c r="B21" s="78"/>
      <c r="C21" s="19" t="s">
        <v>224</v>
      </c>
      <c r="D21" s="19"/>
    </row>
    <row r="22" spans="1:4" x14ac:dyDescent="0.2">
      <c r="A22" s="109"/>
      <c r="B22" s="78"/>
      <c r="C22" s="19" t="s">
        <v>225</v>
      </c>
      <c r="D22" s="19"/>
    </row>
    <row r="23" spans="1:4" x14ac:dyDescent="0.2">
      <c r="A23" s="109"/>
      <c r="B23" s="78"/>
      <c r="C23" s="19" t="s">
        <v>226</v>
      </c>
      <c r="D23" s="19"/>
    </row>
    <row r="24" spans="1:4" x14ac:dyDescent="0.2">
      <c r="A24" s="109"/>
      <c r="B24" s="78"/>
      <c r="C24" s="19" t="s">
        <v>227</v>
      </c>
      <c r="D24" s="19"/>
    </row>
    <row r="25" spans="1:4" x14ac:dyDescent="0.2">
      <c r="A25" s="109"/>
      <c r="B25" s="78"/>
      <c r="C25" s="19" t="s">
        <v>228</v>
      </c>
      <c r="D25" s="19"/>
    </row>
    <row r="26" spans="1:4" x14ac:dyDescent="0.2">
      <c r="A26" s="109"/>
      <c r="B26" s="78"/>
      <c r="C26" s="19" t="s">
        <v>229</v>
      </c>
      <c r="D26" s="19"/>
    </row>
    <row r="27" spans="1:4" x14ac:dyDescent="0.2">
      <c r="A27" s="109"/>
      <c r="B27" s="78"/>
      <c r="C27" s="19" t="s">
        <v>230</v>
      </c>
      <c r="D27" s="19"/>
    </row>
    <row r="28" spans="1:4" x14ac:dyDescent="0.2">
      <c r="A28" s="109"/>
      <c r="B28" s="78"/>
      <c r="C28" s="19" t="s">
        <v>231</v>
      </c>
      <c r="D28" s="19"/>
    </row>
    <row r="29" spans="1:4" x14ac:dyDescent="0.2">
      <c r="A29" s="109"/>
      <c r="B29" s="78"/>
      <c r="C29" s="19" t="s">
        <v>232</v>
      </c>
      <c r="D29" s="19"/>
    </row>
    <row r="30" spans="1:4" x14ac:dyDescent="0.2">
      <c r="A30" s="109"/>
      <c r="B30" s="78"/>
      <c r="C30" s="19" t="s">
        <v>233</v>
      </c>
      <c r="D30" s="19"/>
    </row>
    <row r="31" spans="1:4" x14ac:dyDescent="0.2">
      <c r="A31" s="109"/>
      <c r="B31" s="78"/>
      <c r="C31" s="19" t="s">
        <v>234</v>
      </c>
      <c r="D31" s="19"/>
    </row>
    <row r="32" spans="1:4" x14ac:dyDescent="0.2">
      <c r="A32" s="109"/>
      <c r="B32" s="78"/>
      <c r="C32" s="19" t="s">
        <v>235</v>
      </c>
      <c r="D32" s="19"/>
    </row>
    <row r="33" spans="1:5" x14ac:dyDescent="0.2">
      <c r="A33" s="109"/>
      <c r="B33" s="78"/>
      <c r="C33" s="19" t="s">
        <v>236</v>
      </c>
      <c r="D33" s="19"/>
    </row>
    <row r="34" spans="1:5" x14ac:dyDescent="0.2">
      <c r="A34" s="109"/>
      <c r="B34" s="78"/>
      <c r="C34" s="19" t="s">
        <v>237</v>
      </c>
      <c r="D34" s="19"/>
    </row>
    <row r="35" spans="1:5" x14ac:dyDescent="0.2">
      <c r="A35" s="109"/>
      <c r="B35" s="78"/>
      <c r="C35" s="19" t="s">
        <v>238</v>
      </c>
      <c r="D35" s="19"/>
    </row>
    <row r="36" spans="1:5" x14ac:dyDescent="0.2">
      <c r="A36" s="109"/>
      <c r="B36" s="78"/>
      <c r="C36" s="19" t="s">
        <v>239</v>
      </c>
      <c r="D36" s="19"/>
      <c r="E36" t="s">
        <v>214</v>
      </c>
    </row>
    <row r="37" spans="1:5" x14ac:dyDescent="0.2">
      <c r="A37" s="109"/>
      <c r="B37" s="78"/>
      <c r="C37" s="102" t="s">
        <v>240</v>
      </c>
      <c r="D37" s="19"/>
      <c r="E37" t="s">
        <v>214</v>
      </c>
    </row>
    <row r="38" spans="1:5" x14ac:dyDescent="0.2">
      <c r="A38" s="109"/>
      <c r="B38" s="78"/>
      <c r="C38" s="19" t="s">
        <v>241</v>
      </c>
      <c r="D38" s="19"/>
    </row>
    <row r="39" spans="1:5" x14ac:dyDescent="0.2">
      <c r="A39" s="109"/>
      <c r="B39" s="78"/>
      <c r="C39" s="19" t="s">
        <v>242</v>
      </c>
      <c r="D39" s="19"/>
    </row>
    <row r="40" spans="1:5" x14ac:dyDescent="0.2">
      <c r="A40" s="109"/>
      <c r="B40" s="78"/>
      <c r="C40" s="19" t="s">
        <v>243</v>
      </c>
      <c r="D40" s="19"/>
      <c r="E40" t="s">
        <v>214</v>
      </c>
    </row>
    <row r="41" spans="1:5" x14ac:dyDescent="0.2">
      <c r="A41" s="109"/>
      <c r="B41" s="78"/>
      <c r="C41" s="19" t="s">
        <v>244</v>
      </c>
      <c r="D41" s="19"/>
    </row>
    <row r="42" spans="1:5" x14ac:dyDescent="0.2">
      <c r="A42" s="109"/>
      <c r="B42" s="78"/>
      <c r="C42" s="19" t="s">
        <v>245</v>
      </c>
      <c r="D42" s="19"/>
    </row>
    <row r="43" spans="1:5" x14ac:dyDescent="0.2">
      <c r="A43" s="109"/>
      <c r="B43" s="78"/>
      <c r="C43" s="19" t="s">
        <v>246</v>
      </c>
      <c r="D43" s="19"/>
    </row>
    <row r="44" spans="1:5" x14ac:dyDescent="0.2">
      <c r="A44" s="109"/>
      <c r="B44" s="78"/>
      <c r="C44" s="19" t="s">
        <v>247</v>
      </c>
      <c r="D44" s="19"/>
    </row>
    <row r="45" spans="1:5" x14ac:dyDescent="0.2">
      <c r="A45" s="109"/>
      <c r="B45" s="78"/>
      <c r="C45" s="19" t="s">
        <v>248</v>
      </c>
      <c r="D45" s="19"/>
    </row>
    <row r="46" spans="1:5" x14ac:dyDescent="0.2">
      <c r="A46" s="109"/>
      <c r="B46" s="78"/>
      <c r="C46" s="19" t="s">
        <v>249</v>
      </c>
      <c r="D46" s="19"/>
      <c r="E46" t="s">
        <v>214</v>
      </c>
    </row>
    <row r="47" spans="1:5" x14ac:dyDescent="0.2">
      <c r="A47" s="109"/>
      <c r="B47" s="78"/>
      <c r="C47" s="19" t="s">
        <v>250</v>
      </c>
      <c r="D47" s="19"/>
    </row>
    <row r="48" spans="1:5" x14ac:dyDescent="0.2">
      <c r="A48" s="109"/>
      <c r="B48" s="78"/>
      <c r="C48" s="19" t="s">
        <v>251</v>
      </c>
      <c r="D48" s="19"/>
    </row>
    <row r="49" spans="1:5" x14ac:dyDescent="0.2">
      <c r="A49" s="109"/>
      <c r="B49" s="78"/>
      <c r="C49" s="19" t="s">
        <v>252</v>
      </c>
      <c r="D49" s="19"/>
    </row>
    <row r="50" spans="1:5" x14ac:dyDescent="0.2">
      <c r="A50" s="109"/>
      <c r="B50" s="78"/>
      <c r="C50" s="19" t="s">
        <v>253</v>
      </c>
      <c r="D50" s="19"/>
    </row>
    <row r="51" spans="1:5" x14ac:dyDescent="0.2">
      <c r="A51" s="109"/>
      <c r="B51" s="78"/>
      <c r="C51" s="19" t="s">
        <v>254</v>
      </c>
      <c r="D51" s="19"/>
    </row>
    <row r="52" spans="1:5" x14ac:dyDescent="0.2">
      <c r="A52" s="109"/>
      <c r="B52" s="78"/>
      <c r="C52" s="19" t="s">
        <v>255</v>
      </c>
      <c r="D52" s="19"/>
    </row>
    <row r="53" spans="1:5" x14ac:dyDescent="0.2">
      <c r="A53" s="109"/>
      <c r="B53" s="78"/>
      <c r="C53" s="19" t="s">
        <v>256</v>
      </c>
      <c r="D53" s="19"/>
    </row>
    <row r="54" spans="1:5" x14ac:dyDescent="0.2">
      <c r="A54" s="109"/>
      <c r="B54" s="78"/>
      <c r="C54" s="19" t="s">
        <v>257</v>
      </c>
      <c r="D54" s="19"/>
    </row>
    <row r="55" spans="1:5" x14ac:dyDescent="0.2">
      <c r="A55" s="109"/>
      <c r="B55" s="78"/>
      <c r="C55" s="19" t="s">
        <v>258</v>
      </c>
      <c r="D55" s="19"/>
    </row>
    <row r="56" spans="1:5" x14ac:dyDescent="0.2">
      <c r="A56" s="109"/>
      <c r="B56" s="78"/>
      <c r="C56" s="19" t="s">
        <v>259</v>
      </c>
      <c r="D56" s="19"/>
    </row>
    <row r="57" spans="1:5" x14ac:dyDescent="0.2">
      <c r="A57" s="109"/>
      <c r="B57" s="78"/>
      <c r="C57" s="19" t="s">
        <v>260</v>
      </c>
      <c r="D57" s="19"/>
    </row>
    <row r="58" spans="1:5" x14ac:dyDescent="0.2">
      <c r="A58" s="109"/>
      <c r="B58" s="78"/>
      <c r="C58" s="19" t="s">
        <v>261</v>
      </c>
      <c r="D58" s="19"/>
    </row>
    <row r="59" spans="1:5" x14ac:dyDescent="0.2">
      <c r="A59" s="109"/>
      <c r="B59" s="78"/>
      <c r="C59" s="19" t="s">
        <v>262</v>
      </c>
      <c r="D59" s="19"/>
    </row>
    <row r="60" spans="1:5" x14ac:dyDescent="0.2">
      <c r="A60" s="109"/>
      <c r="B60" s="78"/>
      <c r="C60" s="19" t="s">
        <v>263</v>
      </c>
      <c r="D60" s="19"/>
    </row>
    <row r="61" spans="1:5" x14ac:dyDescent="0.2">
      <c r="A61" s="109"/>
      <c r="B61" s="78"/>
      <c r="C61" s="19" t="s">
        <v>264</v>
      </c>
      <c r="D61" s="19"/>
    </row>
    <row r="62" spans="1:5" x14ac:dyDescent="0.2">
      <c r="A62" s="109"/>
      <c r="B62" s="78"/>
      <c r="C62" s="19" t="s">
        <v>265</v>
      </c>
      <c r="D62" s="19"/>
    </row>
    <row r="63" spans="1:5" x14ac:dyDescent="0.2">
      <c r="A63" s="109"/>
      <c r="B63" s="78"/>
      <c r="C63" s="19" t="s">
        <v>266</v>
      </c>
      <c r="D63" s="19"/>
      <c r="E63" t="s">
        <v>214</v>
      </c>
    </row>
    <row r="64" spans="1:5" x14ac:dyDescent="0.2">
      <c r="A64" s="109"/>
      <c r="B64" s="78"/>
      <c r="C64" s="19" t="s">
        <v>267</v>
      </c>
      <c r="D64" s="19"/>
    </row>
    <row r="65" spans="1:4" x14ac:dyDescent="0.2">
      <c r="A65" s="109"/>
      <c r="B65" s="78"/>
      <c r="C65" s="19" t="s">
        <v>268</v>
      </c>
      <c r="D65" s="19"/>
    </row>
    <row r="66" spans="1:4" x14ac:dyDescent="0.2">
      <c r="A66" s="109"/>
      <c r="B66" s="78"/>
      <c r="C66" s="19" t="s">
        <v>269</v>
      </c>
      <c r="D66" s="19"/>
    </row>
    <row r="67" spans="1:4" x14ac:dyDescent="0.2">
      <c r="A67" s="109"/>
      <c r="B67" s="78"/>
      <c r="C67" s="19" t="s">
        <v>270</v>
      </c>
      <c r="D67" s="19"/>
    </row>
    <row r="68" spans="1:4" x14ac:dyDescent="0.2">
      <c r="A68" s="109"/>
      <c r="B68" s="78"/>
      <c r="C68" s="19" t="s">
        <v>271</v>
      </c>
      <c r="D68" s="19"/>
    </row>
    <row r="69" spans="1:4" x14ac:dyDescent="0.2">
      <c r="A69" s="109"/>
      <c r="B69" s="78"/>
      <c r="C69" s="19" t="s">
        <v>272</v>
      </c>
      <c r="D69" s="19"/>
    </row>
    <row r="70" spans="1:4" x14ac:dyDescent="0.2">
      <c r="A70" s="109"/>
      <c r="B70" s="78"/>
      <c r="C70" s="19" t="s">
        <v>273</v>
      </c>
      <c r="D70" s="19"/>
    </row>
    <row r="71" spans="1:4" x14ac:dyDescent="0.2">
      <c r="A71" s="109"/>
      <c r="B71" s="78"/>
      <c r="C71" s="19" t="s">
        <v>274</v>
      </c>
      <c r="D71" s="19"/>
    </row>
    <row r="72" spans="1:4" x14ac:dyDescent="0.2">
      <c r="A72" s="109"/>
      <c r="B72" s="78"/>
      <c r="C72" s="19" t="s">
        <v>275</v>
      </c>
      <c r="D72" s="19"/>
    </row>
    <row r="73" spans="1:4" x14ac:dyDescent="0.2">
      <c r="A73" s="109"/>
      <c r="B73" s="78"/>
      <c r="C73" s="19" t="s">
        <v>276</v>
      </c>
      <c r="D73" s="19"/>
    </row>
    <row r="74" spans="1:4" x14ac:dyDescent="0.2">
      <c r="A74" s="109"/>
      <c r="B74" s="78"/>
      <c r="C74" s="19" t="s">
        <v>277</v>
      </c>
      <c r="D74" s="19"/>
    </row>
    <row r="75" spans="1:4" x14ac:dyDescent="0.2">
      <c r="A75" s="109"/>
      <c r="B75" s="78"/>
      <c r="C75" s="19" t="s">
        <v>278</v>
      </c>
      <c r="D75" s="19"/>
    </row>
    <row r="76" spans="1:4" x14ac:dyDescent="0.2">
      <c r="A76" s="109"/>
      <c r="B76" s="78"/>
      <c r="C76" s="19" t="s">
        <v>279</v>
      </c>
      <c r="D76" s="19"/>
    </row>
    <row r="77" spans="1:4" x14ac:dyDescent="0.2">
      <c r="A77" s="109"/>
      <c r="B77" s="78"/>
      <c r="C77" s="19" t="s">
        <v>280</v>
      </c>
      <c r="D77" s="19"/>
    </row>
    <row r="78" spans="1:4" x14ac:dyDescent="0.2">
      <c r="A78" s="109"/>
      <c r="B78" s="78"/>
      <c r="C78" s="19" t="s">
        <v>281</v>
      </c>
      <c r="D78" s="19"/>
    </row>
    <row r="79" spans="1:4" x14ac:dyDescent="0.2">
      <c r="A79" s="109"/>
      <c r="B79" s="78"/>
      <c r="C79" s="19" t="s">
        <v>282</v>
      </c>
      <c r="D79" s="19"/>
    </row>
    <row r="80" spans="1:4" x14ac:dyDescent="0.2">
      <c r="A80" s="109"/>
      <c r="B80" s="78"/>
      <c r="C80" s="19" t="s">
        <v>283</v>
      </c>
      <c r="D80" s="19"/>
    </row>
    <row r="81" spans="1:5" x14ac:dyDescent="0.2">
      <c r="A81" s="109"/>
      <c r="B81" s="78"/>
      <c r="C81" s="19" t="s">
        <v>284</v>
      </c>
      <c r="D81" s="19"/>
    </row>
    <row r="82" spans="1:5" x14ac:dyDescent="0.2">
      <c r="A82" s="109"/>
      <c r="B82" s="78"/>
      <c r="C82" s="19" t="s">
        <v>285</v>
      </c>
      <c r="D82" s="19"/>
    </row>
    <row r="83" spans="1:5" x14ac:dyDescent="0.2">
      <c r="A83" s="109"/>
      <c r="B83" s="78"/>
      <c r="C83" s="19" t="s">
        <v>286</v>
      </c>
      <c r="D83" s="19"/>
    </row>
    <row r="84" spans="1:5" x14ac:dyDescent="0.2">
      <c r="A84" s="109"/>
      <c r="B84" s="78"/>
      <c r="C84" s="19" t="s">
        <v>287</v>
      </c>
      <c r="D84" s="19"/>
    </row>
    <row r="85" spans="1:5" x14ac:dyDescent="0.2">
      <c r="A85" s="109"/>
      <c r="B85" s="78"/>
      <c r="C85" s="19" t="s">
        <v>288</v>
      </c>
      <c r="D85" s="19"/>
    </row>
    <row r="86" spans="1:5" x14ac:dyDescent="0.2">
      <c r="A86" s="109"/>
      <c r="B86" s="78"/>
      <c r="C86" s="19" t="s">
        <v>289</v>
      </c>
      <c r="D86" s="19"/>
    </row>
    <row r="87" spans="1:5" x14ac:dyDescent="0.2">
      <c r="A87" s="109"/>
      <c r="B87" s="78"/>
      <c r="C87" s="19" t="s">
        <v>290</v>
      </c>
      <c r="D87" s="19"/>
    </row>
    <row r="88" spans="1:5" x14ac:dyDescent="0.2">
      <c r="A88" s="109"/>
      <c r="B88" s="78"/>
      <c r="C88" s="19" t="s">
        <v>291</v>
      </c>
      <c r="D88" s="19"/>
    </row>
    <row r="89" spans="1:5" x14ac:dyDescent="0.2">
      <c r="A89" s="109"/>
      <c r="B89" s="78"/>
      <c r="C89" s="19" t="s">
        <v>292</v>
      </c>
      <c r="D89" s="19"/>
    </row>
    <row r="90" spans="1:5" x14ac:dyDescent="0.2">
      <c r="A90" s="109"/>
      <c r="B90" s="78"/>
      <c r="C90" s="19" t="s">
        <v>293</v>
      </c>
      <c r="D90" s="19"/>
    </row>
    <row r="91" spans="1:5" x14ac:dyDescent="0.2">
      <c r="A91" s="109"/>
      <c r="B91" s="78"/>
      <c r="C91" s="19" t="s">
        <v>294</v>
      </c>
      <c r="D91" s="19"/>
    </row>
    <row r="92" spans="1:5" x14ac:dyDescent="0.2">
      <c r="A92" s="109"/>
      <c r="B92" s="78"/>
      <c r="C92" s="19" t="s">
        <v>295</v>
      </c>
      <c r="D92" s="19"/>
    </row>
    <row r="93" spans="1:5" x14ac:dyDescent="0.2">
      <c r="A93" s="109"/>
      <c r="B93" s="78"/>
      <c r="C93" s="19" t="s">
        <v>296</v>
      </c>
      <c r="D93" s="19"/>
    </row>
    <row r="94" spans="1:5" x14ac:dyDescent="0.2">
      <c r="A94" s="109"/>
      <c r="B94" s="78"/>
      <c r="C94" s="19" t="s">
        <v>297</v>
      </c>
      <c r="D94" s="19" t="s">
        <v>298</v>
      </c>
      <c r="E94" t="s">
        <v>214</v>
      </c>
    </row>
    <row r="95" spans="1:5" x14ac:dyDescent="0.2">
      <c r="A95" s="109"/>
      <c r="B95" s="78"/>
      <c r="C95" s="19" t="s">
        <v>299</v>
      </c>
      <c r="D95" s="19" t="s">
        <v>300</v>
      </c>
      <c r="E95" t="s">
        <v>214</v>
      </c>
    </row>
    <row r="96" spans="1:5" x14ac:dyDescent="0.2">
      <c r="A96" s="109"/>
      <c r="B96" s="78"/>
      <c r="C96" s="19" t="s">
        <v>301</v>
      </c>
      <c r="D96" s="19" t="s">
        <v>300</v>
      </c>
      <c r="E96" t="s">
        <v>214</v>
      </c>
    </row>
    <row r="97" spans="1:5" x14ac:dyDescent="0.2">
      <c r="A97" s="109"/>
      <c r="B97" s="78"/>
      <c r="C97" s="19" t="s">
        <v>302</v>
      </c>
      <c r="D97" s="19" t="s">
        <v>300</v>
      </c>
      <c r="E97" t="s">
        <v>214</v>
      </c>
    </row>
    <row r="98" spans="1:5" x14ac:dyDescent="0.2">
      <c r="A98" s="109"/>
      <c r="B98" s="78"/>
      <c r="C98" s="19" t="s">
        <v>303</v>
      </c>
      <c r="D98" s="19" t="s">
        <v>300</v>
      </c>
      <c r="E98" t="s">
        <v>214</v>
      </c>
    </row>
    <row r="99" spans="1:5" x14ac:dyDescent="0.2">
      <c r="A99" s="109"/>
      <c r="B99" s="78"/>
      <c r="C99" s="19" t="s">
        <v>304</v>
      </c>
      <c r="D99" s="19" t="s">
        <v>300</v>
      </c>
      <c r="E99" t="s">
        <v>214</v>
      </c>
    </row>
    <row r="100" spans="1:5" x14ac:dyDescent="0.2">
      <c r="A100" s="109"/>
      <c r="B100" s="78"/>
      <c r="C100" s="19" t="s">
        <v>305</v>
      </c>
      <c r="D100" s="19" t="s">
        <v>300</v>
      </c>
      <c r="E100" t="s">
        <v>214</v>
      </c>
    </row>
    <row r="101" spans="1:5" x14ac:dyDescent="0.2">
      <c r="A101" s="109"/>
      <c r="B101" s="78"/>
      <c r="C101" s="19" t="s">
        <v>306</v>
      </c>
      <c r="D101" s="19" t="s">
        <v>300</v>
      </c>
      <c r="E101" t="s">
        <v>214</v>
      </c>
    </row>
    <row r="102" spans="1:5" x14ac:dyDescent="0.2">
      <c r="A102" s="109"/>
      <c r="B102" s="78"/>
      <c r="C102" s="19" t="s">
        <v>307</v>
      </c>
      <c r="D102" s="19" t="s">
        <v>300</v>
      </c>
      <c r="E102" t="s">
        <v>214</v>
      </c>
    </row>
    <row r="103" spans="1:5" x14ac:dyDescent="0.2">
      <c r="A103" s="109"/>
      <c r="B103" s="78"/>
      <c r="C103" s="19" t="s">
        <v>308</v>
      </c>
      <c r="D103" s="19" t="s">
        <v>300</v>
      </c>
      <c r="E103" t="s">
        <v>214</v>
      </c>
    </row>
    <row r="104" spans="1:5" x14ac:dyDescent="0.2">
      <c r="A104" s="59"/>
      <c r="B104" s="59" t="s">
        <v>81</v>
      </c>
      <c r="C104" s="18" t="s">
        <v>309</v>
      </c>
      <c r="D104" s="18"/>
    </row>
    <row r="105" spans="1:5" x14ac:dyDescent="0.2">
      <c r="A105" s="60"/>
      <c r="B105" s="60"/>
      <c r="C105" s="18" t="s">
        <v>80</v>
      </c>
      <c r="D105" s="18"/>
    </row>
    <row r="106" spans="1:5" x14ac:dyDescent="0.2">
      <c r="A106" s="60"/>
      <c r="B106" s="60"/>
      <c r="C106" s="18" t="s">
        <v>310</v>
      </c>
      <c r="D106" s="18"/>
    </row>
    <row r="107" spans="1:5" x14ac:dyDescent="0.2">
      <c r="A107" s="60"/>
      <c r="B107" s="60"/>
      <c r="C107" s="18" t="s">
        <v>311</v>
      </c>
      <c r="D107" s="18"/>
    </row>
    <row r="108" spans="1:5" x14ac:dyDescent="0.2">
      <c r="A108" s="60"/>
      <c r="B108" s="60"/>
      <c r="C108" s="18" t="s">
        <v>312</v>
      </c>
      <c r="D108" s="18"/>
    </row>
    <row r="109" spans="1:5" x14ac:dyDescent="0.2">
      <c r="A109" s="60"/>
      <c r="B109" s="60"/>
      <c r="C109" s="18" t="s">
        <v>313</v>
      </c>
      <c r="D109" s="18"/>
    </row>
    <row r="110" spans="1:5" x14ac:dyDescent="0.2">
      <c r="A110" s="61"/>
      <c r="B110" s="61"/>
      <c r="C110" s="18" t="s">
        <v>314</v>
      </c>
      <c r="D110" s="18"/>
    </row>
    <row r="111" spans="1:5" x14ac:dyDescent="0.2">
      <c r="A111" s="109"/>
      <c r="B111" s="53" t="s">
        <v>53</v>
      </c>
      <c r="C111" s="19" t="s">
        <v>309</v>
      </c>
      <c r="D111" s="19"/>
    </row>
    <row r="112" spans="1:5" x14ac:dyDescent="0.2">
      <c r="A112" s="109"/>
      <c r="B112" s="54"/>
      <c r="C112" s="19" t="s">
        <v>315</v>
      </c>
      <c r="D112" s="19"/>
    </row>
    <row r="113" spans="1:4" x14ac:dyDescent="0.2">
      <c r="A113" s="109"/>
      <c r="B113" s="55"/>
      <c r="C113" s="19" t="s">
        <v>316</v>
      </c>
      <c r="D113" s="19"/>
    </row>
    <row r="114" spans="1:4" x14ac:dyDescent="0.2">
      <c r="A114" s="110"/>
      <c r="B114" s="110" t="s">
        <v>317</v>
      </c>
      <c r="C114" s="18" t="s">
        <v>309</v>
      </c>
      <c r="D114" s="18"/>
    </row>
    <row r="115" spans="1:4" x14ac:dyDescent="0.2">
      <c r="A115" s="110"/>
      <c r="B115" s="110"/>
      <c r="C115" s="18" t="s">
        <v>310</v>
      </c>
      <c r="D115" s="18"/>
    </row>
    <row r="116" spans="1:4" x14ac:dyDescent="0.2">
      <c r="A116" s="110"/>
      <c r="B116" s="110"/>
      <c r="C116" s="18" t="s">
        <v>311</v>
      </c>
      <c r="D116" s="18"/>
    </row>
    <row r="117" spans="1:4" x14ac:dyDescent="0.2">
      <c r="A117" s="110"/>
      <c r="B117" s="110"/>
      <c r="C117" s="18" t="s">
        <v>313</v>
      </c>
      <c r="D117" s="18"/>
    </row>
    <row r="118" spans="1:4" x14ac:dyDescent="0.2">
      <c r="A118" s="108"/>
      <c r="B118" s="71" t="s">
        <v>151</v>
      </c>
      <c r="C118" s="19" t="s">
        <v>309</v>
      </c>
      <c r="D118" s="19"/>
    </row>
    <row r="119" spans="1:4" x14ac:dyDescent="0.2">
      <c r="A119" s="105"/>
      <c r="B119" s="86"/>
      <c r="C119" s="19" t="s">
        <v>318</v>
      </c>
      <c r="D119" s="19"/>
    </row>
    <row r="120" spans="1:4" x14ac:dyDescent="0.2">
      <c r="A120" s="105"/>
      <c r="B120" s="86"/>
      <c r="C120" s="19" t="s">
        <v>311</v>
      </c>
      <c r="D120" s="19"/>
    </row>
    <row r="121" spans="1:4" x14ac:dyDescent="0.2">
      <c r="A121" s="105"/>
      <c r="B121" s="86"/>
      <c r="C121" s="19" t="s">
        <v>312</v>
      </c>
      <c r="D121" s="19"/>
    </row>
    <row r="122" spans="1:4" x14ac:dyDescent="0.2">
      <c r="A122" s="105"/>
      <c r="B122" s="86"/>
      <c r="C122" s="19" t="s">
        <v>310</v>
      </c>
      <c r="D122" s="19"/>
    </row>
    <row r="123" spans="1:4" x14ac:dyDescent="0.2">
      <c r="A123" s="105"/>
      <c r="B123" s="86"/>
      <c r="C123" s="19" t="s">
        <v>319</v>
      </c>
      <c r="D123" s="19"/>
    </row>
    <row r="124" spans="1:4" x14ac:dyDescent="0.2">
      <c r="A124" s="105"/>
      <c r="B124" s="86"/>
      <c r="C124" s="19" t="s">
        <v>320</v>
      </c>
      <c r="D124" s="19"/>
    </row>
    <row r="125" spans="1:4" x14ac:dyDescent="0.2">
      <c r="A125" s="105"/>
      <c r="B125" s="86"/>
      <c r="C125" s="19" t="s">
        <v>313</v>
      </c>
      <c r="D125" s="19"/>
    </row>
    <row r="126" spans="1:4" x14ac:dyDescent="0.2">
      <c r="A126" s="109"/>
      <c r="B126" s="72"/>
      <c r="C126" s="19" t="s">
        <v>314</v>
      </c>
      <c r="D126" s="19"/>
    </row>
    <row r="127" spans="1:4" x14ac:dyDescent="0.2">
      <c r="A127" s="59"/>
      <c r="B127" s="59" t="s">
        <v>82</v>
      </c>
      <c r="C127" s="18" t="s">
        <v>321</v>
      </c>
      <c r="D127" s="18"/>
    </row>
    <row r="128" spans="1:4" x14ac:dyDescent="0.2">
      <c r="A128" s="60"/>
      <c r="B128" s="60"/>
      <c r="C128" s="18" t="s">
        <v>322</v>
      </c>
      <c r="D128" s="18"/>
    </row>
    <row r="129" spans="1:5" x14ac:dyDescent="0.2">
      <c r="A129" s="60"/>
      <c r="B129" s="60"/>
      <c r="C129" s="18" t="s">
        <v>323</v>
      </c>
      <c r="D129" s="18"/>
    </row>
    <row r="130" spans="1:5" x14ac:dyDescent="0.2">
      <c r="A130" s="60"/>
      <c r="B130" s="60"/>
      <c r="C130" s="18" t="s">
        <v>136</v>
      </c>
      <c r="D130" s="18"/>
    </row>
    <row r="131" spans="1:5" x14ac:dyDescent="0.2">
      <c r="A131" s="60"/>
      <c r="B131" s="60"/>
      <c r="C131" s="18" t="s">
        <v>312</v>
      </c>
      <c r="D131" s="18"/>
    </row>
    <row r="132" spans="1:5" x14ac:dyDescent="0.2">
      <c r="A132" s="109"/>
      <c r="B132" s="54" t="s">
        <v>324</v>
      </c>
      <c r="C132" s="19" t="s">
        <v>321</v>
      </c>
      <c r="D132" s="19"/>
    </row>
    <row r="133" spans="1:5" x14ac:dyDescent="0.2">
      <c r="A133" s="109"/>
      <c r="B133" s="54"/>
      <c r="C133" s="19" t="s">
        <v>312</v>
      </c>
      <c r="D133" s="19"/>
    </row>
    <row r="134" spans="1:5" x14ac:dyDescent="0.2">
      <c r="A134" s="111"/>
      <c r="B134" s="55"/>
      <c r="C134" s="19" t="s">
        <v>314</v>
      </c>
      <c r="D134" s="19"/>
    </row>
    <row r="135" spans="1:5" x14ac:dyDescent="0.2">
      <c r="A135" s="63"/>
      <c r="B135" s="63" t="s">
        <v>89</v>
      </c>
      <c r="C135" s="18" t="s">
        <v>325</v>
      </c>
      <c r="D135" s="18"/>
    </row>
    <row r="136" spans="1:5" x14ac:dyDescent="0.2">
      <c r="A136" s="64"/>
      <c r="B136" s="64"/>
      <c r="C136" s="18" t="s">
        <v>326</v>
      </c>
      <c r="D136" s="18"/>
      <c r="E136" t="s">
        <v>214</v>
      </c>
    </row>
    <row r="137" spans="1:5" x14ac:dyDescent="0.2">
      <c r="A137" s="64"/>
      <c r="B137" s="64"/>
      <c r="C137" s="18" t="s">
        <v>327</v>
      </c>
      <c r="D137" s="18" t="s">
        <v>328</v>
      </c>
    </row>
    <row r="138" spans="1:5" x14ac:dyDescent="0.2">
      <c r="A138" s="64"/>
      <c r="B138" s="64"/>
      <c r="C138" s="18" t="s">
        <v>329</v>
      </c>
      <c r="D138" s="18" t="s">
        <v>330</v>
      </c>
    </row>
    <row r="139" spans="1:5" x14ac:dyDescent="0.2">
      <c r="A139" s="64"/>
      <c r="B139" s="64"/>
      <c r="C139" s="18" t="s">
        <v>331</v>
      </c>
      <c r="D139" s="18"/>
    </row>
    <row r="140" spans="1:5" x14ac:dyDescent="0.2">
      <c r="A140" s="64"/>
      <c r="B140" s="64"/>
      <c r="C140" s="18" t="s">
        <v>332</v>
      </c>
      <c r="D140" s="18"/>
    </row>
    <row r="141" spans="1:5" x14ac:dyDescent="0.2">
      <c r="A141" s="64"/>
      <c r="B141" s="64"/>
      <c r="C141" s="18" t="s">
        <v>333</v>
      </c>
      <c r="D141" s="18"/>
    </row>
    <row r="142" spans="1:5" x14ac:dyDescent="0.2">
      <c r="A142" s="64"/>
      <c r="B142" s="64"/>
      <c r="C142" s="18" t="s">
        <v>334</v>
      </c>
      <c r="D142" s="18"/>
    </row>
    <row r="143" spans="1:5" x14ac:dyDescent="0.2">
      <c r="A143" s="64"/>
      <c r="B143" s="64"/>
      <c r="C143" s="18" t="s">
        <v>335</v>
      </c>
      <c r="D143" s="18"/>
    </row>
    <row r="144" spans="1:5" x14ac:dyDescent="0.2">
      <c r="A144" s="64"/>
      <c r="B144" s="64"/>
      <c r="C144" s="18" t="s">
        <v>336</v>
      </c>
      <c r="D144" s="18"/>
    </row>
    <row r="145" spans="1:4" x14ac:dyDescent="0.2">
      <c r="A145" s="64"/>
      <c r="B145" s="64"/>
      <c r="C145" s="18" t="s">
        <v>314</v>
      </c>
      <c r="D145" s="18"/>
    </row>
    <row r="146" spans="1:4" x14ac:dyDescent="0.2">
      <c r="A146" s="108"/>
      <c r="B146" s="56" t="s">
        <v>337</v>
      </c>
      <c r="C146" s="19" t="s">
        <v>338</v>
      </c>
      <c r="D146" s="19"/>
    </row>
    <row r="147" spans="1:4" x14ac:dyDescent="0.2">
      <c r="A147" s="111"/>
      <c r="B147" s="58"/>
      <c r="C147" s="19" t="s">
        <v>339</v>
      </c>
      <c r="D147" s="19"/>
    </row>
    <row r="148" spans="1:4" x14ac:dyDescent="0.2">
      <c r="A148" s="112"/>
      <c r="B148" s="113" t="s">
        <v>70</v>
      </c>
      <c r="C148" s="18" t="s">
        <v>340</v>
      </c>
      <c r="D148" s="18" t="s">
        <v>341</v>
      </c>
    </row>
    <row r="149" spans="1:4" x14ac:dyDescent="0.2">
      <c r="A149" s="114"/>
      <c r="B149" s="114"/>
      <c r="C149" s="18" t="s">
        <v>342</v>
      </c>
      <c r="D149" s="18" t="s">
        <v>343</v>
      </c>
    </row>
    <row r="150" spans="1:4" x14ac:dyDescent="0.2">
      <c r="A150" s="114"/>
      <c r="B150" s="114"/>
      <c r="C150" s="18" t="s">
        <v>344</v>
      </c>
      <c r="D150" s="18" t="s">
        <v>345</v>
      </c>
    </row>
    <row r="151" spans="1:4" x14ac:dyDescent="0.2">
      <c r="A151" s="114"/>
      <c r="B151" s="114"/>
      <c r="C151" s="18" t="s">
        <v>346</v>
      </c>
      <c r="D151" s="18" t="s">
        <v>347</v>
      </c>
    </row>
    <row r="152" spans="1:4" x14ac:dyDescent="0.2">
      <c r="A152" s="114"/>
      <c r="B152" s="114"/>
      <c r="C152" s="18" t="s">
        <v>348</v>
      </c>
      <c r="D152" s="18" t="s">
        <v>349</v>
      </c>
    </row>
    <row r="153" spans="1:4" x14ac:dyDescent="0.2">
      <c r="A153" s="114"/>
      <c r="B153" s="114"/>
      <c r="C153" s="18" t="s">
        <v>350</v>
      </c>
      <c r="D153" s="18" t="s">
        <v>351</v>
      </c>
    </row>
    <row r="154" spans="1:4" x14ac:dyDescent="0.2">
      <c r="A154" s="114"/>
      <c r="B154" s="114"/>
      <c r="C154" s="18" t="s">
        <v>352</v>
      </c>
      <c r="D154" s="18" t="s">
        <v>353</v>
      </c>
    </row>
    <row r="155" spans="1:4" x14ac:dyDescent="0.2">
      <c r="A155" s="114"/>
      <c r="B155" s="114"/>
      <c r="C155" s="18" t="s">
        <v>354</v>
      </c>
      <c r="D155" s="18" t="s">
        <v>355</v>
      </c>
    </row>
    <row r="156" spans="1:4" x14ac:dyDescent="0.2">
      <c r="A156" s="114"/>
      <c r="B156" s="114"/>
      <c r="C156" s="18" t="s">
        <v>356</v>
      </c>
      <c r="D156" s="18" t="s">
        <v>357</v>
      </c>
    </row>
    <row r="157" spans="1:4" x14ac:dyDescent="0.2">
      <c r="A157" s="114"/>
      <c r="B157" s="114"/>
      <c r="C157" s="18" t="s">
        <v>358</v>
      </c>
      <c r="D157" s="18" t="s">
        <v>359</v>
      </c>
    </row>
    <row r="158" spans="1:4" x14ac:dyDescent="0.2">
      <c r="A158" s="114"/>
      <c r="B158" s="114"/>
      <c r="C158" s="18" t="s">
        <v>360</v>
      </c>
      <c r="D158" s="18" t="s">
        <v>361</v>
      </c>
    </row>
    <row r="159" spans="1:4" x14ac:dyDescent="0.2">
      <c r="A159" s="114"/>
      <c r="B159" s="114"/>
      <c r="C159" s="18" t="s">
        <v>362</v>
      </c>
      <c r="D159" s="18" t="s">
        <v>363</v>
      </c>
    </row>
    <row r="160" spans="1:4" x14ac:dyDescent="0.2">
      <c r="A160" s="114"/>
      <c r="B160" s="114"/>
      <c r="C160" s="18" t="s">
        <v>364</v>
      </c>
      <c r="D160" s="18" t="s">
        <v>365</v>
      </c>
    </row>
    <row r="161" spans="1:4" x14ac:dyDescent="0.2">
      <c r="A161" s="114"/>
      <c r="B161" s="114"/>
      <c r="C161" s="18" t="s">
        <v>366</v>
      </c>
      <c r="D161" s="18" t="s">
        <v>367</v>
      </c>
    </row>
    <row r="162" spans="1:4" x14ac:dyDescent="0.2">
      <c r="A162" s="114"/>
      <c r="B162" s="114"/>
      <c r="C162" s="18" t="s">
        <v>368</v>
      </c>
      <c r="D162" s="18" t="s">
        <v>369</v>
      </c>
    </row>
    <row r="163" spans="1:4" x14ac:dyDescent="0.2">
      <c r="A163" s="114"/>
      <c r="B163" s="114"/>
      <c r="C163" s="18" t="s">
        <v>370</v>
      </c>
      <c r="D163" s="18" t="s">
        <v>371</v>
      </c>
    </row>
    <row r="164" spans="1:4" x14ac:dyDescent="0.2">
      <c r="A164" s="114"/>
      <c r="B164" s="114"/>
      <c r="C164" s="18" t="s">
        <v>372</v>
      </c>
      <c r="D164" s="18" t="s">
        <v>373</v>
      </c>
    </row>
    <row r="165" spans="1:4" x14ac:dyDescent="0.2">
      <c r="A165" s="114"/>
      <c r="B165" s="114"/>
      <c r="C165" s="18" t="s">
        <v>374</v>
      </c>
      <c r="D165" s="18" t="s">
        <v>375</v>
      </c>
    </row>
    <row r="166" spans="1:4" x14ac:dyDescent="0.2">
      <c r="A166" s="114"/>
      <c r="B166" s="114"/>
      <c r="C166" s="18" t="s">
        <v>376</v>
      </c>
      <c r="D166" s="18" t="s">
        <v>377</v>
      </c>
    </row>
    <row r="167" spans="1:4" x14ac:dyDescent="0.2">
      <c r="A167" s="114"/>
      <c r="B167" s="114"/>
      <c r="C167" s="18" t="s">
        <v>378</v>
      </c>
      <c r="D167" s="18" t="s">
        <v>379</v>
      </c>
    </row>
    <row r="168" spans="1:4" x14ac:dyDescent="0.2">
      <c r="A168" s="114"/>
      <c r="B168" s="114"/>
      <c r="C168" s="18" t="s">
        <v>380</v>
      </c>
      <c r="D168" s="18" t="s">
        <v>381</v>
      </c>
    </row>
    <row r="169" spans="1:4" x14ac:dyDescent="0.2">
      <c r="A169" s="114"/>
      <c r="B169" s="114"/>
      <c r="C169" s="18" t="s">
        <v>382</v>
      </c>
      <c r="D169" s="18" t="s">
        <v>383</v>
      </c>
    </row>
    <row r="170" spans="1:4" x14ac:dyDescent="0.2">
      <c r="A170" s="114"/>
      <c r="B170" s="114"/>
      <c r="C170" s="18" t="s">
        <v>384</v>
      </c>
      <c r="D170" s="18" t="s">
        <v>385</v>
      </c>
    </row>
    <row r="171" spans="1:4" x14ac:dyDescent="0.2">
      <c r="A171" s="114"/>
      <c r="B171" s="114"/>
      <c r="C171" s="18" t="s">
        <v>386</v>
      </c>
      <c r="D171" s="18" t="s">
        <v>387</v>
      </c>
    </row>
    <row r="172" spans="1:4" x14ac:dyDescent="0.2">
      <c r="A172" s="114"/>
      <c r="B172" s="114"/>
      <c r="C172" s="18" t="s">
        <v>388</v>
      </c>
      <c r="D172" s="18" t="s">
        <v>389</v>
      </c>
    </row>
    <row r="173" spans="1:4" x14ac:dyDescent="0.2">
      <c r="A173" s="114"/>
      <c r="B173" s="114"/>
      <c r="C173" s="18" t="s">
        <v>390</v>
      </c>
      <c r="D173" s="18" t="s">
        <v>391</v>
      </c>
    </row>
    <row r="174" spans="1:4" x14ac:dyDescent="0.2">
      <c r="A174" s="114"/>
      <c r="B174" s="114"/>
      <c r="C174" s="18" t="s">
        <v>392</v>
      </c>
      <c r="D174" s="18" t="s">
        <v>393</v>
      </c>
    </row>
    <row r="175" spans="1:4" x14ac:dyDescent="0.2">
      <c r="A175" s="114"/>
      <c r="B175" s="114"/>
      <c r="C175" s="18" t="s">
        <v>394</v>
      </c>
      <c r="D175" s="18" t="s">
        <v>395</v>
      </c>
    </row>
    <row r="176" spans="1:4" x14ac:dyDescent="0.2">
      <c r="A176" s="114"/>
      <c r="B176" s="114"/>
      <c r="C176" s="18" t="s">
        <v>396</v>
      </c>
      <c r="D176" s="18" t="s">
        <v>397</v>
      </c>
    </row>
    <row r="177" spans="1:5" x14ac:dyDescent="0.2">
      <c r="A177" s="114"/>
      <c r="B177" s="114"/>
      <c r="C177" s="18" t="s">
        <v>398</v>
      </c>
      <c r="D177" s="18" t="s">
        <v>399</v>
      </c>
    </row>
    <row r="178" spans="1:5" x14ac:dyDescent="0.2">
      <c r="A178" s="114"/>
      <c r="B178" s="114"/>
      <c r="C178" s="18" t="s">
        <v>400</v>
      </c>
      <c r="D178" s="18" t="s">
        <v>401</v>
      </c>
    </row>
    <row r="179" spans="1:5" x14ac:dyDescent="0.2">
      <c r="A179" s="114"/>
      <c r="B179" s="114"/>
      <c r="C179" s="18" t="s">
        <v>402</v>
      </c>
      <c r="D179" s="18" t="s">
        <v>403</v>
      </c>
    </row>
    <row r="180" spans="1:5" x14ac:dyDescent="0.2">
      <c r="A180" s="114"/>
      <c r="B180" s="114"/>
      <c r="C180" s="18" t="s">
        <v>404</v>
      </c>
      <c r="D180" s="18" t="s">
        <v>405</v>
      </c>
      <c r="E180" t="s">
        <v>214</v>
      </c>
    </row>
    <row r="181" spans="1:5" x14ac:dyDescent="0.2">
      <c r="A181" s="114"/>
      <c r="B181" s="114"/>
      <c r="C181" s="18" t="s">
        <v>314</v>
      </c>
      <c r="D181" s="18" t="s">
        <v>314</v>
      </c>
    </row>
    <row r="182" spans="1:5" x14ac:dyDescent="0.2">
      <c r="A182" s="108"/>
      <c r="B182" s="56" t="s">
        <v>406</v>
      </c>
      <c r="C182" s="43" t="s">
        <v>407</v>
      </c>
      <c r="D182" s="43"/>
    </row>
    <row r="183" spans="1:5" x14ac:dyDescent="0.2">
      <c r="A183" s="109"/>
      <c r="B183" s="57"/>
      <c r="C183" s="43" t="s">
        <v>408</v>
      </c>
      <c r="D183" s="43"/>
    </row>
    <row r="184" spans="1:5" x14ac:dyDescent="0.2">
      <c r="A184" s="109"/>
      <c r="B184" s="57"/>
      <c r="C184" s="43" t="s">
        <v>409</v>
      </c>
      <c r="D184" s="43"/>
    </row>
    <row r="185" spans="1:5" x14ac:dyDescent="0.2">
      <c r="A185" s="111"/>
      <c r="B185" s="58"/>
      <c r="C185" s="44" t="s">
        <v>410</v>
      </c>
      <c r="D185" s="44"/>
    </row>
    <row r="186" spans="1:5" x14ac:dyDescent="0.2">
      <c r="A186" s="59"/>
      <c r="B186" s="59" t="s">
        <v>86</v>
      </c>
      <c r="C186" s="42" t="s">
        <v>411</v>
      </c>
      <c r="D186" s="42"/>
    </row>
    <row r="187" spans="1:5" x14ac:dyDescent="0.2">
      <c r="A187" s="60"/>
      <c r="B187" s="60"/>
      <c r="C187" s="42" t="s">
        <v>412</v>
      </c>
      <c r="D187" s="42"/>
    </row>
    <row r="188" spans="1:5" x14ac:dyDescent="0.2">
      <c r="A188" s="108"/>
      <c r="B188" s="56" t="s">
        <v>58</v>
      </c>
      <c r="C188" s="44" t="s">
        <v>413</v>
      </c>
      <c r="D188" s="44" t="s">
        <v>414</v>
      </c>
    </row>
    <row r="189" spans="1:5" x14ac:dyDescent="0.2">
      <c r="A189" s="109"/>
      <c r="B189" s="57"/>
      <c r="C189" s="44" t="s">
        <v>415</v>
      </c>
      <c r="D189" s="44" t="s">
        <v>416</v>
      </c>
    </row>
    <row r="190" spans="1:5" x14ac:dyDescent="0.2">
      <c r="A190" s="109"/>
      <c r="B190" s="57"/>
      <c r="C190" s="44" t="s">
        <v>312</v>
      </c>
      <c r="D190" s="44" t="s">
        <v>312</v>
      </c>
    </row>
    <row r="191" spans="1:5" x14ac:dyDescent="0.2">
      <c r="A191" s="109"/>
      <c r="B191" s="57"/>
      <c r="C191" s="44" t="s">
        <v>417</v>
      </c>
      <c r="D191" s="44" t="s">
        <v>418</v>
      </c>
    </row>
    <row r="192" spans="1:5" x14ac:dyDescent="0.2">
      <c r="A192" s="109"/>
      <c r="B192" s="57"/>
      <c r="C192" s="44" t="s">
        <v>419</v>
      </c>
      <c r="D192" s="44" t="s">
        <v>420</v>
      </c>
    </row>
    <row r="193" spans="1:4" x14ac:dyDescent="0.2">
      <c r="A193" s="109"/>
      <c r="B193" s="57"/>
      <c r="C193" s="44" t="s">
        <v>421</v>
      </c>
      <c r="D193" s="44" t="s">
        <v>422</v>
      </c>
    </row>
    <row r="194" spans="1:4" x14ac:dyDescent="0.2">
      <c r="A194" s="109"/>
      <c r="B194" s="57"/>
      <c r="C194" s="44" t="s">
        <v>423</v>
      </c>
      <c r="D194" s="44" t="s">
        <v>424</v>
      </c>
    </row>
    <row r="195" spans="1:4" x14ac:dyDescent="0.2">
      <c r="A195" s="109"/>
      <c r="B195" s="57"/>
      <c r="C195" s="44" t="s">
        <v>425</v>
      </c>
      <c r="D195" s="44" t="s">
        <v>426</v>
      </c>
    </row>
    <row r="196" spans="1:4" x14ac:dyDescent="0.2">
      <c r="A196" s="109"/>
      <c r="B196" s="57"/>
      <c r="C196" s="44" t="s">
        <v>427</v>
      </c>
      <c r="D196" s="44" t="s">
        <v>428</v>
      </c>
    </row>
    <row r="197" spans="1:4" x14ac:dyDescent="0.2">
      <c r="A197" s="109"/>
      <c r="B197" s="57"/>
      <c r="C197" s="44" t="s">
        <v>429</v>
      </c>
      <c r="D197" s="44" t="s">
        <v>430</v>
      </c>
    </row>
    <row r="198" spans="1:4" x14ac:dyDescent="0.2">
      <c r="A198" s="109"/>
      <c r="B198" s="57"/>
      <c r="C198" s="44" t="s">
        <v>431</v>
      </c>
      <c r="D198" s="44" t="s">
        <v>432</v>
      </c>
    </row>
    <row r="199" spans="1:4" x14ac:dyDescent="0.2">
      <c r="A199" s="109"/>
      <c r="B199" s="57"/>
      <c r="C199" s="44" t="s">
        <v>433</v>
      </c>
      <c r="D199" s="44" t="s">
        <v>434</v>
      </c>
    </row>
    <row r="200" spans="1:4" x14ac:dyDescent="0.2">
      <c r="A200" s="109"/>
      <c r="B200" s="57"/>
      <c r="C200" s="44" t="s">
        <v>314</v>
      </c>
      <c r="D200" s="44" t="s">
        <v>314</v>
      </c>
    </row>
    <row r="201" spans="1:4" x14ac:dyDescent="0.2">
      <c r="A201" s="111"/>
      <c r="B201" s="58"/>
      <c r="C201" s="44" t="s">
        <v>410</v>
      </c>
      <c r="D201" s="44" t="s">
        <v>435</v>
      </c>
    </row>
    <row r="202" spans="1:4" x14ac:dyDescent="0.2">
      <c r="A202" s="113"/>
      <c r="B202" s="113" t="s">
        <v>83</v>
      </c>
      <c r="C202" s="18" t="s">
        <v>436</v>
      </c>
      <c r="D202" s="18"/>
    </row>
    <row r="203" spans="1:4" x14ac:dyDescent="0.2">
      <c r="A203" s="114"/>
      <c r="B203" s="114"/>
      <c r="C203" s="18" t="s">
        <v>437</v>
      </c>
      <c r="D203" s="18"/>
    </row>
    <row r="204" spans="1:4" x14ac:dyDescent="0.2">
      <c r="A204" s="114"/>
      <c r="B204" s="114"/>
      <c r="C204" s="18" t="s">
        <v>438</v>
      </c>
      <c r="D204" s="18"/>
    </row>
    <row r="205" spans="1:4" x14ac:dyDescent="0.2">
      <c r="A205" s="114"/>
      <c r="B205" s="114"/>
      <c r="C205" s="18" t="s">
        <v>439</v>
      </c>
      <c r="D205" s="18"/>
    </row>
    <row r="206" spans="1:4" x14ac:dyDescent="0.2">
      <c r="A206" s="114"/>
      <c r="B206" s="114"/>
      <c r="C206" s="18" t="s">
        <v>440</v>
      </c>
      <c r="D206" s="18"/>
    </row>
    <row r="207" spans="1:4" x14ac:dyDescent="0.2">
      <c r="A207" s="114"/>
      <c r="B207" s="114"/>
      <c r="C207" s="18" t="s">
        <v>441</v>
      </c>
      <c r="D207" s="18"/>
    </row>
    <row r="208" spans="1:4" x14ac:dyDescent="0.2">
      <c r="A208" s="114"/>
      <c r="B208" s="114"/>
      <c r="C208" s="18" t="s">
        <v>442</v>
      </c>
      <c r="D208" s="18"/>
    </row>
    <row r="209" spans="1:5" x14ac:dyDescent="0.2">
      <c r="A209" s="114"/>
      <c r="B209" s="114"/>
      <c r="C209" s="18" t="s">
        <v>443</v>
      </c>
      <c r="D209" s="18"/>
    </row>
    <row r="210" spans="1:5" x14ac:dyDescent="0.2">
      <c r="A210" s="114"/>
      <c r="B210" s="114"/>
      <c r="C210" s="18" t="s">
        <v>444</v>
      </c>
      <c r="D210" s="18"/>
    </row>
    <row r="211" spans="1:5" x14ac:dyDescent="0.2">
      <c r="A211" s="114"/>
      <c r="B211" s="114"/>
      <c r="C211" s="18" t="s">
        <v>445</v>
      </c>
      <c r="D211" s="18"/>
    </row>
    <row r="212" spans="1:5" x14ac:dyDescent="0.2">
      <c r="A212" s="114"/>
      <c r="B212" s="114"/>
      <c r="C212" s="18" t="s">
        <v>446</v>
      </c>
      <c r="D212" s="18"/>
    </row>
    <row r="213" spans="1:5" x14ac:dyDescent="0.2">
      <c r="A213" s="114"/>
      <c r="B213" s="114"/>
      <c r="C213" s="18" t="s">
        <v>447</v>
      </c>
      <c r="D213" s="18"/>
    </row>
    <row r="214" spans="1:5" x14ac:dyDescent="0.2">
      <c r="A214" s="114"/>
      <c r="B214" s="114"/>
      <c r="C214" s="18" t="s">
        <v>448</v>
      </c>
      <c r="D214" s="18"/>
    </row>
    <row r="215" spans="1:5" x14ac:dyDescent="0.2">
      <c r="A215" s="114"/>
      <c r="B215" s="114"/>
      <c r="C215" s="18" t="s">
        <v>449</v>
      </c>
      <c r="D215" s="18"/>
    </row>
    <row r="216" spans="1:5" x14ac:dyDescent="0.2">
      <c r="A216" s="114"/>
      <c r="B216" s="114"/>
      <c r="C216" s="18" t="s">
        <v>450</v>
      </c>
      <c r="D216" s="18"/>
    </row>
    <row r="217" spans="1:5" x14ac:dyDescent="0.2">
      <c r="A217" s="114"/>
      <c r="B217" s="114"/>
      <c r="C217" s="18" t="s">
        <v>451</v>
      </c>
      <c r="D217" s="18"/>
    </row>
    <row r="218" spans="1:5" x14ac:dyDescent="0.2">
      <c r="A218" s="114"/>
      <c r="B218" s="114"/>
      <c r="C218" s="18" t="s">
        <v>452</v>
      </c>
      <c r="D218" s="18" t="s">
        <v>453</v>
      </c>
      <c r="E218" t="s">
        <v>214</v>
      </c>
    </row>
    <row r="219" spans="1:5" x14ac:dyDescent="0.2">
      <c r="A219" s="114"/>
      <c r="B219" s="114"/>
      <c r="C219" s="18" t="s">
        <v>454</v>
      </c>
      <c r="D219" s="18"/>
    </row>
    <row r="220" spans="1:5" x14ac:dyDescent="0.2">
      <c r="A220" s="114"/>
      <c r="B220" s="114"/>
      <c r="C220" s="18" t="s">
        <v>455</v>
      </c>
      <c r="D220" s="18"/>
    </row>
    <row r="221" spans="1:5" x14ac:dyDescent="0.2">
      <c r="A221" s="114"/>
      <c r="B221" s="114"/>
      <c r="C221" s="18" t="s">
        <v>456</v>
      </c>
      <c r="D221" s="18"/>
    </row>
    <row r="222" spans="1:5" x14ac:dyDescent="0.2">
      <c r="A222" s="114"/>
      <c r="B222" s="114"/>
      <c r="C222" s="18" t="s">
        <v>457</v>
      </c>
      <c r="D222" s="18"/>
    </row>
    <row r="223" spans="1:5" x14ac:dyDescent="0.2">
      <c r="A223" s="114"/>
      <c r="B223" s="114"/>
      <c r="C223" s="18" t="s">
        <v>458</v>
      </c>
      <c r="D223" s="18"/>
    </row>
    <row r="224" spans="1:5" x14ac:dyDescent="0.2">
      <c r="A224" s="114"/>
      <c r="B224" s="114"/>
      <c r="C224" s="18" t="s">
        <v>459</v>
      </c>
      <c r="D224" s="18"/>
    </row>
    <row r="225" spans="1:4" x14ac:dyDescent="0.2">
      <c r="A225" s="114"/>
      <c r="B225" s="114"/>
      <c r="C225" s="18" t="s">
        <v>460</v>
      </c>
      <c r="D225" s="18"/>
    </row>
    <row r="226" spans="1:4" x14ac:dyDescent="0.2">
      <c r="A226" s="114"/>
      <c r="B226" s="114"/>
      <c r="C226" s="18" t="s">
        <v>461</v>
      </c>
      <c r="D226" s="18"/>
    </row>
    <row r="227" spans="1:4" x14ac:dyDescent="0.2">
      <c r="A227" s="114"/>
      <c r="B227" s="114"/>
      <c r="C227" s="18" t="s">
        <v>462</v>
      </c>
      <c r="D227" s="18"/>
    </row>
    <row r="228" spans="1:4" x14ac:dyDescent="0.2">
      <c r="A228" s="114"/>
      <c r="B228" s="114"/>
      <c r="C228" s="18" t="s">
        <v>463</v>
      </c>
      <c r="D228" s="18"/>
    </row>
    <row r="229" spans="1:4" x14ac:dyDescent="0.2">
      <c r="A229" s="114"/>
      <c r="B229" s="114"/>
      <c r="C229" s="18" t="s">
        <v>464</v>
      </c>
      <c r="D229" s="18"/>
    </row>
    <row r="230" spans="1:4" x14ac:dyDescent="0.2">
      <c r="A230" s="114"/>
      <c r="B230" s="114"/>
      <c r="C230" s="18" t="s">
        <v>465</v>
      </c>
      <c r="D230" s="18"/>
    </row>
    <row r="231" spans="1:4" x14ac:dyDescent="0.2">
      <c r="A231" s="114"/>
      <c r="B231" s="114"/>
      <c r="C231" s="18" t="s">
        <v>466</v>
      </c>
      <c r="D231" s="18"/>
    </row>
    <row r="232" spans="1:4" x14ac:dyDescent="0.2">
      <c r="A232" s="114"/>
      <c r="B232" s="114"/>
      <c r="C232" s="18" t="s">
        <v>467</v>
      </c>
      <c r="D232" s="18"/>
    </row>
    <row r="233" spans="1:4" x14ac:dyDescent="0.2">
      <c r="A233" s="114"/>
      <c r="B233" s="114"/>
      <c r="C233" s="18" t="s">
        <v>468</v>
      </c>
      <c r="D233" s="18"/>
    </row>
    <row r="234" spans="1:4" x14ac:dyDescent="0.2">
      <c r="A234" s="114"/>
      <c r="B234" s="114"/>
      <c r="C234" s="18" t="s">
        <v>469</v>
      </c>
      <c r="D234" s="18"/>
    </row>
    <row r="235" spans="1:4" x14ac:dyDescent="0.2">
      <c r="A235" s="114"/>
      <c r="B235" s="114"/>
      <c r="C235" s="18" t="s">
        <v>470</v>
      </c>
      <c r="D235" s="18"/>
    </row>
    <row r="236" spans="1:4" x14ac:dyDescent="0.2">
      <c r="A236" s="114"/>
      <c r="B236" s="114"/>
      <c r="C236" s="18" t="s">
        <v>471</v>
      </c>
      <c r="D236" s="18"/>
    </row>
    <row r="237" spans="1:4" x14ac:dyDescent="0.2">
      <c r="A237" s="114"/>
      <c r="B237" s="114"/>
      <c r="C237" s="18" t="s">
        <v>472</v>
      </c>
      <c r="D237" s="18"/>
    </row>
    <row r="238" spans="1:4" x14ac:dyDescent="0.2">
      <c r="A238" s="114"/>
      <c r="B238" s="114"/>
      <c r="C238" s="18" t="s">
        <v>24</v>
      </c>
      <c r="D238" s="18"/>
    </row>
    <row r="239" spans="1:4" x14ac:dyDescent="0.2">
      <c r="A239" s="114"/>
      <c r="B239" s="114"/>
      <c r="C239" s="18" t="s">
        <v>473</v>
      </c>
      <c r="D239" s="18"/>
    </row>
    <row r="240" spans="1:4" x14ac:dyDescent="0.2">
      <c r="A240" s="114"/>
      <c r="B240" s="114"/>
      <c r="C240" s="18" t="s">
        <v>474</v>
      </c>
      <c r="D240" s="18"/>
    </row>
    <row r="241" spans="1:4" x14ac:dyDescent="0.2">
      <c r="A241" s="114"/>
      <c r="B241" s="114"/>
      <c r="C241" s="18" t="s">
        <v>475</v>
      </c>
      <c r="D241" s="18"/>
    </row>
    <row r="242" spans="1:4" x14ac:dyDescent="0.2">
      <c r="A242" s="114"/>
      <c r="B242" s="114"/>
      <c r="C242" s="18" t="s">
        <v>476</v>
      </c>
      <c r="D242" s="18"/>
    </row>
    <row r="243" spans="1:4" x14ac:dyDescent="0.2">
      <c r="A243" s="114"/>
      <c r="B243" s="114"/>
      <c r="C243" s="18" t="s">
        <v>477</v>
      </c>
      <c r="D243" s="18"/>
    </row>
    <row r="244" spans="1:4" x14ac:dyDescent="0.2">
      <c r="A244" s="114"/>
      <c r="B244" s="114"/>
      <c r="C244" s="18" t="s">
        <v>478</v>
      </c>
      <c r="D244" s="18"/>
    </row>
    <row r="245" spans="1:4" x14ac:dyDescent="0.2">
      <c r="A245" s="114"/>
      <c r="B245" s="114"/>
      <c r="C245" s="18" t="s">
        <v>479</v>
      </c>
      <c r="D245" s="18"/>
    </row>
    <row r="246" spans="1:4" x14ac:dyDescent="0.2">
      <c r="A246" s="114"/>
      <c r="B246" s="114"/>
      <c r="C246" s="18" t="s">
        <v>480</v>
      </c>
      <c r="D246" s="18"/>
    </row>
    <row r="247" spans="1:4" x14ac:dyDescent="0.2">
      <c r="A247" s="114"/>
      <c r="B247" s="114"/>
      <c r="C247" s="18" t="s">
        <v>481</v>
      </c>
      <c r="D247" s="18"/>
    </row>
    <row r="248" spans="1:4" x14ac:dyDescent="0.2">
      <c r="A248" s="114"/>
      <c r="B248" s="114"/>
      <c r="C248" s="18" t="s">
        <v>482</v>
      </c>
      <c r="D248" s="18"/>
    </row>
    <row r="249" spans="1:4" x14ac:dyDescent="0.2">
      <c r="A249" s="114"/>
      <c r="B249" s="114"/>
      <c r="C249" s="18" t="s">
        <v>483</v>
      </c>
      <c r="D249" s="18"/>
    </row>
    <row r="250" spans="1:4" x14ac:dyDescent="0.2">
      <c r="A250" s="114"/>
      <c r="B250" s="114"/>
      <c r="C250" s="18" t="s">
        <v>484</v>
      </c>
      <c r="D250" s="18"/>
    </row>
    <row r="251" spans="1:4" x14ac:dyDescent="0.2">
      <c r="A251" s="114"/>
      <c r="B251" s="114"/>
      <c r="C251" s="18" t="s">
        <v>485</v>
      </c>
      <c r="D251" s="18"/>
    </row>
    <row r="252" spans="1:4" x14ac:dyDescent="0.2">
      <c r="A252" s="114"/>
      <c r="B252" s="114"/>
      <c r="C252" s="18" t="s">
        <v>314</v>
      </c>
      <c r="D252" s="18"/>
    </row>
    <row r="253" spans="1:4" x14ac:dyDescent="0.2">
      <c r="A253" s="114"/>
      <c r="B253" s="114"/>
      <c r="C253" s="18" t="s">
        <v>486</v>
      </c>
      <c r="D253" s="18"/>
    </row>
    <row r="254" spans="1:4" x14ac:dyDescent="0.2">
      <c r="A254" s="114"/>
      <c r="B254" s="114"/>
      <c r="C254" s="18" t="s">
        <v>487</v>
      </c>
      <c r="D254" s="18"/>
    </row>
    <row r="255" spans="1:4" x14ac:dyDescent="0.2">
      <c r="A255" s="114"/>
      <c r="B255" s="114"/>
      <c r="C255" s="18" t="s">
        <v>488</v>
      </c>
      <c r="D255" s="18"/>
    </row>
    <row r="256" spans="1:4" x14ac:dyDescent="0.2">
      <c r="A256" s="114"/>
      <c r="B256" s="114"/>
      <c r="C256" s="18" t="s">
        <v>489</v>
      </c>
      <c r="D256" s="18"/>
    </row>
    <row r="257" spans="1:5" x14ac:dyDescent="0.2">
      <c r="A257" s="114"/>
      <c r="B257" s="114"/>
      <c r="C257" s="18" t="s">
        <v>490</v>
      </c>
      <c r="D257" s="18"/>
    </row>
    <row r="258" spans="1:5" x14ac:dyDescent="0.2">
      <c r="A258" s="114"/>
      <c r="B258" s="114"/>
      <c r="C258" s="18" t="s">
        <v>491</v>
      </c>
      <c r="D258" s="18"/>
    </row>
    <row r="259" spans="1:5" x14ac:dyDescent="0.2">
      <c r="A259" s="114"/>
      <c r="B259" s="114"/>
      <c r="C259" s="18" t="s">
        <v>492</v>
      </c>
      <c r="D259" s="18"/>
    </row>
    <row r="260" spans="1:5" x14ac:dyDescent="0.2">
      <c r="A260" s="114"/>
      <c r="B260" s="114"/>
      <c r="C260" s="18" t="s">
        <v>493</v>
      </c>
      <c r="D260" s="18"/>
    </row>
    <row r="261" spans="1:5" x14ac:dyDescent="0.2">
      <c r="A261" s="114"/>
      <c r="B261" s="114"/>
      <c r="C261" s="18" t="s">
        <v>494</v>
      </c>
      <c r="D261" s="18"/>
    </row>
    <row r="262" spans="1:5" x14ac:dyDescent="0.2">
      <c r="A262" s="114"/>
      <c r="B262" s="114"/>
      <c r="C262" s="18" t="s">
        <v>495</v>
      </c>
      <c r="D262" s="18"/>
    </row>
    <row r="263" spans="1:5" x14ac:dyDescent="0.2">
      <c r="A263" s="114"/>
      <c r="B263" s="114"/>
      <c r="C263" s="18" t="s">
        <v>496</v>
      </c>
      <c r="D263" s="18"/>
    </row>
    <row r="264" spans="1:5" x14ac:dyDescent="0.2">
      <c r="A264" s="114"/>
      <c r="B264" s="114"/>
      <c r="C264" s="18" t="s">
        <v>497</v>
      </c>
      <c r="D264" s="18"/>
    </row>
    <row r="265" spans="1:5" x14ac:dyDescent="0.2">
      <c r="A265" s="114"/>
      <c r="B265" s="114"/>
      <c r="C265" s="18" t="s">
        <v>498</v>
      </c>
      <c r="D265" s="18"/>
    </row>
    <row r="266" spans="1:5" x14ac:dyDescent="0.2">
      <c r="A266" s="114"/>
      <c r="B266" s="114"/>
      <c r="C266" s="18" t="s">
        <v>499</v>
      </c>
      <c r="D266" s="18"/>
    </row>
    <row r="267" spans="1:5" x14ac:dyDescent="0.2">
      <c r="A267" s="114"/>
      <c r="B267" s="114"/>
      <c r="C267" s="18" t="s">
        <v>500</v>
      </c>
      <c r="D267" s="18"/>
    </row>
    <row r="268" spans="1:5" x14ac:dyDescent="0.2">
      <c r="A268" s="114"/>
      <c r="B268" s="114"/>
      <c r="C268" s="18" t="s">
        <v>501</v>
      </c>
      <c r="D268" s="18"/>
    </row>
    <row r="269" spans="1:5" x14ac:dyDescent="0.2">
      <c r="A269" s="114"/>
      <c r="B269" s="114"/>
      <c r="C269" s="18" t="s">
        <v>502</v>
      </c>
      <c r="D269" s="18"/>
    </row>
    <row r="270" spans="1:5" x14ac:dyDescent="0.2">
      <c r="A270" s="114"/>
      <c r="B270" s="114"/>
      <c r="C270" s="18" t="s">
        <v>503</v>
      </c>
      <c r="D270" s="18" t="s">
        <v>504</v>
      </c>
      <c r="E270" t="s">
        <v>214</v>
      </c>
    </row>
    <row r="271" spans="1:5" x14ac:dyDescent="0.2">
      <c r="A271" s="114"/>
      <c r="B271" s="114"/>
      <c r="C271" s="18" t="s">
        <v>505</v>
      </c>
      <c r="D271" s="18" t="s">
        <v>506</v>
      </c>
      <c r="E271" t="s">
        <v>214</v>
      </c>
    </row>
    <row r="272" spans="1:5" x14ac:dyDescent="0.2">
      <c r="A272" s="114"/>
      <c r="B272" s="114"/>
      <c r="C272" s="18" t="s">
        <v>507</v>
      </c>
      <c r="D272" s="18" t="s">
        <v>508</v>
      </c>
      <c r="E272" t="s">
        <v>214</v>
      </c>
    </row>
    <row r="273" spans="1:5" x14ac:dyDescent="0.2">
      <c r="A273" s="114"/>
      <c r="B273" s="114"/>
      <c r="C273" s="18" t="s">
        <v>509</v>
      </c>
      <c r="D273" s="18"/>
    </row>
    <row r="274" spans="1:5" x14ac:dyDescent="0.2">
      <c r="A274" s="114"/>
      <c r="B274" s="114"/>
      <c r="C274" s="18" t="s">
        <v>510</v>
      </c>
      <c r="D274" s="18" t="s">
        <v>511</v>
      </c>
      <c r="E274" t="s">
        <v>214</v>
      </c>
    </row>
    <row r="275" spans="1:5" x14ac:dyDescent="0.2">
      <c r="A275" s="114"/>
      <c r="B275" s="114"/>
      <c r="C275" s="18" t="s">
        <v>512</v>
      </c>
      <c r="D275" s="18"/>
    </row>
    <row r="276" spans="1:5" x14ac:dyDescent="0.2">
      <c r="A276" s="114"/>
      <c r="B276" s="114"/>
      <c r="C276" s="18" t="s">
        <v>513</v>
      </c>
      <c r="D276" s="18"/>
    </row>
    <row r="277" spans="1:5" x14ac:dyDescent="0.2">
      <c r="A277" s="114"/>
      <c r="B277" s="114"/>
      <c r="C277" s="18" t="s">
        <v>514</v>
      </c>
      <c r="D277" s="18"/>
    </row>
    <row r="278" spans="1:5" x14ac:dyDescent="0.2">
      <c r="A278" s="114"/>
      <c r="B278" s="114"/>
      <c r="C278" s="18" t="s">
        <v>515</v>
      </c>
      <c r="D278" s="18"/>
    </row>
    <row r="279" spans="1:5" x14ac:dyDescent="0.2">
      <c r="A279" s="114"/>
      <c r="B279" s="114"/>
      <c r="C279" s="18" t="s">
        <v>516</v>
      </c>
      <c r="D279" s="18"/>
    </row>
    <row r="280" spans="1:5" x14ac:dyDescent="0.2">
      <c r="A280" s="114"/>
      <c r="B280" s="114"/>
      <c r="C280" s="18" t="s">
        <v>517</v>
      </c>
      <c r="D280" s="18"/>
    </row>
    <row r="281" spans="1:5" x14ac:dyDescent="0.2">
      <c r="A281" s="114"/>
      <c r="B281" s="114"/>
      <c r="C281" s="18" t="s">
        <v>518</v>
      </c>
      <c r="D281" s="18"/>
    </row>
    <row r="282" spans="1:5" x14ac:dyDescent="0.2">
      <c r="A282" s="114"/>
      <c r="B282" s="114"/>
      <c r="C282" s="18" t="s">
        <v>519</v>
      </c>
      <c r="D282" s="18" t="s">
        <v>520</v>
      </c>
      <c r="E282" t="s">
        <v>214</v>
      </c>
    </row>
    <row r="283" spans="1:5" x14ac:dyDescent="0.2">
      <c r="A283" s="114"/>
      <c r="B283" s="114"/>
      <c r="C283" s="18" t="s">
        <v>521</v>
      </c>
      <c r="D283" s="18"/>
    </row>
    <row r="284" spans="1:5" x14ac:dyDescent="0.2">
      <c r="A284" s="114"/>
      <c r="B284" s="114"/>
      <c r="C284" s="18" t="s">
        <v>522</v>
      </c>
      <c r="D284" s="18" t="s">
        <v>523</v>
      </c>
      <c r="E284" t="s">
        <v>214</v>
      </c>
    </row>
    <row r="285" spans="1:5" x14ac:dyDescent="0.2">
      <c r="A285" s="114"/>
      <c r="B285" s="114"/>
      <c r="C285" s="18" t="s">
        <v>524</v>
      </c>
      <c r="D285" s="18"/>
    </row>
    <row r="286" spans="1:5" x14ac:dyDescent="0.2">
      <c r="A286" s="114"/>
      <c r="B286" s="114"/>
      <c r="C286" s="18" t="s">
        <v>525</v>
      </c>
      <c r="D286" s="18"/>
    </row>
    <row r="287" spans="1:5" x14ac:dyDescent="0.2">
      <c r="A287" s="114"/>
      <c r="B287" s="114"/>
      <c r="C287" s="18" t="s">
        <v>526</v>
      </c>
      <c r="D287" s="18"/>
    </row>
    <row r="288" spans="1:5" x14ac:dyDescent="0.2">
      <c r="A288" s="114"/>
      <c r="B288" s="114"/>
      <c r="C288" s="18" t="s">
        <v>527</v>
      </c>
      <c r="D288" s="18"/>
    </row>
    <row r="289" spans="1:5" x14ac:dyDescent="0.2">
      <c r="A289" s="114"/>
      <c r="B289" s="114"/>
      <c r="C289" s="18" t="s">
        <v>528</v>
      </c>
      <c r="D289" s="18" t="s">
        <v>529</v>
      </c>
      <c r="E289" t="s">
        <v>214</v>
      </c>
    </row>
    <row r="290" spans="1:5" x14ac:dyDescent="0.2">
      <c r="A290" s="114"/>
      <c r="B290" s="114"/>
      <c r="C290" s="18" t="s">
        <v>530</v>
      </c>
      <c r="D290" s="18"/>
    </row>
    <row r="291" spans="1:5" x14ac:dyDescent="0.2">
      <c r="A291" s="114"/>
      <c r="B291" s="114"/>
      <c r="C291" s="18" t="s">
        <v>531</v>
      </c>
      <c r="D291" s="18"/>
    </row>
    <row r="292" spans="1:5" x14ac:dyDescent="0.2">
      <c r="A292" s="114"/>
      <c r="B292" s="114"/>
      <c r="C292" s="18" t="s">
        <v>532</v>
      </c>
      <c r="D292" s="18"/>
    </row>
    <row r="293" spans="1:5" x14ac:dyDescent="0.2">
      <c r="A293" s="114"/>
      <c r="B293" s="114"/>
      <c r="C293" s="18" t="s">
        <v>533</v>
      </c>
      <c r="D293" s="18"/>
    </row>
    <row r="294" spans="1:5" x14ac:dyDescent="0.2">
      <c r="A294" s="114"/>
      <c r="B294" s="114"/>
      <c r="C294" s="18" t="s">
        <v>534</v>
      </c>
      <c r="D294" s="18"/>
    </row>
    <row r="295" spans="1:5" x14ac:dyDescent="0.2">
      <c r="A295" s="114"/>
      <c r="B295" s="114"/>
      <c r="C295" s="18" t="s">
        <v>535</v>
      </c>
      <c r="D295" s="18"/>
    </row>
    <row r="296" spans="1:5" x14ac:dyDescent="0.2">
      <c r="A296" s="114"/>
      <c r="B296" s="114"/>
      <c r="C296" s="18" t="s">
        <v>536</v>
      </c>
      <c r="D296" s="18"/>
    </row>
    <row r="297" spans="1:5" x14ac:dyDescent="0.2">
      <c r="A297" s="114"/>
      <c r="B297" s="114"/>
      <c r="C297" s="18" t="s">
        <v>537</v>
      </c>
      <c r="D297" s="18" t="s">
        <v>538</v>
      </c>
      <c r="E297" t="s">
        <v>214</v>
      </c>
    </row>
    <row r="298" spans="1:5" x14ac:dyDescent="0.2">
      <c r="A298" s="114"/>
      <c r="B298" s="114"/>
      <c r="C298" s="18" t="s">
        <v>539</v>
      </c>
      <c r="D298" s="18"/>
    </row>
    <row r="299" spans="1:5" x14ac:dyDescent="0.2">
      <c r="A299" s="114"/>
      <c r="B299" s="114"/>
      <c r="C299" s="18" t="s">
        <v>540</v>
      </c>
      <c r="D299" s="18"/>
    </row>
    <row r="300" spans="1:5" x14ac:dyDescent="0.2">
      <c r="A300" s="114"/>
      <c r="B300" s="114"/>
      <c r="C300" s="18" t="s">
        <v>541</v>
      </c>
      <c r="D300" s="18"/>
      <c r="E300" t="s">
        <v>214</v>
      </c>
    </row>
    <row r="301" spans="1:5" x14ac:dyDescent="0.2">
      <c r="A301" s="114"/>
      <c r="B301" s="114"/>
      <c r="C301" s="18" t="s">
        <v>542</v>
      </c>
      <c r="D301" s="18"/>
    </row>
    <row r="302" spans="1:5" x14ac:dyDescent="0.2">
      <c r="A302" s="114"/>
      <c r="B302" s="114"/>
      <c r="C302" s="18" t="s">
        <v>543</v>
      </c>
      <c r="D302" s="18"/>
    </row>
    <row r="303" spans="1:5" x14ac:dyDescent="0.2">
      <c r="A303" s="114"/>
      <c r="B303" s="114"/>
      <c r="C303" s="18" t="s">
        <v>544</v>
      </c>
      <c r="D303" s="18"/>
    </row>
    <row r="304" spans="1:5" x14ac:dyDescent="0.2">
      <c r="A304" s="114"/>
      <c r="B304" s="114"/>
      <c r="C304" s="18" t="s">
        <v>545</v>
      </c>
      <c r="D304" s="18"/>
    </row>
    <row r="305" spans="1:5" x14ac:dyDescent="0.2">
      <c r="A305" s="114"/>
      <c r="B305" s="114"/>
      <c r="C305" s="18" t="s">
        <v>546</v>
      </c>
      <c r="D305" s="18"/>
    </row>
    <row r="306" spans="1:5" x14ac:dyDescent="0.2">
      <c r="A306" s="114"/>
      <c r="B306" s="114"/>
      <c r="C306" s="18" t="s">
        <v>547</v>
      </c>
      <c r="D306" s="18"/>
    </row>
    <row r="307" spans="1:5" x14ac:dyDescent="0.2">
      <c r="A307" s="114"/>
      <c r="B307" s="114"/>
      <c r="C307" s="18" t="s">
        <v>548</v>
      </c>
      <c r="D307" s="18"/>
    </row>
    <row r="308" spans="1:5" x14ac:dyDescent="0.2">
      <c r="A308" s="114"/>
      <c r="B308" s="114"/>
      <c r="C308" s="18" t="s">
        <v>549</v>
      </c>
      <c r="D308" s="18"/>
    </row>
    <row r="309" spans="1:5" x14ac:dyDescent="0.2">
      <c r="A309" s="114"/>
      <c r="B309" s="114"/>
      <c r="C309" s="18" t="s">
        <v>550</v>
      </c>
      <c r="D309" s="18"/>
    </row>
    <row r="310" spans="1:5" x14ac:dyDescent="0.2">
      <c r="A310" s="114"/>
      <c r="B310" s="114"/>
      <c r="C310" s="18" t="s">
        <v>551</v>
      </c>
      <c r="D310" s="18"/>
      <c r="E310" t="s">
        <v>214</v>
      </c>
    </row>
    <row r="311" spans="1:5" x14ac:dyDescent="0.2">
      <c r="A311" s="114"/>
      <c r="B311" s="114"/>
      <c r="C311" s="18" t="s">
        <v>552</v>
      </c>
      <c r="D311" s="18"/>
      <c r="E311" t="s">
        <v>214</v>
      </c>
    </row>
    <row r="312" spans="1:5" x14ac:dyDescent="0.2">
      <c r="A312" s="114"/>
      <c r="B312" s="114"/>
      <c r="C312" s="18" t="s">
        <v>553</v>
      </c>
      <c r="D312" s="18"/>
      <c r="E312" t="s">
        <v>214</v>
      </c>
    </row>
    <row r="313" spans="1:5" x14ac:dyDescent="0.2">
      <c r="A313" s="114"/>
      <c r="B313" s="114"/>
      <c r="C313" s="18" t="s">
        <v>554</v>
      </c>
      <c r="D313" s="18"/>
    </row>
    <row r="314" spans="1:5" x14ac:dyDescent="0.2">
      <c r="A314" s="114"/>
      <c r="B314" s="114"/>
      <c r="C314" s="18" t="s">
        <v>555</v>
      </c>
      <c r="D314" s="18"/>
    </row>
    <row r="315" spans="1:5" x14ac:dyDescent="0.2">
      <c r="A315" s="114"/>
      <c r="B315" s="114"/>
      <c r="C315" s="18" t="s">
        <v>556</v>
      </c>
      <c r="D315" s="18"/>
    </row>
    <row r="316" spans="1:5" x14ac:dyDescent="0.2">
      <c r="A316" s="114"/>
      <c r="B316" s="114"/>
      <c r="C316" s="18" t="s">
        <v>557</v>
      </c>
      <c r="D316" s="18"/>
    </row>
    <row r="317" spans="1:5" x14ac:dyDescent="0.2">
      <c r="A317" s="114"/>
      <c r="B317" s="114"/>
      <c r="C317" s="18" t="s">
        <v>558</v>
      </c>
      <c r="D317" s="18"/>
    </row>
    <row r="318" spans="1:5" x14ac:dyDescent="0.2">
      <c r="A318" s="114"/>
      <c r="B318" s="114"/>
      <c r="C318" s="18" t="s">
        <v>559</v>
      </c>
      <c r="D318" s="97" t="s">
        <v>560</v>
      </c>
      <c r="E318" t="s">
        <v>214</v>
      </c>
    </row>
    <row r="319" spans="1:5" x14ac:dyDescent="0.2">
      <c r="A319" s="114"/>
      <c r="B319" s="114"/>
      <c r="C319" s="18" t="s">
        <v>561</v>
      </c>
      <c r="D319" s="18"/>
    </row>
    <row r="320" spans="1:5" x14ac:dyDescent="0.2">
      <c r="A320" s="114"/>
      <c r="B320" s="114"/>
      <c r="C320" s="18" t="s">
        <v>562</v>
      </c>
      <c r="D320" s="18"/>
    </row>
    <row r="321" spans="1:5" x14ac:dyDescent="0.2">
      <c r="A321" s="114"/>
      <c r="B321" s="114"/>
      <c r="C321" s="18" t="s">
        <v>563</v>
      </c>
      <c r="D321" s="18"/>
    </row>
    <row r="322" spans="1:5" x14ac:dyDescent="0.2">
      <c r="A322" s="114"/>
      <c r="B322" s="114"/>
      <c r="C322" s="18" t="s">
        <v>564</v>
      </c>
      <c r="D322" s="18"/>
    </row>
    <row r="323" spans="1:5" x14ac:dyDescent="0.2">
      <c r="A323" s="114"/>
      <c r="B323" s="114"/>
      <c r="C323" s="18" t="s">
        <v>565</v>
      </c>
      <c r="D323" s="18"/>
    </row>
    <row r="324" spans="1:5" x14ac:dyDescent="0.2">
      <c r="A324" s="114"/>
      <c r="B324" s="114"/>
      <c r="C324" s="18" t="s">
        <v>566</v>
      </c>
      <c r="D324" s="18"/>
    </row>
    <row r="325" spans="1:5" x14ac:dyDescent="0.2">
      <c r="A325" s="114"/>
      <c r="B325" s="114"/>
      <c r="C325" s="18" t="s">
        <v>567</v>
      </c>
      <c r="D325" s="18"/>
    </row>
    <row r="326" spans="1:5" x14ac:dyDescent="0.2">
      <c r="A326" s="114"/>
      <c r="B326" s="114"/>
      <c r="C326" s="18" t="s">
        <v>568</v>
      </c>
      <c r="D326" s="18"/>
    </row>
    <row r="327" spans="1:5" x14ac:dyDescent="0.2">
      <c r="A327" s="114"/>
      <c r="B327" s="114"/>
      <c r="C327" s="18" t="s">
        <v>569</v>
      </c>
      <c r="D327" s="18"/>
    </row>
    <row r="328" spans="1:5" x14ac:dyDescent="0.2">
      <c r="A328" s="108"/>
      <c r="B328" s="115" t="s">
        <v>90</v>
      </c>
      <c r="C328" s="44" t="s">
        <v>570</v>
      </c>
      <c r="D328" s="44"/>
      <c r="E328" t="s">
        <v>214</v>
      </c>
    </row>
    <row r="329" spans="1:5" x14ac:dyDescent="0.2">
      <c r="A329" s="109"/>
      <c r="B329" s="116"/>
      <c r="C329" s="44" t="s">
        <v>571</v>
      </c>
      <c r="D329" s="44"/>
      <c r="E329" t="s">
        <v>214</v>
      </c>
    </row>
    <row r="330" spans="1:5" x14ac:dyDescent="0.2">
      <c r="A330" s="109"/>
      <c r="B330" s="116"/>
      <c r="C330" s="99" t="s">
        <v>572</v>
      </c>
      <c r="D330" s="44"/>
      <c r="E330" t="s">
        <v>214</v>
      </c>
    </row>
    <row r="331" spans="1:5" x14ac:dyDescent="0.2">
      <c r="A331" s="109"/>
      <c r="B331" s="116"/>
      <c r="C331" s="98" t="s">
        <v>573</v>
      </c>
      <c r="D331" s="44"/>
      <c r="E331" t="s">
        <v>214</v>
      </c>
    </row>
    <row r="332" spans="1:5" x14ac:dyDescent="0.2">
      <c r="A332" s="109"/>
      <c r="B332" s="116"/>
      <c r="C332" s="98" t="s">
        <v>574</v>
      </c>
      <c r="D332" s="44"/>
      <c r="E332" t="s">
        <v>214</v>
      </c>
    </row>
    <row r="333" spans="1:5" x14ac:dyDescent="0.2">
      <c r="A333" s="109"/>
      <c r="B333" s="116"/>
      <c r="C333" s="98" t="s">
        <v>575</v>
      </c>
      <c r="D333" s="44"/>
      <c r="E333" t="s">
        <v>214</v>
      </c>
    </row>
    <row r="334" spans="1:5" x14ac:dyDescent="0.2">
      <c r="A334" s="109"/>
      <c r="B334" s="116"/>
      <c r="C334" s="98" t="s">
        <v>576</v>
      </c>
      <c r="D334" s="44"/>
      <c r="E334" t="s">
        <v>214</v>
      </c>
    </row>
    <row r="335" spans="1:5" x14ac:dyDescent="0.2">
      <c r="A335" s="109"/>
      <c r="B335" s="116"/>
      <c r="C335" s="44" t="s">
        <v>577</v>
      </c>
      <c r="D335" s="44"/>
      <c r="E335" t="s">
        <v>214</v>
      </c>
    </row>
    <row r="336" spans="1:5" x14ac:dyDescent="0.2">
      <c r="A336" s="109"/>
      <c r="B336" s="116"/>
      <c r="C336" s="44" t="s">
        <v>578</v>
      </c>
      <c r="D336" s="44"/>
      <c r="E336" t="s">
        <v>214</v>
      </c>
    </row>
    <row r="337" spans="1:5" x14ac:dyDescent="0.2">
      <c r="A337" s="109"/>
      <c r="B337" s="116"/>
      <c r="C337" s="44" t="s">
        <v>579</v>
      </c>
      <c r="D337" s="44"/>
      <c r="E337" t="s">
        <v>214</v>
      </c>
    </row>
    <row r="338" spans="1:5" x14ac:dyDescent="0.2">
      <c r="A338" s="109"/>
      <c r="B338" s="116"/>
      <c r="C338" s="44" t="s">
        <v>580</v>
      </c>
      <c r="D338" s="44"/>
      <c r="E338" t="s">
        <v>214</v>
      </c>
    </row>
    <row r="339" spans="1:5" x14ac:dyDescent="0.2">
      <c r="A339" s="109"/>
      <c r="B339" s="116"/>
      <c r="C339" s="44" t="s">
        <v>581</v>
      </c>
      <c r="D339" s="44"/>
      <c r="E339" t="s">
        <v>214</v>
      </c>
    </row>
    <row r="340" spans="1:5" x14ac:dyDescent="0.2">
      <c r="A340" s="109"/>
      <c r="B340" s="116"/>
      <c r="C340" s="44" t="s">
        <v>582</v>
      </c>
      <c r="D340" s="44"/>
      <c r="E340" t="s">
        <v>214</v>
      </c>
    </row>
    <row r="341" spans="1:5" x14ac:dyDescent="0.2">
      <c r="A341" s="109"/>
      <c r="B341" s="116"/>
      <c r="C341" s="44" t="s">
        <v>583</v>
      </c>
      <c r="D341" s="44"/>
      <c r="E341" t="s">
        <v>214</v>
      </c>
    </row>
    <row r="342" spans="1:5" x14ac:dyDescent="0.2">
      <c r="A342" s="109"/>
      <c r="B342" s="116"/>
      <c r="C342" s="44" t="s">
        <v>584</v>
      </c>
      <c r="D342" s="44"/>
      <c r="E342" t="s">
        <v>214</v>
      </c>
    </row>
    <row r="343" spans="1:5" x14ac:dyDescent="0.2">
      <c r="A343" s="109"/>
      <c r="B343" s="116"/>
      <c r="C343" s="44" t="s">
        <v>585</v>
      </c>
      <c r="D343" s="44"/>
      <c r="E343" t="s">
        <v>214</v>
      </c>
    </row>
    <row r="344" spans="1:5" x14ac:dyDescent="0.2">
      <c r="A344" s="109"/>
      <c r="B344" s="116"/>
      <c r="C344" s="44" t="s">
        <v>586</v>
      </c>
      <c r="D344" s="44"/>
      <c r="E344" t="s">
        <v>214</v>
      </c>
    </row>
    <row r="345" spans="1:5" x14ac:dyDescent="0.2">
      <c r="A345" s="109"/>
      <c r="B345" s="116"/>
      <c r="C345" s="44" t="s">
        <v>587</v>
      </c>
      <c r="D345" s="44"/>
      <c r="E345" t="s">
        <v>214</v>
      </c>
    </row>
    <row r="346" spans="1:5" x14ac:dyDescent="0.2">
      <c r="A346" s="109"/>
      <c r="B346" s="116"/>
      <c r="C346" s="44" t="s">
        <v>588</v>
      </c>
      <c r="D346" s="44"/>
      <c r="E346" t="s">
        <v>214</v>
      </c>
    </row>
    <row r="347" spans="1:5" x14ac:dyDescent="0.2">
      <c r="A347" s="109"/>
      <c r="B347" s="116"/>
      <c r="C347" s="44" t="s">
        <v>589</v>
      </c>
      <c r="D347" s="44"/>
      <c r="E347" t="s">
        <v>214</v>
      </c>
    </row>
    <row r="348" spans="1:5" x14ac:dyDescent="0.2">
      <c r="A348" s="109"/>
      <c r="B348" s="116"/>
      <c r="C348" s="44" t="s">
        <v>590</v>
      </c>
      <c r="D348" s="44"/>
      <c r="E348" t="s">
        <v>214</v>
      </c>
    </row>
    <row r="349" spans="1:5" x14ac:dyDescent="0.2">
      <c r="A349" s="109"/>
      <c r="B349" s="116"/>
      <c r="C349" s="44" t="s">
        <v>591</v>
      </c>
      <c r="D349" s="44"/>
      <c r="E349" t="s">
        <v>214</v>
      </c>
    </row>
    <row r="350" spans="1:5" x14ac:dyDescent="0.2">
      <c r="A350" s="109"/>
      <c r="B350" s="116"/>
      <c r="C350" s="44" t="s">
        <v>592</v>
      </c>
      <c r="D350" s="44"/>
      <c r="E350" t="s">
        <v>214</v>
      </c>
    </row>
    <row r="351" spans="1:5" x14ac:dyDescent="0.2">
      <c r="A351" s="109"/>
      <c r="B351" s="116"/>
      <c r="C351" s="44" t="s">
        <v>593</v>
      </c>
      <c r="D351" s="44"/>
      <c r="E351" t="s">
        <v>214</v>
      </c>
    </row>
    <row r="352" spans="1:5" x14ac:dyDescent="0.2">
      <c r="A352" s="109"/>
      <c r="B352" s="116"/>
      <c r="C352" s="44" t="s">
        <v>594</v>
      </c>
      <c r="D352" s="44"/>
      <c r="E352" t="s">
        <v>214</v>
      </c>
    </row>
    <row r="353" spans="1:5" x14ac:dyDescent="0.2">
      <c r="A353" s="109"/>
      <c r="B353" s="116"/>
      <c r="C353" s="44" t="s">
        <v>595</v>
      </c>
      <c r="D353" s="44"/>
      <c r="E353" t="s">
        <v>214</v>
      </c>
    </row>
    <row r="354" spans="1:5" x14ac:dyDescent="0.2">
      <c r="A354" s="109"/>
      <c r="B354" s="116"/>
      <c r="C354" s="44" t="s">
        <v>596</v>
      </c>
      <c r="D354" s="44"/>
      <c r="E354" t="s">
        <v>214</v>
      </c>
    </row>
    <row r="355" spans="1:5" x14ac:dyDescent="0.2">
      <c r="A355" s="109"/>
      <c r="B355" s="116"/>
      <c r="C355" s="44" t="s">
        <v>597</v>
      </c>
      <c r="D355" s="44"/>
      <c r="E355" t="s">
        <v>214</v>
      </c>
    </row>
    <row r="356" spans="1:5" x14ac:dyDescent="0.2">
      <c r="A356" s="109"/>
      <c r="B356" s="116"/>
      <c r="C356" s="44" t="s">
        <v>598</v>
      </c>
      <c r="D356" s="44"/>
      <c r="E356" t="s">
        <v>214</v>
      </c>
    </row>
    <row r="357" spans="1:5" x14ac:dyDescent="0.2">
      <c r="A357" s="109"/>
      <c r="B357" s="116"/>
      <c r="C357" s="44" t="s">
        <v>599</v>
      </c>
      <c r="D357" s="44"/>
      <c r="E357" t="s">
        <v>214</v>
      </c>
    </row>
    <row r="358" spans="1:5" x14ac:dyDescent="0.2">
      <c r="A358" s="109"/>
      <c r="B358" s="116"/>
      <c r="C358" s="44" t="s">
        <v>600</v>
      </c>
      <c r="D358" s="44"/>
      <c r="E358" t="s">
        <v>214</v>
      </c>
    </row>
    <row r="359" spans="1:5" x14ac:dyDescent="0.2">
      <c r="A359" s="109"/>
      <c r="B359" s="116"/>
      <c r="C359" s="44" t="s">
        <v>601</v>
      </c>
      <c r="D359" s="44"/>
      <c r="E359" t="s">
        <v>214</v>
      </c>
    </row>
    <row r="360" spans="1:5" x14ac:dyDescent="0.2">
      <c r="A360" s="109"/>
      <c r="B360" s="116"/>
      <c r="C360" s="44" t="s">
        <v>602</v>
      </c>
      <c r="D360" s="44"/>
      <c r="E360" t="s">
        <v>214</v>
      </c>
    </row>
    <row r="361" spans="1:5" x14ac:dyDescent="0.2">
      <c r="A361" s="109"/>
      <c r="B361" s="116"/>
      <c r="C361" s="44" t="s">
        <v>603</v>
      </c>
      <c r="D361" s="44"/>
      <c r="E361" t="s">
        <v>214</v>
      </c>
    </row>
    <row r="362" spans="1:5" x14ac:dyDescent="0.2">
      <c r="A362" s="109"/>
      <c r="B362" s="116"/>
      <c r="C362" s="44" t="s">
        <v>604</v>
      </c>
      <c r="D362" s="44"/>
      <c r="E362" t="s">
        <v>214</v>
      </c>
    </row>
    <row r="363" spans="1:5" x14ac:dyDescent="0.2">
      <c r="A363" s="109"/>
      <c r="B363" s="116"/>
      <c r="C363" s="44" t="s">
        <v>605</v>
      </c>
      <c r="D363" s="44"/>
      <c r="E363" t="s">
        <v>214</v>
      </c>
    </row>
    <row r="364" spans="1:5" x14ac:dyDescent="0.2">
      <c r="A364" s="109"/>
      <c r="B364" s="116"/>
      <c r="C364" s="44" t="s">
        <v>606</v>
      </c>
      <c r="D364" s="44"/>
      <c r="E364" t="s">
        <v>214</v>
      </c>
    </row>
    <row r="365" spans="1:5" x14ac:dyDescent="0.2">
      <c r="A365" s="109"/>
      <c r="B365" s="116"/>
      <c r="C365" s="44" t="s">
        <v>607</v>
      </c>
      <c r="D365" s="44"/>
      <c r="E365" t="s">
        <v>214</v>
      </c>
    </row>
    <row r="366" spans="1:5" x14ac:dyDescent="0.2">
      <c r="A366" s="109"/>
      <c r="B366" s="116"/>
      <c r="C366" s="44" t="s">
        <v>608</v>
      </c>
      <c r="D366" s="44"/>
      <c r="E366" t="s">
        <v>214</v>
      </c>
    </row>
    <row r="367" spans="1:5" x14ac:dyDescent="0.2">
      <c r="A367" s="109"/>
      <c r="B367" s="116"/>
      <c r="C367" s="44" t="s">
        <v>609</v>
      </c>
      <c r="D367" s="44"/>
      <c r="E367" t="s">
        <v>214</v>
      </c>
    </row>
    <row r="368" spans="1:5" x14ac:dyDescent="0.2">
      <c r="A368" s="109"/>
      <c r="B368" s="116"/>
      <c r="C368" s="44" t="s">
        <v>610</v>
      </c>
      <c r="D368" s="44"/>
      <c r="E368" t="s">
        <v>214</v>
      </c>
    </row>
    <row r="369" spans="1:5" x14ac:dyDescent="0.2">
      <c r="A369" s="109"/>
      <c r="B369" s="116"/>
      <c r="C369" s="44" t="s">
        <v>611</v>
      </c>
      <c r="D369" s="44"/>
      <c r="E369" t="s">
        <v>214</v>
      </c>
    </row>
    <row r="370" spans="1:5" x14ac:dyDescent="0.2">
      <c r="A370" s="109"/>
      <c r="B370" s="116"/>
      <c r="C370" s="44" t="s">
        <v>612</v>
      </c>
      <c r="D370" s="44"/>
      <c r="E370" t="s">
        <v>214</v>
      </c>
    </row>
    <row r="371" spans="1:5" x14ac:dyDescent="0.2">
      <c r="A371" s="109"/>
      <c r="B371" s="116"/>
      <c r="C371" s="44" t="s">
        <v>613</v>
      </c>
      <c r="D371" s="44"/>
      <c r="E371" t="s">
        <v>214</v>
      </c>
    </row>
    <row r="372" spans="1:5" x14ac:dyDescent="0.2">
      <c r="A372" s="109"/>
      <c r="B372" s="116"/>
      <c r="C372" s="44" t="s">
        <v>614</v>
      </c>
      <c r="D372" s="44"/>
      <c r="E372" t="s">
        <v>214</v>
      </c>
    </row>
    <row r="373" spans="1:5" x14ac:dyDescent="0.2">
      <c r="A373" s="109"/>
      <c r="B373" s="116"/>
      <c r="C373" s="44" t="s">
        <v>615</v>
      </c>
      <c r="D373" s="44"/>
      <c r="E373" t="s">
        <v>214</v>
      </c>
    </row>
    <row r="374" spans="1:5" x14ac:dyDescent="0.2">
      <c r="A374" s="109"/>
      <c r="B374" s="116"/>
      <c r="C374" s="44" t="s">
        <v>616</v>
      </c>
      <c r="D374" s="44"/>
      <c r="E374" t="s">
        <v>214</v>
      </c>
    </row>
    <row r="375" spans="1:5" x14ac:dyDescent="0.2">
      <c r="A375" s="109"/>
      <c r="B375" s="116"/>
      <c r="C375" s="44" t="s">
        <v>617</v>
      </c>
      <c r="D375" s="44"/>
      <c r="E375" t="s">
        <v>214</v>
      </c>
    </row>
    <row r="376" spans="1:5" x14ac:dyDescent="0.2">
      <c r="A376" s="109"/>
      <c r="B376" s="116"/>
      <c r="C376" s="44" t="s">
        <v>618</v>
      </c>
      <c r="D376" s="44"/>
      <c r="E376" t="s">
        <v>214</v>
      </c>
    </row>
    <row r="377" spans="1:5" x14ac:dyDescent="0.2">
      <c r="A377" s="109"/>
      <c r="B377" s="116"/>
      <c r="C377" s="44" t="s">
        <v>619</v>
      </c>
      <c r="D377" s="44"/>
      <c r="E377" t="s">
        <v>214</v>
      </c>
    </row>
    <row r="378" spans="1:5" x14ac:dyDescent="0.2">
      <c r="A378" s="109"/>
      <c r="B378" s="116"/>
      <c r="C378" s="44" t="s">
        <v>620</v>
      </c>
      <c r="D378" s="44"/>
      <c r="E378" t="s">
        <v>214</v>
      </c>
    </row>
    <row r="379" spans="1:5" x14ac:dyDescent="0.2">
      <c r="A379" s="109"/>
      <c r="B379" s="116"/>
      <c r="C379" s="44" t="s">
        <v>621</v>
      </c>
      <c r="D379" s="44"/>
      <c r="E379" t="s">
        <v>214</v>
      </c>
    </row>
    <row r="380" spans="1:5" x14ac:dyDescent="0.2">
      <c r="A380" s="109"/>
      <c r="B380" s="116"/>
      <c r="C380" s="44" t="s">
        <v>622</v>
      </c>
      <c r="D380" s="44"/>
      <c r="E380" t="s">
        <v>214</v>
      </c>
    </row>
    <row r="381" spans="1:5" x14ac:dyDescent="0.2">
      <c r="A381" s="109"/>
      <c r="B381" s="116"/>
      <c r="C381" s="44" t="s">
        <v>623</v>
      </c>
      <c r="D381" s="44"/>
      <c r="E381" t="s">
        <v>214</v>
      </c>
    </row>
    <row r="382" spans="1:5" x14ac:dyDescent="0.2">
      <c r="A382" s="109"/>
      <c r="B382" s="116"/>
      <c r="C382" s="44" t="s">
        <v>624</v>
      </c>
      <c r="D382" s="44"/>
      <c r="E382" t="s">
        <v>214</v>
      </c>
    </row>
    <row r="383" spans="1:5" x14ac:dyDescent="0.2">
      <c r="A383" s="109"/>
      <c r="B383" s="116"/>
      <c r="C383" s="44" t="s">
        <v>625</v>
      </c>
      <c r="D383" s="44"/>
      <c r="E383" t="s">
        <v>214</v>
      </c>
    </row>
    <row r="384" spans="1:5" x14ac:dyDescent="0.2">
      <c r="A384" s="109"/>
      <c r="B384" s="116"/>
      <c r="C384" s="44" t="s">
        <v>626</v>
      </c>
      <c r="D384" s="44"/>
      <c r="E384" t="s">
        <v>214</v>
      </c>
    </row>
    <row r="385" spans="1:5" x14ac:dyDescent="0.2">
      <c r="A385" s="109"/>
      <c r="B385" s="116"/>
      <c r="C385" s="44" t="s">
        <v>627</v>
      </c>
      <c r="D385" s="44"/>
      <c r="E385" t="s">
        <v>214</v>
      </c>
    </row>
    <row r="386" spans="1:5" x14ac:dyDescent="0.2">
      <c r="A386" s="109"/>
      <c r="B386" s="116"/>
      <c r="C386" s="44" t="s">
        <v>628</v>
      </c>
      <c r="D386" s="44"/>
      <c r="E386" t="s">
        <v>214</v>
      </c>
    </row>
    <row r="387" spans="1:5" x14ac:dyDescent="0.2">
      <c r="A387" s="109"/>
      <c r="B387" s="116"/>
      <c r="C387" s="44" t="s">
        <v>629</v>
      </c>
      <c r="D387" s="44"/>
      <c r="E387" t="s">
        <v>214</v>
      </c>
    </row>
    <row r="388" spans="1:5" x14ac:dyDescent="0.2">
      <c r="A388" s="109"/>
      <c r="B388" s="116"/>
      <c r="C388" s="44" t="s">
        <v>630</v>
      </c>
      <c r="D388" s="44"/>
      <c r="E388" t="s">
        <v>214</v>
      </c>
    </row>
    <row r="389" spans="1:5" x14ac:dyDescent="0.2">
      <c r="A389" s="109"/>
      <c r="B389" s="116"/>
      <c r="C389" s="44" t="s">
        <v>631</v>
      </c>
      <c r="D389" s="44"/>
      <c r="E389" t="s">
        <v>214</v>
      </c>
    </row>
    <row r="390" spans="1:5" x14ac:dyDescent="0.2">
      <c r="A390" s="109"/>
      <c r="B390" s="116"/>
      <c r="C390" s="44" t="s">
        <v>632</v>
      </c>
      <c r="D390" s="44"/>
      <c r="E390" t="s">
        <v>214</v>
      </c>
    </row>
    <row r="391" spans="1:5" x14ac:dyDescent="0.2">
      <c r="A391" s="109"/>
      <c r="B391" s="116"/>
      <c r="C391" s="44" t="s">
        <v>633</v>
      </c>
      <c r="D391" s="44"/>
      <c r="E391" t="s">
        <v>214</v>
      </c>
    </row>
    <row r="392" spans="1:5" x14ac:dyDescent="0.2">
      <c r="A392" s="109"/>
      <c r="B392" s="116"/>
      <c r="C392" s="44" t="s">
        <v>634</v>
      </c>
      <c r="D392" s="44"/>
      <c r="E392" t="s">
        <v>214</v>
      </c>
    </row>
    <row r="393" spans="1:5" x14ac:dyDescent="0.2">
      <c r="A393" s="109"/>
      <c r="B393" s="116"/>
      <c r="C393" s="44" t="s">
        <v>635</v>
      </c>
      <c r="D393" s="44"/>
      <c r="E393" t="s">
        <v>214</v>
      </c>
    </row>
    <row r="394" spans="1:5" x14ac:dyDescent="0.2">
      <c r="A394" s="109"/>
      <c r="B394" s="116"/>
      <c r="C394" s="44" t="s">
        <v>636</v>
      </c>
      <c r="D394" s="44"/>
      <c r="E394" t="s">
        <v>214</v>
      </c>
    </row>
    <row r="395" spans="1:5" x14ac:dyDescent="0.2">
      <c r="A395" s="109"/>
      <c r="B395" s="116"/>
      <c r="C395" s="44" t="s">
        <v>637</v>
      </c>
      <c r="D395" s="44"/>
      <c r="E395" t="s">
        <v>214</v>
      </c>
    </row>
    <row r="396" spans="1:5" x14ac:dyDescent="0.2">
      <c r="A396" s="109"/>
      <c r="B396" s="116"/>
      <c r="C396" s="44" t="s">
        <v>638</v>
      </c>
      <c r="D396" s="44"/>
      <c r="E396" t="s">
        <v>214</v>
      </c>
    </row>
    <row r="397" spans="1:5" x14ac:dyDescent="0.2">
      <c r="A397" s="109"/>
      <c r="B397" s="116"/>
      <c r="C397" s="44" t="s">
        <v>639</v>
      </c>
      <c r="D397" s="44"/>
      <c r="E397" t="s">
        <v>214</v>
      </c>
    </row>
    <row r="398" spans="1:5" x14ac:dyDescent="0.2">
      <c r="A398" s="109"/>
      <c r="B398" s="116"/>
      <c r="C398" s="44" t="s">
        <v>640</v>
      </c>
      <c r="D398" s="44"/>
      <c r="E398" t="s">
        <v>214</v>
      </c>
    </row>
    <row r="399" spans="1:5" x14ac:dyDescent="0.2">
      <c r="A399" s="109"/>
      <c r="B399" s="116"/>
      <c r="C399" s="44" t="s">
        <v>641</v>
      </c>
      <c r="D399" s="44"/>
      <c r="E399" t="s">
        <v>214</v>
      </c>
    </row>
    <row r="400" spans="1:5" x14ac:dyDescent="0.2">
      <c r="A400" s="109"/>
      <c r="B400" s="116"/>
      <c r="C400" s="44" t="s">
        <v>642</v>
      </c>
      <c r="D400" s="44"/>
      <c r="E400" t="s">
        <v>214</v>
      </c>
    </row>
    <row r="401" spans="1:5" x14ac:dyDescent="0.2">
      <c r="A401" s="109"/>
      <c r="B401" s="116"/>
      <c r="C401" s="44" t="s">
        <v>643</v>
      </c>
      <c r="D401" s="44"/>
      <c r="E401" t="s">
        <v>214</v>
      </c>
    </row>
    <row r="402" spans="1:5" x14ac:dyDescent="0.2">
      <c r="A402" s="109"/>
      <c r="B402" s="116"/>
      <c r="C402" s="44" t="s">
        <v>644</v>
      </c>
      <c r="D402" s="44"/>
      <c r="E402" t="s">
        <v>214</v>
      </c>
    </row>
    <row r="403" spans="1:5" x14ac:dyDescent="0.2">
      <c r="A403" s="109"/>
      <c r="B403" s="116"/>
      <c r="C403" s="44" t="s">
        <v>645</v>
      </c>
      <c r="D403" s="44"/>
      <c r="E403" t="s">
        <v>214</v>
      </c>
    </row>
    <row r="404" spans="1:5" x14ac:dyDescent="0.2">
      <c r="A404" s="109"/>
      <c r="B404" s="116"/>
      <c r="C404" s="44" t="s">
        <v>646</v>
      </c>
      <c r="D404" s="44"/>
      <c r="E404" t="s">
        <v>214</v>
      </c>
    </row>
    <row r="405" spans="1:5" x14ac:dyDescent="0.2">
      <c r="A405" s="109"/>
      <c r="B405" s="116"/>
      <c r="C405" s="44" t="s">
        <v>647</v>
      </c>
      <c r="D405" s="44"/>
      <c r="E405" t="s">
        <v>214</v>
      </c>
    </row>
    <row r="406" spans="1:5" x14ac:dyDescent="0.2">
      <c r="A406" s="109"/>
      <c r="B406" s="116"/>
      <c r="C406" s="44" t="s">
        <v>648</v>
      </c>
      <c r="D406" s="44"/>
      <c r="E406" t="s">
        <v>214</v>
      </c>
    </row>
    <row r="407" spans="1:5" x14ac:dyDescent="0.2">
      <c r="A407" s="109"/>
      <c r="B407" s="116"/>
      <c r="C407" s="44" t="s">
        <v>649</v>
      </c>
      <c r="D407" s="44"/>
      <c r="E407" t="s">
        <v>214</v>
      </c>
    </row>
    <row r="408" spans="1:5" x14ac:dyDescent="0.2">
      <c r="A408" s="109"/>
      <c r="B408" s="116"/>
      <c r="C408" s="44" t="s">
        <v>650</v>
      </c>
      <c r="D408" s="44"/>
      <c r="E408" t="s">
        <v>214</v>
      </c>
    </row>
    <row r="409" spans="1:5" x14ac:dyDescent="0.2">
      <c r="A409" s="109"/>
      <c r="B409" s="116"/>
      <c r="C409" s="44" t="s">
        <v>651</v>
      </c>
      <c r="D409" s="44"/>
      <c r="E409" t="s">
        <v>214</v>
      </c>
    </row>
    <row r="410" spans="1:5" x14ac:dyDescent="0.2">
      <c r="A410" s="109"/>
      <c r="B410" s="116"/>
      <c r="C410" s="44" t="s">
        <v>652</v>
      </c>
      <c r="D410" s="44"/>
      <c r="E410" t="s">
        <v>214</v>
      </c>
    </row>
    <row r="411" spans="1:5" x14ac:dyDescent="0.2">
      <c r="A411" s="109"/>
      <c r="B411" s="116"/>
      <c r="C411" s="44" t="s">
        <v>653</v>
      </c>
      <c r="D411" s="44"/>
      <c r="E411" t="s">
        <v>214</v>
      </c>
    </row>
    <row r="412" spans="1:5" x14ac:dyDescent="0.2">
      <c r="A412" s="109"/>
      <c r="B412" s="116"/>
      <c r="C412" s="44" t="s">
        <v>654</v>
      </c>
      <c r="D412" s="44"/>
      <c r="E412" t="s">
        <v>214</v>
      </c>
    </row>
    <row r="413" spans="1:5" x14ac:dyDescent="0.2">
      <c r="A413" s="109"/>
      <c r="B413" s="116"/>
      <c r="C413" s="44" t="s">
        <v>655</v>
      </c>
      <c r="D413" s="44"/>
      <c r="E413" t="s">
        <v>214</v>
      </c>
    </row>
    <row r="414" spans="1:5" x14ac:dyDescent="0.2">
      <c r="A414" s="109"/>
      <c r="B414" s="116"/>
      <c r="C414" s="44" t="s">
        <v>656</v>
      </c>
      <c r="D414" s="44"/>
      <c r="E414" t="s">
        <v>214</v>
      </c>
    </row>
    <row r="415" spans="1:5" x14ac:dyDescent="0.2">
      <c r="A415" s="109"/>
      <c r="B415" s="116"/>
      <c r="C415" s="44" t="s">
        <v>657</v>
      </c>
      <c r="D415" s="44"/>
      <c r="E415" t="s">
        <v>214</v>
      </c>
    </row>
    <row r="416" spans="1:5" x14ac:dyDescent="0.2">
      <c r="A416" s="109"/>
      <c r="B416" s="116"/>
      <c r="C416" s="44" t="s">
        <v>658</v>
      </c>
      <c r="D416" s="44"/>
      <c r="E416" t="s">
        <v>214</v>
      </c>
    </row>
    <row r="417" spans="1:5" x14ac:dyDescent="0.2">
      <c r="A417" s="109"/>
      <c r="B417" s="116"/>
      <c r="C417" s="44" t="s">
        <v>659</v>
      </c>
      <c r="D417" s="44"/>
      <c r="E417" t="s">
        <v>214</v>
      </c>
    </row>
    <row r="418" spans="1:5" x14ac:dyDescent="0.2">
      <c r="A418" s="109"/>
      <c r="B418" s="116"/>
      <c r="C418" s="44" t="s">
        <v>660</v>
      </c>
      <c r="D418" s="44"/>
      <c r="E418" t="s">
        <v>214</v>
      </c>
    </row>
    <row r="419" spans="1:5" x14ac:dyDescent="0.2">
      <c r="A419" s="109"/>
      <c r="B419" s="116"/>
      <c r="C419" s="44" t="s">
        <v>661</v>
      </c>
      <c r="D419" s="44"/>
      <c r="E419" t="s">
        <v>214</v>
      </c>
    </row>
    <row r="420" spans="1:5" x14ac:dyDescent="0.2">
      <c r="A420" s="109"/>
      <c r="B420" s="116"/>
      <c r="C420" s="44" t="s">
        <v>662</v>
      </c>
      <c r="D420" s="44"/>
      <c r="E420" t="s">
        <v>214</v>
      </c>
    </row>
    <row r="421" spans="1:5" x14ac:dyDescent="0.2">
      <c r="A421" s="109"/>
      <c r="B421" s="116"/>
      <c r="C421" s="44" t="s">
        <v>663</v>
      </c>
      <c r="D421" s="44"/>
      <c r="E421" t="s">
        <v>214</v>
      </c>
    </row>
    <row r="422" spans="1:5" x14ac:dyDescent="0.2">
      <c r="A422" s="109"/>
      <c r="B422" s="116"/>
      <c r="C422" s="44" t="s">
        <v>664</v>
      </c>
      <c r="D422" s="44"/>
      <c r="E422" t="s">
        <v>214</v>
      </c>
    </row>
    <row r="423" spans="1:5" x14ac:dyDescent="0.2">
      <c r="A423" s="109"/>
      <c r="B423" s="116"/>
      <c r="C423" s="44" t="s">
        <v>665</v>
      </c>
      <c r="D423" s="44"/>
      <c r="E423" t="s">
        <v>214</v>
      </c>
    </row>
    <row r="424" spans="1:5" x14ac:dyDescent="0.2">
      <c r="A424" s="109"/>
      <c r="B424" s="116"/>
      <c r="C424" s="44" t="s">
        <v>666</v>
      </c>
      <c r="D424" s="44"/>
      <c r="E424" t="s">
        <v>214</v>
      </c>
    </row>
    <row r="425" spans="1:5" x14ac:dyDescent="0.2">
      <c r="A425" s="109"/>
      <c r="B425" s="116"/>
      <c r="C425" s="44" t="s">
        <v>667</v>
      </c>
      <c r="D425" s="44"/>
      <c r="E425" t="s">
        <v>214</v>
      </c>
    </row>
    <row r="426" spans="1:5" x14ac:dyDescent="0.2">
      <c r="A426" s="109"/>
      <c r="B426" s="116"/>
      <c r="C426" s="44" t="s">
        <v>668</v>
      </c>
      <c r="D426" s="44"/>
      <c r="E426" t="s">
        <v>214</v>
      </c>
    </row>
    <row r="427" spans="1:5" x14ac:dyDescent="0.2">
      <c r="A427" s="109"/>
      <c r="B427" s="116"/>
      <c r="C427" s="44" t="s">
        <v>669</v>
      </c>
      <c r="D427" s="44"/>
      <c r="E427" t="s">
        <v>214</v>
      </c>
    </row>
    <row r="428" spans="1:5" x14ac:dyDescent="0.2">
      <c r="A428" s="109"/>
      <c r="B428" s="116"/>
      <c r="C428" s="44" t="s">
        <v>670</v>
      </c>
      <c r="D428" s="44"/>
      <c r="E428" t="s">
        <v>214</v>
      </c>
    </row>
    <row r="429" spans="1:5" x14ac:dyDescent="0.2">
      <c r="A429" s="109"/>
      <c r="B429" s="116"/>
      <c r="C429" s="44" t="s">
        <v>671</v>
      </c>
      <c r="D429" s="44"/>
      <c r="E429" t="s">
        <v>214</v>
      </c>
    </row>
    <row r="430" spans="1:5" x14ac:dyDescent="0.2">
      <c r="A430" s="109"/>
      <c r="B430" s="116"/>
      <c r="C430" s="44" t="s">
        <v>672</v>
      </c>
      <c r="D430" s="44"/>
      <c r="E430" t="s">
        <v>214</v>
      </c>
    </row>
    <row r="431" spans="1:5" x14ac:dyDescent="0.2">
      <c r="A431" s="109"/>
      <c r="B431" s="116"/>
      <c r="C431" s="44" t="s">
        <v>673</v>
      </c>
      <c r="D431" s="44"/>
      <c r="E431" t="s">
        <v>214</v>
      </c>
    </row>
    <row r="432" spans="1:5" x14ac:dyDescent="0.2">
      <c r="A432" s="109"/>
      <c r="B432" s="116"/>
      <c r="C432" s="44" t="s">
        <v>674</v>
      </c>
      <c r="D432" s="44"/>
      <c r="E432" t="s">
        <v>214</v>
      </c>
    </row>
    <row r="433" spans="1:5" x14ac:dyDescent="0.2">
      <c r="A433" s="109"/>
      <c r="B433" s="116"/>
      <c r="C433" s="44" t="s">
        <v>675</v>
      </c>
      <c r="D433" s="44"/>
      <c r="E433" t="s">
        <v>214</v>
      </c>
    </row>
    <row r="434" spans="1:5" x14ac:dyDescent="0.2">
      <c r="A434" s="109"/>
      <c r="B434" s="116"/>
      <c r="C434" s="44" t="s">
        <v>676</v>
      </c>
      <c r="D434" s="44"/>
      <c r="E434" t="s">
        <v>214</v>
      </c>
    </row>
    <row r="435" spans="1:5" x14ac:dyDescent="0.2">
      <c r="A435" s="109"/>
      <c r="B435" s="116"/>
      <c r="C435" s="44" t="s">
        <v>677</v>
      </c>
      <c r="D435" s="44"/>
      <c r="E435" t="s">
        <v>214</v>
      </c>
    </row>
    <row r="436" spans="1:5" x14ac:dyDescent="0.2">
      <c r="A436" s="109"/>
      <c r="B436" s="116"/>
      <c r="C436" s="44" t="s">
        <v>678</v>
      </c>
      <c r="D436" s="44"/>
      <c r="E436" t="s">
        <v>214</v>
      </c>
    </row>
    <row r="437" spans="1:5" x14ac:dyDescent="0.2">
      <c r="A437" s="109"/>
      <c r="B437" s="116"/>
      <c r="C437" s="44" t="s">
        <v>679</v>
      </c>
      <c r="D437" s="44"/>
      <c r="E437" t="s">
        <v>214</v>
      </c>
    </row>
    <row r="438" spans="1:5" x14ac:dyDescent="0.2">
      <c r="A438" s="109"/>
      <c r="B438" s="116"/>
      <c r="C438" s="44" t="s">
        <v>680</v>
      </c>
      <c r="D438" s="44"/>
      <c r="E438" t="s">
        <v>214</v>
      </c>
    </row>
    <row r="439" spans="1:5" x14ac:dyDescent="0.2">
      <c r="A439" s="109"/>
      <c r="B439" s="116"/>
      <c r="C439" s="44" t="s">
        <v>681</v>
      </c>
      <c r="D439" s="44"/>
      <c r="E439" t="s">
        <v>214</v>
      </c>
    </row>
    <row r="440" spans="1:5" x14ac:dyDescent="0.2">
      <c r="A440" s="109"/>
      <c r="B440" s="116"/>
      <c r="C440" s="44" t="s">
        <v>682</v>
      </c>
      <c r="D440" s="44"/>
      <c r="E440" t="s">
        <v>214</v>
      </c>
    </row>
    <row r="441" spans="1:5" x14ac:dyDescent="0.2">
      <c r="A441" s="109"/>
      <c r="B441" s="116"/>
      <c r="C441" s="44" t="s">
        <v>683</v>
      </c>
      <c r="D441" s="44"/>
      <c r="E441" t="s">
        <v>214</v>
      </c>
    </row>
    <row r="442" spans="1:5" x14ac:dyDescent="0.2">
      <c r="A442" s="109"/>
      <c r="B442" s="116"/>
      <c r="C442" s="44" t="s">
        <v>684</v>
      </c>
      <c r="D442" s="44"/>
      <c r="E442" t="s">
        <v>214</v>
      </c>
    </row>
    <row r="443" spans="1:5" x14ac:dyDescent="0.2">
      <c r="A443" s="109"/>
      <c r="B443" s="116"/>
      <c r="C443" s="44" t="s">
        <v>685</v>
      </c>
      <c r="D443" s="44"/>
      <c r="E443" t="s">
        <v>214</v>
      </c>
    </row>
    <row r="444" spans="1:5" x14ac:dyDescent="0.2">
      <c r="A444" s="109"/>
      <c r="B444" s="116"/>
      <c r="C444" s="44" t="s">
        <v>686</v>
      </c>
      <c r="D444" s="44"/>
      <c r="E444" t="s">
        <v>214</v>
      </c>
    </row>
    <row r="445" spans="1:5" x14ac:dyDescent="0.2">
      <c r="A445" s="109"/>
      <c r="B445" s="116"/>
      <c r="C445" s="44" t="s">
        <v>687</v>
      </c>
      <c r="D445" s="44"/>
      <c r="E445" t="s">
        <v>214</v>
      </c>
    </row>
    <row r="446" spans="1:5" x14ac:dyDescent="0.2">
      <c r="A446" s="109"/>
      <c r="B446" s="116"/>
      <c r="C446" s="44" t="s">
        <v>688</v>
      </c>
      <c r="D446" s="44"/>
      <c r="E446" t="s">
        <v>214</v>
      </c>
    </row>
    <row r="447" spans="1:5" x14ac:dyDescent="0.2">
      <c r="A447" s="109"/>
      <c r="B447" s="116"/>
      <c r="C447" s="44" t="s">
        <v>689</v>
      </c>
      <c r="D447" s="44"/>
      <c r="E447" t="s">
        <v>214</v>
      </c>
    </row>
    <row r="448" spans="1:5" x14ac:dyDescent="0.2">
      <c r="A448" s="109"/>
      <c r="B448" s="116"/>
      <c r="C448" s="44" t="s">
        <v>690</v>
      </c>
      <c r="D448" s="44"/>
      <c r="E448" t="s">
        <v>214</v>
      </c>
    </row>
    <row r="449" spans="1:5" x14ac:dyDescent="0.2">
      <c r="A449" s="109"/>
      <c r="B449" s="116"/>
      <c r="C449" s="44" t="s">
        <v>691</v>
      </c>
      <c r="D449" s="44"/>
      <c r="E449" t="s">
        <v>214</v>
      </c>
    </row>
    <row r="450" spans="1:5" x14ac:dyDescent="0.2">
      <c r="A450" s="109"/>
      <c r="B450" s="116"/>
      <c r="C450" s="44" t="s">
        <v>692</v>
      </c>
      <c r="D450" s="44"/>
      <c r="E450" t="s">
        <v>214</v>
      </c>
    </row>
    <row r="451" spans="1:5" x14ac:dyDescent="0.2">
      <c r="A451" s="109"/>
      <c r="B451" s="116"/>
      <c r="C451" s="44" t="s">
        <v>693</v>
      </c>
      <c r="D451" s="44"/>
      <c r="E451" t="s">
        <v>214</v>
      </c>
    </row>
    <row r="452" spans="1:5" x14ac:dyDescent="0.2">
      <c r="A452" s="109"/>
      <c r="B452" s="116"/>
      <c r="C452" s="44" t="s">
        <v>694</v>
      </c>
      <c r="D452" s="44"/>
      <c r="E452" t="s">
        <v>214</v>
      </c>
    </row>
    <row r="453" spans="1:5" x14ac:dyDescent="0.2">
      <c r="A453" s="109"/>
      <c r="B453" s="116"/>
      <c r="C453" s="44" t="s">
        <v>695</v>
      </c>
      <c r="D453" s="44"/>
      <c r="E453" t="s">
        <v>214</v>
      </c>
    </row>
    <row r="454" spans="1:5" x14ac:dyDescent="0.2">
      <c r="A454" s="109"/>
      <c r="B454" s="116"/>
      <c r="C454" s="44" t="s">
        <v>696</v>
      </c>
      <c r="D454" s="44"/>
      <c r="E454" t="s">
        <v>214</v>
      </c>
    </row>
    <row r="455" spans="1:5" x14ac:dyDescent="0.2">
      <c r="A455" s="109"/>
      <c r="B455" s="116"/>
      <c r="C455" s="44" t="s">
        <v>697</v>
      </c>
      <c r="D455" s="44"/>
      <c r="E455" t="s">
        <v>214</v>
      </c>
    </row>
    <row r="456" spans="1:5" x14ac:dyDescent="0.2">
      <c r="A456" s="109"/>
      <c r="B456" s="116"/>
      <c r="C456" s="44" t="s">
        <v>698</v>
      </c>
      <c r="D456" s="44"/>
      <c r="E456" t="s">
        <v>214</v>
      </c>
    </row>
    <row r="457" spans="1:5" x14ac:dyDescent="0.2">
      <c r="A457" s="109"/>
      <c r="B457" s="116"/>
      <c r="C457" s="44" t="s">
        <v>699</v>
      </c>
      <c r="D457" s="44"/>
      <c r="E457" t="s">
        <v>214</v>
      </c>
    </row>
    <row r="458" spans="1:5" x14ac:dyDescent="0.2">
      <c r="A458" s="109"/>
      <c r="B458" s="116"/>
      <c r="C458" s="44" t="s">
        <v>700</v>
      </c>
      <c r="D458" s="44"/>
      <c r="E458" t="s">
        <v>214</v>
      </c>
    </row>
    <row r="459" spans="1:5" x14ac:dyDescent="0.2">
      <c r="A459" s="109"/>
      <c r="B459" s="116"/>
      <c r="C459" s="44" t="s">
        <v>701</v>
      </c>
      <c r="D459" s="44"/>
      <c r="E459" t="s">
        <v>214</v>
      </c>
    </row>
    <row r="460" spans="1:5" x14ac:dyDescent="0.2">
      <c r="A460" s="109"/>
      <c r="B460" s="116"/>
      <c r="C460" s="44" t="s">
        <v>702</v>
      </c>
      <c r="D460" s="44"/>
      <c r="E460" t="s">
        <v>214</v>
      </c>
    </row>
    <row r="461" spans="1:5" x14ac:dyDescent="0.2">
      <c r="A461" s="109"/>
      <c r="B461" s="116"/>
      <c r="C461" s="44" t="s">
        <v>703</v>
      </c>
      <c r="D461" s="44"/>
      <c r="E461" t="s">
        <v>214</v>
      </c>
    </row>
    <row r="462" spans="1:5" x14ac:dyDescent="0.2">
      <c r="A462" s="109"/>
      <c r="B462" s="116"/>
      <c r="C462" s="44" t="s">
        <v>704</v>
      </c>
      <c r="D462" s="44"/>
      <c r="E462" t="s">
        <v>214</v>
      </c>
    </row>
    <row r="463" spans="1:5" x14ac:dyDescent="0.2">
      <c r="A463" s="109"/>
      <c r="B463" s="116"/>
      <c r="C463" s="44" t="s">
        <v>705</v>
      </c>
      <c r="D463" s="44"/>
      <c r="E463" t="s">
        <v>214</v>
      </c>
    </row>
    <row r="464" spans="1:5" x14ac:dyDescent="0.2">
      <c r="A464" s="109"/>
      <c r="B464" s="116"/>
      <c r="C464" s="44" t="s">
        <v>706</v>
      </c>
      <c r="D464" s="44"/>
      <c r="E464" t="s">
        <v>214</v>
      </c>
    </row>
    <row r="465" spans="1:5" x14ac:dyDescent="0.2">
      <c r="A465" s="109"/>
      <c r="B465" s="116"/>
      <c r="C465" s="44" t="s">
        <v>707</v>
      </c>
      <c r="D465" s="44"/>
      <c r="E465" t="s">
        <v>214</v>
      </c>
    </row>
    <row r="466" spans="1:5" x14ac:dyDescent="0.2">
      <c r="A466" s="109"/>
      <c r="B466" s="116"/>
      <c r="C466" s="44" t="s">
        <v>708</v>
      </c>
      <c r="D466" s="44"/>
      <c r="E466" t="s">
        <v>214</v>
      </c>
    </row>
    <row r="467" spans="1:5" x14ac:dyDescent="0.2">
      <c r="A467" s="109"/>
      <c r="B467" s="116"/>
      <c r="C467" s="44" t="s">
        <v>709</v>
      </c>
      <c r="D467" s="44"/>
      <c r="E467" t="s">
        <v>214</v>
      </c>
    </row>
    <row r="468" spans="1:5" x14ac:dyDescent="0.2">
      <c r="A468" s="109"/>
      <c r="B468" s="116"/>
      <c r="C468" s="44" t="s">
        <v>710</v>
      </c>
      <c r="D468" s="44"/>
      <c r="E468" t="s">
        <v>214</v>
      </c>
    </row>
    <row r="469" spans="1:5" x14ac:dyDescent="0.2">
      <c r="A469" s="109"/>
      <c r="B469" s="116"/>
      <c r="C469" s="44" t="s">
        <v>711</v>
      </c>
      <c r="D469" s="44"/>
      <c r="E469" t="s">
        <v>214</v>
      </c>
    </row>
    <row r="470" spans="1:5" x14ac:dyDescent="0.2">
      <c r="A470" s="109"/>
      <c r="B470" s="116"/>
      <c r="C470" s="44" t="s">
        <v>712</v>
      </c>
      <c r="D470" s="44"/>
      <c r="E470" t="s">
        <v>214</v>
      </c>
    </row>
    <row r="471" spans="1:5" x14ac:dyDescent="0.2">
      <c r="A471" s="109"/>
      <c r="B471" s="116"/>
      <c r="C471" s="44" t="s">
        <v>713</v>
      </c>
      <c r="D471" s="44"/>
      <c r="E471" t="s">
        <v>214</v>
      </c>
    </row>
    <row r="472" spans="1:5" x14ac:dyDescent="0.2">
      <c r="A472" s="109"/>
      <c r="B472" s="116"/>
      <c r="C472" s="44" t="s">
        <v>714</v>
      </c>
      <c r="D472" s="44"/>
      <c r="E472" t="s">
        <v>214</v>
      </c>
    </row>
    <row r="473" spans="1:5" x14ac:dyDescent="0.2">
      <c r="A473" s="109"/>
      <c r="B473" s="116"/>
      <c r="C473" s="44" t="s">
        <v>715</v>
      </c>
      <c r="D473" s="44"/>
      <c r="E473" t="s">
        <v>214</v>
      </c>
    </row>
    <row r="474" spans="1:5" x14ac:dyDescent="0.2">
      <c r="A474" s="109"/>
      <c r="B474" s="116"/>
      <c r="C474" s="44" t="s">
        <v>716</v>
      </c>
      <c r="D474" s="44"/>
      <c r="E474" t="s">
        <v>214</v>
      </c>
    </row>
    <row r="475" spans="1:5" x14ac:dyDescent="0.2">
      <c r="A475" s="109"/>
      <c r="B475" s="116"/>
      <c r="C475" s="44" t="s">
        <v>717</v>
      </c>
      <c r="D475" s="44"/>
      <c r="E475" t="s">
        <v>214</v>
      </c>
    </row>
    <row r="476" spans="1:5" x14ac:dyDescent="0.2">
      <c r="A476" s="109"/>
      <c r="B476" s="116"/>
      <c r="C476" s="44" t="s">
        <v>718</v>
      </c>
      <c r="D476" s="44"/>
      <c r="E476" t="s">
        <v>214</v>
      </c>
    </row>
    <row r="477" spans="1:5" x14ac:dyDescent="0.2">
      <c r="A477" s="109"/>
      <c r="B477" s="116"/>
      <c r="C477" s="44" t="s">
        <v>719</v>
      </c>
      <c r="D477" s="44"/>
      <c r="E477" t="s">
        <v>214</v>
      </c>
    </row>
    <row r="478" spans="1:5" x14ac:dyDescent="0.2">
      <c r="A478" s="109"/>
      <c r="B478" s="116"/>
      <c r="C478" s="44" t="s">
        <v>720</v>
      </c>
      <c r="D478" s="44"/>
      <c r="E478" t="s">
        <v>214</v>
      </c>
    </row>
    <row r="479" spans="1:5" x14ac:dyDescent="0.2">
      <c r="A479" s="109"/>
      <c r="B479" s="116"/>
      <c r="C479" s="44" t="s">
        <v>721</v>
      </c>
      <c r="D479" s="44"/>
      <c r="E479" t="s">
        <v>214</v>
      </c>
    </row>
    <row r="480" spans="1:5" x14ac:dyDescent="0.2">
      <c r="A480" s="109"/>
      <c r="B480" s="116"/>
      <c r="C480" s="44" t="s">
        <v>722</v>
      </c>
      <c r="D480" s="44"/>
      <c r="E480" t="s">
        <v>214</v>
      </c>
    </row>
    <row r="481" spans="1:5" x14ac:dyDescent="0.2">
      <c r="A481" s="109"/>
      <c r="B481" s="116"/>
      <c r="C481" s="44" t="s">
        <v>723</v>
      </c>
      <c r="D481" s="44"/>
      <c r="E481" t="s">
        <v>214</v>
      </c>
    </row>
    <row r="482" spans="1:5" x14ac:dyDescent="0.2">
      <c r="A482" s="109"/>
      <c r="B482" s="116"/>
      <c r="C482" s="44" t="s">
        <v>724</v>
      </c>
      <c r="D482" s="44"/>
      <c r="E482" t="s">
        <v>214</v>
      </c>
    </row>
    <row r="483" spans="1:5" x14ac:dyDescent="0.2">
      <c r="A483" s="109"/>
      <c r="B483" s="116"/>
      <c r="C483" s="44" t="s">
        <v>725</v>
      </c>
      <c r="D483" s="44"/>
      <c r="E483" t="s">
        <v>214</v>
      </c>
    </row>
    <row r="484" spans="1:5" x14ac:dyDescent="0.2">
      <c r="A484" s="109"/>
      <c r="B484" s="116"/>
      <c r="C484" s="44" t="s">
        <v>726</v>
      </c>
      <c r="D484" s="44"/>
      <c r="E484" t="s">
        <v>214</v>
      </c>
    </row>
    <row r="485" spans="1:5" x14ac:dyDescent="0.2">
      <c r="A485" s="109"/>
      <c r="B485" s="116"/>
      <c r="C485" s="44" t="s">
        <v>727</v>
      </c>
      <c r="D485" s="44"/>
      <c r="E485" t="s">
        <v>214</v>
      </c>
    </row>
    <row r="486" spans="1:5" x14ac:dyDescent="0.2">
      <c r="A486" s="109"/>
      <c r="B486" s="116"/>
      <c r="C486" s="44" t="s">
        <v>728</v>
      </c>
      <c r="D486" s="44"/>
      <c r="E486" t="s">
        <v>214</v>
      </c>
    </row>
    <row r="487" spans="1:5" x14ac:dyDescent="0.2">
      <c r="A487" s="109"/>
      <c r="B487" s="116"/>
      <c r="C487" s="44" t="s">
        <v>729</v>
      </c>
      <c r="D487" s="44"/>
      <c r="E487" t="s">
        <v>214</v>
      </c>
    </row>
    <row r="488" spans="1:5" x14ac:dyDescent="0.2">
      <c r="A488" s="109"/>
      <c r="B488" s="116"/>
      <c r="C488" s="44" t="s">
        <v>730</v>
      </c>
      <c r="D488" s="44"/>
      <c r="E488" t="s">
        <v>214</v>
      </c>
    </row>
    <row r="489" spans="1:5" x14ac:dyDescent="0.2">
      <c r="A489" s="109"/>
      <c r="B489" s="116"/>
      <c r="C489" s="44" t="s">
        <v>314</v>
      </c>
      <c r="D489" s="44"/>
    </row>
    <row r="490" spans="1:5" x14ac:dyDescent="0.2">
      <c r="A490" s="109"/>
      <c r="B490" s="116"/>
      <c r="C490" s="44" t="s">
        <v>731</v>
      </c>
      <c r="D490" s="44"/>
    </row>
    <row r="491" spans="1:5" x14ac:dyDescent="0.2">
      <c r="A491" s="109"/>
      <c r="B491" s="116"/>
      <c r="C491" s="44" t="s">
        <v>732</v>
      </c>
      <c r="D491" s="44"/>
    </row>
    <row r="492" spans="1:5" x14ac:dyDescent="0.2">
      <c r="A492" s="109"/>
      <c r="B492" s="116"/>
      <c r="C492" s="44" t="s">
        <v>733</v>
      </c>
      <c r="D492" s="44"/>
    </row>
    <row r="493" spans="1:5" x14ac:dyDescent="0.2">
      <c r="A493" s="109"/>
      <c r="B493" s="116"/>
      <c r="C493" s="44" t="s">
        <v>734</v>
      </c>
      <c r="D493" s="44"/>
    </row>
    <row r="494" spans="1:5" x14ac:dyDescent="0.2">
      <c r="A494" s="109"/>
      <c r="B494" s="116"/>
      <c r="C494" s="44" t="s">
        <v>735</v>
      </c>
      <c r="D494" s="44"/>
    </row>
    <row r="495" spans="1:5" x14ac:dyDescent="0.2">
      <c r="A495" s="109"/>
      <c r="B495" s="116"/>
      <c r="C495" s="44" t="s">
        <v>736</v>
      </c>
      <c r="D495" s="44"/>
    </row>
    <row r="496" spans="1:5" x14ac:dyDescent="0.2">
      <c r="A496" s="109"/>
      <c r="B496" s="116"/>
      <c r="C496" s="44" t="s">
        <v>737</v>
      </c>
      <c r="D496" s="44"/>
    </row>
    <row r="497" spans="1:4" x14ac:dyDescent="0.2">
      <c r="A497" s="109"/>
      <c r="B497" s="116"/>
      <c r="C497" s="44" t="s">
        <v>738</v>
      </c>
      <c r="D497" s="44"/>
    </row>
    <row r="498" spans="1:4" x14ac:dyDescent="0.2">
      <c r="A498" s="111"/>
      <c r="B498" s="117"/>
      <c r="C498" s="44" t="s">
        <v>569</v>
      </c>
      <c r="D498" s="44"/>
    </row>
    <row r="499" spans="1:4" x14ac:dyDescent="0.2">
      <c r="A499" s="113"/>
      <c r="B499" s="118" t="s">
        <v>739</v>
      </c>
      <c r="C499" s="42" t="s">
        <v>440</v>
      </c>
      <c r="D499" s="42"/>
    </row>
    <row r="500" spans="1:4" x14ac:dyDescent="0.2">
      <c r="A500" s="114"/>
      <c r="B500" s="118"/>
      <c r="C500" s="42" t="s">
        <v>740</v>
      </c>
      <c r="D500" s="42"/>
    </row>
    <row r="501" spans="1:4" x14ac:dyDescent="0.2">
      <c r="A501" s="114"/>
      <c r="B501" s="118"/>
      <c r="C501" s="42" t="s">
        <v>741</v>
      </c>
      <c r="D501" s="42"/>
    </row>
    <row r="502" spans="1:4" x14ac:dyDescent="0.2">
      <c r="A502" s="114"/>
      <c r="B502" s="118"/>
      <c r="C502" s="42" t="s">
        <v>742</v>
      </c>
      <c r="D502" s="42"/>
    </row>
    <row r="503" spans="1:4" x14ac:dyDescent="0.2">
      <c r="A503" s="114"/>
      <c r="B503" s="118"/>
      <c r="C503" s="42" t="s">
        <v>743</v>
      </c>
      <c r="D503" s="42"/>
    </row>
    <row r="504" spans="1:4" x14ac:dyDescent="0.2">
      <c r="A504" s="114"/>
      <c r="B504" s="118"/>
      <c r="C504" s="42" t="s">
        <v>744</v>
      </c>
      <c r="D504" s="42"/>
    </row>
    <row r="505" spans="1:4" x14ac:dyDescent="0.2">
      <c r="A505" s="114"/>
      <c r="B505" s="118"/>
      <c r="C505" s="42" t="s">
        <v>745</v>
      </c>
      <c r="D505" s="42"/>
    </row>
    <row r="506" spans="1:4" x14ac:dyDescent="0.2">
      <c r="A506" s="114"/>
      <c r="B506" s="118"/>
      <c r="C506" s="42" t="s">
        <v>746</v>
      </c>
      <c r="D506" s="42"/>
    </row>
    <row r="507" spans="1:4" x14ac:dyDescent="0.2">
      <c r="A507" s="114"/>
      <c r="B507" s="118"/>
      <c r="C507" s="42" t="s">
        <v>747</v>
      </c>
      <c r="D507" s="42"/>
    </row>
    <row r="508" spans="1:4" x14ac:dyDescent="0.2">
      <c r="A508" s="114"/>
      <c r="B508" s="118"/>
      <c r="C508" s="42" t="s">
        <v>748</v>
      </c>
      <c r="D508" s="42"/>
    </row>
    <row r="509" spans="1:4" x14ac:dyDescent="0.2">
      <c r="A509" s="114"/>
      <c r="B509" s="118"/>
      <c r="C509" s="42" t="s">
        <v>749</v>
      </c>
      <c r="D509" s="42"/>
    </row>
    <row r="510" spans="1:4" x14ac:dyDescent="0.2">
      <c r="A510" s="114"/>
      <c r="B510" s="118"/>
      <c r="C510" s="42" t="s">
        <v>750</v>
      </c>
      <c r="D510" s="42"/>
    </row>
    <row r="511" spans="1:4" x14ac:dyDescent="0.2">
      <c r="A511" s="114"/>
      <c r="B511" s="118"/>
      <c r="C511" s="42" t="s">
        <v>751</v>
      </c>
      <c r="D511" s="42"/>
    </row>
    <row r="512" spans="1:4" x14ac:dyDescent="0.2">
      <c r="A512" s="114"/>
      <c r="B512" s="118"/>
      <c r="C512" s="42" t="s">
        <v>485</v>
      </c>
      <c r="D512" s="42"/>
    </row>
    <row r="513" spans="1:4" x14ac:dyDescent="0.2">
      <c r="A513" s="114"/>
      <c r="B513" s="118"/>
      <c r="C513" s="42" t="s">
        <v>314</v>
      </c>
      <c r="D513" s="42"/>
    </row>
    <row r="514" spans="1:4" x14ac:dyDescent="0.2">
      <c r="A514" s="109"/>
      <c r="B514" s="53" t="s">
        <v>752</v>
      </c>
      <c r="C514" s="44" t="s">
        <v>338</v>
      </c>
      <c r="D514" s="44"/>
    </row>
    <row r="515" spans="1:4" x14ac:dyDescent="0.2">
      <c r="A515" s="111"/>
      <c r="B515" s="55"/>
      <c r="C515" s="44" t="s">
        <v>339</v>
      </c>
      <c r="D515" s="44"/>
    </row>
    <row r="516" spans="1:4" x14ac:dyDescent="0.2">
      <c r="A516" s="114"/>
      <c r="B516" s="118" t="s">
        <v>98</v>
      </c>
      <c r="C516" s="42" t="s">
        <v>753</v>
      </c>
      <c r="D516" s="42"/>
    </row>
    <row r="517" spans="1:4" x14ac:dyDescent="0.2">
      <c r="A517" s="114"/>
      <c r="B517" s="118"/>
      <c r="C517" s="42" t="s">
        <v>754</v>
      </c>
      <c r="D517" s="42"/>
    </row>
    <row r="518" spans="1:4" x14ac:dyDescent="0.2">
      <c r="A518" s="114"/>
      <c r="B518" s="118"/>
      <c r="C518" s="42" t="s">
        <v>755</v>
      </c>
      <c r="D518" s="42"/>
    </row>
    <row r="519" spans="1:4" x14ac:dyDescent="0.2">
      <c r="A519" s="114"/>
      <c r="B519" s="118"/>
      <c r="C519" s="42" t="s">
        <v>756</v>
      </c>
      <c r="D519" s="42"/>
    </row>
    <row r="520" spans="1:4" x14ac:dyDescent="0.2">
      <c r="A520" s="87"/>
      <c r="B520" s="53" t="s">
        <v>161</v>
      </c>
      <c r="C520" s="44" t="s">
        <v>757</v>
      </c>
      <c r="D520" s="44"/>
    </row>
    <row r="521" spans="1:4" x14ac:dyDescent="0.2">
      <c r="A521" s="62"/>
      <c r="B521" s="54"/>
      <c r="C521" s="44" t="s">
        <v>758</v>
      </c>
      <c r="D521" s="44"/>
    </row>
    <row r="522" spans="1:4" x14ac:dyDescent="0.2">
      <c r="A522" s="62"/>
      <c r="B522" s="54"/>
      <c r="C522" s="44" t="s">
        <v>759</v>
      </c>
      <c r="D522" s="44"/>
    </row>
    <row r="523" spans="1:4" x14ac:dyDescent="0.2">
      <c r="A523" s="62"/>
      <c r="B523" s="54"/>
      <c r="C523" s="44" t="s">
        <v>760</v>
      </c>
      <c r="D523" s="44"/>
    </row>
    <row r="524" spans="1:4" x14ac:dyDescent="0.2">
      <c r="A524" s="62"/>
      <c r="B524" s="54"/>
      <c r="C524" s="44" t="s">
        <v>761</v>
      </c>
      <c r="D524" s="44"/>
    </row>
    <row r="525" spans="1:4" x14ac:dyDescent="0.2">
      <c r="A525" s="62"/>
      <c r="B525" s="54"/>
      <c r="C525" s="44" t="s">
        <v>762</v>
      </c>
      <c r="D525" s="44"/>
    </row>
    <row r="526" spans="1:4" x14ac:dyDescent="0.2">
      <c r="A526" s="62"/>
      <c r="B526" s="54"/>
      <c r="C526" s="44" t="s">
        <v>763</v>
      </c>
      <c r="D526" s="44"/>
    </row>
    <row r="527" spans="1:4" x14ac:dyDescent="0.2">
      <c r="A527" s="62"/>
      <c r="B527" s="54"/>
      <c r="C527" s="44" t="s">
        <v>764</v>
      </c>
      <c r="D527" s="44"/>
    </row>
    <row r="528" spans="1:4" x14ac:dyDescent="0.2">
      <c r="A528" s="62"/>
      <c r="B528" s="54"/>
      <c r="C528" s="44" t="s">
        <v>765</v>
      </c>
      <c r="D528" s="44"/>
    </row>
    <row r="529" spans="1:4" x14ac:dyDescent="0.2">
      <c r="A529" s="62"/>
      <c r="B529" s="54"/>
      <c r="C529" s="44" t="s">
        <v>748</v>
      </c>
      <c r="D529" s="44"/>
    </row>
    <row r="530" spans="1:4" x14ac:dyDescent="0.2">
      <c r="A530" s="102"/>
      <c r="B530" s="54"/>
      <c r="C530" s="44" t="s">
        <v>766</v>
      </c>
      <c r="D530" s="44"/>
    </row>
    <row r="531" spans="1:4" ht="15" x14ac:dyDescent="0.25">
      <c r="A531" s="62"/>
      <c r="B531" s="54"/>
      <c r="C531" s="44" t="s">
        <v>767</v>
      </c>
      <c r="D531" s="44" t="s">
        <v>768</v>
      </c>
    </row>
    <row r="532" spans="1:4" ht="15" x14ac:dyDescent="0.25">
      <c r="A532" s="62"/>
      <c r="B532" s="54"/>
      <c r="C532" s="44" t="s">
        <v>769</v>
      </c>
      <c r="D532" s="44" t="s">
        <v>768</v>
      </c>
    </row>
    <row r="533" spans="1:4" ht="15" x14ac:dyDescent="0.25">
      <c r="A533" s="62"/>
      <c r="B533" s="54"/>
      <c r="C533" s="44" t="s">
        <v>770</v>
      </c>
      <c r="D533" s="44" t="s">
        <v>768</v>
      </c>
    </row>
    <row r="534" spans="1:4" x14ac:dyDescent="0.2">
      <c r="A534" s="62"/>
      <c r="B534" s="54"/>
      <c r="C534" s="44" t="s">
        <v>771</v>
      </c>
      <c r="D534" s="44"/>
    </row>
    <row r="535" spans="1:4" x14ac:dyDescent="0.2">
      <c r="A535" s="62"/>
      <c r="B535" s="54"/>
      <c r="C535" s="44" t="s">
        <v>772</v>
      </c>
      <c r="D535" s="44"/>
    </row>
    <row r="536" spans="1:4" x14ac:dyDescent="0.2">
      <c r="A536" s="62"/>
      <c r="B536" s="54"/>
      <c r="C536" s="44" t="s">
        <v>36</v>
      </c>
      <c r="D536" s="44"/>
    </row>
    <row r="537" spans="1:4" x14ac:dyDescent="0.2">
      <c r="A537" s="62"/>
      <c r="B537" s="54"/>
      <c r="C537" s="44" t="s">
        <v>773</v>
      </c>
      <c r="D537" s="44"/>
    </row>
    <row r="538" spans="1:4" x14ac:dyDescent="0.2">
      <c r="A538" s="62"/>
      <c r="B538" s="54"/>
      <c r="C538" s="44" t="s">
        <v>774</v>
      </c>
      <c r="D538" s="44"/>
    </row>
    <row r="539" spans="1:4" x14ac:dyDescent="0.2">
      <c r="A539" s="62"/>
      <c r="B539" s="54"/>
      <c r="C539" s="44" t="s">
        <v>775</v>
      </c>
      <c r="D539" s="44"/>
    </row>
    <row r="540" spans="1:4" x14ac:dyDescent="0.2">
      <c r="A540" s="62"/>
      <c r="B540" s="54"/>
      <c r="C540" s="44" t="s">
        <v>776</v>
      </c>
      <c r="D540" s="44"/>
    </row>
    <row r="541" spans="1:4" x14ac:dyDescent="0.2">
      <c r="A541" s="62"/>
      <c r="B541" s="54"/>
      <c r="C541" s="44" t="s">
        <v>777</v>
      </c>
      <c r="D541" s="44"/>
    </row>
    <row r="542" spans="1:4" x14ac:dyDescent="0.2">
      <c r="A542" s="62"/>
      <c r="B542" s="54"/>
      <c r="C542" s="44" t="s">
        <v>485</v>
      </c>
      <c r="D542" s="44"/>
    </row>
    <row r="543" spans="1:4" x14ac:dyDescent="0.2">
      <c r="A543" s="62"/>
      <c r="B543" s="54"/>
      <c r="C543" s="44" t="s">
        <v>314</v>
      </c>
      <c r="D543" s="45"/>
    </row>
    <row r="544" spans="1:4" x14ac:dyDescent="0.2">
      <c r="A544" s="65"/>
      <c r="B544" s="46" t="s">
        <v>165</v>
      </c>
      <c r="C544" s="42" t="s">
        <v>338</v>
      </c>
      <c r="D544" s="42"/>
    </row>
    <row r="545" spans="1:4" x14ac:dyDescent="0.2">
      <c r="A545" s="66"/>
      <c r="B545" s="88"/>
      <c r="C545" s="42" t="s">
        <v>339</v>
      </c>
      <c r="D545" s="42"/>
    </row>
    <row r="546" spans="1:4" x14ac:dyDescent="0.2">
      <c r="A546" s="62"/>
      <c r="B546" s="53" t="s">
        <v>166</v>
      </c>
      <c r="C546" s="44" t="s">
        <v>778</v>
      </c>
      <c r="D546" s="44"/>
    </row>
    <row r="547" spans="1:4" x14ac:dyDescent="0.2">
      <c r="A547" s="62"/>
      <c r="B547" s="54"/>
      <c r="C547" s="44" t="s">
        <v>779</v>
      </c>
      <c r="D547" s="44"/>
    </row>
    <row r="548" spans="1:4" x14ac:dyDescent="0.2">
      <c r="A548" s="62"/>
      <c r="B548" s="54"/>
      <c r="C548" s="44" t="s">
        <v>780</v>
      </c>
      <c r="D548" s="44"/>
    </row>
    <row r="549" spans="1:4" x14ac:dyDescent="0.2">
      <c r="A549" s="62"/>
      <c r="B549" s="54"/>
      <c r="C549" s="44" t="s">
        <v>781</v>
      </c>
      <c r="D549" s="44"/>
    </row>
    <row r="550" spans="1:4" x14ac:dyDescent="0.2">
      <c r="A550" s="62"/>
      <c r="B550" s="54"/>
      <c r="C550" s="44" t="s">
        <v>782</v>
      </c>
      <c r="D550" s="44"/>
    </row>
    <row r="551" spans="1:4" x14ac:dyDescent="0.2">
      <c r="A551" s="65"/>
      <c r="B551" s="46" t="s">
        <v>168</v>
      </c>
      <c r="C551" s="42" t="s">
        <v>338</v>
      </c>
      <c r="D551" s="42"/>
    </row>
    <row r="552" spans="1:4" x14ac:dyDescent="0.2">
      <c r="A552" s="66"/>
      <c r="B552" s="88"/>
      <c r="C552" s="42" t="s">
        <v>339</v>
      </c>
      <c r="D552" s="42"/>
    </row>
    <row r="553" spans="1:4" x14ac:dyDescent="0.2">
      <c r="A553" s="50"/>
      <c r="B553" s="53" t="s">
        <v>783</v>
      </c>
      <c r="C553" s="44" t="s">
        <v>784</v>
      </c>
      <c r="D553" s="44"/>
    </row>
    <row r="554" spans="1:4" x14ac:dyDescent="0.2">
      <c r="A554" s="51"/>
      <c r="B554" s="51"/>
      <c r="C554" s="44" t="s">
        <v>785</v>
      </c>
      <c r="D554" s="44"/>
    </row>
    <row r="555" spans="1:4" x14ac:dyDescent="0.2">
      <c r="A555" s="51"/>
      <c r="B555" s="51"/>
      <c r="C555" s="44" t="s">
        <v>786</v>
      </c>
      <c r="D555" s="44"/>
    </row>
    <row r="556" spans="1:4" x14ac:dyDescent="0.2">
      <c r="A556" s="51"/>
      <c r="B556" s="51"/>
      <c r="C556" s="44" t="s">
        <v>787</v>
      </c>
      <c r="D556" s="44"/>
    </row>
    <row r="557" spans="1:4" x14ac:dyDescent="0.2">
      <c r="A557" s="51"/>
      <c r="B557" s="51"/>
      <c r="C557" s="44" t="s">
        <v>788</v>
      </c>
      <c r="D557" s="44"/>
    </row>
    <row r="558" spans="1:4" x14ac:dyDescent="0.2">
      <c r="A558" s="51"/>
      <c r="B558" s="51"/>
      <c r="C558" s="44" t="s">
        <v>789</v>
      </c>
      <c r="D558" s="44"/>
    </row>
    <row r="559" spans="1:4" x14ac:dyDescent="0.2">
      <c r="A559" s="51"/>
      <c r="B559" s="51"/>
      <c r="C559" s="44" t="s">
        <v>790</v>
      </c>
      <c r="D559" s="44"/>
    </row>
    <row r="560" spans="1:4" x14ac:dyDescent="0.2">
      <c r="A560" s="51"/>
      <c r="B560" s="51"/>
      <c r="C560" s="44" t="s">
        <v>791</v>
      </c>
      <c r="D560" s="44"/>
    </row>
    <row r="561" spans="1:4" x14ac:dyDescent="0.2">
      <c r="A561" s="51"/>
      <c r="B561" s="51"/>
      <c r="C561" s="44" t="s">
        <v>792</v>
      </c>
      <c r="D561" s="44"/>
    </row>
    <row r="562" spans="1:4" x14ac:dyDescent="0.2">
      <c r="A562" s="51"/>
      <c r="B562" s="51"/>
      <c r="C562" s="44" t="s">
        <v>793</v>
      </c>
      <c r="D562" s="44"/>
    </row>
    <row r="563" spans="1:4" x14ac:dyDescent="0.2">
      <c r="A563" s="51"/>
      <c r="B563" s="51"/>
      <c r="C563" s="44" t="s">
        <v>794</v>
      </c>
      <c r="D563" s="44"/>
    </row>
    <row r="564" spans="1:4" x14ac:dyDescent="0.2">
      <c r="A564" s="51"/>
      <c r="B564" s="51"/>
      <c r="C564" s="44" t="s">
        <v>795</v>
      </c>
      <c r="D564" s="44"/>
    </row>
    <row r="565" spans="1:4" x14ac:dyDescent="0.2">
      <c r="A565" s="51"/>
      <c r="B565" s="51"/>
      <c r="C565" s="44" t="s">
        <v>796</v>
      </c>
      <c r="D565" s="44"/>
    </row>
    <row r="566" spans="1:4" x14ac:dyDescent="0.2">
      <c r="A566" s="51"/>
      <c r="B566" s="51"/>
      <c r="C566" s="44" t="s">
        <v>797</v>
      </c>
      <c r="D566" s="44"/>
    </row>
    <row r="567" spans="1:4" x14ac:dyDescent="0.2">
      <c r="A567" s="51"/>
      <c r="B567" s="51"/>
      <c r="C567" s="44" t="s">
        <v>798</v>
      </c>
      <c r="D567" s="44"/>
    </row>
    <row r="568" spans="1:4" x14ac:dyDescent="0.2">
      <c r="A568" s="51"/>
      <c r="B568" s="51"/>
      <c r="C568" s="44" t="s">
        <v>799</v>
      </c>
      <c r="D568" s="44"/>
    </row>
    <row r="569" spans="1:4" x14ac:dyDescent="0.2">
      <c r="A569" s="51"/>
      <c r="B569" s="51"/>
      <c r="C569" s="44" t="s">
        <v>800</v>
      </c>
      <c r="D569" s="44"/>
    </row>
    <row r="570" spans="1:4" x14ac:dyDescent="0.2">
      <c r="A570" s="51"/>
      <c r="B570" s="51"/>
      <c r="C570" s="44" t="s">
        <v>801</v>
      </c>
      <c r="D570" s="44"/>
    </row>
    <row r="571" spans="1:4" x14ac:dyDescent="0.2">
      <c r="A571" s="51"/>
      <c r="B571" s="51"/>
      <c r="C571" s="44" t="s">
        <v>802</v>
      </c>
      <c r="D571" s="44"/>
    </row>
    <row r="572" spans="1:4" x14ac:dyDescent="0.2">
      <c r="A572" s="51"/>
      <c r="B572" s="51"/>
      <c r="C572" s="44" t="s">
        <v>803</v>
      </c>
      <c r="D572" s="44"/>
    </row>
    <row r="573" spans="1:4" x14ac:dyDescent="0.2">
      <c r="A573" s="51"/>
      <c r="B573" s="51"/>
      <c r="C573" s="44" t="s">
        <v>804</v>
      </c>
      <c r="D573" s="44"/>
    </row>
    <row r="574" spans="1:4" x14ac:dyDescent="0.2">
      <c r="A574" s="51"/>
      <c r="B574" s="51"/>
      <c r="C574" s="44" t="s">
        <v>805</v>
      </c>
      <c r="D574" s="44"/>
    </row>
    <row r="575" spans="1:4" x14ac:dyDescent="0.2">
      <c r="A575" s="51"/>
      <c r="B575" s="51"/>
      <c r="C575" s="44" t="s">
        <v>806</v>
      </c>
      <c r="D575" s="44"/>
    </row>
    <row r="576" spans="1:4" x14ac:dyDescent="0.2">
      <c r="A576" s="51"/>
      <c r="B576" s="51"/>
      <c r="C576" s="44" t="s">
        <v>807</v>
      </c>
      <c r="D576" s="44"/>
    </row>
    <row r="577" spans="1:5" x14ac:dyDescent="0.2">
      <c r="A577" s="51"/>
      <c r="B577" s="51"/>
      <c r="C577" s="44" t="s">
        <v>808</v>
      </c>
      <c r="D577" s="44"/>
    </row>
    <row r="578" spans="1:5" x14ac:dyDescent="0.2">
      <c r="A578" s="51"/>
      <c r="B578" s="51"/>
      <c r="C578" s="44" t="s">
        <v>809</v>
      </c>
      <c r="D578" s="44"/>
    </row>
    <row r="579" spans="1:5" x14ac:dyDescent="0.2">
      <c r="A579" s="51"/>
      <c r="B579" s="51"/>
      <c r="C579" s="44" t="s">
        <v>810</v>
      </c>
      <c r="D579" s="44"/>
    </row>
    <row r="580" spans="1:5" x14ac:dyDescent="0.2">
      <c r="A580" s="51"/>
      <c r="B580" s="51"/>
      <c r="C580" s="44" t="s">
        <v>811</v>
      </c>
      <c r="D580" s="44"/>
      <c r="E580" t="s">
        <v>214</v>
      </c>
    </row>
    <row r="581" spans="1:5" x14ac:dyDescent="0.2">
      <c r="A581" s="51"/>
      <c r="B581" s="51"/>
      <c r="C581" s="44" t="s">
        <v>812</v>
      </c>
      <c r="D581" s="44"/>
      <c r="E581" t="s">
        <v>214</v>
      </c>
    </row>
    <row r="582" spans="1:5" x14ac:dyDescent="0.2">
      <c r="A582" s="51"/>
      <c r="B582" s="51"/>
      <c r="C582" s="44" t="s">
        <v>813</v>
      </c>
      <c r="D582" s="44"/>
    </row>
    <row r="583" spans="1:5" x14ac:dyDescent="0.2">
      <c r="A583" s="51"/>
      <c r="B583" s="51"/>
      <c r="C583" s="44" t="s">
        <v>814</v>
      </c>
      <c r="D583" s="44"/>
    </row>
    <row r="584" spans="1:5" x14ac:dyDescent="0.2">
      <c r="A584" s="51"/>
      <c r="B584" s="51"/>
      <c r="C584" s="44" t="s">
        <v>815</v>
      </c>
      <c r="D584" s="44"/>
    </row>
    <row r="585" spans="1:5" x14ac:dyDescent="0.2">
      <c r="A585" s="51"/>
      <c r="B585" s="51"/>
      <c r="C585" s="44" t="s">
        <v>816</v>
      </c>
      <c r="D585" s="44"/>
    </row>
    <row r="586" spans="1:5" x14ac:dyDescent="0.2">
      <c r="A586" s="51"/>
      <c r="B586" s="51"/>
      <c r="C586" s="44" t="s">
        <v>817</v>
      </c>
      <c r="D586" s="44"/>
    </row>
    <row r="587" spans="1:5" x14ac:dyDescent="0.2">
      <c r="A587" s="51"/>
      <c r="B587" s="51"/>
      <c r="C587" s="44" t="s">
        <v>818</v>
      </c>
      <c r="D587" s="44"/>
    </row>
    <row r="588" spans="1:5" x14ac:dyDescent="0.2">
      <c r="A588" s="51"/>
      <c r="B588" s="51"/>
      <c r="C588" s="44" t="s">
        <v>819</v>
      </c>
      <c r="D588" s="44"/>
    </row>
    <row r="589" spans="1:5" x14ac:dyDescent="0.2">
      <c r="A589" s="51"/>
      <c r="B589" s="51"/>
      <c r="C589" s="44" t="s">
        <v>820</v>
      </c>
      <c r="D589" s="44"/>
    </row>
    <row r="590" spans="1:5" x14ac:dyDescent="0.2">
      <c r="A590" s="51"/>
      <c r="B590" s="51"/>
      <c r="C590" s="44" t="s">
        <v>821</v>
      </c>
      <c r="D590" s="44"/>
    </row>
    <row r="591" spans="1:5" x14ac:dyDescent="0.2">
      <c r="A591" s="52"/>
      <c r="B591" s="52"/>
      <c r="C591" s="44" t="s">
        <v>822</v>
      </c>
      <c r="D591" s="44"/>
    </row>
    <row r="592" spans="1:5" x14ac:dyDescent="0.2">
      <c r="A592" s="114"/>
      <c r="B592" s="118" t="s">
        <v>159</v>
      </c>
      <c r="C592" s="42" t="s">
        <v>823</v>
      </c>
      <c r="D592" s="42"/>
    </row>
    <row r="593" spans="1:4" x14ac:dyDescent="0.2">
      <c r="A593" s="114"/>
      <c r="B593" s="118"/>
      <c r="C593" s="42" t="s">
        <v>824</v>
      </c>
      <c r="D593" s="42"/>
    </row>
    <row r="594" spans="1:4" x14ac:dyDescent="0.2">
      <c r="A594" s="114"/>
      <c r="B594" s="118"/>
      <c r="C594" s="42" t="s">
        <v>314</v>
      </c>
      <c r="D594" s="42"/>
    </row>
    <row r="595" spans="1:4" x14ac:dyDescent="0.2">
      <c r="A595" s="53"/>
      <c r="B595" s="56" t="s">
        <v>87</v>
      </c>
      <c r="C595" s="44" t="s">
        <v>338</v>
      </c>
      <c r="D595" s="44"/>
    </row>
    <row r="596" spans="1:4" x14ac:dyDescent="0.2">
      <c r="A596" s="89"/>
      <c r="B596" s="91"/>
      <c r="C596" s="90" t="s">
        <v>339</v>
      </c>
      <c r="D596" s="44"/>
    </row>
    <row r="597" spans="1:4" x14ac:dyDescent="0.2">
      <c r="A597" s="113"/>
      <c r="B597" s="113" t="s">
        <v>114</v>
      </c>
      <c r="C597" s="42" t="s">
        <v>825</v>
      </c>
      <c r="D597" s="42"/>
    </row>
    <row r="598" spans="1:4" x14ac:dyDescent="0.2">
      <c r="A598" s="114"/>
      <c r="B598" s="114"/>
      <c r="C598" s="42" t="s">
        <v>826</v>
      </c>
      <c r="D598" s="42"/>
    </row>
    <row r="599" spans="1:4" x14ac:dyDescent="0.2">
      <c r="A599" s="114"/>
      <c r="B599" s="114"/>
      <c r="C599" s="42" t="s">
        <v>827</v>
      </c>
      <c r="D599" s="42"/>
    </row>
    <row r="600" spans="1:4" x14ac:dyDescent="0.2">
      <c r="A600" s="114"/>
      <c r="B600" s="114"/>
      <c r="C600" s="42" t="s">
        <v>828</v>
      </c>
      <c r="D600" s="42"/>
    </row>
    <row r="601" spans="1:4" x14ac:dyDescent="0.2">
      <c r="A601" s="114"/>
      <c r="B601" s="114"/>
      <c r="C601" s="42" t="s">
        <v>829</v>
      </c>
      <c r="D601" s="42"/>
    </row>
    <row r="602" spans="1:4" x14ac:dyDescent="0.2">
      <c r="A602" s="114"/>
      <c r="B602" s="114"/>
      <c r="C602" s="42" t="s">
        <v>830</v>
      </c>
      <c r="D602" s="42"/>
    </row>
    <row r="603" spans="1:4" x14ac:dyDescent="0.2">
      <c r="A603" s="114"/>
      <c r="B603" s="114"/>
      <c r="C603" s="42" t="s">
        <v>831</v>
      </c>
      <c r="D603" s="42"/>
    </row>
    <row r="604" spans="1:4" x14ac:dyDescent="0.2">
      <c r="A604" s="114"/>
      <c r="B604" s="114"/>
      <c r="C604" s="42" t="s">
        <v>832</v>
      </c>
      <c r="D604" s="42"/>
    </row>
    <row r="605" spans="1:4" x14ac:dyDescent="0.2">
      <c r="A605" s="114"/>
      <c r="B605" s="114"/>
      <c r="C605" s="42" t="s">
        <v>833</v>
      </c>
      <c r="D605" s="42"/>
    </row>
    <row r="606" spans="1:4" x14ac:dyDescent="0.2">
      <c r="A606" s="114"/>
      <c r="B606" s="114"/>
      <c r="C606" s="42" t="s">
        <v>834</v>
      </c>
      <c r="D606" s="42"/>
    </row>
    <row r="607" spans="1:4" x14ac:dyDescent="0.2">
      <c r="A607" s="114"/>
      <c r="B607" s="114"/>
      <c r="C607" s="42" t="s">
        <v>835</v>
      </c>
      <c r="D607" s="42"/>
    </row>
    <row r="608" spans="1:4" x14ac:dyDescent="0.2">
      <c r="A608" s="114"/>
      <c r="B608" s="114"/>
      <c r="C608" s="42" t="s">
        <v>836</v>
      </c>
      <c r="D608" s="42"/>
    </row>
    <row r="609" spans="1:5" x14ac:dyDescent="0.2">
      <c r="A609" s="114"/>
      <c r="B609" s="114"/>
      <c r="C609" s="42" t="s">
        <v>837</v>
      </c>
      <c r="D609" s="42"/>
    </row>
    <row r="610" spans="1:5" x14ac:dyDescent="0.2">
      <c r="A610" s="114"/>
      <c r="B610" s="114"/>
      <c r="C610" s="42" t="s">
        <v>838</v>
      </c>
      <c r="D610" s="42"/>
    </row>
    <row r="611" spans="1:5" x14ac:dyDescent="0.2">
      <c r="A611" s="114"/>
      <c r="B611" s="114"/>
      <c r="C611" s="42" t="s">
        <v>839</v>
      </c>
      <c r="D611" s="42"/>
    </row>
    <row r="612" spans="1:5" x14ac:dyDescent="0.2">
      <c r="A612" s="114"/>
      <c r="B612" s="114"/>
      <c r="C612" s="42" t="s">
        <v>840</v>
      </c>
      <c r="D612" s="42"/>
    </row>
    <row r="613" spans="1:5" x14ac:dyDescent="0.2">
      <c r="A613" s="114"/>
      <c r="B613" s="114"/>
      <c r="C613" s="42" t="s">
        <v>841</v>
      </c>
      <c r="D613" s="42"/>
    </row>
    <row r="614" spans="1:5" x14ac:dyDescent="0.2">
      <c r="A614" s="114"/>
      <c r="B614" s="114"/>
      <c r="C614" s="42" t="s">
        <v>842</v>
      </c>
      <c r="D614" s="42"/>
    </row>
    <row r="615" spans="1:5" x14ac:dyDescent="0.2">
      <c r="A615" s="114"/>
      <c r="B615" s="114"/>
      <c r="C615" s="42" t="s">
        <v>843</v>
      </c>
      <c r="D615" s="42"/>
    </row>
    <row r="616" spans="1:5" x14ac:dyDescent="0.2">
      <c r="A616" s="114"/>
      <c r="B616" s="114"/>
      <c r="C616" s="42" t="s">
        <v>844</v>
      </c>
      <c r="D616" s="42"/>
    </row>
    <row r="617" spans="1:5" x14ac:dyDescent="0.2">
      <c r="A617" s="114"/>
      <c r="B617" s="114"/>
      <c r="C617" s="42" t="s">
        <v>845</v>
      </c>
      <c r="D617" s="42"/>
    </row>
    <row r="618" spans="1:5" x14ac:dyDescent="0.2">
      <c r="A618" s="114"/>
      <c r="B618" s="114"/>
      <c r="C618" s="42" t="s">
        <v>846</v>
      </c>
      <c r="D618" s="42"/>
    </row>
    <row r="619" spans="1:5" x14ac:dyDescent="0.2">
      <c r="A619" s="114"/>
      <c r="B619" s="114"/>
      <c r="C619" s="42" t="s">
        <v>847</v>
      </c>
      <c r="D619" s="42"/>
    </row>
    <row r="620" spans="1:5" x14ac:dyDescent="0.2">
      <c r="A620" s="114"/>
      <c r="B620" s="114"/>
      <c r="C620" s="42" t="s">
        <v>569</v>
      </c>
      <c r="D620" s="42"/>
    </row>
    <row r="621" spans="1:5" x14ac:dyDescent="0.2">
      <c r="A621" s="114"/>
      <c r="B621" s="114"/>
      <c r="C621" s="42" t="s">
        <v>848</v>
      </c>
      <c r="D621" s="42"/>
      <c r="E621" t="s">
        <v>214</v>
      </c>
    </row>
    <row r="622" spans="1:5" x14ac:dyDescent="0.2">
      <c r="A622" s="53"/>
      <c r="B622" s="53" t="s">
        <v>177</v>
      </c>
      <c r="C622" s="44" t="s">
        <v>849</v>
      </c>
      <c r="D622" s="44"/>
    </row>
    <row r="623" spans="1:5" x14ac:dyDescent="0.2">
      <c r="A623" s="54"/>
      <c r="B623" s="54"/>
      <c r="C623" s="44" t="s">
        <v>850</v>
      </c>
      <c r="D623" s="44"/>
    </row>
    <row r="624" spans="1:5" x14ac:dyDescent="0.2">
      <c r="A624" s="54"/>
      <c r="B624" s="54"/>
      <c r="C624" s="44" t="s">
        <v>851</v>
      </c>
      <c r="D624" s="44"/>
    </row>
    <row r="625" spans="1:5" x14ac:dyDescent="0.2">
      <c r="A625" s="54"/>
      <c r="B625" s="54"/>
      <c r="C625" s="44" t="s">
        <v>852</v>
      </c>
      <c r="D625" s="44"/>
    </row>
    <row r="626" spans="1:5" x14ac:dyDescent="0.2">
      <c r="A626" s="54"/>
      <c r="B626" s="54"/>
      <c r="C626" s="44" t="s">
        <v>853</v>
      </c>
      <c r="D626" s="44"/>
      <c r="E626" t="s">
        <v>214</v>
      </c>
    </row>
    <row r="627" spans="1:5" x14ac:dyDescent="0.2">
      <c r="A627" s="54"/>
      <c r="B627" s="54"/>
      <c r="C627" s="44" t="s">
        <v>854</v>
      </c>
      <c r="D627" s="44"/>
    </row>
    <row r="628" spans="1:5" x14ac:dyDescent="0.2">
      <c r="A628" s="54"/>
      <c r="B628" s="54"/>
      <c r="C628" s="44" t="s">
        <v>855</v>
      </c>
      <c r="D628" s="44"/>
    </row>
    <row r="629" spans="1:5" x14ac:dyDescent="0.2">
      <c r="A629" s="54"/>
      <c r="B629" s="54"/>
      <c r="C629" s="44" t="s">
        <v>462</v>
      </c>
      <c r="D629" s="44"/>
    </row>
    <row r="630" spans="1:5" x14ac:dyDescent="0.2">
      <c r="A630" s="54"/>
      <c r="B630" s="54"/>
      <c r="C630" s="44" t="s">
        <v>856</v>
      </c>
      <c r="D630" s="44"/>
    </row>
    <row r="631" spans="1:5" x14ac:dyDescent="0.2">
      <c r="A631" s="54"/>
      <c r="B631" s="54"/>
      <c r="C631" s="44" t="s">
        <v>857</v>
      </c>
      <c r="D631" s="44"/>
    </row>
    <row r="632" spans="1:5" x14ac:dyDescent="0.2">
      <c r="A632" s="54"/>
      <c r="B632" s="54"/>
      <c r="C632" s="44" t="s">
        <v>858</v>
      </c>
      <c r="D632" s="44"/>
    </row>
    <row r="633" spans="1:5" x14ac:dyDescent="0.2">
      <c r="A633" s="55"/>
      <c r="B633" s="55"/>
      <c r="C633" s="44" t="s">
        <v>314</v>
      </c>
      <c r="D633" s="44"/>
    </row>
    <row r="634" spans="1:5" x14ac:dyDescent="0.2">
      <c r="A634" s="114"/>
      <c r="B634" s="118" t="s">
        <v>178</v>
      </c>
      <c r="C634" s="42" t="s">
        <v>859</v>
      </c>
      <c r="D634" s="42" t="s">
        <v>860</v>
      </c>
    </row>
    <row r="635" spans="1:5" x14ac:dyDescent="0.2">
      <c r="A635" s="114"/>
      <c r="B635" s="118"/>
      <c r="C635" s="42" t="s">
        <v>861</v>
      </c>
      <c r="D635" s="42" t="s">
        <v>862</v>
      </c>
    </row>
    <row r="636" spans="1:5" x14ac:dyDescent="0.2">
      <c r="A636" s="114"/>
      <c r="B636" s="118"/>
      <c r="C636" s="42" t="s">
        <v>863</v>
      </c>
      <c r="D636" s="42" t="s">
        <v>864</v>
      </c>
    </row>
    <row r="637" spans="1:5" x14ac:dyDescent="0.2">
      <c r="A637" s="114"/>
      <c r="B637" s="118"/>
      <c r="C637" s="42" t="s">
        <v>865</v>
      </c>
      <c r="D637" s="42" t="s">
        <v>866</v>
      </c>
    </row>
    <row r="638" spans="1:5" x14ac:dyDescent="0.2">
      <c r="A638" s="114"/>
      <c r="B638" s="118"/>
      <c r="C638" s="42" t="s">
        <v>867</v>
      </c>
      <c r="D638" s="42" t="s">
        <v>868</v>
      </c>
    </row>
    <row r="639" spans="1:5" x14ac:dyDescent="0.2">
      <c r="A639" s="114"/>
      <c r="B639" s="118"/>
      <c r="C639" s="42" t="s">
        <v>869</v>
      </c>
      <c r="D639" s="42" t="s">
        <v>870</v>
      </c>
    </row>
    <row r="640" spans="1:5" x14ac:dyDescent="0.2">
      <c r="A640" s="114"/>
      <c r="B640" s="118"/>
      <c r="C640" s="42" t="s">
        <v>871</v>
      </c>
      <c r="D640" s="42" t="s">
        <v>872</v>
      </c>
    </row>
    <row r="641" spans="1:4" x14ac:dyDescent="0.2">
      <c r="A641" s="114"/>
      <c r="B641" s="118"/>
      <c r="C641" s="42" t="s">
        <v>873</v>
      </c>
      <c r="D641" s="42" t="s">
        <v>873</v>
      </c>
    </row>
    <row r="642" spans="1:4" x14ac:dyDescent="0.2">
      <c r="A642" s="114"/>
      <c r="B642" s="118"/>
      <c r="C642" s="42" t="s">
        <v>314</v>
      </c>
      <c r="D642" s="42"/>
    </row>
    <row r="643" spans="1:4" x14ac:dyDescent="0.2">
      <c r="A643" s="115"/>
      <c r="B643" s="115" t="s">
        <v>874</v>
      </c>
      <c r="C643" s="44" t="s">
        <v>875</v>
      </c>
      <c r="D643" s="44" t="s">
        <v>876</v>
      </c>
    </row>
    <row r="644" spans="1:4" x14ac:dyDescent="0.2">
      <c r="A644" s="116"/>
      <c r="B644" s="116"/>
      <c r="C644" s="44" t="s">
        <v>877</v>
      </c>
      <c r="D644" s="44" t="s">
        <v>878</v>
      </c>
    </row>
    <row r="645" spans="1:4" x14ac:dyDescent="0.2">
      <c r="A645" s="116"/>
      <c r="B645" s="116"/>
      <c r="C645" s="44" t="s">
        <v>879</v>
      </c>
      <c r="D645" s="44" t="s">
        <v>880</v>
      </c>
    </row>
    <row r="646" spans="1:4" x14ac:dyDescent="0.2">
      <c r="A646" s="116"/>
      <c r="B646" s="116"/>
      <c r="C646" s="44" t="s">
        <v>881</v>
      </c>
      <c r="D646" s="44" t="s">
        <v>882</v>
      </c>
    </row>
    <row r="647" spans="1:4" x14ac:dyDescent="0.2">
      <c r="A647" s="116"/>
      <c r="B647" s="116"/>
      <c r="C647" s="44" t="s">
        <v>883</v>
      </c>
      <c r="D647" s="44"/>
    </row>
    <row r="648" spans="1:4" x14ac:dyDescent="0.2">
      <c r="A648" s="117"/>
      <c r="B648" s="117"/>
      <c r="C648" s="44" t="s">
        <v>314</v>
      </c>
      <c r="D648" s="44"/>
    </row>
    <row r="649" spans="1:4" x14ac:dyDescent="0.2">
      <c r="A649" s="114"/>
      <c r="B649" s="118" t="s">
        <v>103</v>
      </c>
      <c r="C649" s="42" t="s">
        <v>884</v>
      </c>
      <c r="D649" s="42"/>
    </row>
    <row r="650" spans="1:4" x14ac:dyDescent="0.2">
      <c r="A650" s="114"/>
      <c r="B650" s="118"/>
      <c r="C650" s="42" t="s">
        <v>885</v>
      </c>
      <c r="D650" s="42"/>
    </row>
    <row r="651" spans="1:4" x14ac:dyDescent="0.2">
      <c r="A651" s="114"/>
      <c r="B651" s="118"/>
      <c r="C651" s="42" t="s">
        <v>886</v>
      </c>
      <c r="D651" s="42"/>
    </row>
    <row r="652" spans="1:4" x14ac:dyDescent="0.2">
      <c r="A652" s="114"/>
      <c r="B652" s="118"/>
      <c r="C652" s="42" t="s">
        <v>887</v>
      </c>
      <c r="D652" s="42"/>
    </row>
    <row r="653" spans="1:4" x14ac:dyDescent="0.2">
      <c r="A653" s="114"/>
      <c r="B653" s="118"/>
      <c r="C653" s="42" t="s">
        <v>314</v>
      </c>
      <c r="D653" s="42"/>
    </row>
    <row r="654" spans="1:4" x14ac:dyDescent="0.2">
      <c r="A654" s="115"/>
      <c r="B654" s="115" t="s">
        <v>104</v>
      </c>
      <c r="C654" s="44" t="s">
        <v>888</v>
      </c>
      <c r="D654" s="44"/>
    </row>
    <row r="655" spans="1:4" x14ac:dyDescent="0.2">
      <c r="A655" s="116"/>
      <c r="B655" s="116"/>
      <c r="C655" s="44" t="s">
        <v>889</v>
      </c>
      <c r="D655" s="44"/>
    </row>
    <row r="656" spans="1:4" x14ac:dyDescent="0.2">
      <c r="A656" s="114"/>
      <c r="B656" s="118" t="s">
        <v>17</v>
      </c>
      <c r="C656" s="42" t="s">
        <v>15</v>
      </c>
      <c r="D656" s="42"/>
    </row>
    <row r="657" spans="1:6" x14ac:dyDescent="0.2">
      <c r="A657" s="114"/>
      <c r="B657" s="118"/>
      <c r="C657" s="42" t="s">
        <v>16</v>
      </c>
      <c r="D657" s="42"/>
    </row>
    <row r="658" spans="1:6" x14ac:dyDescent="0.2">
      <c r="A658" s="115"/>
      <c r="B658" s="115" t="s">
        <v>139</v>
      </c>
      <c r="C658" s="44" t="s">
        <v>890</v>
      </c>
      <c r="D658" s="44"/>
    </row>
    <row r="659" spans="1:6" x14ac:dyDescent="0.2">
      <c r="A659" s="116"/>
      <c r="B659" s="116"/>
      <c r="C659" s="44" t="s">
        <v>891</v>
      </c>
      <c r="D659" s="44"/>
    </row>
    <row r="660" spans="1:6" x14ac:dyDescent="0.2">
      <c r="A660" s="116"/>
      <c r="B660" s="116"/>
      <c r="C660" s="44" t="s">
        <v>892</v>
      </c>
      <c r="D660" s="44"/>
    </row>
    <row r="661" spans="1:6" x14ac:dyDescent="0.2">
      <c r="A661" s="116"/>
      <c r="B661" s="116"/>
      <c r="C661" s="44" t="s">
        <v>893</v>
      </c>
      <c r="D661" s="44"/>
    </row>
    <row r="662" spans="1:6" x14ac:dyDescent="0.2">
      <c r="A662" s="116"/>
      <c r="B662" s="116"/>
      <c r="C662" s="44" t="s">
        <v>894</v>
      </c>
      <c r="D662" s="44"/>
    </row>
    <row r="663" spans="1:6" x14ac:dyDescent="0.2">
      <c r="A663" s="116"/>
      <c r="B663" s="116"/>
      <c r="C663" s="44" t="s">
        <v>895</v>
      </c>
      <c r="D663" s="44"/>
    </row>
    <row r="664" spans="1:6" x14ac:dyDescent="0.2">
      <c r="A664" s="116"/>
      <c r="B664" s="116"/>
      <c r="C664" s="44" t="s">
        <v>314</v>
      </c>
      <c r="D664" s="44"/>
    </row>
    <row r="665" spans="1:6" x14ac:dyDescent="0.2">
      <c r="A665" s="117"/>
      <c r="B665" s="117"/>
      <c r="C665" s="44" t="s">
        <v>896</v>
      </c>
      <c r="D665" s="44"/>
    </row>
    <row r="666" spans="1:6" x14ac:dyDescent="0.2">
      <c r="A666" s="114"/>
      <c r="B666" s="118" t="s">
        <v>140</v>
      </c>
      <c r="C666" s="42" t="s">
        <v>897</v>
      </c>
      <c r="D666" s="42"/>
    </row>
    <row r="667" spans="1:6" x14ac:dyDescent="0.2">
      <c r="A667" s="114"/>
      <c r="B667" s="118"/>
      <c r="C667" s="42" t="s">
        <v>898</v>
      </c>
      <c r="D667" s="42"/>
      <c r="F667" s="7"/>
    </row>
    <row r="668" spans="1:6" x14ac:dyDescent="0.2">
      <c r="A668" s="115"/>
      <c r="B668" s="115" t="s">
        <v>85</v>
      </c>
      <c r="C668" s="44" t="s">
        <v>899</v>
      </c>
      <c r="D668" s="44"/>
    </row>
    <row r="669" spans="1:6" x14ac:dyDescent="0.2">
      <c r="A669" s="116"/>
      <c r="B669" s="116"/>
      <c r="C669" s="44" t="s">
        <v>900</v>
      </c>
      <c r="D669" s="44"/>
    </row>
    <row r="670" spans="1:6" x14ac:dyDescent="0.2">
      <c r="A670" s="116"/>
      <c r="B670" s="116"/>
      <c r="C670" s="44" t="s">
        <v>901</v>
      </c>
      <c r="D670" s="44"/>
    </row>
    <row r="671" spans="1:6" x14ac:dyDescent="0.2">
      <c r="A671" s="116"/>
      <c r="B671" s="116"/>
      <c r="C671" s="44" t="s">
        <v>902</v>
      </c>
      <c r="D671" s="44"/>
    </row>
    <row r="672" spans="1:6" x14ac:dyDescent="0.2">
      <c r="A672" s="116"/>
      <c r="B672" s="116"/>
      <c r="C672" s="44" t="s">
        <v>903</v>
      </c>
      <c r="D672" s="44"/>
    </row>
    <row r="673" spans="1:4" x14ac:dyDescent="0.2">
      <c r="A673" s="116"/>
      <c r="B673" s="116"/>
      <c r="C673" s="44" t="s">
        <v>904</v>
      </c>
      <c r="D673" s="44"/>
    </row>
    <row r="674" spans="1:4" x14ac:dyDescent="0.2">
      <c r="A674" s="116"/>
      <c r="B674" s="116"/>
      <c r="C674" s="44" t="s">
        <v>905</v>
      </c>
      <c r="D674" s="44"/>
    </row>
    <row r="675" spans="1:4" x14ac:dyDescent="0.2">
      <c r="A675" s="116"/>
      <c r="B675" s="116"/>
      <c r="C675" s="44" t="s">
        <v>906</v>
      </c>
      <c r="D675" s="44"/>
    </row>
    <row r="676" spans="1:4" x14ac:dyDescent="0.2">
      <c r="A676" s="116"/>
      <c r="B676" s="116"/>
      <c r="C676" s="44" t="s">
        <v>907</v>
      </c>
      <c r="D676" s="44"/>
    </row>
    <row r="677" spans="1:4" x14ac:dyDescent="0.2">
      <c r="A677" s="116"/>
      <c r="B677" s="116"/>
      <c r="C677" s="44" t="s">
        <v>908</v>
      </c>
      <c r="D677" s="44"/>
    </row>
    <row r="678" spans="1:4" x14ac:dyDescent="0.2">
      <c r="A678" s="116"/>
      <c r="B678" s="116"/>
      <c r="C678" s="44" t="s">
        <v>569</v>
      </c>
      <c r="D678" s="44"/>
    </row>
    <row r="679" spans="1:4" x14ac:dyDescent="0.2">
      <c r="A679" s="117"/>
      <c r="B679" s="117"/>
      <c r="C679" s="44" t="s">
        <v>896</v>
      </c>
      <c r="D679" s="44"/>
    </row>
    <row r="680" spans="1:4" x14ac:dyDescent="0.2">
      <c r="A680" s="119"/>
      <c r="B680" s="119" t="s">
        <v>143</v>
      </c>
      <c r="C680" s="42" t="s">
        <v>890</v>
      </c>
      <c r="D680" s="42"/>
    </row>
    <row r="681" spans="1:4" x14ac:dyDescent="0.2">
      <c r="A681" s="110"/>
      <c r="B681" s="110"/>
      <c r="C681" s="42" t="s">
        <v>891</v>
      </c>
      <c r="D681" s="42"/>
    </row>
    <row r="682" spans="1:4" x14ac:dyDescent="0.2">
      <c r="A682" s="110"/>
      <c r="B682" s="110"/>
      <c r="C682" s="42" t="s">
        <v>892</v>
      </c>
      <c r="D682" s="42"/>
    </row>
    <row r="683" spans="1:4" x14ac:dyDescent="0.2">
      <c r="A683" s="110"/>
      <c r="B683" s="110"/>
      <c r="C683" s="42" t="s">
        <v>893</v>
      </c>
      <c r="D683" s="42"/>
    </row>
    <row r="684" spans="1:4" x14ac:dyDescent="0.2">
      <c r="A684" s="110"/>
      <c r="B684" s="110"/>
      <c r="C684" s="42" t="s">
        <v>894</v>
      </c>
      <c r="D684" s="42"/>
    </row>
    <row r="685" spans="1:4" x14ac:dyDescent="0.2">
      <c r="A685" s="110"/>
      <c r="B685" s="110"/>
      <c r="C685" s="42" t="s">
        <v>895</v>
      </c>
      <c r="D685" s="42"/>
    </row>
    <row r="686" spans="1:4" x14ac:dyDescent="0.2">
      <c r="A686" s="110"/>
      <c r="B686" s="110"/>
      <c r="C686" s="42" t="s">
        <v>314</v>
      </c>
      <c r="D686" s="42"/>
    </row>
    <row r="687" spans="1:4" x14ac:dyDescent="0.2">
      <c r="A687" s="110"/>
      <c r="B687" s="110"/>
      <c r="C687" s="42" t="s">
        <v>896</v>
      </c>
      <c r="D687" s="42"/>
    </row>
    <row r="688" spans="1:4" x14ac:dyDescent="0.2">
      <c r="A688" s="115"/>
      <c r="B688" s="53" t="s">
        <v>909</v>
      </c>
      <c r="C688" s="44" t="s">
        <v>910</v>
      </c>
      <c r="D688" s="44"/>
    </row>
    <row r="689" spans="1:4" x14ac:dyDescent="0.2">
      <c r="A689" s="116"/>
      <c r="B689" s="55"/>
      <c r="C689" s="44" t="s">
        <v>911</v>
      </c>
      <c r="D689" s="44"/>
    </row>
    <row r="690" spans="1:4" x14ac:dyDescent="0.2">
      <c r="A690" s="119"/>
      <c r="B690" s="119" t="s">
        <v>142</v>
      </c>
      <c r="C690" s="42" t="s">
        <v>912</v>
      </c>
      <c r="D690" s="42"/>
    </row>
    <row r="691" spans="1:4" x14ac:dyDescent="0.2">
      <c r="A691" s="110"/>
      <c r="B691" s="110"/>
      <c r="C691" s="42" t="s">
        <v>913</v>
      </c>
      <c r="D691" s="42"/>
    </row>
    <row r="692" spans="1:4" x14ac:dyDescent="0.2">
      <c r="A692" s="115"/>
      <c r="B692" s="115" t="s">
        <v>134</v>
      </c>
      <c r="C692" s="44" t="s">
        <v>914</v>
      </c>
      <c r="D692" s="44"/>
    </row>
    <row r="693" spans="1:4" x14ac:dyDescent="0.2">
      <c r="A693" s="116"/>
      <c r="B693" s="116"/>
      <c r="C693" s="44" t="s">
        <v>745</v>
      </c>
      <c r="D693" s="44"/>
    </row>
    <row r="694" spans="1:4" x14ac:dyDescent="0.2">
      <c r="A694" s="116"/>
      <c r="B694" s="116"/>
      <c r="C694" s="44" t="s">
        <v>915</v>
      </c>
      <c r="D694" s="44"/>
    </row>
    <row r="695" spans="1:4" x14ac:dyDescent="0.2">
      <c r="A695" s="116"/>
      <c r="B695" s="116"/>
      <c r="C695" s="44" t="s">
        <v>916</v>
      </c>
      <c r="D695" s="44"/>
    </row>
    <row r="696" spans="1:4" x14ac:dyDescent="0.2">
      <c r="A696" s="116"/>
      <c r="B696" s="116"/>
      <c r="C696" s="44" t="s">
        <v>917</v>
      </c>
      <c r="D696" s="44"/>
    </row>
    <row r="697" spans="1:4" x14ac:dyDescent="0.2">
      <c r="A697" s="116"/>
      <c r="B697" s="116"/>
      <c r="C697" s="44" t="s">
        <v>83</v>
      </c>
      <c r="D697" s="44"/>
    </row>
    <row r="698" spans="1:4" x14ac:dyDescent="0.2">
      <c r="A698" s="116"/>
      <c r="B698" s="116"/>
      <c r="C698" s="44" t="s">
        <v>918</v>
      </c>
      <c r="D698" s="44"/>
    </row>
    <row r="699" spans="1:4" x14ac:dyDescent="0.2">
      <c r="A699" s="116"/>
      <c r="B699" s="116"/>
      <c r="C699" s="44" t="s">
        <v>919</v>
      </c>
      <c r="D699" s="44"/>
    </row>
    <row r="700" spans="1:4" x14ac:dyDescent="0.2">
      <c r="A700" s="116"/>
      <c r="B700" s="116"/>
      <c r="C700" s="44" t="s">
        <v>314</v>
      </c>
      <c r="D700" s="44"/>
    </row>
    <row r="701" spans="1:4" x14ac:dyDescent="0.2">
      <c r="A701" s="119"/>
      <c r="B701" s="119" t="s">
        <v>135</v>
      </c>
      <c r="C701" s="42" t="s">
        <v>436</v>
      </c>
      <c r="D701" s="42"/>
    </row>
    <row r="702" spans="1:4" x14ac:dyDescent="0.2">
      <c r="A702" s="110"/>
      <c r="B702" s="110"/>
      <c r="C702" s="42" t="s">
        <v>437</v>
      </c>
      <c r="D702" s="42"/>
    </row>
    <row r="703" spans="1:4" x14ac:dyDescent="0.2">
      <c r="A703" s="110"/>
      <c r="B703" s="110"/>
      <c r="C703" s="42" t="s">
        <v>438</v>
      </c>
      <c r="D703" s="42"/>
    </row>
    <row r="704" spans="1:4" x14ac:dyDescent="0.2">
      <c r="A704" s="110"/>
      <c r="B704" s="110"/>
      <c r="C704" s="42" t="s">
        <v>439</v>
      </c>
      <c r="D704" s="42"/>
    </row>
    <row r="705" spans="1:5" x14ac:dyDescent="0.2">
      <c r="A705" s="110"/>
      <c r="B705" s="110"/>
      <c r="C705" s="42" t="s">
        <v>440</v>
      </c>
      <c r="D705" s="42"/>
    </row>
    <row r="706" spans="1:5" x14ac:dyDescent="0.2">
      <c r="A706" s="110"/>
      <c r="B706" s="110"/>
      <c r="C706" s="42" t="s">
        <v>441</v>
      </c>
      <c r="D706" s="42"/>
    </row>
    <row r="707" spans="1:5" x14ac:dyDescent="0.2">
      <c r="A707" s="110"/>
      <c r="B707" s="110"/>
      <c r="C707" s="42" t="s">
        <v>443</v>
      </c>
      <c r="D707" s="42"/>
    </row>
    <row r="708" spans="1:5" x14ac:dyDescent="0.2">
      <c r="A708" s="110"/>
      <c r="B708" s="110"/>
      <c r="C708" s="42" t="s">
        <v>444</v>
      </c>
      <c r="D708" s="42"/>
    </row>
    <row r="709" spans="1:5" x14ac:dyDescent="0.2">
      <c r="A709" s="110"/>
      <c r="B709" s="110"/>
      <c r="C709" s="42" t="s">
        <v>445</v>
      </c>
      <c r="D709" s="42"/>
    </row>
    <row r="710" spans="1:5" x14ac:dyDescent="0.2">
      <c r="A710" s="110"/>
      <c r="B710" s="110"/>
      <c r="C710" s="42" t="s">
        <v>446</v>
      </c>
      <c r="D710" s="42"/>
    </row>
    <row r="711" spans="1:5" x14ac:dyDescent="0.2">
      <c r="A711" s="110"/>
      <c r="B711" s="110"/>
      <c r="C711" s="42" t="s">
        <v>447</v>
      </c>
      <c r="D711" s="42"/>
    </row>
    <row r="712" spans="1:5" x14ac:dyDescent="0.2">
      <c r="A712" s="110"/>
      <c r="B712" s="110"/>
      <c r="C712" s="42" t="s">
        <v>448</v>
      </c>
      <c r="D712" s="42"/>
    </row>
    <row r="713" spans="1:5" x14ac:dyDescent="0.2">
      <c r="A713" s="110"/>
      <c r="B713" s="110"/>
      <c r="C713" s="42" t="s">
        <v>449</v>
      </c>
      <c r="D713" s="42"/>
    </row>
    <row r="714" spans="1:5" x14ac:dyDescent="0.2">
      <c r="A714" s="110"/>
      <c r="B714" s="110"/>
      <c r="C714" s="42" t="s">
        <v>450</v>
      </c>
      <c r="D714" s="42"/>
    </row>
    <row r="715" spans="1:5" x14ac:dyDescent="0.2">
      <c r="A715" s="110"/>
      <c r="B715" s="110"/>
      <c r="C715" s="42" t="s">
        <v>451</v>
      </c>
      <c r="D715" s="42"/>
    </row>
    <row r="716" spans="1:5" x14ac:dyDescent="0.2">
      <c r="A716" s="110"/>
      <c r="B716" s="110"/>
      <c r="C716" s="42" t="s">
        <v>452</v>
      </c>
      <c r="D716" s="42" t="s">
        <v>453</v>
      </c>
      <c r="E716" t="s">
        <v>214</v>
      </c>
    </row>
    <row r="717" spans="1:5" x14ac:dyDescent="0.2">
      <c r="A717" s="110"/>
      <c r="B717" s="110"/>
      <c r="C717" s="42" t="s">
        <v>454</v>
      </c>
      <c r="D717" s="42"/>
    </row>
    <row r="718" spans="1:5" x14ac:dyDescent="0.2">
      <c r="A718" s="110"/>
      <c r="B718" s="110"/>
      <c r="C718" s="42" t="s">
        <v>455</v>
      </c>
      <c r="D718" s="42"/>
    </row>
    <row r="719" spans="1:5" x14ac:dyDescent="0.2">
      <c r="A719" s="110"/>
      <c r="B719" s="110"/>
      <c r="C719" s="42" t="s">
        <v>456</v>
      </c>
      <c r="D719" s="42"/>
    </row>
    <row r="720" spans="1:5" x14ac:dyDescent="0.2">
      <c r="A720" s="110"/>
      <c r="B720" s="110"/>
      <c r="C720" s="42" t="s">
        <v>457</v>
      </c>
      <c r="D720" s="42"/>
    </row>
    <row r="721" spans="1:4" x14ac:dyDescent="0.2">
      <c r="A721" s="110"/>
      <c r="B721" s="110"/>
      <c r="C721" s="42" t="s">
        <v>458</v>
      </c>
      <c r="D721" s="42"/>
    </row>
    <row r="722" spans="1:4" x14ac:dyDescent="0.2">
      <c r="A722" s="110"/>
      <c r="B722" s="110"/>
      <c r="C722" s="42" t="s">
        <v>459</v>
      </c>
      <c r="D722" s="42"/>
    </row>
    <row r="723" spans="1:4" x14ac:dyDescent="0.2">
      <c r="A723" s="110"/>
      <c r="B723" s="110"/>
      <c r="C723" s="42" t="s">
        <v>460</v>
      </c>
      <c r="D723" s="42"/>
    </row>
    <row r="724" spans="1:4" x14ac:dyDescent="0.2">
      <c r="A724" s="110"/>
      <c r="B724" s="110"/>
      <c r="C724" s="42" t="s">
        <v>461</v>
      </c>
      <c r="D724" s="42"/>
    </row>
    <row r="725" spans="1:4" x14ac:dyDescent="0.2">
      <c r="A725" s="110"/>
      <c r="B725" s="110"/>
      <c r="C725" s="42" t="s">
        <v>462</v>
      </c>
      <c r="D725" s="42"/>
    </row>
    <row r="726" spans="1:4" x14ac:dyDescent="0.2">
      <c r="A726" s="110"/>
      <c r="B726" s="110"/>
      <c r="C726" s="42" t="s">
        <v>463</v>
      </c>
      <c r="D726" s="42"/>
    </row>
    <row r="727" spans="1:4" x14ac:dyDescent="0.2">
      <c r="A727" s="110"/>
      <c r="B727" s="110"/>
      <c r="C727" s="42" t="s">
        <v>464</v>
      </c>
      <c r="D727" s="42"/>
    </row>
    <row r="728" spans="1:4" x14ac:dyDescent="0.2">
      <c r="A728" s="110"/>
      <c r="B728" s="110"/>
      <c r="C728" s="42" t="s">
        <v>465</v>
      </c>
      <c r="D728" s="42"/>
    </row>
    <row r="729" spans="1:4" x14ac:dyDescent="0.2">
      <c r="A729" s="110"/>
      <c r="B729" s="110"/>
      <c r="C729" s="42" t="s">
        <v>466</v>
      </c>
      <c r="D729" s="42"/>
    </row>
    <row r="730" spans="1:4" x14ac:dyDescent="0.2">
      <c r="A730" s="110"/>
      <c r="B730" s="110"/>
      <c r="C730" s="42" t="s">
        <v>467</v>
      </c>
      <c r="D730" s="42"/>
    </row>
    <row r="731" spans="1:4" x14ac:dyDescent="0.2">
      <c r="A731" s="110"/>
      <c r="B731" s="110"/>
      <c r="C731" s="42" t="s">
        <v>468</v>
      </c>
      <c r="D731" s="42"/>
    </row>
    <row r="732" spans="1:4" x14ac:dyDescent="0.2">
      <c r="A732" s="110"/>
      <c r="B732" s="110"/>
      <c r="C732" s="42" t="s">
        <v>469</v>
      </c>
      <c r="D732" s="42"/>
    </row>
    <row r="733" spans="1:4" x14ac:dyDescent="0.2">
      <c r="A733" s="110"/>
      <c r="B733" s="110"/>
      <c r="C733" s="42" t="s">
        <v>470</v>
      </c>
      <c r="D733" s="42"/>
    </row>
    <row r="734" spans="1:4" x14ac:dyDescent="0.2">
      <c r="A734" s="110"/>
      <c r="B734" s="110"/>
      <c r="C734" s="42" t="s">
        <v>471</v>
      </c>
      <c r="D734" s="42"/>
    </row>
    <row r="735" spans="1:4" x14ac:dyDescent="0.2">
      <c r="A735" s="110"/>
      <c r="B735" s="110"/>
      <c r="C735" s="42" t="s">
        <v>472</v>
      </c>
      <c r="D735" s="42"/>
    </row>
    <row r="736" spans="1:4" x14ac:dyDescent="0.2">
      <c r="A736" s="110"/>
      <c r="B736" s="110"/>
      <c r="C736" s="42" t="s">
        <v>24</v>
      </c>
      <c r="D736" s="42"/>
    </row>
    <row r="737" spans="1:4" x14ac:dyDescent="0.2">
      <c r="A737" s="110"/>
      <c r="B737" s="110"/>
      <c r="C737" s="42" t="s">
        <v>473</v>
      </c>
      <c r="D737" s="42"/>
    </row>
    <row r="738" spans="1:4" x14ac:dyDescent="0.2">
      <c r="A738" s="110"/>
      <c r="B738" s="110"/>
      <c r="C738" s="42" t="s">
        <v>474</v>
      </c>
      <c r="D738" s="42"/>
    </row>
    <row r="739" spans="1:4" x14ac:dyDescent="0.2">
      <c r="A739" s="110"/>
      <c r="B739" s="110"/>
      <c r="C739" s="42" t="s">
        <v>475</v>
      </c>
      <c r="D739" s="42"/>
    </row>
    <row r="740" spans="1:4" x14ac:dyDescent="0.2">
      <c r="A740" s="110"/>
      <c r="B740" s="110"/>
      <c r="C740" s="42" t="s">
        <v>476</v>
      </c>
      <c r="D740" s="42"/>
    </row>
    <row r="741" spans="1:4" x14ac:dyDescent="0.2">
      <c r="A741" s="110"/>
      <c r="B741" s="110"/>
      <c r="C741" s="42" t="s">
        <v>477</v>
      </c>
      <c r="D741" s="42"/>
    </row>
    <row r="742" spans="1:4" x14ac:dyDescent="0.2">
      <c r="A742" s="110"/>
      <c r="B742" s="110"/>
      <c r="C742" s="42" t="s">
        <v>478</v>
      </c>
      <c r="D742" s="42"/>
    </row>
    <row r="743" spans="1:4" x14ac:dyDescent="0.2">
      <c r="A743" s="110"/>
      <c r="B743" s="110"/>
      <c r="C743" s="42" t="s">
        <v>479</v>
      </c>
      <c r="D743" s="42"/>
    </row>
    <row r="744" spans="1:4" x14ac:dyDescent="0.2">
      <c r="A744" s="110"/>
      <c r="B744" s="110"/>
      <c r="C744" s="42" t="s">
        <v>480</v>
      </c>
      <c r="D744" s="42"/>
    </row>
    <row r="745" spans="1:4" x14ac:dyDescent="0.2">
      <c r="A745" s="110"/>
      <c r="B745" s="110"/>
      <c r="C745" s="42" t="s">
        <v>481</v>
      </c>
      <c r="D745" s="42"/>
    </row>
    <row r="746" spans="1:4" x14ac:dyDescent="0.2">
      <c r="A746" s="110"/>
      <c r="B746" s="110"/>
      <c r="C746" s="42" t="s">
        <v>482</v>
      </c>
      <c r="D746" s="42"/>
    </row>
    <row r="747" spans="1:4" x14ac:dyDescent="0.2">
      <c r="A747" s="110"/>
      <c r="B747" s="110"/>
      <c r="C747" s="42" t="s">
        <v>483</v>
      </c>
      <c r="D747" s="42"/>
    </row>
    <row r="748" spans="1:4" x14ac:dyDescent="0.2">
      <c r="A748" s="110"/>
      <c r="B748" s="110"/>
      <c r="C748" s="42" t="s">
        <v>484</v>
      </c>
      <c r="D748" s="42"/>
    </row>
    <row r="749" spans="1:4" x14ac:dyDescent="0.2">
      <c r="A749" s="110"/>
      <c r="B749" s="110"/>
      <c r="C749" s="42" t="s">
        <v>485</v>
      </c>
      <c r="D749" s="42"/>
    </row>
    <row r="750" spans="1:4" x14ac:dyDescent="0.2">
      <c r="A750" s="110"/>
      <c r="B750" s="110"/>
      <c r="C750" s="42" t="s">
        <v>204</v>
      </c>
      <c r="D750" s="42"/>
    </row>
    <row r="751" spans="1:4" x14ac:dyDescent="0.2">
      <c r="A751" s="110"/>
      <c r="B751" s="110"/>
      <c r="C751" s="42" t="s">
        <v>207</v>
      </c>
      <c r="D751" s="42"/>
    </row>
    <row r="752" spans="1:4" x14ac:dyDescent="0.2">
      <c r="A752" s="110"/>
      <c r="B752" s="110"/>
      <c r="C752" s="42" t="s">
        <v>208</v>
      </c>
      <c r="D752" s="42"/>
    </row>
    <row r="753" spans="1:4" x14ac:dyDescent="0.2">
      <c r="A753" s="110"/>
      <c r="B753" s="110"/>
      <c r="C753" s="42" t="s">
        <v>209</v>
      </c>
      <c r="D753" s="42"/>
    </row>
    <row r="754" spans="1:4" x14ac:dyDescent="0.2">
      <c r="A754" s="110"/>
      <c r="B754" s="110"/>
      <c r="C754" s="42" t="s">
        <v>210</v>
      </c>
      <c r="D754" s="42"/>
    </row>
    <row r="755" spans="1:4" x14ac:dyDescent="0.2">
      <c r="A755" s="110"/>
      <c r="B755" s="110"/>
      <c r="C755" s="42" t="s">
        <v>211</v>
      </c>
      <c r="D755" s="42"/>
    </row>
    <row r="756" spans="1:4" x14ac:dyDescent="0.2">
      <c r="A756" s="110"/>
      <c r="B756" s="110"/>
      <c r="C756" s="42" t="s">
        <v>212</v>
      </c>
      <c r="D756" s="42"/>
    </row>
    <row r="757" spans="1:4" x14ac:dyDescent="0.2">
      <c r="A757" s="110"/>
      <c r="B757" s="110"/>
      <c r="C757" s="42" t="s">
        <v>213</v>
      </c>
      <c r="D757" s="42"/>
    </row>
    <row r="758" spans="1:4" x14ac:dyDescent="0.2">
      <c r="A758" s="110"/>
      <c r="B758" s="110"/>
      <c r="C758" s="42" t="s">
        <v>215</v>
      </c>
      <c r="D758" s="42"/>
    </row>
    <row r="759" spans="1:4" x14ac:dyDescent="0.2">
      <c r="A759" s="110"/>
      <c r="B759" s="110"/>
      <c r="C759" s="42" t="s">
        <v>216</v>
      </c>
      <c r="D759" s="42"/>
    </row>
    <row r="760" spans="1:4" x14ac:dyDescent="0.2">
      <c r="A760" s="110"/>
      <c r="B760" s="110"/>
      <c r="C760" s="42" t="s">
        <v>217</v>
      </c>
      <c r="D760" s="42"/>
    </row>
    <row r="761" spans="1:4" x14ac:dyDescent="0.2">
      <c r="A761" s="110"/>
      <c r="B761" s="110"/>
      <c r="C761" s="42" t="s">
        <v>218</v>
      </c>
      <c r="D761" s="42"/>
    </row>
    <row r="762" spans="1:4" x14ac:dyDescent="0.2">
      <c r="A762" s="110"/>
      <c r="B762" s="110"/>
      <c r="C762" s="42" t="s">
        <v>219</v>
      </c>
      <c r="D762" s="42"/>
    </row>
    <row r="763" spans="1:4" x14ac:dyDescent="0.2">
      <c r="A763" s="110"/>
      <c r="B763" s="110"/>
      <c r="C763" s="42" t="s">
        <v>220</v>
      </c>
      <c r="D763" s="42"/>
    </row>
    <row r="764" spans="1:4" x14ac:dyDescent="0.2">
      <c r="A764" s="110"/>
      <c r="B764" s="110"/>
      <c r="C764" s="42" t="s">
        <v>221</v>
      </c>
      <c r="D764" s="42"/>
    </row>
    <row r="765" spans="1:4" x14ac:dyDescent="0.2">
      <c r="A765" s="110"/>
      <c r="B765" s="110"/>
      <c r="C765" s="42" t="s">
        <v>222</v>
      </c>
      <c r="D765" s="42"/>
    </row>
    <row r="766" spans="1:4" x14ac:dyDescent="0.2">
      <c r="A766" s="110"/>
      <c r="B766" s="110"/>
      <c r="C766" s="42" t="s">
        <v>223</v>
      </c>
      <c r="D766" s="42"/>
    </row>
    <row r="767" spans="1:4" x14ac:dyDescent="0.2">
      <c r="A767" s="110"/>
      <c r="B767" s="110"/>
      <c r="C767" s="42" t="s">
        <v>224</v>
      </c>
      <c r="D767" s="42"/>
    </row>
    <row r="768" spans="1:4" x14ac:dyDescent="0.2">
      <c r="A768" s="110"/>
      <c r="B768" s="110"/>
      <c r="C768" s="42" t="s">
        <v>225</v>
      </c>
      <c r="D768" s="42"/>
    </row>
    <row r="769" spans="1:5" x14ac:dyDescent="0.2">
      <c r="A769" s="110"/>
      <c r="B769" s="110"/>
      <c r="C769" s="42" t="s">
        <v>226</v>
      </c>
      <c r="D769" s="42"/>
    </row>
    <row r="770" spans="1:5" x14ac:dyDescent="0.2">
      <c r="A770" s="110"/>
      <c r="B770" s="110"/>
      <c r="C770" s="42" t="s">
        <v>227</v>
      </c>
      <c r="D770" s="42"/>
    </row>
    <row r="771" spans="1:5" x14ac:dyDescent="0.2">
      <c r="A771" s="110"/>
      <c r="B771" s="110"/>
      <c r="C771" s="42" t="s">
        <v>228</v>
      </c>
      <c r="D771" s="42"/>
    </row>
    <row r="772" spans="1:5" x14ac:dyDescent="0.2">
      <c r="A772" s="110"/>
      <c r="B772" s="110"/>
      <c r="C772" s="42" t="s">
        <v>229</v>
      </c>
      <c r="D772" s="42"/>
    </row>
    <row r="773" spans="1:5" x14ac:dyDescent="0.2">
      <c r="A773" s="110"/>
      <c r="B773" s="110"/>
      <c r="C773" s="42" t="s">
        <v>230</v>
      </c>
      <c r="D773" s="42"/>
    </row>
    <row r="774" spans="1:5" x14ac:dyDescent="0.2">
      <c r="A774" s="110"/>
      <c r="B774" s="110"/>
      <c r="C774" s="42" t="s">
        <v>231</v>
      </c>
      <c r="D774" s="42"/>
    </row>
    <row r="775" spans="1:5" x14ac:dyDescent="0.2">
      <c r="A775" s="110"/>
      <c r="B775" s="110"/>
      <c r="C775" s="42" t="s">
        <v>232</v>
      </c>
      <c r="D775" s="42"/>
    </row>
    <row r="776" spans="1:5" x14ac:dyDescent="0.2">
      <c r="A776" s="110"/>
      <c r="B776" s="110"/>
      <c r="C776" s="42" t="s">
        <v>233</v>
      </c>
      <c r="D776" s="42"/>
    </row>
    <row r="777" spans="1:5" x14ac:dyDescent="0.2">
      <c r="A777" s="110"/>
      <c r="B777" s="110"/>
      <c r="C777" s="42" t="s">
        <v>234</v>
      </c>
      <c r="D777" s="42"/>
    </row>
    <row r="778" spans="1:5" x14ac:dyDescent="0.2">
      <c r="A778" s="110"/>
      <c r="B778" s="110"/>
      <c r="C778" s="42" t="s">
        <v>235</v>
      </c>
      <c r="D778" s="42"/>
    </row>
    <row r="779" spans="1:5" x14ac:dyDescent="0.2">
      <c r="A779" s="110"/>
      <c r="B779" s="110"/>
      <c r="C779" s="42" t="s">
        <v>236</v>
      </c>
      <c r="D779" s="42"/>
    </row>
    <row r="780" spans="1:5" x14ac:dyDescent="0.2">
      <c r="A780" s="110"/>
      <c r="B780" s="110"/>
      <c r="C780" s="42" t="s">
        <v>237</v>
      </c>
      <c r="D780" s="42"/>
    </row>
    <row r="781" spans="1:5" x14ac:dyDescent="0.2">
      <c r="A781" s="110"/>
      <c r="B781" s="110"/>
      <c r="C781" s="42" t="s">
        <v>238</v>
      </c>
      <c r="D781" s="42"/>
    </row>
    <row r="782" spans="1:5" x14ac:dyDescent="0.2">
      <c r="A782" s="110"/>
      <c r="B782" s="110"/>
      <c r="C782" s="42" t="s">
        <v>239</v>
      </c>
      <c r="D782" s="42"/>
      <c r="E782" t="s">
        <v>214</v>
      </c>
    </row>
    <row r="783" spans="1:5" x14ac:dyDescent="0.2">
      <c r="A783" s="110"/>
      <c r="B783" s="110"/>
      <c r="C783" s="42" t="s">
        <v>240</v>
      </c>
      <c r="D783" s="42"/>
      <c r="E783" t="s">
        <v>214</v>
      </c>
    </row>
    <row r="784" spans="1:5" x14ac:dyDescent="0.2">
      <c r="A784" s="110"/>
      <c r="B784" s="110"/>
      <c r="C784" s="42" t="s">
        <v>243</v>
      </c>
      <c r="D784" s="42"/>
      <c r="E784" t="s">
        <v>214</v>
      </c>
    </row>
    <row r="785" spans="1:5" x14ac:dyDescent="0.2">
      <c r="A785" s="110"/>
      <c r="B785" s="110"/>
      <c r="C785" s="42" t="s">
        <v>244</v>
      </c>
      <c r="D785" s="42"/>
    </row>
    <row r="786" spans="1:5" x14ac:dyDescent="0.2">
      <c r="A786" s="110"/>
      <c r="B786" s="110"/>
      <c r="C786" s="42" t="s">
        <v>245</v>
      </c>
      <c r="D786" s="42"/>
    </row>
    <row r="787" spans="1:5" x14ac:dyDescent="0.2">
      <c r="A787" s="110"/>
      <c r="B787" s="110"/>
      <c r="C787" s="42" t="s">
        <v>246</v>
      </c>
      <c r="D787" s="42"/>
    </row>
    <row r="788" spans="1:5" x14ac:dyDescent="0.2">
      <c r="A788" s="110"/>
      <c r="B788" s="110"/>
      <c r="C788" s="42" t="s">
        <v>247</v>
      </c>
      <c r="D788" s="42"/>
    </row>
    <row r="789" spans="1:5" x14ac:dyDescent="0.2">
      <c r="A789" s="110"/>
      <c r="B789" s="110"/>
      <c r="C789" s="42" t="s">
        <v>248</v>
      </c>
      <c r="D789" s="42"/>
    </row>
    <row r="790" spans="1:5" x14ac:dyDescent="0.2">
      <c r="A790" s="110"/>
      <c r="B790" s="110"/>
      <c r="C790" s="42" t="s">
        <v>249</v>
      </c>
      <c r="D790" s="42"/>
      <c r="E790" t="s">
        <v>214</v>
      </c>
    </row>
    <row r="791" spans="1:5" x14ac:dyDescent="0.2">
      <c r="A791" s="110"/>
      <c r="B791" s="110"/>
      <c r="C791" s="42" t="s">
        <v>250</v>
      </c>
      <c r="D791" s="42"/>
    </row>
    <row r="792" spans="1:5" x14ac:dyDescent="0.2">
      <c r="A792" s="110"/>
      <c r="B792" s="110"/>
      <c r="C792" s="42" t="s">
        <v>251</v>
      </c>
      <c r="D792" s="42"/>
    </row>
    <row r="793" spans="1:5" x14ac:dyDescent="0.2">
      <c r="A793" s="110"/>
      <c r="B793" s="110"/>
      <c r="C793" s="42" t="s">
        <v>252</v>
      </c>
      <c r="D793" s="42"/>
    </row>
    <row r="794" spans="1:5" x14ac:dyDescent="0.2">
      <c r="A794" s="110"/>
      <c r="B794" s="110"/>
      <c r="C794" s="42" t="s">
        <v>920</v>
      </c>
      <c r="D794" s="42"/>
    </row>
    <row r="795" spans="1:5" x14ac:dyDescent="0.2">
      <c r="A795" s="110"/>
      <c r="B795" s="110"/>
      <c r="C795" s="42" t="s">
        <v>253</v>
      </c>
      <c r="D795" s="42"/>
    </row>
    <row r="796" spans="1:5" x14ac:dyDescent="0.2">
      <c r="A796" s="110"/>
      <c r="B796" s="110"/>
      <c r="C796" s="42" t="s">
        <v>254</v>
      </c>
      <c r="D796" s="42"/>
    </row>
    <row r="797" spans="1:5" x14ac:dyDescent="0.2">
      <c r="A797" s="110"/>
      <c r="B797" s="110"/>
      <c r="C797" s="42" t="s">
        <v>255</v>
      </c>
      <c r="D797" s="42"/>
    </row>
    <row r="798" spans="1:5" x14ac:dyDescent="0.2">
      <c r="A798" s="110"/>
      <c r="B798" s="110"/>
      <c r="C798" s="42" t="s">
        <v>256</v>
      </c>
      <c r="D798" s="42"/>
    </row>
    <row r="799" spans="1:5" x14ac:dyDescent="0.2">
      <c r="A799" s="110"/>
      <c r="B799" s="110"/>
      <c r="C799" s="42" t="s">
        <v>257</v>
      </c>
      <c r="D799" s="42"/>
    </row>
    <row r="800" spans="1:5" x14ac:dyDescent="0.2">
      <c r="A800" s="110"/>
      <c r="B800" s="110"/>
      <c r="C800" s="42" t="s">
        <v>258</v>
      </c>
      <c r="D800" s="42"/>
    </row>
    <row r="801" spans="1:5" x14ac:dyDescent="0.2">
      <c r="A801" s="110"/>
      <c r="B801" s="110"/>
      <c r="C801" s="42" t="s">
        <v>259</v>
      </c>
      <c r="D801" s="42"/>
    </row>
    <row r="802" spans="1:5" x14ac:dyDescent="0.2">
      <c r="A802" s="110"/>
      <c r="B802" s="110"/>
      <c r="C802" s="42" t="s">
        <v>260</v>
      </c>
      <c r="D802" s="42"/>
    </row>
    <row r="803" spans="1:5" x14ac:dyDescent="0.2">
      <c r="A803" s="110"/>
      <c r="B803" s="110"/>
      <c r="C803" s="42" t="s">
        <v>261</v>
      </c>
      <c r="D803" s="42"/>
    </row>
    <row r="804" spans="1:5" x14ac:dyDescent="0.2">
      <c r="A804" s="110"/>
      <c r="B804" s="110"/>
      <c r="C804" s="42" t="s">
        <v>262</v>
      </c>
      <c r="D804" s="42"/>
    </row>
    <row r="805" spans="1:5" x14ac:dyDescent="0.2">
      <c r="A805" s="110"/>
      <c r="B805" s="110"/>
      <c r="C805" s="42" t="s">
        <v>263</v>
      </c>
      <c r="D805" s="42"/>
    </row>
    <row r="806" spans="1:5" x14ac:dyDescent="0.2">
      <c r="A806" s="110"/>
      <c r="B806" s="110"/>
      <c r="C806" s="42" t="s">
        <v>264</v>
      </c>
      <c r="D806" s="42"/>
    </row>
    <row r="807" spans="1:5" x14ac:dyDescent="0.2">
      <c r="A807" s="110"/>
      <c r="B807" s="110"/>
      <c r="C807" s="42" t="s">
        <v>265</v>
      </c>
      <c r="D807" s="42"/>
    </row>
    <row r="808" spans="1:5" x14ac:dyDescent="0.2">
      <c r="A808" s="110"/>
      <c r="B808" s="110"/>
      <c r="C808" s="42" t="s">
        <v>267</v>
      </c>
      <c r="D808" s="42"/>
    </row>
    <row r="809" spans="1:5" x14ac:dyDescent="0.2">
      <c r="A809" s="110"/>
      <c r="B809" s="110"/>
      <c r="C809" s="42" t="s">
        <v>266</v>
      </c>
      <c r="D809" s="42"/>
      <c r="E809" t="s">
        <v>214</v>
      </c>
    </row>
    <row r="810" spans="1:5" x14ac:dyDescent="0.2">
      <c r="A810" s="110"/>
      <c r="B810" s="110"/>
      <c r="C810" s="42" t="s">
        <v>268</v>
      </c>
      <c r="D810" s="42"/>
    </row>
    <row r="811" spans="1:5" x14ac:dyDescent="0.2">
      <c r="A811" s="110"/>
      <c r="B811" s="110"/>
      <c r="C811" s="42" t="s">
        <v>269</v>
      </c>
      <c r="D811" s="42"/>
    </row>
    <row r="812" spans="1:5" x14ac:dyDescent="0.2">
      <c r="A812" s="110"/>
      <c r="B812" s="110"/>
      <c r="C812" s="42" t="s">
        <v>270</v>
      </c>
      <c r="D812" s="42"/>
    </row>
    <row r="813" spans="1:5" x14ac:dyDescent="0.2">
      <c r="A813" s="110"/>
      <c r="B813" s="110"/>
      <c r="C813" s="42" t="s">
        <v>271</v>
      </c>
      <c r="D813" s="42"/>
    </row>
    <row r="814" spans="1:5" x14ac:dyDescent="0.2">
      <c r="A814" s="110"/>
      <c r="B814" s="110"/>
      <c r="C814" s="42" t="s">
        <v>272</v>
      </c>
      <c r="D814" s="42"/>
    </row>
    <row r="815" spans="1:5" x14ac:dyDescent="0.2">
      <c r="A815" s="110"/>
      <c r="B815" s="110"/>
      <c r="C815" s="42" t="s">
        <v>273</v>
      </c>
      <c r="D815" s="42"/>
    </row>
    <row r="816" spans="1:5" x14ac:dyDescent="0.2">
      <c r="A816" s="110"/>
      <c r="B816" s="110"/>
      <c r="C816" s="42" t="s">
        <v>274</v>
      </c>
      <c r="D816" s="42"/>
    </row>
    <row r="817" spans="1:4" x14ac:dyDescent="0.2">
      <c r="A817" s="110"/>
      <c r="B817" s="110"/>
      <c r="C817" s="42" t="s">
        <v>275</v>
      </c>
      <c r="D817" s="42"/>
    </row>
    <row r="818" spans="1:4" x14ac:dyDescent="0.2">
      <c r="A818" s="110"/>
      <c r="B818" s="110"/>
      <c r="C818" s="42" t="s">
        <v>276</v>
      </c>
      <c r="D818" s="42"/>
    </row>
    <row r="819" spans="1:4" x14ac:dyDescent="0.2">
      <c r="A819" s="110"/>
      <c r="B819" s="110"/>
      <c r="C819" s="42" t="s">
        <v>277</v>
      </c>
      <c r="D819" s="42"/>
    </row>
    <row r="820" spans="1:4" x14ac:dyDescent="0.2">
      <c r="A820" s="110"/>
      <c r="B820" s="110"/>
      <c r="C820" s="42" t="s">
        <v>278</v>
      </c>
      <c r="D820" s="42"/>
    </row>
    <row r="821" spans="1:4" x14ac:dyDescent="0.2">
      <c r="A821" s="110"/>
      <c r="B821" s="110"/>
      <c r="C821" s="42" t="s">
        <v>279</v>
      </c>
      <c r="D821" s="42"/>
    </row>
    <row r="822" spans="1:4" x14ac:dyDescent="0.2">
      <c r="A822" s="110"/>
      <c r="B822" s="110"/>
      <c r="C822" s="42" t="s">
        <v>280</v>
      </c>
      <c r="D822" s="42"/>
    </row>
    <row r="823" spans="1:4" x14ac:dyDescent="0.2">
      <c r="A823" s="110"/>
      <c r="B823" s="110"/>
      <c r="C823" s="42" t="s">
        <v>281</v>
      </c>
      <c r="D823" s="42"/>
    </row>
    <row r="824" spans="1:4" x14ac:dyDescent="0.2">
      <c r="A824" s="110"/>
      <c r="B824" s="110"/>
      <c r="C824" s="42" t="s">
        <v>282</v>
      </c>
      <c r="D824" s="42"/>
    </row>
    <row r="825" spans="1:4" x14ac:dyDescent="0.2">
      <c r="A825" s="110"/>
      <c r="B825" s="110"/>
      <c r="C825" s="42" t="s">
        <v>283</v>
      </c>
      <c r="D825" s="42"/>
    </row>
    <row r="826" spans="1:4" x14ac:dyDescent="0.2">
      <c r="A826" s="110"/>
      <c r="B826" s="110"/>
      <c r="C826" s="42" t="s">
        <v>284</v>
      </c>
      <c r="D826" s="42"/>
    </row>
    <row r="827" spans="1:4" x14ac:dyDescent="0.2">
      <c r="A827" s="110"/>
      <c r="B827" s="110"/>
      <c r="C827" s="42" t="s">
        <v>285</v>
      </c>
      <c r="D827" s="42"/>
    </row>
    <row r="828" spans="1:4" x14ac:dyDescent="0.2">
      <c r="A828" s="110"/>
      <c r="B828" s="110"/>
      <c r="C828" s="42" t="s">
        <v>286</v>
      </c>
      <c r="D828" s="42"/>
    </row>
    <row r="829" spans="1:4" x14ac:dyDescent="0.2">
      <c r="A829" s="110"/>
      <c r="B829" s="110"/>
      <c r="C829" s="42" t="s">
        <v>287</v>
      </c>
      <c r="D829" s="42"/>
    </row>
    <row r="830" spans="1:4" x14ac:dyDescent="0.2">
      <c r="A830" s="110"/>
      <c r="B830" s="110"/>
      <c r="C830" s="42" t="s">
        <v>288</v>
      </c>
      <c r="D830" s="42"/>
    </row>
    <row r="831" spans="1:4" x14ac:dyDescent="0.2">
      <c r="A831" s="110"/>
      <c r="B831" s="110"/>
      <c r="C831" s="42" t="s">
        <v>921</v>
      </c>
      <c r="D831" s="120" t="s">
        <v>922</v>
      </c>
    </row>
    <row r="832" spans="1:4" x14ac:dyDescent="0.2">
      <c r="A832" s="110"/>
      <c r="B832" s="110"/>
      <c r="C832" s="42" t="s">
        <v>923</v>
      </c>
      <c r="D832" s="120" t="s">
        <v>300</v>
      </c>
    </row>
    <row r="833" spans="1:4" x14ac:dyDescent="0.2">
      <c r="A833" s="110"/>
      <c r="B833" s="110"/>
      <c r="C833" s="42" t="s">
        <v>924</v>
      </c>
      <c r="D833" s="120" t="s">
        <v>300</v>
      </c>
    </row>
    <row r="834" spans="1:4" ht="15" x14ac:dyDescent="0.25">
      <c r="A834" s="110"/>
      <c r="B834" s="110"/>
      <c r="C834" s="42" t="s">
        <v>925</v>
      </c>
      <c r="D834" s="94"/>
    </row>
    <row r="835" spans="1:4" x14ac:dyDescent="0.2">
      <c r="A835" s="110"/>
      <c r="B835" s="110"/>
      <c r="C835" s="42" t="s">
        <v>296</v>
      </c>
      <c r="D835" s="42"/>
    </row>
    <row r="836" spans="1:4" x14ac:dyDescent="0.2">
      <c r="A836" s="110"/>
      <c r="B836" s="110"/>
      <c r="C836" s="42" t="s">
        <v>291</v>
      </c>
      <c r="D836" s="42"/>
    </row>
    <row r="837" spans="1:4" x14ac:dyDescent="0.2">
      <c r="A837" s="110"/>
      <c r="B837" s="110"/>
      <c r="C837" s="42" t="s">
        <v>292</v>
      </c>
      <c r="D837" s="42"/>
    </row>
    <row r="838" spans="1:4" x14ac:dyDescent="0.2">
      <c r="A838" s="110"/>
      <c r="B838" s="110"/>
      <c r="C838" s="42" t="s">
        <v>289</v>
      </c>
      <c r="D838" s="42"/>
    </row>
    <row r="839" spans="1:4" x14ac:dyDescent="0.2">
      <c r="A839" s="110"/>
      <c r="B839" s="110"/>
      <c r="C839" s="42" t="s">
        <v>293</v>
      </c>
      <c r="D839" s="42"/>
    </row>
    <row r="840" spans="1:4" x14ac:dyDescent="0.2">
      <c r="A840" s="110"/>
      <c r="B840" s="110"/>
      <c r="C840" s="42" t="s">
        <v>290</v>
      </c>
      <c r="D840" s="42"/>
    </row>
    <row r="841" spans="1:4" x14ac:dyDescent="0.2">
      <c r="A841" s="110"/>
      <c r="B841" s="110"/>
      <c r="C841" s="42" t="s">
        <v>294</v>
      </c>
      <c r="D841" s="42"/>
    </row>
    <row r="842" spans="1:4" x14ac:dyDescent="0.2">
      <c r="A842" s="110"/>
      <c r="B842" s="110"/>
      <c r="C842" s="42" t="s">
        <v>926</v>
      </c>
      <c r="D842" s="42"/>
    </row>
    <row r="843" spans="1:4" x14ac:dyDescent="0.2">
      <c r="A843" s="110"/>
      <c r="B843" s="110"/>
      <c r="C843" s="42" t="s">
        <v>927</v>
      </c>
      <c r="D843" s="42"/>
    </row>
    <row r="844" spans="1:4" x14ac:dyDescent="0.2">
      <c r="A844" s="110"/>
      <c r="B844" s="110"/>
      <c r="C844" s="42" t="s">
        <v>928</v>
      </c>
      <c r="D844" s="42"/>
    </row>
    <row r="845" spans="1:4" x14ac:dyDescent="0.2">
      <c r="A845" s="110"/>
      <c r="B845" s="110"/>
      <c r="C845" s="42" t="s">
        <v>929</v>
      </c>
      <c r="D845" s="42"/>
    </row>
    <row r="846" spans="1:4" x14ac:dyDescent="0.2">
      <c r="A846" s="110"/>
      <c r="B846" s="110"/>
      <c r="C846" s="42" t="s">
        <v>930</v>
      </c>
      <c r="D846" s="42"/>
    </row>
    <row r="847" spans="1:4" x14ac:dyDescent="0.2">
      <c r="A847" s="110"/>
      <c r="B847" s="110"/>
      <c r="C847" s="42" t="s">
        <v>931</v>
      </c>
      <c r="D847" s="42"/>
    </row>
    <row r="848" spans="1:4" x14ac:dyDescent="0.2">
      <c r="A848" s="110"/>
      <c r="B848" s="110"/>
      <c r="C848" s="42" t="s">
        <v>932</v>
      </c>
      <c r="D848" s="42"/>
    </row>
    <row r="849" spans="1:4" x14ac:dyDescent="0.2">
      <c r="A849" s="110"/>
      <c r="B849" s="110"/>
      <c r="C849" s="42" t="s">
        <v>933</v>
      </c>
      <c r="D849" s="42"/>
    </row>
    <row r="850" spans="1:4" x14ac:dyDescent="0.2">
      <c r="A850" s="110"/>
      <c r="B850" s="110"/>
      <c r="C850" s="42" t="s">
        <v>314</v>
      </c>
      <c r="D850" s="42"/>
    </row>
    <row r="851" spans="1:4" x14ac:dyDescent="0.2">
      <c r="A851" s="53" t="s">
        <v>147</v>
      </c>
      <c r="B851" s="53"/>
      <c r="C851" s="44" t="s">
        <v>338</v>
      </c>
      <c r="D851" s="44"/>
    </row>
    <row r="852" spans="1:4" x14ac:dyDescent="0.2">
      <c r="A852" s="54"/>
      <c r="B852" s="54"/>
      <c r="C852" s="44" t="s">
        <v>339</v>
      </c>
      <c r="D852" s="44"/>
    </row>
    <row r="853" spans="1:4" x14ac:dyDescent="0.2">
      <c r="A853" s="110" t="s">
        <v>19</v>
      </c>
      <c r="B853" s="110" t="s">
        <v>54</v>
      </c>
      <c r="C853" s="42" t="s">
        <v>934</v>
      </c>
      <c r="D853" s="42"/>
    </row>
    <row r="854" spans="1:4" x14ac:dyDescent="0.2">
      <c r="A854" s="110"/>
      <c r="B854" s="110"/>
      <c r="C854" s="42" t="s">
        <v>935</v>
      </c>
      <c r="D854" s="42"/>
    </row>
    <row r="855" spans="1:4" x14ac:dyDescent="0.2">
      <c r="A855" s="110"/>
      <c r="B855" s="110"/>
      <c r="C855" s="42" t="s">
        <v>936</v>
      </c>
      <c r="D855" s="42"/>
    </row>
    <row r="856" spans="1:4" x14ac:dyDescent="0.2">
      <c r="A856" s="110"/>
      <c r="B856" s="110"/>
      <c r="C856" s="42" t="s">
        <v>937</v>
      </c>
      <c r="D856" s="42"/>
    </row>
    <row r="857" spans="1:4" x14ac:dyDescent="0.2">
      <c r="A857" s="110"/>
      <c r="B857" s="110"/>
      <c r="C857" s="42" t="s">
        <v>938</v>
      </c>
      <c r="D857" s="42"/>
    </row>
    <row r="858" spans="1:4" x14ac:dyDescent="0.2">
      <c r="A858" s="110"/>
      <c r="B858" s="110"/>
      <c r="C858" s="42" t="s">
        <v>939</v>
      </c>
      <c r="D858" s="42"/>
    </row>
    <row r="859" spans="1:4" x14ac:dyDescent="0.2">
      <c r="A859" s="110"/>
      <c r="B859" s="110"/>
      <c r="C859" s="42" t="s">
        <v>940</v>
      </c>
      <c r="D859" s="42"/>
    </row>
    <row r="860" spans="1:4" x14ac:dyDescent="0.2">
      <c r="A860" s="110"/>
      <c r="B860" s="110"/>
      <c r="C860" s="42" t="s">
        <v>941</v>
      </c>
      <c r="D860" s="42"/>
    </row>
    <row r="861" spans="1:4" x14ac:dyDescent="0.2">
      <c r="A861" s="110"/>
      <c r="B861" s="110"/>
      <c r="C861" s="42" t="s">
        <v>942</v>
      </c>
      <c r="D861" s="42"/>
    </row>
    <row r="862" spans="1:4" x14ac:dyDescent="0.2">
      <c r="A862" s="53" t="s">
        <v>20</v>
      </c>
      <c r="B862" s="53" t="s">
        <v>54</v>
      </c>
      <c r="C862" s="44" t="s">
        <v>943</v>
      </c>
      <c r="D862" s="44"/>
    </row>
    <row r="863" spans="1:4" x14ac:dyDescent="0.2">
      <c r="A863" s="54"/>
      <c r="B863" s="54"/>
      <c r="C863" s="44" t="s">
        <v>944</v>
      </c>
      <c r="D863" s="44"/>
    </row>
    <row r="864" spans="1:4" x14ac:dyDescent="0.2">
      <c r="A864" s="54"/>
      <c r="B864" s="54"/>
      <c r="C864" s="44" t="s">
        <v>945</v>
      </c>
      <c r="D864" s="44"/>
    </row>
    <row r="865" spans="1:4" x14ac:dyDescent="0.2">
      <c r="A865" s="54"/>
      <c r="B865" s="54"/>
      <c r="C865" s="44" t="s">
        <v>946</v>
      </c>
      <c r="D865" s="44"/>
    </row>
    <row r="866" spans="1:4" x14ac:dyDescent="0.2">
      <c r="A866" s="54"/>
      <c r="B866" s="54"/>
      <c r="C866" s="44" t="s">
        <v>947</v>
      </c>
      <c r="D866" s="44"/>
    </row>
    <row r="867" spans="1:4" x14ac:dyDescent="0.2">
      <c r="A867" s="54"/>
      <c r="B867" s="54"/>
      <c r="C867" s="44" t="s">
        <v>948</v>
      </c>
      <c r="D867" s="44"/>
    </row>
    <row r="868" spans="1:4" x14ac:dyDescent="0.2">
      <c r="A868" s="54"/>
      <c r="B868" s="54"/>
      <c r="C868" s="44" t="s">
        <v>949</v>
      </c>
      <c r="D868" s="44"/>
    </row>
    <row r="869" spans="1:4" x14ac:dyDescent="0.2">
      <c r="A869" s="54"/>
      <c r="B869" s="54"/>
      <c r="C869" s="44" t="s">
        <v>950</v>
      </c>
      <c r="D869" s="44"/>
    </row>
    <row r="870" spans="1:4" x14ac:dyDescent="0.2">
      <c r="A870" s="110" t="s">
        <v>21</v>
      </c>
      <c r="B870" s="110" t="s">
        <v>54</v>
      </c>
      <c r="C870" s="42" t="s">
        <v>943</v>
      </c>
      <c r="D870" s="42"/>
    </row>
    <row r="871" spans="1:4" x14ac:dyDescent="0.2">
      <c r="A871" s="110"/>
      <c r="B871" s="110"/>
      <c r="C871" s="42" t="s">
        <v>945</v>
      </c>
      <c r="D871" s="42"/>
    </row>
    <row r="872" spans="1:4" x14ac:dyDescent="0.2">
      <c r="A872" s="110"/>
      <c r="B872" s="110"/>
      <c r="C872" s="42" t="s">
        <v>947</v>
      </c>
      <c r="D872" s="42"/>
    </row>
    <row r="873" spans="1:4" x14ac:dyDescent="0.2">
      <c r="A873" s="110"/>
      <c r="B873" s="110"/>
      <c r="C873" s="42" t="s">
        <v>314</v>
      </c>
      <c r="D873" s="42"/>
    </row>
    <row r="874" spans="1:4" x14ac:dyDescent="0.2">
      <c r="A874" s="53" t="s">
        <v>22</v>
      </c>
      <c r="B874" s="53" t="s">
        <v>54</v>
      </c>
      <c r="C874" s="44" t="s">
        <v>951</v>
      </c>
      <c r="D874" s="44"/>
    </row>
    <row r="875" spans="1:4" x14ac:dyDescent="0.2">
      <c r="A875" s="54"/>
      <c r="B875" s="54"/>
      <c r="C875" s="44" t="s">
        <v>754</v>
      </c>
      <c r="D875" s="44"/>
    </row>
    <row r="876" spans="1:4" x14ac:dyDescent="0.2">
      <c r="A876" s="54"/>
      <c r="B876" s="54"/>
      <c r="C876" s="44" t="s">
        <v>755</v>
      </c>
      <c r="D876" s="44"/>
    </row>
    <row r="877" spans="1:4" x14ac:dyDescent="0.2">
      <c r="A877" s="54"/>
      <c r="B877" s="54"/>
      <c r="C877" s="44" t="s">
        <v>756</v>
      </c>
      <c r="D877" s="44"/>
    </row>
    <row r="878" spans="1:4" x14ac:dyDescent="0.2">
      <c r="A878" s="54"/>
      <c r="B878" s="54"/>
      <c r="C878" s="44" t="s">
        <v>952</v>
      </c>
      <c r="D878" s="44"/>
    </row>
    <row r="879" spans="1:4" x14ac:dyDescent="0.2">
      <c r="A879" s="54"/>
      <c r="B879" s="54"/>
      <c r="C879" s="44" t="s">
        <v>953</v>
      </c>
      <c r="D879" s="44"/>
    </row>
    <row r="880" spans="1:4" x14ac:dyDescent="0.2">
      <c r="A880" s="54"/>
      <c r="B880" s="54"/>
      <c r="C880" s="44" t="s">
        <v>954</v>
      </c>
      <c r="D880" s="44"/>
    </row>
    <row r="881" spans="1:5" x14ac:dyDescent="0.2">
      <c r="A881" s="54"/>
      <c r="B881" s="54"/>
      <c r="C881" s="44" t="s">
        <v>955</v>
      </c>
      <c r="D881" s="44"/>
    </row>
    <row r="882" spans="1:5" x14ac:dyDescent="0.2">
      <c r="A882" s="54"/>
      <c r="B882" s="54"/>
      <c r="C882" s="44" t="s">
        <v>956</v>
      </c>
      <c r="D882" s="44" t="s">
        <v>956</v>
      </c>
      <c r="E882" t="s">
        <v>214</v>
      </c>
    </row>
    <row r="883" spans="1:5" x14ac:dyDescent="0.2">
      <c r="A883" s="55"/>
      <c r="B883" s="55"/>
      <c r="C883" s="44" t="s">
        <v>314</v>
      </c>
      <c r="D883" s="44"/>
    </row>
    <row r="884" spans="1:5" x14ac:dyDescent="0.2">
      <c r="A884" s="63" t="s">
        <v>23</v>
      </c>
      <c r="B884" s="63" t="s">
        <v>54</v>
      </c>
      <c r="C884" s="42" t="s">
        <v>917</v>
      </c>
      <c r="D884" s="42"/>
    </row>
    <row r="885" spans="1:5" x14ac:dyDescent="0.2">
      <c r="A885" s="64"/>
      <c r="B885" s="64"/>
      <c r="C885" s="42" t="s">
        <v>957</v>
      </c>
      <c r="D885" s="42"/>
    </row>
    <row r="886" spans="1:5" x14ac:dyDescent="0.2">
      <c r="A886" s="64"/>
      <c r="B886" s="64"/>
      <c r="C886" s="42" t="s">
        <v>958</v>
      </c>
      <c r="D886" s="42"/>
    </row>
    <row r="887" spans="1:5" x14ac:dyDescent="0.2">
      <c r="A887" s="64"/>
      <c r="B887" s="64"/>
      <c r="C887" s="42" t="s">
        <v>959</v>
      </c>
      <c r="D887" s="42"/>
    </row>
    <row r="888" spans="1:5" x14ac:dyDescent="0.2">
      <c r="A888" s="64"/>
      <c r="B888" s="64"/>
      <c r="C888" s="42" t="s">
        <v>960</v>
      </c>
      <c r="D888" s="42"/>
    </row>
    <row r="889" spans="1:5" x14ac:dyDescent="0.2">
      <c r="A889" s="64"/>
      <c r="B889" s="64"/>
      <c r="C889" s="42" t="s">
        <v>961</v>
      </c>
      <c r="D889" s="42" t="s">
        <v>962</v>
      </c>
    </row>
    <row r="890" spans="1:5" x14ac:dyDescent="0.2">
      <c r="A890" s="64"/>
      <c r="B890" s="64"/>
      <c r="C890" s="42" t="s">
        <v>963</v>
      </c>
      <c r="D890" s="42"/>
    </row>
    <row r="891" spans="1:5" x14ac:dyDescent="0.2">
      <c r="A891" s="53" t="s">
        <v>24</v>
      </c>
      <c r="B891" s="53" t="s">
        <v>54</v>
      </c>
      <c r="C891" s="44" t="s">
        <v>964</v>
      </c>
      <c r="D891" s="44"/>
    </row>
    <row r="892" spans="1:5" x14ac:dyDescent="0.2">
      <c r="A892" s="54"/>
      <c r="B892" s="54"/>
      <c r="C892" s="44" t="s">
        <v>965</v>
      </c>
      <c r="D892" s="44"/>
    </row>
    <row r="893" spans="1:5" x14ac:dyDescent="0.2">
      <c r="A893" s="54"/>
      <c r="B893" s="54"/>
      <c r="C893" s="44" t="s">
        <v>966</v>
      </c>
      <c r="D893" s="44"/>
    </row>
    <row r="894" spans="1:5" x14ac:dyDescent="0.2">
      <c r="A894" s="54"/>
      <c r="B894" s="54"/>
      <c r="C894" s="44" t="s">
        <v>967</v>
      </c>
      <c r="D894" s="44"/>
    </row>
    <row r="895" spans="1:5" x14ac:dyDescent="0.2">
      <c r="A895" s="54"/>
      <c r="B895" s="54"/>
      <c r="C895" s="44" t="s">
        <v>968</v>
      </c>
      <c r="D895" s="44"/>
    </row>
    <row r="896" spans="1:5" x14ac:dyDescent="0.2">
      <c r="A896" s="54"/>
      <c r="B896" s="54"/>
      <c r="C896" s="44" t="s">
        <v>314</v>
      </c>
      <c r="D896" s="44"/>
    </row>
    <row r="897" spans="1:4" x14ac:dyDescent="0.2">
      <c r="A897" s="63" t="s">
        <v>25</v>
      </c>
      <c r="B897" s="63" t="s">
        <v>54</v>
      </c>
      <c r="C897" s="42" t="s">
        <v>969</v>
      </c>
      <c r="D897" s="42"/>
    </row>
    <row r="898" spans="1:4" x14ac:dyDescent="0.2">
      <c r="A898" s="64"/>
      <c r="B898" s="64"/>
      <c r="C898" s="42" t="s">
        <v>970</v>
      </c>
      <c r="D898" s="42"/>
    </row>
    <row r="899" spans="1:4" x14ac:dyDescent="0.2">
      <c r="A899" s="64"/>
      <c r="B899" s="64"/>
      <c r="C899" s="42" t="s">
        <v>917</v>
      </c>
      <c r="D899" s="42"/>
    </row>
    <row r="900" spans="1:4" x14ac:dyDescent="0.2">
      <c r="A900" s="64"/>
      <c r="B900" s="64"/>
      <c r="C900" s="42" t="s">
        <v>314</v>
      </c>
      <c r="D900" s="42"/>
    </row>
    <row r="901" spans="1:4" x14ac:dyDescent="0.2">
      <c r="A901" s="53" t="s">
        <v>27</v>
      </c>
      <c r="B901" s="53" t="s">
        <v>54</v>
      </c>
      <c r="C901" s="44" t="s">
        <v>971</v>
      </c>
      <c r="D901" s="44"/>
    </row>
    <row r="902" spans="1:4" x14ac:dyDescent="0.2">
      <c r="A902" s="54"/>
      <c r="B902" s="54"/>
      <c r="C902" s="44" t="s">
        <v>972</v>
      </c>
      <c r="D902" s="44"/>
    </row>
    <row r="903" spans="1:4" x14ac:dyDescent="0.2">
      <c r="A903" s="54"/>
      <c r="B903" s="54"/>
      <c r="C903" s="44" t="s">
        <v>746</v>
      </c>
      <c r="D903" s="44"/>
    </row>
    <row r="904" spans="1:4" x14ac:dyDescent="0.2">
      <c r="A904" s="54"/>
      <c r="B904" s="54"/>
      <c r="C904" s="44" t="s">
        <v>973</v>
      </c>
      <c r="D904" s="44"/>
    </row>
    <row r="905" spans="1:4" x14ac:dyDescent="0.2">
      <c r="A905" s="54"/>
      <c r="B905" s="54"/>
      <c r="C905" s="44" t="s">
        <v>974</v>
      </c>
      <c r="D905" s="44"/>
    </row>
    <row r="906" spans="1:4" x14ac:dyDescent="0.2">
      <c r="A906" s="121" t="s">
        <v>29</v>
      </c>
      <c r="B906" s="121" t="s">
        <v>54</v>
      </c>
      <c r="C906" s="47" t="s">
        <v>975</v>
      </c>
      <c r="D906" s="47"/>
    </row>
    <row r="907" spans="1:4" x14ac:dyDescent="0.2">
      <c r="A907" s="110"/>
      <c r="B907" s="110"/>
      <c r="C907" s="47" t="s">
        <v>976</v>
      </c>
      <c r="D907" s="47"/>
    </row>
    <row r="908" spans="1:4" x14ac:dyDescent="0.2">
      <c r="A908" s="110"/>
      <c r="B908" s="110"/>
      <c r="C908" s="42" t="s">
        <v>977</v>
      </c>
      <c r="D908" s="42"/>
    </row>
    <row r="909" spans="1:4" x14ac:dyDescent="0.2">
      <c r="A909" s="110"/>
      <c r="B909" s="110"/>
      <c r="C909" s="42" t="s">
        <v>978</v>
      </c>
      <c r="D909" s="42"/>
    </row>
    <row r="910" spans="1:4" x14ac:dyDescent="0.2">
      <c r="A910" s="110"/>
      <c r="B910" s="110"/>
      <c r="C910" s="42" t="s">
        <v>979</v>
      </c>
      <c r="D910" s="42"/>
    </row>
    <row r="911" spans="1:4" x14ac:dyDescent="0.2">
      <c r="A911" s="110"/>
      <c r="B911" s="110"/>
      <c r="C911" s="42" t="s">
        <v>980</v>
      </c>
      <c r="D911" s="42"/>
    </row>
    <row r="912" spans="1:4" x14ac:dyDescent="0.2">
      <c r="A912" s="122" t="s">
        <v>30</v>
      </c>
      <c r="B912" s="122" t="s">
        <v>54</v>
      </c>
      <c r="C912" s="49" t="s">
        <v>943</v>
      </c>
      <c r="D912" s="49"/>
    </row>
    <row r="913" spans="1:5" x14ac:dyDescent="0.2">
      <c r="A913" s="116"/>
      <c r="B913" s="116"/>
      <c r="C913" s="49" t="s">
        <v>944</v>
      </c>
      <c r="D913" s="49"/>
    </row>
    <row r="914" spans="1:5" x14ac:dyDescent="0.2">
      <c r="A914" s="116"/>
      <c r="B914" s="116"/>
      <c r="C914" s="44" t="s">
        <v>945</v>
      </c>
      <c r="D914" s="44"/>
    </row>
    <row r="915" spans="1:5" x14ac:dyDescent="0.2">
      <c r="A915" s="116"/>
      <c r="B915" s="116"/>
      <c r="C915" s="44" t="s">
        <v>946</v>
      </c>
      <c r="D915" s="44"/>
    </row>
    <row r="916" spans="1:5" x14ac:dyDescent="0.2">
      <c r="A916" s="116"/>
      <c r="B916" s="116"/>
      <c r="C916" s="44" t="s">
        <v>947</v>
      </c>
      <c r="D916" s="44"/>
    </row>
    <row r="917" spans="1:5" x14ac:dyDescent="0.2">
      <c r="A917" s="116"/>
      <c r="B917" s="116"/>
      <c r="C917" s="44" t="s">
        <v>948</v>
      </c>
      <c r="D917" s="44"/>
    </row>
    <row r="918" spans="1:5" x14ac:dyDescent="0.2">
      <c r="A918" s="116"/>
      <c r="B918" s="116"/>
      <c r="C918" s="49" t="s">
        <v>949</v>
      </c>
      <c r="D918" s="49"/>
    </row>
    <row r="919" spans="1:5" x14ac:dyDescent="0.2">
      <c r="A919" s="116"/>
      <c r="B919" s="116"/>
      <c r="C919" s="49" t="s">
        <v>950</v>
      </c>
      <c r="D919" s="49"/>
    </row>
    <row r="920" spans="1:5" ht="15" x14ac:dyDescent="0.25">
      <c r="A920" s="121" t="s">
        <v>31</v>
      </c>
      <c r="B920" s="121" t="s">
        <v>54</v>
      </c>
      <c r="C920" s="47" t="s">
        <v>981</v>
      </c>
      <c r="D920" s="47"/>
      <c r="E920" s="48"/>
    </row>
    <row r="921" spans="1:5" ht="15" x14ac:dyDescent="0.25">
      <c r="A921" s="110"/>
      <c r="B921" s="110"/>
      <c r="C921" s="47" t="s">
        <v>982</v>
      </c>
      <c r="D921" s="47"/>
      <c r="E921" s="48"/>
    </row>
    <row r="922" spans="1:5" ht="15" x14ac:dyDescent="0.25">
      <c r="A922" s="110"/>
      <c r="B922" s="110"/>
      <c r="C922" s="42" t="s">
        <v>983</v>
      </c>
      <c r="D922" s="42"/>
      <c r="E922" s="48"/>
    </row>
    <row r="923" spans="1:5" ht="15" x14ac:dyDescent="0.25">
      <c r="A923" s="110"/>
      <c r="B923" s="110"/>
      <c r="C923" s="42" t="s">
        <v>984</v>
      </c>
      <c r="D923" s="42"/>
      <c r="E923" s="48"/>
    </row>
    <row r="924" spans="1:5" ht="15" x14ac:dyDescent="0.25">
      <c r="A924" s="110"/>
      <c r="B924" s="110"/>
      <c r="C924" s="42" t="s">
        <v>985</v>
      </c>
      <c r="D924" s="42"/>
      <c r="E924" s="48"/>
    </row>
    <row r="925" spans="1:5" x14ac:dyDescent="0.2">
      <c r="A925" s="110"/>
      <c r="B925" s="110"/>
      <c r="C925" s="42" t="s">
        <v>314</v>
      </c>
      <c r="D925" s="42"/>
    </row>
    <row r="926" spans="1:5" x14ac:dyDescent="0.2">
      <c r="A926" s="122" t="s">
        <v>32</v>
      </c>
      <c r="B926" s="122" t="s">
        <v>54</v>
      </c>
      <c r="C926" s="44" t="s">
        <v>986</v>
      </c>
      <c r="D926" s="44"/>
    </row>
    <row r="927" spans="1:5" x14ac:dyDescent="0.2">
      <c r="A927" s="116"/>
      <c r="B927" s="116"/>
      <c r="C927" s="44" t="s">
        <v>987</v>
      </c>
      <c r="D927" s="44"/>
    </row>
    <row r="928" spans="1:5" x14ac:dyDescent="0.2">
      <c r="A928" s="116"/>
      <c r="B928" s="116"/>
      <c r="C928" s="44" t="s">
        <v>988</v>
      </c>
      <c r="D928" s="44"/>
    </row>
    <row r="929" spans="1:5" x14ac:dyDescent="0.2">
      <c r="A929" s="69" t="s">
        <v>33</v>
      </c>
      <c r="B929" s="69" t="s">
        <v>54</v>
      </c>
      <c r="C929" s="47" t="s">
        <v>989</v>
      </c>
      <c r="D929" s="47"/>
    </row>
    <row r="930" spans="1:5" x14ac:dyDescent="0.2">
      <c r="A930" s="70"/>
      <c r="B930" s="70"/>
      <c r="C930" s="47" t="s">
        <v>754</v>
      </c>
      <c r="D930" s="47"/>
    </row>
    <row r="931" spans="1:5" x14ac:dyDescent="0.2">
      <c r="A931" s="70"/>
      <c r="B931" s="70"/>
      <c r="C931" s="42" t="s">
        <v>951</v>
      </c>
      <c r="D931" s="42"/>
    </row>
    <row r="932" spans="1:5" x14ac:dyDescent="0.2">
      <c r="A932" s="70"/>
      <c r="B932" s="70"/>
      <c r="C932" s="42" t="s">
        <v>755</v>
      </c>
      <c r="D932" s="42"/>
    </row>
    <row r="933" spans="1:5" x14ac:dyDescent="0.2">
      <c r="A933" s="70"/>
      <c r="B933" s="70"/>
      <c r="C933" s="42" t="s">
        <v>314</v>
      </c>
      <c r="D933" s="42"/>
    </row>
    <row r="934" spans="1:5" x14ac:dyDescent="0.2">
      <c r="A934" s="73" t="s">
        <v>34</v>
      </c>
      <c r="B934" s="73" t="s">
        <v>54</v>
      </c>
      <c r="C934" s="49" t="s">
        <v>951</v>
      </c>
      <c r="D934" s="49"/>
    </row>
    <row r="935" spans="1:5" x14ac:dyDescent="0.2">
      <c r="A935" s="74"/>
      <c r="B935" s="74"/>
      <c r="C935" s="49" t="s">
        <v>754</v>
      </c>
      <c r="D935" s="49"/>
    </row>
    <row r="936" spans="1:5" x14ac:dyDescent="0.2">
      <c r="A936" s="74"/>
      <c r="B936" s="74"/>
      <c r="C936" s="44" t="s">
        <v>755</v>
      </c>
      <c r="D936" s="44"/>
    </row>
    <row r="937" spans="1:5" x14ac:dyDescent="0.2">
      <c r="A937" s="74"/>
      <c r="B937" s="74"/>
      <c r="C937" s="44" t="s">
        <v>756</v>
      </c>
      <c r="D937" s="44"/>
    </row>
    <row r="938" spans="1:5" x14ac:dyDescent="0.2">
      <c r="A938" s="74"/>
      <c r="B938" s="74"/>
      <c r="C938" s="44" t="s">
        <v>990</v>
      </c>
      <c r="D938" s="44"/>
    </row>
    <row r="939" spans="1:5" x14ac:dyDescent="0.2">
      <c r="A939" s="74"/>
      <c r="B939" s="74"/>
      <c r="C939" s="49" t="s">
        <v>990</v>
      </c>
      <c r="D939" s="49"/>
    </row>
    <row r="940" spans="1:5" x14ac:dyDescent="0.2">
      <c r="A940" s="74"/>
      <c r="B940" s="74"/>
      <c r="C940" s="49" t="s">
        <v>953</v>
      </c>
      <c r="D940" s="49"/>
    </row>
    <row r="941" spans="1:5" x14ac:dyDescent="0.2">
      <c r="A941" s="74"/>
      <c r="B941" s="74"/>
      <c r="C941" s="44" t="s">
        <v>954</v>
      </c>
      <c r="D941" s="44"/>
    </row>
    <row r="942" spans="1:5" x14ac:dyDescent="0.2">
      <c r="A942" s="74"/>
      <c r="B942" s="74"/>
      <c r="C942" s="49" t="s">
        <v>955</v>
      </c>
      <c r="D942" s="49"/>
    </row>
    <row r="943" spans="1:5" x14ac:dyDescent="0.2">
      <c r="A943" s="74"/>
      <c r="B943" s="74"/>
      <c r="C943" s="49" t="s">
        <v>989</v>
      </c>
      <c r="D943" s="49"/>
    </row>
    <row r="944" spans="1:5" x14ac:dyDescent="0.2">
      <c r="A944" s="74"/>
      <c r="B944" s="74"/>
      <c r="C944" s="44" t="s">
        <v>991</v>
      </c>
      <c r="D944" s="44" t="s">
        <v>991</v>
      </c>
      <c r="E944" t="s">
        <v>214</v>
      </c>
    </row>
    <row r="945" spans="1:4" x14ac:dyDescent="0.2">
      <c r="A945" s="92"/>
      <c r="B945" s="92"/>
      <c r="C945" s="44" t="s">
        <v>314</v>
      </c>
      <c r="D945" s="44"/>
    </row>
    <row r="946" spans="1:4" ht="14.25" customHeight="1" x14ac:dyDescent="0.2">
      <c r="A946" s="69" t="s">
        <v>35</v>
      </c>
      <c r="B946" s="69" t="s">
        <v>54</v>
      </c>
      <c r="C946" s="47" t="s">
        <v>992</v>
      </c>
      <c r="D946" s="47"/>
    </row>
    <row r="947" spans="1:4" x14ac:dyDescent="0.2">
      <c r="A947" s="70"/>
      <c r="B947" s="70"/>
      <c r="C947" s="47" t="s">
        <v>993</v>
      </c>
      <c r="D947" s="47"/>
    </row>
    <row r="948" spans="1:4" x14ac:dyDescent="0.2">
      <c r="A948" s="70"/>
      <c r="B948" s="70"/>
      <c r="C948" s="42" t="s">
        <v>994</v>
      </c>
      <c r="D948" s="42"/>
    </row>
    <row r="949" spans="1:4" x14ac:dyDescent="0.2">
      <c r="A949" s="70"/>
      <c r="B949" s="70"/>
      <c r="C949" s="42" t="s">
        <v>995</v>
      </c>
      <c r="D949" s="42"/>
    </row>
    <row r="950" spans="1:4" x14ac:dyDescent="0.2">
      <c r="A950" s="70"/>
      <c r="B950" s="70"/>
      <c r="C950" s="42" t="s">
        <v>996</v>
      </c>
      <c r="D950" s="42"/>
    </row>
    <row r="951" spans="1:4" x14ac:dyDescent="0.2">
      <c r="A951" s="70"/>
      <c r="B951" s="70"/>
      <c r="C951" s="47" t="s">
        <v>765</v>
      </c>
      <c r="D951" s="47"/>
    </row>
    <row r="952" spans="1:4" x14ac:dyDescent="0.2">
      <c r="A952" s="70"/>
      <c r="B952" s="70"/>
      <c r="C952" s="47" t="s">
        <v>989</v>
      </c>
      <c r="D952" s="47"/>
    </row>
    <row r="953" spans="1:4" x14ac:dyDescent="0.2">
      <c r="A953" s="70"/>
      <c r="B953" s="70"/>
      <c r="C953" s="42" t="s">
        <v>997</v>
      </c>
      <c r="D953" s="42" t="s">
        <v>998</v>
      </c>
    </row>
    <row r="954" spans="1:4" x14ac:dyDescent="0.2">
      <c r="A954" s="70"/>
      <c r="B954" s="70"/>
      <c r="C954" s="42" t="s">
        <v>961</v>
      </c>
      <c r="D954" s="42" t="s">
        <v>962</v>
      </c>
    </row>
    <row r="955" spans="1:4" x14ac:dyDescent="0.2">
      <c r="A955" s="70"/>
      <c r="B955" s="70"/>
      <c r="C955" s="42" t="s">
        <v>314</v>
      </c>
      <c r="D955" s="42"/>
    </row>
    <row r="956" spans="1:4" x14ac:dyDescent="0.2">
      <c r="A956" s="73" t="s">
        <v>36</v>
      </c>
      <c r="B956" s="73" t="s">
        <v>54</v>
      </c>
      <c r="C956" s="44" t="s">
        <v>999</v>
      </c>
      <c r="D956" s="44"/>
    </row>
    <row r="957" spans="1:4" x14ac:dyDescent="0.2">
      <c r="A957" s="74"/>
      <c r="B957" s="74"/>
      <c r="C957" s="44" t="s">
        <v>1000</v>
      </c>
      <c r="D957" s="44"/>
    </row>
    <row r="958" spans="1:4" x14ac:dyDescent="0.2">
      <c r="A958" s="74"/>
      <c r="B958" s="74"/>
      <c r="C958" s="44" t="s">
        <v>1001</v>
      </c>
      <c r="D958" s="44"/>
    </row>
    <row r="959" spans="1:4" x14ac:dyDescent="0.2">
      <c r="A959" s="74"/>
      <c r="B959" s="74"/>
      <c r="C959" s="44" t="s">
        <v>1002</v>
      </c>
      <c r="D959" s="44"/>
    </row>
    <row r="960" spans="1:4" x14ac:dyDescent="0.2">
      <c r="A960" s="74"/>
      <c r="B960" s="74"/>
      <c r="C960" s="44" t="s">
        <v>1003</v>
      </c>
      <c r="D960" s="44"/>
    </row>
    <row r="961" spans="1:5" x14ac:dyDescent="0.2">
      <c r="A961" s="74"/>
      <c r="B961" s="74"/>
      <c r="C961" s="44" t="s">
        <v>1004</v>
      </c>
      <c r="D961" s="44"/>
    </row>
    <row r="962" spans="1:5" x14ac:dyDescent="0.2">
      <c r="A962" s="74"/>
      <c r="B962" s="74"/>
      <c r="C962" s="44" t="s">
        <v>1005</v>
      </c>
      <c r="D962" s="44"/>
    </row>
    <row r="963" spans="1:5" x14ac:dyDescent="0.2">
      <c r="A963" s="74"/>
      <c r="B963" s="74"/>
      <c r="C963" s="44" t="s">
        <v>848</v>
      </c>
      <c r="D963" s="44"/>
      <c r="E963" t="s">
        <v>214</v>
      </c>
    </row>
    <row r="964" spans="1:5" x14ac:dyDescent="0.2">
      <c r="A964" s="75" t="s">
        <v>38</v>
      </c>
      <c r="B964" s="69" t="s">
        <v>54</v>
      </c>
      <c r="C964" s="42" t="s">
        <v>971</v>
      </c>
      <c r="D964" s="42"/>
    </row>
    <row r="965" spans="1:5" x14ac:dyDescent="0.2">
      <c r="A965" s="76"/>
      <c r="B965" s="70"/>
      <c r="C965" s="42" t="s">
        <v>972</v>
      </c>
      <c r="D965" s="42"/>
    </row>
    <row r="966" spans="1:5" x14ac:dyDescent="0.2">
      <c r="A966" s="76"/>
      <c r="B966" s="70"/>
      <c r="C966" s="42" t="s">
        <v>746</v>
      </c>
      <c r="D966" s="42"/>
    </row>
    <row r="967" spans="1:5" x14ac:dyDescent="0.2">
      <c r="A967" s="76"/>
      <c r="B967" s="70"/>
      <c r="C967" s="42" t="s">
        <v>973</v>
      </c>
      <c r="D967" s="42"/>
    </row>
    <row r="968" spans="1:5" x14ac:dyDescent="0.2">
      <c r="A968" s="76"/>
      <c r="B968" s="70"/>
      <c r="C968" s="42" t="s">
        <v>974</v>
      </c>
      <c r="D968" s="42"/>
    </row>
    <row r="969" spans="1:5" x14ac:dyDescent="0.2">
      <c r="A969" s="76"/>
      <c r="B969" s="70"/>
      <c r="C969" s="42" t="s">
        <v>1006</v>
      </c>
      <c r="D969" s="42"/>
      <c r="E969" t="s">
        <v>214</v>
      </c>
    </row>
    <row r="970" spans="1:5" x14ac:dyDescent="0.2">
      <c r="A970" s="77" t="s">
        <v>40</v>
      </c>
      <c r="B970" s="73" t="s">
        <v>54</v>
      </c>
      <c r="C970" s="44" t="s">
        <v>1007</v>
      </c>
      <c r="D970" s="44"/>
    </row>
    <row r="971" spans="1:5" x14ac:dyDescent="0.2">
      <c r="A971" s="78"/>
      <c r="B971" s="74"/>
      <c r="C971" s="44" t="s">
        <v>1008</v>
      </c>
      <c r="D971" s="44"/>
    </row>
    <row r="972" spans="1:5" x14ac:dyDescent="0.2">
      <c r="A972" s="78"/>
      <c r="B972" s="74"/>
      <c r="C972" s="44" t="s">
        <v>1009</v>
      </c>
      <c r="D972" s="44"/>
    </row>
    <row r="973" spans="1:5" x14ac:dyDescent="0.2">
      <c r="A973" s="78"/>
      <c r="B973" s="74"/>
      <c r="C973" s="44" t="s">
        <v>1010</v>
      </c>
      <c r="D973" s="44"/>
    </row>
    <row r="974" spans="1:5" x14ac:dyDescent="0.2">
      <c r="A974" s="78"/>
      <c r="B974" s="74"/>
      <c r="C974" s="44" t="s">
        <v>1011</v>
      </c>
      <c r="D974" s="44"/>
    </row>
    <row r="975" spans="1:5" x14ac:dyDescent="0.2">
      <c r="A975" s="78"/>
      <c r="B975" s="74"/>
      <c r="C975" s="44" t="s">
        <v>1012</v>
      </c>
      <c r="D975" s="44"/>
    </row>
    <row r="976" spans="1:5" x14ac:dyDescent="0.2">
      <c r="A976" s="93"/>
      <c r="B976" s="92"/>
      <c r="C976" s="44" t="s">
        <v>314</v>
      </c>
      <c r="D976" s="44"/>
    </row>
    <row r="977" spans="1:5" x14ac:dyDescent="0.2">
      <c r="A977" s="69" t="s">
        <v>39</v>
      </c>
      <c r="B977" s="69" t="s">
        <v>54</v>
      </c>
      <c r="C977" s="42" t="s">
        <v>1013</v>
      </c>
      <c r="D977" s="42"/>
      <c r="E977" t="s">
        <v>1014</v>
      </c>
    </row>
    <row r="978" spans="1:5" x14ac:dyDescent="0.2">
      <c r="A978" s="70"/>
      <c r="B978" s="70"/>
      <c r="C978" s="42" t="s">
        <v>1015</v>
      </c>
      <c r="D978" s="42"/>
    </row>
    <row r="979" spans="1:5" x14ac:dyDescent="0.2">
      <c r="A979" s="70"/>
      <c r="B979" s="70"/>
      <c r="C979" s="42" t="s">
        <v>1016</v>
      </c>
      <c r="D979" s="42"/>
    </row>
    <row r="980" spans="1:5" x14ac:dyDescent="0.2">
      <c r="A980" s="70"/>
      <c r="B980" s="70"/>
      <c r="C980" s="42" t="s">
        <v>1017</v>
      </c>
      <c r="D980" s="42"/>
    </row>
    <row r="981" spans="1:5" x14ac:dyDescent="0.2">
      <c r="A981" s="70"/>
      <c r="B981" s="70"/>
      <c r="C981" s="42" t="s">
        <v>1018</v>
      </c>
      <c r="D981" s="42"/>
    </row>
    <row r="982" spans="1:5" x14ac:dyDescent="0.2">
      <c r="A982" s="70"/>
      <c r="B982" s="70"/>
      <c r="C982" s="42" t="s">
        <v>1019</v>
      </c>
      <c r="D982" s="42"/>
    </row>
    <row r="983" spans="1:5" x14ac:dyDescent="0.2">
      <c r="A983" s="70"/>
      <c r="B983" s="70"/>
      <c r="C983" s="42" t="s">
        <v>1020</v>
      </c>
      <c r="D983" s="42"/>
    </row>
    <row r="984" spans="1:5" x14ac:dyDescent="0.2">
      <c r="A984" s="70"/>
      <c r="B984" s="70"/>
      <c r="C984" s="42" t="s">
        <v>1021</v>
      </c>
      <c r="D984" s="42"/>
    </row>
    <row r="985" spans="1:5" x14ac:dyDescent="0.2">
      <c r="A985" s="70"/>
      <c r="B985" s="70"/>
      <c r="C985" s="42" t="s">
        <v>1022</v>
      </c>
      <c r="D985" s="42" t="s">
        <v>1023</v>
      </c>
      <c r="E985" t="s">
        <v>214</v>
      </c>
    </row>
    <row r="986" spans="1:5" x14ac:dyDescent="0.2">
      <c r="A986" s="77" t="s">
        <v>41</v>
      </c>
      <c r="B986" s="73" t="s">
        <v>54</v>
      </c>
      <c r="C986" s="44" t="s">
        <v>975</v>
      </c>
      <c r="D986" s="44"/>
    </row>
    <row r="987" spans="1:5" x14ac:dyDescent="0.2">
      <c r="A987" s="78"/>
      <c r="B987" s="74"/>
      <c r="C987" s="44" t="s">
        <v>976</v>
      </c>
      <c r="D987" s="44"/>
    </row>
    <row r="988" spans="1:5" x14ac:dyDescent="0.2">
      <c r="A988" s="78"/>
      <c r="B988" s="74"/>
      <c r="C988" s="44" t="s">
        <v>1024</v>
      </c>
      <c r="D988" s="44"/>
    </row>
    <row r="989" spans="1:5" x14ac:dyDescent="0.2">
      <c r="A989" s="78"/>
      <c r="B989" s="74"/>
      <c r="C989" s="44" t="s">
        <v>1025</v>
      </c>
      <c r="D989" s="44"/>
    </row>
    <row r="990" spans="1:5" x14ac:dyDescent="0.2">
      <c r="A990" s="78"/>
      <c r="B990" s="74"/>
      <c r="C990" s="44" t="s">
        <v>1026</v>
      </c>
      <c r="D990" s="44"/>
    </row>
    <row r="991" spans="1:5" x14ac:dyDescent="0.2">
      <c r="A991" s="78"/>
      <c r="B991" s="74"/>
      <c r="C991" s="44" t="s">
        <v>1027</v>
      </c>
      <c r="D991" s="44"/>
    </row>
    <row r="992" spans="1:5" x14ac:dyDescent="0.2">
      <c r="A992" s="69" t="s">
        <v>42</v>
      </c>
      <c r="B992" s="69" t="s">
        <v>54</v>
      </c>
      <c r="C992" s="42" t="s">
        <v>754</v>
      </c>
      <c r="D992" s="42"/>
    </row>
    <row r="993" spans="1:5" x14ac:dyDescent="0.2">
      <c r="A993" s="70"/>
      <c r="B993" s="70"/>
      <c r="C993" s="42" t="s">
        <v>951</v>
      </c>
      <c r="D993" s="42"/>
    </row>
    <row r="994" spans="1:5" x14ac:dyDescent="0.2">
      <c r="A994" s="70"/>
      <c r="B994" s="70"/>
      <c r="C994" s="42" t="s">
        <v>950</v>
      </c>
      <c r="D994" s="42"/>
    </row>
    <row r="995" spans="1:5" x14ac:dyDescent="0.2">
      <c r="A995" s="70"/>
      <c r="B995" s="70"/>
      <c r="C995" s="42" t="s">
        <v>755</v>
      </c>
      <c r="D995" s="42"/>
    </row>
    <row r="996" spans="1:5" x14ac:dyDescent="0.2">
      <c r="A996" s="70"/>
      <c r="B996" s="70"/>
      <c r="C996" s="42" t="s">
        <v>1028</v>
      </c>
      <c r="D996" s="42" t="s">
        <v>1029</v>
      </c>
    </row>
    <row r="997" spans="1:5" x14ac:dyDescent="0.2">
      <c r="A997" s="70"/>
      <c r="B997" s="70"/>
      <c r="C997" s="42" t="s">
        <v>314</v>
      </c>
      <c r="D997" s="42"/>
    </row>
    <row r="998" spans="1:5" x14ac:dyDescent="0.2">
      <c r="A998" s="73" t="s">
        <v>43</v>
      </c>
      <c r="B998" s="73" t="s">
        <v>54</v>
      </c>
      <c r="C998" s="44" t="s">
        <v>1030</v>
      </c>
      <c r="D998" s="44"/>
      <c r="E998" t="s">
        <v>1014</v>
      </c>
    </row>
    <row r="999" spans="1:5" x14ac:dyDescent="0.2">
      <c r="A999" s="74"/>
      <c r="B999" s="74"/>
      <c r="C999" s="44" t="s">
        <v>1031</v>
      </c>
      <c r="D999" s="44"/>
    </row>
    <row r="1000" spans="1:5" x14ac:dyDescent="0.2">
      <c r="A1000" s="69" t="s">
        <v>45</v>
      </c>
      <c r="B1000" s="69" t="s">
        <v>54</v>
      </c>
      <c r="C1000" s="42" t="s">
        <v>1032</v>
      </c>
      <c r="D1000" s="42"/>
    </row>
    <row r="1001" spans="1:5" x14ac:dyDescent="0.2">
      <c r="A1001" s="70"/>
      <c r="B1001" s="70"/>
      <c r="C1001" s="42" t="s">
        <v>1033</v>
      </c>
      <c r="D1001" s="42"/>
    </row>
    <row r="1002" spans="1:5" x14ac:dyDescent="0.2">
      <c r="A1002" s="70"/>
      <c r="B1002" s="70"/>
      <c r="C1002" s="42" t="s">
        <v>1034</v>
      </c>
      <c r="D1002" s="42"/>
    </row>
    <row r="1003" spans="1:5" x14ac:dyDescent="0.2">
      <c r="A1003" s="70"/>
      <c r="B1003" s="70"/>
      <c r="C1003" s="42" t="s">
        <v>1035</v>
      </c>
      <c r="D1003" s="42"/>
      <c r="E1003" t="s">
        <v>214</v>
      </c>
    </row>
    <row r="1004" spans="1:5" x14ac:dyDescent="0.2">
      <c r="A1004" s="70"/>
      <c r="B1004" s="70"/>
      <c r="C1004" s="42" t="s">
        <v>1036</v>
      </c>
      <c r="D1004" s="42"/>
    </row>
    <row r="1005" spans="1:5" x14ac:dyDescent="0.2">
      <c r="A1005" s="70"/>
      <c r="B1005" s="70"/>
      <c r="C1005" s="42" t="s">
        <v>1037</v>
      </c>
      <c r="D1005" s="42"/>
    </row>
    <row r="1006" spans="1:5" x14ac:dyDescent="0.2">
      <c r="A1006" s="70"/>
      <c r="B1006" s="70"/>
      <c r="C1006" s="42" t="s">
        <v>1038</v>
      </c>
      <c r="D1006" s="42"/>
      <c r="E1006" t="s">
        <v>214</v>
      </c>
    </row>
    <row r="1007" spans="1:5" x14ac:dyDescent="0.2">
      <c r="A1007" s="70"/>
      <c r="B1007" s="70"/>
      <c r="C1007" s="42" t="s">
        <v>1039</v>
      </c>
      <c r="D1007" s="42"/>
    </row>
    <row r="1008" spans="1:5" x14ac:dyDescent="0.2">
      <c r="A1008" s="70"/>
      <c r="B1008" s="70"/>
      <c r="C1008" s="42" t="s">
        <v>1040</v>
      </c>
      <c r="D1008" s="42"/>
    </row>
    <row r="1009" spans="1:4" x14ac:dyDescent="0.2">
      <c r="A1009" s="70"/>
      <c r="B1009" s="70"/>
      <c r="C1009" s="42" t="s">
        <v>1041</v>
      </c>
      <c r="D1009" s="42"/>
    </row>
    <row r="1010" spans="1:4" x14ac:dyDescent="0.2">
      <c r="A1010" s="70"/>
      <c r="B1010" s="70"/>
      <c r="C1010" s="42" t="s">
        <v>1042</v>
      </c>
      <c r="D1010" s="42"/>
    </row>
    <row r="1011" spans="1:4" x14ac:dyDescent="0.2">
      <c r="A1011" s="70"/>
      <c r="B1011" s="70"/>
      <c r="C1011" s="42" t="s">
        <v>1043</v>
      </c>
      <c r="D1011" s="42"/>
    </row>
    <row r="1012" spans="1:4" x14ac:dyDescent="0.2">
      <c r="A1012" s="70"/>
      <c r="B1012" s="70"/>
      <c r="C1012" s="42" t="s">
        <v>1044</v>
      </c>
      <c r="D1012" s="42"/>
    </row>
    <row r="1013" spans="1:4" x14ac:dyDescent="0.2">
      <c r="A1013" s="70"/>
      <c r="B1013" s="70"/>
      <c r="C1013" s="42" t="s">
        <v>1045</v>
      </c>
      <c r="D1013" s="42"/>
    </row>
    <row r="1014" spans="1:4" x14ac:dyDescent="0.2">
      <c r="A1014" s="70"/>
      <c r="B1014" s="70"/>
      <c r="C1014" s="42" t="s">
        <v>1046</v>
      </c>
      <c r="D1014" s="42"/>
    </row>
    <row r="1015" spans="1:4" x14ac:dyDescent="0.2">
      <c r="A1015" s="70"/>
      <c r="B1015" s="70"/>
      <c r="C1015" s="42" t="s">
        <v>1047</v>
      </c>
      <c r="D1015" s="42"/>
    </row>
    <row r="1016" spans="1:4" x14ac:dyDescent="0.2">
      <c r="A1016" s="70"/>
      <c r="B1016" s="70"/>
      <c r="C1016" s="42" t="s">
        <v>1048</v>
      </c>
      <c r="D1016" s="42"/>
    </row>
    <row r="1017" spans="1:4" x14ac:dyDescent="0.2">
      <c r="A1017" s="70"/>
      <c r="B1017" s="70"/>
      <c r="C1017" s="42" t="s">
        <v>1049</v>
      </c>
      <c r="D1017" s="42"/>
    </row>
    <row r="1018" spans="1:4" x14ac:dyDescent="0.2">
      <c r="A1018" s="70"/>
      <c r="B1018" s="70"/>
      <c r="C1018" s="42" t="s">
        <v>1050</v>
      </c>
      <c r="D1018" s="42"/>
    </row>
    <row r="1019" spans="1:4" x14ac:dyDescent="0.2">
      <c r="A1019" s="70"/>
      <c r="B1019" s="70"/>
      <c r="C1019" s="42" t="s">
        <v>1051</v>
      </c>
      <c r="D1019" s="42"/>
    </row>
    <row r="1020" spans="1:4" x14ac:dyDescent="0.2">
      <c r="A1020" s="70"/>
      <c r="B1020" s="70"/>
      <c r="C1020" s="42" t="s">
        <v>1052</v>
      </c>
      <c r="D1020" s="42"/>
    </row>
    <row r="1021" spans="1:4" x14ac:dyDescent="0.2">
      <c r="A1021" s="70"/>
      <c r="B1021" s="70"/>
      <c r="C1021" s="42" t="s">
        <v>1053</v>
      </c>
      <c r="D1021" s="42"/>
    </row>
    <row r="1022" spans="1:4" x14ac:dyDescent="0.2">
      <c r="A1022" s="70"/>
      <c r="B1022" s="70"/>
      <c r="C1022" s="42" t="s">
        <v>1054</v>
      </c>
      <c r="D1022" s="42"/>
    </row>
    <row r="1023" spans="1:4" x14ac:dyDescent="0.2">
      <c r="A1023" s="70"/>
      <c r="B1023" s="70"/>
      <c r="C1023" s="42" t="s">
        <v>1055</v>
      </c>
      <c r="D1023" s="42"/>
    </row>
    <row r="1024" spans="1:4" x14ac:dyDescent="0.2">
      <c r="A1024" s="70"/>
      <c r="B1024" s="70"/>
      <c r="C1024" s="42" t="s">
        <v>1056</v>
      </c>
      <c r="D1024" s="42"/>
    </row>
    <row r="1025" spans="1:5" x14ac:dyDescent="0.2">
      <c r="A1025" s="70"/>
      <c r="B1025" s="70"/>
      <c r="C1025" s="42" t="s">
        <v>1057</v>
      </c>
      <c r="D1025" s="42"/>
    </row>
    <row r="1026" spans="1:5" x14ac:dyDescent="0.2">
      <c r="A1026" s="70"/>
      <c r="B1026" s="70"/>
      <c r="C1026" s="42" t="s">
        <v>1058</v>
      </c>
      <c r="D1026" s="42"/>
    </row>
    <row r="1027" spans="1:5" x14ac:dyDescent="0.2">
      <c r="A1027" s="70"/>
      <c r="B1027" s="70"/>
      <c r="C1027" s="42" t="s">
        <v>1059</v>
      </c>
      <c r="D1027" s="42"/>
    </row>
    <row r="1028" spans="1:5" x14ac:dyDescent="0.2">
      <c r="A1028" s="70"/>
      <c r="B1028" s="70"/>
      <c r="C1028" s="42" t="s">
        <v>1060</v>
      </c>
      <c r="D1028" s="42"/>
    </row>
    <row r="1029" spans="1:5" x14ac:dyDescent="0.2">
      <c r="A1029" s="70"/>
      <c r="B1029" s="70"/>
      <c r="C1029" s="42" t="s">
        <v>1061</v>
      </c>
      <c r="D1029" s="42"/>
    </row>
    <row r="1030" spans="1:5" x14ac:dyDescent="0.2">
      <c r="A1030" s="70"/>
      <c r="B1030" s="70"/>
      <c r="C1030" s="42" t="s">
        <v>1062</v>
      </c>
      <c r="D1030" s="42"/>
    </row>
    <row r="1031" spans="1:5" x14ac:dyDescent="0.2">
      <c r="A1031" s="70"/>
      <c r="B1031" s="70"/>
      <c r="C1031" s="100" t="s">
        <v>1063</v>
      </c>
      <c r="D1031" s="42"/>
      <c r="E1031" t="s">
        <v>214</v>
      </c>
    </row>
    <row r="1032" spans="1:5" x14ac:dyDescent="0.2">
      <c r="A1032" s="70"/>
      <c r="B1032" s="70"/>
      <c r="C1032" s="42" t="s">
        <v>1064</v>
      </c>
      <c r="D1032" s="42"/>
    </row>
    <row r="1033" spans="1:5" x14ac:dyDescent="0.2">
      <c r="A1033" s="70"/>
      <c r="B1033" s="70"/>
      <c r="C1033" s="42" t="s">
        <v>314</v>
      </c>
      <c r="D1033" s="42"/>
    </row>
    <row r="1034" spans="1:5" x14ac:dyDescent="0.2">
      <c r="A1034" s="53" t="s">
        <v>44</v>
      </c>
      <c r="B1034" s="53" t="s">
        <v>54</v>
      </c>
      <c r="C1034" s="44" t="s">
        <v>1065</v>
      </c>
      <c r="D1034" s="44"/>
      <c r="E1034" t="s">
        <v>1014</v>
      </c>
    </row>
    <row r="1035" spans="1:5" x14ac:dyDescent="0.2">
      <c r="A1035" s="54"/>
      <c r="B1035" s="54"/>
      <c r="C1035" s="44" t="s">
        <v>1066</v>
      </c>
      <c r="D1035" s="44"/>
    </row>
    <row r="1036" spans="1:5" x14ac:dyDescent="0.2">
      <c r="A1036" s="54"/>
      <c r="B1036" s="54"/>
      <c r="C1036" s="44" t="s">
        <v>314</v>
      </c>
      <c r="D1036" s="44"/>
    </row>
    <row r="1037" spans="1:5" x14ac:dyDescent="0.2">
      <c r="A1037" s="69" t="s">
        <v>1067</v>
      </c>
      <c r="B1037" s="69" t="s">
        <v>54</v>
      </c>
      <c r="C1037" s="42" t="s">
        <v>1068</v>
      </c>
      <c r="D1037" s="42"/>
    </row>
    <row r="1038" spans="1:5" x14ac:dyDescent="0.2">
      <c r="A1038" s="70"/>
      <c r="B1038" s="70"/>
      <c r="C1038" s="42" t="s">
        <v>1069</v>
      </c>
      <c r="D1038" s="42" t="s">
        <v>1070</v>
      </c>
    </row>
    <row r="1039" spans="1:5" x14ac:dyDescent="0.2">
      <c r="A1039" s="70"/>
      <c r="B1039" s="70"/>
      <c r="C1039" s="42" t="s">
        <v>1071</v>
      </c>
      <c r="D1039" s="42" t="s">
        <v>1072</v>
      </c>
    </row>
    <row r="1040" spans="1:5" x14ac:dyDescent="0.2">
      <c r="A1040" s="70"/>
      <c r="B1040" s="70"/>
      <c r="C1040" s="42" t="s">
        <v>1073</v>
      </c>
      <c r="D1040" s="42" t="s">
        <v>1074</v>
      </c>
    </row>
    <row r="1041" spans="1:4" x14ac:dyDescent="0.2">
      <c r="A1041" s="184" t="s">
        <v>2689</v>
      </c>
      <c r="B1041" s="184" t="s">
        <v>2689</v>
      </c>
      <c r="C1041" s="184" t="s">
        <v>2689</v>
      </c>
      <c r="D1041" s="184" t="s">
        <v>2689</v>
      </c>
    </row>
    <row r="1042" spans="1:4" x14ac:dyDescent="0.2">
      <c r="A1042" s="184" t="s">
        <v>2689</v>
      </c>
      <c r="B1042" s="184" t="s">
        <v>2689</v>
      </c>
      <c r="C1042" s="184" t="s">
        <v>2689</v>
      </c>
      <c r="D1042" s="184" t="s">
        <v>2689</v>
      </c>
    </row>
    <row r="1043" spans="1:4" x14ac:dyDescent="0.2">
      <c r="A1043" s="184" t="s">
        <v>2689</v>
      </c>
      <c r="B1043" s="184" t="s">
        <v>2689</v>
      </c>
      <c r="C1043" s="184" t="s">
        <v>2689</v>
      </c>
      <c r="D1043" s="184" t="s">
        <v>2689</v>
      </c>
    </row>
    <row r="1044" spans="1:4" x14ac:dyDescent="0.2">
      <c r="A1044" s="184" t="s">
        <v>2689</v>
      </c>
      <c r="B1044" s="184" t="s">
        <v>2689</v>
      </c>
      <c r="C1044" s="184" t="s">
        <v>2689</v>
      </c>
      <c r="D1044" s="184" t="s">
        <v>2689</v>
      </c>
    </row>
    <row r="1045" spans="1:4" x14ac:dyDescent="0.2">
      <c r="A1045" s="184" t="s">
        <v>2689</v>
      </c>
      <c r="B1045" s="184" t="s">
        <v>2689</v>
      </c>
      <c r="C1045" s="184" t="s">
        <v>2689</v>
      </c>
      <c r="D1045" s="184" t="s">
        <v>2689</v>
      </c>
    </row>
    <row r="1046" spans="1:4" x14ac:dyDescent="0.2">
      <c r="A1046" s="184" t="s">
        <v>2689</v>
      </c>
      <c r="B1046" s="184" t="s">
        <v>2689</v>
      </c>
      <c r="C1046" s="184" t="s">
        <v>2689</v>
      </c>
      <c r="D1046" s="184" t="s">
        <v>2689</v>
      </c>
    </row>
    <row r="1047" spans="1:4" x14ac:dyDescent="0.2">
      <c r="A1047" s="184" t="s">
        <v>2689</v>
      </c>
      <c r="B1047" s="184" t="s">
        <v>2689</v>
      </c>
      <c r="C1047" s="184" t="s">
        <v>2689</v>
      </c>
      <c r="D1047" s="184" t="s">
        <v>2689</v>
      </c>
    </row>
    <row r="1048" spans="1:4" x14ac:dyDescent="0.2">
      <c r="A1048" s="184" t="s">
        <v>2689</v>
      </c>
      <c r="B1048" s="184" t="s">
        <v>2689</v>
      </c>
      <c r="C1048" s="184" t="s">
        <v>2689</v>
      </c>
      <c r="D1048" s="184" t="s">
        <v>2689</v>
      </c>
    </row>
    <row r="1049" spans="1:4" x14ac:dyDescent="0.2">
      <c r="A1049" s="184" t="s">
        <v>2689</v>
      </c>
      <c r="B1049" s="184" t="s">
        <v>2689</v>
      </c>
      <c r="C1049" s="184" t="s">
        <v>2689</v>
      </c>
      <c r="D1049" s="184" t="s">
        <v>2689</v>
      </c>
    </row>
    <row r="1050" spans="1:4" x14ac:dyDescent="0.2">
      <c r="A1050" s="184" t="s">
        <v>2689</v>
      </c>
      <c r="B1050" s="184" t="s">
        <v>2689</v>
      </c>
      <c r="C1050" s="184" t="s">
        <v>2689</v>
      </c>
      <c r="D1050" s="184" t="s">
        <v>2689</v>
      </c>
    </row>
    <row r="1051" spans="1:4" x14ac:dyDescent="0.2">
      <c r="A1051" s="184" t="s">
        <v>2689</v>
      </c>
      <c r="B1051" s="184" t="s">
        <v>2689</v>
      </c>
      <c r="C1051" s="184" t="s">
        <v>2689</v>
      </c>
      <c r="D1051" s="184" t="s">
        <v>2689</v>
      </c>
    </row>
    <row r="1052" spans="1:4" x14ac:dyDescent="0.2">
      <c r="A1052" s="184" t="s">
        <v>2689</v>
      </c>
      <c r="B1052" s="184" t="s">
        <v>2689</v>
      </c>
      <c r="C1052" s="184" t="s">
        <v>2689</v>
      </c>
      <c r="D1052" s="184" t="s">
        <v>2689</v>
      </c>
    </row>
    <row r="1053" spans="1:4" x14ac:dyDescent="0.2">
      <c r="A1053" s="184" t="s">
        <v>2689</v>
      </c>
      <c r="B1053" s="184" t="s">
        <v>2689</v>
      </c>
      <c r="C1053" s="184" t="s">
        <v>2689</v>
      </c>
      <c r="D1053" s="184" t="s">
        <v>2689</v>
      </c>
    </row>
    <row r="1054" spans="1:4" x14ac:dyDescent="0.2">
      <c r="A1054" s="184" t="s">
        <v>2689</v>
      </c>
      <c r="B1054" s="184" t="s">
        <v>2689</v>
      </c>
      <c r="C1054" s="184" t="s">
        <v>2689</v>
      </c>
      <c r="D1054" s="184" t="s">
        <v>2689</v>
      </c>
    </row>
    <row r="1055" spans="1:4" x14ac:dyDescent="0.2">
      <c r="A1055" s="184" t="s">
        <v>2689</v>
      </c>
      <c r="B1055" s="184" t="s">
        <v>2689</v>
      </c>
      <c r="C1055" s="184" t="s">
        <v>2689</v>
      </c>
      <c r="D1055" s="184" t="s">
        <v>2689</v>
      </c>
    </row>
    <row r="1056" spans="1:4" x14ac:dyDescent="0.2">
      <c r="A1056" s="184" t="s">
        <v>2689</v>
      </c>
      <c r="B1056" s="184" t="s">
        <v>2689</v>
      </c>
      <c r="C1056" s="184" t="s">
        <v>2689</v>
      </c>
      <c r="D1056" s="184" t="s">
        <v>2689</v>
      </c>
    </row>
    <row r="1057" spans="1:4" x14ac:dyDescent="0.2">
      <c r="A1057" s="184" t="s">
        <v>2689</v>
      </c>
      <c r="B1057" s="184" t="s">
        <v>2689</v>
      </c>
      <c r="C1057" s="184" t="s">
        <v>2689</v>
      </c>
      <c r="D1057" s="184" t="s">
        <v>2689</v>
      </c>
    </row>
    <row r="1058" spans="1:4" x14ac:dyDescent="0.2">
      <c r="A1058" s="184" t="s">
        <v>2689</v>
      </c>
      <c r="B1058" s="184" t="s">
        <v>2689</v>
      </c>
      <c r="C1058" s="184" t="s">
        <v>2689</v>
      </c>
      <c r="D1058" s="184" t="s">
        <v>2689</v>
      </c>
    </row>
    <row r="1059" spans="1:4" x14ac:dyDescent="0.2">
      <c r="A1059" s="184" t="s">
        <v>2689</v>
      </c>
      <c r="B1059" s="184" t="s">
        <v>2689</v>
      </c>
      <c r="C1059" s="184" t="s">
        <v>2689</v>
      </c>
      <c r="D1059" s="184" t="s">
        <v>2689</v>
      </c>
    </row>
    <row r="1060" spans="1:4" x14ac:dyDescent="0.2">
      <c r="A1060" s="184" t="s">
        <v>2689</v>
      </c>
      <c r="B1060" s="184" t="s">
        <v>2689</v>
      </c>
      <c r="C1060" s="184" t="s">
        <v>2689</v>
      </c>
      <c r="D1060" s="184" t="s">
        <v>2689</v>
      </c>
    </row>
    <row r="1061" spans="1:4" x14ac:dyDescent="0.2">
      <c r="A1061" s="184" t="s">
        <v>2689</v>
      </c>
      <c r="B1061" s="184" t="s">
        <v>2689</v>
      </c>
      <c r="C1061" s="184" t="s">
        <v>2689</v>
      </c>
      <c r="D1061" s="184" t="s">
        <v>2689</v>
      </c>
    </row>
    <row r="1062" spans="1:4" x14ac:dyDescent="0.2">
      <c r="A1062" s="184" t="s">
        <v>2689</v>
      </c>
      <c r="B1062" s="184" t="s">
        <v>2689</v>
      </c>
      <c r="C1062" s="184" t="s">
        <v>2689</v>
      </c>
      <c r="D1062" s="184" t="s">
        <v>2689</v>
      </c>
    </row>
    <row r="1063" spans="1:4" x14ac:dyDescent="0.2">
      <c r="A1063" s="184" t="s">
        <v>2689</v>
      </c>
      <c r="B1063" s="184" t="s">
        <v>2689</v>
      </c>
      <c r="C1063" s="184" t="s">
        <v>2689</v>
      </c>
      <c r="D1063" s="184" t="s">
        <v>2689</v>
      </c>
    </row>
    <row r="1064" spans="1:4" x14ac:dyDescent="0.2">
      <c r="A1064" s="184" t="s">
        <v>2689</v>
      </c>
      <c r="B1064" s="184" t="s">
        <v>2689</v>
      </c>
      <c r="C1064" s="184" t="s">
        <v>2689</v>
      </c>
      <c r="D1064" s="184" t="s">
        <v>2689</v>
      </c>
    </row>
    <row r="1065" spans="1:4" x14ac:dyDescent="0.2">
      <c r="A1065" s="184" t="s">
        <v>2689</v>
      </c>
      <c r="B1065" s="184" t="s">
        <v>2689</v>
      </c>
      <c r="C1065" s="184" t="s">
        <v>2689</v>
      </c>
      <c r="D1065" s="184" t="s">
        <v>2689</v>
      </c>
    </row>
    <row r="1066" spans="1:4" x14ac:dyDescent="0.2">
      <c r="A1066" s="184" t="s">
        <v>2689</v>
      </c>
      <c r="B1066" s="184" t="s">
        <v>2689</v>
      </c>
      <c r="C1066" s="184" t="s">
        <v>2689</v>
      </c>
      <c r="D1066" s="184" t="s">
        <v>2689</v>
      </c>
    </row>
    <row r="1067" spans="1:4" x14ac:dyDescent="0.2">
      <c r="A1067" s="184" t="s">
        <v>2689</v>
      </c>
      <c r="B1067" s="184" t="s">
        <v>2689</v>
      </c>
      <c r="C1067" s="184" t="s">
        <v>2689</v>
      </c>
      <c r="D1067" s="184" t="s">
        <v>2689</v>
      </c>
    </row>
    <row r="1068" spans="1:4" x14ac:dyDescent="0.2">
      <c r="A1068" s="184" t="s">
        <v>2689</v>
      </c>
      <c r="B1068" s="184" t="s">
        <v>2689</v>
      </c>
      <c r="C1068" s="184" t="s">
        <v>2689</v>
      </c>
      <c r="D1068" s="184" t="s">
        <v>2689</v>
      </c>
    </row>
    <row r="1069" spans="1:4" x14ac:dyDescent="0.2">
      <c r="A1069" s="184" t="s">
        <v>2689</v>
      </c>
      <c r="B1069" s="184" t="s">
        <v>2689</v>
      </c>
      <c r="C1069" s="184" t="s">
        <v>2689</v>
      </c>
      <c r="D1069" s="184" t="s">
        <v>2689</v>
      </c>
    </row>
    <row r="1070" spans="1:4" x14ac:dyDescent="0.2">
      <c r="A1070" s="184" t="s">
        <v>2689</v>
      </c>
      <c r="B1070" s="184" t="s">
        <v>2689</v>
      </c>
      <c r="C1070" s="184" t="s">
        <v>2689</v>
      </c>
      <c r="D1070" s="184" t="s">
        <v>2689</v>
      </c>
    </row>
    <row r="1071" spans="1:4" x14ac:dyDescent="0.2">
      <c r="A1071" s="184" t="s">
        <v>2689</v>
      </c>
      <c r="B1071" s="184" t="s">
        <v>2689</v>
      </c>
      <c r="C1071" s="184" t="s">
        <v>2689</v>
      </c>
      <c r="D1071" s="184" t="s">
        <v>2689</v>
      </c>
    </row>
    <row r="1072" spans="1:4" x14ac:dyDescent="0.2">
      <c r="A1072" s="184" t="s">
        <v>2689</v>
      </c>
      <c r="B1072" s="184" t="s">
        <v>2689</v>
      </c>
      <c r="C1072" s="184" t="s">
        <v>2689</v>
      </c>
      <c r="D1072" s="184" t="s">
        <v>2689</v>
      </c>
    </row>
    <row r="1073" spans="1:8" s="10" customFormat="1" x14ac:dyDescent="0.2">
      <c r="A1073" s="184" t="s">
        <v>2689</v>
      </c>
      <c r="B1073" s="184" t="s">
        <v>2689</v>
      </c>
      <c r="C1073" s="184" t="s">
        <v>2689</v>
      </c>
      <c r="D1073" s="184" t="s">
        <v>2689</v>
      </c>
      <c r="E1073"/>
      <c r="F1073"/>
      <c r="G1073"/>
      <c r="H1073"/>
    </row>
    <row r="1074" spans="1:8" s="10" customFormat="1" x14ac:dyDescent="0.2">
      <c r="A1074" s="185" t="s">
        <v>2689</v>
      </c>
      <c r="B1074" s="184" t="s">
        <v>2689</v>
      </c>
      <c r="C1074" s="184" t="s">
        <v>2689</v>
      </c>
      <c r="D1074" s="184" t="s">
        <v>2689</v>
      </c>
      <c r="E1074" s="184" t="s">
        <v>2689</v>
      </c>
      <c r="F1074"/>
      <c r="G1074"/>
      <c r="H1074"/>
    </row>
    <row r="1075" spans="1:8" s="10" customFormat="1" x14ac:dyDescent="0.2">
      <c r="A1075" s="184" t="s">
        <v>2689</v>
      </c>
      <c r="B1075" s="184" t="s">
        <v>2689</v>
      </c>
      <c r="C1075" s="184" t="s">
        <v>2689</v>
      </c>
      <c r="D1075" s="184" t="s">
        <v>2689</v>
      </c>
      <c r="E1075" s="184" t="s">
        <v>2689</v>
      </c>
      <c r="F1075"/>
      <c r="G1075"/>
      <c r="H1075"/>
    </row>
    <row r="1076" spans="1:8" s="10" customFormat="1" x14ac:dyDescent="0.2">
      <c r="A1076" s="102"/>
      <c r="B1076"/>
      <c r="C1076" s="13" t="s">
        <v>309</v>
      </c>
      <c r="D1076" s="102"/>
      <c r="E1076"/>
      <c r="F1076"/>
      <c r="G1076"/>
      <c r="H1076"/>
    </row>
    <row r="1077" spans="1:8" s="10" customFormat="1" x14ac:dyDescent="0.2">
      <c r="A1077" s="102"/>
      <c r="B1077"/>
      <c r="C1077" s="13" t="s">
        <v>80</v>
      </c>
      <c r="D1077" s="102"/>
      <c r="E1077"/>
      <c r="F1077"/>
      <c r="G1077"/>
      <c r="H1077"/>
    </row>
    <row r="1078" spans="1:8" s="10" customFormat="1" x14ac:dyDescent="0.2">
      <c r="A1078" s="102"/>
      <c r="B1078"/>
      <c r="C1078" s="13" t="s">
        <v>310</v>
      </c>
      <c r="D1078" s="102"/>
      <c r="E1078"/>
      <c r="F1078"/>
      <c r="G1078"/>
      <c r="H1078"/>
    </row>
    <row r="1079" spans="1:8" s="10" customFormat="1" x14ac:dyDescent="0.2">
      <c r="A1079" s="102"/>
      <c r="B1079"/>
      <c r="C1079" s="13" t="s">
        <v>313</v>
      </c>
      <c r="D1079" s="102"/>
      <c r="E1079"/>
      <c r="F1079"/>
      <c r="G1079"/>
      <c r="H1079"/>
    </row>
    <row r="1080" spans="1:8" s="10" customFormat="1" x14ac:dyDescent="0.2">
      <c r="A1080" s="102"/>
      <c r="B1080"/>
      <c r="C1080" s="13"/>
      <c r="D1080" s="102"/>
      <c r="E1080"/>
      <c r="F1080"/>
      <c r="G1080"/>
      <c r="H1080"/>
    </row>
    <row r="1081" spans="1:8" s="10" customFormat="1" x14ac:dyDescent="0.2">
      <c r="A1081" s="102"/>
      <c r="B1081"/>
      <c r="C1081" s="13" t="s">
        <v>309</v>
      </c>
      <c r="D1081" s="102"/>
      <c r="E1081"/>
      <c r="F1081"/>
      <c r="G1081"/>
      <c r="H1081"/>
    </row>
    <row r="1082" spans="1:8" s="10" customFormat="1" x14ac:dyDescent="0.2">
      <c r="A1082" s="102"/>
      <c r="B1082"/>
      <c r="C1082" s="13" t="s">
        <v>80</v>
      </c>
      <c r="D1082" s="102"/>
      <c r="E1082"/>
      <c r="F1082"/>
      <c r="G1082"/>
      <c r="H1082"/>
    </row>
    <row r="1083" spans="1:8" s="10" customFormat="1" x14ac:dyDescent="0.2">
      <c r="A1083" s="102"/>
      <c r="B1083"/>
      <c r="C1083" s="13" t="s">
        <v>310</v>
      </c>
      <c r="D1083" s="102"/>
      <c r="E1083"/>
      <c r="F1083"/>
      <c r="G1083"/>
      <c r="H1083"/>
    </row>
    <row r="1084" spans="1:8" s="10" customFormat="1" x14ac:dyDescent="0.2">
      <c r="A1084" s="102"/>
      <c r="B1084"/>
      <c r="C1084" s="13" t="s">
        <v>313</v>
      </c>
      <c r="D1084" s="102"/>
      <c r="E1084"/>
      <c r="F1084"/>
      <c r="G1084"/>
      <c r="H1084"/>
    </row>
    <row r="1085" spans="1:8" s="10" customFormat="1" x14ac:dyDescent="0.2">
      <c r="A1085" s="102"/>
      <c r="B1085"/>
      <c r="C1085" s="13" t="s">
        <v>311</v>
      </c>
      <c r="D1085" s="102"/>
      <c r="E1085"/>
      <c r="F1085"/>
      <c r="G1085"/>
      <c r="H1085"/>
    </row>
    <row r="1086" spans="1:8" s="10" customFormat="1" x14ac:dyDescent="0.2">
      <c r="A1086" s="102"/>
      <c r="B1086"/>
      <c r="C1086" s="13"/>
      <c r="D1086" s="102"/>
      <c r="E1086"/>
      <c r="F1086"/>
      <c r="G1086"/>
      <c r="H1086"/>
    </row>
    <row r="1087" spans="1:8" s="10" customFormat="1" x14ac:dyDescent="0.2">
      <c r="A1087" s="102"/>
      <c r="B1087"/>
      <c r="C1087" s="13" t="s">
        <v>309</v>
      </c>
      <c r="D1087" s="102"/>
      <c r="E1087"/>
      <c r="F1087"/>
      <c r="G1087"/>
      <c r="H1087"/>
    </row>
    <row r="1088" spans="1:8" s="10" customFormat="1" x14ac:dyDescent="0.2">
      <c r="A1088" s="102"/>
      <c r="B1088"/>
      <c r="C1088" s="13" t="s">
        <v>80</v>
      </c>
      <c r="D1088" s="102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102"/>
      <c r="E1089"/>
      <c r="F1089"/>
      <c r="G1089"/>
      <c r="H1089"/>
    </row>
    <row r="1090" spans="2:8" s="10" customFormat="1" x14ac:dyDescent="0.2">
      <c r="B1090"/>
      <c r="C1090" s="13"/>
      <c r="D1090" s="102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102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102"/>
      <c r="E1092"/>
      <c r="F1092"/>
      <c r="G1092"/>
      <c r="H1092"/>
    </row>
    <row r="1093" spans="2:8" s="10" customFormat="1" x14ac:dyDescent="0.2">
      <c r="B1093"/>
      <c r="C1093" s="13"/>
      <c r="D1093" s="102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102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102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102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102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102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102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102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102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102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102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102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102"/>
      <c r="E1105"/>
      <c r="F1105"/>
      <c r="G1105"/>
      <c r="H1105"/>
    </row>
    <row r="1106" spans="2:8" s="10" customFormat="1" x14ac:dyDescent="0.2">
      <c r="B1106"/>
      <c r="C1106" s="13"/>
      <c r="D1106" s="102"/>
      <c r="E1106"/>
      <c r="F1106"/>
      <c r="G1106"/>
      <c r="H1106"/>
    </row>
    <row r="1107" spans="2:8" s="10" customFormat="1" x14ac:dyDescent="0.2">
      <c r="B1107"/>
      <c r="C1107" s="13"/>
      <c r="D1107" s="102"/>
      <c r="E1107"/>
      <c r="F1107"/>
      <c r="G1107"/>
      <c r="H1107"/>
    </row>
    <row r="1108" spans="2:8" x14ac:dyDescent="0.2">
      <c r="C1108" s="13" t="s">
        <v>884</v>
      </c>
      <c r="D1108" s="102"/>
    </row>
    <row r="1109" spans="2:8" s="10" customFormat="1" x14ac:dyDescent="0.2">
      <c r="B1109"/>
      <c r="C1109" s="13" t="s">
        <v>885</v>
      </c>
      <c r="D1109" s="102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102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102"/>
      <c r="E1111"/>
      <c r="F1111"/>
      <c r="G1111"/>
      <c r="H1111"/>
    </row>
    <row r="1112" spans="2:8" s="10" customFormat="1" x14ac:dyDescent="0.2">
      <c r="B1112"/>
      <c r="C1112" s="13"/>
      <c r="D1112" s="102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102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102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102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102"/>
      <c r="E1116"/>
      <c r="F1116"/>
      <c r="G1116"/>
      <c r="H1116"/>
    </row>
    <row r="1117" spans="2:8" s="10" customFormat="1" x14ac:dyDescent="0.2">
      <c r="B1117"/>
      <c r="C1117" s="13"/>
      <c r="D1117" s="102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102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102"/>
      <c r="E1119"/>
      <c r="F1119"/>
      <c r="G1119"/>
      <c r="H1119"/>
    </row>
    <row r="1120" spans="2:8" s="10" customFormat="1" x14ac:dyDescent="0.2">
      <c r="B1120"/>
      <c r="C1120" s="13"/>
      <c r="D1120" s="102"/>
      <c r="E1120"/>
      <c r="F1120"/>
      <c r="G1120"/>
      <c r="H1120"/>
    </row>
    <row r="1121" spans="2:8" x14ac:dyDescent="0.2">
      <c r="C1121" s="13" t="s">
        <v>325</v>
      </c>
      <c r="D1121" s="102"/>
    </row>
    <row r="1122" spans="2:8" s="10" customFormat="1" x14ac:dyDescent="0.2">
      <c r="B1122"/>
      <c r="C1122" s="13" t="s">
        <v>327</v>
      </c>
      <c r="D1122" s="102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102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102"/>
      <c r="E1124"/>
      <c r="F1124"/>
      <c r="G1124"/>
      <c r="H1124"/>
    </row>
    <row r="1125" spans="2:8" x14ac:dyDescent="0.2">
      <c r="C1125" s="13" t="s">
        <v>336</v>
      </c>
      <c r="D1125" s="102"/>
    </row>
    <row r="1126" spans="2:8" x14ac:dyDescent="0.2">
      <c r="C1126" s="13" t="s">
        <v>314</v>
      </c>
      <c r="D1126" s="102"/>
    </row>
    <row r="1129" spans="2:8" x14ac:dyDescent="0.2">
      <c r="C1129" s="13" t="s">
        <v>436</v>
      </c>
      <c r="D1129" s="102"/>
    </row>
    <row r="1130" spans="2:8" x14ac:dyDescent="0.2">
      <c r="C1130" s="13" t="s">
        <v>437</v>
      </c>
      <c r="D1130" s="102"/>
    </row>
    <row r="1131" spans="2:8" x14ac:dyDescent="0.2">
      <c r="C1131" s="13" t="s">
        <v>439</v>
      </c>
      <c r="D1131" s="102"/>
    </row>
    <row r="1132" spans="2:8" x14ac:dyDescent="0.2">
      <c r="C1132" s="13" t="s">
        <v>440</v>
      </c>
      <c r="D1132" s="102"/>
    </row>
    <row r="1133" spans="2:8" x14ac:dyDescent="0.2">
      <c r="C1133" s="13" t="s">
        <v>441</v>
      </c>
      <c r="D1133" s="102"/>
    </row>
    <row r="1134" spans="2:8" x14ac:dyDescent="0.2">
      <c r="C1134" s="13" t="s">
        <v>443</v>
      </c>
      <c r="D1134" s="102"/>
    </row>
    <row r="1135" spans="2:8" x14ac:dyDescent="0.2">
      <c r="C1135" s="13" t="s">
        <v>444</v>
      </c>
      <c r="D1135" s="102"/>
    </row>
    <row r="1136" spans="2:8" x14ac:dyDescent="0.2">
      <c r="C1136" s="13" t="s">
        <v>445</v>
      </c>
      <c r="D1136" s="102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23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1:26" x14ac:dyDescent="0.2">
      <c r="C1313" s="13" t="s">
        <v>400</v>
      </c>
    </row>
    <row r="1314" spans="1:26" x14ac:dyDescent="0.2">
      <c r="C1314" s="13" t="s">
        <v>402</v>
      </c>
    </row>
    <row r="1315" spans="1:26" x14ac:dyDescent="0.2">
      <c r="C1315" s="13" t="s">
        <v>314</v>
      </c>
    </row>
    <row r="1316" spans="1:26" x14ac:dyDescent="0.2">
      <c r="A1316" s="195" t="s">
        <v>2681</v>
      </c>
      <c r="B1316" s="195"/>
      <c r="C1316" s="195"/>
      <c r="D1316" s="195"/>
      <c r="E1316" s="195"/>
      <c r="F1316" s="195"/>
      <c r="G1316" s="195"/>
      <c r="H1316" s="195"/>
      <c r="I1316" s="195"/>
      <c r="J1316" s="195"/>
      <c r="K1316" s="195"/>
      <c r="L1316" s="195"/>
      <c r="M1316" s="195"/>
      <c r="N1316" s="195"/>
      <c r="O1316" s="195"/>
      <c r="P1316" s="195"/>
      <c r="Q1316" s="195"/>
      <c r="R1316" s="195"/>
      <c r="S1316" s="195"/>
      <c r="T1316" s="195"/>
      <c r="U1316" s="195"/>
      <c r="V1316" s="195"/>
      <c r="W1316" s="195"/>
      <c r="X1316" s="195"/>
      <c r="Y1316" s="195"/>
      <c r="Z1316" s="195"/>
    </row>
  </sheetData>
  <sortState xmlns:xlrd2="http://schemas.microsoft.com/office/spreadsheetml/2017/richdata2" ref="C81:C84">
    <sortCondition ref="C81"/>
  </sortState>
  <mergeCells count="1">
    <mergeCell ref="A1316:Z1316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Z796"/>
  <sheetViews>
    <sheetView showGridLines="0" rightToLeft="1" workbookViewId="0">
      <pane ySplit="1" topLeftCell="A784" activePane="bottomLeft" state="frozen"/>
      <selection pane="bottomLeft" activeCell="A796" sqref="A796:Z796"/>
    </sheetView>
  </sheetViews>
  <sheetFormatPr defaultRowHeight="15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75" style="1" customWidth="1"/>
    <col min="5" max="5" width="14.25" customWidth="1"/>
  </cols>
  <sheetData>
    <row r="1" spans="1:5" ht="15.75" x14ac:dyDescent="0.25">
      <c r="A1" s="186" t="s">
        <v>1076</v>
      </c>
      <c r="B1" s="95" t="s">
        <v>1077</v>
      </c>
      <c r="C1" s="95" t="s">
        <v>1078</v>
      </c>
      <c r="D1" s="187" t="s">
        <v>1079</v>
      </c>
      <c r="E1" s="95"/>
    </row>
    <row r="2" spans="1:5" ht="15.75" outlineLevel="1" x14ac:dyDescent="0.2">
      <c r="A2" s="31" t="s">
        <v>19</v>
      </c>
      <c r="B2" s="32" t="s">
        <v>49</v>
      </c>
      <c r="C2" s="31">
        <v>5.0999999999999996</v>
      </c>
      <c r="D2" s="85"/>
    </row>
    <row r="3" spans="1:5" ht="15.75" outlineLevel="1" x14ac:dyDescent="0.2">
      <c r="A3" s="31" t="s">
        <v>19</v>
      </c>
      <c r="B3" s="32" t="s">
        <v>50</v>
      </c>
      <c r="C3" s="31">
        <v>5.2</v>
      </c>
      <c r="D3" s="85"/>
    </row>
    <row r="4" spans="1:5" ht="15.75" outlineLevel="1" x14ac:dyDescent="0.2">
      <c r="A4" s="31" t="s">
        <v>19</v>
      </c>
      <c r="B4" s="32" t="s">
        <v>51</v>
      </c>
      <c r="C4" s="31">
        <v>5.4</v>
      </c>
      <c r="D4" s="85"/>
    </row>
    <row r="5" spans="1:5" ht="15.75" outlineLevel="1" x14ac:dyDescent="0.2">
      <c r="A5" s="31" t="s">
        <v>19</v>
      </c>
      <c r="B5" s="32" t="s">
        <v>52</v>
      </c>
      <c r="C5" s="31">
        <v>5.7</v>
      </c>
      <c r="D5" s="85"/>
    </row>
    <row r="6" spans="1:5" ht="15.75" outlineLevel="1" x14ac:dyDescent="0.2">
      <c r="A6" s="31" t="s">
        <v>19</v>
      </c>
      <c r="B6" s="32" t="s">
        <v>53</v>
      </c>
      <c r="C6" s="31">
        <v>5.1100000000000003</v>
      </c>
      <c r="D6" s="85"/>
    </row>
    <row r="7" spans="1:5" ht="15.75" outlineLevel="1" x14ac:dyDescent="0.2">
      <c r="A7" s="31" t="s">
        <v>19</v>
      </c>
      <c r="B7" s="32" t="s">
        <v>54</v>
      </c>
      <c r="C7" s="31">
        <v>5.26</v>
      </c>
      <c r="D7" s="85"/>
    </row>
    <row r="8" spans="1:5" ht="15.75" outlineLevel="1" x14ac:dyDescent="0.2">
      <c r="A8" s="31" t="s">
        <v>19</v>
      </c>
      <c r="B8" s="32" t="s">
        <v>55</v>
      </c>
      <c r="C8" s="31">
        <v>5.27</v>
      </c>
      <c r="D8" s="85"/>
    </row>
    <row r="9" spans="1:5" ht="15.75" outlineLevel="1" x14ac:dyDescent="0.2">
      <c r="A9" s="31" t="s">
        <v>19</v>
      </c>
      <c r="B9" s="32" t="s">
        <v>56</v>
      </c>
      <c r="C9" s="31">
        <v>5.36</v>
      </c>
      <c r="D9" s="85"/>
    </row>
    <row r="10" spans="1:5" ht="16.5" customHeight="1" outlineLevel="1" x14ac:dyDescent="0.2">
      <c r="A10" s="31" t="s">
        <v>19</v>
      </c>
      <c r="B10" s="32" t="s">
        <v>57</v>
      </c>
      <c r="C10" s="33">
        <v>5.5</v>
      </c>
      <c r="D10" s="85"/>
    </row>
    <row r="11" spans="1:5" ht="15.75" outlineLevel="1" x14ac:dyDescent="0.2">
      <c r="A11" s="31" t="s">
        <v>19</v>
      </c>
      <c r="B11" s="32" t="s">
        <v>58</v>
      </c>
      <c r="C11" s="31">
        <v>5.51</v>
      </c>
      <c r="D11" s="85"/>
    </row>
    <row r="12" spans="1:5" ht="15.75" outlineLevel="1" x14ac:dyDescent="0.2">
      <c r="A12" s="31" t="s">
        <v>19</v>
      </c>
      <c r="B12" s="32" t="s">
        <v>59</v>
      </c>
      <c r="C12" s="31">
        <v>5.53</v>
      </c>
      <c r="D12" s="85"/>
    </row>
    <row r="13" spans="1:5" ht="15.75" outlineLevel="1" x14ac:dyDescent="0.2">
      <c r="A13" s="31" t="s">
        <v>19</v>
      </c>
      <c r="B13" s="32" t="s">
        <v>60</v>
      </c>
      <c r="C13" s="31">
        <v>5.59</v>
      </c>
      <c r="D13" s="85"/>
    </row>
    <row r="14" spans="1:5" ht="15.75" outlineLevel="1" x14ac:dyDescent="0.2">
      <c r="A14" s="31" t="s">
        <v>19</v>
      </c>
      <c r="B14" s="32" t="s">
        <v>61</v>
      </c>
      <c r="C14" s="31">
        <v>5.54</v>
      </c>
      <c r="D14" s="85"/>
    </row>
    <row r="15" spans="1:5" ht="15.75" outlineLevel="1" x14ac:dyDescent="0.2">
      <c r="A15" s="31" t="s">
        <v>19</v>
      </c>
      <c r="B15" s="32" t="s">
        <v>62</v>
      </c>
      <c r="C15" s="33">
        <v>5.7</v>
      </c>
      <c r="D15" s="191" t="s">
        <v>2690</v>
      </c>
    </row>
    <row r="16" spans="1:5" ht="15.75" outlineLevel="1" x14ac:dyDescent="0.2">
      <c r="A16" s="31" t="s">
        <v>19</v>
      </c>
      <c r="B16" s="32" t="s">
        <v>63</v>
      </c>
      <c r="C16" s="31">
        <v>5.63</v>
      </c>
      <c r="D16" s="85"/>
    </row>
    <row r="17" spans="1:4" ht="15.75" outlineLevel="1" x14ac:dyDescent="0.2">
      <c r="A17" s="31" t="s">
        <v>19</v>
      </c>
      <c r="B17" s="32" t="s">
        <v>64</v>
      </c>
      <c r="C17" s="31">
        <v>5.47</v>
      </c>
      <c r="D17" s="85"/>
    </row>
    <row r="18" spans="1:4" ht="15.75" outlineLevel="1" x14ac:dyDescent="0.2">
      <c r="A18" s="31" t="s">
        <v>19</v>
      </c>
      <c r="B18" s="32" t="s">
        <v>65</v>
      </c>
      <c r="C18" s="31">
        <v>5.48</v>
      </c>
      <c r="D18" s="85"/>
    </row>
    <row r="19" spans="1:4" ht="15.75" x14ac:dyDescent="0.2">
      <c r="A19" s="36" t="s">
        <v>19</v>
      </c>
      <c r="B19" s="32"/>
      <c r="C19" s="31"/>
      <c r="D19" s="85"/>
    </row>
    <row r="20" spans="1:4" ht="15.75" outlineLevel="1" x14ac:dyDescent="0.2">
      <c r="A20" s="31" t="s">
        <v>20</v>
      </c>
      <c r="B20" s="32" t="s">
        <v>49</v>
      </c>
      <c r="C20" s="31">
        <v>5.0999999999999996</v>
      </c>
      <c r="D20" s="85"/>
    </row>
    <row r="21" spans="1:4" ht="15.75" outlineLevel="1" x14ac:dyDescent="0.2">
      <c r="A21" s="31" t="s">
        <v>20</v>
      </c>
      <c r="B21" s="32" t="s">
        <v>50</v>
      </c>
      <c r="C21" s="31">
        <v>5.2</v>
      </c>
      <c r="D21" s="85"/>
    </row>
    <row r="22" spans="1:4" ht="15.75" outlineLevel="1" x14ac:dyDescent="0.2">
      <c r="A22" s="31" t="s">
        <v>20</v>
      </c>
      <c r="B22" s="32" t="s">
        <v>66</v>
      </c>
      <c r="C22" s="31">
        <v>5.3</v>
      </c>
      <c r="D22" s="85"/>
    </row>
    <row r="23" spans="1:4" ht="15.75" outlineLevel="1" x14ac:dyDescent="0.2">
      <c r="A23" s="31" t="s">
        <v>20</v>
      </c>
      <c r="B23" s="32" t="s">
        <v>91</v>
      </c>
      <c r="C23" s="31">
        <v>5.14</v>
      </c>
      <c r="D23" s="85"/>
    </row>
    <row r="24" spans="1:4" ht="15.75" outlineLevel="1" x14ac:dyDescent="0.2">
      <c r="A24" s="31" t="s">
        <v>20</v>
      </c>
      <c r="B24" s="32" t="s">
        <v>68</v>
      </c>
      <c r="C24" s="31">
        <v>5.19</v>
      </c>
      <c r="D24" s="85"/>
    </row>
    <row r="25" spans="1:4" ht="15.75" outlineLevel="1" x14ac:dyDescent="0.2">
      <c r="A25" s="31" t="s">
        <v>20</v>
      </c>
      <c r="B25" s="32" t="s">
        <v>54</v>
      </c>
      <c r="C25" s="31">
        <v>5.26</v>
      </c>
      <c r="D25" s="85"/>
    </row>
    <row r="26" spans="1:4" ht="15.75" outlineLevel="1" x14ac:dyDescent="0.2">
      <c r="A26" s="31" t="s">
        <v>20</v>
      </c>
      <c r="B26" s="32" t="s">
        <v>55</v>
      </c>
      <c r="C26" s="31">
        <v>5.27</v>
      </c>
      <c r="D26" s="85"/>
    </row>
    <row r="27" spans="1:4" ht="15.75" outlineLevel="1" x14ac:dyDescent="0.2">
      <c r="A27" s="31" t="s">
        <v>20</v>
      </c>
      <c r="B27" s="32" t="s">
        <v>69</v>
      </c>
      <c r="C27" s="31">
        <v>5.28</v>
      </c>
      <c r="D27" s="85"/>
    </row>
    <row r="28" spans="1:4" ht="15.75" outlineLevel="1" x14ac:dyDescent="0.2">
      <c r="A28" s="31" t="s">
        <v>20</v>
      </c>
      <c r="B28" s="32" t="s">
        <v>70</v>
      </c>
      <c r="C28" s="33">
        <v>5.3</v>
      </c>
      <c r="D28" s="85"/>
    </row>
    <row r="29" spans="1:4" ht="15.75" outlineLevel="1" x14ac:dyDescent="0.2">
      <c r="A29" s="31" t="s">
        <v>20</v>
      </c>
      <c r="B29" s="32" t="s">
        <v>71</v>
      </c>
      <c r="C29" s="31">
        <v>5.49</v>
      </c>
      <c r="D29" s="85"/>
    </row>
    <row r="30" spans="1:4" ht="15.75" outlineLevel="1" x14ac:dyDescent="0.2">
      <c r="A30" s="31" t="s">
        <v>20</v>
      </c>
      <c r="B30" s="32" t="s">
        <v>58</v>
      </c>
      <c r="C30" s="31">
        <v>5.51</v>
      </c>
      <c r="D30" s="85"/>
    </row>
    <row r="31" spans="1:4" ht="15.75" outlineLevel="1" x14ac:dyDescent="0.2">
      <c r="A31" s="31" t="s">
        <v>20</v>
      </c>
      <c r="B31" s="32" t="s">
        <v>59</v>
      </c>
      <c r="C31" s="31">
        <v>5.53</v>
      </c>
      <c r="D31" s="85"/>
    </row>
    <row r="32" spans="1:4" ht="15.75" outlineLevel="1" x14ac:dyDescent="0.2">
      <c r="A32" s="31" t="s">
        <v>20</v>
      </c>
      <c r="B32" s="32" t="s">
        <v>72</v>
      </c>
      <c r="C32" s="31">
        <v>5.69</v>
      </c>
      <c r="D32" s="85"/>
    </row>
    <row r="33" spans="1:4" ht="15.75" outlineLevel="1" x14ac:dyDescent="0.2">
      <c r="A33" s="31" t="s">
        <v>20</v>
      </c>
      <c r="B33" s="32" t="s">
        <v>73</v>
      </c>
      <c r="C33" s="31">
        <v>5.75</v>
      </c>
      <c r="D33" s="85"/>
    </row>
    <row r="34" spans="1:4" ht="15.75" outlineLevel="1" x14ac:dyDescent="0.2">
      <c r="A34" s="31" t="s">
        <v>20</v>
      </c>
      <c r="B34" s="32" t="s">
        <v>62</v>
      </c>
      <c r="C34" s="33">
        <v>5.7</v>
      </c>
      <c r="D34" s="85"/>
    </row>
    <row r="35" spans="1:4" ht="15.75" outlineLevel="1" x14ac:dyDescent="0.2">
      <c r="A35" s="31" t="s">
        <v>20</v>
      </c>
      <c r="B35" s="32" t="s">
        <v>74</v>
      </c>
      <c r="C35" s="31">
        <v>5.74</v>
      </c>
      <c r="D35" s="85"/>
    </row>
    <row r="36" spans="1:4" ht="15.75" outlineLevel="1" x14ac:dyDescent="0.2">
      <c r="A36" s="31" t="s">
        <v>20</v>
      </c>
      <c r="B36" s="32" t="s">
        <v>75</v>
      </c>
      <c r="C36" s="31">
        <v>5.62</v>
      </c>
      <c r="D36" s="85"/>
    </row>
    <row r="37" spans="1:4" ht="15.75" outlineLevel="1" x14ac:dyDescent="0.2">
      <c r="A37" s="31" t="s">
        <v>20</v>
      </c>
      <c r="B37" s="32" t="s">
        <v>76</v>
      </c>
      <c r="C37" s="31">
        <v>5.58</v>
      </c>
      <c r="D37" s="85"/>
    </row>
    <row r="38" spans="1:4" ht="15.75" outlineLevel="1" x14ac:dyDescent="0.2">
      <c r="A38" s="31" t="s">
        <v>20</v>
      </c>
      <c r="B38" s="32" t="s">
        <v>61</v>
      </c>
      <c r="C38" s="31">
        <v>5.54</v>
      </c>
      <c r="D38" s="85"/>
    </row>
    <row r="39" spans="1:4" ht="15.75" outlineLevel="1" x14ac:dyDescent="0.2">
      <c r="A39" s="31" t="s">
        <v>20</v>
      </c>
      <c r="B39" s="32" t="s">
        <v>77</v>
      </c>
      <c r="C39" s="31">
        <v>5.55</v>
      </c>
      <c r="D39" s="85"/>
    </row>
    <row r="40" spans="1:4" ht="15.75" outlineLevel="1" x14ac:dyDescent="0.2">
      <c r="A40" s="31" t="s">
        <v>20</v>
      </c>
      <c r="B40" s="32" t="s">
        <v>63</v>
      </c>
      <c r="C40" s="31">
        <v>5.63</v>
      </c>
      <c r="D40" s="85"/>
    </row>
    <row r="41" spans="1:4" ht="15.75" outlineLevel="1" x14ac:dyDescent="0.2">
      <c r="A41" s="31" t="s">
        <v>20</v>
      </c>
      <c r="B41" s="32" t="s">
        <v>78</v>
      </c>
      <c r="C41" s="31">
        <v>5.65</v>
      </c>
      <c r="D41" s="85"/>
    </row>
    <row r="42" spans="1:4" ht="15.75" outlineLevel="1" x14ac:dyDescent="0.2">
      <c r="A42" s="31" t="s">
        <v>20</v>
      </c>
      <c r="B42" s="32" t="s">
        <v>17</v>
      </c>
      <c r="C42" s="31">
        <v>5.68</v>
      </c>
      <c r="D42" s="85"/>
    </row>
    <row r="43" spans="1:4" ht="15.75" outlineLevel="1" x14ac:dyDescent="0.2">
      <c r="A43" s="31" t="s">
        <v>20</v>
      </c>
      <c r="B43" s="32" t="s">
        <v>79</v>
      </c>
      <c r="C43" s="31">
        <v>5.45</v>
      </c>
      <c r="D43" s="85"/>
    </row>
    <row r="44" spans="1:4" ht="15.75" outlineLevel="1" x14ac:dyDescent="0.2">
      <c r="A44" s="31" t="s">
        <v>20</v>
      </c>
      <c r="B44" s="32" t="s">
        <v>64</v>
      </c>
      <c r="C44" s="31">
        <v>5.47</v>
      </c>
      <c r="D44" s="85"/>
    </row>
    <row r="45" spans="1:4" ht="15.75" outlineLevel="1" x14ac:dyDescent="0.2">
      <c r="A45" s="31" t="s">
        <v>20</v>
      </c>
      <c r="B45" s="32" t="s">
        <v>65</v>
      </c>
      <c r="C45" s="31">
        <v>5.48</v>
      </c>
      <c r="D45" s="85"/>
    </row>
    <row r="46" spans="1:4" ht="15.75" x14ac:dyDescent="0.2">
      <c r="A46" s="36" t="s">
        <v>20</v>
      </c>
      <c r="B46" s="32"/>
      <c r="C46" s="31"/>
      <c r="D46" s="85"/>
    </row>
    <row r="47" spans="1:4" ht="15.75" outlineLevel="1" x14ac:dyDescent="0.2">
      <c r="A47" s="31" t="s">
        <v>21</v>
      </c>
      <c r="B47" s="32" t="s">
        <v>49</v>
      </c>
      <c r="C47" s="31">
        <v>5.0999999999999996</v>
      </c>
      <c r="D47" s="85"/>
    </row>
    <row r="48" spans="1:4" ht="15.75" outlineLevel="1" x14ac:dyDescent="0.2">
      <c r="A48" s="31" t="s">
        <v>21</v>
      </c>
      <c r="B48" s="32" t="s">
        <v>50</v>
      </c>
      <c r="C48" s="31">
        <v>5.2</v>
      </c>
      <c r="D48" s="85"/>
    </row>
    <row r="49" spans="1:4" ht="15.75" outlineLevel="1" x14ac:dyDescent="0.2">
      <c r="A49" s="31" t="s">
        <v>21</v>
      </c>
      <c r="B49" s="32" t="s">
        <v>66</v>
      </c>
      <c r="C49" s="31">
        <v>5.3</v>
      </c>
      <c r="D49" s="85"/>
    </row>
    <row r="50" spans="1:4" ht="15.75" outlineLevel="1" x14ac:dyDescent="0.2">
      <c r="A50" s="31" t="s">
        <v>21</v>
      </c>
      <c r="B50" s="32" t="s">
        <v>80</v>
      </c>
      <c r="C50" s="31">
        <v>5.6</v>
      </c>
      <c r="D50" s="85"/>
    </row>
    <row r="51" spans="1:4" ht="15.75" outlineLevel="1" x14ac:dyDescent="0.2">
      <c r="A51" s="31" t="s">
        <v>21</v>
      </c>
      <c r="B51" s="32" t="s">
        <v>1080</v>
      </c>
      <c r="C51" s="33">
        <v>5.0999999999999996</v>
      </c>
      <c r="D51" s="85"/>
    </row>
    <row r="52" spans="1:4" ht="15.75" outlineLevel="1" x14ac:dyDescent="0.2">
      <c r="A52" s="31" t="s">
        <v>21</v>
      </c>
      <c r="B52" s="32" t="s">
        <v>91</v>
      </c>
      <c r="C52" s="31">
        <v>5.14</v>
      </c>
      <c r="D52" s="85"/>
    </row>
    <row r="53" spans="1:4" ht="15.75" outlineLevel="1" x14ac:dyDescent="0.2">
      <c r="A53" s="31" t="s">
        <v>21</v>
      </c>
      <c r="B53" s="32" t="s">
        <v>68</v>
      </c>
      <c r="C53" s="31">
        <v>5.19</v>
      </c>
      <c r="D53" s="85"/>
    </row>
    <row r="54" spans="1:4" ht="15.75" outlineLevel="1" x14ac:dyDescent="0.2">
      <c r="A54" s="31" t="s">
        <v>21</v>
      </c>
      <c r="B54" s="32" t="s">
        <v>82</v>
      </c>
      <c r="C54" s="31">
        <v>5.24</v>
      </c>
      <c r="D54" s="85"/>
    </row>
    <row r="55" spans="1:4" ht="15.75" outlineLevel="1" x14ac:dyDescent="0.2">
      <c r="A55" s="31" t="s">
        <v>21</v>
      </c>
      <c r="B55" s="32" t="s">
        <v>54</v>
      </c>
      <c r="C55" s="31">
        <v>5.26</v>
      </c>
      <c r="D55" s="85"/>
    </row>
    <row r="56" spans="1:4" ht="15.75" outlineLevel="1" x14ac:dyDescent="0.2">
      <c r="A56" s="31" t="s">
        <v>21</v>
      </c>
      <c r="B56" s="32" t="s">
        <v>55</v>
      </c>
      <c r="C56" s="31">
        <v>5.27</v>
      </c>
      <c r="D56" s="85"/>
    </row>
    <row r="57" spans="1:4" ht="15.75" outlineLevel="1" x14ac:dyDescent="0.2">
      <c r="A57" s="31" t="s">
        <v>21</v>
      </c>
      <c r="B57" s="32" t="s">
        <v>69</v>
      </c>
      <c r="C57" s="31">
        <v>5.28</v>
      </c>
      <c r="D57" s="85"/>
    </row>
    <row r="58" spans="1:4" ht="15.75" outlineLevel="1" x14ac:dyDescent="0.2">
      <c r="A58" s="31" t="s">
        <v>21</v>
      </c>
      <c r="B58" s="32" t="s">
        <v>70</v>
      </c>
      <c r="C58" s="33">
        <v>5.3</v>
      </c>
      <c r="D58" s="85"/>
    </row>
    <row r="59" spans="1:4" ht="15.75" outlineLevel="1" x14ac:dyDescent="0.2">
      <c r="A59" s="31" t="s">
        <v>21</v>
      </c>
      <c r="B59" s="32" t="s">
        <v>83</v>
      </c>
      <c r="C59" s="31">
        <v>5.31</v>
      </c>
      <c r="D59" s="85"/>
    </row>
    <row r="60" spans="1:4" ht="15.75" outlineLevel="1" x14ac:dyDescent="0.2">
      <c r="A60" s="31" t="s">
        <v>21</v>
      </c>
      <c r="B60" s="32" t="s">
        <v>56</v>
      </c>
      <c r="C60" s="31">
        <v>5.36</v>
      </c>
      <c r="D60" s="85"/>
    </row>
    <row r="61" spans="1:4" ht="15.75" outlineLevel="1" x14ac:dyDescent="0.2">
      <c r="A61" s="31" t="s">
        <v>21</v>
      </c>
      <c r="B61" s="32" t="s">
        <v>71</v>
      </c>
      <c r="C61" s="31">
        <v>5.49</v>
      </c>
      <c r="D61" s="85"/>
    </row>
    <row r="62" spans="1:4" ht="15.75" outlineLevel="1" x14ac:dyDescent="0.2">
      <c r="A62" s="31" t="s">
        <v>21</v>
      </c>
      <c r="B62" s="32" t="s">
        <v>58</v>
      </c>
      <c r="C62" s="31">
        <v>5.51</v>
      </c>
      <c r="D62" s="85"/>
    </row>
    <row r="63" spans="1:4" ht="15.75" outlineLevel="1" x14ac:dyDescent="0.2">
      <c r="A63" s="31" t="s">
        <v>21</v>
      </c>
      <c r="B63" s="32" t="s">
        <v>1081</v>
      </c>
      <c r="C63" s="31">
        <v>5.52</v>
      </c>
      <c r="D63" s="85"/>
    </row>
    <row r="64" spans="1:4" ht="15.75" outlineLevel="1" x14ac:dyDescent="0.2">
      <c r="A64" s="31" t="s">
        <v>21</v>
      </c>
      <c r="B64" s="32" t="s">
        <v>59</v>
      </c>
      <c r="C64" s="31">
        <v>5.53</v>
      </c>
      <c r="D64" s="85"/>
    </row>
    <row r="65" spans="1:4" ht="15.75" outlineLevel="1" x14ac:dyDescent="0.2">
      <c r="A65" s="31" t="s">
        <v>21</v>
      </c>
      <c r="B65" s="32" t="s">
        <v>72</v>
      </c>
      <c r="C65" s="31">
        <v>5.69</v>
      </c>
      <c r="D65" s="85"/>
    </row>
    <row r="66" spans="1:4" ht="15.75" outlineLevel="1" x14ac:dyDescent="0.2">
      <c r="A66" s="31" t="s">
        <v>21</v>
      </c>
      <c r="B66" s="32" t="s">
        <v>85</v>
      </c>
      <c r="C66" s="33">
        <v>5.72</v>
      </c>
      <c r="D66" s="85"/>
    </row>
    <row r="67" spans="1:4" ht="15.75" outlineLevel="1" x14ac:dyDescent="0.2">
      <c r="A67" s="31" t="s">
        <v>21</v>
      </c>
      <c r="B67" s="32" t="s">
        <v>73</v>
      </c>
      <c r="C67" s="31">
        <v>5.75</v>
      </c>
      <c r="D67" s="85"/>
    </row>
    <row r="68" spans="1:4" ht="15.75" outlineLevel="1" x14ac:dyDescent="0.2">
      <c r="A68" s="31" t="s">
        <v>21</v>
      </c>
      <c r="B68" s="32" t="s">
        <v>62</v>
      </c>
      <c r="C68" s="33">
        <v>5.7</v>
      </c>
      <c r="D68" s="85"/>
    </row>
    <row r="69" spans="1:4" ht="15.75" outlineLevel="1" x14ac:dyDescent="0.2">
      <c r="A69" s="31" t="s">
        <v>21</v>
      </c>
      <c r="B69" s="32" t="s">
        <v>74</v>
      </c>
      <c r="C69" s="31">
        <v>5.74</v>
      </c>
      <c r="D69" s="85"/>
    </row>
    <row r="70" spans="1:4" ht="15.75" outlineLevel="1" x14ac:dyDescent="0.2">
      <c r="A70" s="31" t="s">
        <v>21</v>
      </c>
      <c r="B70" s="32" t="s">
        <v>86</v>
      </c>
      <c r="C70" s="31">
        <v>5.76</v>
      </c>
      <c r="D70" s="85"/>
    </row>
    <row r="71" spans="1:4" ht="15.75" outlineLevel="1" x14ac:dyDescent="0.2">
      <c r="A71" s="31" t="s">
        <v>21</v>
      </c>
      <c r="B71" s="32" t="s">
        <v>87</v>
      </c>
      <c r="C71" s="31">
        <v>5.89</v>
      </c>
      <c r="D71" s="191" t="s">
        <v>2690</v>
      </c>
    </row>
    <row r="72" spans="1:4" ht="15.75" outlineLevel="1" x14ac:dyDescent="0.2">
      <c r="A72" s="31" t="s">
        <v>21</v>
      </c>
      <c r="B72" s="32" t="s">
        <v>76</v>
      </c>
      <c r="C72" s="31">
        <v>5.58</v>
      </c>
      <c r="D72" s="85"/>
    </row>
    <row r="73" spans="1:4" ht="15.75" outlineLevel="1" x14ac:dyDescent="0.2">
      <c r="A73" s="31" t="s">
        <v>21</v>
      </c>
      <c r="B73" s="32" t="s">
        <v>75</v>
      </c>
      <c r="C73" s="31">
        <v>5.62</v>
      </c>
      <c r="D73" s="85"/>
    </row>
    <row r="74" spans="1:4" ht="15.75" outlineLevel="1" x14ac:dyDescent="0.2">
      <c r="A74" s="31" t="s">
        <v>21</v>
      </c>
      <c r="B74" s="32" t="s">
        <v>61</v>
      </c>
      <c r="C74" s="31">
        <v>5.54</v>
      </c>
      <c r="D74" s="85"/>
    </row>
    <row r="75" spans="1:4" ht="15.75" outlineLevel="1" x14ac:dyDescent="0.2">
      <c r="A75" s="31" t="s">
        <v>21</v>
      </c>
      <c r="B75" s="32" t="s">
        <v>77</v>
      </c>
      <c r="C75" s="31">
        <v>5.55</v>
      </c>
      <c r="D75" s="85"/>
    </row>
    <row r="76" spans="1:4" ht="15.75" outlineLevel="1" x14ac:dyDescent="0.2">
      <c r="A76" s="31" t="s">
        <v>21</v>
      </c>
      <c r="B76" s="32" t="s">
        <v>63</v>
      </c>
      <c r="C76" s="31">
        <v>5.63</v>
      </c>
      <c r="D76" s="85"/>
    </row>
    <row r="77" spans="1:4" ht="15.75" outlineLevel="1" x14ac:dyDescent="0.2">
      <c r="A77" s="31" t="s">
        <v>21</v>
      </c>
      <c r="B77" s="32" t="s">
        <v>78</v>
      </c>
      <c r="C77" s="31">
        <v>5.65</v>
      </c>
      <c r="D77" s="85"/>
    </row>
    <row r="78" spans="1:4" ht="15.75" outlineLevel="1" x14ac:dyDescent="0.2">
      <c r="A78" s="31" t="s">
        <v>21</v>
      </c>
      <c r="B78" s="32" t="s">
        <v>88</v>
      </c>
      <c r="C78" s="31">
        <v>5.66</v>
      </c>
      <c r="D78" s="85"/>
    </row>
    <row r="79" spans="1:4" ht="15.75" outlineLevel="1" x14ac:dyDescent="0.2">
      <c r="A79" s="31" t="s">
        <v>21</v>
      </c>
      <c r="B79" s="32" t="s">
        <v>17</v>
      </c>
      <c r="C79" s="31">
        <v>5.68</v>
      </c>
      <c r="D79" s="85"/>
    </row>
    <row r="80" spans="1:4" ht="15.75" outlineLevel="1" x14ac:dyDescent="0.2">
      <c r="A80" s="31" t="s">
        <v>21</v>
      </c>
      <c r="B80" s="32" t="s">
        <v>79</v>
      </c>
      <c r="C80" s="31">
        <v>5.45</v>
      </c>
      <c r="D80" s="85"/>
    </row>
    <row r="81" spans="1:4" ht="15.75" outlineLevel="1" x14ac:dyDescent="0.2">
      <c r="A81" s="31" t="s">
        <v>21</v>
      </c>
      <c r="B81" s="32" t="s">
        <v>64</v>
      </c>
      <c r="C81" s="31">
        <v>5.47</v>
      </c>
      <c r="D81" s="85"/>
    </row>
    <row r="82" spans="1:4" ht="15.75" outlineLevel="1" x14ac:dyDescent="0.2">
      <c r="A82" s="31" t="s">
        <v>21</v>
      </c>
      <c r="B82" s="32" t="s">
        <v>65</v>
      </c>
      <c r="C82" s="31">
        <v>5.48</v>
      </c>
      <c r="D82" s="85"/>
    </row>
    <row r="83" spans="1:4" ht="15.75" x14ac:dyDescent="0.2">
      <c r="A83" s="36" t="s">
        <v>21</v>
      </c>
      <c r="B83" s="32"/>
      <c r="C83" s="31"/>
      <c r="D83" s="85"/>
    </row>
    <row r="84" spans="1:4" ht="15.75" outlineLevel="1" x14ac:dyDescent="0.2">
      <c r="A84" s="31" t="s">
        <v>22</v>
      </c>
      <c r="B84" s="32" t="s">
        <v>49</v>
      </c>
      <c r="C84" s="31">
        <v>5.0999999999999996</v>
      </c>
      <c r="D84" s="85"/>
    </row>
    <row r="85" spans="1:4" ht="15.75" outlineLevel="1" x14ac:dyDescent="0.2">
      <c r="A85" s="31" t="s">
        <v>22</v>
      </c>
      <c r="B85" s="32" t="s">
        <v>50</v>
      </c>
      <c r="C85" s="31">
        <v>5.2</v>
      </c>
      <c r="D85" s="85"/>
    </row>
    <row r="86" spans="1:4" ht="15.75" outlineLevel="1" x14ac:dyDescent="0.2">
      <c r="A86" s="31" t="s">
        <v>22</v>
      </c>
      <c r="B86" s="32" t="s">
        <v>66</v>
      </c>
      <c r="C86" s="31">
        <v>5.3</v>
      </c>
      <c r="D86" s="85"/>
    </row>
    <row r="87" spans="1:4" ht="15.75" outlineLevel="1" x14ac:dyDescent="0.2">
      <c r="A87" s="31" t="s">
        <v>22</v>
      </c>
      <c r="B87" s="32" t="s">
        <v>80</v>
      </c>
      <c r="C87" s="31">
        <v>5.6</v>
      </c>
      <c r="D87" s="85"/>
    </row>
    <row r="88" spans="1:4" ht="15.75" outlineLevel="1" x14ac:dyDescent="0.2">
      <c r="A88" s="31" t="s">
        <v>22</v>
      </c>
      <c r="B88" s="32" t="s">
        <v>1080</v>
      </c>
      <c r="C88" s="33">
        <v>5.0999999999999996</v>
      </c>
      <c r="D88" s="85"/>
    </row>
    <row r="89" spans="1:4" ht="15.75" outlineLevel="1" x14ac:dyDescent="0.2">
      <c r="A89" s="31" t="s">
        <v>22</v>
      </c>
      <c r="B89" s="32" t="s">
        <v>91</v>
      </c>
      <c r="C89" s="31">
        <v>5.14</v>
      </c>
      <c r="D89" s="85"/>
    </row>
    <row r="90" spans="1:4" ht="15.75" outlineLevel="1" x14ac:dyDescent="0.2">
      <c r="A90" s="31" t="s">
        <v>22</v>
      </c>
      <c r="B90" s="32" t="s">
        <v>68</v>
      </c>
      <c r="C90" s="31">
        <v>5.19</v>
      </c>
      <c r="D90" s="85"/>
    </row>
    <row r="91" spans="1:4" ht="15.75" outlineLevel="1" x14ac:dyDescent="0.2">
      <c r="A91" s="31" t="s">
        <v>22</v>
      </c>
      <c r="B91" s="32" t="s">
        <v>82</v>
      </c>
      <c r="C91" s="31">
        <v>5.24</v>
      </c>
      <c r="D91" s="85"/>
    </row>
    <row r="92" spans="1:4" ht="15.75" outlineLevel="1" x14ac:dyDescent="0.2">
      <c r="A92" s="31" t="s">
        <v>22</v>
      </c>
      <c r="B92" s="32" t="s">
        <v>54</v>
      </c>
      <c r="C92" s="31">
        <v>5.26</v>
      </c>
      <c r="D92" s="85"/>
    </row>
    <row r="93" spans="1:4" ht="15.75" outlineLevel="1" x14ac:dyDescent="0.2">
      <c r="A93" s="31" t="s">
        <v>22</v>
      </c>
      <c r="B93" s="32" t="s">
        <v>55</v>
      </c>
      <c r="C93" s="31">
        <v>5.27</v>
      </c>
      <c r="D93" s="85"/>
    </row>
    <row r="94" spans="1:4" ht="15.75" outlineLevel="1" x14ac:dyDescent="0.2">
      <c r="A94" s="31" t="s">
        <v>22</v>
      </c>
      <c r="B94" s="32" t="s">
        <v>69</v>
      </c>
      <c r="C94" s="31">
        <v>5.28</v>
      </c>
      <c r="D94" s="85"/>
    </row>
    <row r="95" spans="1:4" ht="15.75" outlineLevel="1" x14ac:dyDescent="0.2">
      <c r="A95" s="31" t="s">
        <v>22</v>
      </c>
      <c r="B95" s="32" t="s">
        <v>89</v>
      </c>
      <c r="C95" s="31">
        <v>5.29</v>
      </c>
      <c r="D95" s="85"/>
    </row>
    <row r="96" spans="1:4" ht="15.75" outlineLevel="1" x14ac:dyDescent="0.2">
      <c r="A96" s="31" t="s">
        <v>22</v>
      </c>
      <c r="B96" s="32" t="s">
        <v>70</v>
      </c>
      <c r="C96" s="33">
        <v>5.3</v>
      </c>
      <c r="D96" s="85"/>
    </row>
    <row r="97" spans="1:4" ht="15.75" outlineLevel="1" x14ac:dyDescent="0.2">
      <c r="A97" s="31" t="s">
        <v>22</v>
      </c>
      <c r="B97" s="32" t="s">
        <v>83</v>
      </c>
      <c r="C97" s="31">
        <v>5.31</v>
      </c>
      <c r="D97" s="85"/>
    </row>
    <row r="98" spans="1:4" ht="15.75" outlineLevel="1" x14ac:dyDescent="0.2">
      <c r="A98" s="31" t="s">
        <v>22</v>
      </c>
      <c r="B98" s="32" t="s">
        <v>56</v>
      </c>
      <c r="C98" s="31">
        <v>5.36</v>
      </c>
      <c r="D98" s="85"/>
    </row>
    <row r="99" spans="1:4" ht="15.75" outlineLevel="1" x14ac:dyDescent="0.2">
      <c r="A99" s="31" t="s">
        <v>22</v>
      </c>
      <c r="B99" s="32" t="s">
        <v>71</v>
      </c>
      <c r="C99" s="31">
        <v>5.49</v>
      </c>
      <c r="D99" s="85"/>
    </row>
    <row r="100" spans="1:4" ht="15.75" outlineLevel="1" x14ac:dyDescent="0.2">
      <c r="A100" s="31" t="s">
        <v>22</v>
      </c>
      <c r="B100" s="32" t="s">
        <v>58</v>
      </c>
      <c r="C100" s="31">
        <v>5.51</v>
      </c>
      <c r="D100" s="85"/>
    </row>
    <row r="101" spans="1:4" ht="15.75" outlineLevel="1" x14ac:dyDescent="0.2">
      <c r="A101" s="31" t="s">
        <v>22</v>
      </c>
      <c r="B101" s="32" t="s">
        <v>1081</v>
      </c>
      <c r="C101" s="31">
        <v>5.52</v>
      </c>
      <c r="D101" s="85"/>
    </row>
    <row r="102" spans="1:4" ht="15.75" outlineLevel="1" x14ac:dyDescent="0.2">
      <c r="A102" s="31" t="s">
        <v>22</v>
      </c>
      <c r="B102" s="32" t="s">
        <v>59</v>
      </c>
      <c r="C102" s="31">
        <v>5.53</v>
      </c>
      <c r="D102" s="85"/>
    </row>
    <row r="103" spans="1:4" ht="15.75" outlineLevel="1" x14ac:dyDescent="0.2">
      <c r="A103" s="31" t="s">
        <v>22</v>
      </c>
      <c r="B103" s="32" t="s">
        <v>72</v>
      </c>
      <c r="C103" s="31">
        <v>5.69</v>
      </c>
      <c r="D103" s="85"/>
    </row>
    <row r="104" spans="1:4" ht="15.75" outlineLevel="1" x14ac:dyDescent="0.2">
      <c r="A104" s="31" t="s">
        <v>22</v>
      </c>
      <c r="B104" s="32" t="s">
        <v>73</v>
      </c>
      <c r="C104" s="31">
        <v>5.75</v>
      </c>
      <c r="D104" s="85"/>
    </row>
    <row r="105" spans="1:4" ht="15.75" outlineLevel="1" x14ac:dyDescent="0.2">
      <c r="A105" s="31" t="s">
        <v>22</v>
      </c>
      <c r="B105" s="32" t="s">
        <v>62</v>
      </c>
      <c r="C105" s="33">
        <v>5.7</v>
      </c>
      <c r="D105" s="85"/>
    </row>
    <row r="106" spans="1:4" ht="15.75" outlineLevel="1" x14ac:dyDescent="0.2">
      <c r="A106" s="31" t="s">
        <v>22</v>
      </c>
      <c r="B106" s="32" t="s">
        <v>74</v>
      </c>
      <c r="C106" s="31">
        <v>5.74</v>
      </c>
      <c r="D106" s="85"/>
    </row>
    <row r="107" spans="1:4" ht="15.75" outlineLevel="1" x14ac:dyDescent="0.2">
      <c r="A107" s="31" t="s">
        <v>22</v>
      </c>
      <c r="B107" s="32" t="s">
        <v>86</v>
      </c>
      <c r="C107" s="31">
        <v>5.76</v>
      </c>
      <c r="D107" s="85"/>
    </row>
    <row r="108" spans="1:4" ht="15.75" outlineLevel="1" x14ac:dyDescent="0.2">
      <c r="A108" s="31" t="s">
        <v>22</v>
      </c>
      <c r="B108" s="32" t="s">
        <v>87</v>
      </c>
      <c r="C108" s="31">
        <v>5.89</v>
      </c>
      <c r="D108" s="191" t="s">
        <v>2690</v>
      </c>
    </row>
    <row r="109" spans="1:4" ht="15.75" outlineLevel="1" x14ac:dyDescent="0.2">
      <c r="A109" s="31" t="s">
        <v>22</v>
      </c>
      <c r="B109" s="32" t="s">
        <v>76</v>
      </c>
      <c r="C109" s="31">
        <v>5.58</v>
      </c>
      <c r="D109" s="85"/>
    </row>
    <row r="110" spans="1:4" ht="15.75" outlineLevel="1" x14ac:dyDescent="0.2">
      <c r="A110" s="31" t="s">
        <v>22</v>
      </c>
      <c r="B110" s="32" t="s">
        <v>75</v>
      </c>
      <c r="C110" s="31">
        <v>5.62</v>
      </c>
      <c r="D110" s="85"/>
    </row>
    <row r="111" spans="1:4" ht="15.75" outlineLevel="1" x14ac:dyDescent="0.2">
      <c r="A111" s="31" t="s">
        <v>22</v>
      </c>
      <c r="B111" s="32" t="s">
        <v>61</v>
      </c>
      <c r="C111" s="31">
        <v>5.54</v>
      </c>
      <c r="D111" s="85"/>
    </row>
    <row r="112" spans="1:4" ht="15.75" outlineLevel="1" x14ac:dyDescent="0.2">
      <c r="A112" s="31" t="s">
        <v>22</v>
      </c>
      <c r="B112" s="32" t="s">
        <v>77</v>
      </c>
      <c r="C112" s="31">
        <v>5.55</v>
      </c>
      <c r="D112" s="85"/>
    </row>
    <row r="113" spans="1:4" ht="15.75" outlineLevel="1" x14ac:dyDescent="0.2">
      <c r="A113" s="31" t="s">
        <v>22</v>
      </c>
      <c r="B113" s="32" t="s">
        <v>78</v>
      </c>
      <c r="C113" s="31">
        <v>5.65</v>
      </c>
      <c r="D113" s="85"/>
    </row>
    <row r="114" spans="1:4" ht="15.75" outlineLevel="1" x14ac:dyDescent="0.2">
      <c r="A114" s="31" t="s">
        <v>22</v>
      </c>
      <c r="B114" s="32" t="s">
        <v>88</v>
      </c>
      <c r="C114" s="31">
        <v>5.66</v>
      </c>
      <c r="D114" s="85"/>
    </row>
    <row r="115" spans="1:4" ht="15.75" outlineLevel="1" x14ac:dyDescent="0.2">
      <c r="A115" s="31" t="s">
        <v>22</v>
      </c>
      <c r="B115" s="32" t="s">
        <v>17</v>
      </c>
      <c r="C115" s="31">
        <v>5.68</v>
      </c>
      <c r="D115" s="85"/>
    </row>
    <row r="116" spans="1:4" ht="15.75" outlineLevel="1" x14ac:dyDescent="0.2">
      <c r="A116" s="31" t="s">
        <v>22</v>
      </c>
      <c r="B116" s="32" t="s">
        <v>79</v>
      </c>
      <c r="C116" s="31">
        <v>5.45</v>
      </c>
      <c r="D116" s="85"/>
    </row>
    <row r="117" spans="1:4" ht="15.75" outlineLevel="1" x14ac:dyDescent="0.2">
      <c r="A117" s="31" t="s">
        <v>22</v>
      </c>
      <c r="B117" s="32" t="s">
        <v>64</v>
      </c>
      <c r="C117" s="31">
        <v>5.47</v>
      </c>
      <c r="D117" s="85"/>
    </row>
    <row r="118" spans="1:4" ht="15.75" outlineLevel="1" x14ac:dyDescent="0.2">
      <c r="A118" s="31" t="s">
        <v>22</v>
      </c>
      <c r="B118" s="32" t="s">
        <v>65</v>
      </c>
      <c r="C118" s="31">
        <v>5.48</v>
      </c>
      <c r="D118" s="85"/>
    </row>
    <row r="119" spans="1:4" ht="15.75" x14ac:dyDescent="0.2">
      <c r="A119" s="36" t="s">
        <v>22</v>
      </c>
      <c r="B119" s="32"/>
      <c r="C119" s="31"/>
      <c r="D119" s="85"/>
    </row>
    <row r="120" spans="1:4" ht="15.75" outlineLevel="1" x14ac:dyDescent="0.2">
      <c r="A120" s="31" t="s">
        <v>1082</v>
      </c>
      <c r="B120" s="32" t="s">
        <v>49</v>
      </c>
      <c r="C120" s="31">
        <v>5.0999999999999996</v>
      </c>
      <c r="D120" s="85"/>
    </row>
    <row r="121" spans="1:4" ht="15.75" outlineLevel="1" x14ac:dyDescent="0.2">
      <c r="A121" s="31" t="s">
        <v>1082</v>
      </c>
      <c r="B121" s="32" t="s">
        <v>50</v>
      </c>
      <c r="C121" s="31">
        <v>5.2</v>
      </c>
      <c r="D121" s="85"/>
    </row>
    <row r="122" spans="1:4" ht="15.75" outlineLevel="1" x14ac:dyDescent="0.2">
      <c r="A122" s="31" t="s">
        <v>1082</v>
      </c>
      <c r="B122" s="32" t="s">
        <v>66</v>
      </c>
      <c r="C122" s="31">
        <v>5.3</v>
      </c>
      <c r="D122" s="85"/>
    </row>
    <row r="123" spans="1:4" ht="15.75" outlineLevel="1" x14ac:dyDescent="0.2">
      <c r="A123" s="31" t="s">
        <v>1082</v>
      </c>
      <c r="B123" s="32" t="s">
        <v>80</v>
      </c>
      <c r="C123" s="31">
        <v>5.6</v>
      </c>
      <c r="D123" s="85"/>
    </row>
    <row r="124" spans="1:4" ht="15.75" outlineLevel="1" x14ac:dyDescent="0.2">
      <c r="A124" s="31" t="s">
        <v>1082</v>
      </c>
      <c r="B124" s="32" t="s">
        <v>1080</v>
      </c>
      <c r="C124" s="33">
        <v>5.0999999999999996</v>
      </c>
      <c r="D124" s="85"/>
    </row>
    <row r="125" spans="1:4" ht="15.75" outlineLevel="1" x14ac:dyDescent="0.2">
      <c r="A125" s="31" t="s">
        <v>1082</v>
      </c>
      <c r="B125" s="32" t="s">
        <v>91</v>
      </c>
      <c r="C125" s="31">
        <v>5.14</v>
      </c>
      <c r="D125" s="85"/>
    </row>
    <row r="126" spans="1:4" ht="15.75" outlineLevel="1" x14ac:dyDescent="0.2">
      <c r="A126" s="31" t="s">
        <v>1082</v>
      </c>
      <c r="B126" s="32" t="s">
        <v>68</v>
      </c>
      <c r="C126" s="31">
        <v>5.19</v>
      </c>
      <c r="D126" s="85"/>
    </row>
    <row r="127" spans="1:4" ht="15.75" outlineLevel="1" x14ac:dyDescent="0.2">
      <c r="A127" s="31" t="s">
        <v>1082</v>
      </c>
      <c r="B127" s="32" t="s">
        <v>82</v>
      </c>
      <c r="C127" s="31">
        <v>5.24</v>
      </c>
      <c r="D127" s="85"/>
    </row>
    <row r="128" spans="1:4" ht="15.75" outlineLevel="1" x14ac:dyDescent="0.2">
      <c r="A128" s="31" t="s">
        <v>1082</v>
      </c>
      <c r="B128" s="32" t="s">
        <v>54</v>
      </c>
      <c r="C128" s="31">
        <v>5.26</v>
      </c>
      <c r="D128" s="85"/>
    </row>
    <row r="129" spans="1:4" ht="15.75" outlineLevel="1" x14ac:dyDescent="0.2">
      <c r="A129" s="31" t="s">
        <v>1082</v>
      </c>
      <c r="B129" s="32" t="s">
        <v>55</v>
      </c>
      <c r="C129" s="31">
        <v>5.27</v>
      </c>
      <c r="D129" s="85"/>
    </row>
    <row r="130" spans="1:4" ht="15.75" outlineLevel="1" x14ac:dyDescent="0.2">
      <c r="A130" s="31" t="s">
        <v>1082</v>
      </c>
      <c r="B130" s="32" t="s">
        <v>69</v>
      </c>
      <c r="C130" s="31">
        <v>5.28</v>
      </c>
      <c r="D130" s="85"/>
    </row>
    <row r="131" spans="1:4" ht="15.75" outlineLevel="1" x14ac:dyDescent="0.2">
      <c r="A131" s="31" t="s">
        <v>1082</v>
      </c>
      <c r="B131" s="32" t="s">
        <v>89</v>
      </c>
      <c r="C131" s="31">
        <v>5.29</v>
      </c>
      <c r="D131" s="85"/>
    </row>
    <row r="132" spans="1:4" ht="15.75" outlineLevel="1" x14ac:dyDescent="0.2">
      <c r="A132" s="31" t="s">
        <v>1082</v>
      </c>
      <c r="B132" s="32" t="s">
        <v>70</v>
      </c>
      <c r="C132" s="33">
        <v>5.3</v>
      </c>
      <c r="D132" s="85"/>
    </row>
    <row r="133" spans="1:4" ht="15.75" outlineLevel="1" x14ac:dyDescent="0.2">
      <c r="A133" s="31" t="s">
        <v>1082</v>
      </c>
      <c r="B133" s="32" t="s">
        <v>83</v>
      </c>
      <c r="C133" s="31">
        <v>5.31</v>
      </c>
      <c r="D133" s="85"/>
    </row>
    <row r="134" spans="1:4" ht="15.75" outlineLevel="1" x14ac:dyDescent="0.2">
      <c r="A134" s="31" t="s">
        <v>1082</v>
      </c>
      <c r="B134" s="32" t="s">
        <v>56</v>
      </c>
      <c r="C134" s="31">
        <v>5.36</v>
      </c>
      <c r="D134" s="85"/>
    </row>
    <row r="135" spans="1:4" ht="15.75" outlineLevel="1" x14ac:dyDescent="0.2">
      <c r="A135" s="31" t="s">
        <v>1082</v>
      </c>
      <c r="B135" s="32" t="s">
        <v>59</v>
      </c>
      <c r="C135" s="31">
        <v>5.53</v>
      </c>
      <c r="D135" s="85"/>
    </row>
    <row r="136" spans="1:4" ht="15.75" outlineLevel="1" x14ac:dyDescent="0.2">
      <c r="A136" s="31" t="s">
        <v>1082</v>
      </c>
      <c r="B136" s="32" t="s">
        <v>76</v>
      </c>
      <c r="C136" s="31">
        <v>5.58</v>
      </c>
      <c r="D136" s="85"/>
    </row>
    <row r="137" spans="1:4" ht="15.75" outlineLevel="1" x14ac:dyDescent="0.2">
      <c r="A137" s="31" t="s">
        <v>1082</v>
      </c>
      <c r="B137" s="32" t="s">
        <v>75</v>
      </c>
      <c r="C137" s="31">
        <v>5.62</v>
      </c>
      <c r="D137" s="85"/>
    </row>
    <row r="138" spans="1:4" ht="15.75" outlineLevel="1" x14ac:dyDescent="0.2">
      <c r="A138" s="31" t="s">
        <v>1082</v>
      </c>
      <c r="B138" s="32" t="s">
        <v>61</v>
      </c>
      <c r="C138" s="31">
        <v>5.54</v>
      </c>
      <c r="D138" s="85"/>
    </row>
    <row r="139" spans="1:4" ht="15.75" outlineLevel="1" x14ac:dyDescent="0.2">
      <c r="A139" s="31" t="s">
        <v>1082</v>
      </c>
      <c r="B139" s="32" t="s">
        <v>77</v>
      </c>
      <c r="C139" s="31">
        <v>5.55</v>
      </c>
      <c r="D139" s="85"/>
    </row>
    <row r="140" spans="1:4" ht="15.75" outlineLevel="1" x14ac:dyDescent="0.2">
      <c r="A140" s="31" t="s">
        <v>1082</v>
      </c>
      <c r="B140" s="32" t="s">
        <v>63</v>
      </c>
      <c r="C140" s="31">
        <v>5.63</v>
      </c>
      <c r="D140" s="85"/>
    </row>
    <row r="141" spans="1:4" ht="15.75" outlineLevel="1" x14ac:dyDescent="0.2">
      <c r="A141" s="31" t="s">
        <v>1082</v>
      </c>
      <c r="B141" s="32" t="s">
        <v>79</v>
      </c>
      <c r="C141" s="31">
        <v>5.45</v>
      </c>
      <c r="D141" s="85"/>
    </row>
    <row r="142" spans="1:4" ht="15.75" outlineLevel="1" x14ac:dyDescent="0.2">
      <c r="A142" s="31" t="s">
        <v>1082</v>
      </c>
      <c r="B142" s="32" t="s">
        <v>64</v>
      </c>
      <c r="C142" s="31">
        <v>5.47</v>
      </c>
      <c r="D142" s="85"/>
    </row>
    <row r="143" spans="1:4" ht="15.75" outlineLevel="1" x14ac:dyDescent="0.2">
      <c r="A143" s="31" t="s">
        <v>1082</v>
      </c>
      <c r="B143" s="32" t="s">
        <v>65</v>
      </c>
      <c r="C143" s="31">
        <v>5.48</v>
      </c>
      <c r="D143" s="85"/>
    </row>
    <row r="144" spans="1:4" ht="15.75" x14ac:dyDescent="0.2">
      <c r="A144" s="36" t="s">
        <v>1082</v>
      </c>
      <c r="B144" s="32"/>
      <c r="C144" s="31"/>
      <c r="D144" s="85"/>
    </row>
    <row r="145" spans="1:4" ht="15.75" outlineLevel="1" x14ac:dyDescent="0.2">
      <c r="A145" s="31" t="s">
        <v>24</v>
      </c>
      <c r="B145" s="32" t="s">
        <v>49</v>
      </c>
      <c r="C145" s="31">
        <v>5.0999999999999996</v>
      </c>
      <c r="D145" s="85"/>
    </row>
    <row r="146" spans="1:4" ht="15.75" outlineLevel="1" x14ac:dyDescent="0.2">
      <c r="A146" s="31" t="s">
        <v>24</v>
      </c>
      <c r="B146" s="32" t="s">
        <v>50</v>
      </c>
      <c r="C146" s="31">
        <v>5.2</v>
      </c>
      <c r="D146" s="85"/>
    </row>
    <row r="147" spans="1:4" ht="15.75" outlineLevel="1" x14ac:dyDescent="0.2">
      <c r="A147" s="31" t="s">
        <v>24</v>
      </c>
      <c r="B147" s="32" t="s">
        <v>66</v>
      </c>
      <c r="C147" s="31">
        <v>5.3</v>
      </c>
      <c r="D147" s="85"/>
    </row>
    <row r="148" spans="1:4" ht="15.75" outlineLevel="1" x14ac:dyDescent="0.2">
      <c r="A148" s="31" t="s">
        <v>24</v>
      </c>
      <c r="B148" s="32" t="s">
        <v>80</v>
      </c>
      <c r="C148" s="31">
        <v>5.6</v>
      </c>
      <c r="D148" s="85"/>
    </row>
    <row r="149" spans="1:4" ht="15.75" outlineLevel="1" x14ac:dyDescent="0.2">
      <c r="A149" s="31" t="s">
        <v>24</v>
      </c>
      <c r="B149" s="32" t="s">
        <v>1080</v>
      </c>
      <c r="C149" s="33">
        <v>5.0999999999999996</v>
      </c>
      <c r="D149" s="85"/>
    </row>
    <row r="150" spans="1:4" ht="15.75" outlineLevel="1" x14ac:dyDescent="0.2">
      <c r="A150" s="31" t="s">
        <v>24</v>
      </c>
      <c r="B150" s="32" t="s">
        <v>91</v>
      </c>
      <c r="C150" s="31">
        <v>5.14</v>
      </c>
      <c r="D150" s="85"/>
    </row>
    <row r="151" spans="1:4" ht="15.75" outlineLevel="1" x14ac:dyDescent="0.2">
      <c r="A151" s="31" t="s">
        <v>24</v>
      </c>
      <c r="B151" s="32" t="s">
        <v>68</v>
      </c>
      <c r="C151" s="31">
        <v>5.19</v>
      </c>
      <c r="D151" s="85"/>
    </row>
    <row r="152" spans="1:4" ht="15.75" outlineLevel="1" x14ac:dyDescent="0.2">
      <c r="A152" s="31" t="s">
        <v>24</v>
      </c>
      <c r="B152" s="32" t="s">
        <v>82</v>
      </c>
      <c r="C152" s="31">
        <v>5.24</v>
      </c>
      <c r="D152" s="85"/>
    </row>
    <row r="153" spans="1:4" ht="15.75" outlineLevel="1" x14ac:dyDescent="0.2">
      <c r="A153" s="31" t="s">
        <v>24</v>
      </c>
      <c r="B153" s="32" t="s">
        <v>54</v>
      </c>
      <c r="C153" s="31">
        <v>5.26</v>
      </c>
      <c r="D153" s="85"/>
    </row>
    <row r="154" spans="1:4" ht="15.75" outlineLevel="1" x14ac:dyDescent="0.2">
      <c r="A154" s="31" t="s">
        <v>24</v>
      </c>
      <c r="B154" s="32" t="s">
        <v>55</v>
      </c>
      <c r="C154" s="31">
        <v>5.27</v>
      </c>
      <c r="D154" s="85"/>
    </row>
    <row r="155" spans="1:4" ht="15.75" outlineLevel="1" x14ac:dyDescent="0.2">
      <c r="A155" s="31" t="s">
        <v>24</v>
      </c>
      <c r="B155" s="32" t="s">
        <v>69</v>
      </c>
      <c r="C155" s="31">
        <v>5.28</v>
      </c>
      <c r="D155" s="85"/>
    </row>
    <row r="156" spans="1:4" ht="15.75" outlineLevel="1" x14ac:dyDescent="0.2">
      <c r="A156" s="31" t="s">
        <v>24</v>
      </c>
      <c r="B156" s="32" t="s">
        <v>70</v>
      </c>
      <c r="C156" s="33">
        <v>5.3</v>
      </c>
      <c r="D156" s="85"/>
    </row>
    <row r="157" spans="1:4" ht="15.75" outlineLevel="1" x14ac:dyDescent="0.2">
      <c r="A157" s="31" t="s">
        <v>24</v>
      </c>
      <c r="B157" s="32" t="s">
        <v>90</v>
      </c>
      <c r="C157" s="31">
        <v>5.32</v>
      </c>
      <c r="D157" s="85"/>
    </row>
    <row r="158" spans="1:4" ht="15.75" outlineLevel="1" x14ac:dyDescent="0.2">
      <c r="A158" s="31" t="s">
        <v>24</v>
      </c>
      <c r="B158" s="32" t="s">
        <v>56</v>
      </c>
      <c r="C158" s="31">
        <v>5.36</v>
      </c>
      <c r="D158" s="85"/>
    </row>
    <row r="159" spans="1:4" ht="15.75" outlineLevel="1" x14ac:dyDescent="0.2">
      <c r="A159" s="31" t="s">
        <v>24</v>
      </c>
      <c r="B159" s="32" t="s">
        <v>59</v>
      </c>
      <c r="C159" s="31">
        <v>5.53</v>
      </c>
      <c r="D159" s="85"/>
    </row>
    <row r="160" spans="1:4" ht="15.75" outlineLevel="1" x14ac:dyDescent="0.2">
      <c r="A160" s="31" t="s">
        <v>24</v>
      </c>
      <c r="B160" s="32" t="s">
        <v>76</v>
      </c>
      <c r="C160" s="31">
        <v>5.58</v>
      </c>
      <c r="D160" s="85"/>
    </row>
    <row r="161" spans="1:5" ht="15.75" outlineLevel="1" x14ac:dyDescent="0.2">
      <c r="A161" s="31" t="s">
        <v>24</v>
      </c>
      <c r="B161" s="32" t="s">
        <v>61</v>
      </c>
      <c r="C161" s="31">
        <v>5.54</v>
      </c>
      <c r="D161" s="85"/>
    </row>
    <row r="162" spans="1:5" ht="15.75" outlineLevel="1" x14ac:dyDescent="0.2">
      <c r="A162" s="31" t="s">
        <v>24</v>
      </c>
      <c r="B162" s="32" t="s">
        <v>77</v>
      </c>
      <c r="C162" s="31">
        <v>5.55</v>
      </c>
      <c r="D162" s="85"/>
    </row>
    <row r="163" spans="1:5" ht="15.75" outlineLevel="1" x14ac:dyDescent="0.2">
      <c r="A163" s="31" t="s">
        <v>24</v>
      </c>
      <c r="B163" s="32" t="s">
        <v>75</v>
      </c>
      <c r="C163" s="31">
        <v>5.62</v>
      </c>
      <c r="D163" s="85"/>
      <c r="E163" t="s">
        <v>1083</v>
      </c>
    </row>
    <row r="164" spans="1:5" ht="15.75" outlineLevel="1" x14ac:dyDescent="0.2">
      <c r="A164" s="31" t="s">
        <v>24</v>
      </c>
      <c r="B164" s="32" t="s">
        <v>63</v>
      </c>
      <c r="C164" s="31">
        <v>5.63</v>
      </c>
      <c r="D164" s="85"/>
    </row>
    <row r="165" spans="1:5" ht="15.75" outlineLevel="1" x14ac:dyDescent="0.2">
      <c r="A165" s="31" t="s">
        <v>24</v>
      </c>
      <c r="B165" s="32" t="s">
        <v>79</v>
      </c>
      <c r="C165" s="31">
        <v>5.45</v>
      </c>
      <c r="D165" s="85"/>
    </row>
    <row r="166" spans="1:5" ht="15.75" outlineLevel="1" x14ac:dyDescent="0.2">
      <c r="A166" s="31" t="s">
        <v>24</v>
      </c>
      <c r="B166" s="32" t="s">
        <v>64</v>
      </c>
      <c r="C166" s="31">
        <v>5.47</v>
      </c>
      <c r="D166" s="85"/>
    </row>
    <row r="167" spans="1:5" ht="15.75" outlineLevel="1" x14ac:dyDescent="0.2">
      <c r="A167" s="31" t="s">
        <v>24</v>
      </c>
      <c r="B167" s="32" t="s">
        <v>65</v>
      </c>
      <c r="C167" s="31">
        <v>5.48</v>
      </c>
      <c r="D167" s="85"/>
    </row>
    <row r="168" spans="1:5" ht="15.75" x14ac:dyDescent="0.2">
      <c r="A168" s="36" t="s">
        <v>24</v>
      </c>
      <c r="B168" s="32"/>
      <c r="C168" s="31"/>
      <c r="D168" s="85"/>
    </row>
    <row r="169" spans="1:5" ht="15.75" outlineLevel="1" x14ac:dyDescent="0.2">
      <c r="A169" s="31" t="s">
        <v>25</v>
      </c>
      <c r="B169" s="32" t="s">
        <v>49</v>
      </c>
      <c r="C169" s="31">
        <v>5.0999999999999996</v>
      </c>
      <c r="D169" s="85"/>
    </row>
    <row r="170" spans="1:5" ht="15.75" outlineLevel="1" x14ac:dyDescent="0.2">
      <c r="A170" s="31" t="s">
        <v>25</v>
      </c>
      <c r="B170" s="32" t="s">
        <v>50</v>
      </c>
      <c r="C170" s="31">
        <v>5.2</v>
      </c>
      <c r="D170" s="85"/>
    </row>
    <row r="171" spans="1:5" ht="15.75" outlineLevel="1" x14ac:dyDescent="0.2">
      <c r="A171" s="31" t="s">
        <v>25</v>
      </c>
      <c r="B171" s="32" t="s">
        <v>66</v>
      </c>
      <c r="C171" s="31">
        <v>5.3</v>
      </c>
      <c r="D171" s="85"/>
    </row>
    <row r="172" spans="1:5" ht="15.75" outlineLevel="1" x14ac:dyDescent="0.2">
      <c r="A172" s="31" t="s">
        <v>25</v>
      </c>
      <c r="B172" s="32" t="s">
        <v>80</v>
      </c>
      <c r="C172" s="31">
        <v>5.6</v>
      </c>
      <c r="D172" s="85"/>
    </row>
    <row r="173" spans="1:5" ht="15.75" outlineLevel="1" x14ac:dyDescent="0.2">
      <c r="A173" s="31" t="s">
        <v>25</v>
      </c>
      <c r="B173" s="32" t="s">
        <v>1080</v>
      </c>
      <c r="C173" s="33">
        <v>5.0999999999999996</v>
      </c>
      <c r="D173" s="85"/>
    </row>
    <row r="174" spans="1:5" ht="15.75" outlineLevel="1" x14ac:dyDescent="0.2">
      <c r="A174" s="31" t="s">
        <v>25</v>
      </c>
      <c r="B174" s="32" t="s">
        <v>91</v>
      </c>
      <c r="C174" s="31">
        <v>5.14</v>
      </c>
      <c r="D174" s="85"/>
    </row>
    <row r="175" spans="1:5" ht="15.75" outlineLevel="1" x14ac:dyDescent="0.2">
      <c r="A175" s="31" t="s">
        <v>25</v>
      </c>
      <c r="B175" s="32" t="s">
        <v>68</v>
      </c>
      <c r="C175" s="31">
        <v>5.19</v>
      </c>
      <c r="D175" s="85"/>
    </row>
    <row r="176" spans="1:5" ht="15.75" outlineLevel="1" x14ac:dyDescent="0.2">
      <c r="A176" s="31" t="s">
        <v>25</v>
      </c>
      <c r="B176" s="32" t="s">
        <v>82</v>
      </c>
      <c r="C176" s="31">
        <v>5.24</v>
      </c>
      <c r="D176" s="85"/>
    </row>
    <row r="177" spans="1:4" ht="15.75" outlineLevel="1" x14ac:dyDescent="0.2">
      <c r="A177" s="31" t="s">
        <v>25</v>
      </c>
      <c r="B177" s="32" t="s">
        <v>54</v>
      </c>
      <c r="C177" s="31">
        <v>5.26</v>
      </c>
      <c r="D177" s="85"/>
    </row>
    <row r="178" spans="1:4" ht="15.75" outlineLevel="1" x14ac:dyDescent="0.2">
      <c r="A178" s="31" t="s">
        <v>25</v>
      </c>
      <c r="B178" s="32" t="s">
        <v>55</v>
      </c>
      <c r="C178" s="31">
        <v>5.27</v>
      </c>
      <c r="D178" s="85"/>
    </row>
    <row r="179" spans="1:4" ht="15.75" outlineLevel="1" x14ac:dyDescent="0.2">
      <c r="A179" s="31" t="s">
        <v>25</v>
      </c>
      <c r="B179" s="32" t="s">
        <v>69</v>
      </c>
      <c r="C179" s="31">
        <v>5.28</v>
      </c>
      <c r="D179" s="85"/>
    </row>
    <row r="180" spans="1:4" ht="15.75" outlineLevel="1" x14ac:dyDescent="0.2">
      <c r="A180" s="31" t="s">
        <v>25</v>
      </c>
      <c r="B180" s="32" t="s">
        <v>89</v>
      </c>
      <c r="C180" s="31">
        <v>5.29</v>
      </c>
      <c r="D180" s="85"/>
    </row>
    <row r="181" spans="1:4" ht="15.75" outlineLevel="1" x14ac:dyDescent="0.2">
      <c r="A181" s="31" t="s">
        <v>25</v>
      </c>
      <c r="B181" s="32" t="s">
        <v>70</v>
      </c>
      <c r="C181" s="33">
        <v>5.3</v>
      </c>
      <c r="D181" s="85"/>
    </row>
    <row r="182" spans="1:4" ht="15.75" outlineLevel="1" x14ac:dyDescent="0.2">
      <c r="A182" s="31" t="s">
        <v>25</v>
      </c>
      <c r="B182" s="32" t="s">
        <v>90</v>
      </c>
      <c r="C182" s="31">
        <v>5.32</v>
      </c>
      <c r="D182" s="85"/>
    </row>
    <row r="183" spans="1:4" ht="15.75" outlineLevel="1" x14ac:dyDescent="0.2">
      <c r="A183" s="31" t="s">
        <v>25</v>
      </c>
      <c r="B183" s="32" t="s">
        <v>56</v>
      </c>
      <c r="C183" s="31">
        <v>5.36</v>
      </c>
      <c r="D183" s="85"/>
    </row>
    <row r="184" spans="1:4" ht="15.75" outlineLevel="1" x14ac:dyDescent="0.2">
      <c r="A184" s="31" t="s">
        <v>25</v>
      </c>
      <c r="B184" s="32" t="s">
        <v>59</v>
      </c>
      <c r="C184" s="31">
        <v>5.53</v>
      </c>
      <c r="D184" s="85"/>
    </row>
    <row r="185" spans="1:4" ht="15.75" outlineLevel="1" x14ac:dyDescent="0.2">
      <c r="A185" s="31" t="s">
        <v>25</v>
      </c>
      <c r="B185" s="32" t="s">
        <v>76</v>
      </c>
      <c r="C185" s="31">
        <v>5.58</v>
      </c>
      <c r="D185" s="85"/>
    </row>
    <row r="186" spans="1:4" ht="15.75" outlineLevel="1" x14ac:dyDescent="0.2">
      <c r="A186" s="31" t="s">
        <v>25</v>
      </c>
      <c r="B186" s="32" t="s">
        <v>61</v>
      </c>
      <c r="C186" s="31">
        <v>5.54</v>
      </c>
      <c r="D186" s="85"/>
    </row>
    <row r="187" spans="1:4" ht="15.75" outlineLevel="1" x14ac:dyDescent="0.2">
      <c r="A187" s="31" t="s">
        <v>25</v>
      </c>
      <c r="B187" s="32" t="s">
        <v>77</v>
      </c>
      <c r="C187" s="31">
        <v>5.55</v>
      </c>
      <c r="D187" s="85"/>
    </row>
    <row r="188" spans="1:4" ht="15.75" outlineLevel="1" x14ac:dyDescent="0.2">
      <c r="A188" s="31" t="s">
        <v>25</v>
      </c>
      <c r="B188" s="32" t="s">
        <v>63</v>
      </c>
      <c r="C188" s="31">
        <v>5.63</v>
      </c>
      <c r="D188" s="85"/>
    </row>
    <row r="189" spans="1:4" ht="15.75" outlineLevel="1" x14ac:dyDescent="0.2">
      <c r="A189" s="31" t="s">
        <v>25</v>
      </c>
      <c r="B189" s="32" t="s">
        <v>79</v>
      </c>
      <c r="C189" s="31">
        <v>5.45</v>
      </c>
      <c r="D189" s="85"/>
    </row>
    <row r="190" spans="1:4" ht="15.75" outlineLevel="1" x14ac:dyDescent="0.2">
      <c r="A190" s="31" t="s">
        <v>25</v>
      </c>
      <c r="B190" s="32" t="s">
        <v>64</v>
      </c>
      <c r="C190" s="31">
        <v>5.47</v>
      </c>
      <c r="D190" s="85"/>
    </row>
    <row r="191" spans="1:4" ht="15.75" outlineLevel="1" x14ac:dyDescent="0.2">
      <c r="A191" s="31" t="s">
        <v>25</v>
      </c>
      <c r="B191" s="32" t="s">
        <v>65</v>
      </c>
      <c r="C191" s="31">
        <v>5.48</v>
      </c>
      <c r="D191" s="85"/>
    </row>
    <row r="192" spans="1:4" ht="15.75" x14ac:dyDescent="0.2">
      <c r="A192" s="36" t="s">
        <v>25</v>
      </c>
      <c r="B192" s="32"/>
      <c r="C192" s="31"/>
      <c r="D192" s="85"/>
    </row>
    <row r="193" spans="1:4" ht="15.75" outlineLevel="1" x14ac:dyDescent="0.2">
      <c r="A193" s="31" t="s">
        <v>26</v>
      </c>
      <c r="B193" s="32" t="s">
        <v>49</v>
      </c>
      <c r="C193" s="31">
        <v>5.0999999999999996</v>
      </c>
      <c r="D193" s="85"/>
    </row>
    <row r="194" spans="1:4" ht="15.75" outlineLevel="1" x14ac:dyDescent="0.2">
      <c r="A194" s="31" t="s">
        <v>26</v>
      </c>
      <c r="B194" s="32" t="s">
        <v>50</v>
      </c>
      <c r="C194" s="31">
        <v>5.2</v>
      </c>
      <c r="D194" s="85"/>
    </row>
    <row r="195" spans="1:4" ht="15.75" outlineLevel="1" x14ac:dyDescent="0.2">
      <c r="A195" s="31" t="s">
        <v>26</v>
      </c>
      <c r="B195" s="32" t="s">
        <v>66</v>
      </c>
      <c r="C195" s="31">
        <v>5.3</v>
      </c>
      <c r="D195" s="85"/>
    </row>
    <row r="196" spans="1:4" ht="15.75" outlineLevel="1" x14ac:dyDescent="0.2">
      <c r="A196" s="31" t="s">
        <v>26</v>
      </c>
      <c r="B196" s="32" t="s">
        <v>80</v>
      </c>
      <c r="C196" s="31">
        <v>5.6</v>
      </c>
      <c r="D196" s="85"/>
    </row>
    <row r="197" spans="1:4" ht="15.75" outlineLevel="1" x14ac:dyDescent="0.2">
      <c r="A197" s="31" t="s">
        <v>26</v>
      </c>
      <c r="B197" s="32" t="s">
        <v>1080</v>
      </c>
      <c r="C197" s="33">
        <v>5.0999999999999996</v>
      </c>
      <c r="D197" s="85"/>
    </row>
    <row r="198" spans="1:4" ht="15.75" outlineLevel="1" x14ac:dyDescent="0.2">
      <c r="A198" s="31" t="s">
        <v>26</v>
      </c>
      <c r="B198" s="32" t="s">
        <v>91</v>
      </c>
      <c r="C198" s="31">
        <v>5.14</v>
      </c>
      <c r="D198" s="85"/>
    </row>
    <row r="199" spans="1:4" ht="15.75" outlineLevel="1" x14ac:dyDescent="0.2">
      <c r="A199" s="31" t="s">
        <v>26</v>
      </c>
      <c r="B199" s="32" t="s">
        <v>68</v>
      </c>
      <c r="C199" s="31">
        <v>5.19</v>
      </c>
      <c r="D199" s="85"/>
    </row>
    <row r="200" spans="1:4" ht="15.75" outlineLevel="1" x14ac:dyDescent="0.2">
      <c r="A200" s="31" t="s">
        <v>26</v>
      </c>
      <c r="B200" s="32" t="s">
        <v>82</v>
      </c>
      <c r="C200" s="31">
        <v>5.24</v>
      </c>
      <c r="D200" s="85"/>
    </row>
    <row r="201" spans="1:4" ht="15.75" outlineLevel="1" x14ac:dyDescent="0.2">
      <c r="A201" s="31" t="s">
        <v>26</v>
      </c>
      <c r="B201" s="32" t="s">
        <v>55</v>
      </c>
      <c r="C201" s="31">
        <v>5.27</v>
      </c>
      <c r="D201" s="85"/>
    </row>
    <row r="202" spans="1:4" ht="15.75" outlineLevel="1" x14ac:dyDescent="0.2">
      <c r="A202" s="31" t="s">
        <v>26</v>
      </c>
      <c r="B202" s="32" t="s">
        <v>69</v>
      </c>
      <c r="C202" s="31">
        <v>5.28</v>
      </c>
      <c r="D202" s="85"/>
    </row>
    <row r="203" spans="1:4" ht="15.75" outlineLevel="1" x14ac:dyDescent="0.2">
      <c r="A203" s="31" t="s">
        <v>26</v>
      </c>
      <c r="B203" s="32" t="s">
        <v>89</v>
      </c>
      <c r="C203" s="31">
        <v>5.29</v>
      </c>
      <c r="D203" s="85"/>
    </row>
    <row r="204" spans="1:4" ht="15.75" outlineLevel="1" x14ac:dyDescent="0.2">
      <c r="A204" s="31" t="s">
        <v>26</v>
      </c>
      <c r="B204" s="32" t="s">
        <v>70</v>
      </c>
      <c r="C204" s="33">
        <v>5.3</v>
      </c>
      <c r="D204" s="85"/>
    </row>
    <row r="205" spans="1:4" ht="15.75" outlineLevel="1" x14ac:dyDescent="0.2">
      <c r="A205" s="31" t="s">
        <v>26</v>
      </c>
      <c r="B205" s="32" t="s">
        <v>92</v>
      </c>
      <c r="C205" s="31">
        <v>5.34</v>
      </c>
      <c r="D205" s="85"/>
    </row>
    <row r="206" spans="1:4" ht="15.75" outlineLevel="1" x14ac:dyDescent="0.2">
      <c r="A206" s="31" t="s">
        <v>26</v>
      </c>
      <c r="B206" s="32" t="s">
        <v>83</v>
      </c>
      <c r="C206" s="31">
        <v>5.31</v>
      </c>
      <c r="D206" s="85"/>
    </row>
    <row r="207" spans="1:4" ht="15.75" outlineLevel="1" x14ac:dyDescent="0.2">
      <c r="A207" s="31" t="s">
        <v>26</v>
      </c>
      <c r="B207" s="32" t="s">
        <v>93</v>
      </c>
      <c r="C207" s="31">
        <v>5.101</v>
      </c>
      <c r="D207" s="85"/>
    </row>
    <row r="208" spans="1:4" ht="15.75" outlineLevel="1" x14ac:dyDescent="0.2">
      <c r="A208" s="31" t="s">
        <v>26</v>
      </c>
      <c r="B208" s="32" t="s">
        <v>56</v>
      </c>
      <c r="C208" s="31">
        <v>5.36</v>
      </c>
      <c r="D208" s="85"/>
    </row>
    <row r="209" spans="1:4" ht="15.75" outlineLevel="1" x14ac:dyDescent="0.2">
      <c r="A209" s="31" t="s">
        <v>26</v>
      </c>
      <c r="B209" s="32" t="s">
        <v>59</v>
      </c>
      <c r="C209" s="31">
        <v>5.53</v>
      </c>
      <c r="D209" s="85"/>
    </row>
    <row r="210" spans="1:4" ht="15.75" outlineLevel="1" x14ac:dyDescent="0.2">
      <c r="A210" s="31" t="s">
        <v>26</v>
      </c>
      <c r="B210" s="32" t="s">
        <v>94</v>
      </c>
      <c r="C210" s="31">
        <v>5.1020000000000003</v>
      </c>
      <c r="D210" s="85"/>
    </row>
    <row r="211" spans="1:4" ht="15.75" outlineLevel="1" x14ac:dyDescent="0.2">
      <c r="A211" s="31" t="s">
        <v>26</v>
      </c>
      <c r="B211" s="32" t="s">
        <v>95</v>
      </c>
      <c r="C211" s="34">
        <v>5.0999999999999996</v>
      </c>
      <c r="D211" s="85"/>
    </row>
    <row r="212" spans="1:4" ht="15.75" outlineLevel="1" x14ac:dyDescent="0.2">
      <c r="A212" s="31" t="s">
        <v>26</v>
      </c>
      <c r="B212" s="32" t="s">
        <v>76</v>
      </c>
      <c r="C212" s="31">
        <v>5.58</v>
      </c>
      <c r="D212" s="85"/>
    </row>
    <row r="213" spans="1:4" ht="15.75" outlineLevel="1" x14ac:dyDescent="0.2">
      <c r="A213" s="31" t="s">
        <v>26</v>
      </c>
      <c r="B213" s="32" t="s">
        <v>61</v>
      </c>
      <c r="C213" s="31">
        <v>5.54</v>
      </c>
      <c r="D213" s="85"/>
    </row>
    <row r="214" spans="1:4" ht="15.75" outlineLevel="1" x14ac:dyDescent="0.2">
      <c r="A214" s="31" t="s">
        <v>26</v>
      </c>
      <c r="B214" s="32" t="s">
        <v>77</v>
      </c>
      <c r="C214" s="31">
        <v>5.55</v>
      </c>
      <c r="D214" s="85"/>
    </row>
    <row r="215" spans="1:4" ht="15.75" outlineLevel="1" x14ac:dyDescent="0.2">
      <c r="A215" s="31" t="s">
        <v>26</v>
      </c>
      <c r="B215" s="32" t="s">
        <v>63</v>
      </c>
      <c r="C215" s="31">
        <v>5.63</v>
      </c>
      <c r="D215" s="85"/>
    </row>
    <row r="216" spans="1:4" ht="15.75" outlineLevel="1" x14ac:dyDescent="0.2">
      <c r="A216" s="31" t="s">
        <v>26</v>
      </c>
      <c r="B216" s="32" t="s">
        <v>64</v>
      </c>
      <c r="C216" s="31">
        <v>5.47</v>
      </c>
      <c r="D216" s="85"/>
    </row>
    <row r="217" spans="1:4" ht="15.75" outlineLevel="1" x14ac:dyDescent="0.2">
      <c r="A217" s="31" t="s">
        <v>26</v>
      </c>
      <c r="B217" s="32" t="s">
        <v>65</v>
      </c>
      <c r="C217" s="31">
        <v>5.48</v>
      </c>
      <c r="D217" s="85"/>
    </row>
    <row r="218" spans="1:4" ht="15.75" x14ac:dyDescent="0.2">
      <c r="A218" s="36" t="s">
        <v>26</v>
      </c>
      <c r="B218" s="32"/>
      <c r="C218" s="31"/>
      <c r="D218" s="85"/>
    </row>
    <row r="219" spans="1:4" ht="15.75" outlineLevel="1" x14ac:dyDescent="0.2">
      <c r="A219" s="31" t="s">
        <v>27</v>
      </c>
      <c r="B219" s="32" t="s">
        <v>49</v>
      </c>
      <c r="C219" s="31">
        <v>5.0999999999999996</v>
      </c>
      <c r="D219" s="85"/>
    </row>
    <row r="220" spans="1:4" ht="15.75" outlineLevel="1" x14ac:dyDescent="0.2">
      <c r="A220" s="31" t="s">
        <v>27</v>
      </c>
      <c r="B220" s="32" t="s">
        <v>50</v>
      </c>
      <c r="C220" s="31">
        <v>5.2</v>
      </c>
      <c r="D220" s="85"/>
    </row>
    <row r="221" spans="1:4" ht="15.75" outlineLevel="1" x14ac:dyDescent="0.2">
      <c r="A221" s="31" t="s">
        <v>27</v>
      </c>
      <c r="B221" s="32" t="s">
        <v>66</v>
      </c>
      <c r="C221" s="31">
        <v>5.3</v>
      </c>
      <c r="D221" s="85"/>
    </row>
    <row r="222" spans="1:4" ht="15.75" outlineLevel="1" x14ac:dyDescent="0.2">
      <c r="A222" s="31" t="s">
        <v>27</v>
      </c>
      <c r="B222" s="32" t="s">
        <v>80</v>
      </c>
      <c r="C222" s="31">
        <v>5.6</v>
      </c>
      <c r="D222" s="85"/>
    </row>
    <row r="223" spans="1:4" ht="15.75" outlineLevel="1" x14ac:dyDescent="0.2">
      <c r="A223" s="31" t="s">
        <v>27</v>
      </c>
      <c r="B223" s="32" t="s">
        <v>1080</v>
      </c>
      <c r="C223" s="33">
        <v>5.0999999999999996</v>
      </c>
      <c r="D223" s="85"/>
    </row>
    <row r="224" spans="1:4" ht="15.75" outlineLevel="1" x14ac:dyDescent="0.2">
      <c r="A224" s="31" t="s">
        <v>27</v>
      </c>
      <c r="B224" s="32" t="s">
        <v>91</v>
      </c>
      <c r="C224" s="31">
        <v>5.14</v>
      </c>
      <c r="D224" s="85"/>
    </row>
    <row r="225" spans="1:4" ht="15.75" outlineLevel="1" x14ac:dyDescent="0.2">
      <c r="A225" s="31" t="s">
        <v>27</v>
      </c>
      <c r="B225" s="32" t="s">
        <v>68</v>
      </c>
      <c r="C225" s="31">
        <v>5.19</v>
      </c>
      <c r="D225" s="85"/>
    </row>
    <row r="226" spans="1:4" ht="15.75" outlineLevel="1" x14ac:dyDescent="0.2">
      <c r="A226" s="31" t="s">
        <v>27</v>
      </c>
      <c r="B226" s="32" t="s">
        <v>82</v>
      </c>
      <c r="C226" s="31">
        <v>5.24</v>
      </c>
      <c r="D226" s="85"/>
    </row>
    <row r="227" spans="1:4" ht="15.75" outlineLevel="1" x14ac:dyDescent="0.2">
      <c r="A227" s="31" t="s">
        <v>27</v>
      </c>
      <c r="B227" s="32" t="s">
        <v>54</v>
      </c>
      <c r="C227" s="31">
        <v>5.26</v>
      </c>
      <c r="D227" s="85"/>
    </row>
    <row r="228" spans="1:4" ht="15.75" outlineLevel="1" x14ac:dyDescent="0.2">
      <c r="A228" s="31" t="s">
        <v>27</v>
      </c>
      <c r="B228" s="32" t="s">
        <v>55</v>
      </c>
      <c r="C228" s="31">
        <v>5.27</v>
      </c>
      <c r="D228" s="85"/>
    </row>
    <row r="229" spans="1:4" ht="15.75" outlineLevel="1" x14ac:dyDescent="0.2">
      <c r="A229" s="31" t="s">
        <v>27</v>
      </c>
      <c r="B229" s="32" t="s">
        <v>69</v>
      </c>
      <c r="C229" s="31">
        <v>5.28</v>
      </c>
      <c r="D229" s="85"/>
    </row>
    <row r="230" spans="1:4" ht="15.75" outlineLevel="1" x14ac:dyDescent="0.2">
      <c r="A230" s="31" t="s">
        <v>27</v>
      </c>
      <c r="B230" s="32" t="s">
        <v>89</v>
      </c>
      <c r="C230" s="31">
        <v>5.29</v>
      </c>
      <c r="D230" s="85"/>
    </row>
    <row r="231" spans="1:4" ht="15.75" outlineLevel="1" x14ac:dyDescent="0.2">
      <c r="A231" s="31" t="s">
        <v>27</v>
      </c>
      <c r="B231" s="32" t="s">
        <v>70</v>
      </c>
      <c r="C231" s="33">
        <v>5.3</v>
      </c>
      <c r="D231" s="85"/>
    </row>
    <row r="232" spans="1:4" ht="15.75" outlineLevel="1" x14ac:dyDescent="0.2">
      <c r="A232" s="31" t="s">
        <v>27</v>
      </c>
      <c r="B232" s="32" t="s">
        <v>83</v>
      </c>
      <c r="C232" s="31">
        <v>5.31</v>
      </c>
      <c r="D232" s="85"/>
    </row>
    <row r="233" spans="1:4" ht="15.75" outlineLevel="1" x14ac:dyDescent="0.2">
      <c r="A233" s="31" t="s">
        <v>27</v>
      </c>
      <c r="B233" s="32" t="s">
        <v>96</v>
      </c>
      <c r="C233" s="31">
        <v>5.33</v>
      </c>
      <c r="D233" s="85"/>
    </row>
    <row r="234" spans="1:4" ht="15.75" outlineLevel="1" x14ac:dyDescent="0.2">
      <c r="A234" s="31" t="s">
        <v>27</v>
      </c>
      <c r="B234" s="32" t="s">
        <v>93</v>
      </c>
      <c r="C234" s="31">
        <v>5.101</v>
      </c>
      <c r="D234" s="85"/>
    </row>
    <row r="235" spans="1:4" ht="15.75" outlineLevel="1" x14ac:dyDescent="0.2">
      <c r="A235" s="31" t="s">
        <v>27</v>
      </c>
      <c r="B235" s="32" t="s">
        <v>56</v>
      </c>
      <c r="C235" s="31">
        <v>5.36</v>
      </c>
      <c r="D235" s="85"/>
    </row>
    <row r="236" spans="1:4" ht="15.75" outlineLevel="1" x14ac:dyDescent="0.2">
      <c r="A236" s="31" t="s">
        <v>27</v>
      </c>
      <c r="B236" s="32" t="s">
        <v>59</v>
      </c>
      <c r="C236" s="31">
        <v>5.53</v>
      </c>
      <c r="D236" s="85"/>
    </row>
    <row r="237" spans="1:4" ht="15.75" outlineLevel="1" x14ac:dyDescent="0.2">
      <c r="A237" s="31" t="s">
        <v>27</v>
      </c>
      <c r="B237" s="32" t="s">
        <v>94</v>
      </c>
      <c r="C237" s="31">
        <v>5.1020000000000003</v>
      </c>
      <c r="D237" s="85"/>
    </row>
    <row r="238" spans="1:4" ht="15.75" outlineLevel="1" x14ac:dyDescent="0.2">
      <c r="A238" s="31" t="s">
        <v>27</v>
      </c>
      <c r="B238" s="32" t="s">
        <v>76</v>
      </c>
      <c r="C238" s="31">
        <v>5.58</v>
      </c>
      <c r="D238" s="85"/>
    </row>
    <row r="239" spans="1:4" ht="15.75" outlineLevel="1" x14ac:dyDescent="0.2">
      <c r="A239" s="31" t="s">
        <v>27</v>
      </c>
      <c r="B239" s="32" t="s">
        <v>61</v>
      </c>
      <c r="C239" s="31">
        <v>5.54</v>
      </c>
      <c r="D239" s="85"/>
    </row>
    <row r="240" spans="1:4" ht="15.75" outlineLevel="1" x14ac:dyDescent="0.2">
      <c r="A240" s="31" t="s">
        <v>27</v>
      </c>
      <c r="B240" s="32" t="s">
        <v>77</v>
      </c>
      <c r="C240" s="31">
        <v>5.55</v>
      </c>
      <c r="D240" s="85"/>
    </row>
    <row r="241" spans="1:4" ht="15.75" outlineLevel="1" x14ac:dyDescent="0.2">
      <c r="A241" s="31" t="s">
        <v>27</v>
      </c>
      <c r="B241" s="32" t="s">
        <v>63</v>
      </c>
      <c r="C241" s="31">
        <v>5.63</v>
      </c>
      <c r="D241" s="85"/>
    </row>
    <row r="242" spans="1:4" ht="15.75" outlineLevel="1" x14ac:dyDescent="0.2">
      <c r="A242" s="31" t="s">
        <v>27</v>
      </c>
      <c r="B242" s="32" t="s">
        <v>64</v>
      </c>
      <c r="C242" s="31">
        <v>5.47</v>
      </c>
      <c r="D242" s="85"/>
    </row>
    <row r="243" spans="1:4" ht="15.75" outlineLevel="1" x14ac:dyDescent="0.2">
      <c r="A243" s="31" t="s">
        <v>27</v>
      </c>
      <c r="B243" s="32" t="s">
        <v>65</v>
      </c>
      <c r="C243" s="31">
        <v>5.48</v>
      </c>
      <c r="D243" s="85"/>
    </row>
    <row r="244" spans="1:4" ht="15.75" x14ac:dyDescent="0.2">
      <c r="A244" s="36" t="s">
        <v>27</v>
      </c>
      <c r="B244" s="32"/>
      <c r="C244" s="31"/>
      <c r="D244" s="85"/>
    </row>
    <row r="245" spans="1:4" ht="15.75" outlineLevel="1" x14ac:dyDescent="0.2">
      <c r="A245" s="31" t="s">
        <v>28</v>
      </c>
      <c r="B245" s="32" t="s">
        <v>49</v>
      </c>
      <c r="C245" s="31">
        <v>5.0999999999999996</v>
      </c>
      <c r="D245" s="85"/>
    </row>
    <row r="246" spans="1:4" ht="15.75" outlineLevel="1" x14ac:dyDescent="0.2">
      <c r="A246" s="31" t="s">
        <v>28</v>
      </c>
      <c r="B246" s="32" t="s">
        <v>50</v>
      </c>
      <c r="C246" s="31">
        <v>5.2</v>
      </c>
      <c r="D246" s="85"/>
    </row>
    <row r="247" spans="1:4" ht="15.75" outlineLevel="1" x14ac:dyDescent="0.2">
      <c r="A247" s="31" t="s">
        <v>28</v>
      </c>
      <c r="B247" s="32" t="s">
        <v>66</v>
      </c>
      <c r="C247" s="31">
        <v>5.3</v>
      </c>
      <c r="D247" s="85"/>
    </row>
    <row r="248" spans="1:4" ht="15.75" outlineLevel="1" x14ac:dyDescent="0.2">
      <c r="A248" s="31" t="s">
        <v>28</v>
      </c>
      <c r="B248" s="32" t="s">
        <v>80</v>
      </c>
      <c r="C248" s="31">
        <v>5.6</v>
      </c>
      <c r="D248" s="85"/>
    </row>
    <row r="249" spans="1:4" ht="15.75" outlineLevel="1" x14ac:dyDescent="0.2">
      <c r="A249" s="31" t="s">
        <v>28</v>
      </c>
      <c r="B249" s="32" t="s">
        <v>1080</v>
      </c>
      <c r="C249" s="33">
        <v>5.0999999999999996</v>
      </c>
      <c r="D249" s="85"/>
    </row>
    <row r="250" spans="1:4" ht="15.75" outlineLevel="1" x14ac:dyDescent="0.2">
      <c r="A250" s="31" t="s">
        <v>28</v>
      </c>
      <c r="B250" s="32" t="s">
        <v>91</v>
      </c>
      <c r="C250" s="31">
        <v>5.14</v>
      </c>
      <c r="D250" s="85"/>
    </row>
    <row r="251" spans="1:4" ht="15.75" outlineLevel="1" x14ac:dyDescent="0.2">
      <c r="A251" s="31" t="s">
        <v>28</v>
      </c>
      <c r="B251" s="32" t="s">
        <v>68</v>
      </c>
      <c r="C251" s="31">
        <v>5.19</v>
      </c>
      <c r="D251" s="85"/>
    </row>
    <row r="252" spans="1:4" ht="15.75" outlineLevel="1" x14ac:dyDescent="0.2">
      <c r="A252" s="31" t="s">
        <v>28</v>
      </c>
      <c r="B252" s="32" t="s">
        <v>82</v>
      </c>
      <c r="C252" s="31">
        <v>5.24</v>
      </c>
      <c r="D252" s="85"/>
    </row>
    <row r="253" spans="1:4" ht="15.75" outlineLevel="1" x14ac:dyDescent="0.2">
      <c r="A253" s="31" t="s">
        <v>28</v>
      </c>
      <c r="B253" s="32" t="s">
        <v>55</v>
      </c>
      <c r="C253" s="31">
        <v>5.27</v>
      </c>
      <c r="D253" s="85"/>
    </row>
    <row r="254" spans="1:4" ht="15.75" outlineLevel="1" x14ac:dyDescent="0.2">
      <c r="A254" s="31" t="s">
        <v>28</v>
      </c>
      <c r="B254" s="32" t="s">
        <v>69</v>
      </c>
      <c r="C254" s="31">
        <v>5.28</v>
      </c>
      <c r="D254" s="85"/>
    </row>
    <row r="255" spans="1:4" ht="15.75" outlineLevel="1" x14ac:dyDescent="0.2">
      <c r="A255" s="31" t="s">
        <v>28</v>
      </c>
      <c r="B255" s="32" t="s">
        <v>70</v>
      </c>
      <c r="C255" s="33">
        <v>5.3</v>
      </c>
      <c r="D255" s="85"/>
    </row>
    <row r="256" spans="1:4" ht="15.75" outlineLevel="1" x14ac:dyDescent="0.2">
      <c r="A256" s="31" t="s">
        <v>28</v>
      </c>
      <c r="B256" s="32" t="s">
        <v>96</v>
      </c>
      <c r="C256" s="31">
        <v>5.33</v>
      </c>
      <c r="D256" s="85"/>
    </row>
    <row r="257" spans="1:4" ht="15.75" outlineLevel="1" x14ac:dyDescent="0.2">
      <c r="A257" s="31" t="s">
        <v>28</v>
      </c>
      <c r="B257" s="32" t="s">
        <v>56</v>
      </c>
      <c r="C257" s="31">
        <v>5.36</v>
      </c>
      <c r="D257" s="85"/>
    </row>
    <row r="258" spans="1:4" ht="15.75" outlineLevel="1" x14ac:dyDescent="0.2">
      <c r="A258" s="31" t="s">
        <v>28</v>
      </c>
      <c r="B258" s="32" t="s">
        <v>59</v>
      </c>
      <c r="C258" s="31">
        <v>5.53</v>
      </c>
      <c r="D258" s="85"/>
    </row>
    <row r="259" spans="1:4" ht="15.75" outlineLevel="1" x14ac:dyDescent="0.2">
      <c r="A259" s="31" t="s">
        <v>28</v>
      </c>
      <c r="B259" s="32" t="s">
        <v>76</v>
      </c>
      <c r="C259" s="31">
        <v>5.58</v>
      </c>
      <c r="D259" s="85"/>
    </row>
    <row r="260" spans="1:4" ht="15.75" outlineLevel="1" x14ac:dyDescent="0.2">
      <c r="A260" s="31" t="s">
        <v>28</v>
      </c>
      <c r="B260" s="32" t="s">
        <v>61</v>
      </c>
      <c r="C260" s="31">
        <v>5.54</v>
      </c>
      <c r="D260" s="85"/>
    </row>
    <row r="261" spans="1:4" ht="15.75" outlineLevel="1" x14ac:dyDescent="0.2">
      <c r="A261" s="31" t="s">
        <v>28</v>
      </c>
      <c r="B261" s="32" t="s">
        <v>77</v>
      </c>
      <c r="C261" s="31">
        <v>5.55</v>
      </c>
      <c r="D261" s="85"/>
    </row>
    <row r="262" spans="1:4" ht="15.75" outlineLevel="1" x14ac:dyDescent="0.2">
      <c r="A262" s="31" t="s">
        <v>28</v>
      </c>
      <c r="B262" s="32" t="s">
        <v>63</v>
      </c>
      <c r="C262" s="31">
        <v>5.63</v>
      </c>
      <c r="D262" s="85"/>
    </row>
    <row r="263" spans="1:4" ht="15.75" outlineLevel="1" x14ac:dyDescent="0.2">
      <c r="A263" s="31" t="s">
        <v>28</v>
      </c>
      <c r="B263" s="32" t="s">
        <v>64</v>
      </c>
      <c r="C263" s="31">
        <v>5.47</v>
      </c>
      <c r="D263" s="85"/>
    </row>
    <row r="264" spans="1:4" ht="15.75" outlineLevel="1" x14ac:dyDescent="0.2">
      <c r="A264" s="31" t="s">
        <v>28</v>
      </c>
      <c r="B264" s="32" t="s">
        <v>65</v>
      </c>
      <c r="C264" s="31">
        <v>5.48</v>
      </c>
      <c r="D264" s="85"/>
    </row>
    <row r="265" spans="1:4" ht="15.75" x14ac:dyDescent="0.2">
      <c r="A265" s="36" t="s">
        <v>28</v>
      </c>
      <c r="B265" s="32"/>
      <c r="C265" s="31"/>
      <c r="D265" s="85"/>
    </row>
    <row r="266" spans="1:4" ht="15.75" outlineLevel="1" x14ac:dyDescent="0.2">
      <c r="A266" s="31" t="s">
        <v>29</v>
      </c>
      <c r="B266" s="32" t="s">
        <v>49</v>
      </c>
      <c r="C266" s="31">
        <v>5.0999999999999996</v>
      </c>
      <c r="D266" s="85"/>
    </row>
    <row r="267" spans="1:4" ht="15.75" outlineLevel="1" x14ac:dyDescent="0.2">
      <c r="A267" s="31" t="s">
        <v>29</v>
      </c>
      <c r="B267" s="32" t="s">
        <v>50</v>
      </c>
      <c r="C267" s="31">
        <v>5.2</v>
      </c>
      <c r="D267" s="85"/>
    </row>
    <row r="268" spans="1:4" ht="15.75" outlineLevel="1" x14ac:dyDescent="0.2">
      <c r="A268" s="31" t="s">
        <v>29</v>
      </c>
      <c r="B268" s="32" t="s">
        <v>66</v>
      </c>
      <c r="C268" s="31">
        <v>5.3</v>
      </c>
      <c r="D268" s="85"/>
    </row>
    <row r="269" spans="1:4" ht="15.75" outlineLevel="1" x14ac:dyDescent="0.2">
      <c r="A269" s="31" t="s">
        <v>29</v>
      </c>
      <c r="B269" s="32" t="s">
        <v>80</v>
      </c>
      <c r="C269" s="31">
        <v>5.6</v>
      </c>
      <c r="D269" s="85"/>
    </row>
    <row r="270" spans="1:4" ht="15.75" outlineLevel="1" x14ac:dyDescent="0.2">
      <c r="A270" s="31" t="s">
        <v>29</v>
      </c>
      <c r="B270" s="32" t="s">
        <v>1080</v>
      </c>
      <c r="C270" s="33">
        <v>5.0999999999999996</v>
      </c>
      <c r="D270" s="85"/>
    </row>
    <row r="271" spans="1:4" ht="15.75" outlineLevel="1" x14ac:dyDescent="0.2">
      <c r="A271" s="31" t="s">
        <v>29</v>
      </c>
      <c r="B271" s="32" t="s">
        <v>91</v>
      </c>
      <c r="C271" s="31">
        <v>5.14</v>
      </c>
      <c r="D271" s="85"/>
    </row>
    <row r="272" spans="1:4" ht="15.75" outlineLevel="1" x14ac:dyDescent="0.2">
      <c r="A272" s="31" t="s">
        <v>29</v>
      </c>
      <c r="B272" s="32" t="s">
        <v>68</v>
      </c>
      <c r="C272" s="31">
        <v>5.19</v>
      </c>
      <c r="D272" s="85"/>
    </row>
    <row r="273" spans="1:4" ht="15.75" outlineLevel="1" x14ac:dyDescent="0.2">
      <c r="A273" s="31" t="s">
        <v>29</v>
      </c>
      <c r="B273" s="32" t="s">
        <v>82</v>
      </c>
      <c r="C273" s="31">
        <v>5.24</v>
      </c>
      <c r="D273" s="85"/>
    </row>
    <row r="274" spans="1:4" ht="15.75" outlineLevel="1" x14ac:dyDescent="0.2">
      <c r="A274" s="31" t="s">
        <v>29</v>
      </c>
      <c r="B274" s="32" t="s">
        <v>54</v>
      </c>
      <c r="C274" s="31">
        <v>5.26</v>
      </c>
      <c r="D274" s="85"/>
    </row>
    <row r="275" spans="1:4" ht="15.75" outlineLevel="1" x14ac:dyDescent="0.2">
      <c r="A275" s="31" t="s">
        <v>29</v>
      </c>
      <c r="B275" s="32" t="s">
        <v>55</v>
      </c>
      <c r="C275" s="31">
        <v>5.27</v>
      </c>
      <c r="D275" s="85"/>
    </row>
    <row r="276" spans="1:4" ht="15.75" outlineLevel="1" x14ac:dyDescent="0.2">
      <c r="A276" s="31" t="s">
        <v>29</v>
      </c>
      <c r="B276" s="32" t="s">
        <v>69</v>
      </c>
      <c r="C276" s="31">
        <v>5.28</v>
      </c>
      <c r="D276" s="85"/>
    </row>
    <row r="277" spans="1:4" ht="15.75" outlineLevel="1" x14ac:dyDescent="0.2">
      <c r="A277" s="31" t="s">
        <v>29</v>
      </c>
      <c r="B277" s="32" t="s">
        <v>89</v>
      </c>
      <c r="C277" s="31">
        <v>5.29</v>
      </c>
      <c r="D277" s="85"/>
    </row>
    <row r="278" spans="1:4" ht="15.75" outlineLevel="1" x14ac:dyDescent="0.2">
      <c r="A278" s="31" t="s">
        <v>29</v>
      </c>
      <c r="B278" s="32" t="s">
        <v>70</v>
      </c>
      <c r="C278" s="33">
        <v>5.3</v>
      </c>
      <c r="D278" s="85"/>
    </row>
    <row r="279" spans="1:4" ht="15.75" outlineLevel="1" x14ac:dyDescent="0.2">
      <c r="A279" s="31" t="s">
        <v>29</v>
      </c>
      <c r="B279" s="32" t="s">
        <v>96</v>
      </c>
      <c r="C279" s="31">
        <v>5.33</v>
      </c>
      <c r="D279" s="85"/>
    </row>
    <row r="280" spans="1:4" ht="15.75" outlineLevel="1" x14ac:dyDescent="0.2">
      <c r="A280" s="31" t="s">
        <v>29</v>
      </c>
      <c r="B280" s="32" t="s">
        <v>56</v>
      </c>
      <c r="C280" s="31">
        <v>5.36</v>
      </c>
      <c r="D280" s="85"/>
    </row>
    <row r="281" spans="1:4" ht="15.75" outlineLevel="1" x14ac:dyDescent="0.2">
      <c r="A281" s="31" t="s">
        <v>29</v>
      </c>
      <c r="B281" s="32" t="s">
        <v>72</v>
      </c>
      <c r="C281" s="31">
        <v>5.69</v>
      </c>
      <c r="D281" s="85"/>
    </row>
    <row r="282" spans="1:4" ht="15.75" outlineLevel="1" x14ac:dyDescent="0.2">
      <c r="A282" s="31" t="s">
        <v>29</v>
      </c>
      <c r="B282" s="32" t="s">
        <v>62</v>
      </c>
      <c r="C282" s="33">
        <v>5.7</v>
      </c>
      <c r="D282" s="85"/>
    </row>
    <row r="283" spans="1:4" ht="15.75" outlineLevel="1" x14ac:dyDescent="0.2">
      <c r="A283" s="31" t="s">
        <v>29</v>
      </c>
      <c r="B283" s="32" t="s">
        <v>74</v>
      </c>
      <c r="C283" s="31">
        <v>5.74</v>
      </c>
      <c r="D283" s="85"/>
    </row>
    <row r="284" spans="1:4" ht="15.75" outlineLevel="1" x14ac:dyDescent="0.2">
      <c r="A284" s="31" t="s">
        <v>29</v>
      </c>
      <c r="B284" s="32" t="s">
        <v>71</v>
      </c>
      <c r="C284" s="31">
        <v>5.49</v>
      </c>
      <c r="D284" s="85"/>
    </row>
    <row r="285" spans="1:4" ht="15.75" outlineLevel="1" x14ac:dyDescent="0.2">
      <c r="A285" s="31" t="s">
        <v>29</v>
      </c>
      <c r="B285" s="32" t="s">
        <v>58</v>
      </c>
      <c r="C285" s="31">
        <v>5.51</v>
      </c>
      <c r="D285" s="85"/>
    </row>
    <row r="286" spans="1:4" ht="15.75" outlineLevel="1" x14ac:dyDescent="0.2">
      <c r="A286" s="31" t="s">
        <v>29</v>
      </c>
      <c r="B286" s="32" t="s">
        <v>1081</v>
      </c>
      <c r="C286" s="31">
        <v>5.52</v>
      </c>
      <c r="D286" s="85"/>
    </row>
    <row r="287" spans="1:4" ht="15.75" outlineLevel="1" x14ac:dyDescent="0.2">
      <c r="A287" s="31" t="s">
        <v>29</v>
      </c>
      <c r="B287" s="32" t="s">
        <v>59</v>
      </c>
      <c r="C287" s="31">
        <v>5.53</v>
      </c>
      <c r="D287" s="85"/>
    </row>
    <row r="288" spans="1:4" ht="15.75" outlineLevel="1" x14ac:dyDescent="0.2">
      <c r="A288" s="31" t="s">
        <v>29</v>
      </c>
      <c r="B288" s="32" t="s">
        <v>76</v>
      </c>
      <c r="C288" s="31">
        <v>5.58</v>
      </c>
      <c r="D288" s="85"/>
    </row>
    <row r="289" spans="1:4" ht="15.75" outlineLevel="1" x14ac:dyDescent="0.2">
      <c r="A289" s="31" t="s">
        <v>29</v>
      </c>
      <c r="B289" s="32" t="s">
        <v>61</v>
      </c>
      <c r="C289" s="31">
        <v>5.54</v>
      </c>
      <c r="D289" s="85"/>
    </row>
    <row r="290" spans="1:4" ht="15.75" outlineLevel="1" x14ac:dyDescent="0.2">
      <c r="A290" s="31" t="s">
        <v>29</v>
      </c>
      <c r="B290" s="32" t="s">
        <v>77</v>
      </c>
      <c r="C290" s="31">
        <v>5.55</v>
      </c>
      <c r="D290" s="85"/>
    </row>
    <row r="291" spans="1:4" ht="15.75" outlineLevel="1" x14ac:dyDescent="0.2">
      <c r="A291" s="31" t="s">
        <v>29</v>
      </c>
      <c r="B291" s="32" t="s">
        <v>63</v>
      </c>
      <c r="C291" s="31">
        <v>5.63</v>
      </c>
      <c r="D291" s="85"/>
    </row>
    <row r="292" spans="1:4" ht="15.75" outlineLevel="1" x14ac:dyDescent="0.2">
      <c r="A292" s="31" t="s">
        <v>29</v>
      </c>
      <c r="B292" s="32" t="s">
        <v>64</v>
      </c>
      <c r="C292" s="31">
        <v>5.47</v>
      </c>
      <c r="D292" s="85"/>
    </row>
    <row r="293" spans="1:4" ht="15.75" outlineLevel="1" x14ac:dyDescent="0.2">
      <c r="A293" s="31" t="s">
        <v>29</v>
      </c>
      <c r="B293" s="32" t="s">
        <v>65</v>
      </c>
      <c r="C293" s="31">
        <v>5.48</v>
      </c>
      <c r="D293" s="85"/>
    </row>
    <row r="294" spans="1:4" ht="15.75" x14ac:dyDescent="0.2">
      <c r="A294" s="36" t="s">
        <v>29</v>
      </c>
      <c r="B294" s="32"/>
      <c r="C294" s="31"/>
      <c r="D294" s="85"/>
    </row>
    <row r="295" spans="1:4" ht="15.75" outlineLevel="1" x14ac:dyDescent="0.2">
      <c r="A295" s="31" t="s">
        <v>30</v>
      </c>
      <c r="B295" s="32" t="s">
        <v>49</v>
      </c>
      <c r="C295" s="31">
        <v>5.0999999999999996</v>
      </c>
      <c r="D295" s="85"/>
    </row>
    <row r="296" spans="1:4" ht="15.75" outlineLevel="1" x14ac:dyDescent="0.2">
      <c r="A296" s="31" t="s">
        <v>30</v>
      </c>
      <c r="B296" s="32" t="s">
        <v>50</v>
      </c>
      <c r="C296" s="31">
        <v>5.2</v>
      </c>
      <c r="D296" s="85"/>
    </row>
    <row r="297" spans="1:4" ht="15.75" outlineLevel="1" x14ac:dyDescent="0.2">
      <c r="A297" s="31" t="s">
        <v>30</v>
      </c>
      <c r="B297" s="32" t="s">
        <v>66</v>
      </c>
      <c r="C297" s="31">
        <v>5.3</v>
      </c>
      <c r="D297" s="85"/>
    </row>
    <row r="298" spans="1:4" ht="15.75" outlineLevel="1" x14ac:dyDescent="0.2">
      <c r="A298" s="31" t="s">
        <v>30</v>
      </c>
      <c r="B298" s="32" t="s">
        <v>91</v>
      </c>
      <c r="C298" s="31">
        <v>5.14</v>
      </c>
      <c r="D298" s="85"/>
    </row>
    <row r="299" spans="1:4" ht="15.75" outlineLevel="1" x14ac:dyDescent="0.2">
      <c r="A299" s="31" t="s">
        <v>30</v>
      </c>
      <c r="B299" s="32" t="s">
        <v>68</v>
      </c>
      <c r="C299" s="31">
        <v>5.19</v>
      </c>
      <c r="D299" s="85"/>
    </row>
    <row r="300" spans="1:4" ht="15.75" outlineLevel="1" x14ac:dyDescent="0.2">
      <c r="A300" s="31" t="s">
        <v>30</v>
      </c>
      <c r="B300" s="32" t="s">
        <v>82</v>
      </c>
      <c r="C300" s="31">
        <v>5.24</v>
      </c>
      <c r="D300" s="85"/>
    </row>
    <row r="301" spans="1:4" ht="15.75" outlineLevel="1" x14ac:dyDescent="0.2">
      <c r="A301" s="31" t="s">
        <v>30</v>
      </c>
      <c r="B301" s="32" t="s">
        <v>54</v>
      </c>
      <c r="C301" s="31">
        <v>5.26</v>
      </c>
      <c r="D301" s="85"/>
    </row>
    <row r="302" spans="1:4" ht="15.75" outlineLevel="1" x14ac:dyDescent="0.2">
      <c r="A302" s="31" t="s">
        <v>30</v>
      </c>
      <c r="B302" s="32" t="s">
        <v>55</v>
      </c>
      <c r="C302" s="31">
        <v>5.27</v>
      </c>
      <c r="D302" s="85"/>
    </row>
    <row r="303" spans="1:4" ht="15.75" outlineLevel="1" x14ac:dyDescent="0.2">
      <c r="A303" s="31" t="s">
        <v>30</v>
      </c>
      <c r="B303" s="32" t="s">
        <v>69</v>
      </c>
      <c r="C303" s="31">
        <v>5.28</v>
      </c>
      <c r="D303" s="85"/>
    </row>
    <row r="304" spans="1:4" ht="15.75" outlineLevel="1" x14ac:dyDescent="0.2">
      <c r="A304" s="31" t="s">
        <v>30</v>
      </c>
      <c r="B304" s="32" t="s">
        <v>97</v>
      </c>
      <c r="C304" s="31">
        <v>5.37</v>
      </c>
      <c r="D304" s="85"/>
    </row>
    <row r="305" spans="1:4" ht="15.75" outlineLevel="1" x14ac:dyDescent="0.2">
      <c r="A305" s="31" t="s">
        <v>30</v>
      </c>
      <c r="B305" s="32" t="s">
        <v>71</v>
      </c>
      <c r="C305" s="31">
        <v>5.49</v>
      </c>
      <c r="D305" s="85"/>
    </row>
    <row r="306" spans="1:4" ht="15.75" outlineLevel="1" x14ac:dyDescent="0.2">
      <c r="A306" s="31" t="s">
        <v>30</v>
      </c>
      <c r="B306" s="32" t="s">
        <v>58</v>
      </c>
      <c r="C306" s="31">
        <v>5.51</v>
      </c>
      <c r="D306" s="85"/>
    </row>
    <row r="307" spans="1:4" ht="15.75" outlineLevel="1" x14ac:dyDescent="0.2">
      <c r="A307" s="31" t="s">
        <v>30</v>
      </c>
      <c r="B307" s="32" t="s">
        <v>59</v>
      </c>
      <c r="C307" s="31">
        <v>5.53</v>
      </c>
      <c r="D307" s="85"/>
    </row>
    <row r="308" spans="1:4" ht="15.75" outlineLevel="1" x14ac:dyDescent="0.2">
      <c r="A308" s="31" t="s">
        <v>30</v>
      </c>
      <c r="B308" s="32" t="s">
        <v>72</v>
      </c>
      <c r="C308" s="31">
        <v>5.69</v>
      </c>
      <c r="D308" s="85"/>
    </row>
    <row r="309" spans="1:4" ht="15.75" outlineLevel="1" x14ac:dyDescent="0.2">
      <c r="A309" s="31" t="s">
        <v>30</v>
      </c>
      <c r="B309" s="32" t="s">
        <v>73</v>
      </c>
      <c r="C309" s="31">
        <v>5.75</v>
      </c>
      <c r="D309" s="85"/>
    </row>
    <row r="310" spans="1:4" ht="15.75" outlineLevel="1" x14ac:dyDescent="0.2">
      <c r="A310" s="31" t="s">
        <v>30</v>
      </c>
      <c r="B310" s="32" t="s">
        <v>62</v>
      </c>
      <c r="C310" s="33">
        <v>5.7</v>
      </c>
      <c r="D310" s="85"/>
    </row>
    <row r="311" spans="1:4" ht="15.75" outlineLevel="1" x14ac:dyDescent="0.2">
      <c r="A311" s="31" t="s">
        <v>30</v>
      </c>
      <c r="B311" s="32" t="s">
        <v>74</v>
      </c>
      <c r="C311" s="31">
        <v>5.74</v>
      </c>
      <c r="D311" s="85"/>
    </row>
    <row r="312" spans="1:4" ht="15.75" outlineLevel="1" x14ac:dyDescent="0.2">
      <c r="A312" s="31" t="s">
        <v>30</v>
      </c>
      <c r="B312" s="32" t="s">
        <v>76</v>
      </c>
      <c r="C312" s="31">
        <v>5.58</v>
      </c>
      <c r="D312" s="85"/>
    </row>
    <row r="313" spans="1:4" ht="15.75" outlineLevel="1" x14ac:dyDescent="0.2">
      <c r="A313" s="31" t="s">
        <v>30</v>
      </c>
      <c r="B313" s="32" t="s">
        <v>61</v>
      </c>
      <c r="C313" s="31">
        <v>5.54</v>
      </c>
      <c r="D313" s="85"/>
    </row>
    <row r="314" spans="1:4" ht="15.75" outlineLevel="1" x14ac:dyDescent="0.2">
      <c r="A314" s="31" t="s">
        <v>30</v>
      </c>
      <c r="B314" s="32" t="s">
        <v>77</v>
      </c>
      <c r="C314" s="31">
        <v>5.55</v>
      </c>
      <c r="D314" s="85"/>
    </row>
    <row r="315" spans="1:4" ht="15.75" outlineLevel="1" x14ac:dyDescent="0.2">
      <c r="A315" s="31" t="s">
        <v>30</v>
      </c>
      <c r="B315" s="32" t="s">
        <v>63</v>
      </c>
      <c r="C315" s="31">
        <v>5.63</v>
      </c>
      <c r="D315" s="85"/>
    </row>
    <row r="316" spans="1:4" ht="15.75" outlineLevel="1" x14ac:dyDescent="0.2">
      <c r="A316" s="31" t="s">
        <v>30</v>
      </c>
      <c r="B316" s="32" t="s">
        <v>78</v>
      </c>
      <c r="C316" s="31">
        <v>5.65</v>
      </c>
      <c r="D316" s="85"/>
    </row>
    <row r="317" spans="1:4" ht="15.75" outlineLevel="1" x14ac:dyDescent="0.2">
      <c r="A317" s="31" t="s">
        <v>30</v>
      </c>
      <c r="B317" s="32" t="s">
        <v>17</v>
      </c>
      <c r="C317" s="31">
        <v>5.68</v>
      </c>
      <c r="D317" s="85"/>
    </row>
    <row r="318" spans="1:4" ht="15.75" outlineLevel="1" x14ac:dyDescent="0.2">
      <c r="A318" s="31" t="s">
        <v>30</v>
      </c>
      <c r="B318" s="32" t="s">
        <v>64</v>
      </c>
      <c r="C318" s="31">
        <v>5.47</v>
      </c>
      <c r="D318" s="85"/>
    </row>
    <row r="319" spans="1:4" ht="15.75" outlineLevel="1" x14ac:dyDescent="0.2">
      <c r="A319" s="31" t="s">
        <v>30</v>
      </c>
      <c r="B319" s="32" t="s">
        <v>65</v>
      </c>
      <c r="C319" s="31">
        <v>5.48</v>
      </c>
      <c r="D319" s="85"/>
    </row>
    <row r="320" spans="1:4" ht="15.75" x14ac:dyDescent="0.2">
      <c r="A320" s="36" t="s">
        <v>30</v>
      </c>
      <c r="B320" s="32"/>
      <c r="C320" s="31"/>
      <c r="D320" s="85"/>
    </row>
    <row r="321" spans="1:4" ht="15.75" outlineLevel="1" x14ac:dyDescent="0.2">
      <c r="A321" s="31" t="s">
        <v>31</v>
      </c>
      <c r="B321" s="32" t="s">
        <v>49</v>
      </c>
      <c r="C321" s="31">
        <v>5.0999999999999996</v>
      </c>
      <c r="D321" s="85"/>
    </row>
    <row r="322" spans="1:4" ht="15.75" outlineLevel="1" x14ac:dyDescent="0.2">
      <c r="A322" s="31" t="s">
        <v>31</v>
      </c>
      <c r="B322" s="32" t="s">
        <v>50</v>
      </c>
      <c r="C322" s="31">
        <v>5.2</v>
      </c>
      <c r="D322" s="85"/>
    </row>
    <row r="323" spans="1:4" ht="15.75" outlineLevel="1" x14ac:dyDescent="0.2">
      <c r="A323" s="31" t="s">
        <v>31</v>
      </c>
      <c r="B323" s="32" t="s">
        <v>54</v>
      </c>
      <c r="C323" s="31">
        <v>5.26</v>
      </c>
      <c r="D323" s="85"/>
    </row>
    <row r="324" spans="1:4" ht="15.75" outlineLevel="1" x14ac:dyDescent="0.2">
      <c r="A324" s="31" t="s">
        <v>31</v>
      </c>
      <c r="B324" s="32" t="s">
        <v>91</v>
      </c>
      <c r="C324" s="31">
        <v>5.14</v>
      </c>
      <c r="D324" s="85"/>
    </row>
    <row r="325" spans="1:4" ht="15.75" outlineLevel="1" x14ac:dyDescent="0.2">
      <c r="A325" s="31" t="s">
        <v>31</v>
      </c>
      <c r="B325" s="32" t="s">
        <v>68</v>
      </c>
      <c r="C325" s="31">
        <v>5.19</v>
      </c>
      <c r="D325" s="85"/>
    </row>
    <row r="326" spans="1:4" ht="15.75" outlineLevel="1" x14ac:dyDescent="0.2">
      <c r="A326" s="31" t="s">
        <v>31</v>
      </c>
      <c r="B326" s="32" t="s">
        <v>97</v>
      </c>
      <c r="C326" s="31">
        <v>5.37</v>
      </c>
      <c r="D326" s="85"/>
    </row>
    <row r="327" spans="1:4" ht="15.75" outlineLevel="1" x14ac:dyDescent="0.2">
      <c r="A327" s="31" t="s">
        <v>31</v>
      </c>
      <c r="B327" s="32" t="s">
        <v>72</v>
      </c>
      <c r="C327" s="31">
        <v>5.69</v>
      </c>
      <c r="D327" s="85"/>
    </row>
    <row r="328" spans="1:4" ht="15.75" outlineLevel="1" x14ac:dyDescent="0.2">
      <c r="A328" s="31" t="s">
        <v>31</v>
      </c>
      <c r="B328" s="32" t="s">
        <v>98</v>
      </c>
      <c r="C328" s="33">
        <v>5.8</v>
      </c>
      <c r="D328" s="85"/>
    </row>
    <row r="329" spans="1:4" ht="15.75" outlineLevel="1" x14ac:dyDescent="0.2">
      <c r="A329" s="31" t="s">
        <v>31</v>
      </c>
      <c r="B329" s="32" t="s">
        <v>73</v>
      </c>
      <c r="C329" s="31">
        <v>5.75</v>
      </c>
      <c r="D329" s="85"/>
    </row>
    <row r="330" spans="1:4" ht="15.75" outlineLevel="1" x14ac:dyDescent="0.2">
      <c r="A330" s="31" t="s">
        <v>31</v>
      </c>
      <c r="B330" s="32" t="s">
        <v>62</v>
      </c>
      <c r="C330" s="33">
        <v>5.7</v>
      </c>
      <c r="D330" s="85"/>
    </row>
    <row r="331" spans="1:4" ht="15.75" outlineLevel="1" x14ac:dyDescent="0.2">
      <c r="A331" s="31" t="s">
        <v>31</v>
      </c>
      <c r="B331" s="32" t="s">
        <v>74</v>
      </c>
      <c r="C331" s="31">
        <v>5.74</v>
      </c>
      <c r="D331" s="85"/>
    </row>
    <row r="332" spans="1:4" ht="15.75" outlineLevel="1" x14ac:dyDescent="0.2">
      <c r="A332" s="31" t="s">
        <v>31</v>
      </c>
      <c r="B332" s="32" t="s">
        <v>76</v>
      </c>
      <c r="C332" s="31">
        <v>5.58</v>
      </c>
      <c r="D332" s="85"/>
    </row>
    <row r="333" spans="1:4" ht="15.75" outlineLevel="1" x14ac:dyDescent="0.2">
      <c r="A333" s="31" t="s">
        <v>31</v>
      </c>
      <c r="B333" s="32" t="s">
        <v>77</v>
      </c>
      <c r="C333" s="31">
        <v>5.55</v>
      </c>
      <c r="D333" s="85"/>
    </row>
    <row r="334" spans="1:4" ht="15.75" outlineLevel="1" x14ac:dyDescent="0.2">
      <c r="A334" s="31" t="s">
        <v>31</v>
      </c>
      <c r="B334" s="32" t="s">
        <v>63</v>
      </c>
      <c r="C334" s="31">
        <v>5.63</v>
      </c>
      <c r="D334" s="85"/>
    </row>
    <row r="335" spans="1:4" ht="15.75" outlineLevel="1" x14ac:dyDescent="0.2">
      <c r="A335" s="31" t="s">
        <v>31</v>
      </c>
      <c r="B335" s="32" t="s">
        <v>78</v>
      </c>
      <c r="C335" s="31">
        <v>5.65</v>
      </c>
      <c r="D335" s="85"/>
    </row>
    <row r="336" spans="1:4" ht="15.75" outlineLevel="1" x14ac:dyDescent="0.2">
      <c r="A336" s="31" t="s">
        <v>31</v>
      </c>
      <c r="B336" s="32" t="s">
        <v>17</v>
      </c>
      <c r="C336" s="31">
        <v>5.68</v>
      </c>
      <c r="D336" s="85"/>
    </row>
    <row r="337" spans="1:4" ht="15.75" outlineLevel="1" x14ac:dyDescent="0.2">
      <c r="A337" s="31" t="s">
        <v>31</v>
      </c>
      <c r="B337" s="32" t="s">
        <v>64</v>
      </c>
      <c r="C337" s="31">
        <v>5.47</v>
      </c>
      <c r="D337" s="85"/>
    </row>
    <row r="338" spans="1:4" ht="15.75" outlineLevel="1" x14ac:dyDescent="0.2">
      <c r="A338" s="31" t="s">
        <v>31</v>
      </c>
      <c r="B338" s="32" t="s">
        <v>65</v>
      </c>
      <c r="C338" s="31">
        <v>5.48</v>
      </c>
      <c r="D338" s="85"/>
    </row>
    <row r="339" spans="1:4" ht="15.75" x14ac:dyDescent="0.2">
      <c r="A339" s="36" t="s">
        <v>31</v>
      </c>
      <c r="B339" s="32"/>
      <c r="C339" s="31"/>
      <c r="D339" s="85"/>
    </row>
    <row r="340" spans="1:4" ht="15.75" outlineLevel="1" x14ac:dyDescent="0.2">
      <c r="A340" s="31" t="s">
        <v>32</v>
      </c>
      <c r="B340" s="32" t="s">
        <v>99</v>
      </c>
      <c r="C340" s="31">
        <v>5.0999999999999996</v>
      </c>
      <c r="D340" s="85"/>
    </row>
    <row r="341" spans="1:4" ht="15.75" outlineLevel="1" x14ac:dyDescent="0.2">
      <c r="A341" s="31" t="s">
        <v>32</v>
      </c>
      <c r="B341" s="32" t="s">
        <v>50</v>
      </c>
      <c r="C341" s="31">
        <v>5.2</v>
      </c>
      <c r="D341" s="85"/>
    </row>
    <row r="342" spans="1:4" ht="15.75" outlineLevel="1" x14ac:dyDescent="0.2">
      <c r="A342" s="31" t="s">
        <v>32</v>
      </c>
      <c r="B342" s="32" t="s">
        <v>54</v>
      </c>
      <c r="C342" s="31">
        <v>5.26</v>
      </c>
      <c r="D342" s="85"/>
    </row>
    <row r="343" spans="1:4" ht="15.75" outlineLevel="1" x14ac:dyDescent="0.2">
      <c r="A343" s="31" t="s">
        <v>32</v>
      </c>
      <c r="B343" s="32" t="s">
        <v>100</v>
      </c>
      <c r="C343" s="31">
        <v>5.38</v>
      </c>
      <c r="D343" s="85"/>
    </row>
    <row r="344" spans="1:4" ht="15.75" outlineLevel="1" x14ac:dyDescent="0.2">
      <c r="A344" s="31" t="s">
        <v>32</v>
      </c>
      <c r="B344" s="32" t="s">
        <v>101</v>
      </c>
      <c r="C344" s="31">
        <v>5.39</v>
      </c>
      <c r="D344" s="85"/>
    </row>
    <row r="345" spans="1:4" ht="15.75" outlineLevel="1" x14ac:dyDescent="0.2">
      <c r="A345" s="31" t="s">
        <v>32</v>
      </c>
      <c r="B345" s="32" t="s">
        <v>102</v>
      </c>
      <c r="C345" s="33">
        <v>5.6</v>
      </c>
      <c r="D345" s="85"/>
    </row>
    <row r="346" spans="1:4" ht="15.75" outlineLevel="1" x14ac:dyDescent="0.2">
      <c r="A346" s="31" t="s">
        <v>32</v>
      </c>
      <c r="B346" s="32" t="s">
        <v>65</v>
      </c>
      <c r="C346" s="31">
        <v>5.48</v>
      </c>
      <c r="D346" s="85"/>
    </row>
    <row r="347" spans="1:4" ht="15.75" x14ac:dyDescent="0.2">
      <c r="A347" s="36" t="s">
        <v>32</v>
      </c>
      <c r="B347" s="32"/>
      <c r="C347" s="31"/>
      <c r="D347" s="85"/>
    </row>
    <row r="348" spans="1:4" ht="15.75" outlineLevel="1" x14ac:dyDescent="0.2">
      <c r="A348" s="31" t="s">
        <v>33</v>
      </c>
      <c r="B348" s="32" t="s">
        <v>49</v>
      </c>
      <c r="C348" s="31">
        <v>5.0999999999999996</v>
      </c>
      <c r="D348" s="85"/>
    </row>
    <row r="349" spans="1:4" ht="15.75" outlineLevel="1" x14ac:dyDescent="0.2">
      <c r="A349" s="31" t="s">
        <v>33</v>
      </c>
      <c r="B349" s="32" t="s">
        <v>50</v>
      </c>
      <c r="C349" s="31">
        <v>5.2</v>
      </c>
      <c r="D349" s="85"/>
    </row>
    <row r="350" spans="1:4" ht="15.75" outlineLevel="1" x14ac:dyDescent="0.2">
      <c r="A350" s="31" t="s">
        <v>33</v>
      </c>
      <c r="B350" s="32" t="s">
        <v>66</v>
      </c>
      <c r="C350" s="31">
        <v>5.3</v>
      </c>
      <c r="D350" s="85"/>
    </row>
    <row r="351" spans="1:4" ht="15.75" outlineLevel="1" x14ac:dyDescent="0.2">
      <c r="A351" s="31" t="s">
        <v>33</v>
      </c>
      <c r="B351" s="32" t="s">
        <v>80</v>
      </c>
      <c r="C351" s="31">
        <v>5.6</v>
      </c>
      <c r="D351" s="85"/>
    </row>
    <row r="352" spans="1:4" ht="15.75" outlineLevel="1" x14ac:dyDescent="0.2">
      <c r="A352" s="31" t="s">
        <v>33</v>
      </c>
      <c r="B352" s="32" t="s">
        <v>1080</v>
      </c>
      <c r="C352" s="33">
        <v>5.0999999999999996</v>
      </c>
      <c r="D352" s="85"/>
    </row>
    <row r="353" spans="1:4" ht="15.75" outlineLevel="1" x14ac:dyDescent="0.2">
      <c r="A353" s="31" t="s">
        <v>33</v>
      </c>
      <c r="B353" s="32" t="s">
        <v>91</v>
      </c>
      <c r="C353" s="31">
        <v>5.14</v>
      </c>
      <c r="D353" s="85"/>
    </row>
    <row r="354" spans="1:4" ht="15.75" outlineLevel="1" x14ac:dyDescent="0.2">
      <c r="A354" s="31" t="s">
        <v>33</v>
      </c>
      <c r="B354" s="32" t="s">
        <v>68</v>
      </c>
      <c r="C354" s="31">
        <v>5.19</v>
      </c>
      <c r="D354" s="85"/>
    </row>
    <row r="355" spans="1:4" ht="15.75" outlineLevel="1" x14ac:dyDescent="0.2">
      <c r="A355" s="31" t="s">
        <v>33</v>
      </c>
      <c r="B355" s="32" t="s">
        <v>82</v>
      </c>
      <c r="C355" s="31">
        <v>5.24</v>
      </c>
      <c r="D355" s="85"/>
    </row>
    <row r="356" spans="1:4" ht="15.75" outlineLevel="1" x14ac:dyDescent="0.2">
      <c r="A356" s="31" t="s">
        <v>33</v>
      </c>
      <c r="B356" s="32" t="s">
        <v>54</v>
      </c>
      <c r="C356" s="31">
        <v>5.26</v>
      </c>
      <c r="D356" s="85"/>
    </row>
    <row r="357" spans="1:4" ht="15.75" outlineLevel="1" x14ac:dyDescent="0.2">
      <c r="A357" s="31" t="s">
        <v>33</v>
      </c>
      <c r="B357" s="32" t="s">
        <v>55</v>
      </c>
      <c r="C357" s="31">
        <v>5.27</v>
      </c>
      <c r="D357" s="85"/>
    </row>
    <row r="358" spans="1:4" ht="15.75" outlineLevel="1" x14ac:dyDescent="0.2">
      <c r="A358" s="31" t="s">
        <v>33</v>
      </c>
      <c r="B358" s="32" t="s">
        <v>69</v>
      </c>
      <c r="C358" s="31">
        <v>5.28</v>
      </c>
      <c r="D358" s="85"/>
    </row>
    <row r="359" spans="1:4" ht="15.75" outlineLevel="1" x14ac:dyDescent="0.2">
      <c r="A359" s="31" t="s">
        <v>33</v>
      </c>
      <c r="B359" s="32" t="s">
        <v>83</v>
      </c>
      <c r="C359" s="31">
        <v>5.31</v>
      </c>
      <c r="D359" s="85"/>
    </row>
    <row r="360" spans="1:4" ht="15.75" outlineLevel="1" x14ac:dyDescent="0.2">
      <c r="A360" s="31" t="s">
        <v>33</v>
      </c>
      <c r="B360" s="32" t="s">
        <v>56</v>
      </c>
      <c r="C360" s="31">
        <v>5.36</v>
      </c>
      <c r="D360" s="85"/>
    </row>
    <row r="361" spans="1:4" ht="15.75" outlineLevel="1" x14ac:dyDescent="0.2">
      <c r="A361" s="31" t="s">
        <v>33</v>
      </c>
      <c r="B361" s="32" t="s">
        <v>97</v>
      </c>
      <c r="C361" s="31">
        <v>5.37</v>
      </c>
      <c r="D361" s="85"/>
    </row>
    <row r="362" spans="1:4" ht="15.75" outlineLevel="1" x14ac:dyDescent="0.2">
      <c r="A362" s="31" t="s">
        <v>33</v>
      </c>
      <c r="B362" s="32" t="s">
        <v>71</v>
      </c>
      <c r="C362" s="31">
        <v>5.49</v>
      </c>
      <c r="D362" s="85"/>
    </row>
    <row r="363" spans="1:4" ht="15.75" outlineLevel="1" x14ac:dyDescent="0.2">
      <c r="A363" s="31" t="s">
        <v>33</v>
      </c>
      <c r="B363" s="32" t="s">
        <v>58</v>
      </c>
      <c r="C363" s="31">
        <v>5.51</v>
      </c>
      <c r="D363" s="85"/>
    </row>
    <row r="364" spans="1:4" ht="15.75" outlineLevel="1" x14ac:dyDescent="0.2">
      <c r="A364" s="31" t="s">
        <v>33</v>
      </c>
      <c r="B364" s="32" t="s">
        <v>1081</v>
      </c>
      <c r="C364" s="31">
        <v>5.52</v>
      </c>
      <c r="D364" s="85"/>
    </row>
    <row r="365" spans="1:4" ht="15.75" outlineLevel="1" x14ac:dyDescent="0.2">
      <c r="A365" s="31" t="s">
        <v>33</v>
      </c>
      <c r="B365" s="32" t="s">
        <v>59</v>
      </c>
      <c r="C365" s="31">
        <v>5.53</v>
      </c>
      <c r="D365" s="85"/>
    </row>
    <row r="366" spans="1:4" ht="15.75" outlineLevel="1" x14ac:dyDescent="0.2">
      <c r="A366" s="31" t="s">
        <v>33</v>
      </c>
      <c r="B366" s="32" t="s">
        <v>72</v>
      </c>
      <c r="C366" s="31">
        <v>5.69</v>
      </c>
      <c r="D366" s="85"/>
    </row>
    <row r="367" spans="1:4" ht="15.75" outlineLevel="1" x14ac:dyDescent="0.2">
      <c r="A367" s="31" t="s">
        <v>33</v>
      </c>
      <c r="B367" s="32" t="s">
        <v>98</v>
      </c>
      <c r="C367" s="33">
        <v>5.8</v>
      </c>
      <c r="D367" s="85"/>
    </row>
    <row r="368" spans="1:4" ht="15.75" outlineLevel="1" x14ac:dyDescent="0.2">
      <c r="A368" s="31" t="s">
        <v>33</v>
      </c>
      <c r="B368" s="32" t="s">
        <v>85</v>
      </c>
      <c r="C368" s="33">
        <v>5.72</v>
      </c>
      <c r="D368" s="85"/>
    </row>
    <row r="369" spans="1:4" ht="15.75" outlineLevel="1" x14ac:dyDescent="0.2">
      <c r="A369" s="31" t="s">
        <v>33</v>
      </c>
      <c r="B369" s="32" t="s">
        <v>73</v>
      </c>
      <c r="C369" s="31">
        <v>5.75</v>
      </c>
      <c r="D369" s="85"/>
    </row>
    <row r="370" spans="1:4" ht="15.75" outlineLevel="1" x14ac:dyDescent="0.2">
      <c r="A370" s="31" t="s">
        <v>33</v>
      </c>
      <c r="B370" s="32" t="s">
        <v>62</v>
      </c>
      <c r="C370" s="33">
        <v>5.7</v>
      </c>
      <c r="D370" s="85"/>
    </row>
    <row r="371" spans="1:4" ht="15.75" outlineLevel="1" x14ac:dyDescent="0.2">
      <c r="A371" s="31" t="s">
        <v>33</v>
      </c>
      <c r="B371" s="32" t="s">
        <v>74</v>
      </c>
      <c r="C371" s="31">
        <v>5.74</v>
      </c>
      <c r="D371" s="85"/>
    </row>
    <row r="372" spans="1:4" ht="15.75" outlineLevel="1" x14ac:dyDescent="0.2">
      <c r="A372" s="31" t="s">
        <v>33</v>
      </c>
      <c r="B372" s="32" t="s">
        <v>86</v>
      </c>
      <c r="C372" s="31">
        <v>5.76</v>
      </c>
      <c r="D372" s="85"/>
    </row>
    <row r="373" spans="1:4" ht="15.75" outlineLevel="1" x14ac:dyDescent="0.2">
      <c r="A373" s="31" t="s">
        <v>33</v>
      </c>
      <c r="B373" s="32" t="s">
        <v>87</v>
      </c>
      <c r="C373" s="31">
        <v>5.89</v>
      </c>
      <c r="D373" s="191" t="s">
        <v>2690</v>
      </c>
    </row>
    <row r="374" spans="1:4" ht="15.75" outlineLevel="1" x14ac:dyDescent="0.2">
      <c r="A374" s="31" t="s">
        <v>33</v>
      </c>
      <c r="B374" s="32" t="s">
        <v>103</v>
      </c>
      <c r="C374" s="31">
        <v>5.109</v>
      </c>
      <c r="D374" s="84"/>
    </row>
    <row r="375" spans="1:4" ht="15.75" outlineLevel="1" x14ac:dyDescent="0.2">
      <c r="A375" s="31" t="s">
        <v>33</v>
      </c>
      <c r="B375" s="32" t="s">
        <v>104</v>
      </c>
      <c r="C375" s="31">
        <v>5.1109999999999998</v>
      </c>
      <c r="D375" s="85"/>
    </row>
    <row r="376" spans="1:4" ht="15.75" outlineLevel="1" x14ac:dyDescent="0.2">
      <c r="A376" s="31" t="s">
        <v>33</v>
      </c>
      <c r="B376" s="32" t="s">
        <v>106</v>
      </c>
      <c r="C376" s="31">
        <v>5.1120000000000001</v>
      </c>
      <c r="D376" s="85"/>
    </row>
    <row r="377" spans="1:4" ht="15.75" outlineLevel="1" x14ac:dyDescent="0.2">
      <c r="A377" s="31" t="s">
        <v>33</v>
      </c>
      <c r="B377" s="32" t="s">
        <v>1084</v>
      </c>
      <c r="C377" s="31">
        <v>5.1130000000000004</v>
      </c>
      <c r="D377" s="85"/>
    </row>
    <row r="378" spans="1:4" ht="15.75" outlineLevel="1" x14ac:dyDescent="0.2">
      <c r="A378" s="31" t="s">
        <v>33</v>
      </c>
      <c r="B378" s="32" t="s">
        <v>76</v>
      </c>
      <c r="C378" s="31">
        <v>5.58</v>
      </c>
      <c r="D378" s="85"/>
    </row>
    <row r="379" spans="1:4" ht="15.75" outlineLevel="1" x14ac:dyDescent="0.2">
      <c r="A379" s="31" t="s">
        <v>33</v>
      </c>
      <c r="B379" s="32" t="s">
        <v>61</v>
      </c>
      <c r="C379" s="31">
        <v>5.54</v>
      </c>
      <c r="D379" s="85"/>
    </row>
    <row r="380" spans="1:4" ht="15.75" outlineLevel="1" x14ac:dyDescent="0.2">
      <c r="A380" s="31" t="s">
        <v>33</v>
      </c>
      <c r="B380" s="32" t="s">
        <v>77</v>
      </c>
      <c r="C380" s="31">
        <v>5.55</v>
      </c>
      <c r="D380" s="85"/>
    </row>
    <row r="381" spans="1:4" ht="15.75" outlineLevel="1" x14ac:dyDescent="0.2">
      <c r="A381" s="31" t="s">
        <v>33</v>
      </c>
      <c r="B381" s="32" t="s">
        <v>63</v>
      </c>
      <c r="C381" s="31">
        <v>5.63</v>
      </c>
      <c r="D381" s="85"/>
    </row>
    <row r="382" spans="1:4" ht="15.75" outlineLevel="1" x14ac:dyDescent="0.2">
      <c r="A382" s="31" t="s">
        <v>33</v>
      </c>
      <c r="B382" s="32" t="s">
        <v>78</v>
      </c>
      <c r="C382" s="31">
        <v>5.65</v>
      </c>
      <c r="D382" s="85"/>
    </row>
    <row r="383" spans="1:4" ht="15.75" outlineLevel="1" x14ac:dyDescent="0.2">
      <c r="A383" s="31" t="s">
        <v>33</v>
      </c>
      <c r="B383" s="32" t="s">
        <v>88</v>
      </c>
      <c r="C383" s="31">
        <v>5.66</v>
      </c>
      <c r="D383" s="85"/>
    </row>
    <row r="384" spans="1:4" ht="15.75" outlineLevel="1" x14ac:dyDescent="0.2">
      <c r="A384" s="31" t="s">
        <v>33</v>
      </c>
      <c r="B384" s="32" t="s">
        <v>17</v>
      </c>
      <c r="C384" s="31">
        <v>5.68</v>
      </c>
      <c r="D384" s="85"/>
    </row>
    <row r="385" spans="1:4" ht="15.75" outlineLevel="1" x14ac:dyDescent="0.2">
      <c r="A385" s="31" t="s">
        <v>33</v>
      </c>
      <c r="B385" s="32" t="s">
        <v>64</v>
      </c>
      <c r="C385" s="31">
        <v>5.47</v>
      </c>
      <c r="D385" s="85"/>
    </row>
    <row r="386" spans="1:4" ht="15.75" outlineLevel="1" x14ac:dyDescent="0.2">
      <c r="A386" s="31" t="s">
        <v>33</v>
      </c>
      <c r="B386" s="32" t="s">
        <v>65</v>
      </c>
      <c r="C386" s="31">
        <v>5.48</v>
      </c>
      <c r="D386" s="85"/>
    </row>
    <row r="387" spans="1:4" ht="15.75" x14ac:dyDescent="0.2">
      <c r="A387" s="36" t="s">
        <v>33</v>
      </c>
      <c r="B387" s="32"/>
      <c r="C387" s="31"/>
      <c r="D387" s="85"/>
    </row>
    <row r="388" spans="1:4" ht="15.75" outlineLevel="1" x14ac:dyDescent="0.2">
      <c r="A388" s="31" t="s">
        <v>34</v>
      </c>
      <c r="B388" s="32" t="s">
        <v>49</v>
      </c>
      <c r="C388" s="31">
        <v>5.0999999999999996</v>
      </c>
      <c r="D388" s="85"/>
    </row>
    <row r="389" spans="1:4" ht="15.75" outlineLevel="1" x14ac:dyDescent="0.2">
      <c r="A389" s="31" t="s">
        <v>34</v>
      </c>
      <c r="B389" s="32" t="s">
        <v>50</v>
      </c>
      <c r="C389" s="31">
        <v>5.2</v>
      </c>
      <c r="D389" s="85"/>
    </row>
    <row r="390" spans="1:4" ht="15.75" outlineLevel="1" x14ac:dyDescent="0.2">
      <c r="A390" s="31" t="s">
        <v>34</v>
      </c>
      <c r="B390" s="32" t="s">
        <v>66</v>
      </c>
      <c r="C390" s="31">
        <v>5.3</v>
      </c>
      <c r="D390" s="85"/>
    </row>
    <row r="391" spans="1:4" ht="15.75" outlineLevel="1" x14ac:dyDescent="0.2">
      <c r="A391" s="31" t="s">
        <v>34</v>
      </c>
      <c r="B391" s="32" t="s">
        <v>80</v>
      </c>
      <c r="C391" s="31">
        <v>5.6</v>
      </c>
      <c r="D391" s="85"/>
    </row>
    <row r="392" spans="1:4" ht="15.75" outlineLevel="1" x14ac:dyDescent="0.2">
      <c r="A392" s="31" t="s">
        <v>34</v>
      </c>
      <c r="B392" s="32" t="s">
        <v>1080</v>
      </c>
      <c r="C392" s="33">
        <v>5.0999999999999996</v>
      </c>
      <c r="D392" s="85"/>
    </row>
    <row r="393" spans="1:4" ht="15.75" outlineLevel="1" x14ac:dyDescent="0.2">
      <c r="A393" s="31" t="s">
        <v>34</v>
      </c>
      <c r="B393" s="32" t="s">
        <v>91</v>
      </c>
      <c r="C393" s="31">
        <v>5.14</v>
      </c>
      <c r="D393" s="85"/>
    </row>
    <row r="394" spans="1:4" ht="15.75" outlineLevel="1" x14ac:dyDescent="0.2">
      <c r="A394" s="31" t="s">
        <v>34</v>
      </c>
      <c r="B394" s="32" t="s">
        <v>68</v>
      </c>
      <c r="C394" s="31">
        <v>5.19</v>
      </c>
      <c r="D394" s="85"/>
    </row>
    <row r="395" spans="1:4" ht="15.75" outlineLevel="1" x14ac:dyDescent="0.2">
      <c r="A395" s="31" t="s">
        <v>34</v>
      </c>
      <c r="B395" s="32" t="s">
        <v>82</v>
      </c>
      <c r="C395" s="31">
        <v>5.24</v>
      </c>
      <c r="D395" s="85"/>
    </row>
    <row r="396" spans="1:4" ht="15.75" outlineLevel="1" x14ac:dyDescent="0.2">
      <c r="A396" s="31" t="s">
        <v>34</v>
      </c>
      <c r="B396" s="32" t="s">
        <v>54</v>
      </c>
      <c r="C396" s="31">
        <v>5.26</v>
      </c>
      <c r="D396" s="85"/>
    </row>
    <row r="397" spans="1:4" ht="15.75" outlineLevel="1" x14ac:dyDescent="0.2">
      <c r="A397" s="31" t="s">
        <v>34</v>
      </c>
      <c r="B397" s="32" t="s">
        <v>55</v>
      </c>
      <c r="C397" s="31">
        <v>5.27</v>
      </c>
      <c r="D397" s="85"/>
    </row>
    <row r="398" spans="1:4" ht="15.75" outlineLevel="1" x14ac:dyDescent="0.2">
      <c r="A398" s="31" t="s">
        <v>34</v>
      </c>
      <c r="B398" s="32" t="s">
        <v>69</v>
      </c>
      <c r="C398" s="31">
        <v>5.28</v>
      </c>
      <c r="D398" s="85"/>
    </row>
    <row r="399" spans="1:4" ht="15.75" outlineLevel="1" x14ac:dyDescent="0.2">
      <c r="A399" s="31" t="s">
        <v>34</v>
      </c>
      <c r="B399" s="32" t="s">
        <v>89</v>
      </c>
      <c r="C399" s="31">
        <v>5.29</v>
      </c>
      <c r="D399" s="85"/>
    </row>
    <row r="400" spans="1:4" ht="15.75" outlineLevel="1" x14ac:dyDescent="0.2">
      <c r="A400" s="31" t="s">
        <v>34</v>
      </c>
      <c r="B400" s="32" t="s">
        <v>83</v>
      </c>
      <c r="C400" s="31">
        <v>5.31</v>
      </c>
      <c r="D400" s="85"/>
    </row>
    <row r="401" spans="1:4" ht="15.75" outlineLevel="1" x14ac:dyDescent="0.2">
      <c r="A401" s="31" t="s">
        <v>34</v>
      </c>
      <c r="B401" s="32" t="s">
        <v>56</v>
      </c>
      <c r="C401" s="31">
        <v>5.36</v>
      </c>
      <c r="D401" s="85"/>
    </row>
    <row r="402" spans="1:4" ht="15.75" outlineLevel="1" x14ac:dyDescent="0.2">
      <c r="A402" s="31" t="s">
        <v>34</v>
      </c>
      <c r="B402" s="32" t="s">
        <v>97</v>
      </c>
      <c r="C402" s="31">
        <v>5.37</v>
      </c>
      <c r="D402" s="85"/>
    </row>
    <row r="403" spans="1:4" ht="15.75" outlineLevel="1" x14ac:dyDescent="0.2">
      <c r="A403" s="31" t="s">
        <v>34</v>
      </c>
      <c r="B403" s="32" t="s">
        <v>71</v>
      </c>
      <c r="C403" s="31">
        <v>5.49</v>
      </c>
      <c r="D403" s="85"/>
    </row>
    <row r="404" spans="1:4" ht="15.75" outlineLevel="1" x14ac:dyDescent="0.2">
      <c r="A404" s="31" t="s">
        <v>34</v>
      </c>
      <c r="B404" s="32" t="s">
        <v>58</v>
      </c>
      <c r="C404" s="31">
        <v>5.51</v>
      </c>
      <c r="D404" s="85"/>
    </row>
    <row r="405" spans="1:4" ht="15.75" outlineLevel="1" x14ac:dyDescent="0.2">
      <c r="A405" s="31" t="s">
        <v>34</v>
      </c>
      <c r="B405" s="32" t="s">
        <v>1081</v>
      </c>
      <c r="C405" s="31">
        <v>5.52</v>
      </c>
      <c r="D405" s="85"/>
    </row>
    <row r="406" spans="1:4" ht="15.75" outlineLevel="1" x14ac:dyDescent="0.2">
      <c r="A406" s="31" t="s">
        <v>34</v>
      </c>
      <c r="B406" s="32" t="s">
        <v>59</v>
      </c>
      <c r="C406" s="31">
        <v>5.53</v>
      </c>
      <c r="D406" s="85"/>
    </row>
    <row r="407" spans="1:4" ht="15.75" outlineLevel="1" x14ac:dyDescent="0.2">
      <c r="A407" s="31" t="s">
        <v>34</v>
      </c>
      <c r="B407" s="32" t="s">
        <v>72</v>
      </c>
      <c r="C407" s="31">
        <v>5.69</v>
      </c>
      <c r="D407" s="85"/>
    </row>
    <row r="408" spans="1:4" ht="15.75" outlineLevel="1" x14ac:dyDescent="0.2">
      <c r="A408" s="31" t="s">
        <v>34</v>
      </c>
      <c r="B408" s="32" t="s">
        <v>73</v>
      </c>
      <c r="C408" s="31">
        <v>5.75</v>
      </c>
      <c r="D408" s="85"/>
    </row>
    <row r="409" spans="1:4" ht="15.75" outlineLevel="1" x14ac:dyDescent="0.2">
      <c r="A409" s="31" t="s">
        <v>34</v>
      </c>
      <c r="B409" s="32" t="s">
        <v>74</v>
      </c>
      <c r="C409" s="31">
        <v>5.74</v>
      </c>
      <c r="D409" s="85"/>
    </row>
    <row r="410" spans="1:4" ht="15.75" outlineLevel="1" x14ac:dyDescent="0.2">
      <c r="A410" s="31" t="s">
        <v>34</v>
      </c>
      <c r="B410" s="32" t="s">
        <v>62</v>
      </c>
      <c r="C410" s="33">
        <v>5.7</v>
      </c>
      <c r="D410" s="85"/>
    </row>
    <row r="411" spans="1:4" ht="15.75" outlineLevel="1" x14ac:dyDescent="0.2">
      <c r="A411" s="31" t="s">
        <v>34</v>
      </c>
      <c r="B411" s="32" t="s">
        <v>86</v>
      </c>
      <c r="C411" s="31">
        <v>5.76</v>
      </c>
      <c r="D411" s="85"/>
    </row>
    <row r="412" spans="1:4" ht="15.75" outlineLevel="1" x14ac:dyDescent="0.2">
      <c r="A412" s="31" t="s">
        <v>34</v>
      </c>
      <c r="B412" s="32" t="s">
        <v>87</v>
      </c>
      <c r="C412" s="31">
        <v>5.89</v>
      </c>
      <c r="D412" s="191" t="s">
        <v>2690</v>
      </c>
    </row>
    <row r="413" spans="1:4" ht="15.75" outlineLevel="1" x14ac:dyDescent="0.2">
      <c r="A413" s="31" t="s">
        <v>34</v>
      </c>
      <c r="B413" s="32" t="s">
        <v>103</v>
      </c>
      <c r="C413" s="31">
        <v>5.109</v>
      </c>
      <c r="D413" s="85"/>
    </row>
    <row r="414" spans="1:4" ht="15.75" outlineLevel="1" x14ac:dyDescent="0.2">
      <c r="A414" s="31" t="s">
        <v>34</v>
      </c>
      <c r="B414" s="32" t="s">
        <v>104</v>
      </c>
      <c r="C414" s="31">
        <v>5.1109999999999998</v>
      </c>
      <c r="D414" s="85"/>
    </row>
    <row r="415" spans="1:4" ht="15.75" outlineLevel="1" x14ac:dyDescent="0.2">
      <c r="A415" s="31" t="s">
        <v>34</v>
      </c>
      <c r="B415" s="32" t="s">
        <v>106</v>
      </c>
      <c r="C415" s="31">
        <v>5.1120000000000001</v>
      </c>
      <c r="D415" s="85"/>
    </row>
    <row r="416" spans="1:4" ht="15.75" outlineLevel="1" x14ac:dyDescent="0.2">
      <c r="A416" s="31" t="s">
        <v>34</v>
      </c>
      <c r="B416" s="32" t="s">
        <v>1084</v>
      </c>
      <c r="C416" s="31">
        <v>5.1130000000000004</v>
      </c>
      <c r="D416" s="85"/>
    </row>
    <row r="417" spans="1:4" ht="15.75" outlineLevel="1" x14ac:dyDescent="0.2">
      <c r="A417" s="31" t="s">
        <v>34</v>
      </c>
      <c r="B417" s="32" t="s">
        <v>76</v>
      </c>
      <c r="C417" s="31">
        <v>5.58</v>
      </c>
      <c r="D417" s="85"/>
    </row>
    <row r="418" spans="1:4" ht="15.75" outlineLevel="1" x14ac:dyDescent="0.2">
      <c r="A418" s="31" t="s">
        <v>34</v>
      </c>
      <c r="B418" s="32" t="s">
        <v>61</v>
      </c>
      <c r="C418" s="31">
        <v>5.54</v>
      </c>
      <c r="D418" s="85"/>
    </row>
    <row r="419" spans="1:4" ht="15.75" outlineLevel="1" x14ac:dyDescent="0.2">
      <c r="A419" s="31" t="s">
        <v>34</v>
      </c>
      <c r="B419" s="32" t="s">
        <v>77</v>
      </c>
      <c r="C419" s="31">
        <v>5.55</v>
      </c>
      <c r="D419" s="85"/>
    </row>
    <row r="420" spans="1:4" ht="15.75" outlineLevel="1" x14ac:dyDescent="0.2">
      <c r="A420" s="31" t="s">
        <v>34</v>
      </c>
      <c r="B420" s="32" t="s">
        <v>63</v>
      </c>
      <c r="C420" s="31">
        <v>5.63</v>
      </c>
      <c r="D420" s="85"/>
    </row>
    <row r="421" spans="1:4" ht="15.75" outlineLevel="1" x14ac:dyDescent="0.2">
      <c r="A421" s="31" t="s">
        <v>34</v>
      </c>
      <c r="B421" s="32" t="s">
        <v>78</v>
      </c>
      <c r="C421" s="31">
        <v>5.65</v>
      </c>
      <c r="D421" s="85"/>
    </row>
    <row r="422" spans="1:4" ht="15.75" outlineLevel="1" x14ac:dyDescent="0.2">
      <c r="A422" s="31" t="s">
        <v>34</v>
      </c>
      <c r="B422" s="32" t="s">
        <v>88</v>
      </c>
      <c r="C422" s="31">
        <v>5.66</v>
      </c>
      <c r="D422" s="85"/>
    </row>
    <row r="423" spans="1:4" ht="15.75" outlineLevel="1" x14ac:dyDescent="0.2">
      <c r="A423" s="31" t="s">
        <v>34</v>
      </c>
      <c r="B423" s="32" t="s">
        <v>17</v>
      </c>
      <c r="C423" s="31">
        <v>5.68</v>
      </c>
      <c r="D423" s="85"/>
    </row>
    <row r="424" spans="1:4" ht="15.75" outlineLevel="1" x14ac:dyDescent="0.2">
      <c r="A424" s="31" t="s">
        <v>34</v>
      </c>
      <c r="B424" s="32" t="s">
        <v>64</v>
      </c>
      <c r="C424" s="31">
        <v>5.47</v>
      </c>
      <c r="D424" s="85"/>
    </row>
    <row r="425" spans="1:4" ht="15.75" outlineLevel="1" x14ac:dyDescent="0.2">
      <c r="A425" s="31" t="s">
        <v>34</v>
      </c>
      <c r="B425" s="32" t="s">
        <v>65</v>
      </c>
      <c r="C425" s="31">
        <v>5.48</v>
      </c>
      <c r="D425" s="85"/>
    </row>
    <row r="426" spans="1:4" ht="15.75" x14ac:dyDescent="0.2">
      <c r="A426" s="36" t="s">
        <v>34</v>
      </c>
      <c r="B426" s="32"/>
      <c r="C426" s="31"/>
      <c r="D426" s="85"/>
    </row>
    <row r="427" spans="1:4" ht="15.75" outlineLevel="1" x14ac:dyDescent="0.2">
      <c r="A427" s="31" t="s">
        <v>1085</v>
      </c>
      <c r="B427" s="32" t="s">
        <v>49</v>
      </c>
      <c r="C427" s="31">
        <v>5.0999999999999996</v>
      </c>
      <c r="D427" s="85"/>
    </row>
    <row r="428" spans="1:4" ht="15.75" outlineLevel="1" x14ac:dyDescent="0.2">
      <c r="A428" s="31" t="s">
        <v>1085</v>
      </c>
      <c r="B428" s="32" t="s">
        <v>50</v>
      </c>
      <c r="C428" s="31">
        <v>5.2</v>
      </c>
      <c r="D428" s="85"/>
    </row>
    <row r="429" spans="1:4" ht="15.75" outlineLevel="1" x14ac:dyDescent="0.2">
      <c r="A429" s="31" t="s">
        <v>1085</v>
      </c>
      <c r="B429" s="32" t="s">
        <v>66</v>
      </c>
      <c r="C429" s="31">
        <v>5.3</v>
      </c>
      <c r="D429" s="85"/>
    </row>
    <row r="430" spans="1:4" ht="15.75" outlineLevel="1" x14ac:dyDescent="0.2">
      <c r="A430" s="31" t="s">
        <v>1085</v>
      </c>
      <c r="B430" s="32" t="s">
        <v>80</v>
      </c>
      <c r="C430" s="31">
        <v>5.6</v>
      </c>
      <c r="D430" s="85"/>
    </row>
    <row r="431" spans="1:4" ht="15.75" outlineLevel="1" x14ac:dyDescent="0.2">
      <c r="A431" s="31" t="s">
        <v>1085</v>
      </c>
      <c r="B431" s="32" t="s">
        <v>1080</v>
      </c>
      <c r="C431" s="33">
        <v>5.0999999999999996</v>
      </c>
      <c r="D431" s="85"/>
    </row>
    <row r="432" spans="1:4" ht="15.75" outlineLevel="1" x14ac:dyDescent="0.2">
      <c r="A432" s="31" t="s">
        <v>1085</v>
      </c>
      <c r="B432" s="32" t="s">
        <v>91</v>
      </c>
      <c r="C432" s="31">
        <v>5.14</v>
      </c>
      <c r="D432" s="85"/>
    </row>
    <row r="433" spans="1:4" ht="15.75" outlineLevel="1" x14ac:dyDescent="0.2">
      <c r="A433" s="31" t="s">
        <v>1085</v>
      </c>
      <c r="B433" s="32" t="s">
        <v>68</v>
      </c>
      <c r="C433" s="31">
        <v>5.19</v>
      </c>
      <c r="D433" s="85"/>
    </row>
    <row r="434" spans="1:4" ht="15.75" outlineLevel="1" x14ac:dyDescent="0.2">
      <c r="A434" s="31" t="s">
        <v>1085</v>
      </c>
      <c r="B434" s="32" t="s">
        <v>82</v>
      </c>
      <c r="C434" s="31">
        <v>5.24</v>
      </c>
      <c r="D434" s="85"/>
    </row>
    <row r="435" spans="1:4" ht="15.75" outlineLevel="1" x14ac:dyDescent="0.2">
      <c r="A435" s="31" t="s">
        <v>1085</v>
      </c>
      <c r="B435" s="32" t="s">
        <v>54</v>
      </c>
      <c r="C435" s="31">
        <v>5.26</v>
      </c>
      <c r="D435" s="85"/>
    </row>
    <row r="436" spans="1:4" ht="15.75" outlineLevel="1" x14ac:dyDescent="0.2">
      <c r="A436" s="31" t="s">
        <v>1085</v>
      </c>
      <c r="B436" s="32" t="s">
        <v>55</v>
      </c>
      <c r="C436" s="31">
        <v>5.27</v>
      </c>
      <c r="D436" s="85"/>
    </row>
    <row r="437" spans="1:4" ht="15.75" outlineLevel="1" x14ac:dyDescent="0.2">
      <c r="A437" s="31" t="s">
        <v>1085</v>
      </c>
      <c r="B437" s="32" t="s">
        <v>69</v>
      </c>
      <c r="C437" s="31">
        <v>5.28</v>
      </c>
      <c r="D437" s="85"/>
    </row>
    <row r="438" spans="1:4" ht="15.75" outlineLevel="1" x14ac:dyDescent="0.2">
      <c r="A438" s="31" t="s">
        <v>1085</v>
      </c>
      <c r="B438" s="32" t="s">
        <v>89</v>
      </c>
      <c r="C438" s="31">
        <v>5.29</v>
      </c>
      <c r="D438" s="85"/>
    </row>
    <row r="439" spans="1:4" ht="15.75" outlineLevel="1" x14ac:dyDescent="0.2">
      <c r="A439" s="31" t="s">
        <v>1085</v>
      </c>
      <c r="B439" s="32" t="s">
        <v>83</v>
      </c>
      <c r="C439" s="31">
        <v>5.31</v>
      </c>
      <c r="D439" s="85"/>
    </row>
    <row r="440" spans="1:4" ht="15.75" outlineLevel="1" x14ac:dyDescent="0.2">
      <c r="A440" s="31" t="s">
        <v>1085</v>
      </c>
      <c r="B440" s="32" t="s">
        <v>56</v>
      </c>
      <c r="C440" s="31">
        <v>5.36</v>
      </c>
      <c r="D440" s="85"/>
    </row>
    <row r="441" spans="1:4" ht="15.75" outlineLevel="1" x14ac:dyDescent="0.2">
      <c r="A441" s="31" t="s">
        <v>1085</v>
      </c>
      <c r="B441" s="32" t="s">
        <v>97</v>
      </c>
      <c r="C441" s="31">
        <v>5.37</v>
      </c>
      <c r="D441" s="85"/>
    </row>
    <row r="442" spans="1:4" ht="15.75" outlineLevel="1" x14ac:dyDescent="0.2">
      <c r="A442" s="31" t="s">
        <v>1085</v>
      </c>
      <c r="B442" s="32" t="s">
        <v>59</v>
      </c>
      <c r="C442" s="31">
        <v>5.53</v>
      </c>
      <c r="D442" s="85"/>
    </row>
    <row r="443" spans="1:4" ht="15.75" outlineLevel="1" x14ac:dyDescent="0.2">
      <c r="A443" s="31" t="s">
        <v>1085</v>
      </c>
      <c r="B443" s="32" t="s">
        <v>103</v>
      </c>
      <c r="C443" s="31">
        <v>5.109</v>
      </c>
      <c r="D443" s="85"/>
    </row>
    <row r="444" spans="1:4" ht="15.75" outlineLevel="1" x14ac:dyDescent="0.2">
      <c r="A444" s="31" t="s">
        <v>1085</v>
      </c>
      <c r="B444" s="32" t="s">
        <v>104</v>
      </c>
      <c r="C444" s="31">
        <v>5.1109999999999998</v>
      </c>
      <c r="D444" s="85"/>
    </row>
    <row r="445" spans="1:4" ht="15.75" outlineLevel="1" x14ac:dyDescent="0.2">
      <c r="A445" s="31" t="s">
        <v>1085</v>
      </c>
      <c r="B445" s="32" t="s">
        <v>106</v>
      </c>
      <c r="C445" s="31">
        <v>5.1120000000000001</v>
      </c>
      <c r="D445" s="85"/>
    </row>
    <row r="446" spans="1:4" ht="15.75" outlineLevel="1" x14ac:dyDescent="0.2">
      <c r="A446" s="31" t="s">
        <v>1085</v>
      </c>
      <c r="B446" s="32" t="s">
        <v>1084</v>
      </c>
      <c r="C446" s="31">
        <v>5.1130000000000004</v>
      </c>
      <c r="D446" s="85"/>
    </row>
    <row r="447" spans="1:4" ht="15.75" outlineLevel="1" x14ac:dyDescent="0.2">
      <c r="A447" s="31" t="s">
        <v>1085</v>
      </c>
      <c r="B447" s="32" t="s">
        <v>76</v>
      </c>
      <c r="C447" s="31">
        <v>5.58</v>
      </c>
      <c r="D447" s="85"/>
    </row>
    <row r="448" spans="1:4" ht="15.75" outlineLevel="1" x14ac:dyDescent="0.2">
      <c r="A448" s="31" t="s">
        <v>1085</v>
      </c>
      <c r="B448" s="32" t="s">
        <v>61</v>
      </c>
      <c r="C448" s="31">
        <v>5.54</v>
      </c>
      <c r="D448" s="85"/>
    </row>
    <row r="449" spans="1:4" ht="15.75" outlineLevel="1" x14ac:dyDescent="0.2">
      <c r="A449" s="31" t="s">
        <v>1085</v>
      </c>
      <c r="B449" s="32" t="s">
        <v>77</v>
      </c>
      <c r="C449" s="31">
        <v>5.55</v>
      </c>
      <c r="D449" s="85"/>
    </row>
    <row r="450" spans="1:4" ht="15.75" outlineLevel="1" x14ac:dyDescent="0.2">
      <c r="A450" s="31" t="s">
        <v>1085</v>
      </c>
      <c r="B450" s="32" t="s">
        <v>63</v>
      </c>
      <c r="C450" s="31">
        <v>5.63</v>
      </c>
      <c r="D450" s="85"/>
    </row>
    <row r="451" spans="1:4" ht="15.75" outlineLevel="1" x14ac:dyDescent="0.2">
      <c r="A451" s="31" t="s">
        <v>1085</v>
      </c>
      <c r="B451" s="32" t="s">
        <v>64</v>
      </c>
      <c r="C451" s="31">
        <v>5.47</v>
      </c>
      <c r="D451" s="85"/>
    </row>
    <row r="452" spans="1:4" ht="15.75" outlineLevel="1" x14ac:dyDescent="0.2">
      <c r="A452" s="31" t="s">
        <v>1085</v>
      </c>
      <c r="B452" s="32" t="s">
        <v>65</v>
      </c>
      <c r="C452" s="31">
        <v>5.48</v>
      </c>
      <c r="D452" s="85"/>
    </row>
    <row r="453" spans="1:4" ht="15.75" x14ac:dyDescent="0.2">
      <c r="A453" s="36" t="s">
        <v>1085</v>
      </c>
      <c r="B453" s="32"/>
      <c r="C453" s="31"/>
      <c r="D453" s="85"/>
    </row>
    <row r="454" spans="1:4" ht="15.75" outlineLevel="1" x14ac:dyDescent="0.2">
      <c r="A454" s="31" t="s">
        <v>36</v>
      </c>
      <c r="B454" s="32" t="s">
        <v>49</v>
      </c>
      <c r="C454" s="31">
        <v>5.0999999999999996</v>
      </c>
      <c r="D454" s="85"/>
    </row>
    <row r="455" spans="1:4" ht="15.75" outlineLevel="1" x14ac:dyDescent="0.2">
      <c r="A455" s="31" t="s">
        <v>36</v>
      </c>
      <c r="B455" s="32" t="s">
        <v>50</v>
      </c>
      <c r="C455" s="31">
        <v>5.2</v>
      </c>
      <c r="D455" s="85"/>
    </row>
    <row r="456" spans="1:4" ht="15.75" outlineLevel="1" x14ac:dyDescent="0.2">
      <c r="A456" s="31" t="s">
        <v>36</v>
      </c>
      <c r="B456" s="32" t="s">
        <v>108</v>
      </c>
      <c r="C456" s="31">
        <v>5.5</v>
      </c>
      <c r="D456" s="85"/>
    </row>
    <row r="457" spans="1:4" ht="15.75" outlineLevel="1" x14ac:dyDescent="0.2">
      <c r="A457" s="31" t="s">
        <v>36</v>
      </c>
      <c r="B457" s="32" t="s">
        <v>109</v>
      </c>
      <c r="C457" s="31">
        <v>5.8</v>
      </c>
      <c r="D457" s="191" t="s">
        <v>2690</v>
      </c>
    </row>
    <row r="458" spans="1:4" ht="15.75" outlineLevel="1" x14ac:dyDescent="0.2">
      <c r="A458" s="31" t="s">
        <v>36</v>
      </c>
      <c r="B458" s="32" t="s">
        <v>110</v>
      </c>
      <c r="C458" s="31">
        <v>5.12</v>
      </c>
      <c r="D458" s="191" t="s">
        <v>2690</v>
      </c>
    </row>
    <row r="459" spans="1:4" ht="15.75" outlineLevel="1" x14ac:dyDescent="0.2">
      <c r="A459" s="31" t="s">
        <v>36</v>
      </c>
      <c r="B459" s="32" t="s">
        <v>111</v>
      </c>
      <c r="C459" s="31">
        <v>5.15</v>
      </c>
      <c r="D459" s="85"/>
    </row>
    <row r="460" spans="1:4" ht="15.75" outlineLevel="1" x14ac:dyDescent="0.2">
      <c r="A460" s="31" t="s">
        <v>36</v>
      </c>
      <c r="B460" s="32" t="s">
        <v>112</v>
      </c>
      <c r="C460" s="33">
        <v>5.2</v>
      </c>
      <c r="D460" s="84"/>
    </row>
    <row r="461" spans="1:4" ht="15.75" outlineLevel="1" x14ac:dyDescent="0.2">
      <c r="A461" s="31" t="s">
        <v>36</v>
      </c>
      <c r="B461" s="32" t="s">
        <v>113</v>
      </c>
      <c r="C461" s="31">
        <v>5.25</v>
      </c>
      <c r="D461" s="85"/>
    </row>
    <row r="462" spans="1:4" ht="15.75" outlineLevel="1" x14ac:dyDescent="0.2">
      <c r="A462" s="31" t="s">
        <v>36</v>
      </c>
      <c r="B462" s="32" t="s">
        <v>54</v>
      </c>
      <c r="C462" s="31">
        <v>5.26</v>
      </c>
      <c r="D462" s="85"/>
    </row>
    <row r="463" spans="1:4" ht="15.75" outlineLevel="1" x14ac:dyDescent="0.2">
      <c r="A463" s="31" t="s">
        <v>36</v>
      </c>
      <c r="B463" s="32" t="s">
        <v>114</v>
      </c>
      <c r="C463" s="31">
        <v>5.1139999999999999</v>
      </c>
      <c r="D463" s="191" t="s">
        <v>2690</v>
      </c>
    </row>
    <row r="464" spans="1:4" ht="15.75" outlineLevel="1" x14ac:dyDescent="0.2">
      <c r="A464" s="31" t="s">
        <v>36</v>
      </c>
      <c r="B464" s="32" t="s">
        <v>55</v>
      </c>
      <c r="C464" s="31">
        <v>5.27</v>
      </c>
      <c r="D464" s="85"/>
    </row>
    <row r="465" spans="1:4" ht="15.75" outlineLevel="1" x14ac:dyDescent="0.2">
      <c r="A465" s="31" t="s">
        <v>36</v>
      </c>
      <c r="B465" s="32" t="s">
        <v>115</v>
      </c>
      <c r="C465" s="31">
        <v>5.1150000000000002</v>
      </c>
      <c r="D465" s="191" t="s">
        <v>2690</v>
      </c>
    </row>
    <row r="466" spans="1:4" ht="15.75" outlineLevel="1" x14ac:dyDescent="0.2">
      <c r="A466" s="31" t="s">
        <v>36</v>
      </c>
      <c r="B466" s="32" t="s">
        <v>116</v>
      </c>
      <c r="C466" s="31">
        <v>5.1159999999999997</v>
      </c>
      <c r="D466" s="191" t="s">
        <v>2690</v>
      </c>
    </row>
    <row r="467" spans="1:4" ht="15.75" outlineLevel="1" x14ac:dyDescent="0.2">
      <c r="A467" s="31" t="s">
        <v>36</v>
      </c>
      <c r="B467" s="32" t="s">
        <v>69</v>
      </c>
      <c r="C467" s="31">
        <v>5.28</v>
      </c>
      <c r="D467" s="85"/>
    </row>
    <row r="468" spans="1:4" ht="15.75" outlineLevel="1" x14ac:dyDescent="0.2">
      <c r="A468" s="31" t="s">
        <v>36</v>
      </c>
      <c r="B468" s="32" t="s">
        <v>56</v>
      </c>
      <c r="C468" s="31">
        <v>5.36</v>
      </c>
      <c r="D468" s="85"/>
    </row>
    <row r="469" spans="1:4" ht="15.75" outlineLevel="1" x14ac:dyDescent="0.2">
      <c r="A469" s="31" t="s">
        <v>36</v>
      </c>
      <c r="B469" s="32" t="s">
        <v>97</v>
      </c>
      <c r="C469" s="31">
        <v>5.37</v>
      </c>
      <c r="D469" s="85"/>
    </row>
    <row r="470" spans="1:4" ht="15.75" outlineLevel="1" x14ac:dyDescent="0.2">
      <c r="A470" s="31" t="s">
        <v>36</v>
      </c>
      <c r="B470" s="32" t="s">
        <v>59</v>
      </c>
      <c r="C470" s="31">
        <v>5.53</v>
      </c>
      <c r="D470" s="85"/>
    </row>
    <row r="471" spans="1:4" ht="15.75" outlineLevel="1" x14ac:dyDescent="0.2">
      <c r="A471" s="31" t="s">
        <v>36</v>
      </c>
      <c r="B471" s="32" t="s">
        <v>103</v>
      </c>
      <c r="C471" s="31">
        <v>5.109</v>
      </c>
      <c r="D471" s="85"/>
    </row>
    <row r="472" spans="1:4" ht="15.75" outlineLevel="1" x14ac:dyDescent="0.2">
      <c r="A472" s="31" t="s">
        <v>36</v>
      </c>
      <c r="B472" s="32" t="s">
        <v>104</v>
      </c>
      <c r="C472" s="31">
        <v>5.1109999999999998</v>
      </c>
      <c r="D472" s="85"/>
    </row>
    <row r="473" spans="1:4" ht="15.75" outlineLevel="1" x14ac:dyDescent="0.2">
      <c r="A473" s="31" t="s">
        <v>36</v>
      </c>
      <c r="B473" s="32" t="s">
        <v>106</v>
      </c>
      <c r="C473" s="31">
        <v>5.1120000000000001</v>
      </c>
      <c r="D473" s="85"/>
    </row>
    <row r="474" spans="1:4" ht="15.75" outlineLevel="1" x14ac:dyDescent="0.2">
      <c r="A474" s="31" t="s">
        <v>36</v>
      </c>
      <c r="B474" s="32" t="s">
        <v>61</v>
      </c>
      <c r="C474" s="31">
        <v>5.54</v>
      </c>
      <c r="D474" s="85"/>
    </row>
    <row r="475" spans="1:4" ht="15.75" outlineLevel="1" x14ac:dyDescent="0.2">
      <c r="A475" s="31" t="s">
        <v>36</v>
      </c>
      <c r="B475" s="32" t="s">
        <v>1086</v>
      </c>
      <c r="C475" s="31">
        <v>5.61</v>
      </c>
      <c r="D475" s="85"/>
    </row>
    <row r="476" spans="1:4" ht="15.75" outlineLevel="1" x14ac:dyDescent="0.2">
      <c r="A476" s="31" t="s">
        <v>36</v>
      </c>
      <c r="B476" s="32" t="s">
        <v>63</v>
      </c>
      <c r="C476" s="31">
        <v>5.63</v>
      </c>
      <c r="D476" s="85"/>
    </row>
    <row r="477" spans="1:4" ht="15.75" outlineLevel="1" x14ac:dyDescent="0.2">
      <c r="A477" s="31" t="s">
        <v>36</v>
      </c>
      <c r="B477" s="32" t="s">
        <v>118</v>
      </c>
      <c r="C477" s="31">
        <v>5.46</v>
      </c>
      <c r="D477" s="85"/>
    </row>
    <row r="478" spans="1:4" ht="15.75" outlineLevel="1" x14ac:dyDescent="0.2">
      <c r="A478" s="31" t="s">
        <v>36</v>
      </c>
      <c r="B478" s="32" t="s">
        <v>64</v>
      </c>
      <c r="C478" s="31">
        <v>5.47</v>
      </c>
      <c r="D478" s="85"/>
    </row>
    <row r="479" spans="1:4" ht="15.75" outlineLevel="1" x14ac:dyDescent="0.2">
      <c r="A479" s="31" t="s">
        <v>36</v>
      </c>
      <c r="B479" s="32" t="s">
        <v>65</v>
      </c>
      <c r="C479" s="31">
        <v>5.48</v>
      </c>
      <c r="D479" s="85"/>
    </row>
    <row r="480" spans="1:4" ht="15.75" x14ac:dyDescent="0.2">
      <c r="A480" s="36" t="s">
        <v>36</v>
      </c>
      <c r="B480" s="32"/>
      <c r="C480" s="31"/>
      <c r="D480" s="85"/>
    </row>
    <row r="481" spans="1:4" ht="15.75" outlineLevel="1" x14ac:dyDescent="0.2">
      <c r="A481" s="31" t="s">
        <v>37</v>
      </c>
      <c r="B481" s="32" t="s">
        <v>49</v>
      </c>
      <c r="C481" s="31">
        <v>5.0999999999999996</v>
      </c>
      <c r="D481" s="85"/>
    </row>
    <row r="482" spans="1:4" ht="15.75" outlineLevel="1" x14ac:dyDescent="0.2">
      <c r="A482" s="31" t="s">
        <v>37</v>
      </c>
      <c r="B482" s="32" t="s">
        <v>50</v>
      </c>
      <c r="C482" s="31">
        <v>5.2</v>
      </c>
      <c r="D482" s="85"/>
    </row>
    <row r="483" spans="1:4" ht="15.75" outlineLevel="1" x14ac:dyDescent="0.2">
      <c r="A483" s="31" t="s">
        <v>37</v>
      </c>
      <c r="B483" s="32" t="s">
        <v>66</v>
      </c>
      <c r="C483" s="31">
        <v>5.3</v>
      </c>
      <c r="D483" s="85"/>
    </row>
    <row r="484" spans="1:4" ht="15.75" outlineLevel="1" x14ac:dyDescent="0.2">
      <c r="A484" s="31" t="s">
        <v>37</v>
      </c>
      <c r="B484" s="32" t="s">
        <v>80</v>
      </c>
      <c r="C484" s="31">
        <v>5.6</v>
      </c>
      <c r="D484" s="85"/>
    </row>
    <row r="485" spans="1:4" ht="15.75" outlineLevel="1" x14ac:dyDescent="0.2">
      <c r="A485" s="31" t="s">
        <v>37</v>
      </c>
      <c r="B485" s="32" t="s">
        <v>1080</v>
      </c>
      <c r="C485" s="33">
        <v>5.0999999999999996</v>
      </c>
      <c r="D485" s="85"/>
    </row>
    <row r="486" spans="1:4" ht="15.75" outlineLevel="1" x14ac:dyDescent="0.2">
      <c r="A486" s="31" t="s">
        <v>37</v>
      </c>
      <c r="B486" s="32" t="s">
        <v>91</v>
      </c>
      <c r="C486" s="31">
        <v>5.14</v>
      </c>
      <c r="D486" s="85"/>
    </row>
    <row r="487" spans="1:4" ht="15.75" outlineLevel="1" x14ac:dyDescent="0.2">
      <c r="A487" s="31" t="s">
        <v>37</v>
      </c>
      <c r="B487" s="32" t="s">
        <v>68</v>
      </c>
      <c r="C487" s="31">
        <v>5.19</v>
      </c>
      <c r="D487" s="85"/>
    </row>
    <row r="488" spans="1:4" ht="15.75" outlineLevel="1" x14ac:dyDescent="0.2">
      <c r="A488" s="31" t="s">
        <v>37</v>
      </c>
      <c r="B488" s="32" t="s">
        <v>82</v>
      </c>
      <c r="C488" s="31">
        <v>5.24</v>
      </c>
      <c r="D488" s="85"/>
    </row>
    <row r="489" spans="1:4" ht="15.75" outlineLevel="1" x14ac:dyDescent="0.2">
      <c r="A489" s="31" t="s">
        <v>37</v>
      </c>
      <c r="B489" s="32" t="s">
        <v>55</v>
      </c>
      <c r="C489" s="31">
        <v>5.27</v>
      </c>
      <c r="D489" s="85"/>
    </row>
    <row r="490" spans="1:4" ht="15.75" outlineLevel="1" x14ac:dyDescent="0.2">
      <c r="A490" s="31" t="s">
        <v>37</v>
      </c>
      <c r="B490" s="32" t="s">
        <v>69</v>
      </c>
      <c r="C490" s="31">
        <v>5.28</v>
      </c>
      <c r="D490" s="85"/>
    </row>
    <row r="491" spans="1:4" ht="15.75" outlineLevel="1" x14ac:dyDescent="0.2">
      <c r="A491" s="31" t="s">
        <v>37</v>
      </c>
      <c r="B491" s="32" t="s">
        <v>89</v>
      </c>
      <c r="C491" s="31">
        <v>5.29</v>
      </c>
      <c r="D491" s="85"/>
    </row>
    <row r="492" spans="1:4" ht="15.75" outlineLevel="1" x14ac:dyDescent="0.2">
      <c r="A492" s="31" t="s">
        <v>37</v>
      </c>
      <c r="B492" s="32" t="s">
        <v>92</v>
      </c>
      <c r="C492" s="31">
        <v>5.34</v>
      </c>
      <c r="D492" s="85"/>
    </row>
    <row r="493" spans="1:4" ht="15.75" outlineLevel="1" x14ac:dyDescent="0.2">
      <c r="A493" s="31" t="s">
        <v>37</v>
      </c>
      <c r="B493" s="32" t="s">
        <v>83</v>
      </c>
      <c r="C493" s="31">
        <v>5.31</v>
      </c>
      <c r="D493" s="85"/>
    </row>
    <row r="494" spans="1:4" ht="15.75" outlineLevel="1" x14ac:dyDescent="0.2">
      <c r="A494" s="31" t="s">
        <v>37</v>
      </c>
      <c r="B494" s="32" t="s">
        <v>93</v>
      </c>
      <c r="C494" s="31">
        <v>5.101</v>
      </c>
      <c r="D494" s="85"/>
    </row>
    <row r="495" spans="1:4" ht="15.75" outlineLevel="1" x14ac:dyDescent="0.2">
      <c r="A495" s="31" t="s">
        <v>37</v>
      </c>
      <c r="B495" s="32" t="s">
        <v>56</v>
      </c>
      <c r="C495" s="31">
        <v>5.36</v>
      </c>
      <c r="D495" s="85"/>
    </row>
    <row r="496" spans="1:4" ht="15.75" outlineLevel="1" x14ac:dyDescent="0.2">
      <c r="A496" s="31" t="s">
        <v>37</v>
      </c>
      <c r="B496" s="32" t="s">
        <v>97</v>
      </c>
      <c r="C496" s="31">
        <v>5.37</v>
      </c>
      <c r="D496" s="85"/>
    </row>
    <row r="497" spans="1:4" ht="15.75" outlineLevel="1" x14ac:dyDescent="0.2">
      <c r="A497" s="31" t="s">
        <v>37</v>
      </c>
      <c r="B497" s="32" t="s">
        <v>59</v>
      </c>
      <c r="C497" s="31">
        <v>5.53</v>
      </c>
      <c r="D497" s="85"/>
    </row>
    <row r="498" spans="1:4" ht="15.75" outlineLevel="1" x14ac:dyDescent="0.2">
      <c r="A498" s="31" t="s">
        <v>37</v>
      </c>
      <c r="B498" s="32" t="s">
        <v>103</v>
      </c>
      <c r="C498" s="31">
        <v>5.109</v>
      </c>
      <c r="D498" s="85"/>
    </row>
    <row r="499" spans="1:4" ht="15.75" outlineLevel="1" x14ac:dyDescent="0.2">
      <c r="A499" s="31" t="s">
        <v>37</v>
      </c>
      <c r="B499" s="32" t="s">
        <v>104</v>
      </c>
      <c r="C499" s="31">
        <v>5.1109999999999998</v>
      </c>
      <c r="D499" s="85"/>
    </row>
    <row r="500" spans="1:4" ht="15.75" outlineLevel="1" x14ac:dyDescent="0.2">
      <c r="A500" s="31" t="s">
        <v>37</v>
      </c>
      <c r="B500" s="32" t="s">
        <v>106</v>
      </c>
      <c r="C500" s="31">
        <v>5.1120000000000001</v>
      </c>
      <c r="D500" s="85"/>
    </row>
    <row r="501" spans="1:4" ht="15.75" outlineLevel="1" x14ac:dyDescent="0.2">
      <c r="A501" s="31" t="s">
        <v>37</v>
      </c>
      <c r="B501" s="32" t="s">
        <v>94</v>
      </c>
      <c r="C501" s="31">
        <v>5.1020000000000003</v>
      </c>
      <c r="D501" s="85"/>
    </row>
    <row r="502" spans="1:4" ht="15.75" outlineLevel="1" x14ac:dyDescent="0.2">
      <c r="A502" s="31" t="s">
        <v>37</v>
      </c>
      <c r="B502" s="32" t="s">
        <v>95</v>
      </c>
      <c r="C502" s="34">
        <v>5.0999999999999996</v>
      </c>
      <c r="D502" s="85"/>
    </row>
    <row r="503" spans="1:4" ht="15.75" outlineLevel="1" x14ac:dyDescent="0.2">
      <c r="A503" s="31" t="s">
        <v>37</v>
      </c>
      <c r="B503" s="32" t="s">
        <v>76</v>
      </c>
      <c r="C503" s="31">
        <v>5.58</v>
      </c>
      <c r="D503" s="85"/>
    </row>
    <row r="504" spans="1:4" ht="15.75" outlineLevel="1" x14ac:dyDescent="0.2">
      <c r="A504" s="31" t="s">
        <v>37</v>
      </c>
      <c r="B504" s="32" t="s">
        <v>77</v>
      </c>
      <c r="C504" s="31">
        <v>5.55</v>
      </c>
      <c r="D504" s="85"/>
    </row>
    <row r="505" spans="1:4" ht="15.75" outlineLevel="1" x14ac:dyDescent="0.2">
      <c r="A505" s="31" t="s">
        <v>37</v>
      </c>
      <c r="B505" s="32" t="s">
        <v>61</v>
      </c>
      <c r="C505" s="31">
        <v>5.54</v>
      </c>
      <c r="D505" s="85"/>
    </row>
    <row r="506" spans="1:4" ht="15.75" outlineLevel="1" x14ac:dyDescent="0.2">
      <c r="A506" s="31" t="s">
        <v>37</v>
      </c>
      <c r="B506" s="32" t="s">
        <v>63</v>
      </c>
      <c r="C506" s="31">
        <v>5.63</v>
      </c>
      <c r="D506" s="85"/>
    </row>
    <row r="507" spans="1:4" ht="15.75" outlineLevel="1" x14ac:dyDescent="0.2">
      <c r="A507" s="31" t="s">
        <v>37</v>
      </c>
      <c r="B507" s="32" t="s">
        <v>64</v>
      </c>
      <c r="C507" s="31">
        <v>5.47</v>
      </c>
      <c r="D507" s="85"/>
    </row>
    <row r="508" spans="1:4" ht="15.75" outlineLevel="1" x14ac:dyDescent="0.2">
      <c r="A508" s="31" t="s">
        <v>37</v>
      </c>
      <c r="B508" s="32" t="s">
        <v>65</v>
      </c>
      <c r="C508" s="31">
        <v>5.48</v>
      </c>
      <c r="D508" s="85"/>
    </row>
    <row r="509" spans="1:4" ht="15.75" x14ac:dyDescent="0.2">
      <c r="A509" s="36" t="s">
        <v>37</v>
      </c>
      <c r="B509" s="32"/>
      <c r="C509" s="31"/>
      <c r="D509" s="85"/>
    </row>
    <row r="510" spans="1:4" ht="15.75" outlineLevel="1" x14ac:dyDescent="0.2">
      <c r="A510" s="31" t="s">
        <v>38</v>
      </c>
      <c r="B510" s="32" t="s">
        <v>49</v>
      </c>
      <c r="C510" s="31">
        <v>5.0999999999999996</v>
      </c>
      <c r="D510" s="85"/>
    </row>
    <row r="511" spans="1:4" ht="15.75" outlineLevel="1" x14ac:dyDescent="0.2">
      <c r="A511" s="31" t="s">
        <v>38</v>
      </c>
      <c r="B511" s="32" t="s">
        <v>50</v>
      </c>
      <c r="C511" s="31">
        <v>5.2</v>
      </c>
      <c r="D511" s="85"/>
    </row>
    <row r="512" spans="1:4" ht="15.75" outlineLevel="1" x14ac:dyDescent="0.2">
      <c r="A512" s="31" t="s">
        <v>38</v>
      </c>
      <c r="B512" s="32" t="s">
        <v>66</v>
      </c>
      <c r="C512" s="31">
        <v>5.3</v>
      </c>
      <c r="D512" s="85"/>
    </row>
    <row r="513" spans="1:4" ht="15.75" outlineLevel="1" x14ac:dyDescent="0.2">
      <c r="A513" s="31" t="s">
        <v>38</v>
      </c>
      <c r="B513" s="32" t="s">
        <v>80</v>
      </c>
      <c r="C513" s="31">
        <v>5.6</v>
      </c>
      <c r="D513" s="85"/>
    </row>
    <row r="514" spans="1:4" ht="15.75" outlineLevel="1" x14ac:dyDescent="0.2">
      <c r="A514" s="31" t="s">
        <v>38</v>
      </c>
      <c r="B514" s="32" t="s">
        <v>1080</v>
      </c>
      <c r="C514" s="33">
        <v>5.0999999999999996</v>
      </c>
      <c r="D514" s="85"/>
    </row>
    <row r="515" spans="1:4" ht="15.75" outlineLevel="1" x14ac:dyDescent="0.2">
      <c r="A515" s="31" t="s">
        <v>38</v>
      </c>
      <c r="B515" s="32" t="s">
        <v>91</v>
      </c>
      <c r="C515" s="31">
        <v>5.14</v>
      </c>
      <c r="D515" s="85"/>
    </row>
    <row r="516" spans="1:4" ht="15.75" outlineLevel="1" x14ac:dyDescent="0.2">
      <c r="A516" s="31" t="s">
        <v>38</v>
      </c>
      <c r="B516" s="32" t="s">
        <v>68</v>
      </c>
      <c r="C516" s="31">
        <v>5.19</v>
      </c>
      <c r="D516" s="85"/>
    </row>
    <row r="517" spans="1:4" ht="15.75" outlineLevel="1" x14ac:dyDescent="0.2">
      <c r="A517" s="31" t="s">
        <v>38</v>
      </c>
      <c r="B517" s="32" t="s">
        <v>82</v>
      </c>
      <c r="C517" s="31">
        <v>5.24</v>
      </c>
      <c r="D517" s="85"/>
    </row>
    <row r="518" spans="1:4" ht="15.75" outlineLevel="1" x14ac:dyDescent="0.2">
      <c r="A518" s="31" t="s">
        <v>38</v>
      </c>
      <c r="B518" s="32" t="s">
        <v>54</v>
      </c>
      <c r="C518" s="31">
        <v>5.26</v>
      </c>
      <c r="D518" s="85"/>
    </row>
    <row r="519" spans="1:4" ht="15.75" outlineLevel="1" x14ac:dyDescent="0.2">
      <c r="A519" s="31" t="s">
        <v>38</v>
      </c>
      <c r="B519" s="32" t="s">
        <v>55</v>
      </c>
      <c r="C519" s="31">
        <v>5.27</v>
      </c>
      <c r="D519" s="85"/>
    </row>
    <row r="520" spans="1:4" ht="15.75" outlineLevel="1" x14ac:dyDescent="0.2">
      <c r="A520" s="31" t="s">
        <v>38</v>
      </c>
      <c r="B520" s="32" t="s">
        <v>69</v>
      </c>
      <c r="C520" s="31">
        <v>5.28</v>
      </c>
      <c r="D520" s="85"/>
    </row>
    <row r="521" spans="1:4" ht="15.75" outlineLevel="1" x14ac:dyDescent="0.2">
      <c r="A521" s="31" t="s">
        <v>38</v>
      </c>
      <c r="B521" s="32" t="s">
        <v>83</v>
      </c>
      <c r="C521" s="31">
        <v>5.31</v>
      </c>
      <c r="D521" s="85"/>
    </row>
    <row r="522" spans="1:4" ht="15.75" outlineLevel="1" x14ac:dyDescent="0.2">
      <c r="A522" s="31" t="s">
        <v>38</v>
      </c>
      <c r="B522" s="32" t="s">
        <v>96</v>
      </c>
      <c r="C522" s="31">
        <v>5.33</v>
      </c>
      <c r="D522" s="85"/>
    </row>
    <row r="523" spans="1:4" ht="15.75" outlineLevel="1" x14ac:dyDescent="0.2">
      <c r="A523" s="31" t="s">
        <v>38</v>
      </c>
      <c r="B523" s="32" t="s">
        <v>93</v>
      </c>
      <c r="C523" s="31">
        <v>5.101</v>
      </c>
      <c r="D523" s="85"/>
    </row>
    <row r="524" spans="1:4" ht="15.75" outlineLevel="1" x14ac:dyDescent="0.2">
      <c r="A524" s="31" t="s">
        <v>38</v>
      </c>
      <c r="B524" s="32" t="s">
        <v>56</v>
      </c>
      <c r="C524" s="31">
        <v>5.36</v>
      </c>
      <c r="D524" s="85"/>
    </row>
    <row r="525" spans="1:4" ht="15.75" outlineLevel="1" x14ac:dyDescent="0.2">
      <c r="A525" s="31" t="s">
        <v>38</v>
      </c>
      <c r="B525" s="32" t="s">
        <v>97</v>
      </c>
      <c r="C525" s="31">
        <v>5.37</v>
      </c>
      <c r="D525" s="85"/>
    </row>
    <row r="526" spans="1:4" ht="15.75" outlineLevel="1" x14ac:dyDescent="0.2">
      <c r="A526" s="31" t="s">
        <v>38</v>
      </c>
      <c r="B526" s="32" t="s">
        <v>59</v>
      </c>
      <c r="C526" s="31">
        <v>5.53</v>
      </c>
      <c r="D526" s="85"/>
    </row>
    <row r="527" spans="1:4" ht="15.75" outlineLevel="1" x14ac:dyDescent="0.2">
      <c r="A527" s="31" t="s">
        <v>38</v>
      </c>
      <c r="B527" s="32" t="s">
        <v>103</v>
      </c>
      <c r="C527" s="31">
        <v>5.109</v>
      </c>
      <c r="D527" s="85"/>
    </row>
    <row r="528" spans="1:4" ht="15.75" outlineLevel="1" x14ac:dyDescent="0.2">
      <c r="A528" s="31" t="s">
        <v>38</v>
      </c>
      <c r="B528" s="32" t="s">
        <v>104</v>
      </c>
      <c r="C528" s="31">
        <v>5.1109999999999998</v>
      </c>
      <c r="D528" s="85"/>
    </row>
    <row r="529" spans="1:4" ht="15.75" outlineLevel="1" x14ac:dyDescent="0.2">
      <c r="A529" s="31" t="s">
        <v>38</v>
      </c>
      <c r="B529" s="32" t="s">
        <v>106</v>
      </c>
      <c r="C529" s="31">
        <v>5.1120000000000001</v>
      </c>
      <c r="D529" s="85"/>
    </row>
    <row r="530" spans="1:4" ht="15.75" outlineLevel="1" x14ac:dyDescent="0.2">
      <c r="A530" s="31" t="s">
        <v>38</v>
      </c>
      <c r="B530" s="32" t="s">
        <v>94</v>
      </c>
      <c r="C530" s="31">
        <v>5.1020000000000003</v>
      </c>
      <c r="D530" s="85"/>
    </row>
    <row r="531" spans="1:4" ht="15.75" outlineLevel="1" x14ac:dyDescent="0.2">
      <c r="A531" s="31" t="s">
        <v>38</v>
      </c>
      <c r="B531" s="32" t="s">
        <v>95</v>
      </c>
      <c r="C531" s="34">
        <v>5.0999999999999996</v>
      </c>
      <c r="D531" s="85"/>
    </row>
    <row r="532" spans="1:4" ht="15.75" outlineLevel="1" x14ac:dyDescent="0.2">
      <c r="A532" s="31" t="s">
        <v>38</v>
      </c>
      <c r="B532" s="32" t="s">
        <v>76</v>
      </c>
      <c r="C532" s="31">
        <v>5.58</v>
      </c>
      <c r="D532" s="85"/>
    </row>
    <row r="533" spans="1:4" ht="15.75" outlineLevel="1" x14ac:dyDescent="0.2">
      <c r="A533" s="31" t="s">
        <v>38</v>
      </c>
      <c r="B533" s="32" t="s">
        <v>77</v>
      </c>
      <c r="C533" s="31">
        <v>5.55</v>
      </c>
      <c r="D533" s="85"/>
    </row>
    <row r="534" spans="1:4" ht="15.75" outlineLevel="1" x14ac:dyDescent="0.2">
      <c r="A534" s="31" t="s">
        <v>38</v>
      </c>
      <c r="B534" s="32" t="s">
        <v>61</v>
      </c>
      <c r="C534" s="31">
        <v>5.54</v>
      </c>
      <c r="D534" s="85"/>
    </row>
    <row r="535" spans="1:4" ht="15.75" outlineLevel="1" x14ac:dyDescent="0.2">
      <c r="A535" s="31" t="s">
        <v>38</v>
      </c>
      <c r="B535" s="32" t="s">
        <v>63</v>
      </c>
      <c r="C535" s="31">
        <v>5.63</v>
      </c>
      <c r="D535" s="85"/>
    </row>
    <row r="536" spans="1:4" ht="15.75" outlineLevel="1" x14ac:dyDescent="0.2">
      <c r="A536" s="31" t="s">
        <v>38</v>
      </c>
      <c r="B536" s="32" t="s">
        <v>64</v>
      </c>
      <c r="C536" s="31">
        <v>5.47</v>
      </c>
      <c r="D536" s="85"/>
    </row>
    <row r="537" spans="1:4" ht="15.75" outlineLevel="1" x14ac:dyDescent="0.2">
      <c r="A537" s="31" t="s">
        <v>38</v>
      </c>
      <c r="B537" s="32" t="s">
        <v>65</v>
      </c>
      <c r="C537" s="31">
        <v>5.48</v>
      </c>
      <c r="D537" s="85"/>
    </row>
    <row r="538" spans="1:4" ht="15.75" x14ac:dyDescent="0.2">
      <c r="A538" s="36" t="s">
        <v>38</v>
      </c>
      <c r="B538" s="32"/>
      <c r="C538" s="31"/>
      <c r="D538" s="85"/>
    </row>
    <row r="539" spans="1:4" ht="15.75" outlineLevel="1" x14ac:dyDescent="0.2">
      <c r="A539" s="31" t="s">
        <v>39</v>
      </c>
      <c r="B539" s="32" t="s">
        <v>49</v>
      </c>
      <c r="C539" s="31">
        <v>5.0999999999999996</v>
      </c>
      <c r="D539" s="85"/>
    </row>
    <row r="540" spans="1:4" ht="15.75" outlineLevel="1" x14ac:dyDescent="0.2">
      <c r="A540" s="31" t="s">
        <v>39</v>
      </c>
      <c r="B540" s="32" t="s">
        <v>50</v>
      </c>
      <c r="C540" s="31">
        <v>5.2</v>
      </c>
      <c r="D540" s="85"/>
    </row>
    <row r="541" spans="1:4" ht="15.75" outlineLevel="1" x14ac:dyDescent="0.2">
      <c r="A541" s="31" t="s">
        <v>39</v>
      </c>
      <c r="B541" s="32" t="s">
        <v>54</v>
      </c>
      <c r="C541" s="31">
        <v>5.26</v>
      </c>
      <c r="D541" s="85"/>
    </row>
    <row r="542" spans="1:4" ht="15.75" outlineLevel="1" x14ac:dyDescent="0.2">
      <c r="A542" s="31" t="s">
        <v>39</v>
      </c>
      <c r="B542" s="32" t="s">
        <v>120</v>
      </c>
      <c r="C542" s="31">
        <v>5.21</v>
      </c>
      <c r="D542" s="85"/>
    </row>
    <row r="543" spans="1:4" ht="15.75" outlineLevel="1" x14ac:dyDescent="0.2">
      <c r="A543" s="31" t="s">
        <v>39</v>
      </c>
      <c r="B543" s="32" t="s">
        <v>121</v>
      </c>
      <c r="C543" s="31">
        <v>5.53</v>
      </c>
      <c r="D543" s="85"/>
    </row>
    <row r="544" spans="1:4" ht="15.75" outlineLevel="1" x14ac:dyDescent="0.2">
      <c r="A544" s="31" t="s">
        <v>39</v>
      </c>
      <c r="B544" s="32" t="s">
        <v>61</v>
      </c>
      <c r="C544" s="31">
        <v>5.54</v>
      </c>
      <c r="D544" s="85"/>
    </row>
    <row r="545" spans="1:4" ht="15.75" outlineLevel="1" x14ac:dyDescent="0.2">
      <c r="A545" s="31" t="s">
        <v>39</v>
      </c>
      <c r="B545" s="32" t="s">
        <v>122</v>
      </c>
      <c r="C545" s="31">
        <v>5.58</v>
      </c>
      <c r="D545" s="85"/>
    </row>
    <row r="546" spans="1:4" ht="15.75" outlineLevel="1" x14ac:dyDescent="0.2">
      <c r="A546" s="31" t="s">
        <v>39</v>
      </c>
      <c r="B546" s="32" t="s">
        <v>123</v>
      </c>
      <c r="C546" s="31">
        <v>5.1180000000000003</v>
      </c>
      <c r="D546" s="85"/>
    </row>
    <row r="547" spans="1:4" ht="15.75" outlineLevel="1" x14ac:dyDescent="0.2">
      <c r="A547" s="31" t="s">
        <v>39</v>
      </c>
      <c r="B547" s="32" t="s">
        <v>124</v>
      </c>
      <c r="C547" s="31">
        <v>5.47</v>
      </c>
      <c r="D547" s="85"/>
    </row>
    <row r="548" spans="1:4" ht="15.75" outlineLevel="1" x14ac:dyDescent="0.2">
      <c r="A548" s="31" t="s">
        <v>39</v>
      </c>
      <c r="B548" s="32" t="s">
        <v>125</v>
      </c>
      <c r="C548" s="31">
        <v>5.48</v>
      </c>
      <c r="D548" s="85"/>
    </row>
    <row r="549" spans="1:4" ht="15.75" outlineLevel="1" x14ac:dyDescent="0.2">
      <c r="A549" s="31" t="s">
        <v>39</v>
      </c>
      <c r="B549" s="32" t="s">
        <v>126</v>
      </c>
      <c r="C549" s="31">
        <v>5.21</v>
      </c>
      <c r="D549" s="85"/>
    </row>
    <row r="550" spans="1:4" ht="15.75" outlineLevel="1" x14ac:dyDescent="0.2">
      <c r="A550" s="31" t="s">
        <v>39</v>
      </c>
      <c r="B550" s="32" t="s">
        <v>127</v>
      </c>
      <c r="C550" s="31">
        <v>5.53</v>
      </c>
      <c r="D550" s="85"/>
    </row>
    <row r="551" spans="1:4" ht="15.75" outlineLevel="1" x14ac:dyDescent="0.2">
      <c r="A551" s="31" t="s">
        <v>39</v>
      </c>
      <c r="B551" s="32" t="s">
        <v>61</v>
      </c>
      <c r="C551" s="31">
        <v>5.54</v>
      </c>
      <c r="D551" s="85"/>
    </row>
    <row r="552" spans="1:4" ht="15.75" outlineLevel="1" x14ac:dyDescent="0.2">
      <c r="A552" s="31" t="s">
        <v>39</v>
      </c>
      <c r="B552" s="32" t="s">
        <v>128</v>
      </c>
      <c r="C552" s="31">
        <v>5.58</v>
      </c>
      <c r="D552" s="85"/>
    </row>
    <row r="553" spans="1:4" ht="15.75" outlineLevel="1" x14ac:dyDescent="0.2">
      <c r="A553" s="31" t="s">
        <v>39</v>
      </c>
      <c r="B553" s="32" t="s">
        <v>129</v>
      </c>
      <c r="C553" s="31">
        <v>5.1180000000000003</v>
      </c>
      <c r="D553" s="85"/>
    </row>
    <row r="554" spans="1:4" ht="15.75" outlineLevel="1" x14ac:dyDescent="0.2">
      <c r="A554" s="31" t="s">
        <v>39</v>
      </c>
      <c r="B554" s="32" t="s">
        <v>1087</v>
      </c>
      <c r="C554" s="31">
        <v>5.47</v>
      </c>
      <c r="D554" s="85"/>
    </row>
    <row r="555" spans="1:4" ht="15.75" outlineLevel="1" x14ac:dyDescent="0.2">
      <c r="A555" s="31" t="s">
        <v>39</v>
      </c>
      <c r="B555" s="32" t="s">
        <v>1088</v>
      </c>
      <c r="C555" s="31">
        <v>5.48</v>
      </c>
      <c r="D555" s="85"/>
    </row>
    <row r="556" spans="1:4" ht="15.75" outlineLevel="1" x14ac:dyDescent="0.2">
      <c r="A556" s="31" t="s">
        <v>39</v>
      </c>
      <c r="B556" s="32" t="s">
        <v>1089</v>
      </c>
      <c r="C556" s="31">
        <v>5.63</v>
      </c>
      <c r="D556" s="85"/>
    </row>
    <row r="557" spans="1:4" ht="15.75" outlineLevel="1" x14ac:dyDescent="0.2">
      <c r="A557" s="31" t="s">
        <v>39</v>
      </c>
      <c r="B557" s="32" t="s">
        <v>55</v>
      </c>
      <c r="C557" s="31">
        <v>5.27</v>
      </c>
      <c r="D557" s="85"/>
    </row>
    <row r="558" spans="1:4" ht="15.75" outlineLevel="1" x14ac:dyDescent="0.2">
      <c r="A558" s="31" t="s">
        <v>39</v>
      </c>
      <c r="B558" s="32" t="s">
        <v>69</v>
      </c>
      <c r="C558" s="31">
        <v>5.28</v>
      </c>
      <c r="D558" s="85"/>
    </row>
    <row r="559" spans="1:4" ht="15.75" outlineLevel="1" x14ac:dyDescent="0.2">
      <c r="A559" s="31" t="s">
        <v>39</v>
      </c>
      <c r="B559" s="32" t="s">
        <v>133</v>
      </c>
      <c r="C559" s="31">
        <v>5.35</v>
      </c>
      <c r="D559" s="85"/>
    </row>
    <row r="560" spans="1:4" ht="15.75" outlineLevel="1" x14ac:dyDescent="0.2">
      <c r="A560" s="31" t="s">
        <v>39</v>
      </c>
      <c r="B560" s="32" t="s">
        <v>134</v>
      </c>
      <c r="C560" s="31">
        <v>5.1189999999999998</v>
      </c>
      <c r="D560" s="85"/>
    </row>
    <row r="561" spans="1:4" ht="15.75" outlineLevel="1" x14ac:dyDescent="0.2">
      <c r="A561" s="31" t="s">
        <v>39</v>
      </c>
      <c r="B561" s="32" t="s">
        <v>135</v>
      </c>
      <c r="C561" s="34">
        <v>5.12</v>
      </c>
      <c r="D561" s="85"/>
    </row>
    <row r="562" spans="1:4" ht="15.75" outlineLevel="1" x14ac:dyDescent="0.2">
      <c r="A562" s="31" t="s">
        <v>39</v>
      </c>
      <c r="B562" s="32" t="s">
        <v>136</v>
      </c>
      <c r="C562" s="31">
        <v>5.1210000000000004</v>
      </c>
      <c r="D562" s="85"/>
    </row>
    <row r="563" spans="1:4" ht="15.75" outlineLevel="1" x14ac:dyDescent="0.2">
      <c r="A563" s="31" t="s">
        <v>39</v>
      </c>
      <c r="B563" s="32" t="s">
        <v>56</v>
      </c>
      <c r="C563" s="31">
        <v>5.36</v>
      </c>
      <c r="D563" s="85"/>
    </row>
    <row r="564" spans="1:4" ht="15.75" outlineLevel="1" x14ac:dyDescent="0.2">
      <c r="A564" s="31" t="s">
        <v>39</v>
      </c>
      <c r="B564" s="32" t="s">
        <v>137</v>
      </c>
      <c r="C564" s="31">
        <v>5.1219999999999999</v>
      </c>
      <c r="D564" s="85"/>
    </row>
    <row r="565" spans="1:4" ht="15.75" outlineLevel="1" x14ac:dyDescent="0.2">
      <c r="A565" s="31" t="s">
        <v>39</v>
      </c>
      <c r="B565" s="32" t="s">
        <v>138</v>
      </c>
      <c r="C565" s="31">
        <v>5.1230000000000002</v>
      </c>
      <c r="D565" s="85"/>
    </row>
    <row r="566" spans="1:4" ht="15.75" outlineLevel="1" x14ac:dyDescent="0.2">
      <c r="A566" s="31" t="s">
        <v>39</v>
      </c>
      <c r="B566" s="32" t="s">
        <v>139</v>
      </c>
      <c r="C566" s="31">
        <v>5.1239999999999997</v>
      </c>
      <c r="D566" s="85"/>
    </row>
    <row r="567" spans="1:4" ht="15.75" outlineLevel="1" x14ac:dyDescent="0.2">
      <c r="A567" s="31" t="s">
        <v>39</v>
      </c>
      <c r="B567" s="32" t="s">
        <v>140</v>
      </c>
      <c r="C567" s="31">
        <v>5.125</v>
      </c>
      <c r="D567" s="85"/>
    </row>
    <row r="568" spans="1:4" ht="15.75" outlineLevel="1" x14ac:dyDescent="0.2">
      <c r="A568" s="31" t="s">
        <v>39</v>
      </c>
      <c r="B568" s="32" t="s">
        <v>141</v>
      </c>
      <c r="C568" s="31">
        <v>5.1260000000000003</v>
      </c>
      <c r="D568" s="85"/>
    </row>
    <row r="569" spans="1:4" ht="15.75" outlineLevel="1" x14ac:dyDescent="0.2">
      <c r="A569" s="31" t="s">
        <v>39</v>
      </c>
      <c r="B569" s="32" t="s">
        <v>142</v>
      </c>
      <c r="C569" s="31">
        <v>5.1269999999999998</v>
      </c>
      <c r="D569" s="85"/>
    </row>
    <row r="570" spans="1:4" ht="15.75" outlineLevel="1" x14ac:dyDescent="0.2">
      <c r="A570" s="31" t="s">
        <v>39</v>
      </c>
      <c r="B570" s="32" t="s">
        <v>85</v>
      </c>
      <c r="C570" s="33">
        <v>5.72</v>
      </c>
      <c r="D570" s="85"/>
    </row>
    <row r="571" spans="1:4" ht="15.75" outlineLevel="1" x14ac:dyDescent="0.2">
      <c r="A571" s="31" t="s">
        <v>39</v>
      </c>
      <c r="B571" s="32" t="s">
        <v>143</v>
      </c>
      <c r="C571" s="31">
        <v>5.1280000000000001</v>
      </c>
      <c r="D571" s="85"/>
    </row>
    <row r="572" spans="1:4" ht="15.75" outlineLevel="1" x14ac:dyDescent="0.2">
      <c r="A572" s="31" t="s">
        <v>39</v>
      </c>
      <c r="B572" s="32" t="s">
        <v>144</v>
      </c>
      <c r="C572" s="31">
        <v>5.1289999999999996</v>
      </c>
      <c r="D572" s="191" t="s">
        <v>2690</v>
      </c>
    </row>
    <row r="573" spans="1:4" ht="15.75" outlineLevel="1" x14ac:dyDescent="0.2">
      <c r="A573" s="31" t="s">
        <v>39</v>
      </c>
      <c r="B573" s="32" t="s">
        <v>145</v>
      </c>
      <c r="C573" s="31">
        <v>5.1310000000000002</v>
      </c>
      <c r="D573" s="85"/>
    </row>
    <row r="574" spans="1:4" ht="15.75" outlineLevel="1" x14ac:dyDescent="0.2">
      <c r="A574" s="31" t="s">
        <v>39</v>
      </c>
      <c r="B574" s="32" t="s">
        <v>146</v>
      </c>
      <c r="C574" s="31">
        <v>5.1319999999999997</v>
      </c>
      <c r="D574" s="191" t="s">
        <v>2690</v>
      </c>
    </row>
    <row r="575" spans="1:4" ht="15.75" outlineLevel="1" x14ac:dyDescent="0.2">
      <c r="A575" s="31" t="s">
        <v>39</v>
      </c>
      <c r="B575" s="32" t="s">
        <v>147</v>
      </c>
      <c r="C575" s="31">
        <v>5.133</v>
      </c>
      <c r="D575" s="191" t="s">
        <v>2690</v>
      </c>
    </row>
    <row r="576" spans="1:4" ht="15.75" outlineLevel="1" x14ac:dyDescent="0.2">
      <c r="A576" s="31" t="s">
        <v>39</v>
      </c>
      <c r="B576" s="32" t="s">
        <v>148</v>
      </c>
      <c r="C576" s="31">
        <v>5.1340000000000003</v>
      </c>
      <c r="D576" s="191" t="s">
        <v>2690</v>
      </c>
    </row>
    <row r="577" spans="1:4" ht="15.75" outlineLevel="1" x14ac:dyDescent="0.2">
      <c r="A577" s="31" t="s">
        <v>39</v>
      </c>
      <c r="B577" s="32" t="s">
        <v>149</v>
      </c>
      <c r="C577" s="34">
        <v>5.13</v>
      </c>
      <c r="D577" s="85"/>
    </row>
    <row r="578" spans="1:4" ht="15.75" outlineLevel="1" x14ac:dyDescent="0.2">
      <c r="A578" s="31" t="s">
        <v>39</v>
      </c>
      <c r="B578" s="32" t="s">
        <v>64</v>
      </c>
      <c r="C578" s="31">
        <v>5.47</v>
      </c>
      <c r="D578" s="85"/>
    </row>
    <row r="579" spans="1:4" ht="15.75" outlineLevel="1" x14ac:dyDescent="0.2">
      <c r="A579" s="31" t="s">
        <v>39</v>
      </c>
      <c r="B579" s="32" t="s">
        <v>65</v>
      </c>
      <c r="C579" s="31">
        <v>5.48</v>
      </c>
      <c r="D579" s="85"/>
    </row>
    <row r="580" spans="1:4" ht="15.75" x14ac:dyDescent="0.2">
      <c r="A580" s="36" t="s">
        <v>39</v>
      </c>
      <c r="B580" s="32"/>
      <c r="C580" s="31"/>
      <c r="D580" s="85"/>
    </row>
    <row r="581" spans="1:4" ht="15.75" outlineLevel="1" x14ac:dyDescent="0.2">
      <c r="A581" s="31" t="s">
        <v>40</v>
      </c>
      <c r="B581" s="32" t="s">
        <v>49</v>
      </c>
      <c r="C581" s="31">
        <v>5.0999999999999996</v>
      </c>
      <c r="D581" s="85"/>
    </row>
    <row r="582" spans="1:4" ht="15.75" outlineLevel="1" x14ac:dyDescent="0.2">
      <c r="A582" s="31" t="s">
        <v>40</v>
      </c>
      <c r="B582" s="32" t="s">
        <v>50</v>
      </c>
      <c r="C582" s="31">
        <v>5.2</v>
      </c>
      <c r="D582" s="85"/>
    </row>
    <row r="583" spans="1:4" ht="15.75" outlineLevel="1" x14ac:dyDescent="0.2">
      <c r="A583" s="31" t="s">
        <v>40</v>
      </c>
      <c r="B583" s="32" t="s">
        <v>150</v>
      </c>
      <c r="C583" s="31">
        <v>5.9</v>
      </c>
      <c r="D583" s="191" t="s">
        <v>2690</v>
      </c>
    </row>
    <row r="584" spans="1:4" ht="15.75" outlineLevel="1" x14ac:dyDescent="0.2">
      <c r="A584" s="31" t="s">
        <v>40</v>
      </c>
      <c r="B584" s="32" t="s">
        <v>151</v>
      </c>
      <c r="C584" s="31">
        <v>5.13</v>
      </c>
      <c r="D584" s="191" t="s">
        <v>2690</v>
      </c>
    </row>
    <row r="585" spans="1:4" ht="15.75" outlineLevel="1" x14ac:dyDescent="0.2">
      <c r="A585" s="31" t="s">
        <v>40</v>
      </c>
      <c r="B585" s="32" t="s">
        <v>152</v>
      </c>
      <c r="C585" s="31">
        <v>5.16</v>
      </c>
      <c r="D585" s="191" t="s">
        <v>2690</v>
      </c>
    </row>
    <row r="586" spans="1:4" ht="15.75" outlineLevel="1" x14ac:dyDescent="0.2">
      <c r="A586" s="31" t="s">
        <v>40</v>
      </c>
      <c r="B586" s="32" t="s">
        <v>153</v>
      </c>
      <c r="C586" s="31">
        <v>5.22</v>
      </c>
      <c r="D586" s="84"/>
    </row>
    <row r="587" spans="1:4" ht="15.75" outlineLevel="1" x14ac:dyDescent="0.2">
      <c r="A587" s="31" t="s">
        <v>40</v>
      </c>
      <c r="B587" s="32" t="s">
        <v>54</v>
      </c>
      <c r="C587" s="31">
        <v>5.26</v>
      </c>
      <c r="D587" s="85"/>
    </row>
    <row r="588" spans="1:4" ht="15.75" outlineLevel="1" x14ac:dyDescent="0.2">
      <c r="A588" s="31" t="s">
        <v>40</v>
      </c>
      <c r="B588" s="32" t="s">
        <v>154</v>
      </c>
      <c r="C588" s="31">
        <v>5.77</v>
      </c>
      <c r="D588" s="85"/>
    </row>
    <row r="589" spans="1:4" ht="15.75" outlineLevel="1" x14ac:dyDescent="0.2">
      <c r="A589" s="31" t="s">
        <v>40</v>
      </c>
      <c r="B589" s="32" t="s">
        <v>55</v>
      </c>
      <c r="C589" s="31">
        <v>5.27</v>
      </c>
      <c r="D589" s="85"/>
    </row>
    <row r="590" spans="1:4" ht="15.75" outlineLevel="1" x14ac:dyDescent="0.2">
      <c r="A590" s="31" t="s">
        <v>40</v>
      </c>
      <c r="B590" s="32" t="s">
        <v>69</v>
      </c>
      <c r="C590" s="31">
        <v>5.28</v>
      </c>
      <c r="D590" s="191" t="s">
        <v>2690</v>
      </c>
    </row>
    <row r="591" spans="1:4" ht="15.75" outlineLevel="1" x14ac:dyDescent="0.2">
      <c r="A591" s="31" t="s">
        <v>40</v>
      </c>
      <c r="B591" s="32" t="s">
        <v>83</v>
      </c>
      <c r="C591" s="31">
        <v>5.31</v>
      </c>
      <c r="D591" s="85"/>
    </row>
    <row r="592" spans="1:4" ht="15.75" outlineLevel="1" x14ac:dyDescent="0.2">
      <c r="A592" s="31" t="s">
        <v>40</v>
      </c>
      <c r="B592" s="32" t="s">
        <v>56</v>
      </c>
      <c r="C592" s="31">
        <v>5.36</v>
      </c>
      <c r="D592" s="85"/>
    </row>
    <row r="593" spans="1:4" ht="15.75" outlineLevel="1" x14ac:dyDescent="0.2">
      <c r="A593" s="31" t="s">
        <v>40</v>
      </c>
      <c r="B593" s="32" t="s">
        <v>155</v>
      </c>
      <c r="C593" s="31">
        <v>5.78</v>
      </c>
      <c r="D593" s="85"/>
    </row>
    <row r="594" spans="1:4" ht="15.75" outlineLevel="1" x14ac:dyDescent="0.2">
      <c r="A594" s="31" t="s">
        <v>40</v>
      </c>
      <c r="B594" s="32" t="s">
        <v>156</v>
      </c>
      <c r="C594" s="31">
        <v>5.79</v>
      </c>
      <c r="D594" s="191" t="s">
        <v>2690</v>
      </c>
    </row>
    <row r="595" spans="1:4" ht="15.75" outlineLevel="1" x14ac:dyDescent="0.2">
      <c r="A595" s="31" t="s">
        <v>40</v>
      </c>
      <c r="B595" s="32" t="s">
        <v>157</v>
      </c>
      <c r="C595" s="31">
        <v>5.41</v>
      </c>
      <c r="D595" s="85"/>
    </row>
    <row r="596" spans="1:4" ht="15.75" outlineLevel="1" x14ac:dyDescent="0.2">
      <c r="A596" s="31" t="s">
        <v>40</v>
      </c>
      <c r="B596" s="32" t="s">
        <v>71</v>
      </c>
      <c r="C596" s="31">
        <v>5.49</v>
      </c>
      <c r="D596" s="85"/>
    </row>
    <row r="597" spans="1:4" ht="15.75" outlineLevel="1" x14ac:dyDescent="0.2">
      <c r="A597" s="31" t="s">
        <v>40</v>
      </c>
      <c r="B597" s="32" t="s">
        <v>58</v>
      </c>
      <c r="C597" s="31">
        <v>5.51</v>
      </c>
      <c r="D597" s="85"/>
    </row>
    <row r="598" spans="1:4" ht="15.75" outlineLevel="1" x14ac:dyDescent="0.2">
      <c r="A598" s="31" t="s">
        <v>40</v>
      </c>
      <c r="B598" s="32" t="s">
        <v>1090</v>
      </c>
      <c r="C598" s="31">
        <v>5.52</v>
      </c>
      <c r="D598" s="85"/>
    </row>
    <row r="599" spans="1:4" ht="15.75" outlineLevel="1" x14ac:dyDescent="0.2">
      <c r="A599" s="31" t="s">
        <v>40</v>
      </c>
      <c r="B599" s="32" t="s">
        <v>59</v>
      </c>
      <c r="C599" s="31">
        <v>5.53</v>
      </c>
      <c r="D599" s="85"/>
    </row>
    <row r="600" spans="1:4" ht="15.75" outlineLevel="1" x14ac:dyDescent="0.2">
      <c r="A600" s="31" t="s">
        <v>40</v>
      </c>
      <c r="B600" s="32" t="s">
        <v>72</v>
      </c>
      <c r="C600" s="31">
        <v>5.69</v>
      </c>
      <c r="D600" s="85"/>
    </row>
    <row r="601" spans="1:4" ht="15.75" outlineLevel="1" x14ac:dyDescent="0.2">
      <c r="A601" s="31" t="s">
        <v>40</v>
      </c>
      <c r="B601" s="32" t="s">
        <v>159</v>
      </c>
      <c r="C601" s="31">
        <v>5.71</v>
      </c>
      <c r="D601" s="85"/>
    </row>
    <row r="602" spans="1:4" ht="15.75" outlineLevel="1" x14ac:dyDescent="0.2">
      <c r="A602" s="31" t="s">
        <v>40</v>
      </c>
      <c r="B602" s="32" t="s">
        <v>62</v>
      </c>
      <c r="C602" s="33">
        <v>5.7</v>
      </c>
      <c r="D602" s="85"/>
    </row>
    <row r="603" spans="1:4" ht="15.75" outlineLevel="1" x14ac:dyDescent="0.2">
      <c r="A603" s="31" t="s">
        <v>40</v>
      </c>
      <c r="B603" s="32" t="s">
        <v>98</v>
      </c>
      <c r="C603" s="33">
        <v>5.8</v>
      </c>
      <c r="D603" s="191" t="s">
        <v>2690</v>
      </c>
    </row>
    <row r="604" spans="1:4" ht="15.75" outlineLevel="1" x14ac:dyDescent="0.2">
      <c r="A604" s="31" t="s">
        <v>40</v>
      </c>
      <c r="B604" s="32" t="s">
        <v>85</v>
      </c>
      <c r="C604" s="33">
        <v>5.72</v>
      </c>
      <c r="D604" s="191" t="s">
        <v>2690</v>
      </c>
    </row>
    <row r="605" spans="1:4" ht="15.75" outlineLevel="1" x14ac:dyDescent="0.2">
      <c r="A605" s="31" t="s">
        <v>40</v>
      </c>
      <c r="B605" s="32" t="s">
        <v>160</v>
      </c>
      <c r="C605" s="31">
        <v>5.73</v>
      </c>
      <c r="D605" s="191" t="s">
        <v>2690</v>
      </c>
    </row>
    <row r="606" spans="1:4" ht="15.75" outlineLevel="1" x14ac:dyDescent="0.2">
      <c r="A606" s="31" t="s">
        <v>40</v>
      </c>
      <c r="B606" s="32" t="s">
        <v>74</v>
      </c>
      <c r="C606" s="31">
        <v>5.74</v>
      </c>
      <c r="D606" s="85"/>
    </row>
    <row r="607" spans="1:4" ht="15.75" outlineLevel="1" x14ac:dyDescent="0.2">
      <c r="A607" s="31" t="s">
        <v>40</v>
      </c>
      <c r="B607" s="32" t="s">
        <v>73</v>
      </c>
      <c r="C607" s="31">
        <v>5.75</v>
      </c>
      <c r="D607" s="85"/>
    </row>
    <row r="608" spans="1:4" ht="15.75" outlineLevel="1" x14ac:dyDescent="0.2">
      <c r="A608" s="31" t="s">
        <v>40</v>
      </c>
      <c r="B608" s="32" t="s">
        <v>86</v>
      </c>
      <c r="C608" s="31">
        <v>5.76</v>
      </c>
      <c r="D608" s="85"/>
    </row>
    <row r="609" spans="1:4" ht="15.75" outlineLevel="1" x14ac:dyDescent="0.2">
      <c r="A609" s="31" t="s">
        <v>40</v>
      </c>
      <c r="B609" s="32" t="s">
        <v>161</v>
      </c>
      <c r="C609" s="31">
        <v>5.81</v>
      </c>
      <c r="D609" s="191" t="s">
        <v>2690</v>
      </c>
    </row>
    <row r="610" spans="1:4" ht="15.75" outlineLevel="1" x14ac:dyDescent="0.2">
      <c r="A610" s="31" t="s">
        <v>40</v>
      </c>
      <c r="B610" s="32" t="s">
        <v>162</v>
      </c>
      <c r="C610" s="31">
        <v>5.82</v>
      </c>
      <c r="D610" s="191" t="s">
        <v>2690</v>
      </c>
    </row>
    <row r="611" spans="1:4" ht="15.75" outlineLevel="1" x14ac:dyDescent="0.2">
      <c r="A611" s="31" t="s">
        <v>40</v>
      </c>
      <c r="B611" s="32" t="s">
        <v>163</v>
      </c>
      <c r="C611" s="31">
        <v>5.83</v>
      </c>
      <c r="D611" s="191" t="s">
        <v>2690</v>
      </c>
    </row>
    <row r="612" spans="1:4" ht="15.75" outlineLevel="1" x14ac:dyDescent="0.2">
      <c r="A612" s="31" t="s">
        <v>40</v>
      </c>
      <c r="B612" s="32" t="s">
        <v>164</v>
      </c>
      <c r="C612" s="31">
        <v>5.84</v>
      </c>
      <c r="D612" s="85"/>
    </row>
    <row r="613" spans="1:4" ht="15.75" outlineLevel="1" x14ac:dyDescent="0.2">
      <c r="A613" s="31" t="s">
        <v>40</v>
      </c>
      <c r="B613" s="32" t="s">
        <v>165</v>
      </c>
      <c r="C613" s="31">
        <v>5.85</v>
      </c>
      <c r="D613" s="191" t="s">
        <v>2690</v>
      </c>
    </row>
    <row r="614" spans="1:4" ht="15.75" outlineLevel="1" x14ac:dyDescent="0.2">
      <c r="A614" s="31" t="s">
        <v>40</v>
      </c>
      <c r="B614" s="32" t="s">
        <v>166</v>
      </c>
      <c r="C614" s="31">
        <v>5.86</v>
      </c>
      <c r="D614" s="191" t="s">
        <v>2690</v>
      </c>
    </row>
    <row r="615" spans="1:4" ht="15.75" outlineLevel="1" x14ac:dyDescent="0.2">
      <c r="A615" s="31" t="s">
        <v>40</v>
      </c>
      <c r="B615" s="32" t="s">
        <v>167</v>
      </c>
      <c r="C615" s="31">
        <v>5.88</v>
      </c>
      <c r="D615" s="191" t="s">
        <v>2690</v>
      </c>
    </row>
    <row r="616" spans="1:4" ht="15.75" outlineLevel="1" x14ac:dyDescent="0.2">
      <c r="A616" s="31" t="s">
        <v>40</v>
      </c>
      <c r="B616" s="32" t="s">
        <v>168</v>
      </c>
      <c r="C616" s="31">
        <v>5.87</v>
      </c>
      <c r="D616" s="85"/>
    </row>
    <row r="617" spans="1:4" ht="15.75" outlineLevel="1" x14ac:dyDescent="0.2">
      <c r="A617" s="31" t="s">
        <v>40</v>
      </c>
      <c r="B617" s="32" t="s">
        <v>103</v>
      </c>
      <c r="C617" s="31">
        <v>5.109</v>
      </c>
      <c r="D617" s="85"/>
    </row>
    <row r="618" spans="1:4" ht="15.75" outlineLevel="1" x14ac:dyDescent="0.2">
      <c r="A618" s="31" t="s">
        <v>40</v>
      </c>
      <c r="B618" s="32" t="s">
        <v>105</v>
      </c>
      <c r="C618" s="34">
        <v>5.1100000000000003</v>
      </c>
      <c r="D618" s="191" t="s">
        <v>2690</v>
      </c>
    </row>
    <row r="619" spans="1:4" ht="15.75" outlineLevel="1" x14ac:dyDescent="0.2">
      <c r="A619" s="31" t="s">
        <v>40</v>
      </c>
      <c r="B619" s="32" t="s">
        <v>104</v>
      </c>
      <c r="C619" s="31">
        <v>5.1109999999999998</v>
      </c>
      <c r="D619" s="85"/>
    </row>
    <row r="620" spans="1:4" ht="15.75" outlineLevel="1" x14ac:dyDescent="0.2">
      <c r="A620" s="31" t="s">
        <v>40</v>
      </c>
      <c r="B620" s="32" t="s">
        <v>106</v>
      </c>
      <c r="C620" s="31">
        <v>5.1120000000000001</v>
      </c>
      <c r="D620" s="85"/>
    </row>
    <row r="621" spans="1:4" ht="15.75" outlineLevel="1" x14ac:dyDescent="0.2">
      <c r="A621" s="31" t="s">
        <v>40</v>
      </c>
      <c r="B621" s="32" t="s">
        <v>1084</v>
      </c>
      <c r="C621" s="31">
        <v>5.1130000000000004</v>
      </c>
      <c r="D621" s="85"/>
    </row>
    <row r="622" spans="1:4" ht="15.75" outlineLevel="1" x14ac:dyDescent="0.2">
      <c r="A622" s="31" t="s">
        <v>40</v>
      </c>
      <c r="B622" s="32" t="s">
        <v>169</v>
      </c>
      <c r="C622" s="31">
        <v>5.99</v>
      </c>
      <c r="D622" s="191" t="s">
        <v>2690</v>
      </c>
    </row>
    <row r="623" spans="1:4" ht="15.75" outlineLevel="1" x14ac:dyDescent="0.2">
      <c r="A623" s="31" t="s">
        <v>40</v>
      </c>
      <c r="B623" s="32" t="s">
        <v>170</v>
      </c>
      <c r="C623" s="31">
        <v>5.58</v>
      </c>
      <c r="D623" s="84"/>
    </row>
    <row r="624" spans="1:4" ht="15.75" outlineLevel="1" x14ac:dyDescent="0.2">
      <c r="A624" s="31" t="s">
        <v>40</v>
      </c>
      <c r="B624" s="32" t="s">
        <v>61</v>
      </c>
      <c r="C624" s="31">
        <v>5.54</v>
      </c>
      <c r="D624" s="85"/>
    </row>
    <row r="625" spans="1:4" ht="15.75" outlineLevel="1" x14ac:dyDescent="0.2">
      <c r="A625" s="31" t="s">
        <v>40</v>
      </c>
      <c r="B625" s="32" t="s">
        <v>171</v>
      </c>
      <c r="C625" s="31">
        <v>5.56</v>
      </c>
      <c r="D625" s="85"/>
    </row>
    <row r="626" spans="1:4" ht="15.75" outlineLevel="1" x14ac:dyDescent="0.2">
      <c r="A626" s="31" t="s">
        <v>40</v>
      </c>
      <c r="B626" s="32" t="s">
        <v>63</v>
      </c>
      <c r="C626" s="31">
        <v>5.63</v>
      </c>
      <c r="D626" s="85"/>
    </row>
    <row r="627" spans="1:4" ht="15.75" outlineLevel="1" x14ac:dyDescent="0.2">
      <c r="A627" s="31" t="s">
        <v>40</v>
      </c>
      <c r="B627" s="32" t="s">
        <v>172</v>
      </c>
      <c r="C627" s="31">
        <v>5.64</v>
      </c>
      <c r="D627" s="85"/>
    </row>
    <row r="628" spans="1:4" ht="15.75" outlineLevel="1" x14ac:dyDescent="0.2">
      <c r="A628" s="31" t="s">
        <v>40</v>
      </c>
      <c r="B628" s="32" t="s">
        <v>78</v>
      </c>
      <c r="C628" s="31">
        <v>5.65</v>
      </c>
      <c r="D628" s="85"/>
    </row>
    <row r="629" spans="1:4" ht="15.75" outlineLevel="1" x14ac:dyDescent="0.2">
      <c r="A629" s="31" t="s">
        <v>40</v>
      </c>
      <c r="B629" s="32" t="s">
        <v>88</v>
      </c>
      <c r="C629" s="31">
        <v>5.66</v>
      </c>
      <c r="D629" s="85"/>
    </row>
    <row r="630" spans="1:4" ht="15.75" outlineLevel="1" x14ac:dyDescent="0.2">
      <c r="A630" s="31" t="s">
        <v>40</v>
      </c>
      <c r="B630" s="32" t="s">
        <v>87</v>
      </c>
      <c r="C630" s="31">
        <v>5.89</v>
      </c>
      <c r="D630" s="191" t="s">
        <v>2690</v>
      </c>
    </row>
    <row r="631" spans="1:4" ht="15.75" outlineLevel="1" x14ac:dyDescent="0.2">
      <c r="A631" s="31" t="s">
        <v>40</v>
      </c>
      <c r="B631" s="32" t="s">
        <v>17</v>
      </c>
      <c r="C631" s="31">
        <v>5.68</v>
      </c>
      <c r="D631" s="85"/>
    </row>
    <row r="632" spans="1:4" ht="15.75" outlineLevel="1" x14ac:dyDescent="0.2">
      <c r="A632" s="31" t="s">
        <v>40</v>
      </c>
      <c r="B632" s="32" t="s">
        <v>64</v>
      </c>
      <c r="C632" s="31">
        <v>5.47</v>
      </c>
      <c r="D632" s="85"/>
    </row>
    <row r="633" spans="1:4" ht="15.75" outlineLevel="1" x14ac:dyDescent="0.2">
      <c r="A633" s="31" t="s">
        <v>40</v>
      </c>
      <c r="B633" s="32" t="s">
        <v>65</v>
      </c>
      <c r="C633" s="31">
        <v>5.48</v>
      </c>
      <c r="D633" s="85"/>
    </row>
    <row r="634" spans="1:4" ht="15.75" x14ac:dyDescent="0.2">
      <c r="A634" s="36" t="s">
        <v>40</v>
      </c>
      <c r="B634" s="32"/>
      <c r="C634" s="31"/>
      <c r="D634" s="85"/>
    </row>
    <row r="635" spans="1:4" ht="15.75" outlineLevel="1" x14ac:dyDescent="0.2">
      <c r="A635" s="31" t="s">
        <v>41</v>
      </c>
      <c r="B635" s="32" t="s">
        <v>49</v>
      </c>
      <c r="C635" s="31">
        <v>5.0999999999999996</v>
      </c>
      <c r="D635" s="85"/>
    </row>
    <row r="636" spans="1:4" ht="15.75" outlineLevel="1" x14ac:dyDescent="0.2">
      <c r="A636" s="31" t="s">
        <v>41</v>
      </c>
      <c r="B636" s="32" t="s">
        <v>50</v>
      </c>
      <c r="C636" s="31">
        <v>5.2</v>
      </c>
      <c r="D636" s="85"/>
    </row>
    <row r="637" spans="1:4" ht="15.75" outlineLevel="1" x14ac:dyDescent="0.2">
      <c r="A637" s="31" t="s">
        <v>41</v>
      </c>
      <c r="B637" s="32" t="s">
        <v>66</v>
      </c>
      <c r="C637" s="31">
        <v>5.3</v>
      </c>
      <c r="D637" s="85"/>
    </row>
    <row r="638" spans="1:4" ht="15.75" outlineLevel="1" x14ac:dyDescent="0.2">
      <c r="A638" s="31" t="s">
        <v>41</v>
      </c>
      <c r="B638" s="32" t="s">
        <v>80</v>
      </c>
      <c r="C638" s="31">
        <v>5.6</v>
      </c>
      <c r="D638" s="85"/>
    </row>
    <row r="639" spans="1:4" ht="15.75" outlineLevel="1" x14ac:dyDescent="0.2">
      <c r="A639" s="31" t="s">
        <v>41</v>
      </c>
      <c r="B639" s="32" t="s">
        <v>1080</v>
      </c>
      <c r="C639" s="33">
        <v>5.0999999999999996</v>
      </c>
      <c r="D639" s="85"/>
    </row>
    <row r="640" spans="1:4" ht="15.75" outlineLevel="1" x14ac:dyDescent="0.2">
      <c r="A640" s="31" t="s">
        <v>41</v>
      </c>
      <c r="B640" s="32" t="s">
        <v>91</v>
      </c>
      <c r="C640" s="31">
        <v>5.14</v>
      </c>
      <c r="D640" s="85"/>
    </row>
    <row r="641" spans="1:4" ht="15.75" outlineLevel="1" x14ac:dyDescent="0.2">
      <c r="A641" s="31" t="s">
        <v>41</v>
      </c>
      <c r="B641" s="32" t="s">
        <v>68</v>
      </c>
      <c r="C641" s="31">
        <v>5.19</v>
      </c>
      <c r="D641" s="85"/>
    </row>
    <row r="642" spans="1:4" ht="15.75" outlineLevel="1" x14ac:dyDescent="0.2">
      <c r="A642" s="31" t="s">
        <v>41</v>
      </c>
      <c r="B642" s="32" t="s">
        <v>82</v>
      </c>
      <c r="C642" s="31">
        <v>5.24</v>
      </c>
      <c r="D642" s="85"/>
    </row>
    <row r="643" spans="1:4" ht="15.75" outlineLevel="1" x14ac:dyDescent="0.2">
      <c r="A643" s="31" t="s">
        <v>41</v>
      </c>
      <c r="B643" s="32" t="s">
        <v>54</v>
      </c>
      <c r="C643" s="31">
        <v>5.26</v>
      </c>
      <c r="D643" s="85"/>
    </row>
    <row r="644" spans="1:4" ht="15.75" outlineLevel="1" x14ac:dyDescent="0.2">
      <c r="A644" s="31" t="s">
        <v>41</v>
      </c>
      <c r="B644" s="32" t="s">
        <v>55</v>
      </c>
      <c r="C644" s="31">
        <v>5.27</v>
      </c>
      <c r="D644" s="85"/>
    </row>
    <row r="645" spans="1:4" ht="15.75" outlineLevel="1" x14ac:dyDescent="0.2">
      <c r="A645" s="31" t="s">
        <v>41</v>
      </c>
      <c r="B645" s="32" t="s">
        <v>69</v>
      </c>
      <c r="C645" s="31">
        <v>5.28</v>
      </c>
      <c r="D645" s="85"/>
    </row>
    <row r="646" spans="1:4" ht="15.75" outlineLevel="1" x14ac:dyDescent="0.2">
      <c r="A646" s="31" t="s">
        <v>41</v>
      </c>
      <c r="B646" s="32" t="s">
        <v>56</v>
      </c>
      <c r="C646" s="31">
        <v>5.36</v>
      </c>
      <c r="D646" s="85"/>
    </row>
    <row r="647" spans="1:4" ht="15.75" outlineLevel="1" x14ac:dyDescent="0.2">
      <c r="A647" s="31" t="s">
        <v>41</v>
      </c>
      <c r="B647" s="32" t="s">
        <v>96</v>
      </c>
      <c r="C647" s="31">
        <v>5.33</v>
      </c>
      <c r="D647" s="85"/>
    </row>
    <row r="648" spans="1:4" ht="15.75" outlineLevel="1" x14ac:dyDescent="0.2">
      <c r="A648" s="31" t="s">
        <v>41</v>
      </c>
      <c r="B648" s="32" t="s">
        <v>97</v>
      </c>
      <c r="C648" s="31">
        <v>5.37</v>
      </c>
      <c r="D648" s="85"/>
    </row>
    <row r="649" spans="1:4" ht="15.75" outlineLevel="1" x14ac:dyDescent="0.2">
      <c r="A649" s="31" t="s">
        <v>41</v>
      </c>
      <c r="B649" s="32" t="s">
        <v>71</v>
      </c>
      <c r="C649" s="31">
        <v>5.49</v>
      </c>
      <c r="D649" s="85"/>
    </row>
    <row r="650" spans="1:4" ht="15.75" outlineLevel="1" x14ac:dyDescent="0.2">
      <c r="A650" s="31" t="s">
        <v>41</v>
      </c>
      <c r="B650" s="32" t="s">
        <v>58</v>
      </c>
      <c r="C650" s="31">
        <v>5.51</v>
      </c>
      <c r="D650" s="85"/>
    </row>
    <row r="651" spans="1:4" ht="15.75" outlineLevel="1" x14ac:dyDescent="0.2">
      <c r="A651" s="31" t="s">
        <v>41</v>
      </c>
      <c r="B651" s="32" t="s">
        <v>1081</v>
      </c>
      <c r="C651" s="31">
        <v>5.52</v>
      </c>
      <c r="D651" s="85"/>
    </row>
    <row r="652" spans="1:4" ht="15.75" outlineLevel="1" x14ac:dyDescent="0.2">
      <c r="A652" s="31" t="s">
        <v>41</v>
      </c>
      <c r="B652" s="32" t="s">
        <v>59</v>
      </c>
      <c r="C652" s="31">
        <v>5.53</v>
      </c>
      <c r="D652" s="85"/>
    </row>
    <row r="653" spans="1:4" ht="15.75" outlineLevel="1" x14ac:dyDescent="0.2">
      <c r="A653" s="31" t="s">
        <v>41</v>
      </c>
      <c r="B653" s="32" t="s">
        <v>72</v>
      </c>
      <c r="C653" s="31">
        <v>5.69</v>
      </c>
      <c r="D653" s="85"/>
    </row>
    <row r="654" spans="1:4" ht="15.75" outlineLevel="1" x14ac:dyDescent="0.2">
      <c r="A654" s="31" t="s">
        <v>41</v>
      </c>
      <c r="B654" s="32" t="s">
        <v>62</v>
      </c>
      <c r="C654" s="33">
        <v>5.7</v>
      </c>
      <c r="D654" s="85"/>
    </row>
    <row r="655" spans="1:4" ht="15.75" outlineLevel="1" x14ac:dyDescent="0.2">
      <c r="A655" s="31" t="s">
        <v>41</v>
      </c>
      <c r="B655" s="32" t="s">
        <v>74</v>
      </c>
      <c r="C655" s="31">
        <v>5.74</v>
      </c>
      <c r="D655" s="85"/>
    </row>
    <row r="656" spans="1:4" ht="15.75" outlineLevel="1" x14ac:dyDescent="0.2">
      <c r="A656" s="31" t="s">
        <v>41</v>
      </c>
      <c r="B656" s="32" t="s">
        <v>103</v>
      </c>
      <c r="C656" s="31">
        <v>5.109</v>
      </c>
      <c r="D656" s="85"/>
    </row>
    <row r="657" spans="1:4" ht="15.75" outlineLevel="1" x14ac:dyDescent="0.2">
      <c r="A657" s="31" t="s">
        <v>41</v>
      </c>
      <c r="B657" s="32" t="s">
        <v>104</v>
      </c>
      <c r="C657" s="31">
        <v>5.1109999999999998</v>
      </c>
      <c r="D657" s="85"/>
    </row>
    <row r="658" spans="1:4" ht="15.75" outlineLevel="1" x14ac:dyDescent="0.2">
      <c r="A658" s="31" t="s">
        <v>41</v>
      </c>
      <c r="B658" s="32" t="s">
        <v>106</v>
      </c>
      <c r="C658" s="31">
        <v>5.1120000000000001</v>
      </c>
      <c r="D658" s="85"/>
    </row>
    <row r="659" spans="1:4" ht="15.75" outlineLevel="1" x14ac:dyDescent="0.2">
      <c r="A659" s="31" t="s">
        <v>41</v>
      </c>
      <c r="B659" s="32" t="s">
        <v>76</v>
      </c>
      <c r="C659" s="31">
        <v>5.58</v>
      </c>
      <c r="D659" s="85"/>
    </row>
    <row r="660" spans="1:4" ht="15.75" outlineLevel="1" x14ac:dyDescent="0.2">
      <c r="A660" s="31" t="s">
        <v>41</v>
      </c>
      <c r="B660" s="32" t="s">
        <v>61</v>
      </c>
      <c r="C660" s="31">
        <v>5.54</v>
      </c>
      <c r="D660" s="85"/>
    </row>
    <row r="661" spans="1:4" ht="15.75" outlineLevel="1" x14ac:dyDescent="0.2">
      <c r="A661" s="31" t="s">
        <v>41</v>
      </c>
      <c r="B661" s="32" t="s">
        <v>77</v>
      </c>
      <c r="C661" s="31">
        <v>5.55</v>
      </c>
      <c r="D661" s="85"/>
    </row>
    <row r="662" spans="1:4" ht="15.75" outlineLevel="1" x14ac:dyDescent="0.2">
      <c r="A662" s="31" t="s">
        <v>41</v>
      </c>
      <c r="B662" s="32" t="s">
        <v>63</v>
      </c>
      <c r="C662" s="31">
        <v>5.63</v>
      </c>
      <c r="D662" s="85"/>
    </row>
    <row r="663" spans="1:4" ht="15.75" outlineLevel="1" x14ac:dyDescent="0.2">
      <c r="A663" s="31" t="s">
        <v>41</v>
      </c>
      <c r="B663" s="32" t="s">
        <v>64</v>
      </c>
      <c r="C663" s="31">
        <v>5.47</v>
      </c>
      <c r="D663" s="85"/>
    </row>
    <row r="664" spans="1:4" ht="15.75" outlineLevel="1" x14ac:dyDescent="0.2">
      <c r="A664" s="31" t="s">
        <v>41</v>
      </c>
      <c r="B664" s="32" t="s">
        <v>65</v>
      </c>
      <c r="C664" s="31">
        <v>5.48</v>
      </c>
      <c r="D664" s="85"/>
    </row>
    <row r="665" spans="1:4" ht="15.75" x14ac:dyDescent="0.2">
      <c r="A665" s="36" t="s">
        <v>41</v>
      </c>
      <c r="B665" s="32"/>
      <c r="C665" s="31"/>
      <c r="D665" s="85"/>
    </row>
    <row r="666" spans="1:4" ht="15.75" outlineLevel="1" x14ac:dyDescent="0.2">
      <c r="A666" s="31" t="s">
        <v>42</v>
      </c>
      <c r="B666" s="32" t="s">
        <v>49</v>
      </c>
      <c r="C666" s="31">
        <v>5.0999999999999996</v>
      </c>
      <c r="D666" s="85"/>
    </row>
    <row r="667" spans="1:4" ht="15.75" outlineLevel="1" x14ac:dyDescent="0.2">
      <c r="A667" s="31" t="s">
        <v>42</v>
      </c>
      <c r="B667" s="32" t="s">
        <v>50</v>
      </c>
      <c r="C667" s="31">
        <v>5.2</v>
      </c>
      <c r="D667" s="85"/>
    </row>
    <row r="668" spans="1:4" ht="15.75" outlineLevel="1" x14ac:dyDescent="0.2">
      <c r="A668" s="31" t="s">
        <v>42</v>
      </c>
      <c r="B668" s="32" t="s">
        <v>51</v>
      </c>
      <c r="C668" s="31">
        <v>5.4</v>
      </c>
      <c r="D668" s="85"/>
    </row>
    <row r="669" spans="1:4" ht="15.75" outlineLevel="1" x14ac:dyDescent="0.2">
      <c r="A669" s="31" t="s">
        <v>42</v>
      </c>
      <c r="B669" s="32" t="s">
        <v>52</v>
      </c>
      <c r="C669" s="31">
        <v>5.7</v>
      </c>
      <c r="D669" s="85"/>
    </row>
    <row r="670" spans="1:4" ht="15.75" outlineLevel="1" x14ac:dyDescent="0.2">
      <c r="A670" s="31" t="s">
        <v>42</v>
      </c>
      <c r="B670" s="32" t="s">
        <v>53</v>
      </c>
      <c r="C670" s="31">
        <v>5.1100000000000003</v>
      </c>
      <c r="D670" s="85"/>
    </row>
    <row r="671" spans="1:4" ht="15.75" outlineLevel="1" x14ac:dyDescent="0.2">
      <c r="A671" s="31" t="s">
        <v>42</v>
      </c>
      <c r="B671" s="32" t="s">
        <v>54</v>
      </c>
      <c r="C671" s="31">
        <v>5.26</v>
      </c>
      <c r="D671" s="85"/>
    </row>
    <row r="672" spans="1:4" ht="15.75" outlineLevel="1" x14ac:dyDescent="0.2">
      <c r="A672" s="31" t="s">
        <v>42</v>
      </c>
      <c r="B672" s="32" t="s">
        <v>173</v>
      </c>
      <c r="C672" s="31">
        <v>5.43</v>
      </c>
      <c r="D672" s="85"/>
    </row>
    <row r="673" spans="1:4" ht="15.75" outlineLevel="1" x14ac:dyDescent="0.2">
      <c r="A673" s="31" t="s">
        <v>42</v>
      </c>
      <c r="B673" s="32" t="s">
        <v>55</v>
      </c>
      <c r="C673" s="31">
        <v>5.27</v>
      </c>
      <c r="D673" s="85"/>
    </row>
    <row r="674" spans="1:4" ht="15.75" outlineLevel="1" x14ac:dyDescent="0.2">
      <c r="A674" s="31" t="s">
        <v>42</v>
      </c>
      <c r="B674" s="32" t="s">
        <v>69</v>
      </c>
      <c r="C674" s="31">
        <v>5.28</v>
      </c>
      <c r="D674" s="85"/>
    </row>
    <row r="675" spans="1:4" ht="15.75" outlineLevel="1" x14ac:dyDescent="0.2">
      <c r="A675" s="31" t="s">
        <v>42</v>
      </c>
      <c r="B675" s="32" t="s">
        <v>56</v>
      </c>
      <c r="C675" s="31">
        <v>5.36</v>
      </c>
      <c r="D675" s="85"/>
    </row>
    <row r="676" spans="1:4" ht="15.75" outlineLevel="1" x14ac:dyDescent="0.2">
      <c r="A676" s="31" t="s">
        <v>42</v>
      </c>
      <c r="B676" s="32" t="s">
        <v>57</v>
      </c>
      <c r="C676" s="33">
        <v>5.5</v>
      </c>
      <c r="D676" s="85"/>
    </row>
    <row r="677" spans="1:4" ht="15.75" outlineLevel="1" x14ac:dyDescent="0.2">
      <c r="A677" s="31" t="s">
        <v>42</v>
      </c>
      <c r="B677" s="32" t="s">
        <v>58</v>
      </c>
      <c r="C677" s="31">
        <v>5.51</v>
      </c>
      <c r="D677" s="85"/>
    </row>
    <row r="678" spans="1:4" ht="15.75" outlineLevel="1" x14ac:dyDescent="0.2">
      <c r="A678" s="31" t="s">
        <v>42</v>
      </c>
      <c r="B678" s="32" t="s">
        <v>59</v>
      </c>
      <c r="C678" s="31">
        <v>5.53</v>
      </c>
      <c r="D678" s="85"/>
    </row>
    <row r="679" spans="1:4" ht="15.75" outlineLevel="1" x14ac:dyDescent="0.2">
      <c r="A679" s="31" t="s">
        <v>42</v>
      </c>
      <c r="B679" s="32" t="s">
        <v>72</v>
      </c>
      <c r="C679" s="31">
        <v>5.69</v>
      </c>
      <c r="D679" s="85"/>
    </row>
    <row r="680" spans="1:4" ht="15.75" outlineLevel="1" x14ac:dyDescent="0.2">
      <c r="A680" s="31" t="s">
        <v>42</v>
      </c>
      <c r="B680" s="32" t="s">
        <v>62</v>
      </c>
      <c r="C680" s="33">
        <v>5.7</v>
      </c>
      <c r="D680" s="191" t="s">
        <v>2690</v>
      </c>
    </row>
    <row r="681" spans="1:4" ht="15.75" outlineLevel="1" x14ac:dyDescent="0.2">
      <c r="A681" s="31" t="s">
        <v>42</v>
      </c>
      <c r="B681" s="32" t="s">
        <v>74</v>
      </c>
      <c r="C681" s="31">
        <v>5.74</v>
      </c>
      <c r="D681" s="85"/>
    </row>
    <row r="682" spans="1:4" ht="15.75" outlineLevel="1" x14ac:dyDescent="0.2">
      <c r="A682" s="31" t="s">
        <v>42</v>
      </c>
      <c r="B682" s="32" t="s">
        <v>60</v>
      </c>
      <c r="C682" s="31">
        <v>5.59</v>
      </c>
      <c r="D682" s="85"/>
    </row>
    <row r="683" spans="1:4" ht="15.75" outlineLevel="1" x14ac:dyDescent="0.2">
      <c r="A683" s="31" t="s">
        <v>42</v>
      </c>
      <c r="B683" s="32" t="s">
        <v>61</v>
      </c>
      <c r="C683" s="31">
        <v>5.54</v>
      </c>
      <c r="D683" s="85"/>
    </row>
    <row r="684" spans="1:4" ht="15.75" outlineLevel="1" x14ac:dyDescent="0.2">
      <c r="A684" s="31" t="s">
        <v>42</v>
      </c>
      <c r="B684" s="32" t="s">
        <v>174</v>
      </c>
      <c r="C684" s="31">
        <v>5.57</v>
      </c>
      <c r="D684" s="85"/>
    </row>
    <row r="685" spans="1:4" ht="15.75" outlineLevel="1" x14ac:dyDescent="0.2">
      <c r="A685" s="31" t="s">
        <v>42</v>
      </c>
      <c r="B685" s="32" t="s">
        <v>63</v>
      </c>
      <c r="C685" s="31">
        <v>5.63</v>
      </c>
      <c r="D685" s="85"/>
    </row>
    <row r="686" spans="1:4" ht="15.75" outlineLevel="1" x14ac:dyDescent="0.2">
      <c r="A686" s="31" t="s">
        <v>42</v>
      </c>
      <c r="B686" s="32" t="s">
        <v>64</v>
      </c>
      <c r="C686" s="31">
        <v>5.47</v>
      </c>
      <c r="D686" s="85"/>
    </row>
    <row r="687" spans="1:4" ht="15.75" outlineLevel="1" x14ac:dyDescent="0.2">
      <c r="A687" s="31" t="s">
        <v>42</v>
      </c>
      <c r="B687" s="32" t="s">
        <v>65</v>
      </c>
      <c r="C687" s="31">
        <v>5.48</v>
      </c>
      <c r="D687" s="85"/>
    </row>
    <row r="688" spans="1:4" ht="15.75" x14ac:dyDescent="0.2">
      <c r="A688" s="36" t="s">
        <v>42</v>
      </c>
      <c r="B688" s="32"/>
      <c r="C688" s="31"/>
      <c r="D688" s="85"/>
    </row>
    <row r="689" spans="1:4" ht="15.75" outlineLevel="1" x14ac:dyDescent="0.2">
      <c r="A689" s="31" t="s">
        <v>43</v>
      </c>
      <c r="B689" s="32" t="s">
        <v>49</v>
      </c>
      <c r="C689" s="31">
        <v>5.0999999999999996</v>
      </c>
      <c r="D689" s="85"/>
    </row>
    <row r="690" spans="1:4" ht="15.75" outlineLevel="1" x14ac:dyDescent="0.2">
      <c r="A690" s="31" t="s">
        <v>43</v>
      </c>
      <c r="B690" s="32" t="s">
        <v>50</v>
      </c>
      <c r="C690" s="31">
        <v>5.2</v>
      </c>
      <c r="D690" s="85"/>
    </row>
    <row r="691" spans="1:4" ht="15.75" outlineLevel="1" x14ac:dyDescent="0.2">
      <c r="A691" s="31" t="s">
        <v>43</v>
      </c>
      <c r="B691" s="32" t="s">
        <v>175</v>
      </c>
      <c r="C691" s="31">
        <v>5.17</v>
      </c>
      <c r="D691" s="85"/>
    </row>
    <row r="692" spans="1:4" ht="15.75" outlineLevel="1" x14ac:dyDescent="0.2">
      <c r="A692" s="31" t="s">
        <v>43</v>
      </c>
      <c r="B692" s="32" t="s">
        <v>54</v>
      </c>
      <c r="C692" s="31">
        <v>5.26</v>
      </c>
      <c r="D692" s="85"/>
    </row>
    <row r="693" spans="1:4" ht="15.75" outlineLevel="1" x14ac:dyDescent="0.2">
      <c r="A693" s="31" t="s">
        <v>43</v>
      </c>
      <c r="B693" s="32" t="s">
        <v>176</v>
      </c>
      <c r="C693" s="31">
        <v>5.1029999999999998</v>
      </c>
      <c r="D693" s="85"/>
    </row>
    <row r="694" spans="1:4" ht="15.75" outlineLevel="1" x14ac:dyDescent="0.2">
      <c r="A694" s="31" t="s">
        <v>43</v>
      </c>
      <c r="B694" s="32" t="s">
        <v>56</v>
      </c>
      <c r="C694" s="31">
        <v>5.36</v>
      </c>
      <c r="D694" s="85"/>
    </row>
    <row r="695" spans="1:4" ht="15.75" outlineLevel="1" x14ac:dyDescent="0.2">
      <c r="A695" s="31" t="s">
        <v>43</v>
      </c>
      <c r="B695" s="32" t="s">
        <v>97</v>
      </c>
      <c r="C695" s="31">
        <v>5.37</v>
      </c>
      <c r="D695" s="85"/>
    </row>
    <row r="696" spans="1:4" ht="15.75" outlineLevel="1" x14ac:dyDescent="0.2">
      <c r="A696" s="31" t="s">
        <v>43</v>
      </c>
      <c r="B696" s="32" t="s">
        <v>177</v>
      </c>
      <c r="C696" s="31">
        <v>5.1040000000000001</v>
      </c>
      <c r="D696" s="85"/>
    </row>
    <row r="697" spans="1:4" ht="15.75" outlineLevel="1" x14ac:dyDescent="0.2">
      <c r="A697" s="31" t="s">
        <v>43</v>
      </c>
      <c r="B697" s="32" t="s">
        <v>178</v>
      </c>
      <c r="C697" s="31">
        <v>5.1050000000000004</v>
      </c>
      <c r="D697" s="85"/>
    </row>
    <row r="698" spans="1:4" ht="15.75" outlineLevel="1" x14ac:dyDescent="0.2">
      <c r="A698" s="31" t="s">
        <v>43</v>
      </c>
      <c r="B698" s="32" t="s">
        <v>179</v>
      </c>
      <c r="C698" s="31">
        <v>5.1059999999999999</v>
      </c>
      <c r="D698" s="85"/>
    </row>
    <row r="699" spans="1:4" ht="15.75" outlineLevel="1" x14ac:dyDescent="0.2">
      <c r="A699" s="31" t="s">
        <v>43</v>
      </c>
      <c r="B699" s="32" t="s">
        <v>180</v>
      </c>
      <c r="C699" s="31">
        <v>5.1070000000000002</v>
      </c>
      <c r="D699" s="85"/>
    </row>
    <row r="700" spans="1:4" ht="15.75" outlineLevel="1" x14ac:dyDescent="0.2">
      <c r="A700" s="31" t="s">
        <v>43</v>
      </c>
      <c r="B700" s="32" t="s">
        <v>874</v>
      </c>
      <c r="C700" s="31">
        <v>5.1079999999999997</v>
      </c>
      <c r="D700" s="191" t="s">
        <v>2690</v>
      </c>
    </row>
    <row r="701" spans="1:4" ht="15.75" outlineLevel="1" x14ac:dyDescent="0.2">
      <c r="A701" s="31" t="s">
        <v>43</v>
      </c>
      <c r="B701" s="32" t="s">
        <v>103</v>
      </c>
      <c r="C701" s="31">
        <v>5.109</v>
      </c>
      <c r="D701" s="85"/>
    </row>
    <row r="702" spans="1:4" ht="15.75" outlineLevel="1" x14ac:dyDescent="0.2">
      <c r="A702" s="31" t="s">
        <v>43</v>
      </c>
      <c r="B702" s="32" t="s">
        <v>105</v>
      </c>
      <c r="C702" s="34">
        <v>5.1100000000000003</v>
      </c>
      <c r="D702" s="191" t="s">
        <v>2690</v>
      </c>
    </row>
    <row r="703" spans="1:4" ht="15.75" outlineLevel="1" x14ac:dyDescent="0.2">
      <c r="A703" s="31" t="s">
        <v>43</v>
      </c>
      <c r="B703" s="32" t="s">
        <v>104</v>
      </c>
      <c r="C703" s="31">
        <v>5.1109999999999998</v>
      </c>
      <c r="D703" s="85"/>
    </row>
    <row r="704" spans="1:4" ht="15.75" outlineLevel="1" x14ac:dyDescent="0.2">
      <c r="A704" s="31" t="s">
        <v>43</v>
      </c>
      <c r="B704" s="32" t="s">
        <v>106</v>
      </c>
      <c r="C704" s="31">
        <v>5.1120000000000001</v>
      </c>
      <c r="D704" s="85"/>
    </row>
    <row r="705" spans="1:4" ht="15.75" outlineLevel="1" x14ac:dyDescent="0.2">
      <c r="A705" s="31" t="s">
        <v>43</v>
      </c>
      <c r="B705" s="32" t="s">
        <v>59</v>
      </c>
      <c r="C705" s="31">
        <v>5.53</v>
      </c>
      <c r="D705" s="85"/>
    </row>
    <row r="706" spans="1:4" ht="15.75" outlineLevel="1" x14ac:dyDescent="0.2">
      <c r="A706" s="31" t="s">
        <v>43</v>
      </c>
      <c r="B706" s="32" t="s">
        <v>172</v>
      </c>
      <c r="C706" s="31">
        <v>5.64</v>
      </c>
      <c r="D706" s="85"/>
    </row>
    <row r="707" spans="1:4" ht="15.75" outlineLevel="1" x14ac:dyDescent="0.2">
      <c r="A707" s="31" t="s">
        <v>43</v>
      </c>
      <c r="B707" s="32" t="s">
        <v>63</v>
      </c>
      <c r="C707" s="31">
        <v>5.63</v>
      </c>
      <c r="D707" s="85"/>
    </row>
    <row r="708" spans="1:4" ht="15.75" outlineLevel="1" x14ac:dyDescent="0.2">
      <c r="A708" s="31" t="s">
        <v>43</v>
      </c>
      <c r="B708" s="32" t="s">
        <v>78</v>
      </c>
      <c r="C708" s="31">
        <v>5.65</v>
      </c>
      <c r="D708" s="85"/>
    </row>
    <row r="709" spans="1:4" ht="15.75" outlineLevel="1" x14ac:dyDescent="0.2">
      <c r="A709" s="31" t="s">
        <v>43</v>
      </c>
      <c r="B709" s="32" t="s">
        <v>88</v>
      </c>
      <c r="C709" s="31">
        <v>5.66</v>
      </c>
      <c r="D709" s="85"/>
    </row>
    <row r="710" spans="1:4" ht="15.75" outlineLevel="1" x14ac:dyDescent="0.2">
      <c r="A710" s="31" t="s">
        <v>43</v>
      </c>
      <c r="B710" s="32" t="s">
        <v>17</v>
      </c>
      <c r="C710" s="31">
        <v>5.68</v>
      </c>
      <c r="D710" s="85"/>
    </row>
    <row r="711" spans="1:4" ht="15.75" outlineLevel="1" x14ac:dyDescent="0.2">
      <c r="A711" s="31" t="s">
        <v>43</v>
      </c>
      <c r="B711" s="32" t="s">
        <v>64</v>
      </c>
      <c r="C711" s="31">
        <v>5.47</v>
      </c>
      <c r="D711" s="85"/>
    </row>
    <row r="712" spans="1:4" ht="15.75" outlineLevel="1" x14ac:dyDescent="0.2">
      <c r="A712" s="31" t="s">
        <v>43</v>
      </c>
      <c r="B712" s="32" t="s">
        <v>65</v>
      </c>
      <c r="C712" s="31">
        <v>5.48</v>
      </c>
      <c r="D712" s="85"/>
    </row>
    <row r="713" spans="1:4" ht="15.75" x14ac:dyDescent="0.2">
      <c r="A713" s="36" t="s">
        <v>43</v>
      </c>
      <c r="B713" s="32"/>
      <c r="C713" s="31"/>
      <c r="D713" s="85"/>
    </row>
    <row r="714" spans="1:4" ht="15.75" outlineLevel="1" x14ac:dyDescent="0.2">
      <c r="A714" s="31" t="s">
        <v>1091</v>
      </c>
      <c r="B714" s="32" t="s">
        <v>49</v>
      </c>
      <c r="C714" s="31">
        <v>5.0999999999999996</v>
      </c>
      <c r="D714" s="85"/>
    </row>
    <row r="715" spans="1:4" ht="15.75" outlineLevel="1" x14ac:dyDescent="0.2">
      <c r="A715" s="31" t="s">
        <v>1091</v>
      </c>
      <c r="B715" s="32" t="s">
        <v>50</v>
      </c>
      <c r="C715" s="31">
        <v>5.2</v>
      </c>
      <c r="D715" s="85"/>
    </row>
    <row r="716" spans="1:4" ht="15.75" outlineLevel="1" x14ac:dyDescent="0.2">
      <c r="A716" s="31" t="s">
        <v>1091</v>
      </c>
      <c r="B716" s="32" t="s">
        <v>66</v>
      </c>
      <c r="C716" s="31">
        <v>5.3</v>
      </c>
      <c r="D716" s="85"/>
    </row>
    <row r="717" spans="1:4" ht="15.75" outlineLevel="1" x14ac:dyDescent="0.2">
      <c r="A717" s="31" t="s">
        <v>1091</v>
      </c>
      <c r="B717" s="32" t="s">
        <v>80</v>
      </c>
      <c r="C717" s="31">
        <v>5.6</v>
      </c>
      <c r="D717" s="85"/>
    </row>
    <row r="718" spans="1:4" ht="15.75" outlineLevel="1" x14ac:dyDescent="0.2">
      <c r="A718" s="31" t="s">
        <v>1091</v>
      </c>
      <c r="B718" s="32" t="s">
        <v>1080</v>
      </c>
      <c r="C718" s="33">
        <v>5.0999999999999996</v>
      </c>
      <c r="D718" s="85"/>
    </row>
    <row r="719" spans="1:4" ht="15.75" outlineLevel="1" x14ac:dyDescent="0.2">
      <c r="A719" s="31" t="s">
        <v>1091</v>
      </c>
      <c r="B719" s="32" t="s">
        <v>91</v>
      </c>
      <c r="C719" s="31">
        <v>5.14</v>
      </c>
      <c r="D719" s="85"/>
    </row>
    <row r="720" spans="1:4" ht="15.75" outlineLevel="1" x14ac:dyDescent="0.2">
      <c r="A720" s="31" t="s">
        <v>1091</v>
      </c>
      <c r="B720" s="32" t="s">
        <v>68</v>
      </c>
      <c r="C720" s="31">
        <v>5.19</v>
      </c>
      <c r="D720" s="85"/>
    </row>
    <row r="721" spans="1:4" ht="15.75" outlineLevel="1" x14ac:dyDescent="0.2">
      <c r="A721" s="31" t="s">
        <v>1091</v>
      </c>
      <c r="B721" s="32" t="s">
        <v>82</v>
      </c>
      <c r="C721" s="31">
        <v>5.24</v>
      </c>
      <c r="D721" s="85"/>
    </row>
    <row r="722" spans="1:4" ht="15.75" outlineLevel="1" x14ac:dyDescent="0.2">
      <c r="A722" s="31" t="s">
        <v>1091</v>
      </c>
      <c r="B722" s="32" t="s">
        <v>54</v>
      </c>
      <c r="C722" s="31">
        <v>5.26</v>
      </c>
      <c r="D722" s="85"/>
    </row>
    <row r="723" spans="1:4" ht="15.75" outlineLevel="1" x14ac:dyDescent="0.2">
      <c r="A723" s="31" t="s">
        <v>1091</v>
      </c>
      <c r="B723" s="32" t="s">
        <v>55</v>
      </c>
      <c r="C723" s="31">
        <v>5.27</v>
      </c>
      <c r="D723" s="85"/>
    </row>
    <row r="724" spans="1:4" ht="15.75" outlineLevel="1" x14ac:dyDescent="0.2">
      <c r="A724" s="31" t="s">
        <v>1091</v>
      </c>
      <c r="B724" s="32" t="s">
        <v>69</v>
      </c>
      <c r="C724" s="31">
        <v>5.28</v>
      </c>
      <c r="D724" s="85"/>
    </row>
    <row r="725" spans="1:4" ht="15.75" outlineLevel="1" x14ac:dyDescent="0.2">
      <c r="A725" s="31" t="s">
        <v>1091</v>
      </c>
      <c r="B725" s="32" t="s">
        <v>83</v>
      </c>
      <c r="C725" s="31">
        <v>5.31</v>
      </c>
      <c r="D725" s="85"/>
    </row>
    <row r="726" spans="1:4" ht="15.75" outlineLevel="1" x14ac:dyDescent="0.2">
      <c r="A726" s="31" t="s">
        <v>1091</v>
      </c>
      <c r="B726" s="32" t="s">
        <v>56</v>
      </c>
      <c r="C726" s="31">
        <v>5.36</v>
      </c>
      <c r="D726" s="85"/>
    </row>
    <row r="727" spans="1:4" ht="15.75" outlineLevel="1" x14ac:dyDescent="0.2">
      <c r="A727" s="31" t="s">
        <v>1091</v>
      </c>
      <c r="B727" s="32" t="s">
        <v>59</v>
      </c>
      <c r="C727" s="31">
        <v>5.53</v>
      </c>
      <c r="D727" s="85"/>
    </row>
    <row r="728" spans="1:4" ht="15.75" outlineLevel="1" x14ac:dyDescent="0.2">
      <c r="A728" s="31" t="s">
        <v>1091</v>
      </c>
      <c r="B728" s="32" t="s">
        <v>103</v>
      </c>
      <c r="C728" s="31">
        <v>5.109</v>
      </c>
      <c r="D728" s="85"/>
    </row>
    <row r="729" spans="1:4" ht="15.75" outlineLevel="1" x14ac:dyDescent="0.2">
      <c r="A729" s="31" t="s">
        <v>1091</v>
      </c>
      <c r="B729" s="32" t="s">
        <v>104</v>
      </c>
      <c r="C729" s="31">
        <v>5.1109999999999998</v>
      </c>
      <c r="D729" s="85"/>
    </row>
    <row r="730" spans="1:4" ht="15.75" outlineLevel="1" x14ac:dyDescent="0.2">
      <c r="A730" s="31" t="s">
        <v>1091</v>
      </c>
      <c r="B730" s="32" t="s">
        <v>106</v>
      </c>
      <c r="C730" s="31">
        <v>5.1120000000000001</v>
      </c>
      <c r="D730" s="85"/>
    </row>
    <row r="731" spans="1:4" ht="15.75" outlineLevel="1" x14ac:dyDescent="0.2">
      <c r="A731" s="31" t="s">
        <v>1091</v>
      </c>
      <c r="B731" s="32" t="s">
        <v>1084</v>
      </c>
      <c r="C731" s="31">
        <v>5.1130000000000004</v>
      </c>
      <c r="D731" s="85"/>
    </row>
    <row r="732" spans="1:4" ht="15.75" outlineLevel="1" x14ac:dyDescent="0.2">
      <c r="A732" s="31" t="s">
        <v>1091</v>
      </c>
      <c r="B732" s="32" t="s">
        <v>182</v>
      </c>
      <c r="C732" s="31">
        <v>5.117</v>
      </c>
      <c r="D732" s="85"/>
    </row>
    <row r="733" spans="1:4" ht="15.75" outlineLevel="1" x14ac:dyDescent="0.2">
      <c r="A733" s="31" t="s">
        <v>1091</v>
      </c>
      <c r="B733" s="32" t="s">
        <v>183</v>
      </c>
      <c r="C733" s="31">
        <v>5.67</v>
      </c>
      <c r="D733" s="85"/>
    </row>
    <row r="734" spans="1:4" ht="15.75" outlineLevel="1" x14ac:dyDescent="0.2">
      <c r="A734" s="31" t="s">
        <v>1091</v>
      </c>
      <c r="B734" s="32" t="s">
        <v>63</v>
      </c>
      <c r="C734" s="31">
        <v>5.63</v>
      </c>
      <c r="D734" s="85"/>
    </row>
    <row r="735" spans="1:4" ht="15.75" outlineLevel="1" x14ac:dyDescent="0.2">
      <c r="A735" s="31" t="s">
        <v>1091</v>
      </c>
      <c r="B735" s="32" t="s">
        <v>64</v>
      </c>
      <c r="C735" s="31">
        <v>5.47</v>
      </c>
      <c r="D735" s="85"/>
    </row>
    <row r="736" spans="1:4" ht="15.75" outlineLevel="1" x14ac:dyDescent="0.2">
      <c r="A736" s="31" t="s">
        <v>1091</v>
      </c>
      <c r="B736" s="32" t="s">
        <v>65</v>
      </c>
      <c r="C736" s="31">
        <v>5.48</v>
      </c>
      <c r="D736" s="85"/>
    </row>
    <row r="737" spans="1:4" ht="15.75" x14ac:dyDescent="0.2">
      <c r="A737" s="36" t="s">
        <v>1092</v>
      </c>
      <c r="B737" s="32"/>
      <c r="C737" s="31"/>
      <c r="D737" s="85"/>
    </row>
    <row r="738" spans="1:4" ht="15.75" outlineLevel="1" x14ac:dyDescent="0.2">
      <c r="A738" s="31" t="s">
        <v>45</v>
      </c>
      <c r="B738" s="32" t="s">
        <v>49</v>
      </c>
      <c r="C738" s="31">
        <v>5.0999999999999996</v>
      </c>
      <c r="D738" s="85"/>
    </row>
    <row r="739" spans="1:4" ht="15.75" outlineLevel="1" x14ac:dyDescent="0.2">
      <c r="A739" s="31" t="s">
        <v>45</v>
      </c>
      <c r="B739" s="32" t="s">
        <v>50</v>
      </c>
      <c r="C739" s="31">
        <v>5.2</v>
      </c>
      <c r="D739" s="85"/>
    </row>
    <row r="740" spans="1:4" ht="15.75" outlineLevel="1" x14ac:dyDescent="0.2">
      <c r="A740" s="31" t="s">
        <v>45</v>
      </c>
      <c r="B740" s="32" t="s">
        <v>184</v>
      </c>
      <c r="C740" s="31">
        <v>5.18</v>
      </c>
      <c r="D740" s="85"/>
    </row>
    <row r="741" spans="1:4" ht="15.75" outlineLevel="1" x14ac:dyDescent="0.2">
      <c r="A741" s="31" t="s">
        <v>45</v>
      </c>
      <c r="B741" s="32" t="s">
        <v>185</v>
      </c>
      <c r="C741" s="31">
        <v>5.23</v>
      </c>
      <c r="D741" s="85"/>
    </row>
    <row r="742" spans="1:4" ht="15.75" outlineLevel="1" x14ac:dyDescent="0.2">
      <c r="A742" s="31" t="s">
        <v>45</v>
      </c>
      <c r="B742" s="32" t="s">
        <v>54</v>
      </c>
      <c r="C742" s="31">
        <v>5.26</v>
      </c>
      <c r="D742" s="85"/>
    </row>
    <row r="743" spans="1:4" ht="15.75" outlineLevel="1" x14ac:dyDescent="0.2">
      <c r="A743" s="31" t="s">
        <v>45</v>
      </c>
      <c r="B743" s="32" t="s">
        <v>55</v>
      </c>
      <c r="C743" s="31">
        <v>5.27</v>
      </c>
      <c r="D743" s="85"/>
    </row>
    <row r="744" spans="1:4" ht="15.75" outlineLevel="1" x14ac:dyDescent="0.2">
      <c r="A744" s="31" t="s">
        <v>45</v>
      </c>
      <c r="B744" s="32" t="s">
        <v>69</v>
      </c>
      <c r="C744" s="31">
        <v>5.28</v>
      </c>
      <c r="D744" s="85"/>
    </row>
    <row r="745" spans="1:4" ht="15.75" outlineLevel="1" x14ac:dyDescent="0.2">
      <c r="A745" s="31" t="s">
        <v>45</v>
      </c>
      <c r="B745" s="32" t="s">
        <v>56</v>
      </c>
      <c r="C745" s="31">
        <v>5.36</v>
      </c>
      <c r="D745" s="85"/>
    </row>
    <row r="746" spans="1:4" ht="15.75" outlineLevel="1" x14ac:dyDescent="0.2">
      <c r="A746" s="31" t="s">
        <v>45</v>
      </c>
      <c r="B746" s="32" t="s">
        <v>186</v>
      </c>
      <c r="C746" s="31">
        <v>5.44</v>
      </c>
      <c r="D746" s="85"/>
    </row>
    <row r="747" spans="1:4" ht="15.75" outlineLevel="1" x14ac:dyDescent="0.2">
      <c r="A747" s="31" t="s">
        <v>45</v>
      </c>
      <c r="B747" s="32" t="s">
        <v>59</v>
      </c>
      <c r="C747" s="31">
        <v>5.53</v>
      </c>
      <c r="D747" s="85"/>
    </row>
    <row r="748" spans="1:4" ht="15.75" outlineLevel="1" x14ac:dyDescent="0.2">
      <c r="A748" s="31" t="s">
        <v>45</v>
      </c>
      <c r="B748" s="32" t="s">
        <v>106</v>
      </c>
      <c r="C748" s="31">
        <v>5.1120000000000001</v>
      </c>
      <c r="D748" s="85"/>
    </row>
    <row r="749" spans="1:4" ht="15.75" outlineLevel="1" x14ac:dyDescent="0.2">
      <c r="A749" s="31" t="s">
        <v>45</v>
      </c>
      <c r="B749" s="32" t="s">
        <v>60</v>
      </c>
      <c r="C749" s="31">
        <v>5.59</v>
      </c>
      <c r="D749" s="85"/>
    </row>
    <row r="750" spans="1:4" ht="15.75" outlineLevel="1" x14ac:dyDescent="0.2">
      <c r="A750" s="31" t="s">
        <v>45</v>
      </c>
      <c r="B750" s="32" t="s">
        <v>61</v>
      </c>
      <c r="C750" s="31">
        <v>5.54</v>
      </c>
      <c r="D750" s="85"/>
    </row>
    <row r="751" spans="1:4" ht="15.75" outlineLevel="1" x14ac:dyDescent="0.2">
      <c r="A751" s="31" t="s">
        <v>45</v>
      </c>
      <c r="B751" s="32" t="s">
        <v>63</v>
      </c>
      <c r="C751" s="31">
        <v>5.63</v>
      </c>
      <c r="D751" s="85"/>
    </row>
    <row r="752" spans="1:4" ht="15.75" outlineLevel="1" x14ac:dyDescent="0.2">
      <c r="A752" s="31" t="s">
        <v>45</v>
      </c>
      <c r="B752" s="32" t="s">
        <v>78</v>
      </c>
      <c r="C752" s="31">
        <v>5.65</v>
      </c>
      <c r="D752" s="85"/>
    </row>
    <row r="753" spans="1:4" ht="15.75" outlineLevel="1" x14ac:dyDescent="0.2">
      <c r="A753" s="31" t="s">
        <v>45</v>
      </c>
      <c r="B753" s="32" t="s">
        <v>17</v>
      </c>
      <c r="C753" s="31">
        <v>5.68</v>
      </c>
      <c r="D753" s="85"/>
    </row>
    <row r="754" spans="1:4" ht="15.75" outlineLevel="1" x14ac:dyDescent="0.2">
      <c r="A754" s="31" t="s">
        <v>45</v>
      </c>
      <c r="B754" s="32" t="s">
        <v>64</v>
      </c>
      <c r="C754" s="31">
        <v>5.47</v>
      </c>
      <c r="D754" s="85"/>
    </row>
    <row r="755" spans="1:4" ht="15.75" outlineLevel="1" x14ac:dyDescent="0.2">
      <c r="A755" s="31" t="s">
        <v>45</v>
      </c>
      <c r="B755" s="32" t="s">
        <v>65</v>
      </c>
      <c r="C755" s="31">
        <v>5.48</v>
      </c>
      <c r="D755" s="85"/>
    </row>
    <row r="756" spans="1:4" ht="15.75" x14ac:dyDescent="0.2">
      <c r="A756" s="36" t="s">
        <v>45</v>
      </c>
      <c r="B756" s="32"/>
      <c r="C756" s="31"/>
      <c r="D756" s="85"/>
    </row>
    <row r="757" spans="1:4" ht="15.75" outlineLevel="1" x14ac:dyDescent="0.2">
      <c r="A757" s="31" t="s">
        <v>47</v>
      </c>
      <c r="B757" s="32" t="s">
        <v>49</v>
      </c>
      <c r="C757" s="31">
        <v>5.0999999999999996</v>
      </c>
      <c r="D757" s="85"/>
    </row>
    <row r="758" spans="1:4" ht="15.75" outlineLevel="1" x14ac:dyDescent="0.2">
      <c r="A758" s="31" t="s">
        <v>47</v>
      </c>
      <c r="B758" s="32" t="s">
        <v>50</v>
      </c>
      <c r="C758" s="31">
        <v>5.2</v>
      </c>
      <c r="D758" s="85"/>
    </row>
    <row r="759" spans="1:4" ht="15.75" outlineLevel="1" x14ac:dyDescent="0.2">
      <c r="A759" s="31" t="s">
        <v>47</v>
      </c>
      <c r="B759" s="32" t="s">
        <v>150</v>
      </c>
      <c r="C759" s="31">
        <v>5.9</v>
      </c>
      <c r="D759" s="191" t="s">
        <v>2690</v>
      </c>
    </row>
    <row r="760" spans="1:4" ht="15.75" outlineLevel="1" x14ac:dyDescent="0.2">
      <c r="A760" s="31" t="s">
        <v>47</v>
      </c>
      <c r="B760" s="32" t="s">
        <v>151</v>
      </c>
      <c r="C760" s="31">
        <v>5.13</v>
      </c>
      <c r="D760" s="85"/>
    </row>
    <row r="761" spans="1:4" ht="15.75" outlineLevel="1" x14ac:dyDescent="0.2">
      <c r="A761" s="31" t="s">
        <v>47</v>
      </c>
      <c r="B761" s="32" t="s">
        <v>152</v>
      </c>
      <c r="C761" s="31">
        <v>5.16</v>
      </c>
      <c r="D761" s="191" t="s">
        <v>2690</v>
      </c>
    </row>
    <row r="762" spans="1:4" ht="15.75" outlineLevel="1" x14ac:dyDescent="0.2">
      <c r="A762" s="31" t="s">
        <v>47</v>
      </c>
      <c r="B762" s="32" t="s">
        <v>153</v>
      </c>
      <c r="C762" s="31">
        <v>5.22</v>
      </c>
      <c r="D762" s="84"/>
    </row>
    <row r="763" spans="1:4" ht="15.75" outlineLevel="1" x14ac:dyDescent="0.2">
      <c r="A763" s="31" t="s">
        <v>47</v>
      </c>
      <c r="B763" s="32" t="s">
        <v>187</v>
      </c>
      <c r="C763" s="31">
        <v>5.42</v>
      </c>
      <c r="D763" s="85"/>
    </row>
    <row r="764" spans="1:4" ht="15.75" outlineLevel="1" x14ac:dyDescent="0.2">
      <c r="A764" s="31" t="s">
        <v>47</v>
      </c>
      <c r="B764" s="32" t="s">
        <v>55</v>
      </c>
      <c r="C764" s="31">
        <v>5.27</v>
      </c>
      <c r="D764" s="85"/>
    </row>
    <row r="765" spans="1:4" ht="15.75" outlineLevel="1" x14ac:dyDescent="0.2">
      <c r="A765" s="31" t="s">
        <v>47</v>
      </c>
      <c r="B765" s="32" t="s">
        <v>69</v>
      </c>
      <c r="C765" s="31">
        <v>5.28</v>
      </c>
      <c r="D765" s="191" t="s">
        <v>2690</v>
      </c>
    </row>
    <row r="766" spans="1:4" ht="15.75" outlineLevel="1" x14ac:dyDescent="0.2">
      <c r="A766" s="31" t="s">
        <v>47</v>
      </c>
      <c r="B766" s="32" t="s">
        <v>56</v>
      </c>
      <c r="C766" s="31">
        <v>5.36</v>
      </c>
      <c r="D766" s="85"/>
    </row>
    <row r="767" spans="1:4" ht="15.75" outlineLevel="1" x14ac:dyDescent="0.2">
      <c r="A767" s="31" t="s">
        <v>47</v>
      </c>
      <c r="B767" s="32" t="s">
        <v>71</v>
      </c>
      <c r="C767" s="31">
        <v>5.49</v>
      </c>
      <c r="D767" s="85"/>
    </row>
    <row r="768" spans="1:4" ht="15.75" outlineLevel="1" x14ac:dyDescent="0.2">
      <c r="A768" s="31" t="s">
        <v>47</v>
      </c>
      <c r="B768" s="32" t="s">
        <v>58</v>
      </c>
      <c r="C768" s="31">
        <v>5.51</v>
      </c>
      <c r="D768" s="85"/>
    </row>
    <row r="769" spans="1:4" ht="15.75" outlineLevel="1" x14ac:dyDescent="0.2">
      <c r="A769" s="31" t="s">
        <v>47</v>
      </c>
      <c r="B769" s="32" t="s">
        <v>1090</v>
      </c>
      <c r="C769" s="31">
        <v>5.52</v>
      </c>
      <c r="D769" s="85"/>
    </row>
    <row r="770" spans="1:4" ht="15.75" outlineLevel="1" x14ac:dyDescent="0.2">
      <c r="A770" s="31" t="s">
        <v>47</v>
      </c>
      <c r="B770" s="32" t="s">
        <v>59</v>
      </c>
      <c r="C770" s="31">
        <v>5.53</v>
      </c>
      <c r="D770" s="85"/>
    </row>
    <row r="771" spans="1:4" ht="15.75" outlineLevel="1" x14ac:dyDescent="0.2">
      <c r="A771" s="31" t="s">
        <v>47</v>
      </c>
      <c r="B771" s="32" t="s">
        <v>61</v>
      </c>
      <c r="C771" s="31">
        <v>5.54</v>
      </c>
      <c r="D771" s="85"/>
    </row>
    <row r="772" spans="1:4" ht="15.75" outlineLevel="1" x14ac:dyDescent="0.2">
      <c r="A772" s="31" t="s">
        <v>47</v>
      </c>
      <c r="B772" s="32" t="s">
        <v>62</v>
      </c>
      <c r="C772" s="33">
        <v>5.7</v>
      </c>
      <c r="D772" s="85"/>
    </row>
    <row r="773" spans="1:4" ht="15.75" outlineLevel="1" x14ac:dyDescent="0.2">
      <c r="A773" s="31" t="s">
        <v>47</v>
      </c>
      <c r="B773" s="32" t="s">
        <v>159</v>
      </c>
      <c r="C773" s="31">
        <v>5.71</v>
      </c>
      <c r="D773" s="85"/>
    </row>
    <row r="774" spans="1:4" ht="15.75" outlineLevel="1" x14ac:dyDescent="0.2">
      <c r="A774" s="31" t="s">
        <v>47</v>
      </c>
      <c r="B774" s="32" t="s">
        <v>188</v>
      </c>
      <c r="C774" s="33">
        <v>5.9</v>
      </c>
      <c r="D774" s="85"/>
    </row>
    <row r="775" spans="1:4" ht="15.75" outlineLevel="1" x14ac:dyDescent="0.2">
      <c r="A775" s="31" t="s">
        <v>47</v>
      </c>
      <c r="B775" s="32" t="s">
        <v>189</v>
      </c>
      <c r="C775" s="31">
        <v>5.91</v>
      </c>
      <c r="D775" s="85"/>
    </row>
    <row r="776" spans="1:4" ht="15.75" outlineLevel="1" x14ac:dyDescent="0.2">
      <c r="A776" s="31" t="s">
        <v>47</v>
      </c>
      <c r="B776" s="32" t="s">
        <v>190</v>
      </c>
      <c r="C776" s="31">
        <v>5.97</v>
      </c>
      <c r="D776" s="85"/>
    </row>
    <row r="777" spans="1:4" ht="15.75" x14ac:dyDescent="0.2">
      <c r="A777" s="36" t="s">
        <v>47</v>
      </c>
      <c r="B777" s="32"/>
      <c r="C777" s="31"/>
      <c r="D777" s="85"/>
    </row>
    <row r="778" spans="1:4" ht="15.75" outlineLevel="1" x14ac:dyDescent="0.2">
      <c r="A778" s="31" t="s">
        <v>1067</v>
      </c>
      <c r="B778" s="32" t="s">
        <v>49</v>
      </c>
      <c r="C778" s="31">
        <v>5.0999999999999996</v>
      </c>
      <c r="D778" s="85"/>
    </row>
    <row r="779" spans="1:4" ht="15.75" outlineLevel="1" x14ac:dyDescent="0.2">
      <c r="A779" s="31" t="s">
        <v>1067</v>
      </c>
      <c r="B779" s="32" t="s">
        <v>50</v>
      </c>
      <c r="C779" s="31">
        <v>5.2</v>
      </c>
      <c r="D779" s="85"/>
    </row>
    <row r="780" spans="1:4" ht="15.75" outlineLevel="1" x14ac:dyDescent="0.2">
      <c r="A780" s="31" t="s">
        <v>1067</v>
      </c>
      <c r="B780" s="32" t="s">
        <v>54</v>
      </c>
      <c r="C780" s="31">
        <v>5.26</v>
      </c>
      <c r="D780" s="85"/>
    </row>
    <row r="781" spans="1:4" ht="15.75" outlineLevel="1" x14ac:dyDescent="0.2">
      <c r="A781" s="31" t="s">
        <v>1067</v>
      </c>
      <c r="B781" s="32" t="s">
        <v>108</v>
      </c>
      <c r="C781" s="31">
        <v>5.5</v>
      </c>
      <c r="D781" s="85"/>
    </row>
    <row r="782" spans="1:4" ht="15.75" outlineLevel="1" x14ac:dyDescent="0.2">
      <c r="A782" s="31" t="s">
        <v>1067</v>
      </c>
      <c r="B782" s="32" t="s">
        <v>109</v>
      </c>
      <c r="C782" s="31">
        <v>5.8</v>
      </c>
      <c r="D782" s="191" t="s">
        <v>2690</v>
      </c>
    </row>
    <row r="783" spans="1:4" ht="15.75" outlineLevel="1" x14ac:dyDescent="0.2">
      <c r="A783" s="31" t="s">
        <v>1067</v>
      </c>
      <c r="B783" s="32" t="s">
        <v>110</v>
      </c>
      <c r="C783" s="31">
        <v>5.12</v>
      </c>
      <c r="D783" s="31"/>
    </row>
    <row r="784" spans="1:4" ht="15.75" outlineLevel="1" x14ac:dyDescent="0.2">
      <c r="A784" s="31" t="s">
        <v>1067</v>
      </c>
      <c r="B784" s="32" t="s">
        <v>111</v>
      </c>
      <c r="C784" s="31">
        <v>5.15</v>
      </c>
      <c r="D784" s="31"/>
    </row>
    <row r="785" spans="1:26" ht="15.75" outlineLevel="1" x14ac:dyDescent="0.2">
      <c r="A785" s="31" t="s">
        <v>1067</v>
      </c>
      <c r="B785" s="32" t="s">
        <v>112</v>
      </c>
      <c r="C785" s="33">
        <v>5.2</v>
      </c>
      <c r="D785" s="84"/>
    </row>
    <row r="786" spans="1:26" ht="15.75" outlineLevel="1" x14ac:dyDescent="0.2">
      <c r="A786" s="31" t="s">
        <v>1067</v>
      </c>
      <c r="B786" s="32" t="s">
        <v>113</v>
      </c>
      <c r="C786" s="31">
        <v>5.25</v>
      </c>
      <c r="D786" s="31"/>
    </row>
    <row r="787" spans="1:26" ht="15.75" outlineLevel="1" x14ac:dyDescent="0.2">
      <c r="A787" s="31" t="s">
        <v>1067</v>
      </c>
      <c r="B787" s="32" t="s">
        <v>59</v>
      </c>
      <c r="C787" s="31">
        <v>5.53</v>
      </c>
      <c r="D787" s="31"/>
    </row>
    <row r="788" spans="1:26" ht="15.75" outlineLevel="1" x14ac:dyDescent="0.2">
      <c r="A788" s="31" t="s">
        <v>1067</v>
      </c>
      <c r="B788" s="32" t="s">
        <v>191</v>
      </c>
      <c r="C788" s="33">
        <v>5.4</v>
      </c>
      <c r="D788" s="31"/>
    </row>
    <row r="789" spans="1:26" ht="15.75" outlineLevel="1" x14ac:dyDescent="0.2">
      <c r="A789" s="31" t="s">
        <v>1067</v>
      </c>
      <c r="B789" s="32" t="s">
        <v>192</v>
      </c>
      <c r="C789" s="31">
        <v>5.92</v>
      </c>
      <c r="D789" s="31"/>
    </row>
    <row r="790" spans="1:26" ht="15.75" outlineLevel="1" x14ac:dyDescent="0.2">
      <c r="A790" s="31" t="s">
        <v>1067</v>
      </c>
      <c r="B790" s="32" t="s">
        <v>193</v>
      </c>
      <c r="C790" s="31">
        <v>5.93</v>
      </c>
      <c r="D790" s="31"/>
    </row>
    <row r="791" spans="1:26" ht="31.5" outlineLevel="1" x14ac:dyDescent="0.2">
      <c r="A791" s="31" t="s">
        <v>1067</v>
      </c>
      <c r="B791" s="32" t="s">
        <v>194</v>
      </c>
      <c r="C791" s="31">
        <v>5.94</v>
      </c>
      <c r="D791" s="31"/>
    </row>
    <row r="792" spans="1:26" ht="15.75" outlineLevel="1" x14ac:dyDescent="0.2">
      <c r="A792" s="31" t="s">
        <v>1067</v>
      </c>
      <c r="B792" s="32" t="s">
        <v>195</v>
      </c>
      <c r="C792" s="31">
        <v>5.95</v>
      </c>
      <c r="D792" s="31"/>
    </row>
    <row r="793" spans="1:26" ht="15.75" outlineLevel="1" x14ac:dyDescent="0.2">
      <c r="A793" s="31" t="s">
        <v>1067</v>
      </c>
      <c r="B793" s="32" t="s">
        <v>196</v>
      </c>
      <c r="C793" s="31">
        <v>5.98</v>
      </c>
      <c r="D793" s="31"/>
    </row>
    <row r="794" spans="1:26" ht="15.75" outlineLevel="1" x14ac:dyDescent="0.2">
      <c r="A794" s="31" t="s">
        <v>1067</v>
      </c>
      <c r="B794" s="32" t="s">
        <v>197</v>
      </c>
      <c r="C794" s="31">
        <v>5.96</v>
      </c>
      <c r="D794" s="31"/>
    </row>
    <row r="795" spans="1:26" ht="15.75" x14ac:dyDescent="0.2">
      <c r="A795" s="188" t="s">
        <v>1067</v>
      </c>
      <c r="B795" s="189"/>
      <c r="C795" s="190"/>
      <c r="D795" s="190"/>
    </row>
    <row r="796" spans="1:26" ht="14.25" x14ac:dyDescent="0.2">
      <c r="A796" s="195" t="s">
        <v>2682</v>
      </c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</sheetData>
  <mergeCells count="1">
    <mergeCell ref="A796:Z79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0" t="s">
        <v>1093</v>
      </c>
    </row>
    <row r="3" spans="1:2" x14ac:dyDescent="0.2">
      <c r="A3" t="s">
        <v>1094</v>
      </c>
      <c r="B3" t="s">
        <v>1095</v>
      </c>
    </row>
    <row r="4" spans="1:2" x14ac:dyDescent="0.2">
      <c r="A4" t="s">
        <v>1096</v>
      </c>
      <c r="B4" t="s">
        <v>1097</v>
      </c>
    </row>
    <row r="5" spans="1:2" x14ac:dyDescent="0.2">
      <c r="A5" t="s">
        <v>1098</v>
      </c>
      <c r="B5" t="s">
        <v>1099</v>
      </c>
    </row>
    <row r="6" spans="1:2" x14ac:dyDescent="0.2">
      <c r="A6" t="s">
        <v>1100</v>
      </c>
      <c r="B6" t="s">
        <v>1101</v>
      </c>
    </row>
    <row r="7" spans="1:2" x14ac:dyDescent="0.2">
      <c r="A7" t="s">
        <v>1102</v>
      </c>
      <c r="B7" t="s">
        <v>1103</v>
      </c>
    </row>
    <row r="8" spans="1:2" x14ac:dyDescent="0.2">
      <c r="A8" t="s">
        <v>1104</v>
      </c>
      <c r="B8" t="s">
        <v>1105</v>
      </c>
    </row>
    <row r="10" spans="1:2" ht="15" x14ac:dyDescent="0.25">
      <c r="A10" s="20" t="s">
        <v>1106</v>
      </c>
    </row>
    <row r="11" spans="1:2" x14ac:dyDescent="0.2">
      <c r="A11" t="s">
        <v>1107</v>
      </c>
    </row>
    <row r="12" spans="1:2" x14ac:dyDescent="0.2">
      <c r="A12" t="s">
        <v>1108</v>
      </c>
      <c r="B12" t="s">
        <v>1109</v>
      </c>
    </row>
    <row r="14" spans="1:2" x14ac:dyDescent="0.2">
      <c r="A14" s="30"/>
    </row>
    <row r="15" spans="1:2" ht="15" x14ac:dyDescent="0.25">
      <c r="A15" s="20" t="s">
        <v>1110</v>
      </c>
    </row>
    <row r="16" spans="1:2" x14ac:dyDescent="0.2">
      <c r="A16" s="28" t="s">
        <v>1111</v>
      </c>
    </row>
    <row r="17" spans="1:2" x14ac:dyDescent="0.2">
      <c r="A17" s="28" t="s">
        <v>1112</v>
      </c>
    </row>
    <row r="18" spans="1:2" x14ac:dyDescent="0.2">
      <c r="A18" s="28" t="s">
        <v>1113</v>
      </c>
    </row>
    <row r="19" spans="1:2" x14ac:dyDescent="0.2">
      <c r="A19" s="28" t="s">
        <v>1114</v>
      </c>
    </row>
    <row r="21" spans="1:2" ht="15" x14ac:dyDescent="0.25">
      <c r="A21" s="29" t="s">
        <v>1115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0" t="s">
        <v>1116</v>
      </c>
      <c r="B34" s="20" t="s">
        <v>309</v>
      </c>
    </row>
    <row r="35" spans="1:2" x14ac:dyDescent="0.2">
      <c r="A35" s="13" t="s">
        <v>1117</v>
      </c>
      <c r="B35" s="35">
        <v>512310509</v>
      </c>
    </row>
    <row r="36" spans="1:2" x14ac:dyDescent="0.2">
      <c r="A36" t="s">
        <v>1118</v>
      </c>
      <c r="B36" s="35">
        <v>513910703</v>
      </c>
    </row>
    <row r="37" spans="1:2" x14ac:dyDescent="0.2">
      <c r="A37" t="s">
        <v>1119</v>
      </c>
      <c r="B37" s="35">
        <v>512304882</v>
      </c>
    </row>
    <row r="38" spans="1:2" x14ac:dyDescent="0.2">
      <c r="A38" t="s">
        <v>1120</v>
      </c>
      <c r="B38" s="35">
        <v>520030677</v>
      </c>
    </row>
    <row r="39" spans="1:2" x14ac:dyDescent="0.2">
      <c r="A39" t="s">
        <v>1121</v>
      </c>
      <c r="B39" s="35">
        <v>513621110</v>
      </c>
    </row>
    <row r="40" spans="1:2" x14ac:dyDescent="0.2">
      <c r="A40" t="s">
        <v>1122</v>
      </c>
      <c r="B40" s="13">
        <v>513173393</v>
      </c>
    </row>
    <row r="41" spans="1:2" x14ac:dyDescent="0.2">
      <c r="A41" t="s">
        <v>1123</v>
      </c>
      <c r="B41" s="13">
        <v>511880460</v>
      </c>
    </row>
    <row r="42" spans="1:2" x14ac:dyDescent="0.2">
      <c r="A42" t="s">
        <v>1124</v>
      </c>
      <c r="B42" s="13">
        <v>510773922</v>
      </c>
    </row>
    <row r="43" spans="1:2" x14ac:dyDescent="0.2">
      <c r="A43" t="s">
        <v>1125</v>
      </c>
      <c r="B43">
        <v>520021916</v>
      </c>
    </row>
    <row r="44" spans="1:2" x14ac:dyDescent="0.2">
      <c r="A44" t="s">
        <v>1126</v>
      </c>
      <c r="B44">
        <v>520044025</v>
      </c>
    </row>
    <row r="45" spans="1:2" x14ac:dyDescent="0.2">
      <c r="A45" t="s">
        <v>1127</v>
      </c>
      <c r="B45">
        <v>570003152</v>
      </c>
    </row>
    <row r="46" spans="1:2" x14ac:dyDescent="0.2">
      <c r="A46" t="s">
        <v>1128</v>
      </c>
      <c r="B46" s="13">
        <v>520023094</v>
      </c>
    </row>
    <row r="47" spans="1:2" x14ac:dyDescent="0.2">
      <c r="A47" t="s">
        <v>1129</v>
      </c>
      <c r="B47" s="13">
        <v>512711409</v>
      </c>
    </row>
    <row r="48" spans="1:2" x14ac:dyDescent="0.2">
      <c r="A48" t="s">
        <v>1130</v>
      </c>
      <c r="B48">
        <v>515859379</v>
      </c>
    </row>
    <row r="49" spans="1:2" x14ac:dyDescent="0.2">
      <c r="A49" t="s">
        <v>1131</v>
      </c>
      <c r="B49" s="13">
        <v>520030990</v>
      </c>
    </row>
    <row r="50" spans="1:2" x14ac:dyDescent="0.2">
      <c r="A50" t="s">
        <v>1132</v>
      </c>
      <c r="B50" s="13">
        <v>520028812</v>
      </c>
    </row>
    <row r="51" spans="1:2" x14ac:dyDescent="0.2">
      <c r="A51" t="s">
        <v>1133</v>
      </c>
      <c r="B51" s="13">
        <v>520034968</v>
      </c>
    </row>
    <row r="52" spans="1:2" x14ac:dyDescent="0.2">
      <c r="A52" t="s">
        <v>1134</v>
      </c>
      <c r="B52" s="13">
        <v>520031824</v>
      </c>
    </row>
    <row r="53" spans="1:2" x14ac:dyDescent="0.2">
      <c r="A53" t="s">
        <v>1135</v>
      </c>
      <c r="B53" s="13">
        <v>520005497</v>
      </c>
    </row>
    <row r="54" spans="1:2" x14ac:dyDescent="0.2">
      <c r="A54" t="s">
        <v>1136</v>
      </c>
      <c r="B54" s="13">
        <v>520022518</v>
      </c>
    </row>
    <row r="55" spans="1:2" x14ac:dyDescent="0.2">
      <c r="A55" t="s">
        <v>1137</v>
      </c>
      <c r="B55" s="13">
        <v>520028556</v>
      </c>
    </row>
    <row r="56" spans="1:2" x14ac:dyDescent="0.2">
      <c r="A56" t="s">
        <v>1138</v>
      </c>
      <c r="B56" s="13">
        <v>520032269</v>
      </c>
    </row>
    <row r="57" spans="1:2" x14ac:dyDescent="0.2">
      <c r="A57" t="s">
        <v>1139</v>
      </c>
      <c r="B57" s="13">
        <v>520027954</v>
      </c>
    </row>
    <row r="58" spans="1:2" x14ac:dyDescent="0.2">
      <c r="A58" t="s">
        <v>1140</v>
      </c>
      <c r="B58">
        <v>520029620</v>
      </c>
    </row>
    <row r="59" spans="1:2" x14ac:dyDescent="0.2">
      <c r="A59" t="s">
        <v>1141</v>
      </c>
      <c r="B59" s="13">
        <v>520028861</v>
      </c>
    </row>
    <row r="60" spans="1:2" x14ac:dyDescent="0.2">
      <c r="A60" t="s">
        <v>1142</v>
      </c>
      <c r="B60" s="13">
        <v>520030743</v>
      </c>
    </row>
    <row r="61" spans="1:2" x14ac:dyDescent="0.2">
      <c r="A61" t="s">
        <v>1143</v>
      </c>
      <c r="B61">
        <v>520042177</v>
      </c>
    </row>
    <row r="62" spans="1:2" x14ac:dyDescent="0.2">
      <c r="A62" t="s">
        <v>1144</v>
      </c>
      <c r="B62" s="13">
        <v>515447035</v>
      </c>
    </row>
    <row r="63" spans="1:2" x14ac:dyDescent="0.2">
      <c r="A63" t="s">
        <v>1145</v>
      </c>
      <c r="B63" s="13">
        <v>520042607</v>
      </c>
    </row>
    <row r="64" spans="1:2" x14ac:dyDescent="0.2">
      <c r="A64" t="s">
        <v>1146</v>
      </c>
      <c r="B64" s="13">
        <v>513026484</v>
      </c>
    </row>
    <row r="65" spans="1:2" x14ac:dyDescent="0.2">
      <c r="A65" t="s">
        <v>1147</v>
      </c>
      <c r="B65">
        <v>520023185</v>
      </c>
    </row>
    <row r="66" spans="1:2" x14ac:dyDescent="0.2">
      <c r="A66" t="s">
        <v>1148</v>
      </c>
      <c r="B66">
        <v>520004078</v>
      </c>
    </row>
    <row r="67" spans="1:2" x14ac:dyDescent="0.2">
      <c r="A67" t="s">
        <v>1149</v>
      </c>
      <c r="B67" s="13">
        <v>512267592</v>
      </c>
    </row>
    <row r="68" spans="1:2" x14ac:dyDescent="0.2">
      <c r="A68" t="s">
        <v>1150</v>
      </c>
      <c r="B68">
        <v>515764868</v>
      </c>
    </row>
    <row r="69" spans="1:2" x14ac:dyDescent="0.2">
      <c r="A69" t="s">
        <v>1151</v>
      </c>
      <c r="B69" s="13">
        <v>513452003</v>
      </c>
    </row>
    <row r="70" spans="1:2" x14ac:dyDescent="0.2">
      <c r="A70" t="s">
        <v>1152</v>
      </c>
      <c r="B70" s="13">
        <v>510142789</v>
      </c>
    </row>
    <row r="71" spans="1:2" x14ac:dyDescent="0.2">
      <c r="A71" t="s">
        <v>1153</v>
      </c>
      <c r="B71" s="13">
        <v>510960586</v>
      </c>
    </row>
    <row r="72" spans="1:2" x14ac:dyDescent="0.2">
      <c r="A72" t="s">
        <v>1154</v>
      </c>
      <c r="B72" s="13">
        <v>510930670</v>
      </c>
    </row>
    <row r="73" spans="1:2" x14ac:dyDescent="0.2">
      <c r="A73" t="s">
        <v>1155</v>
      </c>
      <c r="B73" s="13">
        <v>510927536</v>
      </c>
    </row>
    <row r="74" spans="1:2" x14ac:dyDescent="0.2">
      <c r="A74" t="s">
        <v>1156</v>
      </c>
      <c r="B74" s="13">
        <v>510930654</v>
      </c>
    </row>
    <row r="75" spans="1:2" x14ac:dyDescent="0.2">
      <c r="A75" t="s">
        <v>1157</v>
      </c>
      <c r="B75" s="13">
        <v>520032566</v>
      </c>
    </row>
    <row r="76" spans="1:2" x14ac:dyDescent="0.2">
      <c r="A76" t="s">
        <v>1158</v>
      </c>
      <c r="B76" s="13">
        <v>513611509</v>
      </c>
    </row>
    <row r="77" spans="1:2" x14ac:dyDescent="0.2">
      <c r="A77" t="s">
        <v>1159</v>
      </c>
      <c r="B77">
        <v>510888985</v>
      </c>
    </row>
    <row r="78" spans="1:2" x14ac:dyDescent="0.2">
      <c r="A78" t="s">
        <v>1160</v>
      </c>
      <c r="B78">
        <v>520024647</v>
      </c>
    </row>
    <row r="79" spans="1:2" x14ac:dyDescent="0.2">
      <c r="A79" t="s">
        <v>1161</v>
      </c>
      <c r="B79" s="13">
        <v>512244146</v>
      </c>
    </row>
    <row r="80" spans="1:2" x14ac:dyDescent="0.2">
      <c r="A80" t="s">
        <v>1162</v>
      </c>
      <c r="B80" s="13">
        <v>510694821</v>
      </c>
    </row>
    <row r="81" spans="1:2" x14ac:dyDescent="0.2">
      <c r="A81" t="s">
        <v>1163</v>
      </c>
      <c r="B81">
        <v>515761625</v>
      </c>
    </row>
    <row r="82" spans="1:2" x14ac:dyDescent="0.2">
      <c r="A82" t="s">
        <v>1164</v>
      </c>
      <c r="B82" s="13">
        <v>511423048</v>
      </c>
    </row>
    <row r="83" spans="1:2" x14ac:dyDescent="0.2">
      <c r="A83" t="s">
        <v>1165</v>
      </c>
      <c r="B83" s="13">
        <v>520019688</v>
      </c>
    </row>
    <row r="84" spans="1:2" x14ac:dyDescent="0.2">
      <c r="A84" t="s">
        <v>1166</v>
      </c>
      <c r="B84">
        <v>520004896</v>
      </c>
    </row>
    <row r="85" spans="1:2" x14ac:dyDescent="0.2">
      <c r="A85" t="s">
        <v>1167</v>
      </c>
      <c r="B85" s="13">
        <v>512237744</v>
      </c>
    </row>
    <row r="86" spans="1:2" x14ac:dyDescent="0.2">
      <c r="A86" t="s">
        <v>1168</v>
      </c>
      <c r="B86" s="13">
        <v>514956465</v>
      </c>
    </row>
    <row r="87" spans="1:2" x14ac:dyDescent="0.2">
      <c r="A87" t="s">
        <v>1169</v>
      </c>
      <c r="B87" s="13">
        <v>512362914</v>
      </c>
    </row>
    <row r="88" spans="1:2" x14ac:dyDescent="0.2">
      <c r="A88" t="s">
        <v>1170</v>
      </c>
      <c r="B88" s="13">
        <v>520042615</v>
      </c>
    </row>
    <row r="89" spans="1:2" x14ac:dyDescent="0.2">
      <c r="A89" t="s">
        <v>1171</v>
      </c>
      <c r="B89" s="13">
        <v>512065202</v>
      </c>
    </row>
    <row r="90" spans="1:2" x14ac:dyDescent="0.2">
      <c r="A90" t="s">
        <v>1172</v>
      </c>
      <c r="B90">
        <v>520042540</v>
      </c>
    </row>
    <row r="91" spans="1:2" x14ac:dyDescent="0.2">
      <c r="A91" t="s">
        <v>1173</v>
      </c>
      <c r="B91" s="13">
        <v>520027715</v>
      </c>
    </row>
    <row r="92" spans="1:2" x14ac:dyDescent="0.2">
      <c r="A92" t="s">
        <v>1174</v>
      </c>
      <c r="B92" s="13">
        <v>512245812</v>
      </c>
    </row>
    <row r="93" spans="1:2" x14ac:dyDescent="0.2">
      <c r="A93" t="s">
        <v>1175</v>
      </c>
      <c r="B93" s="13">
        <v>520022351</v>
      </c>
    </row>
    <row r="94" spans="1:2" x14ac:dyDescent="0.2">
      <c r="A94" t="s">
        <v>1176</v>
      </c>
      <c r="B94" s="13">
        <v>514767490</v>
      </c>
    </row>
    <row r="95" spans="1:2" x14ac:dyDescent="0.2">
      <c r="A95" t="s">
        <v>1177</v>
      </c>
      <c r="B95" s="13">
        <v>520024985</v>
      </c>
    </row>
    <row r="96" spans="1:2" x14ac:dyDescent="0.2">
      <c r="A96" t="s">
        <v>1178</v>
      </c>
      <c r="B96" s="13">
        <v>520042573</v>
      </c>
    </row>
    <row r="97" spans="1:2" x14ac:dyDescent="0.2">
      <c r="A97" t="s">
        <v>1179</v>
      </c>
      <c r="B97" s="13">
        <v>570009449</v>
      </c>
    </row>
    <row r="98" spans="1:2" x14ac:dyDescent="0.2">
      <c r="A98" t="s">
        <v>1180</v>
      </c>
      <c r="B98" s="13">
        <v>520031659</v>
      </c>
    </row>
    <row r="99" spans="1:2" x14ac:dyDescent="0.2">
      <c r="A99" t="s">
        <v>1181</v>
      </c>
      <c r="B99" s="13">
        <v>520042581</v>
      </c>
    </row>
    <row r="100" spans="1:2" x14ac:dyDescent="0.2">
      <c r="A100" t="s">
        <v>1182</v>
      </c>
      <c r="B100">
        <v>520031030</v>
      </c>
    </row>
    <row r="101" spans="1:2" x14ac:dyDescent="0.2">
      <c r="A101" t="s">
        <v>1183</v>
      </c>
      <c r="B101" s="13">
        <v>520030941</v>
      </c>
    </row>
    <row r="102" spans="1:2" x14ac:dyDescent="0.2">
      <c r="A102" t="s">
        <v>1184</v>
      </c>
      <c r="B102" s="13">
        <v>512008335</v>
      </c>
    </row>
    <row r="103" spans="1:2" x14ac:dyDescent="0.2">
      <c r="A103" t="s">
        <v>1185</v>
      </c>
      <c r="B103" s="13">
        <v>520022963</v>
      </c>
    </row>
    <row r="104" spans="1:2" x14ac:dyDescent="0.2">
      <c r="A104" t="s">
        <v>1186</v>
      </c>
      <c r="B104" s="13">
        <v>570011767</v>
      </c>
    </row>
    <row r="105" spans="1:2" x14ac:dyDescent="0.2">
      <c r="A105" t="s">
        <v>1187</v>
      </c>
      <c r="B105" s="13">
        <v>570014928</v>
      </c>
    </row>
    <row r="106" spans="1:2" x14ac:dyDescent="0.2">
      <c r="A106" t="s">
        <v>1188</v>
      </c>
      <c r="B106" s="13">
        <v>570005959</v>
      </c>
    </row>
    <row r="107" spans="1:2" x14ac:dyDescent="0.2">
      <c r="A107" t="s">
        <v>1189</v>
      </c>
      <c r="B107" s="13">
        <v>510800402</v>
      </c>
    </row>
    <row r="108" spans="1:2" x14ac:dyDescent="0.2">
      <c r="A108" t="s">
        <v>1190</v>
      </c>
      <c r="B108" s="13">
        <v>570007476</v>
      </c>
    </row>
    <row r="109" spans="1:2" x14ac:dyDescent="0.2">
      <c r="A109" t="s">
        <v>1191</v>
      </c>
      <c r="B109" s="13">
        <v>570005850</v>
      </c>
    </row>
    <row r="110" spans="1:2" x14ac:dyDescent="0.2">
      <c r="A110" t="s">
        <v>1192</v>
      </c>
      <c r="B110" s="13">
        <v>520020504</v>
      </c>
    </row>
    <row r="111" spans="1:2" x14ac:dyDescent="0.2">
      <c r="A111" t="s">
        <v>1193</v>
      </c>
      <c r="B111" s="13">
        <v>520020447</v>
      </c>
    </row>
    <row r="112" spans="1:2" x14ac:dyDescent="0.2">
      <c r="A112" t="s">
        <v>1194</v>
      </c>
      <c r="B112" s="13">
        <v>511033060</v>
      </c>
    </row>
    <row r="113" spans="1:2" x14ac:dyDescent="0.2">
      <c r="A113" t="s">
        <v>1195</v>
      </c>
      <c r="B113">
        <v>520027848</v>
      </c>
    </row>
    <row r="114" spans="1:2" x14ac:dyDescent="0.2">
      <c r="A114" t="s">
        <v>1196</v>
      </c>
      <c r="B114" s="13">
        <v>570009852</v>
      </c>
    </row>
    <row r="115" spans="1:2" x14ac:dyDescent="0.2">
      <c r="A115" t="s">
        <v>1197</v>
      </c>
      <c r="B115" s="13">
        <v>520027251</v>
      </c>
    </row>
    <row r="116" spans="1:2" x14ac:dyDescent="0.2">
      <c r="A116" t="s">
        <v>1198</v>
      </c>
      <c r="B116" s="13">
        <v>520028390</v>
      </c>
    </row>
    <row r="117" spans="1:2" x14ac:dyDescent="0.2">
      <c r="A117" t="s">
        <v>1199</v>
      </c>
      <c r="B117" s="13">
        <v>510806870</v>
      </c>
    </row>
    <row r="118" spans="1:2" x14ac:dyDescent="0.2">
      <c r="A118" t="s">
        <v>1200</v>
      </c>
      <c r="B118">
        <v>513879189</v>
      </c>
    </row>
    <row r="119" spans="1:2" x14ac:dyDescent="0.2">
      <c r="A119" t="s">
        <v>1201</v>
      </c>
      <c r="B119">
        <v>510015951</v>
      </c>
    </row>
    <row r="120" spans="1:2" x14ac:dyDescent="0.2">
      <c r="A120" t="s">
        <v>1202</v>
      </c>
      <c r="B120" s="13">
        <v>520030693</v>
      </c>
    </row>
    <row r="121" spans="1:2" x14ac:dyDescent="0.2">
      <c r="A121" t="s">
        <v>1203</v>
      </c>
      <c r="B121" s="13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Lilach Lev Ram</cp:lastModifiedBy>
  <cp:revision/>
  <dcterms:created xsi:type="dcterms:W3CDTF">2021-05-03T04:41:48Z</dcterms:created>
  <dcterms:modified xsi:type="dcterms:W3CDTF">2024-08-28T15:36:07Z</dcterms:modified>
  <cp:category/>
  <cp:contentStatus/>
</cp:coreProperties>
</file>